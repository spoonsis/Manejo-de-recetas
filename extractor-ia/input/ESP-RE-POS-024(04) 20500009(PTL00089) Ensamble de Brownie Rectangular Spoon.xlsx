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6FCB5736-BCCB-4AFC-9624-6C3F892C5E55}" xr6:coauthVersionLast="47" xr6:coauthVersionMax="47" xr10:uidLastSave="{20E39949-C325-4FF6-A09D-A3B042F8724D}"/>
  <bookViews>
    <workbookView xWindow="-108" yWindow="-108" windowWidth="23256" windowHeight="12456" tabRatio="876" firstSheet="6" activeTab="6" xr2:uid="{1ABD3F6C-34C6-440B-85D7-33C5EE580CB8}"/>
  </bookViews>
  <sheets>
    <sheet name="Premezcla" sheetId="5" state="hidden" r:id="rId1"/>
    <sheet name="COSTO PREMEZCLA " sheetId="9" state="hidden" r:id="rId2"/>
    <sheet name="Batido" sheetId="6" state="hidden" r:id="rId3"/>
    <sheet name="COSTO BATIDO" sheetId="10" state="hidden" r:id="rId4"/>
    <sheet name="COSTO ROSQUETE" sheetId="11" state="hidden" r:id="rId5"/>
    <sheet name="Empaque" sheetId="8" state="hidden" r:id="rId6"/>
    <sheet name="Hoja1" sheetId="14" r:id="rId7"/>
    <sheet name="Costo Empaque " sheetId="12" state="hidden" r:id="rId8"/>
  </sheets>
  <externalReferences>
    <externalReference r:id="rId9"/>
    <externalReference r:id="rId10"/>
  </externalReferences>
  <definedNames>
    <definedName name="_xlnm.Print_Area" localSheetId="6">Hoja1!$A$1:$I$50</definedName>
    <definedName name="_xlnm.Print_Area" localSheetId="0">Premezcla!$A$1:$I$46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4" l="1"/>
  <c r="J11" i="14"/>
  <c r="J10" i="14"/>
  <c r="D73" i="9"/>
  <c r="D74" i="9"/>
  <c r="D71" i="9"/>
  <c r="D69" i="9"/>
  <c r="F65" i="9"/>
  <c r="C73" i="9"/>
  <c r="D60" i="9"/>
  <c r="D85" i="9"/>
  <c r="D86" i="9"/>
  <c r="C51" i="9"/>
  <c r="E50" i="9"/>
  <c r="F50" i="9"/>
  <c r="D50" i="9"/>
  <c r="B50" i="9"/>
  <c r="E49" i="9"/>
  <c r="D49" i="9"/>
  <c r="B49" i="9"/>
  <c r="E48" i="9"/>
  <c r="D48" i="9"/>
  <c r="B48" i="9"/>
  <c r="E47" i="9"/>
  <c r="F47" i="9"/>
  <c r="D47" i="9"/>
  <c r="B47" i="9"/>
  <c r="E46" i="9"/>
  <c r="D46" i="9"/>
  <c r="B46" i="9"/>
  <c r="E45" i="9"/>
  <c r="D45" i="9"/>
  <c r="B45" i="9"/>
  <c r="E41" i="9"/>
  <c r="D41" i="9"/>
  <c r="B41" i="9"/>
  <c r="A41" i="9"/>
  <c r="C41" i="9"/>
  <c r="E40" i="9"/>
  <c r="F40" i="9"/>
  <c r="D40" i="9"/>
  <c r="B40" i="9"/>
  <c r="A40" i="9"/>
  <c r="C40" i="9"/>
  <c r="E39" i="9"/>
  <c r="D39" i="9"/>
  <c r="C39" i="9"/>
  <c r="B39" i="9"/>
  <c r="A39" i="9"/>
  <c r="A48" i="9"/>
  <c r="C48" i="9"/>
  <c r="F48" i="9"/>
  <c r="E38" i="9"/>
  <c r="F38" i="9"/>
  <c r="D38" i="9"/>
  <c r="B38" i="9"/>
  <c r="A38" i="9"/>
  <c r="C38" i="9"/>
  <c r="E37" i="9"/>
  <c r="D37" i="9"/>
  <c r="B37" i="9"/>
  <c r="A37" i="9"/>
  <c r="C37" i="9"/>
  <c r="E36" i="9"/>
  <c r="D36" i="9"/>
  <c r="B36" i="9"/>
  <c r="A36" i="9"/>
  <c r="C36" i="9"/>
  <c r="A35" i="9"/>
  <c r="A44" i="9"/>
  <c r="C44" i="9"/>
  <c r="E32" i="9"/>
  <c r="F32" i="9"/>
  <c r="D32" i="9"/>
  <c r="C32" i="9"/>
  <c r="B32" i="9"/>
  <c r="E31" i="9"/>
  <c r="F31" i="9"/>
  <c r="D31" i="9"/>
  <c r="C31" i="9"/>
  <c r="B31" i="9"/>
  <c r="E30" i="9"/>
  <c r="F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4" i="9"/>
  <c r="F24" i="9"/>
  <c r="D24" i="9"/>
  <c r="C24" i="9"/>
  <c r="B24" i="9"/>
  <c r="E23" i="9"/>
  <c r="F23" i="9"/>
  <c r="D23" i="9"/>
  <c r="C23" i="9"/>
  <c r="B23" i="9"/>
  <c r="E22" i="9"/>
  <c r="F22" i="9"/>
  <c r="D22" i="9"/>
  <c r="C22" i="9"/>
  <c r="B22" i="9"/>
  <c r="E21" i="9"/>
  <c r="F21" i="9"/>
  <c r="D21" i="9"/>
  <c r="C21" i="9"/>
  <c r="B21" i="9"/>
  <c r="E20" i="9"/>
  <c r="D20" i="9"/>
  <c r="C20" i="9"/>
  <c r="B20" i="9"/>
  <c r="E19" i="9"/>
  <c r="F19" i="9"/>
  <c r="D19" i="9"/>
  <c r="C19" i="9"/>
  <c r="B19" i="9"/>
  <c r="E18" i="9"/>
  <c r="F18" i="9"/>
  <c r="D18" i="9"/>
  <c r="C18" i="9"/>
  <c r="B18" i="9"/>
  <c r="F17" i="9"/>
  <c r="C17" i="9"/>
  <c r="B15" i="9"/>
  <c r="D14" i="9"/>
  <c r="C14" i="9"/>
  <c r="B14" i="9"/>
  <c r="E13" i="9"/>
  <c r="F13" i="9"/>
  <c r="D13" i="9"/>
  <c r="C13" i="9"/>
  <c r="B13" i="9"/>
  <c r="C12" i="9"/>
  <c r="D11" i="9"/>
  <c r="C11" i="9"/>
  <c r="B11" i="9"/>
  <c r="D10" i="9"/>
  <c r="C10" i="9"/>
  <c r="B10" i="9"/>
  <c r="C9" i="9"/>
  <c r="C8" i="9"/>
  <c r="H6" i="9"/>
  <c r="D73" i="11"/>
  <c r="D74" i="11"/>
  <c r="D76" i="11"/>
  <c r="D71" i="11"/>
  <c r="D69" i="11"/>
  <c r="F65" i="11"/>
  <c r="C73" i="11"/>
  <c r="D60" i="11"/>
  <c r="D85" i="11"/>
  <c r="D86" i="11"/>
  <c r="C51" i="11"/>
  <c r="E50" i="11"/>
  <c r="F50" i="11"/>
  <c r="D50" i="11"/>
  <c r="B50" i="11"/>
  <c r="E49" i="11"/>
  <c r="D49" i="11"/>
  <c r="B49" i="11"/>
  <c r="E48" i="11"/>
  <c r="F48" i="11"/>
  <c r="D48" i="11"/>
  <c r="B48" i="11"/>
  <c r="E47" i="11"/>
  <c r="D47" i="11"/>
  <c r="B47" i="11"/>
  <c r="E46" i="11"/>
  <c r="F46" i="11"/>
  <c r="D46" i="11"/>
  <c r="B46" i="11"/>
  <c r="E45" i="11"/>
  <c r="F45" i="11"/>
  <c r="D45" i="11"/>
  <c r="B45" i="11"/>
  <c r="E41" i="11"/>
  <c r="D41" i="11"/>
  <c r="B41" i="11"/>
  <c r="A41" i="11"/>
  <c r="C41" i="11"/>
  <c r="E40" i="11"/>
  <c r="D40" i="11"/>
  <c r="B40" i="11"/>
  <c r="A40" i="11"/>
  <c r="C40" i="11"/>
  <c r="E39" i="11"/>
  <c r="F39" i="11"/>
  <c r="D39" i="11"/>
  <c r="C39" i="11"/>
  <c r="B39" i="11"/>
  <c r="A39" i="11"/>
  <c r="A48" i="11"/>
  <c r="C48" i="11"/>
  <c r="E38" i="11"/>
  <c r="D38" i="11"/>
  <c r="C38" i="11"/>
  <c r="B38" i="11"/>
  <c r="A38" i="11"/>
  <c r="A47" i="11"/>
  <c r="C47" i="11"/>
  <c r="E37" i="11"/>
  <c r="F37" i="11"/>
  <c r="D37" i="11"/>
  <c r="B37" i="11"/>
  <c r="A37" i="11"/>
  <c r="C37" i="11"/>
  <c r="E36" i="11"/>
  <c r="F36" i="11"/>
  <c r="D36" i="11"/>
  <c r="B36" i="11"/>
  <c r="A36" i="11"/>
  <c r="C36" i="11"/>
  <c r="C35" i="11"/>
  <c r="A35" i="11"/>
  <c r="A44" i="11"/>
  <c r="C44" i="11"/>
  <c r="E32" i="11"/>
  <c r="F32" i="11"/>
  <c r="D32" i="11"/>
  <c r="C32" i="11"/>
  <c r="B32" i="11"/>
  <c r="E31" i="11"/>
  <c r="D31" i="11"/>
  <c r="C31" i="11"/>
  <c r="B31" i="11"/>
  <c r="E30" i="11"/>
  <c r="D30" i="11"/>
  <c r="C30" i="11"/>
  <c r="B30" i="11"/>
  <c r="D29" i="11"/>
  <c r="C29" i="11"/>
  <c r="B29" i="11"/>
  <c r="E28" i="11"/>
  <c r="F28" i="11"/>
  <c r="D28" i="11"/>
  <c r="C28" i="11"/>
  <c r="B28" i="11"/>
  <c r="E27" i="11"/>
  <c r="D27" i="11"/>
  <c r="C27" i="11"/>
  <c r="B27" i="11"/>
  <c r="E24" i="11"/>
  <c r="F24" i="11"/>
  <c r="D24" i="11"/>
  <c r="C24" i="11"/>
  <c r="B24" i="11"/>
  <c r="E23" i="11"/>
  <c r="F23" i="11"/>
  <c r="D23" i="11"/>
  <c r="C23" i="11"/>
  <c r="B23" i="11"/>
  <c r="E22" i="11"/>
  <c r="F22" i="11"/>
  <c r="D22" i="11"/>
  <c r="C22" i="11"/>
  <c r="B22" i="11"/>
  <c r="E21" i="11"/>
  <c r="F21" i="11"/>
  <c r="D21" i="11"/>
  <c r="C21" i="11"/>
  <c r="B21" i="11"/>
  <c r="E20" i="11"/>
  <c r="F20" i="11"/>
  <c r="D20" i="11"/>
  <c r="C20" i="11"/>
  <c r="B20" i="11"/>
  <c r="E19" i="11"/>
  <c r="F19" i="11"/>
  <c r="D19" i="11"/>
  <c r="C19" i="11"/>
  <c r="B19" i="11"/>
  <c r="E18" i="11"/>
  <c r="F18" i="11"/>
  <c r="D18" i="11"/>
  <c r="C18" i="11"/>
  <c r="B18" i="11"/>
  <c r="C17" i="11"/>
  <c r="B15" i="11"/>
  <c r="E14" i="11"/>
  <c r="F14" i="11"/>
  <c r="D14" i="11"/>
  <c r="C14" i="11"/>
  <c r="B14" i="11"/>
  <c r="E13" i="11"/>
  <c r="F13" i="11"/>
  <c r="D13" i="11"/>
  <c r="C13" i="11"/>
  <c r="B13" i="11"/>
  <c r="E12" i="11"/>
  <c r="F12" i="11"/>
  <c r="D12" i="11"/>
  <c r="C12" i="11"/>
  <c r="B12" i="11"/>
  <c r="E11" i="11"/>
  <c r="F11" i="11"/>
  <c r="D11" i="11"/>
  <c r="C11" i="11"/>
  <c r="B11" i="11"/>
  <c r="E10" i="11"/>
  <c r="F10" i="11"/>
  <c r="D10" i="11"/>
  <c r="C10" i="11"/>
  <c r="B10" i="11"/>
  <c r="F9" i="11"/>
  <c r="D9" i="11"/>
  <c r="C9" i="11"/>
  <c r="B9" i="11"/>
  <c r="D8" i="11"/>
  <c r="C8" i="11"/>
  <c r="B8" i="11"/>
  <c r="H6" i="11"/>
  <c r="D73" i="10"/>
  <c r="D74" i="10"/>
  <c r="D76" i="10"/>
  <c r="D71" i="10"/>
  <c r="D69" i="10"/>
  <c r="F65" i="10"/>
  <c r="C73" i="10"/>
  <c r="D60" i="10"/>
  <c r="D85" i="10"/>
  <c r="C51" i="10"/>
  <c r="E50" i="10"/>
  <c r="D50" i="10"/>
  <c r="B50" i="10"/>
  <c r="E49" i="10"/>
  <c r="F49" i="10"/>
  <c r="D49" i="10"/>
  <c r="B49" i="10"/>
  <c r="E48" i="10"/>
  <c r="D48" i="10"/>
  <c r="B48" i="10"/>
  <c r="E47" i="10"/>
  <c r="F47" i="10"/>
  <c r="D47" i="10"/>
  <c r="B47" i="10"/>
  <c r="E46" i="10"/>
  <c r="F46" i="10"/>
  <c r="D46" i="10"/>
  <c r="B46" i="10"/>
  <c r="E45" i="10"/>
  <c r="F45" i="10"/>
  <c r="D45" i="10"/>
  <c r="B45" i="10"/>
  <c r="E41" i="10"/>
  <c r="F41" i="10"/>
  <c r="D41" i="10"/>
  <c r="B41" i="10"/>
  <c r="A41" i="10"/>
  <c r="C41" i="10"/>
  <c r="E40" i="10"/>
  <c r="F40" i="10"/>
  <c r="D40" i="10"/>
  <c r="B40" i="10"/>
  <c r="A40" i="10"/>
  <c r="C40" i="10"/>
  <c r="E39" i="10"/>
  <c r="F39" i="10"/>
  <c r="D39" i="10"/>
  <c r="B39" i="10"/>
  <c r="A39" i="10"/>
  <c r="A48" i="10"/>
  <c r="C48" i="10"/>
  <c r="E38" i="10"/>
  <c r="D38" i="10"/>
  <c r="C38" i="10"/>
  <c r="B38" i="10"/>
  <c r="A38" i="10"/>
  <c r="A47" i="10"/>
  <c r="C47" i="10"/>
  <c r="E37" i="10"/>
  <c r="F37" i="10"/>
  <c r="D37" i="10"/>
  <c r="B37" i="10"/>
  <c r="A37" i="10"/>
  <c r="C37" i="10"/>
  <c r="E36" i="10"/>
  <c r="F36" i="10"/>
  <c r="D36" i="10"/>
  <c r="B36" i="10"/>
  <c r="A36" i="10"/>
  <c r="C36" i="10"/>
  <c r="A35" i="10"/>
  <c r="C35" i="10"/>
  <c r="A44" i="10"/>
  <c r="C44" i="10"/>
  <c r="E32" i="10"/>
  <c r="F32" i="10"/>
  <c r="D32" i="10"/>
  <c r="C32" i="10"/>
  <c r="B32" i="10"/>
  <c r="E31" i="10"/>
  <c r="F31" i="10"/>
  <c r="D31" i="10"/>
  <c r="C31" i="10"/>
  <c r="B31" i="10"/>
  <c r="E30" i="10"/>
  <c r="F30" i="10"/>
  <c r="D30" i="10"/>
  <c r="C30" i="10"/>
  <c r="B30" i="10"/>
  <c r="E29" i="10"/>
  <c r="F29" i="10"/>
  <c r="D29" i="10"/>
  <c r="C29" i="10"/>
  <c r="B29" i="10"/>
  <c r="E28" i="10"/>
  <c r="F28" i="10"/>
  <c r="D28" i="10"/>
  <c r="C28" i="10"/>
  <c r="B28" i="10"/>
  <c r="E27" i="10"/>
  <c r="F27" i="10"/>
  <c r="D27" i="10"/>
  <c r="C27" i="10"/>
  <c r="B27" i="10"/>
  <c r="E24" i="10"/>
  <c r="F24" i="10"/>
  <c r="D24" i="10"/>
  <c r="C24" i="10"/>
  <c r="B24" i="10"/>
  <c r="E23" i="10"/>
  <c r="D23" i="10"/>
  <c r="C23" i="10"/>
  <c r="B23" i="10"/>
  <c r="E22" i="10"/>
  <c r="F22" i="10"/>
  <c r="D22" i="10"/>
  <c r="C22" i="10"/>
  <c r="B22" i="10"/>
  <c r="E21" i="10"/>
  <c r="F21" i="10"/>
  <c r="D21" i="10"/>
  <c r="C21" i="10"/>
  <c r="B21" i="10"/>
  <c r="E20" i="10"/>
  <c r="F20" i="10"/>
  <c r="D20" i="10"/>
  <c r="C20" i="10"/>
  <c r="B20" i="10"/>
  <c r="E19" i="10"/>
  <c r="F19" i="10"/>
  <c r="D19" i="10"/>
  <c r="C19" i="10"/>
  <c r="B19" i="10"/>
  <c r="E18" i="10"/>
  <c r="F18" i="10"/>
  <c r="D18" i="10"/>
  <c r="C18" i="10"/>
  <c r="B18" i="10"/>
  <c r="C17" i="10"/>
  <c r="B15" i="10"/>
  <c r="D14" i="10"/>
  <c r="C14" i="10"/>
  <c r="F14" i="10"/>
  <c r="B14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E8" i="10"/>
  <c r="F8" i="10"/>
  <c r="D8" i="10"/>
  <c r="C8" i="10"/>
  <c r="B8" i="10"/>
  <c r="H6" i="10"/>
  <c r="D73" i="12"/>
  <c r="D74" i="12"/>
  <c r="D76" i="12"/>
  <c r="D71" i="12"/>
  <c r="D69" i="12"/>
  <c r="F65" i="12"/>
  <c r="C73" i="12"/>
  <c r="D60" i="12"/>
  <c r="D85" i="12"/>
  <c r="D86" i="12"/>
  <c r="C51" i="12"/>
  <c r="E50" i="12"/>
  <c r="D50" i="12"/>
  <c r="B50" i="12"/>
  <c r="E49" i="12"/>
  <c r="D49" i="12"/>
  <c r="B49" i="12"/>
  <c r="A49" i="12"/>
  <c r="C49" i="12"/>
  <c r="E48" i="12"/>
  <c r="F48" i="12"/>
  <c r="D48" i="12"/>
  <c r="B48" i="12"/>
  <c r="E47" i="12"/>
  <c r="F47" i="12"/>
  <c r="D47" i="12"/>
  <c r="B47" i="12"/>
  <c r="E46" i="12"/>
  <c r="F46" i="12"/>
  <c r="D46" i="12"/>
  <c r="B46" i="12"/>
  <c r="E41" i="12"/>
  <c r="F41" i="12"/>
  <c r="D41" i="12"/>
  <c r="B41" i="12"/>
  <c r="A41" i="12"/>
  <c r="A50" i="12"/>
  <c r="C50" i="12"/>
  <c r="E40" i="12"/>
  <c r="D40" i="12"/>
  <c r="C40" i="12"/>
  <c r="B40" i="12"/>
  <c r="A40" i="12"/>
  <c r="E39" i="12"/>
  <c r="F39" i="12"/>
  <c r="D39" i="12"/>
  <c r="B39" i="12"/>
  <c r="A39" i="12"/>
  <c r="C39" i="12"/>
  <c r="E38" i="12"/>
  <c r="F38" i="12"/>
  <c r="D38" i="12"/>
  <c r="B38" i="12"/>
  <c r="A38" i="12"/>
  <c r="C38" i="12"/>
  <c r="E37" i="12"/>
  <c r="D37" i="12"/>
  <c r="C37" i="12"/>
  <c r="B37" i="12"/>
  <c r="A37" i="12"/>
  <c r="A46" i="12"/>
  <c r="C46" i="12"/>
  <c r="A36" i="12"/>
  <c r="C36" i="12"/>
  <c r="A35" i="12"/>
  <c r="C35" i="12"/>
  <c r="E32" i="12"/>
  <c r="D32" i="12"/>
  <c r="C32" i="12"/>
  <c r="B32" i="12"/>
  <c r="E31" i="12"/>
  <c r="F31" i="12"/>
  <c r="D31" i="12"/>
  <c r="C31" i="12"/>
  <c r="B31" i="12"/>
  <c r="E30" i="12"/>
  <c r="F30" i="12"/>
  <c r="D30" i="12"/>
  <c r="C30" i="12"/>
  <c r="B30" i="12"/>
  <c r="E29" i="12"/>
  <c r="F29" i="12"/>
  <c r="D29" i="12"/>
  <c r="C29" i="12"/>
  <c r="B29" i="12"/>
  <c r="E28" i="12"/>
  <c r="F28" i="12"/>
  <c r="D28" i="12"/>
  <c r="C28" i="12"/>
  <c r="B28" i="12"/>
  <c r="E27" i="12"/>
  <c r="F27" i="12"/>
  <c r="D27" i="12"/>
  <c r="C27" i="12"/>
  <c r="B27" i="12"/>
  <c r="E24" i="12"/>
  <c r="F24" i="12"/>
  <c r="D24" i="12"/>
  <c r="C24" i="12"/>
  <c r="B24" i="12"/>
  <c r="E23" i="12"/>
  <c r="F23" i="12"/>
  <c r="D23" i="12"/>
  <c r="C23" i="12"/>
  <c r="B23" i="12"/>
  <c r="E22" i="12"/>
  <c r="F22" i="12"/>
  <c r="D22" i="12"/>
  <c r="C22" i="12"/>
  <c r="B22" i="12"/>
  <c r="E21" i="12"/>
  <c r="F21" i="12"/>
  <c r="D21" i="12"/>
  <c r="C21" i="12"/>
  <c r="B21" i="12"/>
  <c r="E20" i="12"/>
  <c r="F20" i="12"/>
  <c r="D20" i="12"/>
  <c r="C20" i="12"/>
  <c r="B20" i="12"/>
  <c r="E19" i="12"/>
  <c r="F19" i="12"/>
  <c r="D19" i="12"/>
  <c r="C19" i="12"/>
  <c r="B19" i="12"/>
  <c r="C18" i="12"/>
  <c r="C17" i="12"/>
  <c r="B15" i="12"/>
  <c r="E14" i="12"/>
  <c r="F14" i="12"/>
  <c r="D14" i="12"/>
  <c r="C14" i="12"/>
  <c r="B14" i="12"/>
  <c r="E13" i="12"/>
  <c r="F13" i="12"/>
  <c r="D13" i="12"/>
  <c r="C13" i="12"/>
  <c r="B13" i="12"/>
  <c r="E12" i="12"/>
  <c r="F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D8" i="12"/>
  <c r="C8" i="12"/>
  <c r="B8" i="12"/>
  <c r="H6" i="12"/>
  <c r="C22" i="8"/>
  <c r="C24" i="6"/>
  <c r="D33" i="5"/>
  <c r="D31" i="5"/>
  <c r="D81" i="12"/>
  <c r="D83" i="12"/>
  <c r="F50" i="12"/>
  <c r="C41" i="12"/>
  <c r="F40" i="12"/>
  <c r="F10" i="12"/>
  <c r="F8" i="12"/>
  <c r="A45" i="12"/>
  <c r="C45" i="12"/>
  <c r="F36" i="12"/>
  <c r="F45" i="12"/>
  <c r="F18" i="12"/>
  <c r="D81" i="11"/>
  <c r="D83" i="11"/>
  <c r="F31" i="11"/>
  <c r="F38" i="11"/>
  <c r="F47" i="11"/>
  <c r="F30" i="11"/>
  <c r="F29" i="11"/>
  <c r="F27" i="11"/>
  <c r="F8" i="11"/>
  <c r="F20" i="9"/>
  <c r="F37" i="12"/>
  <c r="F9" i="12"/>
  <c r="F11" i="12"/>
  <c r="F32" i="12"/>
  <c r="D81" i="10"/>
  <c r="D83" i="10"/>
  <c r="F48" i="10"/>
  <c r="F38" i="10"/>
  <c r="C39" i="10"/>
  <c r="F23" i="10"/>
  <c r="F9" i="10"/>
  <c r="F11" i="10"/>
  <c r="F13" i="10"/>
  <c r="F12" i="10"/>
  <c r="F10" i="10"/>
  <c r="D81" i="9"/>
  <c r="D83" i="9"/>
  <c r="A47" i="9"/>
  <c r="C47" i="9"/>
  <c r="F39" i="9"/>
  <c r="F41" i="9"/>
  <c r="F36" i="9"/>
  <c r="F37" i="9"/>
  <c r="F29" i="9"/>
  <c r="F28" i="9"/>
  <c r="F27" i="9"/>
  <c r="F54" i="9"/>
  <c r="F14" i="9"/>
  <c r="C35" i="9"/>
  <c r="F35" i="9"/>
  <c r="F44" i="9"/>
  <c r="F9" i="9"/>
  <c r="F11" i="9"/>
  <c r="F8" i="9"/>
  <c r="F10" i="9"/>
  <c r="F12" i="9"/>
  <c r="C85" i="9"/>
  <c r="E85" i="9"/>
  <c r="E73" i="9"/>
  <c r="A46" i="9"/>
  <c r="C46" i="9"/>
  <c r="F46" i="9"/>
  <c r="A50" i="9"/>
  <c r="C50" i="9"/>
  <c r="E51" i="9"/>
  <c r="F51" i="9"/>
  <c r="A45" i="9"/>
  <c r="C45" i="9"/>
  <c r="F45" i="9"/>
  <c r="A49" i="9"/>
  <c r="C49" i="9"/>
  <c r="F49" i="9"/>
  <c r="E73" i="11"/>
  <c r="C85" i="11"/>
  <c r="E85" i="11"/>
  <c r="F51" i="11"/>
  <c r="F40" i="11"/>
  <c r="F41" i="11"/>
  <c r="E51" i="11"/>
  <c r="A46" i="11"/>
  <c r="C46" i="11"/>
  <c r="A50" i="11"/>
  <c r="C50" i="11"/>
  <c r="A45" i="11"/>
  <c r="C45" i="11"/>
  <c r="A49" i="11"/>
  <c r="C49" i="11"/>
  <c r="F49" i="11"/>
  <c r="C85" i="10"/>
  <c r="E73" i="10"/>
  <c r="A46" i="10"/>
  <c r="C46" i="10"/>
  <c r="A50" i="10"/>
  <c r="C50" i="10"/>
  <c r="F50" i="10"/>
  <c r="E51" i="10"/>
  <c r="F51" i="10"/>
  <c r="A45" i="10"/>
  <c r="C45" i="10"/>
  <c r="A49" i="10"/>
  <c r="C49" i="10"/>
  <c r="C85" i="12"/>
  <c r="E85" i="12"/>
  <c r="E73" i="12"/>
  <c r="F49" i="12"/>
  <c r="A44" i="12"/>
  <c r="C44" i="12"/>
  <c r="A48" i="12"/>
  <c r="C48" i="12"/>
  <c r="A47" i="12"/>
  <c r="C47" i="12"/>
  <c r="E51" i="12"/>
  <c r="F51" i="12"/>
  <c r="E85" i="10"/>
  <c r="D86" i="10"/>
  <c r="D76" i="9"/>
  <c r="C76" i="9"/>
  <c r="E76" i="9"/>
  <c r="E35" i="10"/>
  <c r="F35" i="10"/>
  <c r="F54" i="10"/>
  <c r="H54" i="9"/>
  <c r="G2" i="9"/>
  <c r="F56" i="9"/>
  <c r="F53" i="9"/>
  <c r="C76" i="10"/>
  <c r="E76" i="10"/>
  <c r="E35" i="11"/>
  <c r="F35" i="11"/>
  <c r="H54" i="10"/>
  <c r="G2" i="10"/>
  <c r="C74" i="9"/>
  <c r="H56" i="9"/>
  <c r="F55" i="9"/>
  <c r="F64" i="9"/>
  <c r="C69" i="9"/>
  <c r="H53" i="9"/>
  <c r="F2" i="9"/>
  <c r="E69" i="9"/>
  <c r="C81" i="9"/>
  <c r="E81" i="9"/>
  <c r="C86" i="9"/>
  <c r="E86" i="9"/>
  <c r="E74" i="9"/>
  <c r="E44" i="10"/>
  <c r="F44" i="10"/>
  <c r="O54" i="9"/>
  <c r="F63" i="9"/>
  <c r="H55" i="9"/>
  <c r="F54" i="11"/>
  <c r="H2" i="9"/>
  <c r="O55" i="9"/>
  <c r="F56" i="10"/>
  <c r="H54" i="11"/>
  <c r="C76" i="11"/>
  <c r="E76" i="11"/>
  <c r="F66" i="9"/>
  <c r="G63" i="9"/>
  <c r="E63" i="9"/>
  <c r="C71" i="9"/>
  <c r="O56" i="9"/>
  <c r="O57" i="9"/>
  <c r="O58" i="9"/>
  <c r="O59" i="9"/>
  <c r="E78" i="9"/>
  <c r="E17" i="10"/>
  <c r="F17" i="10"/>
  <c r="O60" i="9"/>
  <c r="O61" i="9"/>
  <c r="O62" i="9"/>
  <c r="G2" i="11"/>
  <c r="E35" i="12"/>
  <c r="F35" i="12"/>
  <c r="E71" i="9"/>
  <c r="C83" i="9"/>
  <c r="E83" i="9"/>
  <c r="F53" i="10"/>
  <c r="G24" i="9"/>
  <c r="G14" i="9"/>
  <c r="G29" i="9"/>
  <c r="G17" i="9"/>
  <c r="G12" i="9"/>
  <c r="G45" i="9"/>
  <c r="G11" i="9"/>
  <c r="G35" i="9"/>
  <c r="G13" i="9"/>
  <c r="G8" i="9"/>
  <c r="G40" i="9"/>
  <c r="G32" i="9"/>
  <c r="G46" i="9"/>
  <c r="G66" i="9"/>
  <c r="G10" i="9"/>
  <c r="G48" i="9"/>
  <c r="G51" i="9"/>
  <c r="G27" i="9"/>
  <c r="G65" i="9"/>
  <c r="G36" i="9"/>
  <c r="G44" i="9"/>
  <c r="G9" i="9"/>
  <c r="G20" i="9"/>
  <c r="G28" i="9"/>
  <c r="G41" i="9"/>
  <c r="G21" i="9"/>
  <c r="G22" i="9"/>
  <c r="G31" i="9"/>
  <c r="G38" i="9"/>
  <c r="G18" i="9"/>
  <c r="G47" i="9"/>
  <c r="G19" i="9"/>
  <c r="G50" i="9"/>
  <c r="G54" i="9"/>
  <c r="G23" i="9"/>
  <c r="G49" i="9"/>
  <c r="G37" i="9"/>
  <c r="G39" i="9"/>
  <c r="G30" i="9"/>
  <c r="G56" i="9"/>
  <c r="G53" i="9"/>
  <c r="G55" i="9"/>
  <c r="G64" i="9"/>
  <c r="H56" i="10"/>
  <c r="C74" i="10"/>
  <c r="C86" i="10"/>
  <c r="E86" i="10"/>
  <c r="E74" i="10"/>
  <c r="E44" i="11"/>
  <c r="F44" i="11"/>
  <c r="H2" i="10"/>
  <c r="O55" i="10"/>
  <c r="F54" i="12"/>
  <c r="F64" i="10"/>
  <c r="H53" i="10"/>
  <c r="F2" i="10"/>
  <c r="C69" i="10"/>
  <c r="F55" i="10"/>
  <c r="P62" i="9"/>
  <c r="E2" i="9"/>
  <c r="F63" i="10"/>
  <c r="H55" i="10"/>
  <c r="O54" i="10"/>
  <c r="C81" i="10"/>
  <c r="E81" i="10"/>
  <c r="E69" i="10"/>
  <c r="C76" i="12"/>
  <c r="E76" i="12"/>
  <c r="H54" i="12"/>
  <c r="G2" i="12"/>
  <c r="F56" i="11"/>
  <c r="C74" i="11"/>
  <c r="H56" i="11"/>
  <c r="O56" i="10"/>
  <c r="O58" i="10"/>
  <c r="O57" i="10"/>
  <c r="O59" i="10"/>
  <c r="E17" i="11"/>
  <c r="F17" i="11"/>
  <c r="E78" i="10"/>
  <c r="E63" i="10"/>
  <c r="C71" i="10"/>
  <c r="F66" i="10"/>
  <c r="F53" i="11"/>
  <c r="G29" i="10"/>
  <c r="G45" i="10"/>
  <c r="G51" i="10"/>
  <c r="G13" i="10"/>
  <c r="G12" i="10"/>
  <c r="G65" i="10"/>
  <c r="G23" i="10"/>
  <c r="G66" i="10"/>
  <c r="G36" i="10"/>
  <c r="G28" i="10"/>
  <c r="G9" i="10"/>
  <c r="G30" i="10"/>
  <c r="G48" i="10"/>
  <c r="G10" i="10"/>
  <c r="G14" i="10"/>
  <c r="G11" i="10"/>
  <c r="G21" i="10"/>
  <c r="G38" i="10"/>
  <c r="G47" i="10"/>
  <c r="G31" i="10"/>
  <c r="G18" i="10"/>
  <c r="G19" i="10"/>
  <c r="G50" i="10"/>
  <c r="G20" i="10"/>
  <c r="G32" i="10"/>
  <c r="G8" i="10"/>
  <c r="G40" i="10"/>
  <c r="G37" i="10"/>
  <c r="G39" i="10"/>
  <c r="G41" i="10"/>
  <c r="G49" i="10"/>
  <c r="G46" i="10"/>
  <c r="G22" i="10"/>
  <c r="G27" i="10"/>
  <c r="G24" i="10"/>
  <c r="G54" i="10"/>
  <c r="G35" i="10"/>
  <c r="G44" i="10"/>
  <c r="G56" i="10"/>
  <c r="G17" i="10"/>
  <c r="G53" i="10"/>
  <c r="G55" i="10"/>
  <c r="G64" i="10"/>
  <c r="G63" i="10"/>
  <c r="O60" i="10"/>
  <c r="O61" i="10"/>
  <c r="O62" i="10"/>
  <c r="E74" i="11"/>
  <c r="C86" i="11"/>
  <c r="E86" i="11"/>
  <c r="E71" i="10"/>
  <c r="C83" i="10"/>
  <c r="E83" i="10"/>
  <c r="E44" i="12"/>
  <c r="F44" i="12"/>
  <c r="O55" i="11"/>
  <c r="H2" i="11"/>
  <c r="P62" i="10"/>
  <c r="E2" i="10"/>
  <c r="F56" i="12"/>
  <c r="F64" i="11"/>
  <c r="F55" i="11"/>
  <c r="H53" i="11"/>
  <c r="C69" i="11"/>
  <c r="E17" i="12"/>
  <c r="F17" i="12"/>
  <c r="F2" i="11"/>
  <c r="E69" i="11"/>
  <c r="E78" i="11"/>
  <c r="C81" i="11"/>
  <c r="E81" i="11"/>
  <c r="H55" i="11"/>
  <c r="O54" i="11"/>
  <c r="F63" i="11"/>
  <c r="H56" i="12"/>
  <c r="H2" i="12"/>
  <c r="C74" i="12"/>
  <c r="F58" i="12"/>
  <c r="F59" i="12"/>
  <c r="O55" i="12"/>
  <c r="E74" i="12"/>
  <c r="C86" i="12"/>
  <c r="E86" i="12"/>
  <c r="O56" i="11"/>
  <c r="O57" i="11"/>
  <c r="O58" i="11"/>
  <c r="O59" i="11"/>
  <c r="F53" i="12"/>
  <c r="F66" i="11"/>
  <c r="G63" i="11"/>
  <c r="E63" i="11"/>
  <c r="C71" i="11"/>
  <c r="O60" i="11"/>
  <c r="O61" i="11"/>
  <c r="O62" i="11"/>
  <c r="F64" i="12"/>
  <c r="H53" i="12"/>
  <c r="F2" i="12"/>
  <c r="F55" i="12"/>
  <c r="C69" i="12"/>
  <c r="C83" i="11"/>
  <c r="E83" i="11"/>
  <c r="E71" i="11"/>
  <c r="G8" i="11"/>
  <c r="G50" i="11"/>
  <c r="G10" i="11"/>
  <c r="G36" i="11"/>
  <c r="G9" i="11"/>
  <c r="G29" i="11"/>
  <c r="G51" i="11"/>
  <c r="G31" i="11"/>
  <c r="G49" i="11"/>
  <c r="G66" i="11"/>
  <c r="G40" i="11"/>
  <c r="G38" i="11"/>
  <c r="G65" i="11"/>
  <c r="G30" i="11"/>
  <c r="G32" i="11"/>
  <c r="G41" i="11"/>
  <c r="G24" i="11"/>
  <c r="G27" i="11"/>
  <c r="G37" i="11"/>
  <c r="G22" i="11"/>
  <c r="G14" i="11"/>
  <c r="G28" i="11"/>
  <c r="G23" i="11"/>
  <c r="G11" i="11"/>
  <c r="G46" i="11"/>
  <c r="G39" i="11"/>
  <c r="G19" i="11"/>
  <c r="G48" i="11"/>
  <c r="G12" i="11"/>
  <c r="G45" i="11"/>
  <c r="G21" i="11"/>
  <c r="G13" i="11"/>
  <c r="G20" i="11"/>
  <c r="G18" i="11"/>
  <c r="G47" i="11"/>
  <c r="G35" i="11"/>
  <c r="G54" i="11"/>
  <c r="G44" i="11"/>
  <c r="G56" i="11"/>
  <c r="G17" i="11"/>
  <c r="G53" i="11"/>
  <c r="G64" i="11"/>
  <c r="G55" i="11"/>
  <c r="C81" i="12"/>
  <c r="E81" i="12"/>
  <c r="E69" i="12"/>
  <c r="E78" i="12"/>
  <c r="O54" i="12"/>
  <c r="H55" i="12"/>
  <c r="F63" i="12"/>
  <c r="E2" i="11"/>
  <c r="P62" i="11"/>
  <c r="O56" i="12"/>
  <c r="O57" i="12"/>
  <c r="O59" i="12"/>
  <c r="C71" i="12"/>
  <c r="F66" i="12"/>
  <c r="E63" i="12"/>
  <c r="O60" i="12"/>
  <c r="O61" i="12"/>
  <c r="O62" i="12"/>
  <c r="G65" i="12"/>
  <c r="G10" i="12"/>
  <c r="G32" i="12"/>
  <c r="G36" i="12"/>
  <c r="G18" i="12"/>
  <c r="G8" i="12"/>
  <c r="G22" i="12"/>
  <c r="G51" i="12"/>
  <c r="G50" i="12"/>
  <c r="G45" i="12"/>
  <c r="G40" i="12"/>
  <c r="G66" i="12"/>
  <c r="G30" i="12"/>
  <c r="G28" i="12"/>
  <c r="G31" i="12"/>
  <c r="G29" i="12"/>
  <c r="G48" i="12"/>
  <c r="G20" i="12"/>
  <c r="G37" i="12"/>
  <c r="G21" i="12"/>
  <c r="G9" i="12"/>
  <c r="G39" i="12"/>
  <c r="G41" i="12"/>
  <c r="G23" i="12"/>
  <c r="G24" i="12"/>
  <c r="G14" i="12"/>
  <c r="G12" i="12"/>
  <c r="G47" i="12"/>
  <c r="G46" i="12"/>
  <c r="G38" i="12"/>
  <c r="G49" i="12"/>
  <c r="G11" i="12"/>
  <c r="G19" i="12"/>
  <c r="G13" i="12"/>
  <c r="G27" i="12"/>
  <c r="G35" i="12"/>
  <c r="G54" i="12"/>
  <c r="G44" i="12"/>
  <c r="G56" i="12"/>
  <c r="G17" i="12"/>
  <c r="G53" i="12"/>
  <c r="G64" i="12"/>
  <c r="G55" i="12"/>
  <c r="C83" i="12"/>
  <c r="E83" i="12"/>
  <c r="E71" i="12"/>
  <c r="G63" i="12"/>
  <c r="E2" i="12"/>
  <c r="O64" i="12"/>
  <c r="O65" i="12"/>
  <c r="P62" i="12"/>
</calcChain>
</file>

<file path=xl/sharedStrings.xml><?xml version="1.0" encoding="utf-8"?>
<sst xmlns="http://schemas.openxmlformats.org/spreadsheetml/2006/main" count="738" uniqueCount="220">
  <si>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</si>
  <si>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</si>
  <si>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</si>
  <si>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</si>
  <si>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</si>
  <si>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</si>
  <si>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</si>
  <si>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</si>
  <si>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</si>
  <si>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</si>
  <si>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</si>
  <si>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</si>
  <si>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</si>
  <si>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</si>
  <si>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</si>
  <si>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</si>
  <si>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</si>
  <si>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</si>
  <si>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</si>
  <si>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</si>
  <si>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</si>
  <si>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</si>
  <si>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</si>
  <si>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</si>
  <si>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</si>
  <si>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Juan Pablo Brenes,chef</t>
  </si>
  <si>
    <t>g</t>
  </si>
  <si>
    <t>ud</t>
  </si>
  <si>
    <t>min</t>
  </si>
  <si>
    <t>NUEVO</t>
  </si>
  <si>
    <t>FAS</t>
  </si>
  <si>
    <t>0.5</t>
  </si>
  <si>
    <t>Etiplast</t>
  </si>
  <si>
    <t>Esteban Cartin, Gerente de Manufactura</t>
  </si>
  <si>
    <t>11200070</t>
  </si>
  <si>
    <t>HARINA HARISOL HOJALDRE (SACO: 25 K)</t>
  </si>
  <si>
    <t>FACHASA</t>
  </si>
  <si>
    <t>Nescafe</t>
  </si>
  <si>
    <t>10100098</t>
  </si>
  <si>
    <t>SAL REFINADA (PAQ:500g)</t>
  </si>
  <si>
    <t>1212410</t>
  </si>
  <si>
    <t>PRESERVANTE 1047S (PAQ=5 KILO)</t>
  </si>
  <si>
    <t>Mayca</t>
  </si>
  <si>
    <t>COCOA DUTCH PROCESS (SACO: 25 KG)</t>
  </si>
  <si>
    <t>Nacional chocolates</t>
  </si>
  <si>
    <t>510301</t>
  </si>
  <si>
    <t>AZUCAR BLANCO INDUSTRIAL (SACO:50 K)</t>
  </si>
  <si>
    <t>Layca</t>
  </si>
  <si>
    <t>BOLSA 12x18 TRANSP KILO</t>
  </si>
  <si>
    <t>Plasticos P</t>
  </si>
  <si>
    <t>BOLSA 17x25 TRANSP KILO</t>
  </si>
  <si>
    <t>ETIQUETA BLANCA 2 5/8X1 15/16 (UND)</t>
  </si>
  <si>
    <t>ETIQUETA ROJA LETRA ALERJENO (UND)</t>
  </si>
  <si>
    <t>1.- Pesar en la bolsa 12x10 la harina, café instantaneo, sal, preservante y cocoa.</t>
  </si>
  <si>
    <t>902000149</t>
  </si>
  <si>
    <t>PROCESADO DE CHOCOLATE RALLADO OSCURO</t>
  </si>
  <si>
    <t>1210386</t>
  </si>
  <si>
    <t>COBERTURA CHOCOLATE LECHE (PAQ:5 K)</t>
  </si>
  <si>
    <t>Cordillera</t>
  </si>
  <si>
    <t>2.- Pesar en la bolsa 12x10 el chocolate rallado oscuro y la cobertura de chocolate leche.</t>
  </si>
  <si>
    <t>3.- En la bolsa 17x25 pesar el azucar.</t>
  </si>
  <si>
    <t>4.- Etiquetar con nombre y alerjeno.</t>
  </si>
  <si>
    <t>Batidos</t>
  </si>
  <si>
    <t>Premezclas</t>
  </si>
  <si>
    <t>PREMEZCLA BROWNIE SPOON</t>
  </si>
  <si>
    <t>NUMAR</t>
  </si>
  <si>
    <t>VAINILLA OSCURA (UND: 3.78 L)</t>
  </si>
  <si>
    <t>VAINOL</t>
  </si>
  <si>
    <t>INNOVO</t>
  </si>
  <si>
    <t>10415</t>
  </si>
  <si>
    <t>AGUA POTABLE (PLANTA)</t>
  </si>
  <si>
    <t>10100050</t>
  </si>
  <si>
    <t>ACEITE CAPULLO RBD (UND:17  L)</t>
  </si>
  <si>
    <t>CAPULLO</t>
  </si>
  <si>
    <t>11900001</t>
  </si>
  <si>
    <t>NUEZ PECANA QUEBRADURA (CAJA:10 Kg)</t>
  </si>
  <si>
    <t>NUECES INDUSTRIALES</t>
  </si>
  <si>
    <t>G</t>
  </si>
  <si>
    <t>1.- En el agua hirviendo derretir los chocolates, vainilla, agregar el aceite y la margarina y colocar en la batidora</t>
  </si>
  <si>
    <t>2.- Agregar el huevo y la yema y mezclar a velocidad 1 por 1 minuto.</t>
  </si>
  <si>
    <t>3.- Luego agregar los ingredientes secos e incorporar a velocidad 2 por 1 minuto.</t>
  </si>
  <si>
    <t>4.- Agregar el azucar y la pecana y mezclar a velocidad 1 por 1 minuto.</t>
  </si>
  <si>
    <t>5.- Dosificar.</t>
  </si>
  <si>
    <t>Horno:</t>
  </si>
  <si>
    <t>Otros</t>
  </si>
  <si>
    <t>Juan Pablo Brenes, Chef</t>
  </si>
  <si>
    <t>BATIDO BROWNIE SPOON</t>
  </si>
  <si>
    <t>Esteban Cartin, Gte Manufactura</t>
  </si>
  <si>
    <t>Postres</t>
  </si>
  <si>
    <t>ENSAMBLE</t>
  </si>
  <si>
    <t>Spoon</t>
  </si>
  <si>
    <t>c/u</t>
  </si>
  <si>
    <t>EMPAQUE</t>
  </si>
  <si>
    <t>FONDO CAJA BLANCA</t>
  </si>
  <si>
    <t>Gosaca</t>
  </si>
  <si>
    <t>TAPA FONDO CAJA BLANCA</t>
  </si>
  <si>
    <t>ETIQ.FECHA VENCIMIENTO</t>
  </si>
  <si>
    <t>ETIQ.BLANCA 1 1/4 * 3/4</t>
  </si>
  <si>
    <t>Tiempo de Horneo:</t>
  </si>
  <si>
    <t>cajas</t>
  </si>
  <si>
    <t>Temperatura de Horneo:</t>
  </si>
  <si>
    <t>2.- Empacar en la caja blanca, 6 ud de brownies</t>
  </si>
  <si>
    <t>Control de cambios</t>
  </si>
  <si>
    <t>Ensamble de Brownie Rectangular Spoon</t>
  </si>
  <si>
    <t>ROSQUETE BROWNIE SPOON 2000G</t>
  </si>
  <si>
    <t>60 ud 65g</t>
  </si>
  <si>
    <t>1.- Cortar rectangulos de 5cm * 5cm. (de 1 plancha salen el 20 rectangulos). Utilizar un cuchillo con agua caliente para evitar que se pegue.</t>
  </si>
  <si>
    <t>3.- Tapar, Etiquetar con fecha de vencimiento y etiqueta con nombre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</si>
  <si>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</si>
  <si>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</si>
  <si>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</si>
  <si>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</si>
  <si>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</si>
  <si>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</si>
  <si>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</si>
  <si>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</si>
  <si>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</si>
  <si>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</si>
  <si>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</si>
  <si>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</si>
  <si>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</si>
  <si>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</si>
  <si>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</si>
  <si>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</si>
  <si>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</si>
  <si>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</si>
  <si>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</si>
  <si>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</si>
  <si>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</si>
  <si>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</si>
  <si>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</si>
  <si>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</si>
  <si>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</si>
  <si>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</si>
  <si>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</si>
  <si>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</si>
  <si>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</si>
  <si>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</si>
  <si>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</si>
  <si>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</si>
  <si>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</si>
  <si>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</si>
  <si>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</si>
  <si>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</si>
  <si>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</si>
  <si>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</si>
  <si>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</si>
  <si>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</si>
  <si>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58 COLONES X MIN</t>
  </si>
  <si>
    <t xml:space="preserve">Gf 57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</si>
  <si>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</si>
  <si>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</si>
  <si>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</si>
  <si>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</si>
  <si>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</si>
  <si>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</si>
  <si>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</si>
  <si>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</si>
  <si>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512255</t>
  </si>
  <si>
    <t>Gramos</t>
  </si>
  <si>
    <t>512316</t>
  </si>
  <si>
    <t>CAFÉ INSTANTANEO (PAQ: 500 G)</t>
  </si>
  <si>
    <t xml:space="preserve">Gramos </t>
  </si>
  <si>
    <t>1950702</t>
  </si>
  <si>
    <t>1950708</t>
  </si>
  <si>
    <t>60100010</t>
  </si>
  <si>
    <t>0702123</t>
  </si>
  <si>
    <t>118000004</t>
  </si>
  <si>
    <t>1210482</t>
  </si>
  <si>
    <t>HUEVO ENTERO PASTERI INNOVO (CAJA:10 K)</t>
  </si>
  <si>
    <t>10100289</t>
  </si>
  <si>
    <t>MARGARINA BAKER TABLETA (CAJA: 25 K)</t>
  </si>
  <si>
    <t>11300011</t>
  </si>
  <si>
    <t>YEMA DE HUEVO (UND: 8.34 K)</t>
  </si>
  <si>
    <t>1950928</t>
  </si>
  <si>
    <t>0702007</t>
  </si>
  <si>
    <t>0906036</t>
  </si>
  <si>
    <t>0702069</t>
  </si>
  <si>
    <t>RELLENO FUDGE  (KILO)</t>
  </si>
  <si>
    <t xml:space="preserve">UND </t>
  </si>
  <si>
    <t>UND</t>
  </si>
  <si>
    <t>GRAMOS</t>
  </si>
  <si>
    <t>10700013</t>
  </si>
  <si>
    <t>1950837</t>
  </si>
  <si>
    <t>1950409</t>
  </si>
  <si>
    <t>0702012</t>
  </si>
  <si>
    <t>907000320 Batido Brownie Spoon</t>
  </si>
  <si>
    <t>904000144(NetSuiteCode) Pre mezcla Brownie Spoon</t>
  </si>
  <si>
    <t># Codigo Netsuite</t>
  </si>
  <si>
    <t>903000025</t>
  </si>
  <si>
    <t>SE00330</t>
  </si>
  <si>
    <t>20100163</t>
  </si>
  <si>
    <t>SE00337</t>
  </si>
  <si>
    <t>EM10005</t>
  </si>
  <si>
    <t>EM10002</t>
  </si>
  <si>
    <t>MP10011</t>
  </si>
  <si>
    <t>Javier Tong, Chef</t>
  </si>
  <si>
    <t># Código Netsuite</t>
  </si>
  <si>
    <t>Ensamble</t>
  </si>
  <si>
    <t>EMPAQUE FUDGE DE CHOCOLATE</t>
  </si>
  <si>
    <t>25 GRAMOS</t>
  </si>
  <si>
    <t xml:space="preserve">STICK DORADO </t>
  </si>
  <si>
    <t/>
  </si>
  <si>
    <t>Decoración</t>
  </si>
  <si>
    <t>Empaque</t>
  </si>
  <si>
    <t>GOSACA</t>
  </si>
  <si>
    <t>ETIQ.FECHA VENCIMIENTO VERDE</t>
  </si>
  <si>
    <t>ETIPLAST</t>
  </si>
  <si>
    <t>CONTROL DE CAMBIOS</t>
  </si>
  <si>
    <t>ESP-RE-POS-024</t>
  </si>
  <si>
    <t>1.- Cortar rectangulos de 5cm * 5cm. (de 1 plancha salen el 24 rectangulos). Utilizar un cuchillo con agua caliente para evitar que se pegue.</t>
  </si>
  <si>
    <t xml:space="preserve">2,Se actualiza Cantidad de etiquetas 11/4*3/4, procedimeinto, cantidad de porciones y pesos finales </t>
  </si>
  <si>
    <t>EM10080</t>
  </si>
  <si>
    <t>EM10098</t>
  </si>
  <si>
    <t>ROSQUETE BROWNIE CASERO 2000g</t>
  </si>
  <si>
    <t>20500009(PTL00089) Ensamble de Brownie Rectangular Spoon</t>
  </si>
  <si>
    <t>0.02</t>
  </si>
  <si>
    <t>Revision #4: Se agrega cantidad por merma</t>
  </si>
  <si>
    <r>
      <t xml:space="preserve">Revision </t>
    </r>
    <r>
      <rPr>
        <i/>
        <sz val="16"/>
        <rFont val="Arial"/>
        <family val="2"/>
      </rPr>
      <t xml:space="preserve">#3: </t>
    </r>
    <r>
      <rPr>
        <sz val="16"/>
        <rFont val="Arial"/>
        <family val="2"/>
      </rPr>
      <t>Actualizcion del peso total obtenido.</t>
    </r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</si>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</sst>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0.0"/>
    <numFmt numFmtId="168" formatCode="[$-409]d\-mmm\-yy;@"/>
    <numFmt numFmtId="169" formatCode="_-* #,##0.0\ _€_-;\-* #,##0.0\ _€_-;_-* &quot;-&quot;??\ _€_-;_-@_-"/>
    <numFmt numFmtId="170" formatCode="_(* #,##0.000_);_(* \(#,##0.000\);_(* &quot;-&quot;??_);_(@_)"/>
  </numFmts>
  <fonts count="6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Century Gothic"/>
      <family val="2"/>
    </font>
    <font>
      <sz val="9.85"/>
      <color rgb="FF000000"/>
      <name val="Times New Roman"/>
      <family val="1"/>
    </font>
    <font>
      <b/>
      <sz val="9"/>
      <color rgb="FFFF0000"/>
      <name val="Times New Roman"/>
      <family val="1"/>
    </font>
    <font>
      <sz val="16"/>
      <name val="Century Gothic"/>
      <family val="2"/>
    </font>
    <font>
      <b/>
      <sz val="16"/>
      <name val="Century Gothic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name val="Arial"/>
      <family val="2"/>
    </font>
    <font>
      <b/>
      <sz val="18"/>
      <name val="Century Gothic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i/>
      <sz val="16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45" fillId="0" borderId="0"/>
  </cellStyleXfs>
  <cellXfs count="545">
    <xf numFmtId="0" fontId="0" fillId="0" borderId="0" xfId="0"/>
    <xf numFmtId="0" fontId="3" fillId="2" borderId="1" xfId="4" applyFont="1" applyFill="1" applyBorder="1" applyAlignment="1">
      <alignment horizontal="right"/>
    </xf>
    <xf numFmtId="0" fontId="1" fillId="2" borderId="2" xfId="4" applyFont="1" applyFill="1" applyBorder="1" applyAlignment="1">
      <alignment horizontal="center"/>
    </xf>
    <xf numFmtId="0" fontId="1" fillId="2" borderId="0" xfId="0" applyFont="1" applyFill="1"/>
    <xf numFmtId="0" fontId="3" fillId="2" borderId="3" xfId="4" applyFont="1" applyFill="1" applyBorder="1" applyAlignment="1">
      <alignment horizontal="right"/>
    </xf>
    <xf numFmtId="49" fontId="1" fillId="2" borderId="4" xfId="4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wrapText="1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quotePrefix="1" applyFont="1" applyBorder="1" applyAlignment="1">
      <alignment horizontal="right"/>
    </xf>
    <xf numFmtId="0" fontId="1" fillId="0" borderId="3" xfId="0" quotePrefix="1" applyFont="1" applyBorder="1"/>
    <xf numFmtId="1" fontId="1" fillId="0" borderId="3" xfId="0" applyNumberFormat="1" applyFont="1" applyBorder="1" applyAlignment="1">
      <alignment horizontal="center" wrapText="1"/>
    </xf>
    <xf numFmtId="49" fontId="6" fillId="2" borderId="7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/>
    <xf numFmtId="0" fontId="3" fillId="3" borderId="10" xfId="0" applyFont="1" applyFill="1" applyBorder="1" applyAlignment="1">
      <alignment horizontal="center"/>
    </xf>
    <xf numFmtId="1" fontId="3" fillId="3" borderId="10" xfId="0" applyNumberFormat="1" applyFont="1" applyFill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1" fillId="2" borderId="0" xfId="5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2" borderId="0" xfId="0" applyFont="1" applyFill="1" applyAlignment="1">
      <alignment vertical="center"/>
    </xf>
    <xf numFmtId="0" fontId="1" fillId="2" borderId="0" xfId="4" applyFont="1" applyFill="1" applyAlignment="1">
      <alignment horizontal="center"/>
    </xf>
    <xf numFmtId="0" fontId="1" fillId="2" borderId="0" xfId="4" applyFont="1" applyFill="1" applyAlignment="1">
      <alignment horizontal="right"/>
    </xf>
    <xf numFmtId="0" fontId="1" fillId="2" borderId="0" xfId="4" applyFont="1" applyFill="1" applyAlignment="1">
      <alignment horizontal="left"/>
    </xf>
    <xf numFmtId="0" fontId="3" fillId="2" borderId="0" xfId="4" applyFont="1" applyFill="1" applyAlignment="1">
      <alignment horizontal="right" vertical="top" wrapText="1"/>
    </xf>
    <xf numFmtId="14" fontId="1" fillId="2" borderId="0" xfId="4" applyNumberFormat="1" applyFont="1" applyFill="1" applyAlignment="1">
      <alignment horizontal="center" vertical="center" wrapText="1"/>
    </xf>
    <xf numFmtId="0" fontId="1" fillId="2" borderId="3" xfId="4" applyFont="1" applyFill="1" applyBorder="1" applyAlignment="1">
      <alignment horizontal="right"/>
    </xf>
    <xf numFmtId="0" fontId="1" fillId="2" borderId="5" xfId="4" applyFont="1" applyFill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14" fontId="47" fillId="2" borderId="0" xfId="4" applyNumberFormat="1" applyFont="1" applyFill="1" applyAlignment="1">
      <alignment horizontal="center" vertical="center" wrapText="1"/>
    </xf>
    <xf numFmtId="16" fontId="1" fillId="0" borderId="3" xfId="3" applyNumberFormat="1" applyBorder="1" applyAlignment="1">
      <alignment horizontal="center"/>
    </xf>
    <xf numFmtId="1" fontId="1" fillId="0" borderId="3" xfId="3" applyNumberFormat="1" applyBorder="1" applyAlignment="1">
      <alignment horizontal="center"/>
    </xf>
    <xf numFmtId="1" fontId="1" fillId="0" borderId="3" xfId="3" applyNumberFormat="1" applyBorder="1" applyAlignment="1">
      <alignment horizontal="center" wrapText="1"/>
    </xf>
    <xf numFmtId="0" fontId="1" fillId="0" borderId="3" xfId="0" applyFont="1" applyBorder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1" fillId="0" borderId="57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49" fontId="1" fillId="0" borderId="0" xfId="3" applyNumberFormat="1" applyAlignment="1">
      <alignment horizontal="center"/>
    </xf>
    <xf numFmtId="49" fontId="1" fillId="0" borderId="0" xfId="3" applyNumberFormat="1"/>
    <xf numFmtId="0" fontId="10" fillId="0" borderId="16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8" fillId="11" borderId="17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 wrapText="1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13" borderId="0" xfId="0" applyFill="1"/>
    <xf numFmtId="0" fontId="0" fillId="14" borderId="0" xfId="0" applyFill="1" applyAlignment="1">
      <alignment horizontal="center"/>
    </xf>
    <xf numFmtId="0" fontId="0" fillId="14" borderId="0" xfId="0" applyFill="1"/>
    <xf numFmtId="0" fontId="1" fillId="14" borderId="57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left" vertical="center"/>
    </xf>
    <xf numFmtId="0" fontId="1" fillId="10" borderId="0" xfId="0" applyFont="1" applyFill="1"/>
    <xf numFmtId="0" fontId="1" fillId="0" borderId="3" xfId="0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2" fillId="11" borderId="1" xfId="0" applyFont="1" applyFill="1" applyBorder="1" applyAlignment="1">
      <alignment horizontal="right"/>
    </xf>
    <xf numFmtId="0" fontId="10" fillId="11" borderId="2" xfId="0" applyFont="1" applyFill="1" applyBorder="1" applyAlignment="1">
      <alignment horizontal="center"/>
    </xf>
    <xf numFmtId="0" fontId="12" fillId="11" borderId="3" xfId="0" applyFont="1" applyFill="1" applyBorder="1" applyAlignment="1">
      <alignment horizontal="right"/>
    </xf>
    <xf numFmtId="0" fontId="10" fillId="11" borderId="4" xfId="0" applyFont="1" applyFill="1" applyBorder="1" applyAlignment="1">
      <alignment horizontal="center"/>
    </xf>
    <xf numFmtId="0" fontId="12" fillId="15" borderId="2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 wrapText="1"/>
    </xf>
    <xf numFmtId="0" fontId="12" fillId="15" borderId="15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3" xfId="0" applyFont="1" applyBorder="1"/>
    <xf numFmtId="0" fontId="15" fillId="0" borderId="0" xfId="0" applyFont="1"/>
    <xf numFmtId="0" fontId="49" fillId="11" borderId="7" xfId="0" applyFont="1" applyFill="1" applyBorder="1" applyAlignment="1">
      <alignment horizontal="center" vertical="center"/>
    </xf>
    <xf numFmtId="0" fontId="10" fillId="11" borderId="0" xfId="0" applyFont="1" applyFill="1"/>
    <xf numFmtId="0" fontId="10" fillId="11" borderId="0" xfId="0" applyFont="1" applyFill="1" applyAlignment="1">
      <alignment horizontal="center" wrapText="1"/>
    </xf>
    <xf numFmtId="0" fontId="10" fillId="11" borderId="8" xfId="0" applyFont="1" applyFill="1" applyBorder="1" applyAlignment="1">
      <alignment horizontal="center"/>
    </xf>
    <xf numFmtId="0" fontId="10" fillId="15" borderId="9" xfId="0" applyFont="1" applyFill="1" applyBorder="1" applyAlignment="1">
      <alignment horizontal="center"/>
    </xf>
    <xf numFmtId="0" fontId="10" fillId="15" borderId="10" xfId="0" applyFont="1" applyFill="1" applyBorder="1"/>
    <xf numFmtId="0" fontId="12" fillId="15" borderId="10" xfId="0" applyFont="1" applyFill="1" applyBorder="1" applyAlignment="1">
      <alignment horizontal="center"/>
    </xf>
    <xf numFmtId="0" fontId="10" fillId="15" borderId="10" xfId="0" applyFont="1" applyFill="1" applyBorder="1" applyAlignment="1">
      <alignment horizontal="center" wrapText="1"/>
    </xf>
    <xf numFmtId="0" fontId="10" fillId="15" borderId="11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10" borderId="3" xfId="0" applyFont="1" applyFill="1" applyBorder="1"/>
    <xf numFmtId="0" fontId="10" fillId="11" borderId="16" xfId="0" applyFont="1" applyFill="1" applyBorder="1" applyAlignment="1">
      <alignment horizontal="right"/>
    </xf>
    <xf numFmtId="0" fontId="10" fillId="11" borderId="18" xfId="0" applyFont="1" applyFill="1" applyBorder="1" applyAlignment="1">
      <alignment horizontal="right"/>
    </xf>
    <xf numFmtId="0" fontId="47" fillId="11" borderId="0" xfId="0" applyFont="1" applyFill="1" applyAlignment="1">
      <alignment horizontal="center" vertical="center" wrapText="1"/>
    </xf>
    <xf numFmtId="0" fontId="50" fillId="0" borderId="19" xfId="0" applyFont="1" applyBorder="1" applyAlignment="1">
      <alignment horizontal="center" vertical="center"/>
    </xf>
    <xf numFmtId="0" fontId="16" fillId="0" borderId="3" xfId="0" applyFont="1" applyBorder="1" applyAlignment="1">
      <alignment wrapText="1"/>
    </xf>
    <xf numFmtId="0" fontId="17" fillId="0" borderId="16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6" fillId="0" borderId="3" xfId="0" applyFont="1" applyBorder="1"/>
    <xf numFmtId="0" fontId="17" fillId="0" borderId="3" xfId="0" applyFont="1" applyBorder="1"/>
    <xf numFmtId="0" fontId="17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2" fillId="11" borderId="14" xfId="0" applyFont="1" applyFill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wrapText="1"/>
    </xf>
    <xf numFmtId="0" fontId="14" fillId="0" borderId="15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4" fillId="10" borderId="3" xfId="0" applyFont="1" applyFill="1" applyBorder="1" applyAlignment="1">
      <alignment horizontal="center"/>
    </xf>
    <xf numFmtId="0" fontId="15" fillId="9" borderId="0" xfId="0" applyFont="1" applyFill="1" applyAlignment="1">
      <alignment vertical="center"/>
    </xf>
    <xf numFmtId="0" fontId="18" fillId="14" borderId="3" xfId="0" applyFont="1" applyFill="1" applyBorder="1" applyAlignment="1">
      <alignment horizontal="center" vertical="center" wrapText="1"/>
    </xf>
    <xf numFmtId="0" fontId="18" fillId="14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18" fillId="0" borderId="3" xfId="1" applyFont="1" applyFill="1" applyBorder="1" applyAlignment="1">
      <alignment horizontal="center" vertical="center"/>
    </xf>
    <xf numFmtId="43" fontId="18" fillId="0" borderId="0" xfId="1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8" fontId="23" fillId="0" borderId="0" xfId="0" applyNumberFormat="1" applyFont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 wrapText="1"/>
    </xf>
    <xf numFmtId="0" fontId="18" fillId="5" borderId="2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4" fontId="24" fillId="0" borderId="0" xfId="2" applyNumberFormat="1" applyFont="1" applyFill="1" applyAlignment="1">
      <alignment horizontal="center" vertical="center"/>
    </xf>
    <xf numFmtId="4" fontId="18" fillId="0" borderId="0" xfId="2" applyNumberFormat="1" applyFont="1" applyFill="1" applyAlignment="1">
      <alignment horizontal="center" vertical="center"/>
    </xf>
    <xf numFmtId="10" fontId="18" fillId="0" borderId="0" xfId="5" applyNumberFormat="1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10" fontId="19" fillId="0" borderId="0" xfId="5" applyNumberFormat="1" applyFont="1" applyFill="1" applyAlignment="1">
      <alignment vertical="center"/>
    </xf>
    <xf numFmtId="49" fontId="18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43" fontId="15" fillId="0" borderId="0" xfId="1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3" fontId="26" fillId="0" borderId="0" xfId="1" applyFont="1" applyFill="1" applyAlignment="1">
      <alignment horizontal="center" vertical="center"/>
    </xf>
    <xf numFmtId="10" fontId="19" fillId="5" borderId="25" xfId="5" applyNumberFormat="1" applyFont="1" applyFill="1" applyBorder="1" applyAlignment="1">
      <alignment vertical="center"/>
    </xf>
    <xf numFmtId="0" fontId="15" fillId="5" borderId="10" xfId="0" applyFont="1" applyFill="1" applyBorder="1" applyAlignment="1">
      <alignment vertical="center"/>
    </xf>
    <xf numFmtId="0" fontId="15" fillId="5" borderId="25" xfId="0" applyFont="1" applyFill="1" applyBorder="1" applyAlignment="1">
      <alignment vertical="center"/>
    </xf>
    <xf numFmtId="43" fontId="26" fillId="5" borderId="17" xfId="1" applyFont="1" applyFill="1" applyBorder="1" applyAlignment="1">
      <alignment horizontal="center" vertical="center"/>
    </xf>
    <xf numFmtId="43" fontId="28" fillId="0" borderId="0" xfId="1" applyFont="1" applyFill="1" applyBorder="1" applyAlignment="1">
      <alignment horizontal="right"/>
    </xf>
    <xf numFmtId="0" fontId="15" fillId="5" borderId="17" xfId="0" applyFont="1" applyFill="1" applyBorder="1" applyAlignment="1">
      <alignment vertical="center"/>
    </xf>
    <xf numFmtId="10" fontId="19" fillId="5" borderId="17" xfId="5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0" fontId="27" fillId="0" borderId="0" xfId="0" applyFont="1"/>
    <xf numFmtId="9" fontId="27" fillId="0" borderId="0" xfId="0" applyNumberFormat="1" applyFont="1"/>
    <xf numFmtId="9" fontId="51" fillId="0" borderId="0" xfId="5" applyFont="1" applyFill="1" applyAlignment="1">
      <alignment horizontal="center"/>
    </xf>
    <xf numFmtId="0" fontId="26" fillId="0" borderId="0" xfId="0" applyFont="1" applyAlignment="1">
      <alignment horizontal="right" vertical="center"/>
    </xf>
    <xf numFmtId="4" fontId="26" fillId="0" borderId="0" xfId="1" applyNumberFormat="1" applyFont="1" applyFill="1" applyAlignment="1">
      <alignment vertical="center"/>
    </xf>
    <xf numFmtId="4" fontId="26" fillId="0" borderId="0" xfId="2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8" xfId="0" applyFont="1" applyBorder="1" applyAlignment="1">
      <alignment horizontal="right"/>
    </xf>
    <xf numFmtId="43" fontId="31" fillId="6" borderId="26" xfId="1" applyFont="1" applyFill="1" applyBorder="1" applyAlignment="1">
      <alignment horizontal="right"/>
    </xf>
    <xf numFmtId="43" fontId="31" fillId="0" borderId="0" xfId="1" applyFont="1" applyFill="1" applyBorder="1" applyAlignment="1">
      <alignment horizontal="right"/>
    </xf>
    <xf numFmtId="43" fontId="18" fillId="0" borderId="3" xfId="1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6" fillId="0" borderId="0" xfId="2" applyNumberFormat="1" applyFont="1" applyFill="1" applyAlignment="1">
      <alignment horizontal="center" vertical="center"/>
    </xf>
    <xf numFmtId="10" fontId="33" fillId="0" borderId="0" xfId="5" applyNumberFormat="1" applyFont="1" applyFill="1" applyAlignment="1">
      <alignment horizontal="right"/>
    </xf>
    <xf numFmtId="169" fontId="18" fillId="5" borderId="3" xfId="1" applyNumberFormat="1" applyFont="1" applyFill="1" applyBorder="1" applyAlignment="1">
      <alignment vertical="center"/>
    </xf>
    <xf numFmtId="4" fontId="15" fillId="0" borderId="0" xfId="0" applyNumberFormat="1" applyFont="1" applyAlignment="1">
      <alignment horizontal="center" vertical="center"/>
    </xf>
    <xf numFmtId="43" fontId="18" fillId="4" borderId="3" xfId="1" applyFont="1" applyFill="1" applyBorder="1" applyAlignment="1">
      <alignment vertical="center"/>
    </xf>
    <xf numFmtId="165" fontId="34" fillId="0" borderId="0" xfId="0" applyNumberFormat="1" applyFont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0" fontId="19" fillId="5" borderId="27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1" applyNumberFormat="1" applyFont="1" applyFill="1" applyBorder="1" applyAlignment="1">
      <alignment horizontal="center"/>
    </xf>
    <xf numFmtId="2" fontId="30" fillId="0" borderId="0" xfId="1" applyNumberFormat="1" applyFont="1" applyFill="1" applyBorder="1" applyAlignment="1">
      <alignment horizontal="center"/>
    </xf>
    <xf numFmtId="0" fontId="15" fillId="5" borderId="27" xfId="0" applyFont="1" applyFill="1" applyBorder="1" applyAlignment="1">
      <alignment vertical="center"/>
    </xf>
    <xf numFmtId="10" fontId="15" fillId="0" borderId="0" xfId="5" applyNumberFormat="1" applyFont="1" applyFill="1" applyAlignment="1">
      <alignment vertical="center"/>
    </xf>
    <xf numFmtId="4" fontId="15" fillId="0" borderId="0" xfId="1" applyNumberFormat="1" applyFont="1" applyFill="1" applyAlignment="1">
      <alignment vertical="center"/>
    </xf>
    <xf numFmtId="43" fontId="31" fillId="5" borderId="10" xfId="1" applyFont="1" applyFill="1" applyBorder="1" applyAlignment="1">
      <alignment horizontal="right"/>
    </xf>
    <xf numFmtId="0" fontId="18" fillId="5" borderId="11" xfId="0" applyFont="1" applyFill="1" applyBorder="1" applyAlignment="1">
      <alignment horizontal="right" vertical="center"/>
    </xf>
    <xf numFmtId="10" fontId="37" fillId="0" borderId="0" xfId="1" applyNumberFormat="1" applyFont="1" applyFill="1" applyAlignment="1">
      <alignment vertical="center"/>
    </xf>
    <xf numFmtId="10" fontId="19" fillId="0" borderId="0" xfId="5" applyNumberFormat="1" applyFont="1" applyFill="1" applyBorder="1" applyAlignment="1">
      <alignment vertical="center"/>
    </xf>
    <xf numFmtId="165" fontId="38" fillId="0" borderId="0" xfId="0" applyNumberFormat="1" applyFont="1" applyAlignment="1">
      <alignment horizontal="center" vertical="center"/>
    </xf>
    <xf numFmtId="0" fontId="15" fillId="9" borderId="26" xfId="0" applyFont="1" applyFill="1" applyBorder="1" applyAlignment="1">
      <alignment horizontal="center" vertical="center"/>
    </xf>
    <xf numFmtId="43" fontId="39" fillId="0" borderId="0" xfId="1" applyFont="1" applyFill="1" applyAlignment="1">
      <alignment vertical="center"/>
    </xf>
    <xf numFmtId="4" fontId="40" fillId="0" borderId="0" xfId="2" applyNumberFormat="1" applyFont="1" applyFill="1" applyAlignment="1">
      <alignment horizontal="center" vertical="center" wrapText="1"/>
    </xf>
    <xf numFmtId="9" fontId="15" fillId="0" borderId="0" xfId="1" applyNumberFormat="1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4" fontId="25" fillId="0" borderId="0" xfId="1" applyNumberFormat="1" applyFont="1" applyFill="1" applyAlignment="1">
      <alignment vertical="center"/>
    </xf>
    <xf numFmtId="4" fontId="18" fillId="7" borderId="26" xfId="1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43" fontId="41" fillId="0" borderId="0" xfId="1" applyFont="1" applyFill="1" applyAlignment="1">
      <alignment vertical="center"/>
    </xf>
    <xf numFmtId="9" fontId="41" fillId="0" borderId="0" xfId="1" applyNumberFormat="1" applyFont="1" applyFill="1" applyAlignment="1">
      <alignment vertical="center"/>
    </xf>
    <xf numFmtId="4" fontId="18" fillId="0" borderId="0" xfId="1" applyNumberFormat="1" applyFont="1" applyFill="1" applyAlignment="1">
      <alignment horizontal="center" vertical="center"/>
    </xf>
    <xf numFmtId="10" fontId="34" fillId="0" borderId="0" xfId="5" applyNumberFormat="1" applyFont="1" applyFill="1" applyAlignment="1">
      <alignment vertical="center"/>
    </xf>
    <xf numFmtId="43" fontId="34" fillId="0" borderId="0" xfId="1" applyFont="1" applyFill="1" applyBorder="1" applyAlignment="1">
      <alignment vertical="center"/>
    </xf>
    <xf numFmtId="4" fontId="15" fillId="0" borderId="0" xfId="0" applyNumberFormat="1" applyFont="1" applyAlignment="1">
      <alignment horizontal="center"/>
    </xf>
    <xf numFmtId="43" fontId="15" fillId="0" borderId="0" xfId="1" applyFont="1" applyFill="1" applyBorder="1"/>
    <xf numFmtId="10" fontId="34" fillId="0" borderId="0" xfId="5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5" fillId="0" borderId="0" xfId="1" applyFont="1" applyFill="1" applyBorder="1" applyAlignment="1">
      <alignment horizontal="center"/>
    </xf>
    <xf numFmtId="9" fontId="44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center"/>
    </xf>
    <xf numFmtId="165" fontId="18" fillId="0" borderId="0" xfId="0" applyNumberFormat="1" applyFont="1"/>
    <xf numFmtId="43" fontId="24" fillId="0" borderId="0" xfId="1" applyFont="1" applyAlignment="1">
      <alignment horizontal="center"/>
    </xf>
    <xf numFmtId="0" fontId="0" fillId="9" borderId="3" xfId="0" applyFill="1" applyBorder="1" applyAlignment="1">
      <alignment horizontal="left"/>
    </xf>
    <xf numFmtId="0" fontId="46" fillId="9" borderId="3" xfId="0" applyFont="1" applyFill="1" applyBorder="1" applyAlignment="1">
      <alignment horizontal="center"/>
    </xf>
    <xf numFmtId="0" fontId="15" fillId="16" borderId="0" xfId="0" applyFont="1" applyFill="1" applyAlignment="1">
      <alignment vertical="center"/>
    </xf>
    <xf numFmtId="2" fontId="24" fillId="16" borderId="0" xfId="0" applyNumberFormat="1" applyFont="1" applyFill="1" applyAlignment="1">
      <alignment horizontal="center"/>
    </xf>
    <xf numFmtId="0" fontId="1" fillId="2" borderId="28" xfId="4" applyFont="1" applyFill="1" applyBorder="1" applyAlignment="1">
      <alignment horizontal="center"/>
    </xf>
    <xf numFmtId="0" fontId="1" fillId="2" borderId="18" xfId="4" applyFont="1" applyFill="1" applyBorder="1" applyAlignment="1">
      <alignment horizontal="center"/>
    </xf>
    <xf numFmtId="0" fontId="1" fillId="2" borderId="29" xfId="4" applyFont="1" applyFill="1" applyBorder="1" applyAlignment="1">
      <alignment horizontal="center"/>
    </xf>
    <xf numFmtId="0" fontId="1" fillId="2" borderId="30" xfId="4" applyFont="1" applyFill="1" applyBorder="1" applyAlignment="1">
      <alignment horizontal="center"/>
    </xf>
    <xf numFmtId="0" fontId="1" fillId="1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8" fillId="11" borderId="8" xfId="0" applyFont="1" applyFill="1" applyBorder="1" applyAlignment="1">
      <alignment horizontal="center"/>
    </xf>
    <xf numFmtId="0" fontId="1" fillId="0" borderId="18" xfId="0" quotePrefix="1" applyFont="1" applyBorder="1" applyAlignment="1">
      <alignment horizontal="right"/>
    </xf>
    <xf numFmtId="49" fontId="6" fillId="2" borderId="0" xfId="0" applyNumberFormat="1" applyFont="1" applyFill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53" fillId="2" borderId="1" xfId="4" applyFont="1" applyFill="1" applyBorder="1" applyAlignment="1">
      <alignment horizontal="right"/>
    </xf>
    <xf numFmtId="0" fontId="52" fillId="2" borderId="2" xfId="4" applyFont="1" applyFill="1" applyBorder="1" applyAlignment="1">
      <alignment horizontal="center"/>
    </xf>
    <xf numFmtId="0" fontId="53" fillId="2" borderId="3" xfId="4" applyFont="1" applyFill="1" applyBorder="1" applyAlignment="1">
      <alignment horizontal="right"/>
    </xf>
    <xf numFmtId="49" fontId="52" fillId="2" borderId="4" xfId="4" applyNumberFormat="1" applyFont="1" applyFill="1" applyBorder="1" applyAlignment="1">
      <alignment horizontal="center"/>
    </xf>
    <xf numFmtId="0" fontId="52" fillId="2" borderId="12" xfId="4" applyFont="1" applyFill="1" applyBorder="1" applyAlignment="1">
      <alignment horizontal="right"/>
    </xf>
    <xf numFmtId="0" fontId="52" fillId="2" borderId="3" xfId="4" applyFont="1" applyFill="1" applyBorder="1" applyAlignment="1">
      <alignment horizontal="right"/>
    </xf>
    <xf numFmtId="14" fontId="55" fillId="2" borderId="0" xfId="4" applyNumberFormat="1" applyFont="1" applyFill="1" applyAlignment="1">
      <alignment horizontal="center" vertical="center" wrapText="1"/>
    </xf>
    <xf numFmtId="0" fontId="53" fillId="3" borderId="2" xfId="3" applyFont="1" applyFill="1" applyBorder="1" applyAlignment="1">
      <alignment horizontal="center" vertical="center" wrapText="1"/>
    </xf>
    <xf numFmtId="1" fontId="53" fillId="3" borderId="5" xfId="3" applyNumberFormat="1" applyFont="1" applyFill="1" applyBorder="1" applyAlignment="1">
      <alignment horizontal="center"/>
    </xf>
    <xf numFmtId="1" fontId="53" fillId="3" borderId="5" xfId="3" applyNumberFormat="1" applyFont="1" applyFill="1" applyBorder="1" applyAlignment="1">
      <alignment horizontal="center" wrapText="1"/>
    </xf>
    <xf numFmtId="0" fontId="53" fillId="3" borderId="15" xfId="3" applyFont="1" applyFill="1" applyBorder="1" applyAlignment="1">
      <alignment horizontal="center"/>
    </xf>
    <xf numFmtId="0" fontId="56" fillId="0" borderId="3" xfId="0" applyFont="1" applyBorder="1" applyAlignment="1">
      <alignment horizontal="center" vertical="top"/>
    </xf>
    <xf numFmtId="0" fontId="56" fillId="0" borderId="18" xfId="0" applyFont="1" applyBorder="1" applyAlignment="1">
      <alignment horizontal="center" vertical="top"/>
    </xf>
    <xf numFmtId="0" fontId="56" fillId="9" borderId="3" xfId="0" applyFont="1" applyFill="1" applyBorder="1"/>
    <xf numFmtId="0" fontId="56" fillId="0" borderId="6" xfId="0" quotePrefix="1" applyFont="1" applyBorder="1" applyAlignment="1">
      <alignment horizontal="center"/>
    </xf>
    <xf numFmtId="0" fontId="56" fillId="0" borderId="18" xfId="0" quotePrefix="1" applyFont="1" applyBorder="1" applyAlignment="1">
      <alignment horizontal="center"/>
    </xf>
    <xf numFmtId="0" fontId="56" fillId="0" borderId="3" xfId="0" quotePrefix="1" applyFont="1" applyBorder="1"/>
    <xf numFmtId="0" fontId="56" fillId="0" borderId="3" xfId="0" applyFont="1" applyBorder="1" applyAlignment="1">
      <alignment horizontal="center"/>
    </xf>
    <xf numFmtId="1" fontId="56" fillId="0" borderId="3" xfId="0" applyNumberFormat="1" applyFont="1" applyBorder="1"/>
    <xf numFmtId="0" fontId="56" fillId="0" borderId="3" xfId="0" applyFont="1" applyBorder="1"/>
    <xf numFmtId="0" fontId="56" fillId="0" borderId="0" xfId="0" applyFont="1"/>
    <xf numFmtId="0" fontId="56" fillId="0" borderId="3" xfId="0" applyFont="1" applyBorder="1" applyAlignment="1">
      <alignment horizontal="center" vertical="center"/>
    </xf>
    <xf numFmtId="0" fontId="56" fillId="0" borderId="3" xfId="0" applyFont="1" applyBorder="1" applyAlignment="1">
      <alignment horizontal="left" vertical="center"/>
    </xf>
    <xf numFmtId="0" fontId="54" fillId="0" borderId="6" xfId="3" applyFont="1" applyBorder="1" applyAlignment="1">
      <alignment horizontal="center" vertical="center"/>
    </xf>
    <xf numFmtId="0" fontId="54" fillId="0" borderId="18" xfId="3" applyFont="1" applyBorder="1" applyAlignment="1">
      <alignment horizontal="center" vertical="center"/>
    </xf>
    <xf numFmtId="0" fontId="58" fillId="0" borderId="3" xfId="3" applyFont="1" applyBorder="1" applyAlignment="1">
      <alignment vertical="center"/>
    </xf>
    <xf numFmtId="0" fontId="54" fillId="0" borderId="3" xfId="3" applyFont="1" applyBorder="1" applyAlignment="1">
      <alignment horizontal="center" vertical="center"/>
    </xf>
    <xf numFmtId="1" fontId="54" fillId="0" borderId="3" xfId="3" applyNumberFormat="1" applyFont="1" applyBorder="1" applyAlignment="1">
      <alignment horizontal="center"/>
    </xf>
    <xf numFmtId="1" fontId="54" fillId="0" borderId="3" xfId="3" applyNumberFormat="1" applyFont="1" applyBorder="1" applyAlignment="1">
      <alignment horizontal="center" wrapText="1"/>
    </xf>
    <xf numFmtId="0" fontId="56" fillId="0" borderId="4" xfId="3" applyFont="1" applyBorder="1" applyAlignment="1">
      <alignment horizontal="center"/>
    </xf>
    <xf numFmtId="49" fontId="59" fillId="9" borderId="3" xfId="3" applyNumberFormat="1" applyFont="1" applyFill="1" applyBorder="1" applyAlignment="1">
      <alignment horizontal="center"/>
    </xf>
    <xf numFmtId="0" fontId="59" fillId="0" borderId="3" xfId="3" applyFont="1" applyBorder="1" applyAlignment="1">
      <alignment horizontal="left" wrapText="1"/>
    </xf>
    <xf numFmtId="16" fontId="56" fillId="0" borderId="3" xfId="3" applyNumberFormat="1" applyFont="1" applyBorder="1" applyAlignment="1">
      <alignment horizontal="center"/>
    </xf>
    <xf numFmtId="1" fontId="56" fillId="0" borderId="3" xfId="3" applyNumberFormat="1" applyFont="1" applyBorder="1" applyAlignment="1">
      <alignment horizontal="center"/>
    </xf>
    <xf numFmtId="1" fontId="56" fillId="0" borderId="3" xfId="3" applyNumberFormat="1" applyFont="1" applyBorder="1" applyAlignment="1">
      <alignment horizontal="center" wrapText="1"/>
    </xf>
    <xf numFmtId="0" fontId="56" fillId="0" borderId="12" xfId="0" applyFont="1" applyBorder="1" applyAlignment="1">
      <alignment horizontal="center" wrapText="1"/>
    </xf>
    <xf numFmtId="12" fontId="56" fillId="0" borderId="12" xfId="0" applyNumberFormat="1" applyFont="1" applyBorder="1" applyAlignment="1">
      <alignment horizontal="center"/>
    </xf>
    <xf numFmtId="16" fontId="56" fillId="2" borderId="3" xfId="0" applyNumberFormat="1" applyFont="1" applyFill="1" applyBorder="1" applyAlignment="1">
      <alignment horizontal="center"/>
    </xf>
    <xf numFmtId="1" fontId="56" fillId="2" borderId="3" xfId="0" applyNumberFormat="1" applyFont="1" applyFill="1" applyBorder="1" applyAlignment="1">
      <alignment horizontal="center"/>
    </xf>
    <xf numFmtId="1" fontId="56" fillId="2" borderId="3" xfId="0" applyNumberFormat="1" applyFont="1" applyFill="1" applyBorder="1" applyAlignment="1">
      <alignment horizontal="center" wrapText="1"/>
    </xf>
    <xf numFmtId="0" fontId="56" fillId="0" borderId="3" xfId="3" applyFont="1" applyBorder="1" applyAlignment="1">
      <alignment horizontal="center"/>
    </xf>
    <xf numFmtId="0" fontId="56" fillId="9" borderId="3" xfId="3" applyFont="1" applyFill="1" applyBorder="1" applyAlignment="1">
      <alignment horizontal="center"/>
    </xf>
    <xf numFmtId="49" fontId="56" fillId="0" borderId="6" xfId="3" applyNumberFormat="1" applyFont="1" applyBorder="1" applyAlignment="1">
      <alignment horizontal="center"/>
    </xf>
    <xf numFmtId="49" fontId="56" fillId="0" borderId="18" xfId="3" applyNumberFormat="1" applyFont="1" applyBorder="1" applyAlignment="1">
      <alignment horizontal="center"/>
    </xf>
    <xf numFmtId="0" fontId="54" fillId="9" borderId="3" xfId="3" applyFont="1" applyFill="1" applyBorder="1" applyAlignment="1">
      <alignment horizontal="left"/>
    </xf>
    <xf numFmtId="167" fontId="56" fillId="0" borderId="3" xfId="3" applyNumberFormat="1" applyFont="1" applyBorder="1" applyAlignment="1">
      <alignment horizontal="center"/>
    </xf>
    <xf numFmtId="0" fontId="60" fillId="9" borderId="6" xfId="0" applyFont="1" applyFill="1" applyBorder="1" applyAlignment="1">
      <alignment horizontal="center"/>
    </xf>
    <xf numFmtId="0" fontId="60" fillId="9" borderId="16" xfId="0" applyFont="1" applyFill="1" applyBorder="1" applyAlignment="1">
      <alignment horizontal="center"/>
    </xf>
    <xf numFmtId="0" fontId="60" fillId="9" borderId="12" xfId="0" applyFont="1" applyFill="1" applyBorder="1"/>
    <xf numFmtId="0" fontId="56" fillId="9" borderId="18" xfId="0" applyFont="1" applyFill="1" applyBorder="1" applyAlignment="1">
      <alignment horizontal="center"/>
    </xf>
    <xf numFmtId="1" fontId="56" fillId="9" borderId="12" xfId="0" applyNumberFormat="1" applyFont="1" applyFill="1" applyBorder="1" applyAlignment="1">
      <alignment horizontal="center"/>
    </xf>
    <xf numFmtId="1" fontId="56" fillId="9" borderId="12" xfId="0" applyNumberFormat="1" applyFont="1" applyFill="1" applyBorder="1" applyAlignment="1">
      <alignment horizontal="center" wrapText="1"/>
    </xf>
    <xf numFmtId="1" fontId="56" fillId="9" borderId="3" xfId="3" applyNumberFormat="1" applyFont="1" applyFill="1" applyBorder="1" applyAlignment="1">
      <alignment horizontal="center" wrapText="1"/>
    </xf>
    <xf numFmtId="1" fontId="56" fillId="9" borderId="3" xfId="0" applyNumberFormat="1" applyFont="1" applyFill="1" applyBorder="1" applyAlignment="1">
      <alignment horizontal="center"/>
    </xf>
    <xf numFmtId="16" fontId="56" fillId="0" borderId="3" xfId="0" applyNumberFormat="1" applyFont="1" applyBorder="1" applyAlignment="1">
      <alignment horizontal="center"/>
    </xf>
    <xf numFmtId="1" fontId="56" fillId="0" borderId="12" xfId="0" applyNumberFormat="1" applyFont="1" applyBorder="1" applyAlignment="1">
      <alignment horizontal="center"/>
    </xf>
    <xf numFmtId="1" fontId="56" fillId="0" borderId="3" xfId="0" applyNumberFormat="1" applyFont="1" applyBorder="1" applyAlignment="1">
      <alignment horizontal="center"/>
    </xf>
    <xf numFmtId="1" fontId="56" fillId="0" borderId="3" xfId="0" applyNumberFormat="1" applyFont="1" applyBorder="1" applyAlignment="1">
      <alignment horizontal="center" wrapText="1"/>
    </xf>
    <xf numFmtId="49" fontId="54" fillId="0" borderId="20" xfId="3" applyNumberFormat="1" applyFont="1" applyBorder="1" applyAlignment="1">
      <alignment horizontal="center"/>
    </xf>
    <xf numFmtId="49" fontId="54" fillId="0" borderId="29" xfId="3" applyNumberFormat="1" applyFont="1" applyBorder="1" applyAlignment="1">
      <alignment horizontal="center"/>
    </xf>
    <xf numFmtId="0" fontId="58" fillId="9" borderId="3" xfId="3" applyFont="1" applyFill="1" applyBorder="1" applyAlignment="1">
      <alignment vertical="center"/>
    </xf>
    <xf numFmtId="0" fontId="54" fillId="0" borderId="18" xfId="3" applyFont="1" applyBorder="1" applyAlignment="1">
      <alignment horizontal="center"/>
    </xf>
    <xf numFmtId="167" fontId="54" fillId="0" borderId="3" xfId="3" applyNumberFormat="1" applyFont="1" applyBorder="1" applyAlignment="1">
      <alignment horizontal="center"/>
    </xf>
    <xf numFmtId="49" fontId="56" fillId="0" borderId="3" xfId="0" applyNumberFormat="1" applyFont="1" applyBorder="1" applyAlignment="1">
      <alignment horizontal="center"/>
    </xf>
    <xf numFmtId="49" fontId="56" fillId="0" borderId="3" xfId="0" applyNumberFormat="1" applyFont="1" applyBorder="1"/>
    <xf numFmtId="170" fontId="54" fillId="9" borderId="3" xfId="1" applyNumberFormat="1" applyFont="1" applyFill="1" applyBorder="1" applyAlignment="1">
      <alignment horizontal="center"/>
    </xf>
    <xf numFmtId="0" fontId="60" fillId="0" borderId="3" xfId="6" applyFont="1" applyBorder="1" applyAlignment="1">
      <alignment horizontal="center"/>
    </xf>
    <xf numFmtId="0" fontId="60" fillId="0" borderId="3" xfId="6" applyFont="1" applyBorder="1" applyAlignment="1">
      <alignment horizontal="left"/>
    </xf>
    <xf numFmtId="12" fontId="56" fillId="0" borderId="3" xfId="3" applyNumberFormat="1" applyFont="1" applyBorder="1" applyAlignment="1">
      <alignment horizontal="center"/>
    </xf>
    <xf numFmtId="0" fontId="56" fillId="0" borderId="3" xfId="0" quotePrefix="1" applyFont="1" applyBorder="1" applyAlignment="1">
      <alignment horizontal="center"/>
    </xf>
    <xf numFmtId="49" fontId="56" fillId="0" borderId="3" xfId="3" applyNumberFormat="1" applyFont="1" applyBorder="1"/>
    <xf numFmtId="49" fontId="59" fillId="2" borderId="7" xfId="3" applyNumberFormat="1" applyFont="1" applyFill="1" applyBorder="1" applyAlignment="1">
      <alignment horizontal="center" vertical="center"/>
    </xf>
    <xf numFmtId="49" fontId="59" fillId="2" borderId="0" xfId="3" applyNumberFormat="1" applyFont="1" applyFill="1" applyAlignment="1">
      <alignment horizontal="center" vertical="center"/>
    </xf>
    <xf numFmtId="0" fontId="56" fillId="2" borderId="0" xfId="3" applyFont="1" applyFill="1"/>
    <xf numFmtId="1" fontId="56" fillId="2" borderId="0" xfId="3" applyNumberFormat="1" applyFont="1" applyFill="1" applyAlignment="1">
      <alignment horizontal="center"/>
    </xf>
    <xf numFmtId="166" fontId="56" fillId="2" borderId="0" xfId="3" applyNumberFormat="1" applyFont="1" applyFill="1" applyAlignment="1">
      <alignment horizontal="center" wrapText="1"/>
    </xf>
    <xf numFmtId="0" fontId="56" fillId="2" borderId="8" xfId="3" applyFont="1" applyFill="1" applyBorder="1" applyAlignment="1">
      <alignment horizontal="center"/>
    </xf>
    <xf numFmtId="0" fontId="56" fillId="3" borderId="9" xfId="3" applyFont="1" applyFill="1" applyBorder="1" applyAlignment="1">
      <alignment horizontal="center"/>
    </xf>
    <xf numFmtId="0" fontId="56" fillId="3" borderId="10" xfId="3" applyFont="1" applyFill="1" applyBorder="1" applyAlignment="1">
      <alignment horizontal="center"/>
    </xf>
    <xf numFmtId="0" fontId="56" fillId="3" borderId="10" xfId="3" applyFont="1" applyFill="1" applyBorder="1"/>
    <xf numFmtId="0" fontId="54" fillId="3" borderId="10" xfId="3" applyFont="1" applyFill="1" applyBorder="1" applyAlignment="1">
      <alignment horizontal="center"/>
    </xf>
    <xf numFmtId="1" fontId="54" fillId="3" borderId="10" xfId="3" applyNumberFormat="1" applyFont="1" applyFill="1" applyBorder="1" applyAlignment="1">
      <alignment horizontal="center"/>
    </xf>
    <xf numFmtId="166" fontId="56" fillId="3" borderId="10" xfId="3" applyNumberFormat="1" applyFont="1" applyFill="1" applyBorder="1" applyAlignment="1">
      <alignment horizontal="center" wrapText="1"/>
    </xf>
    <xf numFmtId="0" fontId="56" fillId="3" borderId="11" xfId="3" applyFont="1" applyFill="1" applyBorder="1" applyAlignment="1">
      <alignment horizontal="center"/>
    </xf>
    <xf numFmtId="0" fontId="56" fillId="0" borderId="13" xfId="0" applyFont="1" applyBorder="1" applyAlignment="1">
      <alignment horizontal="center"/>
    </xf>
    <xf numFmtId="1" fontId="56" fillId="0" borderId="5" xfId="0" applyNumberFormat="1" applyFont="1" applyBorder="1" applyAlignment="1">
      <alignment horizontal="center"/>
    </xf>
    <xf numFmtId="0" fontId="56" fillId="0" borderId="5" xfId="0" applyFont="1" applyBorder="1" applyAlignment="1">
      <alignment horizontal="center"/>
    </xf>
    <xf numFmtId="49" fontId="59" fillId="10" borderId="3" xfId="3" applyNumberFormat="1" applyFont="1" applyFill="1" applyBorder="1" applyAlignment="1">
      <alignment horizontal="center"/>
    </xf>
    <xf numFmtId="0" fontId="59" fillId="10" borderId="3" xfId="3" applyFont="1" applyFill="1" applyBorder="1" applyAlignment="1">
      <alignment horizontal="left" wrapText="1"/>
    </xf>
    <xf numFmtId="0" fontId="56" fillId="10" borderId="18" xfId="0" applyFont="1" applyFill="1" applyBorder="1" applyAlignment="1">
      <alignment horizontal="center"/>
    </xf>
    <xf numFmtId="1" fontId="56" fillId="10" borderId="3" xfId="3" applyNumberFormat="1" applyFont="1" applyFill="1" applyBorder="1" applyAlignment="1">
      <alignment horizontal="center"/>
    </xf>
    <xf numFmtId="1" fontId="56" fillId="10" borderId="3" xfId="3" applyNumberFormat="1" applyFont="1" applyFill="1" applyBorder="1" applyAlignment="1">
      <alignment horizontal="center" wrapText="1"/>
    </xf>
    <xf numFmtId="1" fontId="54" fillId="10" borderId="3" xfId="3" applyNumberFormat="1" applyFont="1" applyFill="1" applyBorder="1" applyAlignment="1">
      <alignment horizontal="center" wrapText="1"/>
    </xf>
    <xf numFmtId="0" fontId="1" fillId="2" borderId="42" xfId="4" applyFont="1" applyFill="1" applyBorder="1" applyAlignment="1">
      <alignment horizontal="center"/>
    </xf>
    <xf numFmtId="0" fontId="1" fillId="2" borderId="6" xfId="4" applyFont="1" applyFill="1" applyBorder="1" applyAlignment="1">
      <alignment horizontal="center"/>
    </xf>
    <xf numFmtId="0" fontId="1" fillId="2" borderId="21" xfId="4" applyFont="1" applyFill="1" applyBorder="1" applyAlignment="1">
      <alignment horizontal="center"/>
    </xf>
    <xf numFmtId="0" fontId="5" fillId="0" borderId="34" xfId="3" applyFont="1" applyBorder="1" applyAlignment="1">
      <alignment horizontal="left"/>
    </xf>
    <xf numFmtId="0" fontId="5" fillId="0" borderId="35" xfId="3" applyFont="1" applyBorder="1" applyAlignment="1">
      <alignment horizontal="left"/>
    </xf>
    <xf numFmtId="0" fontId="5" fillId="0" borderId="36" xfId="3" applyFont="1" applyBorder="1" applyAlignment="1">
      <alignment horizontal="left"/>
    </xf>
    <xf numFmtId="0" fontId="3" fillId="0" borderId="21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6" fontId="1" fillId="0" borderId="37" xfId="0" applyNumberFormat="1" applyFont="1" applyBorder="1" applyAlignment="1">
      <alignment horizontal="center"/>
    </xf>
    <xf numFmtId="166" fontId="1" fillId="0" borderId="38" xfId="0" applyNumberFormat="1" applyFont="1" applyBorder="1" applyAlignment="1">
      <alignment horizontal="center"/>
    </xf>
    <xf numFmtId="0" fontId="7" fillId="0" borderId="19" xfId="3" applyFont="1" applyBorder="1" applyAlignment="1">
      <alignment horizontal="left" wrapText="1"/>
    </xf>
    <xf numFmtId="0" fontId="7" fillId="0" borderId="31" xfId="3" applyFont="1" applyBorder="1" applyAlignment="1">
      <alignment horizontal="left" wrapText="1"/>
    </xf>
    <xf numFmtId="0" fontId="7" fillId="0" borderId="39" xfId="3" applyFont="1" applyBorder="1" applyAlignment="1">
      <alignment horizontal="left" wrapText="1"/>
    </xf>
    <xf numFmtId="0" fontId="5" fillId="0" borderId="19" xfId="3" applyFont="1" applyBorder="1" applyAlignment="1">
      <alignment horizontal="left"/>
    </xf>
    <xf numFmtId="0" fontId="5" fillId="0" borderId="31" xfId="3" applyFont="1" applyBorder="1" applyAlignment="1">
      <alignment horizontal="left"/>
    </xf>
    <xf numFmtId="0" fontId="5" fillId="0" borderId="39" xfId="3" applyFont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1" fillId="2" borderId="3" xfId="4" applyFont="1" applyFill="1" applyBorder="1" applyAlignment="1">
      <alignment horizontal="left"/>
    </xf>
    <xf numFmtId="14" fontId="1" fillId="2" borderId="4" xfId="4" applyNumberFormat="1" applyFont="1" applyFill="1" applyBorder="1" applyAlignment="1">
      <alignment horizontal="center" vertical="center" wrapText="1"/>
    </xf>
    <xf numFmtId="14" fontId="1" fillId="2" borderId="15" xfId="4" applyNumberFormat="1" applyFont="1" applyFill="1" applyBorder="1" applyAlignment="1">
      <alignment horizontal="center" vertical="center" wrapText="1"/>
    </xf>
    <xf numFmtId="0" fontId="1" fillId="2" borderId="5" xfId="4" applyFont="1" applyFill="1" applyBorder="1" applyAlignment="1">
      <alignment horizontal="left"/>
    </xf>
    <xf numFmtId="0" fontId="4" fillId="2" borderId="1" xfId="4" applyFont="1" applyFill="1" applyBorder="1" applyAlignment="1">
      <alignment horizontal="center"/>
    </xf>
    <xf numFmtId="0" fontId="4" fillId="2" borderId="3" xfId="4" applyFont="1" applyFill="1" applyBorder="1" applyAlignment="1">
      <alignment horizontal="center"/>
    </xf>
    <xf numFmtId="0" fontId="8" fillId="6" borderId="40" xfId="4" applyFont="1" applyFill="1" applyBorder="1" applyAlignment="1">
      <alignment horizontal="center" vertical="center" wrapText="1"/>
    </xf>
    <xf numFmtId="0" fontId="8" fillId="6" borderId="29" xfId="4" applyFont="1" applyFill="1" applyBorder="1" applyAlignment="1">
      <alignment horizontal="center" vertical="center" wrapText="1"/>
    </xf>
    <xf numFmtId="0" fontId="8" fillId="6" borderId="18" xfId="4" applyFont="1" applyFill="1" applyBorder="1" applyAlignment="1">
      <alignment horizontal="center" vertical="center" wrapText="1"/>
    </xf>
    <xf numFmtId="0" fontId="3" fillId="2" borderId="3" xfId="4" applyFont="1" applyFill="1" applyBorder="1" applyAlignment="1">
      <alignment horizontal="right" vertical="top" wrapText="1"/>
    </xf>
    <xf numFmtId="0" fontId="3" fillId="2" borderId="5" xfId="4" applyFont="1" applyFill="1" applyBorder="1" applyAlignment="1">
      <alignment horizontal="right" vertical="top" wrapText="1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2" borderId="0" xfId="4" applyFont="1" applyFill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6" fontId="1" fillId="0" borderId="40" xfId="0" applyNumberFormat="1" applyFont="1" applyBorder="1" applyAlignment="1">
      <alignment horizontal="right" wrapText="1"/>
    </xf>
    <xf numFmtId="166" fontId="1" fillId="0" borderId="18" xfId="0" applyNumberFormat="1" applyFont="1" applyBorder="1" applyAlignment="1">
      <alignment horizontal="right" wrapText="1"/>
    </xf>
    <xf numFmtId="0" fontId="47" fillId="2" borderId="35" xfId="4" applyFont="1" applyFill="1" applyBorder="1" applyAlignment="1">
      <alignment horizontal="center"/>
    </xf>
    <xf numFmtId="0" fontId="4" fillId="2" borderId="0" xfId="4" applyFont="1" applyFill="1"/>
    <xf numFmtId="0" fontId="3" fillId="0" borderId="19" xfId="0" applyFont="1" applyBorder="1" applyAlignment="1">
      <alignment horizontal="right"/>
    </xf>
    <xf numFmtId="0" fontId="3" fillId="0" borderId="31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1" fillId="2" borderId="13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166" fontId="1" fillId="0" borderId="40" xfId="0" applyNumberFormat="1" applyFont="1" applyBorder="1" applyAlignment="1">
      <alignment horizontal="center"/>
    </xf>
    <xf numFmtId="166" fontId="1" fillId="0" borderId="41" xfId="0" applyNumberFormat="1" applyFont="1" applyBorder="1" applyAlignment="1">
      <alignment horizontal="center"/>
    </xf>
    <xf numFmtId="0" fontId="3" fillId="3" borderId="4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7" fillId="0" borderId="43" xfId="0" applyFont="1" applyBorder="1" applyAlignment="1">
      <alignment horizontal="right"/>
    </xf>
    <xf numFmtId="0" fontId="27" fillId="0" borderId="44" xfId="0" applyFont="1" applyBorder="1" applyAlignment="1">
      <alignment horizontal="right"/>
    </xf>
    <xf numFmtId="4" fontId="40" fillId="0" borderId="0" xfId="2" applyNumberFormat="1" applyFont="1" applyFill="1" applyAlignment="1">
      <alignment horizontal="center" vertical="center" wrapText="1"/>
    </xf>
    <xf numFmtId="0" fontId="15" fillId="0" borderId="3" xfId="0" applyFont="1" applyBorder="1" applyAlignment="1">
      <alignment horizontal="right" vertical="center"/>
    </xf>
    <xf numFmtId="0" fontId="27" fillId="0" borderId="0" xfId="0" applyFont="1" applyAlignment="1">
      <alignment horizontal="right"/>
    </xf>
    <xf numFmtId="0" fontId="34" fillId="0" borderId="3" xfId="0" applyFont="1" applyBorder="1" applyAlignment="1">
      <alignment horizontal="right" vertical="center"/>
    </xf>
    <xf numFmtId="0" fontId="35" fillId="0" borderId="7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8" xfId="0" applyFont="1" applyBorder="1" applyAlignment="1">
      <alignment horizontal="right"/>
    </xf>
    <xf numFmtId="0" fontId="26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right" vertical="center"/>
    </xf>
    <xf numFmtId="0" fontId="42" fillId="0" borderId="10" xfId="0" applyFont="1" applyBorder="1" applyAlignment="1">
      <alignment horizontal="right" vertical="center"/>
    </xf>
    <xf numFmtId="0" fontId="42" fillId="0" borderId="11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33" fillId="0" borderId="35" xfId="0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31" fillId="5" borderId="9" xfId="0" applyFont="1" applyFill="1" applyBorder="1" applyAlignment="1">
      <alignment horizontal="right"/>
    </xf>
    <xf numFmtId="0" fontId="31" fillId="5" borderId="10" xfId="0" applyFont="1" applyFill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18" fillId="0" borderId="35" xfId="0" applyFont="1" applyBorder="1" applyAlignment="1">
      <alignment horizontal="right" vertical="center"/>
    </xf>
    <xf numFmtId="0" fontId="18" fillId="0" borderId="36" xfId="0" applyFont="1" applyBorder="1" applyAlignment="1">
      <alignment horizontal="right" vertical="center"/>
    </xf>
    <xf numFmtId="0" fontId="18" fillId="8" borderId="9" xfId="0" applyFont="1" applyFill="1" applyBorder="1" applyAlignment="1">
      <alignment horizontal="right" vertical="center"/>
    </xf>
    <xf numFmtId="0" fontId="18" fillId="8" borderId="10" xfId="0" applyFont="1" applyFill="1" applyBorder="1" applyAlignment="1">
      <alignment horizontal="right" vertical="center"/>
    </xf>
    <xf numFmtId="0" fontId="18" fillId="8" borderId="11" xfId="0" applyFont="1" applyFill="1" applyBorder="1" applyAlignment="1">
      <alignment horizontal="right" vertical="center"/>
    </xf>
    <xf numFmtId="0" fontId="8" fillId="6" borderId="3" xfId="4" applyFont="1" applyFill="1" applyBorder="1" applyAlignment="1">
      <alignment horizontal="center" vertical="center" wrapText="1"/>
    </xf>
    <xf numFmtId="0" fontId="14" fillId="0" borderId="45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2" fillId="15" borderId="9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left"/>
    </xf>
    <xf numFmtId="0" fontId="10" fillId="11" borderId="44" xfId="0" applyFont="1" applyFill="1" applyBorder="1" applyAlignment="1">
      <alignment horizontal="left"/>
    </xf>
    <xf numFmtId="0" fontId="12" fillId="0" borderId="45" xfId="0" applyFont="1" applyBorder="1" applyAlignment="1">
      <alignment horizontal="right"/>
    </xf>
    <xf numFmtId="0" fontId="12" fillId="0" borderId="30" xfId="0" applyFont="1" applyBorder="1" applyAlignment="1">
      <alignment horizontal="right"/>
    </xf>
    <xf numFmtId="0" fontId="10" fillId="0" borderId="37" xfId="0" applyFont="1" applyBorder="1" applyAlignment="1">
      <alignment horizontal="right"/>
    </xf>
    <xf numFmtId="0" fontId="10" fillId="0" borderId="30" xfId="0" applyFont="1" applyBorder="1" applyAlignment="1">
      <alignment horizontal="right"/>
    </xf>
    <xf numFmtId="0" fontId="10" fillId="0" borderId="37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15" borderId="9" xfId="0" applyFont="1" applyFill="1" applyBorder="1" applyAlignment="1">
      <alignment horizontal="left"/>
    </xf>
    <xf numFmtId="0" fontId="12" fillId="15" borderId="10" xfId="0" applyFont="1" applyFill="1" applyBorder="1" applyAlignment="1">
      <alignment horizontal="left"/>
    </xf>
    <xf numFmtId="0" fontId="14" fillId="0" borderId="47" xfId="0" applyFont="1" applyBorder="1" applyAlignment="1">
      <alignment horizontal="left"/>
    </xf>
    <xf numFmtId="0" fontId="14" fillId="0" borderId="48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12" fillId="0" borderId="20" xfId="0" applyFont="1" applyBorder="1" applyAlignment="1">
      <alignment horizontal="right"/>
    </xf>
    <xf numFmtId="0" fontId="12" fillId="0" borderId="18" xfId="0" applyFont="1" applyBorder="1" applyAlignment="1">
      <alignment horizontal="right"/>
    </xf>
    <xf numFmtId="0" fontId="10" fillId="0" borderId="40" xfId="0" applyFont="1" applyBorder="1" applyAlignment="1">
      <alignment horizontal="right"/>
    </xf>
    <xf numFmtId="0" fontId="10" fillId="0" borderId="18" xfId="0" applyFont="1" applyBorder="1" applyAlignment="1">
      <alignment horizontal="right"/>
    </xf>
    <xf numFmtId="0" fontId="10" fillId="0" borderId="40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40" xfId="0" applyFont="1" applyBorder="1" applyAlignment="1">
      <alignment horizontal="right" wrapText="1"/>
    </xf>
    <xf numFmtId="0" fontId="10" fillId="0" borderId="18" xfId="0" applyFont="1" applyBorder="1" applyAlignment="1">
      <alignment horizontal="right" wrapText="1"/>
    </xf>
    <xf numFmtId="0" fontId="12" fillId="0" borderId="47" xfId="0" applyFont="1" applyBorder="1" applyAlignment="1">
      <alignment horizontal="right"/>
    </xf>
    <xf numFmtId="0" fontId="12" fillId="0" borderId="28" xfId="0" applyFont="1" applyBorder="1" applyAlignment="1">
      <alignment horizontal="right"/>
    </xf>
    <xf numFmtId="0" fontId="10" fillId="0" borderId="49" xfId="0" applyFont="1" applyBorder="1" applyAlignment="1">
      <alignment horizontal="right"/>
    </xf>
    <xf numFmtId="0" fontId="10" fillId="0" borderId="28" xfId="0" applyFont="1" applyBorder="1" applyAlignment="1">
      <alignment horizontal="right"/>
    </xf>
    <xf numFmtId="0" fontId="10" fillId="11" borderId="49" xfId="0" applyFont="1" applyFill="1" applyBorder="1" applyAlignment="1">
      <alignment horizontal="center"/>
    </xf>
    <xf numFmtId="0" fontId="10" fillId="11" borderId="48" xfId="0" applyFont="1" applyFill="1" applyBorder="1" applyAlignment="1">
      <alignment horizontal="center"/>
    </xf>
    <xf numFmtId="0" fontId="4" fillId="11" borderId="35" xfId="0" applyFont="1" applyFill="1" applyBorder="1" applyAlignment="1">
      <alignment horizontal="right"/>
    </xf>
    <xf numFmtId="0" fontId="47" fillId="11" borderId="46" xfId="0" applyFont="1" applyFill="1" applyBorder="1" applyAlignment="1">
      <alignment horizontal="center"/>
    </xf>
    <xf numFmtId="0" fontId="4" fillId="11" borderId="35" xfId="0" applyFont="1" applyFill="1" applyBorder="1"/>
    <xf numFmtId="0" fontId="12" fillId="15" borderId="50" xfId="0" applyFont="1" applyFill="1" applyBorder="1" applyAlignment="1">
      <alignment horizontal="center" vertical="center"/>
    </xf>
    <xf numFmtId="0" fontId="12" fillId="15" borderId="51" xfId="0" applyFont="1" applyFill="1" applyBorder="1" applyAlignment="1">
      <alignment horizontal="center" vertical="center"/>
    </xf>
    <xf numFmtId="0" fontId="12" fillId="15" borderId="32" xfId="0" applyFont="1" applyFill="1" applyBorder="1" applyAlignment="1">
      <alignment horizontal="center" vertical="center"/>
    </xf>
    <xf numFmtId="0" fontId="12" fillId="15" borderId="12" xfId="0" applyFont="1" applyFill="1" applyBorder="1" applyAlignment="1">
      <alignment horizontal="center" vertical="center"/>
    </xf>
    <xf numFmtId="0" fontId="12" fillId="15" borderId="49" xfId="0" applyFont="1" applyFill="1" applyBorder="1" applyAlignment="1">
      <alignment horizontal="center" vertical="center"/>
    </xf>
    <xf numFmtId="0" fontId="12" fillId="15" borderId="28" xfId="0" applyFont="1" applyFill="1" applyBorder="1" applyAlignment="1">
      <alignment horizontal="center" vertical="center"/>
    </xf>
    <xf numFmtId="14" fontId="10" fillId="11" borderId="55" xfId="0" applyNumberFormat="1" applyFont="1" applyFill="1" applyBorder="1" applyAlignment="1">
      <alignment horizontal="center" vertical="center" wrapText="1"/>
    </xf>
    <xf numFmtId="14" fontId="10" fillId="11" borderId="56" xfId="0" applyNumberFormat="1" applyFont="1" applyFill="1" applyBorder="1" applyAlignment="1">
      <alignment horizontal="center" vertical="center" wrapText="1"/>
    </xf>
    <xf numFmtId="0" fontId="10" fillId="11" borderId="49" xfId="0" applyFont="1" applyFill="1" applyBorder="1" applyAlignment="1">
      <alignment horizontal="left"/>
    </xf>
    <xf numFmtId="0" fontId="10" fillId="11" borderId="48" xfId="0" applyFont="1" applyFill="1" applyBorder="1" applyAlignment="1">
      <alignment horizontal="left"/>
    </xf>
    <xf numFmtId="0" fontId="10" fillId="11" borderId="40" xfId="0" applyFont="1" applyFill="1" applyBorder="1" applyAlignment="1">
      <alignment horizontal="left"/>
    </xf>
    <xf numFmtId="0" fontId="10" fillId="11" borderId="29" xfId="0" applyFont="1" applyFill="1" applyBorder="1" applyAlignment="1">
      <alignment horizontal="left"/>
    </xf>
    <xf numFmtId="0" fontId="10" fillId="11" borderId="25" xfId="0" applyFont="1" applyFill="1" applyBorder="1" applyAlignment="1">
      <alignment horizontal="center"/>
    </xf>
    <xf numFmtId="0" fontId="10" fillId="11" borderId="17" xfId="0" applyFont="1" applyFill="1" applyBorder="1" applyAlignment="1">
      <alignment horizontal="center"/>
    </xf>
    <xf numFmtId="0" fontId="11" fillId="11" borderId="47" xfId="0" applyFont="1" applyFill="1" applyBorder="1" applyAlignment="1">
      <alignment horizontal="center"/>
    </xf>
    <xf numFmtId="0" fontId="11" fillId="11" borderId="48" xfId="0" applyFont="1" applyFill="1" applyBorder="1" applyAlignment="1">
      <alignment horizontal="center"/>
    </xf>
    <xf numFmtId="0" fontId="11" fillId="11" borderId="28" xfId="0" applyFont="1" applyFill="1" applyBorder="1" applyAlignment="1">
      <alignment horizontal="center"/>
    </xf>
    <xf numFmtId="0" fontId="11" fillId="11" borderId="45" xfId="0" applyFont="1" applyFill="1" applyBorder="1" applyAlignment="1">
      <alignment horizontal="center"/>
    </xf>
    <xf numFmtId="0" fontId="11" fillId="11" borderId="46" xfId="0" applyFont="1" applyFill="1" applyBorder="1" applyAlignment="1">
      <alignment horizontal="center"/>
    </xf>
    <xf numFmtId="0" fontId="11" fillId="11" borderId="30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13" fillId="17" borderId="52" xfId="0" applyFont="1" applyFill="1" applyBorder="1" applyAlignment="1">
      <alignment horizontal="center"/>
    </xf>
    <xf numFmtId="0" fontId="12" fillId="11" borderId="53" xfId="0" applyFont="1" applyFill="1" applyBorder="1" applyAlignment="1">
      <alignment horizontal="right" vertical="top" wrapText="1"/>
    </xf>
    <xf numFmtId="0" fontId="12" fillId="11" borderId="54" xfId="0" applyFont="1" applyFill="1" applyBorder="1" applyAlignment="1">
      <alignment horizontal="right" vertical="top" wrapText="1"/>
    </xf>
    <xf numFmtId="0" fontId="54" fillId="18" borderId="59" xfId="4" applyFont="1" applyFill="1" applyBorder="1" applyAlignment="1">
      <alignment horizontal="center"/>
    </xf>
    <xf numFmtId="0" fontId="54" fillId="18" borderId="44" xfId="4" applyFont="1" applyFill="1" applyBorder="1" applyAlignment="1">
      <alignment horizontal="center"/>
    </xf>
    <xf numFmtId="0" fontId="56" fillId="2" borderId="40" xfId="4" applyFont="1" applyFill="1" applyBorder="1" applyAlignment="1">
      <alignment horizontal="left"/>
    </xf>
    <xf numFmtId="0" fontId="56" fillId="2" borderId="29" xfId="4" applyFont="1" applyFill="1" applyBorder="1" applyAlignment="1">
      <alignment horizontal="left"/>
    </xf>
    <xf numFmtId="0" fontId="56" fillId="2" borderId="18" xfId="4" applyFont="1" applyFill="1" applyBorder="1" applyAlignment="1">
      <alignment horizontal="left"/>
    </xf>
    <xf numFmtId="0" fontId="56" fillId="0" borderId="3" xfId="3" applyFont="1" applyBorder="1" applyAlignment="1">
      <alignment horizontal="left"/>
    </xf>
    <xf numFmtId="0" fontId="56" fillId="0" borderId="19" xfId="0" applyFont="1" applyBorder="1" applyAlignment="1">
      <alignment horizontal="left"/>
    </xf>
    <xf numFmtId="0" fontId="56" fillId="0" borderId="31" xfId="0" applyFont="1" applyBorder="1" applyAlignment="1">
      <alignment horizontal="left"/>
    </xf>
    <xf numFmtId="0" fontId="56" fillId="0" borderId="39" xfId="0" applyFont="1" applyBorder="1" applyAlignment="1">
      <alignment horizontal="left"/>
    </xf>
    <xf numFmtId="0" fontId="54" fillId="0" borderId="20" xfId="0" applyFont="1" applyBorder="1" applyAlignment="1">
      <alignment horizontal="left"/>
    </xf>
    <xf numFmtId="0" fontId="54" fillId="0" borderId="29" xfId="0" applyFont="1" applyBorder="1" applyAlignment="1">
      <alignment horizontal="left"/>
    </xf>
    <xf numFmtId="0" fontId="54" fillId="0" borderId="41" xfId="0" applyFont="1" applyBorder="1" applyAlignment="1">
      <alignment horizontal="left"/>
    </xf>
    <xf numFmtId="0" fontId="56" fillId="0" borderId="40" xfId="0" applyFont="1" applyBorder="1" applyAlignment="1">
      <alignment horizontal="left"/>
    </xf>
    <xf numFmtId="0" fontId="56" fillId="0" borderId="29" xfId="0" applyFont="1" applyBorder="1" applyAlignment="1">
      <alignment horizontal="left"/>
    </xf>
    <xf numFmtId="0" fontId="56" fillId="0" borderId="18" xfId="0" applyFont="1" applyBorder="1" applyAlignment="1">
      <alignment horizontal="left"/>
    </xf>
    <xf numFmtId="0" fontId="56" fillId="0" borderId="40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18" xfId="0" applyFont="1" applyBorder="1" applyAlignment="1">
      <alignment horizontal="center"/>
    </xf>
    <xf numFmtId="0" fontId="54" fillId="0" borderId="20" xfId="3" applyFont="1" applyBorder="1" applyAlignment="1">
      <alignment horizontal="right"/>
    </xf>
    <xf numFmtId="0" fontId="54" fillId="0" borderId="29" xfId="3" applyFont="1" applyBorder="1" applyAlignment="1">
      <alignment horizontal="right"/>
    </xf>
    <xf numFmtId="0" fontId="54" fillId="0" borderId="18" xfId="3" applyFont="1" applyBorder="1" applyAlignment="1">
      <alignment horizontal="right"/>
    </xf>
    <xf numFmtId="0" fontId="56" fillId="0" borderId="3" xfId="3" applyFont="1" applyBorder="1" applyAlignment="1">
      <alignment horizontal="right"/>
    </xf>
    <xf numFmtId="166" fontId="56" fillId="0" borderId="40" xfId="3" applyNumberFormat="1" applyFont="1" applyBorder="1" applyAlignment="1">
      <alignment horizontal="center"/>
    </xf>
    <xf numFmtId="166" fontId="56" fillId="0" borderId="41" xfId="3" applyNumberFormat="1" applyFont="1" applyBorder="1" applyAlignment="1">
      <alignment horizontal="center"/>
    </xf>
    <xf numFmtId="166" fontId="56" fillId="0" borderId="40" xfId="3" applyNumberFormat="1" applyFont="1" applyBorder="1" applyAlignment="1">
      <alignment horizontal="right" wrapText="1"/>
    </xf>
    <xf numFmtId="166" fontId="56" fillId="0" borderId="18" xfId="3" applyNumberFormat="1" applyFont="1" applyBorder="1" applyAlignment="1">
      <alignment horizontal="right" wrapText="1"/>
    </xf>
    <xf numFmtId="166" fontId="56" fillId="0" borderId="40" xfId="0" applyNumberFormat="1" applyFont="1" applyBorder="1" applyAlignment="1">
      <alignment horizontal="center" wrapText="1"/>
    </xf>
    <xf numFmtId="166" fontId="56" fillId="0" borderId="41" xfId="0" applyNumberFormat="1" applyFont="1" applyBorder="1" applyAlignment="1">
      <alignment horizontal="center" wrapText="1"/>
    </xf>
    <xf numFmtId="0" fontId="54" fillId="0" borderId="21" xfId="3" applyFont="1" applyBorder="1" applyAlignment="1">
      <alignment horizontal="right"/>
    </xf>
    <xf numFmtId="0" fontId="54" fillId="0" borderId="30" xfId="3" applyFont="1" applyBorder="1" applyAlignment="1">
      <alignment horizontal="right"/>
    </xf>
    <xf numFmtId="0" fontId="54" fillId="0" borderId="5" xfId="3" applyFont="1" applyBorder="1" applyAlignment="1">
      <alignment horizontal="right"/>
    </xf>
    <xf numFmtId="0" fontId="56" fillId="0" borderId="5" xfId="3" applyFont="1" applyBorder="1" applyAlignment="1">
      <alignment horizontal="right"/>
    </xf>
    <xf numFmtId="0" fontId="54" fillId="3" borderId="43" xfId="3" applyFont="1" applyFill="1" applyBorder="1" applyAlignment="1">
      <alignment horizontal="center"/>
    </xf>
    <xf numFmtId="0" fontId="54" fillId="3" borderId="44" xfId="3" applyFont="1" applyFill="1" applyBorder="1" applyAlignment="1">
      <alignment horizontal="center"/>
    </xf>
    <xf numFmtId="0" fontId="54" fillId="3" borderId="62" xfId="3" applyFont="1" applyFill="1" applyBorder="1" applyAlignment="1">
      <alignment horizontal="center"/>
    </xf>
    <xf numFmtId="0" fontId="54" fillId="0" borderId="19" xfId="3" applyFont="1" applyBorder="1" applyAlignment="1">
      <alignment horizontal="right"/>
    </xf>
    <xf numFmtId="0" fontId="54" fillId="0" borderId="31" xfId="3" applyFont="1" applyBorder="1" applyAlignment="1">
      <alignment horizontal="right"/>
    </xf>
    <xf numFmtId="0" fontId="54" fillId="0" borderId="16" xfId="3" applyFont="1" applyBorder="1" applyAlignment="1">
      <alignment horizontal="right"/>
    </xf>
    <xf numFmtId="166" fontId="56" fillId="0" borderId="12" xfId="3" applyNumberFormat="1" applyFont="1" applyBorder="1" applyAlignment="1">
      <alignment horizontal="right"/>
    </xf>
    <xf numFmtId="0" fontId="56" fillId="2" borderId="13" xfId="3" applyFont="1" applyFill="1" applyBorder="1" applyAlignment="1">
      <alignment horizontal="center"/>
    </xf>
    <xf numFmtId="0" fontId="56" fillId="2" borderId="39" xfId="3" applyFont="1" applyFill="1" applyBorder="1" applyAlignment="1">
      <alignment horizontal="center"/>
    </xf>
    <xf numFmtId="0" fontId="54" fillId="2" borderId="0" xfId="4" applyFont="1" applyFill="1" applyAlignment="1">
      <alignment horizontal="right"/>
    </xf>
    <xf numFmtId="0" fontId="55" fillId="2" borderId="35" xfId="4" applyFont="1" applyFill="1" applyBorder="1" applyAlignment="1">
      <alignment horizontal="center"/>
    </xf>
    <xf numFmtId="0" fontId="54" fillId="2" borderId="0" xfId="4" applyFont="1" applyFill="1"/>
    <xf numFmtId="0" fontId="53" fillId="3" borderId="42" xfId="3" applyFont="1" applyFill="1" applyBorder="1" applyAlignment="1">
      <alignment horizontal="center" vertical="center"/>
    </xf>
    <xf numFmtId="0" fontId="53" fillId="3" borderId="21" xfId="3" applyFont="1" applyFill="1" applyBorder="1" applyAlignment="1">
      <alignment horizontal="center" vertical="center"/>
    </xf>
    <xf numFmtId="0" fontId="53" fillId="3" borderId="42" xfId="3" applyFont="1" applyFill="1" applyBorder="1" applyAlignment="1">
      <alignment horizontal="center" vertical="center" wrapText="1"/>
    </xf>
    <xf numFmtId="0" fontId="53" fillId="3" borderId="21" xfId="3" applyFont="1" applyFill="1" applyBorder="1" applyAlignment="1">
      <alignment horizontal="center" vertical="center" wrapText="1"/>
    </xf>
    <xf numFmtId="0" fontId="53" fillId="3" borderId="1" xfId="3" applyFont="1" applyFill="1" applyBorder="1" applyAlignment="1">
      <alignment horizontal="center" vertical="center"/>
    </xf>
    <xf numFmtId="0" fontId="53" fillId="3" borderId="5" xfId="3" applyFont="1" applyFill="1" applyBorder="1" applyAlignment="1">
      <alignment horizontal="center" vertical="center"/>
    </xf>
    <xf numFmtId="14" fontId="52" fillId="2" borderId="55" xfId="4" applyNumberFormat="1" applyFont="1" applyFill="1" applyBorder="1" applyAlignment="1">
      <alignment horizontal="center" vertical="center" wrapText="1"/>
    </xf>
    <xf numFmtId="14" fontId="52" fillId="2" borderId="56" xfId="4" applyNumberFormat="1" applyFont="1" applyFill="1" applyBorder="1" applyAlignment="1">
      <alignment horizontal="center" vertical="center" wrapText="1"/>
    </xf>
    <xf numFmtId="14" fontId="52" fillId="2" borderId="14" xfId="4" applyNumberFormat="1" applyFont="1" applyFill="1" applyBorder="1" applyAlignment="1">
      <alignment horizontal="center" vertical="center" wrapText="1"/>
    </xf>
    <xf numFmtId="0" fontId="52" fillId="2" borderId="13" xfId="4" applyFont="1" applyFill="1" applyBorder="1" applyAlignment="1">
      <alignment horizontal="left"/>
    </xf>
    <xf numFmtId="0" fontId="52" fillId="2" borderId="31" xfId="4" applyFont="1" applyFill="1" applyBorder="1" applyAlignment="1">
      <alignment horizontal="left"/>
    </xf>
    <xf numFmtId="0" fontId="52" fillId="2" borderId="16" xfId="4" applyFont="1" applyFill="1" applyBorder="1" applyAlignment="1">
      <alignment horizontal="left"/>
    </xf>
    <xf numFmtId="0" fontId="52" fillId="2" borderId="40" xfId="4" applyFont="1" applyFill="1" applyBorder="1" applyAlignment="1">
      <alignment horizontal="left"/>
    </xf>
    <xf numFmtId="0" fontId="52" fillId="2" borderId="29" xfId="4" applyFont="1" applyFill="1" applyBorder="1" applyAlignment="1">
      <alignment horizontal="left"/>
    </xf>
    <xf numFmtId="0" fontId="52" fillId="2" borderId="18" xfId="4" applyFont="1" applyFill="1" applyBorder="1" applyAlignment="1">
      <alignment horizontal="left"/>
    </xf>
    <xf numFmtId="0" fontId="52" fillId="2" borderId="43" xfId="4" applyFont="1" applyFill="1" applyBorder="1" applyAlignment="1">
      <alignment horizontal="center"/>
    </xf>
    <xf numFmtId="0" fontId="52" fillId="2" borderId="44" xfId="4" applyFont="1" applyFill="1" applyBorder="1" applyAlignment="1">
      <alignment horizontal="center"/>
    </xf>
    <xf numFmtId="0" fontId="52" fillId="2" borderId="7" xfId="4" applyFont="1" applyFill="1" applyBorder="1" applyAlignment="1">
      <alignment horizontal="center"/>
    </xf>
    <xf numFmtId="0" fontId="52" fillId="2" borderId="0" xfId="4" applyFont="1" applyFill="1" applyAlignment="1">
      <alignment horizontal="center"/>
    </xf>
    <xf numFmtId="0" fontId="52" fillId="2" borderId="19" xfId="4" applyFont="1" applyFill="1" applyBorder="1" applyAlignment="1">
      <alignment horizontal="center"/>
    </xf>
    <xf numFmtId="0" fontId="52" fillId="2" borderId="31" xfId="4" applyFont="1" applyFill="1" applyBorder="1" applyAlignment="1">
      <alignment horizontal="center"/>
    </xf>
    <xf numFmtId="0" fontId="53" fillId="2" borderId="1" xfId="4" applyFont="1" applyFill="1" applyBorder="1" applyAlignment="1">
      <alignment horizontal="center"/>
    </xf>
    <xf numFmtId="0" fontId="53" fillId="2" borderId="60" xfId="4" applyFont="1" applyFill="1" applyBorder="1" applyAlignment="1">
      <alignment horizontal="center"/>
    </xf>
    <xf numFmtId="0" fontId="53" fillId="2" borderId="61" xfId="4" applyFont="1" applyFill="1" applyBorder="1" applyAlignment="1">
      <alignment horizontal="center"/>
    </xf>
    <xf numFmtId="0" fontId="53" fillId="2" borderId="53" xfId="4" applyFont="1" applyFill="1" applyBorder="1" applyAlignment="1">
      <alignment horizontal="center"/>
    </xf>
    <xf numFmtId="0" fontId="57" fillId="17" borderId="3" xfId="3" applyFont="1" applyFill="1" applyBorder="1" applyAlignment="1">
      <alignment horizontal="center" vertical="center"/>
    </xf>
    <xf numFmtId="0" fontId="53" fillId="2" borderId="53" xfId="4" applyFont="1" applyFill="1" applyBorder="1" applyAlignment="1">
      <alignment horizontal="right" vertical="top" wrapText="1"/>
    </xf>
    <xf numFmtId="0" fontId="53" fillId="2" borderId="54" xfId="4" applyFont="1" applyFill="1" applyBorder="1" applyAlignment="1">
      <alignment horizontal="right" vertical="top" wrapText="1"/>
    </xf>
    <xf numFmtId="0" fontId="53" fillId="2" borderId="58" xfId="4" applyFont="1" applyFill="1" applyBorder="1" applyAlignment="1">
      <alignment horizontal="right" vertical="top" wrapText="1"/>
    </xf>
  </cellXfs>
  <cellStyles count="7">
    <cellStyle name="Millares" xfId="1" builtinId="3"/>
    <cellStyle name="Millares [0]" xfId="2" builtinId="6"/>
    <cellStyle name="Normal" xfId="0" builtinId="0"/>
    <cellStyle name="Normal 2" xfId="3" xr:uid="{73EC8CCE-054D-42E6-B852-333AA0BF2BB3}"/>
    <cellStyle name="Normal 3" xfId="6" xr:uid="{77890692-8518-4998-B54A-63176B395DAE}"/>
    <cellStyle name="Normal_CRITERIOS DE EVALUACION PT DE GB 2" xfId="4" xr:uid="{73218FAE-95CF-4CC1-ACE9-F9783676033D}"/>
    <cellStyle name="Porcentaje 2" xfId="5" xr:uid="{92FB5F10-7F6D-455B-AD70-A4D1F7D153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62" name="Picture 2">
          <a:extLst>
            <a:ext uri="{FF2B5EF4-FFF2-40B4-BE49-F238E27FC236}">
              <a16:creationId xmlns:a16="http://schemas.microsoft.com/office/drawing/2014/main" id="{A1628773-BF35-BD0F-1E7F-F36768B55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63" name="Picture 3">
          <a:extLst>
            <a:ext uri="{FF2B5EF4-FFF2-40B4-BE49-F238E27FC236}">
              <a16:creationId xmlns:a16="http://schemas.microsoft.com/office/drawing/2014/main" id="{3408F75F-7D9F-B9FD-7467-CF5216B35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64" name="Picture 5">
          <a:extLst>
            <a:ext uri="{FF2B5EF4-FFF2-40B4-BE49-F238E27FC236}">
              <a16:creationId xmlns:a16="http://schemas.microsoft.com/office/drawing/2014/main" id="{7018C929-7835-49C1-A7D9-02E824FE1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65" name="Picture 6">
          <a:extLst>
            <a:ext uri="{FF2B5EF4-FFF2-40B4-BE49-F238E27FC236}">
              <a16:creationId xmlns:a16="http://schemas.microsoft.com/office/drawing/2014/main" id="{42B41E44-2E91-3CEE-4E13-39628E79F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66" name="Picture 7">
          <a:extLst>
            <a:ext uri="{FF2B5EF4-FFF2-40B4-BE49-F238E27FC236}">
              <a16:creationId xmlns:a16="http://schemas.microsoft.com/office/drawing/2014/main" id="{A82A353A-07DB-9F60-2CFB-E56F13379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67" name="Picture 8">
          <a:extLst>
            <a:ext uri="{FF2B5EF4-FFF2-40B4-BE49-F238E27FC236}">
              <a16:creationId xmlns:a16="http://schemas.microsoft.com/office/drawing/2014/main" id="{222AF325-0DFD-C5F7-AF42-7DAA2A46B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68" name="Picture 9">
          <a:extLst>
            <a:ext uri="{FF2B5EF4-FFF2-40B4-BE49-F238E27FC236}">
              <a16:creationId xmlns:a16="http://schemas.microsoft.com/office/drawing/2014/main" id="{BB3939D9-C8BB-BA96-5591-C7114E69D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69" name="Picture 10">
          <a:extLst>
            <a:ext uri="{FF2B5EF4-FFF2-40B4-BE49-F238E27FC236}">
              <a16:creationId xmlns:a16="http://schemas.microsoft.com/office/drawing/2014/main" id="{469724B6-BA3D-EE06-BC87-7BEE192F0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0" name="Picture 11">
          <a:extLst>
            <a:ext uri="{FF2B5EF4-FFF2-40B4-BE49-F238E27FC236}">
              <a16:creationId xmlns:a16="http://schemas.microsoft.com/office/drawing/2014/main" id="{353E0F37-2CDB-0B89-92B8-414820261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1" name="Picture 12">
          <a:extLst>
            <a:ext uri="{FF2B5EF4-FFF2-40B4-BE49-F238E27FC236}">
              <a16:creationId xmlns:a16="http://schemas.microsoft.com/office/drawing/2014/main" id="{6CA6DEB2-04DD-AC8D-0774-709F30D2F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2" name="Picture 14">
          <a:extLst>
            <a:ext uri="{FF2B5EF4-FFF2-40B4-BE49-F238E27FC236}">
              <a16:creationId xmlns:a16="http://schemas.microsoft.com/office/drawing/2014/main" id="{DC7738EE-CEC7-553D-9E44-A98910D98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3" name="Picture 15">
          <a:extLst>
            <a:ext uri="{FF2B5EF4-FFF2-40B4-BE49-F238E27FC236}">
              <a16:creationId xmlns:a16="http://schemas.microsoft.com/office/drawing/2014/main" id="{30B4BC1D-FB40-7448-4770-FEF6E75B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4" name="Picture 16">
          <a:extLst>
            <a:ext uri="{FF2B5EF4-FFF2-40B4-BE49-F238E27FC236}">
              <a16:creationId xmlns:a16="http://schemas.microsoft.com/office/drawing/2014/main" id="{9972A1F5-552C-5A50-1E6A-9EECE63DD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5" name="Picture 17">
          <a:extLst>
            <a:ext uri="{FF2B5EF4-FFF2-40B4-BE49-F238E27FC236}">
              <a16:creationId xmlns:a16="http://schemas.microsoft.com/office/drawing/2014/main" id="{96B27536-E5F3-EBA8-7C3A-126B1619C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6" name="Picture 18">
          <a:extLst>
            <a:ext uri="{FF2B5EF4-FFF2-40B4-BE49-F238E27FC236}">
              <a16:creationId xmlns:a16="http://schemas.microsoft.com/office/drawing/2014/main" id="{FF5E1836-326C-1B5B-8200-3698EC16E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7" name="Picture 19">
          <a:extLst>
            <a:ext uri="{FF2B5EF4-FFF2-40B4-BE49-F238E27FC236}">
              <a16:creationId xmlns:a16="http://schemas.microsoft.com/office/drawing/2014/main" id="{33888987-0742-7733-7DE9-0AB0CE594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8" name="Picture 20">
          <a:extLst>
            <a:ext uri="{FF2B5EF4-FFF2-40B4-BE49-F238E27FC236}">
              <a16:creationId xmlns:a16="http://schemas.microsoft.com/office/drawing/2014/main" id="{427E560C-F16D-00E6-B6A7-F50DDD17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79" name="Picture 21">
          <a:extLst>
            <a:ext uri="{FF2B5EF4-FFF2-40B4-BE49-F238E27FC236}">
              <a16:creationId xmlns:a16="http://schemas.microsoft.com/office/drawing/2014/main" id="{375C0B5D-22CC-39B3-69D8-B1E055963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80" name="Picture 22">
          <a:extLst>
            <a:ext uri="{FF2B5EF4-FFF2-40B4-BE49-F238E27FC236}">
              <a16:creationId xmlns:a16="http://schemas.microsoft.com/office/drawing/2014/main" id="{DB79FED1-2364-94BC-E19B-579EF357E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81" name="Picture 23">
          <a:extLst>
            <a:ext uri="{FF2B5EF4-FFF2-40B4-BE49-F238E27FC236}">
              <a16:creationId xmlns:a16="http://schemas.microsoft.com/office/drawing/2014/main" id="{9F8BA640-378A-5EEF-C6B4-80C74C855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82" name="Picture 24">
          <a:extLst>
            <a:ext uri="{FF2B5EF4-FFF2-40B4-BE49-F238E27FC236}">
              <a16:creationId xmlns:a16="http://schemas.microsoft.com/office/drawing/2014/main" id="{46C4B47B-91B2-7692-424A-2BCBE563F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83" name="Picture 25">
          <a:extLst>
            <a:ext uri="{FF2B5EF4-FFF2-40B4-BE49-F238E27FC236}">
              <a16:creationId xmlns:a16="http://schemas.microsoft.com/office/drawing/2014/main" id="{FE390A31-17ED-ECB1-3DBE-05073E7B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84" name="Picture 27">
          <a:extLst>
            <a:ext uri="{FF2B5EF4-FFF2-40B4-BE49-F238E27FC236}">
              <a16:creationId xmlns:a16="http://schemas.microsoft.com/office/drawing/2014/main" id="{6347E8BD-4E2E-0064-66A2-61C14EB40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85" name="Picture 28">
          <a:extLst>
            <a:ext uri="{FF2B5EF4-FFF2-40B4-BE49-F238E27FC236}">
              <a16:creationId xmlns:a16="http://schemas.microsoft.com/office/drawing/2014/main" id="{C97B8BD2-6E8B-300D-E010-BC9F8136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86" name="Picture 29">
          <a:extLst>
            <a:ext uri="{FF2B5EF4-FFF2-40B4-BE49-F238E27FC236}">
              <a16:creationId xmlns:a16="http://schemas.microsoft.com/office/drawing/2014/main" id="{3D664D47-11B0-1E16-7B74-E9AA03A9C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1887" name="Picture 30">
          <a:extLst>
            <a:ext uri="{FF2B5EF4-FFF2-40B4-BE49-F238E27FC236}">
              <a16:creationId xmlns:a16="http://schemas.microsoft.com/office/drawing/2014/main" id="{DD0EBD43-EB3C-51D3-3DE0-9D208A46A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139700</xdr:colOff>
      <xdr:row>0</xdr:row>
      <xdr:rowOff>95250</xdr:rowOff>
    </xdr:from>
    <xdr:to>
      <xdr:col>0</xdr:col>
      <xdr:colOff>958850</xdr:colOff>
      <xdr:row>2</xdr:row>
      <xdr:rowOff>387350</xdr:rowOff>
    </xdr:to>
    <xdr:pic>
      <xdr:nvPicPr>
        <xdr:cNvPr id="1888" name="Picture 1" descr="LOGO FINAL">
          <a:extLst>
            <a:ext uri="{FF2B5EF4-FFF2-40B4-BE49-F238E27FC236}">
              <a16:creationId xmlns:a16="http://schemas.microsoft.com/office/drawing/2014/main" id="{67EDF260-8D76-A56A-5DC0-28A0A5811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1915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0</xdr:col>
      <xdr:colOff>958850</xdr:colOff>
      <xdr:row>4</xdr:row>
      <xdr:rowOff>19050</xdr:rowOff>
    </xdr:to>
    <xdr:pic>
      <xdr:nvPicPr>
        <xdr:cNvPr id="3094" name="Picture 1" descr="LOGO FINAL">
          <a:extLst>
            <a:ext uri="{FF2B5EF4-FFF2-40B4-BE49-F238E27FC236}">
              <a16:creationId xmlns:a16="http://schemas.microsoft.com/office/drawing/2014/main" id="{194C0025-136A-213D-4FD9-BF3288690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81915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0</xdr:row>
      <xdr:rowOff>163286</xdr:rowOff>
    </xdr:from>
    <xdr:to>
      <xdr:col>1</xdr:col>
      <xdr:colOff>943301</xdr:colOff>
      <xdr:row>3</xdr:row>
      <xdr:rowOff>222816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11DF0DF-B872-49A8-B882-AFB6D088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9" y="163286"/>
          <a:ext cx="2018265" cy="911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arodriguez/Desktop/recetas%20icg%20proyecto/Prueba%20Alejandro.xls" TargetMode="External"/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OSTOS%202013/LISTA%20COSTOS%20ALE.xls" TargetMode="External"/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món y Queso Suizo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>
        <row r="2">
          <cell r="A2"/>
        </row>
      </sheetData>
      <sheetData sheetId="1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2622</v>
          </cell>
          <cell r="J2">
            <v>315302</v>
          </cell>
          <cell r="K2">
            <v>454</v>
          </cell>
          <cell r="L2">
            <v>5.7753303964757707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1</v>
          </cell>
          <cell r="J4">
            <v>540075</v>
          </cell>
          <cell r="K4">
            <v>24</v>
          </cell>
          <cell r="L4">
            <v>4.1666666666666664E-2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800</v>
          </cell>
          <cell r="J6">
            <v>63200</v>
          </cell>
          <cell r="K6">
            <v>1000</v>
          </cell>
          <cell r="L6">
            <v>0.8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2600</v>
          </cell>
          <cell r="J7">
            <v>233308</v>
          </cell>
          <cell r="K7">
            <v>1000</v>
          </cell>
          <cell r="L7">
            <v>2.6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1975</v>
          </cell>
          <cell r="J8">
            <v>24718527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</v>
          </cell>
          <cell r="J9">
            <v>3706917.5</v>
          </cell>
          <cell r="K9">
            <v>1000</v>
          </cell>
          <cell r="L9">
            <v>1E-3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101065</v>
          </cell>
          <cell r="B15">
            <v>5429</v>
          </cell>
          <cell r="C15" t="str">
            <v>COLIFLOR KILO</v>
          </cell>
          <cell r="D15" t="str">
            <v>101065</v>
          </cell>
          <cell r="E15" t="str">
            <v>MATERIAS PRIMAS PLANTA</v>
          </cell>
          <cell r="F15" t="str">
            <v>1 KILO</v>
          </cell>
          <cell r="G15">
            <v>500</v>
          </cell>
          <cell r="H15" t="str">
            <v>13/06/2020</v>
          </cell>
          <cell r="I15">
            <v>2179</v>
          </cell>
          <cell r="J15">
            <v>145742</v>
          </cell>
          <cell r="K15">
            <v>1000</v>
          </cell>
          <cell r="L15">
            <v>2.1789999999999998</v>
          </cell>
          <cell r="M15" t="str">
            <v>Gramos</v>
          </cell>
        </row>
        <row r="16">
          <cell r="A16" t="str">
            <v>101072</v>
          </cell>
          <cell r="B16">
            <v>5504</v>
          </cell>
          <cell r="C16" t="str">
            <v>CULANTRO DESINFECTADO (PAQ:100g)</v>
          </cell>
          <cell r="D16" t="str">
            <v>101072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15/06/2020</v>
          </cell>
          <cell r="I16">
            <v>1</v>
          </cell>
          <cell r="J16">
            <v>674311</v>
          </cell>
          <cell r="K16">
            <v>100</v>
          </cell>
          <cell r="L16">
            <v>0.01</v>
          </cell>
          <cell r="M16" t="str">
            <v>Gramos</v>
          </cell>
        </row>
        <row r="17">
          <cell r="A17" t="str">
            <v>101073</v>
          </cell>
          <cell r="B17">
            <v>5503</v>
          </cell>
          <cell r="C17" t="str">
            <v>CULANTRO DESINFECTADO (PAQ:250g)</v>
          </cell>
          <cell r="D17" t="str">
            <v>101073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667</v>
          </cell>
          <cell r="J17">
            <v>2805241</v>
          </cell>
          <cell r="K17">
            <v>250</v>
          </cell>
          <cell r="L17">
            <v>2.6680000000000001</v>
          </cell>
          <cell r="M17" t="str">
            <v>Gramos</v>
          </cell>
        </row>
        <row r="18">
          <cell r="A18" t="str">
            <v>0101074</v>
          </cell>
          <cell r="B18">
            <v>5453</v>
          </cell>
          <cell r="C18" t="str">
            <v>PEREJIL DESINFECTADO (PAQ: 250g)</v>
          </cell>
          <cell r="D18" t="str">
            <v>0101074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13/06/2020</v>
          </cell>
          <cell r="I18">
            <v>2051</v>
          </cell>
          <cell r="J18">
            <v>672366.75</v>
          </cell>
          <cell r="K18">
            <v>250</v>
          </cell>
          <cell r="L18">
            <v>8.2040000000000006</v>
          </cell>
          <cell r="M18" t="str">
            <v>Gramos</v>
          </cell>
        </row>
        <row r="19">
          <cell r="A19" t="str">
            <v>0101075</v>
          </cell>
          <cell r="B19">
            <v>5472</v>
          </cell>
          <cell r="C19" t="str">
            <v>ESPINACA EN HOJA (PAQ:500g)</v>
          </cell>
          <cell r="D19" t="str">
            <v>0101075</v>
          </cell>
          <cell r="E19" t="str">
            <v>MATERIAS PRIMAS PLANTA</v>
          </cell>
          <cell r="F19" t="str">
            <v>1 PAQUETE</v>
          </cell>
          <cell r="G19">
            <v>500</v>
          </cell>
          <cell r="H19" t="str">
            <v>15/06/2020</v>
          </cell>
          <cell r="I19">
            <v>1436</v>
          </cell>
          <cell r="J19">
            <v>2879884</v>
          </cell>
          <cell r="K19">
            <v>500</v>
          </cell>
          <cell r="L19">
            <v>2.8719999999999999</v>
          </cell>
          <cell r="M19" t="str">
            <v>Gramos</v>
          </cell>
        </row>
        <row r="20">
          <cell r="A20" t="str">
            <v>101081</v>
          </cell>
          <cell r="B20">
            <v>5423</v>
          </cell>
          <cell r="C20" t="str">
            <v>FRESA PICADA KILO</v>
          </cell>
          <cell r="D20" t="str">
            <v>101081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12/06/2020</v>
          </cell>
          <cell r="I20">
            <v>2425</v>
          </cell>
          <cell r="J20">
            <v>10100125</v>
          </cell>
          <cell r="K20">
            <v>1000</v>
          </cell>
          <cell r="L20">
            <v>2.4249999999999998</v>
          </cell>
          <cell r="M20" t="str">
            <v>Gramos</v>
          </cell>
        </row>
        <row r="21">
          <cell r="A21" t="str">
            <v>0101100</v>
          </cell>
          <cell r="B21">
            <v>8141</v>
          </cell>
          <cell r="C21" t="str">
            <v>HOJA TAMAL KILO</v>
          </cell>
          <cell r="D21" t="str">
            <v>0101100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12/03/2020</v>
          </cell>
          <cell r="I21">
            <v>1425</v>
          </cell>
          <cell r="J21">
            <v>2778460</v>
          </cell>
          <cell r="K21">
            <v>1000</v>
          </cell>
          <cell r="L21">
            <v>1.425</v>
          </cell>
          <cell r="M21" t="str">
            <v>Gramos</v>
          </cell>
        </row>
        <row r="22">
          <cell r="A22" t="str">
            <v>0101105</v>
          </cell>
          <cell r="B22">
            <v>11447</v>
          </cell>
          <cell r="C22" t="str">
            <v>HONGO FRESCO REBANADO (KILO)</v>
          </cell>
          <cell r="D22" t="str">
            <v>0101105</v>
          </cell>
          <cell r="E22" t="str">
            <v>MATERIAS PRIMAS PLANTA</v>
          </cell>
          <cell r="F22" t="str">
            <v>1 KILO</v>
          </cell>
          <cell r="G22">
            <v>500</v>
          </cell>
          <cell r="H22" t="str">
            <v>15/06/2020</v>
          </cell>
          <cell r="I22">
            <v>3000</v>
          </cell>
          <cell r="J22">
            <v>2070810</v>
          </cell>
          <cell r="K22">
            <v>1000</v>
          </cell>
          <cell r="L22">
            <v>3</v>
          </cell>
          <cell r="M22" t="str">
            <v>Gramos</v>
          </cell>
        </row>
        <row r="23">
          <cell r="A23" t="str">
            <v>0101107</v>
          </cell>
          <cell r="B23">
            <v>5298</v>
          </cell>
          <cell r="C23" t="str">
            <v>HONGO REBANADOS (UND: 2.84 kg)</v>
          </cell>
          <cell r="D23" t="str">
            <v>0101107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08/06/2020</v>
          </cell>
          <cell r="I23">
            <v>3212</v>
          </cell>
          <cell r="J23">
            <v>347345</v>
          </cell>
          <cell r="K23">
            <v>2840</v>
          </cell>
          <cell r="L23">
            <v>1.1309859154929578</v>
          </cell>
          <cell r="M23" t="str">
            <v>Gramos</v>
          </cell>
        </row>
        <row r="24">
          <cell r="A24" t="str">
            <v>101115</v>
          </cell>
          <cell r="B24">
            <v>5500</v>
          </cell>
          <cell r="C24" t="str">
            <v>CHILE DULCE PICADO (PAQ:500g)</v>
          </cell>
          <cell r="D24" t="str">
            <v>101115</v>
          </cell>
          <cell r="E24" t="str">
            <v>MATERIAS PRIMAS PLANTA</v>
          </cell>
          <cell r="F24" t="str">
            <v>1 PAQUETE</v>
          </cell>
          <cell r="G24">
            <v>500</v>
          </cell>
          <cell r="H24" t="str">
            <v>15/06/2020</v>
          </cell>
          <cell r="I24">
            <v>1121.7</v>
          </cell>
          <cell r="J24">
            <v>6620073</v>
          </cell>
          <cell r="K24">
            <v>500</v>
          </cell>
          <cell r="L24">
            <v>2.2434000000000003</v>
          </cell>
          <cell r="M24" t="str">
            <v>Gramos</v>
          </cell>
        </row>
        <row r="25">
          <cell r="A25" t="str">
            <v>0101130</v>
          </cell>
          <cell r="B25">
            <v>5497</v>
          </cell>
          <cell r="C25" t="str">
            <v>LIMONES MAYA (UND)</v>
          </cell>
          <cell r="D25" t="str">
            <v>0101130</v>
          </cell>
          <cell r="E25" t="str">
            <v>MATERIAS PRIMAS PLANTA</v>
          </cell>
          <cell r="F25" t="str">
            <v>1 UND</v>
          </cell>
          <cell r="G25">
            <v>500</v>
          </cell>
          <cell r="H25" t="str">
            <v>15/06/2020</v>
          </cell>
          <cell r="I25">
            <v>170</v>
          </cell>
          <cell r="J25">
            <v>8672705</v>
          </cell>
          <cell r="K25">
            <v>1</v>
          </cell>
          <cell r="L25">
            <v>170</v>
          </cell>
          <cell r="M25" t="str">
            <v>und</v>
          </cell>
        </row>
        <row r="26">
          <cell r="A26" t="str">
            <v>0101132</v>
          </cell>
          <cell r="B26">
            <v>5654</v>
          </cell>
          <cell r="C26" t="str">
            <v>LIMON EN POLVO (SACO:25 KG)</v>
          </cell>
          <cell r="D26" t="str">
            <v>0101132</v>
          </cell>
          <cell r="E26" t="str">
            <v>MATERIAS PRIMAS PLANTA</v>
          </cell>
          <cell r="F26" t="str">
            <v xml:space="preserve">1 SACO </v>
          </cell>
          <cell r="G26">
            <v>500</v>
          </cell>
          <cell r="H26" t="str">
            <v>08/06/2020</v>
          </cell>
          <cell r="I26">
            <v>85911.5</v>
          </cell>
          <cell r="J26">
            <v>1528712.75</v>
          </cell>
          <cell r="K26">
            <v>25000</v>
          </cell>
          <cell r="L26">
            <v>3.4364599999999998</v>
          </cell>
          <cell r="M26" t="str">
            <v>Gramos</v>
          </cell>
        </row>
        <row r="27">
          <cell r="A27" t="str">
            <v>0101133</v>
          </cell>
          <cell r="B27">
            <v>5496</v>
          </cell>
          <cell r="C27" t="str">
            <v>LECHUGA MIX CUADRO # 2 (PAQ:500g)</v>
          </cell>
          <cell r="D27" t="str">
            <v>0101133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15/06/2020</v>
          </cell>
          <cell r="I27">
            <v>1</v>
          </cell>
          <cell r="J27">
            <v>19549245</v>
          </cell>
          <cell r="K27">
            <v>500</v>
          </cell>
          <cell r="L27">
            <v>2E-3</v>
          </cell>
          <cell r="M27" t="str">
            <v>Gramos</v>
          </cell>
        </row>
        <row r="28">
          <cell r="A28" t="str">
            <v>0101145</v>
          </cell>
          <cell r="B28">
            <v>11238</v>
          </cell>
          <cell r="C28" t="str">
            <v>ROMERO FRESCO KILO</v>
          </cell>
          <cell r="D28" t="str">
            <v>0101145</v>
          </cell>
          <cell r="E28" t="str">
            <v>MATERIAS PRIMAS PLANTA</v>
          </cell>
          <cell r="F28" t="str">
            <v xml:space="preserve">1 KILO </v>
          </cell>
          <cell r="G28">
            <v>500</v>
          </cell>
          <cell r="H28" t="str">
            <v>20/12/2019</v>
          </cell>
          <cell r="I28">
            <v>2500</v>
          </cell>
          <cell r="J28">
            <v>4500</v>
          </cell>
          <cell r="K28">
            <v>1000</v>
          </cell>
          <cell r="L28">
            <v>2.5</v>
          </cell>
          <cell r="M28" t="str">
            <v>Gramos</v>
          </cell>
        </row>
        <row r="29">
          <cell r="A29" t="str">
            <v>101150</v>
          </cell>
          <cell r="B29">
            <v>5494</v>
          </cell>
          <cell r="C29" t="str">
            <v>APIO PICADO (PAQ:500gr)</v>
          </cell>
          <cell r="D29" t="str">
            <v>101150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872</v>
          </cell>
          <cell r="J29">
            <v>2798220</v>
          </cell>
          <cell r="K29">
            <v>500</v>
          </cell>
          <cell r="L29">
            <v>1.744</v>
          </cell>
          <cell r="M29" t="str">
            <v>Gramos</v>
          </cell>
        </row>
        <row r="30">
          <cell r="A30" t="str">
            <v>101151</v>
          </cell>
          <cell r="B30">
            <v>13413</v>
          </cell>
          <cell r="C30" t="str">
            <v>AJI PERUANO (KILO)</v>
          </cell>
          <cell r="D30" t="str">
            <v>101151</v>
          </cell>
          <cell r="E30" t="str">
            <v>MATERIAS PRIMAS PLANTA</v>
          </cell>
          <cell r="F30" t="str">
            <v xml:space="preserve">1 KILO </v>
          </cell>
          <cell r="G30">
            <v>500</v>
          </cell>
          <cell r="H30" t="str">
            <v>31/12/2019</v>
          </cell>
          <cell r="I30">
            <v>2500</v>
          </cell>
          <cell r="J30">
            <v>75500</v>
          </cell>
          <cell r="K30">
            <v>1000</v>
          </cell>
          <cell r="L30">
            <v>2.5</v>
          </cell>
          <cell r="M30" t="str">
            <v>Gramos</v>
          </cell>
        </row>
        <row r="31">
          <cell r="A31" t="str">
            <v>0101155</v>
          </cell>
          <cell r="B31">
            <v>5516</v>
          </cell>
          <cell r="C31" t="str">
            <v>PALMITO CRUDO KILO</v>
          </cell>
          <cell r="D31" t="str">
            <v>0101155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08/06/2020</v>
          </cell>
          <cell r="I31">
            <v>2000</v>
          </cell>
          <cell r="J31">
            <v>6988200</v>
          </cell>
          <cell r="K31">
            <v>1000</v>
          </cell>
          <cell r="L31">
            <v>2</v>
          </cell>
          <cell r="M31" t="str">
            <v>Gramos</v>
          </cell>
        </row>
        <row r="32">
          <cell r="A32" t="str">
            <v>0101166</v>
          </cell>
          <cell r="B32">
            <v>5491</v>
          </cell>
          <cell r="C32" t="str">
            <v>PAPA PICADA (PAQ:1 KILO)</v>
          </cell>
          <cell r="D32" t="str">
            <v>0101166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13/06/2020</v>
          </cell>
          <cell r="I32">
            <v>1538</v>
          </cell>
          <cell r="J32">
            <v>3500103</v>
          </cell>
          <cell r="K32">
            <v>1000</v>
          </cell>
          <cell r="L32">
            <v>1.538</v>
          </cell>
          <cell r="M32" t="str">
            <v>Gramos</v>
          </cell>
        </row>
        <row r="33">
          <cell r="A33" t="str">
            <v>0101210</v>
          </cell>
          <cell r="B33">
            <v>5487</v>
          </cell>
          <cell r="C33" t="str">
            <v>TOMATE KILO</v>
          </cell>
          <cell r="D33" t="str">
            <v>0101210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15/06/2020</v>
          </cell>
          <cell r="I33">
            <v>680</v>
          </cell>
          <cell r="J33">
            <v>13077711.15</v>
          </cell>
          <cell r="K33">
            <v>1000</v>
          </cell>
          <cell r="L33">
            <v>0.68</v>
          </cell>
          <cell r="M33" t="str">
            <v>Gramos</v>
          </cell>
        </row>
        <row r="34">
          <cell r="A34" t="str">
            <v>0101236</v>
          </cell>
          <cell r="B34">
            <v>7033</v>
          </cell>
          <cell r="C34" t="str">
            <v>ZANAHORIA JULIANA (PAQ:1 KILO)</v>
          </cell>
          <cell r="D34" t="str">
            <v>0101236</v>
          </cell>
          <cell r="E34" t="str">
            <v>MATERIAS PRIMAS PLANTA</v>
          </cell>
          <cell r="F34" t="str">
            <v>1 PAQUETE</v>
          </cell>
          <cell r="G34">
            <v>500</v>
          </cell>
          <cell r="H34" t="str">
            <v>15/06/2020</v>
          </cell>
          <cell r="I34">
            <v>1841</v>
          </cell>
          <cell r="J34">
            <v>5168379.5</v>
          </cell>
          <cell r="K34">
            <v>1000</v>
          </cell>
          <cell r="L34">
            <v>1.841</v>
          </cell>
          <cell r="M34" t="str">
            <v>Gramos</v>
          </cell>
        </row>
        <row r="35">
          <cell r="A35" t="str">
            <v>0101240</v>
          </cell>
          <cell r="B35">
            <v>5444</v>
          </cell>
          <cell r="C35" t="str">
            <v>ZANAHORIA ENTERA KILO</v>
          </cell>
          <cell r="D35" t="str">
            <v>0101240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615</v>
          </cell>
          <cell r="J35">
            <v>226705</v>
          </cell>
          <cell r="K35">
            <v>1000</v>
          </cell>
          <cell r="L35">
            <v>0.61499999999999999</v>
          </cell>
          <cell r="M35" t="str">
            <v>Gramos</v>
          </cell>
        </row>
        <row r="36">
          <cell r="A36" t="str">
            <v>0101241</v>
          </cell>
          <cell r="B36">
            <v>5485</v>
          </cell>
          <cell r="C36" t="str">
            <v>ZANAHORIA PICADA (PAQ:1 KILO)</v>
          </cell>
          <cell r="D36" t="str">
            <v>0101241</v>
          </cell>
          <cell r="E36" t="str">
            <v>MATERIAS PRIMAS PLANTA</v>
          </cell>
          <cell r="F36" t="str">
            <v>1 PAQUETE</v>
          </cell>
          <cell r="G36">
            <v>500</v>
          </cell>
          <cell r="H36" t="str">
            <v>04/06/2020</v>
          </cell>
          <cell r="I36">
            <v>1020</v>
          </cell>
          <cell r="J36">
            <v>30325</v>
          </cell>
          <cell r="K36">
            <v>1000</v>
          </cell>
          <cell r="L36">
            <v>1.02</v>
          </cell>
          <cell r="M36" t="str">
            <v>Gramos</v>
          </cell>
        </row>
        <row r="37">
          <cell r="A37" t="str">
            <v>0101248</v>
          </cell>
          <cell r="B37">
            <v>5441</v>
          </cell>
          <cell r="C37" t="str">
            <v>ZUQUINI KILO</v>
          </cell>
          <cell r="D37" t="str">
            <v>0101248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14/05/2020</v>
          </cell>
          <cell r="I37">
            <v>575</v>
          </cell>
          <cell r="J37">
            <v>96024.946139795007</v>
          </cell>
          <cell r="K37">
            <v>1000</v>
          </cell>
          <cell r="L37">
            <v>0.57499999999999996</v>
          </cell>
          <cell r="M37" t="str">
            <v>Gramos</v>
          </cell>
        </row>
        <row r="38">
          <cell r="A38" t="str">
            <v>101260</v>
          </cell>
          <cell r="B38">
            <v>5457</v>
          </cell>
          <cell r="C38" t="str">
            <v>ALBAHACA KILO</v>
          </cell>
          <cell r="D38" t="str">
            <v>101260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13/06/2020</v>
          </cell>
          <cell r="I38">
            <v>5148</v>
          </cell>
          <cell r="J38">
            <v>1577342</v>
          </cell>
          <cell r="K38">
            <v>1000</v>
          </cell>
          <cell r="L38">
            <v>5.1479999999999997</v>
          </cell>
          <cell r="M38" t="str">
            <v>Gramos</v>
          </cell>
        </row>
        <row r="39">
          <cell r="A39" t="str">
            <v>105808</v>
          </cell>
          <cell r="B39">
            <v>14409</v>
          </cell>
          <cell r="C39" t="str">
            <v>FRUTOS ROJOS DEL BOSQUE BEGRO (PAQ:1 K)</v>
          </cell>
          <cell r="D39" t="str">
            <v>105808</v>
          </cell>
          <cell r="E39" t="str">
            <v>MATERIAS PRIMAS PLANTA</v>
          </cell>
          <cell r="F39" t="str">
            <v>1 PAQUETE</v>
          </cell>
          <cell r="G39">
            <v>500</v>
          </cell>
          <cell r="H39" t="str">
            <v>21/12/2019</v>
          </cell>
          <cell r="I39">
            <v>4589</v>
          </cell>
          <cell r="J39">
            <v>188149</v>
          </cell>
          <cell r="K39">
            <v>1000</v>
          </cell>
          <cell r="L39">
            <v>4.5890000000000004</v>
          </cell>
          <cell r="M39" t="str">
            <v>Gramos</v>
          </cell>
        </row>
        <row r="40">
          <cell r="A40" t="str">
            <v>109254</v>
          </cell>
          <cell r="B40">
            <v>12095</v>
          </cell>
          <cell r="C40" t="str">
            <v>VASO 3.25 ONZ (PAQ*200)</v>
          </cell>
          <cell r="D40" t="str">
            <v>109254</v>
          </cell>
          <cell r="E40" t="str">
            <v>EMPAQUES PLANTA</v>
          </cell>
          <cell r="F40" t="str">
            <v>1 PAQUETE</v>
          </cell>
          <cell r="G40">
            <v>500</v>
          </cell>
          <cell r="H40" t="str">
            <v>11/06/2020</v>
          </cell>
          <cell r="I40">
            <v>1</v>
          </cell>
          <cell r="J40">
            <v>1159264.8</v>
          </cell>
          <cell r="K40">
            <v>200</v>
          </cell>
          <cell r="L40">
            <v>5.0000000000000001E-3</v>
          </cell>
          <cell r="M40" t="str">
            <v>Gramos</v>
          </cell>
        </row>
        <row r="41">
          <cell r="A41" t="str">
            <v>0110060</v>
          </cell>
          <cell r="B41">
            <v>5471</v>
          </cell>
          <cell r="C41" t="str">
            <v>PULPA DE TAMARINDO KILO</v>
          </cell>
          <cell r="D41" t="str">
            <v>0110060</v>
          </cell>
          <cell r="E41" t="str">
            <v>MATERIAS PRIMAS PLANTA</v>
          </cell>
          <cell r="F41" t="str">
            <v>1 KILO</v>
          </cell>
          <cell r="G41">
            <v>500</v>
          </cell>
          <cell r="H41" t="str">
            <v>16/06/2020</v>
          </cell>
          <cell r="I41">
            <v>1500</v>
          </cell>
          <cell r="J41">
            <v>507000</v>
          </cell>
          <cell r="K41">
            <v>1000</v>
          </cell>
          <cell r="L41">
            <v>1.5</v>
          </cell>
          <cell r="M41" t="str">
            <v>Gramos</v>
          </cell>
        </row>
        <row r="42">
          <cell r="A42" t="str">
            <v>0110080</v>
          </cell>
          <cell r="B42">
            <v>5502</v>
          </cell>
          <cell r="C42" t="str">
            <v>CEBOLLA MORADA KILO</v>
          </cell>
          <cell r="D42" t="str">
            <v>0110080</v>
          </cell>
          <cell r="E42" t="str">
            <v>MATERIAS PRIMAS PLANTA</v>
          </cell>
          <cell r="F42" t="str">
            <v xml:space="preserve">1 KILO </v>
          </cell>
          <cell r="G42">
            <v>500</v>
          </cell>
          <cell r="H42" t="str">
            <v>04/06/2020</v>
          </cell>
          <cell r="I42">
            <v>1500</v>
          </cell>
          <cell r="J42">
            <v>109500</v>
          </cell>
          <cell r="K42">
            <v>1000</v>
          </cell>
          <cell r="L42">
            <v>1.5</v>
          </cell>
          <cell r="M42" t="str">
            <v>Gramos</v>
          </cell>
        </row>
        <row r="43">
          <cell r="A43" t="str">
            <v>0110085</v>
          </cell>
          <cell r="B43">
            <v>5438</v>
          </cell>
          <cell r="C43" t="str">
            <v>PLATANO VERDE PICADO KILO</v>
          </cell>
          <cell r="D43" t="str">
            <v>0110085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30/05/2020</v>
          </cell>
          <cell r="I43">
            <v>1474</v>
          </cell>
          <cell r="J43">
            <v>1891646.5</v>
          </cell>
          <cell r="K43">
            <v>1000</v>
          </cell>
          <cell r="L43">
            <v>1.474</v>
          </cell>
          <cell r="M43" t="str">
            <v>Gramos</v>
          </cell>
        </row>
        <row r="44">
          <cell r="A44" t="str">
            <v>0110086</v>
          </cell>
          <cell r="B44">
            <v>5461</v>
          </cell>
          <cell r="C44" t="str">
            <v>TOMILLO FRESCO ROLLO KILO</v>
          </cell>
          <cell r="D44" t="str">
            <v>0110086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16/06/2020</v>
          </cell>
          <cell r="I44">
            <v>5500</v>
          </cell>
          <cell r="J44">
            <v>57750</v>
          </cell>
          <cell r="K44">
            <v>1000</v>
          </cell>
          <cell r="L44">
            <v>5.5</v>
          </cell>
          <cell r="M44" t="str">
            <v>Gramos</v>
          </cell>
        </row>
        <row r="45">
          <cell r="A45" t="str">
            <v>121208</v>
          </cell>
          <cell r="B45">
            <v>5862</v>
          </cell>
          <cell r="C45" t="str">
            <v>QUEQUERA PLAST 12 CENT (CAJA:250UND)</v>
          </cell>
          <cell r="D45" t="str">
            <v>121208</v>
          </cell>
          <cell r="E45" t="str">
            <v>EMPAQUES PLANTA</v>
          </cell>
          <cell r="F45" t="str">
            <v>1 CAJA</v>
          </cell>
          <cell r="G45">
            <v>500</v>
          </cell>
          <cell r="H45" t="str">
            <v>08/06/2020</v>
          </cell>
          <cell r="I45">
            <v>16021</v>
          </cell>
          <cell r="J45">
            <v>2152118</v>
          </cell>
          <cell r="K45">
            <v>250</v>
          </cell>
          <cell r="L45">
            <v>64.084000000000003</v>
          </cell>
          <cell r="M45" t="str">
            <v>UND</v>
          </cell>
        </row>
        <row r="46">
          <cell r="A46" t="str">
            <v>121603</v>
          </cell>
          <cell r="B46">
            <v>11191</v>
          </cell>
          <cell r="C46" t="str">
            <v>QUEQUERA RED  BASE/DOMO 10 (CAJA:50)</v>
          </cell>
          <cell r="D46" t="str">
            <v>121603</v>
          </cell>
          <cell r="E46" t="str">
            <v>EMPAQUES PLANTA</v>
          </cell>
          <cell r="F46" t="str">
            <v>1 CAJA</v>
          </cell>
          <cell r="G46">
            <v>500</v>
          </cell>
          <cell r="H46" t="str">
            <v>15/06/2020</v>
          </cell>
          <cell r="I46">
            <v>16166</v>
          </cell>
          <cell r="J46">
            <v>63585505</v>
          </cell>
          <cell r="K46">
            <v>50</v>
          </cell>
          <cell r="L46">
            <v>323.32</v>
          </cell>
          <cell r="M46" t="str">
            <v>UND</v>
          </cell>
        </row>
        <row r="47">
          <cell r="A47" t="str">
            <v>164038</v>
          </cell>
          <cell r="B47">
            <v>14417</v>
          </cell>
          <cell r="C47" t="str">
            <v>AGUA ALPINA 600 ML (PAQ = 12 UND)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176799</v>
          </cell>
          <cell r="B48">
            <v>12665</v>
          </cell>
          <cell r="C48" t="str">
            <v>ENELDO SECO (UND:141 G)</v>
          </cell>
          <cell r="D48" t="str">
            <v>176799</v>
          </cell>
          <cell r="E48" t="str">
            <v>MATERIAS PRIMAS PLANTA</v>
          </cell>
          <cell r="F48" t="str">
            <v>1 UND</v>
          </cell>
          <cell r="G48">
            <v>500</v>
          </cell>
          <cell r="H48" t="str">
            <v>08/06/2020</v>
          </cell>
          <cell r="I48">
            <v>6935</v>
          </cell>
          <cell r="J48">
            <v>55091</v>
          </cell>
          <cell r="K48">
            <v>141</v>
          </cell>
          <cell r="L48">
            <v>49.184397163120565</v>
          </cell>
          <cell r="M48" t="str">
            <v>Gramos</v>
          </cell>
        </row>
        <row r="49">
          <cell r="A49" t="str">
            <v>0210047</v>
          </cell>
          <cell r="B49">
            <v>5379</v>
          </cell>
          <cell r="C49" t="str">
            <v xml:space="preserve">CHICHARON KILO </v>
          </cell>
          <cell r="D49" t="str">
            <v>0210047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5900</v>
          </cell>
          <cell r="J49">
            <v>20504863.039999999</v>
          </cell>
          <cell r="K49">
            <v>1000</v>
          </cell>
          <cell r="L49">
            <v>5.9</v>
          </cell>
          <cell r="M49" t="str">
            <v>Gramos</v>
          </cell>
        </row>
        <row r="50">
          <cell r="A50" t="str">
            <v>0210056</v>
          </cell>
          <cell r="B50">
            <v>5380</v>
          </cell>
          <cell r="C50" t="str">
            <v>MONDONGO ENTERO KILO</v>
          </cell>
          <cell r="D50" t="str">
            <v>0210056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05/05/2020</v>
          </cell>
          <cell r="I50">
            <v>1995</v>
          </cell>
          <cell r="J50">
            <v>60448.5</v>
          </cell>
          <cell r="K50">
            <v>1000</v>
          </cell>
          <cell r="L50">
            <v>1.9950000000000001</v>
          </cell>
          <cell r="M50" t="str">
            <v>Gramos</v>
          </cell>
        </row>
        <row r="51">
          <cell r="A51" t="str">
            <v>210060</v>
          </cell>
          <cell r="B51">
            <v>5377</v>
          </cell>
          <cell r="C51" t="str">
            <v>CHORIZO  CRIOLLO KILO</v>
          </cell>
          <cell r="D51" t="str">
            <v>210060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02/06/2020</v>
          </cell>
          <cell r="I51">
            <v>2195</v>
          </cell>
          <cell r="J51">
            <v>192501.5</v>
          </cell>
          <cell r="K51">
            <v>1000</v>
          </cell>
          <cell r="L51">
            <v>2.1949999999999998</v>
          </cell>
          <cell r="M51" t="str">
            <v>Gramos</v>
          </cell>
        </row>
        <row r="52">
          <cell r="A52" t="str">
            <v>210069</v>
          </cell>
          <cell r="B52">
            <v>5376</v>
          </cell>
          <cell r="C52" t="str">
            <v>CARNE MOLIDA RES PREMIUM KILO</v>
          </cell>
          <cell r="D52" t="str">
            <v>210069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30/05/2020</v>
          </cell>
          <cell r="I52">
            <v>3150</v>
          </cell>
          <cell r="J52">
            <v>2800623</v>
          </cell>
          <cell r="K52">
            <v>1000</v>
          </cell>
          <cell r="L52">
            <v>3.15</v>
          </cell>
          <cell r="M52" t="str">
            <v>Gramos</v>
          </cell>
        </row>
        <row r="53">
          <cell r="A53" t="str">
            <v>0210070</v>
          </cell>
          <cell r="B53">
            <v>5369</v>
          </cell>
          <cell r="C53" t="str">
            <v>PECHUGA FILET S/ PIEL Y S/ GRASA KILO</v>
          </cell>
          <cell r="D53" t="str">
            <v>0210070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15/06/2020</v>
          </cell>
          <cell r="I53">
            <v>2900</v>
          </cell>
          <cell r="J53">
            <v>54741328</v>
          </cell>
          <cell r="K53">
            <v>1000</v>
          </cell>
          <cell r="L53">
            <v>2.9</v>
          </cell>
          <cell r="M53" t="str">
            <v>Gramos</v>
          </cell>
        </row>
        <row r="54">
          <cell r="A54" t="str">
            <v>0210076</v>
          </cell>
          <cell r="B54">
            <v>11354</v>
          </cell>
          <cell r="C54" t="str">
            <v>LOMITO DE CERDO KILO</v>
          </cell>
          <cell r="D54" t="str">
            <v>0210076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28/12/2019</v>
          </cell>
          <cell r="I54">
            <v>3500</v>
          </cell>
          <cell r="J54">
            <v>4235000</v>
          </cell>
          <cell r="K54">
            <v>1000</v>
          </cell>
          <cell r="L54">
            <v>3.5</v>
          </cell>
          <cell r="M54" t="str">
            <v>Gramos</v>
          </cell>
        </row>
        <row r="55">
          <cell r="A55" t="str">
            <v>0210080</v>
          </cell>
          <cell r="B55">
            <v>5381</v>
          </cell>
          <cell r="C55" t="str">
            <v>HUESO DE PESCUEZO PICADO KILO</v>
          </cell>
          <cell r="D55" t="str">
            <v>0210080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19/05/2020</v>
          </cell>
          <cell r="I55">
            <v>2095</v>
          </cell>
          <cell r="J55">
            <v>32053.5</v>
          </cell>
          <cell r="K55">
            <v>1000</v>
          </cell>
          <cell r="L55">
            <v>2.0950000000000002</v>
          </cell>
          <cell r="M55" t="str">
            <v>Gramos</v>
          </cell>
        </row>
        <row r="56">
          <cell r="A56" t="str">
            <v>210085</v>
          </cell>
          <cell r="B56">
            <v>5363</v>
          </cell>
          <cell r="C56" t="str">
            <v>CARCASA DE POLLO KILO</v>
          </cell>
          <cell r="D56" t="str">
            <v>210085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27/01/2020</v>
          </cell>
          <cell r="I56">
            <v>740</v>
          </cell>
          <cell r="J56">
            <v>19055</v>
          </cell>
          <cell r="K56">
            <v>1000</v>
          </cell>
          <cell r="L56">
            <v>0.74</v>
          </cell>
          <cell r="M56" t="str">
            <v>Gramos</v>
          </cell>
        </row>
        <row r="57">
          <cell r="A57" t="str">
            <v>0210093</v>
          </cell>
          <cell r="B57">
            <v>5375</v>
          </cell>
          <cell r="C57" t="str">
            <v>SALCHICHON KILO</v>
          </cell>
          <cell r="D57" t="str">
            <v>0210093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04/06/2020</v>
          </cell>
          <cell r="I57">
            <v>2190</v>
          </cell>
          <cell r="J57">
            <v>734416.5</v>
          </cell>
          <cell r="K57">
            <v>1000</v>
          </cell>
          <cell r="L57">
            <v>2.19</v>
          </cell>
          <cell r="M57" t="str">
            <v>Gramos</v>
          </cell>
        </row>
        <row r="58">
          <cell r="A58" t="str">
            <v>0210096</v>
          </cell>
          <cell r="B58">
            <v>5382</v>
          </cell>
          <cell r="C58" t="str">
            <v>POSTA DE CERDO KILO</v>
          </cell>
          <cell r="D58" t="str">
            <v>0210096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13/06/2020</v>
          </cell>
          <cell r="I58">
            <v>2990</v>
          </cell>
          <cell r="J58">
            <v>6855255.7999999998</v>
          </cell>
          <cell r="K58">
            <v>1000</v>
          </cell>
          <cell r="L58">
            <v>2.99</v>
          </cell>
          <cell r="M58" t="str">
            <v>Gramos</v>
          </cell>
        </row>
        <row r="59">
          <cell r="A59" t="str">
            <v>0210101</v>
          </cell>
          <cell r="B59">
            <v>5384</v>
          </cell>
          <cell r="C59" t="str">
            <v>BISTEK POPULAR (KILO)</v>
          </cell>
          <cell r="D59" t="str">
            <v>0210101</v>
          </cell>
          <cell r="E59" t="str">
            <v>MATERIAS PRIMAS PLANTA</v>
          </cell>
          <cell r="F59" t="str">
            <v>1 KILO</v>
          </cell>
          <cell r="G59">
            <v>700</v>
          </cell>
          <cell r="H59" t="str">
            <v>13/04/2020</v>
          </cell>
          <cell r="I59">
            <v>4395</v>
          </cell>
          <cell r="J59">
            <v>441314.5</v>
          </cell>
          <cell r="K59">
            <v>1000</v>
          </cell>
          <cell r="L59">
            <v>4.3949999999999996</v>
          </cell>
          <cell r="M59" t="str">
            <v>Gramos</v>
          </cell>
        </row>
        <row r="60">
          <cell r="A60" t="str">
            <v>0210104</v>
          </cell>
          <cell r="B60">
            <v>5392</v>
          </cell>
          <cell r="C60" t="str">
            <v>MANO PIEDRA KILO</v>
          </cell>
          <cell r="D60" t="str">
            <v>0210104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18/02/2020</v>
          </cell>
          <cell r="I60">
            <v>3775</v>
          </cell>
          <cell r="J60">
            <v>168742.5</v>
          </cell>
          <cell r="K60">
            <v>1000</v>
          </cell>
          <cell r="L60">
            <v>3.7749999999999999</v>
          </cell>
          <cell r="M60" t="str">
            <v>Gramos</v>
          </cell>
        </row>
        <row r="61">
          <cell r="A61" t="str">
            <v>210107</v>
          </cell>
          <cell r="B61">
            <v>5385</v>
          </cell>
          <cell r="C61" t="str">
            <v>BISTEC CERDO KILO</v>
          </cell>
          <cell r="D61" t="str">
            <v>210107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06/05/2020</v>
          </cell>
          <cell r="I61">
            <v>3550</v>
          </cell>
          <cell r="J61">
            <v>478540</v>
          </cell>
          <cell r="K61">
            <v>1000</v>
          </cell>
          <cell r="L61">
            <v>3.55</v>
          </cell>
          <cell r="M61" t="str">
            <v>Gramos</v>
          </cell>
        </row>
        <row r="62">
          <cell r="A62" t="str">
            <v>0210108</v>
          </cell>
          <cell r="B62">
            <v>5386</v>
          </cell>
          <cell r="C62" t="str">
            <v>CHULETA AHUMADA KILO</v>
          </cell>
          <cell r="D62" t="str">
            <v>0210108</v>
          </cell>
          <cell r="E62" t="str">
            <v>MATERIAS PRIMAS PLANTA</v>
          </cell>
          <cell r="F62" t="str">
            <v>1 KILO</v>
          </cell>
          <cell r="G62">
            <v>500</v>
          </cell>
          <cell r="H62" t="str">
            <v>21/05/2020</v>
          </cell>
          <cell r="I62">
            <v>3550</v>
          </cell>
          <cell r="J62">
            <v>324115</v>
          </cell>
          <cell r="K62">
            <v>1000</v>
          </cell>
          <cell r="L62">
            <v>3.55</v>
          </cell>
          <cell r="M62" t="str">
            <v>Gramos</v>
          </cell>
        </row>
        <row r="63">
          <cell r="A63" t="str">
            <v>0210117</v>
          </cell>
          <cell r="B63">
            <v>5366</v>
          </cell>
          <cell r="C63" t="str">
            <v>RECORTE FILET Nº1358 KILO</v>
          </cell>
          <cell r="D63" t="str">
            <v>0210117</v>
          </cell>
          <cell r="E63" t="str">
            <v>MATERIAS PRIMAS PLANTA</v>
          </cell>
          <cell r="F63" t="str">
            <v>1 KILO</v>
          </cell>
          <cell r="G63">
            <v>500</v>
          </cell>
          <cell r="H63" t="str">
            <v>15/06/2020</v>
          </cell>
          <cell r="I63">
            <v>2170</v>
          </cell>
          <cell r="J63">
            <v>45151624</v>
          </cell>
          <cell r="K63">
            <v>1000</v>
          </cell>
          <cell r="L63">
            <v>2.17</v>
          </cell>
          <cell r="M63" t="str">
            <v>Gramos</v>
          </cell>
        </row>
        <row r="64">
          <cell r="A64" t="str">
            <v>0212254</v>
          </cell>
          <cell r="B64">
            <v>10468</v>
          </cell>
          <cell r="C64" t="str">
            <v>MANTECA DE CERDO</v>
          </cell>
          <cell r="D64" t="str">
            <v>0212254</v>
          </cell>
          <cell r="E64" t="str">
            <v>MATERIAS PRIMAS PLANTA</v>
          </cell>
          <cell r="F64" t="str">
            <v xml:space="preserve">1 KILO </v>
          </cell>
          <cell r="G64">
            <v>500</v>
          </cell>
          <cell r="H64" t="str">
            <v>17/12/2019</v>
          </cell>
          <cell r="I64">
            <v>1545</v>
          </cell>
          <cell r="J64">
            <v>461491.5</v>
          </cell>
          <cell r="K64">
            <v>1000</v>
          </cell>
          <cell r="L64">
            <v>1.5449999999999999</v>
          </cell>
          <cell r="M64" t="str">
            <v>Gramos</v>
          </cell>
        </row>
        <row r="65">
          <cell r="A65" t="str">
            <v>0212275</v>
          </cell>
          <cell r="B65">
            <v>5387</v>
          </cell>
          <cell r="C65" t="str">
            <v>MORTADELA ESPECIAL KILO</v>
          </cell>
          <cell r="D65" t="str">
            <v>0212275</v>
          </cell>
          <cell r="E65" t="str">
            <v>MATERIAS PRIMAS PLANTA</v>
          </cell>
          <cell r="F65" t="str">
            <v>1 KILO</v>
          </cell>
          <cell r="G65">
            <v>500</v>
          </cell>
          <cell r="H65" t="str">
            <v>06/06/2020</v>
          </cell>
          <cell r="I65">
            <v>3390</v>
          </cell>
          <cell r="J65">
            <v>530535</v>
          </cell>
          <cell r="K65">
            <v>1000</v>
          </cell>
          <cell r="L65">
            <v>3.39</v>
          </cell>
          <cell r="M65" t="str">
            <v>Gramos</v>
          </cell>
        </row>
        <row r="66">
          <cell r="A66" t="str">
            <v>0310100</v>
          </cell>
          <cell r="B66">
            <v>7047</v>
          </cell>
          <cell r="C66" t="str">
            <v>CREMA DULCE (LITRO)</v>
          </cell>
          <cell r="D66" t="str">
            <v>0310100</v>
          </cell>
          <cell r="E66" t="str">
            <v>MATERIAS PRIMAS PLANTA</v>
          </cell>
          <cell r="F66" t="str">
            <v>1 UND</v>
          </cell>
          <cell r="G66">
            <v>700</v>
          </cell>
          <cell r="H66" t="str">
            <v>27/04/2020</v>
          </cell>
          <cell r="I66">
            <v>21262</v>
          </cell>
          <cell r="J66">
            <v>106310</v>
          </cell>
          <cell r="K66">
            <v>1000</v>
          </cell>
          <cell r="L66">
            <v>21.262</v>
          </cell>
          <cell r="M66" t="str">
            <v>Mililitros</v>
          </cell>
        </row>
        <row r="67">
          <cell r="A67" t="str">
            <v>0310107</v>
          </cell>
          <cell r="B67">
            <v>5521</v>
          </cell>
          <cell r="C67" t="str">
            <v>LACTOCREMA GRANEL (CAJA:25 KG)</v>
          </cell>
          <cell r="D67" t="str">
            <v>0310107</v>
          </cell>
          <cell r="E67" t="str">
            <v>MATERIAS PRIMAS PLANTA</v>
          </cell>
          <cell r="F67" t="str">
            <v>1 CAJA</v>
          </cell>
          <cell r="G67">
            <v>500</v>
          </cell>
          <cell r="H67" t="str">
            <v>15/06/2020</v>
          </cell>
          <cell r="I67">
            <v>76375</v>
          </cell>
          <cell r="J67">
            <v>23543600.5</v>
          </cell>
          <cell r="K67">
            <v>25000</v>
          </cell>
          <cell r="L67">
            <v>3.0550000000000002</v>
          </cell>
          <cell r="M67" t="str">
            <v>Gramos</v>
          </cell>
        </row>
        <row r="68">
          <cell r="A68" t="str">
            <v>0310112</v>
          </cell>
          <cell r="B68">
            <v>5604</v>
          </cell>
          <cell r="C68" t="str">
            <v>QUESO PRADO RICO REBANADO KILO</v>
          </cell>
          <cell r="D68" t="str">
            <v>0310112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15/06/2020</v>
          </cell>
          <cell r="I68">
            <v>5307.4979999999996</v>
          </cell>
          <cell r="J68">
            <v>17034100.631700002</v>
          </cell>
          <cell r="K68">
            <v>1000</v>
          </cell>
          <cell r="L68">
            <v>5.3074979999999998</v>
          </cell>
          <cell r="M68" t="str">
            <v>Gramos</v>
          </cell>
        </row>
        <row r="69">
          <cell r="A69" t="str">
            <v>0310115</v>
          </cell>
          <cell r="B69">
            <v>5585</v>
          </cell>
          <cell r="C69" t="str">
            <v>QUESO CHEDDAR BLOCK (UND:2 kg)</v>
          </cell>
          <cell r="D69" t="str">
            <v>0310115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15/06/2020</v>
          </cell>
          <cell r="I69">
            <v>18641</v>
          </cell>
          <cell r="J69">
            <v>6151530</v>
          </cell>
          <cell r="K69">
            <v>2000</v>
          </cell>
          <cell r="L69">
            <v>9.3204999999999991</v>
          </cell>
          <cell r="M69" t="str">
            <v>Gramos</v>
          </cell>
        </row>
        <row r="70">
          <cell r="A70" t="str">
            <v>0310116</v>
          </cell>
          <cell r="B70">
            <v>5615</v>
          </cell>
          <cell r="C70" t="str">
            <v>QUESO PARMERSANO (KILO)</v>
          </cell>
          <cell r="D70" t="str">
            <v>0310116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18/05/2020</v>
          </cell>
          <cell r="I70">
            <v>10764.67</v>
          </cell>
          <cell r="J70">
            <v>9185385.2526387908</v>
          </cell>
          <cell r="K70">
            <v>1000</v>
          </cell>
          <cell r="L70">
            <v>10.764670000000001</v>
          </cell>
          <cell r="M70" t="str">
            <v>Gramos</v>
          </cell>
        </row>
        <row r="71">
          <cell r="A71" t="str">
            <v>0310120</v>
          </cell>
          <cell r="B71">
            <v>5612</v>
          </cell>
          <cell r="C71" t="str">
            <v>QUESO RICOTTA (UND: KILO)</v>
          </cell>
          <cell r="D71" t="str">
            <v>0310120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15/06/2020</v>
          </cell>
          <cell r="I71">
            <v>3600</v>
          </cell>
          <cell r="J71">
            <v>969039.38242799998</v>
          </cell>
          <cell r="K71">
            <v>1000</v>
          </cell>
          <cell r="L71">
            <v>3.6</v>
          </cell>
          <cell r="M71" t="str">
            <v>Gramos</v>
          </cell>
        </row>
        <row r="72">
          <cell r="A72" t="str">
            <v>0310145</v>
          </cell>
          <cell r="B72">
            <v>5586</v>
          </cell>
          <cell r="C72" t="str">
            <v>LECHE POLVO INDUSTRIAL (SACO:25 KG)</v>
          </cell>
          <cell r="D72" t="str">
            <v>0310145</v>
          </cell>
          <cell r="E72" t="str">
            <v>MATERIAS PRIMAS PLANTA</v>
          </cell>
          <cell r="F72" t="str">
            <v>1 SACO</v>
          </cell>
          <cell r="G72">
            <v>500</v>
          </cell>
          <cell r="H72" t="str">
            <v>12/06/2020</v>
          </cell>
          <cell r="I72">
            <v>65957</v>
          </cell>
          <cell r="J72">
            <v>1253207</v>
          </cell>
          <cell r="K72">
            <v>25000</v>
          </cell>
          <cell r="L72">
            <v>2.63828</v>
          </cell>
          <cell r="M72" t="str">
            <v>Gramos</v>
          </cell>
        </row>
        <row r="73">
          <cell r="A73" t="str">
            <v>0310146</v>
          </cell>
          <cell r="B73">
            <v>5587</v>
          </cell>
          <cell r="C73" t="str">
            <v>QUESO CREMA (UND:3.6 Kg)</v>
          </cell>
          <cell r="D73" t="str">
            <v>0310146</v>
          </cell>
          <cell r="E73" t="str">
            <v>MATERIAS PRIMAS PLANTA</v>
          </cell>
          <cell r="F73" t="str">
            <v>1 UND</v>
          </cell>
          <cell r="G73">
            <v>500</v>
          </cell>
          <cell r="H73" t="str">
            <v>09/12/2019</v>
          </cell>
          <cell r="I73">
            <v>10553.66</v>
          </cell>
          <cell r="J73">
            <v>-41764</v>
          </cell>
          <cell r="K73">
            <v>3600</v>
          </cell>
          <cell r="L73">
            <v>2.931572222222222</v>
          </cell>
          <cell r="M73" t="str">
            <v>Gramos</v>
          </cell>
        </row>
        <row r="74">
          <cell r="A74" t="str">
            <v>310148</v>
          </cell>
          <cell r="B74">
            <v>5597</v>
          </cell>
          <cell r="C74" t="str">
            <v>BETTERCREME SUPREMO (UND:4 K)</v>
          </cell>
          <cell r="D74" t="str">
            <v>310148</v>
          </cell>
          <cell r="E74" t="str">
            <v>MATERIAS PRIMAS PLANTA</v>
          </cell>
          <cell r="F74" t="str">
            <v>1 UND</v>
          </cell>
          <cell r="G74">
            <v>500</v>
          </cell>
          <cell r="H74" t="str">
            <v>15/06/2020</v>
          </cell>
          <cell r="I74">
            <v>7346</v>
          </cell>
          <cell r="J74">
            <v>91229916</v>
          </cell>
          <cell r="K74">
            <v>4000</v>
          </cell>
          <cell r="L74">
            <v>1.8365</v>
          </cell>
          <cell r="M74" t="str">
            <v>Gramos</v>
          </cell>
        </row>
        <row r="75">
          <cell r="A75" t="str">
            <v>310218</v>
          </cell>
          <cell r="B75">
            <v>5620</v>
          </cell>
          <cell r="C75" t="str">
            <v>LA LECHERA TRES LECHES (CAJA:12 UND)</v>
          </cell>
          <cell r="D75" t="str">
            <v>310218</v>
          </cell>
          <cell r="E75" t="str">
            <v>MATERIAS PRIMAS PLANTA</v>
          </cell>
          <cell r="F75" t="str">
            <v>1 CAJA</v>
          </cell>
          <cell r="G75">
            <v>500</v>
          </cell>
          <cell r="H75" t="str">
            <v>15/06/2020</v>
          </cell>
          <cell r="I75">
            <v>28667</v>
          </cell>
          <cell r="J75">
            <v>13742988</v>
          </cell>
          <cell r="K75">
            <v>12000</v>
          </cell>
          <cell r="L75">
            <v>2.0305791666666666</v>
          </cell>
          <cell r="M75" t="str">
            <v>Gramos</v>
          </cell>
        </row>
        <row r="76">
          <cell r="A76" t="str">
            <v>0312277</v>
          </cell>
          <cell r="B76">
            <v>5607</v>
          </cell>
          <cell r="C76" t="str">
            <v>QUESO BOCCONCINI (PAQ:500g)</v>
          </cell>
          <cell r="D76" t="str">
            <v>0312277</v>
          </cell>
          <cell r="E76" t="str">
            <v>MATERIAS PRIMAS PLANTA</v>
          </cell>
          <cell r="F76" t="str">
            <v>1 PAQUETE</v>
          </cell>
          <cell r="G76">
            <v>500</v>
          </cell>
          <cell r="H76" t="str">
            <v>15/06/2020</v>
          </cell>
          <cell r="I76">
            <v>3513.1</v>
          </cell>
          <cell r="J76">
            <v>5596424.7000000002</v>
          </cell>
          <cell r="K76">
            <v>500</v>
          </cell>
          <cell r="L76">
            <v>7.0262000000000002</v>
          </cell>
          <cell r="M76" t="str">
            <v>Gramos</v>
          </cell>
        </row>
        <row r="77">
          <cell r="A77" t="str">
            <v>0312278</v>
          </cell>
          <cell r="B77">
            <v>5589</v>
          </cell>
          <cell r="C77" t="str">
            <v>LECHE ESTANDAR (UND:10 L)</v>
          </cell>
          <cell r="D77" t="str">
            <v>0312278</v>
          </cell>
          <cell r="E77" t="str">
            <v>MATERIAS PRIMAS PLANTA</v>
          </cell>
          <cell r="F77" t="str">
            <v>1 UND</v>
          </cell>
          <cell r="G77">
            <v>500</v>
          </cell>
          <cell r="H77" t="str">
            <v>13/04/2020</v>
          </cell>
          <cell r="I77">
            <v>4992.8211000000001</v>
          </cell>
          <cell r="J77">
            <v>3089612.2996</v>
          </cell>
          <cell r="K77">
            <v>10000</v>
          </cell>
          <cell r="L77">
            <v>0.49928211</v>
          </cell>
          <cell r="M77" t="str">
            <v>Mililitros</v>
          </cell>
        </row>
        <row r="78">
          <cell r="A78" t="str">
            <v>0410110</v>
          </cell>
          <cell r="B78">
            <v>5635</v>
          </cell>
          <cell r="C78" t="str">
            <v>RELLENO MELOCOTON BUCCA KILO</v>
          </cell>
          <cell r="D78" t="str">
            <v>0410110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04/05/2020</v>
          </cell>
          <cell r="I78">
            <v>2133</v>
          </cell>
          <cell r="J78">
            <v>5559301.8899999997</v>
          </cell>
          <cell r="K78">
            <v>1000</v>
          </cell>
          <cell r="L78">
            <v>2.133</v>
          </cell>
          <cell r="M78" t="str">
            <v>Gramos</v>
          </cell>
        </row>
        <row r="79">
          <cell r="A79" t="str">
            <v>410118</v>
          </cell>
          <cell r="B79">
            <v>5416</v>
          </cell>
          <cell r="C79" t="str">
            <v>BRILLO GLIT (UND:5 KILOS)</v>
          </cell>
          <cell r="D79" t="str">
            <v>410118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21/03/2020</v>
          </cell>
          <cell r="I79">
            <v>12360</v>
          </cell>
          <cell r="J79">
            <v>123600</v>
          </cell>
          <cell r="K79">
            <v>5000</v>
          </cell>
          <cell r="L79">
            <v>2.472</v>
          </cell>
          <cell r="M79" t="str">
            <v>Gramos</v>
          </cell>
        </row>
        <row r="80">
          <cell r="A80" t="str">
            <v>410127</v>
          </cell>
          <cell r="B80">
            <v>5647</v>
          </cell>
          <cell r="C80" t="str">
            <v>CREMA PASTELERA KILO</v>
          </cell>
          <cell r="D80" t="str">
            <v>410127</v>
          </cell>
          <cell r="E80" t="str">
            <v>MATERIAS PRIMAS PLANTA</v>
          </cell>
          <cell r="F80" t="str">
            <v>1 KILO</v>
          </cell>
          <cell r="G80">
            <v>500</v>
          </cell>
          <cell r="H80" t="str">
            <v>23/03/2020</v>
          </cell>
          <cell r="I80">
            <v>2080</v>
          </cell>
          <cell r="J80">
            <v>1008592</v>
          </cell>
          <cell r="K80">
            <v>1000</v>
          </cell>
          <cell r="L80">
            <v>2.08</v>
          </cell>
          <cell r="M80" t="str">
            <v>Gramos</v>
          </cell>
        </row>
        <row r="81">
          <cell r="A81" t="str">
            <v>0410137</v>
          </cell>
          <cell r="B81">
            <v>5301</v>
          </cell>
          <cell r="C81" t="str">
            <v>JALEA FRESA (UND:5 K)</v>
          </cell>
          <cell r="D81" t="str">
            <v>0410137</v>
          </cell>
          <cell r="E81" t="str">
            <v>MATERIAS PRIMAS PLANTA</v>
          </cell>
          <cell r="F81" t="str">
            <v>1 UND</v>
          </cell>
          <cell r="G81">
            <v>500</v>
          </cell>
          <cell r="H81" t="str">
            <v>12/06/2020</v>
          </cell>
          <cell r="I81">
            <v>7341</v>
          </cell>
          <cell r="J81">
            <v>1548951</v>
          </cell>
          <cell r="K81">
            <v>5000</v>
          </cell>
          <cell r="L81">
            <v>1.4681999999999999</v>
          </cell>
          <cell r="M81" t="str">
            <v>Gramos</v>
          </cell>
        </row>
        <row r="82">
          <cell r="A82" t="str">
            <v>0410151</v>
          </cell>
          <cell r="B82">
            <v>5646</v>
          </cell>
          <cell r="C82" t="str">
            <v>RELLENO FUDGE KILO</v>
          </cell>
          <cell r="D82" t="str">
            <v>0410151</v>
          </cell>
          <cell r="E82" t="str">
            <v>MATERIAS PRIMAS PLANTA</v>
          </cell>
          <cell r="F82" t="str">
            <v>1 KILO</v>
          </cell>
          <cell r="G82">
            <v>500</v>
          </cell>
          <cell r="H82" t="str">
            <v>16/06/2020</v>
          </cell>
          <cell r="I82">
            <v>3697</v>
          </cell>
          <cell r="J82">
            <v>174281903.68000001</v>
          </cell>
          <cell r="K82">
            <v>1000</v>
          </cell>
          <cell r="L82">
            <v>3.1424500000000002</v>
          </cell>
          <cell r="M82" t="str">
            <v>Gramos</v>
          </cell>
        </row>
        <row r="83">
          <cell r="A83" t="str">
            <v>0410152</v>
          </cell>
          <cell r="B83">
            <v>5645</v>
          </cell>
          <cell r="C83" t="str">
            <v>RELLENO MELOCOTON KILO</v>
          </cell>
          <cell r="D83" t="str">
            <v>0410152</v>
          </cell>
          <cell r="E83" t="str">
            <v>MATERIAS PRIMAS PLANTA</v>
          </cell>
          <cell r="F83" t="str">
            <v>1 KILO</v>
          </cell>
          <cell r="G83">
            <v>500</v>
          </cell>
          <cell r="H83" t="str">
            <v>04/05/2020</v>
          </cell>
          <cell r="I83">
            <v>2525</v>
          </cell>
          <cell r="J83">
            <v>27267702.25</v>
          </cell>
          <cell r="K83">
            <v>1000</v>
          </cell>
          <cell r="L83">
            <v>2.5249999999999999</v>
          </cell>
          <cell r="M83" t="str">
            <v>Gramos</v>
          </cell>
        </row>
        <row r="84">
          <cell r="A84" t="str">
            <v>0410153</v>
          </cell>
          <cell r="B84">
            <v>5644</v>
          </cell>
          <cell r="C84" t="str">
            <v>TOPPING MELOCOTON KILO</v>
          </cell>
          <cell r="D84" t="str">
            <v>0410153</v>
          </cell>
          <cell r="E84" t="str">
            <v>MATERIAS PRIMAS PLANTA</v>
          </cell>
          <cell r="F84" t="str">
            <v>1 KILO</v>
          </cell>
          <cell r="G84">
            <v>500</v>
          </cell>
          <cell r="H84" t="str">
            <v>04/05/2020</v>
          </cell>
          <cell r="I84">
            <v>2060</v>
          </cell>
          <cell r="J84">
            <v>6154064.5999999996</v>
          </cell>
          <cell r="K84">
            <v>1000</v>
          </cell>
          <cell r="L84">
            <v>2.06</v>
          </cell>
          <cell r="M84" t="str">
            <v>Gramos</v>
          </cell>
        </row>
        <row r="85">
          <cell r="A85" t="str">
            <v>0410154</v>
          </cell>
          <cell r="B85">
            <v>5643</v>
          </cell>
          <cell r="C85" t="str">
            <v>RELLENO CARAMELO KILO</v>
          </cell>
          <cell r="D85" t="str">
            <v>0410154</v>
          </cell>
          <cell r="E85" t="str">
            <v>MATERIAS PRIMAS PLANTA</v>
          </cell>
          <cell r="F85" t="str">
            <v>1 KILO</v>
          </cell>
          <cell r="G85">
            <v>500</v>
          </cell>
          <cell r="H85" t="str">
            <v>15/06/2020</v>
          </cell>
          <cell r="I85">
            <v>3335</v>
          </cell>
          <cell r="J85">
            <v>33770243.350000001</v>
          </cell>
          <cell r="K85">
            <v>1000</v>
          </cell>
          <cell r="L85">
            <v>3.335</v>
          </cell>
          <cell r="M85" t="str">
            <v>Gramos</v>
          </cell>
        </row>
        <row r="86">
          <cell r="A86" t="str">
            <v>0410172</v>
          </cell>
          <cell r="B86">
            <v>5642</v>
          </cell>
          <cell r="C86" t="str">
            <v>RELLENO DE FRESA KILO</v>
          </cell>
          <cell r="D86" t="str">
            <v>0410172</v>
          </cell>
          <cell r="E86" t="str">
            <v>MATERIAS PRIMAS PLANTA</v>
          </cell>
          <cell r="F86" t="str">
            <v>1 KILO</v>
          </cell>
          <cell r="G86">
            <v>500</v>
          </cell>
          <cell r="H86" t="str">
            <v>04/05/2020</v>
          </cell>
          <cell r="I86">
            <v>2397</v>
          </cell>
          <cell r="J86">
            <v>16008094.18</v>
          </cell>
          <cell r="K86">
            <v>1000</v>
          </cell>
          <cell r="L86">
            <v>2.3969999999999998</v>
          </cell>
          <cell r="M86" t="str">
            <v>Gramos</v>
          </cell>
        </row>
        <row r="87">
          <cell r="A87" t="str">
            <v>0410174</v>
          </cell>
          <cell r="B87">
            <v>5640</v>
          </cell>
          <cell r="C87" t="str">
            <v>RELLENO PIÑA COLADA KILO</v>
          </cell>
          <cell r="D87" t="str">
            <v>0410174</v>
          </cell>
          <cell r="E87" t="str">
            <v>MATERIAS PRIMAS PLANTA</v>
          </cell>
          <cell r="F87" t="str">
            <v>1 KILO</v>
          </cell>
          <cell r="G87">
            <v>500</v>
          </cell>
          <cell r="H87" t="str">
            <v>11/05/2020</v>
          </cell>
          <cell r="I87">
            <v>1982</v>
          </cell>
          <cell r="J87">
            <v>177190.8</v>
          </cell>
          <cell r="K87">
            <v>1000</v>
          </cell>
          <cell r="L87">
            <v>1.982</v>
          </cell>
          <cell r="M87" t="str">
            <v>Gramos</v>
          </cell>
        </row>
        <row r="88">
          <cell r="A88" t="str">
            <v>0410189</v>
          </cell>
          <cell r="B88">
            <v>5648</v>
          </cell>
          <cell r="C88" t="str">
            <v>RELLENO DE FRESA ESPESA KILO</v>
          </cell>
          <cell r="D88" t="str">
            <v>0410189</v>
          </cell>
          <cell r="E88" t="str">
            <v>MATERIAS PRIMAS PLANTA</v>
          </cell>
          <cell r="F88" t="str">
            <v>1 KILO</v>
          </cell>
          <cell r="G88">
            <v>500</v>
          </cell>
          <cell r="H88" t="str">
            <v>06/05/2020</v>
          </cell>
          <cell r="I88">
            <v>2540</v>
          </cell>
          <cell r="J88">
            <v>4618424</v>
          </cell>
          <cell r="K88">
            <v>1000</v>
          </cell>
          <cell r="L88">
            <v>2.54</v>
          </cell>
          <cell r="M88" t="str">
            <v>Gramos</v>
          </cell>
        </row>
        <row r="89">
          <cell r="A89" t="str">
            <v>505605</v>
          </cell>
          <cell r="B89">
            <v>3266</v>
          </cell>
          <cell r="C89" t="str">
            <v>LECHE CONDENSADA NESTLE (UND:395 G)</v>
          </cell>
          <cell r="D89" t="str">
            <v>505605</v>
          </cell>
          <cell r="E89" t="str">
            <v>MATERIAS PRIMAS PLANTA</v>
          </cell>
          <cell r="F89" t="str">
            <v>1 UND</v>
          </cell>
          <cell r="G89">
            <v>500</v>
          </cell>
          <cell r="H89" t="str">
            <v>03/03/2020</v>
          </cell>
          <cell r="I89">
            <v>894.85</v>
          </cell>
          <cell r="J89">
            <v>4475</v>
          </cell>
          <cell r="K89">
            <v>395</v>
          </cell>
          <cell r="L89">
            <v>1.925626582278481</v>
          </cell>
          <cell r="M89" t="str">
            <v>Gramos</v>
          </cell>
        </row>
        <row r="90">
          <cell r="A90" t="str">
            <v>0510051</v>
          </cell>
          <cell r="B90">
            <v>5536</v>
          </cell>
          <cell r="C90" t="str">
            <v>PASTAS DE HARINA AMARILLA (CAJA:9.52 KG)</v>
          </cell>
          <cell r="D90" t="str">
            <v>0510051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10/06/2020</v>
          </cell>
          <cell r="I90">
            <v>33850</v>
          </cell>
          <cell r="J90">
            <v>1716753</v>
          </cell>
          <cell r="K90">
            <v>9520</v>
          </cell>
          <cell r="L90">
            <v>3.5556722689075628</v>
          </cell>
          <cell r="M90" t="str">
            <v>Gramos</v>
          </cell>
        </row>
        <row r="91">
          <cell r="A91" t="str">
            <v>510100</v>
          </cell>
          <cell r="B91">
            <v>11252</v>
          </cell>
          <cell r="C91" t="str">
            <v>ARROZ PRECOCIDO MI SABOR(BULTO:15 K)</v>
          </cell>
          <cell r="D91" t="str">
            <v>510100</v>
          </cell>
          <cell r="E91" t="str">
            <v>MATERIAS PRIMAS PLANTA</v>
          </cell>
          <cell r="F91" t="str">
            <v>1 BULTO</v>
          </cell>
          <cell r="G91">
            <v>500</v>
          </cell>
          <cell r="H91" t="str">
            <v>09/06/2020</v>
          </cell>
          <cell r="I91">
            <v>10515</v>
          </cell>
          <cell r="J91">
            <v>2586690</v>
          </cell>
          <cell r="K91">
            <v>15000</v>
          </cell>
          <cell r="L91">
            <v>0.70099999999999996</v>
          </cell>
          <cell r="M91" t="str">
            <v>Gramos</v>
          </cell>
        </row>
        <row r="92">
          <cell r="A92" t="str">
            <v>0510107</v>
          </cell>
          <cell r="B92">
            <v>5567</v>
          </cell>
          <cell r="C92" t="str">
            <v>HARINA HARISOL WINTER (SACO:25 KG)</v>
          </cell>
          <cell r="D92" t="str">
            <v>0510107</v>
          </cell>
          <cell r="E92" t="str">
            <v>MATERIAS PRIMAS PLANTA</v>
          </cell>
          <cell r="F92" t="str">
            <v>1 SACO</v>
          </cell>
          <cell r="G92">
            <v>500</v>
          </cell>
          <cell r="H92" t="str">
            <v>11/06/2020</v>
          </cell>
          <cell r="I92">
            <v>10330.5</v>
          </cell>
          <cell r="J92">
            <v>3790548</v>
          </cell>
          <cell r="K92">
            <v>25000</v>
          </cell>
          <cell r="L92">
            <v>0.41321999999999998</v>
          </cell>
          <cell r="M92" t="str">
            <v>Gramos</v>
          </cell>
        </row>
        <row r="93">
          <cell r="A93" t="str">
            <v>510109</v>
          </cell>
          <cell r="B93">
            <v>5297</v>
          </cell>
          <cell r="C93" t="str">
            <v>AZUCAR DOÑA MARIA (PAQ:5 K)</v>
          </cell>
          <cell r="D93" t="str">
            <v>510109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10/06/2020</v>
          </cell>
          <cell r="I93">
            <v>3240</v>
          </cell>
          <cell r="J93">
            <v>194400</v>
          </cell>
          <cell r="K93">
            <v>5000</v>
          </cell>
          <cell r="L93">
            <v>0.64800000000000002</v>
          </cell>
          <cell r="M93" t="str">
            <v>Gramos</v>
          </cell>
        </row>
        <row r="94">
          <cell r="A94" t="str">
            <v>510115</v>
          </cell>
          <cell r="B94">
            <v>7055</v>
          </cell>
          <cell r="C94" t="str">
            <v>COLOR CARAMELINA EXTRA (KILO)</v>
          </cell>
          <cell r="D94" t="str">
            <v>510115</v>
          </cell>
          <cell r="E94" t="str">
            <v>MATERIAS PRIMAS PLANTA</v>
          </cell>
          <cell r="F94" t="str">
            <v xml:space="preserve">1 KILO </v>
          </cell>
          <cell r="G94">
            <v>500</v>
          </cell>
          <cell r="H94" t="str">
            <v>06/05/2020</v>
          </cell>
          <cell r="I94">
            <v>5727</v>
          </cell>
          <cell r="J94">
            <v>114770.258</v>
          </cell>
          <cell r="K94">
            <v>1000</v>
          </cell>
          <cell r="L94">
            <v>5.7270000000000003</v>
          </cell>
          <cell r="M94" t="str">
            <v>Gramos</v>
          </cell>
        </row>
        <row r="95">
          <cell r="A95" t="str">
            <v>0510146</v>
          </cell>
          <cell r="B95">
            <v>7042</v>
          </cell>
          <cell r="C95" t="str">
            <v>AJONJOLI (PAQ:1 KILO)</v>
          </cell>
          <cell r="D95" t="str">
            <v>0510146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18/05/2020</v>
          </cell>
          <cell r="I95">
            <v>2859.1</v>
          </cell>
          <cell r="J95">
            <v>152402.6</v>
          </cell>
          <cell r="K95">
            <v>1000</v>
          </cell>
          <cell r="L95">
            <v>2.8590999999999998</v>
          </cell>
          <cell r="M95" t="str">
            <v>Gramos</v>
          </cell>
        </row>
        <row r="96">
          <cell r="A96" t="str">
            <v>510148</v>
          </cell>
          <cell r="B96">
            <v>5662</v>
          </cell>
          <cell r="C96" t="str">
            <v>ALMENDRA FILETEADA (CAJA: 11,34KG)</v>
          </cell>
          <cell r="D96" t="str">
            <v>510148</v>
          </cell>
          <cell r="E96" t="str">
            <v>MATERIAS PRIMAS PLANTA</v>
          </cell>
          <cell r="F96" t="str">
            <v xml:space="preserve">1 CAJA </v>
          </cell>
          <cell r="G96">
            <v>500</v>
          </cell>
          <cell r="H96" t="str">
            <v>15/06/2020</v>
          </cell>
          <cell r="I96">
            <v>70565.165299999993</v>
          </cell>
          <cell r="J96">
            <v>4412088.2621999998</v>
          </cell>
          <cell r="K96">
            <v>11340</v>
          </cell>
          <cell r="L96">
            <v>6.2226777160493825</v>
          </cell>
          <cell r="M96" t="str">
            <v>Gramos</v>
          </cell>
        </row>
        <row r="97">
          <cell r="A97" t="str">
            <v>510149</v>
          </cell>
          <cell r="B97">
            <v>5663</v>
          </cell>
          <cell r="C97" t="str">
            <v>ALMENDRA ENTERA (CAJA:12 KG)</v>
          </cell>
          <cell r="D97" t="str">
            <v>510149</v>
          </cell>
          <cell r="E97" t="str">
            <v>MATERIAS PRIMAS PLANTA</v>
          </cell>
          <cell r="F97" t="str">
            <v xml:space="preserve">1 CAJA </v>
          </cell>
          <cell r="G97">
            <v>500</v>
          </cell>
          <cell r="H97" t="str">
            <v>24/12/2019</v>
          </cell>
          <cell r="I97">
            <v>66639.69</v>
          </cell>
          <cell r="J97">
            <v>199956.51</v>
          </cell>
          <cell r="K97">
            <v>12000</v>
          </cell>
          <cell r="L97">
            <v>5.5533074999999998</v>
          </cell>
          <cell r="M97" t="str">
            <v>Gramos</v>
          </cell>
        </row>
        <row r="98">
          <cell r="A98" t="str">
            <v>510151</v>
          </cell>
          <cell r="B98">
            <v>5249</v>
          </cell>
          <cell r="C98" t="str">
            <v>ARROZ TIO PELON 96% (BULTO:12/1.8 K)</v>
          </cell>
          <cell r="D98" t="str">
            <v>510151</v>
          </cell>
          <cell r="E98" t="str">
            <v>MATERIAS PRIMAS PLANTA</v>
          </cell>
          <cell r="F98" t="str">
            <v>1 BULTO</v>
          </cell>
          <cell r="G98">
            <v>500</v>
          </cell>
          <cell r="H98" t="str">
            <v>12/06/2020</v>
          </cell>
          <cell r="I98">
            <v>16771</v>
          </cell>
          <cell r="J98">
            <v>7899141</v>
          </cell>
          <cell r="K98">
            <v>21600</v>
          </cell>
          <cell r="L98">
            <v>0.77643518518518517</v>
          </cell>
          <cell r="M98" t="str">
            <v>Gramos</v>
          </cell>
        </row>
        <row r="99">
          <cell r="A99" t="str">
            <v>510157</v>
          </cell>
          <cell r="B99">
            <v>5263</v>
          </cell>
          <cell r="C99" t="str">
            <v>AZUCAR MORENO (PAQ:2 K)</v>
          </cell>
          <cell r="D99" t="str">
            <v>510157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05/06/2020</v>
          </cell>
          <cell r="I99">
            <v>1788</v>
          </cell>
          <cell r="J99">
            <v>337932</v>
          </cell>
          <cell r="K99">
            <v>2000</v>
          </cell>
          <cell r="L99">
            <v>0.89400000000000002</v>
          </cell>
          <cell r="M99" t="str">
            <v>Gramos</v>
          </cell>
        </row>
        <row r="100">
          <cell r="A100" t="str">
            <v>510171</v>
          </cell>
          <cell r="B100">
            <v>11797</v>
          </cell>
          <cell r="C100" t="str">
            <v>CEREZA CONFITADA (CAJA:10 K)</v>
          </cell>
          <cell r="D100" t="str">
            <v>510171</v>
          </cell>
          <cell r="E100" t="str">
            <v>MATERIAS PRIMAS PLANTA</v>
          </cell>
          <cell r="F100" t="str">
            <v>1 CAJA</v>
          </cell>
          <cell r="G100">
            <v>500</v>
          </cell>
          <cell r="H100" t="str">
            <v>11/12/2019</v>
          </cell>
          <cell r="I100">
            <v>28950</v>
          </cell>
          <cell r="J100">
            <v>8685</v>
          </cell>
          <cell r="K100">
            <v>10000</v>
          </cell>
          <cell r="L100">
            <v>2.895</v>
          </cell>
          <cell r="M100" t="str">
            <v>Gramos</v>
          </cell>
        </row>
        <row r="101">
          <cell r="A101" t="str">
            <v>510173</v>
          </cell>
          <cell r="B101">
            <v>7037</v>
          </cell>
          <cell r="C101" t="str">
            <v>CIRUELA (CAJA:10 Kg)</v>
          </cell>
          <cell r="D101" t="str">
            <v>510173</v>
          </cell>
          <cell r="E101" t="str">
            <v>MATERIAS PRIMAS PLANTA</v>
          </cell>
          <cell r="F101" t="str">
            <v>1 CAJA</v>
          </cell>
          <cell r="G101">
            <v>500</v>
          </cell>
          <cell r="H101" t="str">
            <v>16/01/2020</v>
          </cell>
          <cell r="I101">
            <v>22829.599999999999</v>
          </cell>
          <cell r="J101">
            <v>273906.8</v>
          </cell>
          <cell r="K101">
            <v>10000</v>
          </cell>
          <cell r="L101">
            <v>2.2829599999999997</v>
          </cell>
          <cell r="M101" t="str">
            <v>Gramos</v>
          </cell>
        </row>
        <row r="102">
          <cell r="A102" t="str">
            <v>510174</v>
          </cell>
          <cell r="B102">
            <v>5664</v>
          </cell>
          <cell r="C102" t="str">
            <v>COCO RALLADO (PAQ: 1 K)</v>
          </cell>
          <cell r="D102" t="str">
            <v>510174</v>
          </cell>
          <cell r="E102" t="str">
            <v>MATERIAS PRIMAS PLANTA</v>
          </cell>
          <cell r="F102" t="str">
            <v>1 PAQUETE</v>
          </cell>
          <cell r="G102">
            <v>500</v>
          </cell>
          <cell r="H102" t="str">
            <v>15/06/2020</v>
          </cell>
          <cell r="I102">
            <v>2170.6125000000002</v>
          </cell>
          <cell r="J102">
            <v>1337134.875</v>
          </cell>
          <cell r="K102">
            <v>1000</v>
          </cell>
          <cell r="L102">
            <v>2.1706125000000003</v>
          </cell>
          <cell r="M102" t="str">
            <v>Gramos</v>
          </cell>
        </row>
        <row r="103">
          <cell r="A103" t="str">
            <v>510179</v>
          </cell>
          <cell r="B103">
            <v>5418</v>
          </cell>
          <cell r="C103" t="str">
            <v>CONFITURA COLORES(PAQ:1 KILO)</v>
          </cell>
          <cell r="D103" t="str">
            <v>510179</v>
          </cell>
          <cell r="E103" t="str">
            <v>MATERIAS PRIMAS PLANTA</v>
          </cell>
          <cell r="F103" t="str">
            <v>1 PAQUETE</v>
          </cell>
          <cell r="G103">
            <v>500</v>
          </cell>
          <cell r="H103" t="str">
            <v>13/06/2020</v>
          </cell>
          <cell r="I103">
            <v>3337.2</v>
          </cell>
          <cell r="J103">
            <v>519080.4</v>
          </cell>
          <cell r="K103">
            <v>1000</v>
          </cell>
          <cell r="L103">
            <v>3.3371999999999997</v>
          </cell>
          <cell r="M103" t="str">
            <v>Gramos</v>
          </cell>
        </row>
        <row r="104">
          <cell r="A104" t="str">
            <v>0510181</v>
          </cell>
          <cell r="B104">
            <v>9708</v>
          </cell>
          <cell r="C104" t="str">
            <v>CREMOR TARTARO (PAQ: 1 KILO)</v>
          </cell>
          <cell r="D104" t="str">
            <v>0510181</v>
          </cell>
          <cell r="E104" t="str">
            <v>MATERIAS PRIMAS PLANTA</v>
          </cell>
          <cell r="F104" t="str">
            <v>1 PAQUETE</v>
          </cell>
          <cell r="G104">
            <v>500</v>
          </cell>
          <cell r="H104" t="str">
            <v>13/06/2020</v>
          </cell>
          <cell r="I104">
            <v>2765.55</v>
          </cell>
          <cell r="J104">
            <v>69138.75</v>
          </cell>
          <cell r="K104">
            <v>1000</v>
          </cell>
          <cell r="L104">
            <v>2.7655500000000002</v>
          </cell>
          <cell r="M104" t="str">
            <v>Gramos</v>
          </cell>
        </row>
        <row r="105">
          <cell r="A105" t="str">
            <v>0510185</v>
          </cell>
          <cell r="B105">
            <v>5660</v>
          </cell>
          <cell r="C105" t="str">
            <v>FRUTA CONFITADA (CAJA:10 K)</v>
          </cell>
          <cell r="D105" t="str">
            <v>0510185</v>
          </cell>
          <cell r="E105" t="str">
            <v>MATERIAS PRIMAS PLANTA</v>
          </cell>
          <cell r="F105" t="str">
            <v>1 CAJA</v>
          </cell>
          <cell r="G105">
            <v>500</v>
          </cell>
          <cell r="H105" t="str">
            <v>27/02/2020</v>
          </cell>
          <cell r="I105">
            <v>17420</v>
          </cell>
          <cell r="J105">
            <v>-17420</v>
          </cell>
          <cell r="K105">
            <v>10000</v>
          </cell>
          <cell r="L105">
            <v>1.742</v>
          </cell>
          <cell r="M105" t="str">
            <v>Gramos</v>
          </cell>
        </row>
        <row r="106">
          <cell r="A106" t="str">
            <v>0510186</v>
          </cell>
          <cell r="B106">
            <v>5520</v>
          </cell>
          <cell r="C106" t="str">
            <v>GELATINA PURA  (PAQ:1 k)</v>
          </cell>
          <cell r="D106" t="str">
            <v>0510186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15/06/2020</v>
          </cell>
          <cell r="I106">
            <v>9071</v>
          </cell>
          <cell r="J106">
            <v>2766655</v>
          </cell>
          <cell r="K106">
            <v>1000</v>
          </cell>
          <cell r="L106">
            <v>9.0709999999999997</v>
          </cell>
          <cell r="M106" t="str">
            <v>Gramos</v>
          </cell>
        </row>
        <row r="107">
          <cell r="A107" t="str">
            <v>0510188</v>
          </cell>
          <cell r="B107">
            <v>5568</v>
          </cell>
          <cell r="C107" t="str">
            <v>HARINA ESTANDAR  (SACO: 25 KG )</v>
          </cell>
          <cell r="D107" t="str">
            <v>0510188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11/06/2020</v>
          </cell>
          <cell r="I107">
            <v>11737</v>
          </cell>
          <cell r="J107">
            <v>3951255</v>
          </cell>
          <cell r="K107">
            <v>25000</v>
          </cell>
          <cell r="L107">
            <v>0.46948000000000001</v>
          </cell>
          <cell r="M107" t="str">
            <v>Gramos</v>
          </cell>
        </row>
        <row r="108">
          <cell r="A108" t="str">
            <v>0510190</v>
          </cell>
          <cell r="B108">
            <v>5557</v>
          </cell>
          <cell r="C108" t="str">
            <v>HARINA GOLD MEDAL (PAQ:4.5 K)</v>
          </cell>
          <cell r="D108" t="str">
            <v>0510190</v>
          </cell>
          <cell r="E108" t="str">
            <v>MATERIAS PRIMAS PLANTA</v>
          </cell>
          <cell r="F108" t="str">
            <v>1 PAQUETE</v>
          </cell>
          <cell r="G108">
            <v>500</v>
          </cell>
          <cell r="H108" t="str">
            <v>03/06/2020</v>
          </cell>
          <cell r="I108">
            <v>2346.9780059999998</v>
          </cell>
          <cell r="J108">
            <v>4815998.8683120003</v>
          </cell>
          <cell r="K108">
            <v>4500</v>
          </cell>
          <cell r="L108">
            <v>0.52155066799999994</v>
          </cell>
          <cell r="M108" t="str">
            <v>Gramos</v>
          </cell>
        </row>
        <row r="109">
          <cell r="A109" t="str">
            <v>0510194</v>
          </cell>
          <cell r="B109">
            <v>7038</v>
          </cell>
          <cell r="C109" t="str">
            <v>MACADAMIA #8 (PAQ:800g)</v>
          </cell>
          <cell r="D109" t="str">
            <v>0510194</v>
          </cell>
          <cell r="E109" t="str">
            <v>MATERIAS PRIMAS PLANTA</v>
          </cell>
          <cell r="F109" t="str">
            <v>1 PAQUETE</v>
          </cell>
          <cell r="G109">
            <v>500</v>
          </cell>
          <cell r="H109" t="str">
            <v>13/06/2020</v>
          </cell>
          <cell r="I109">
            <v>8193</v>
          </cell>
          <cell r="J109">
            <v>7831509</v>
          </cell>
          <cell r="K109">
            <v>800</v>
          </cell>
          <cell r="L109">
            <v>10.241250000000001</v>
          </cell>
          <cell r="M109" t="str">
            <v>Gramos</v>
          </cell>
        </row>
        <row r="110">
          <cell r="A110" t="str">
            <v>0510200</v>
          </cell>
          <cell r="B110">
            <v>5672</v>
          </cell>
          <cell r="C110" t="str">
            <v>PASAS (CAJAS:13.6KG)</v>
          </cell>
          <cell r="D110" t="str">
            <v>0510200</v>
          </cell>
          <cell r="E110" t="str">
            <v>MATERIAS PRIMAS PLANTA</v>
          </cell>
          <cell r="F110" t="str">
            <v xml:space="preserve">1 CAJA </v>
          </cell>
          <cell r="G110">
            <v>500</v>
          </cell>
          <cell r="H110" t="str">
            <v>15/06/2020</v>
          </cell>
          <cell r="I110">
            <v>37392.417999999998</v>
          </cell>
          <cell r="J110">
            <v>356811.77260000003</v>
          </cell>
          <cell r="K110">
            <v>13600</v>
          </cell>
          <cell r="L110">
            <v>2.7494424999999998</v>
          </cell>
          <cell r="M110" t="str">
            <v>Gramos</v>
          </cell>
        </row>
        <row r="111">
          <cell r="A111" t="str">
            <v>510207</v>
          </cell>
          <cell r="B111">
            <v>5464</v>
          </cell>
          <cell r="C111" t="str">
            <v>FRIJOL BLANCO (PAQ:1KILO)</v>
          </cell>
          <cell r="D111" t="str">
            <v>510207</v>
          </cell>
          <cell r="E111" t="str">
            <v>MATERIAS PRIMAS PLANTA</v>
          </cell>
          <cell r="F111" t="str">
            <v>1 PAQUETE</v>
          </cell>
          <cell r="G111">
            <v>500</v>
          </cell>
          <cell r="H111" t="str">
            <v>04/06/2020</v>
          </cell>
          <cell r="I111">
            <v>1400</v>
          </cell>
          <cell r="J111">
            <v>736200</v>
          </cell>
          <cell r="K111">
            <v>1000</v>
          </cell>
          <cell r="L111">
            <v>1.4</v>
          </cell>
          <cell r="M111" t="str">
            <v>Gramos</v>
          </cell>
        </row>
        <row r="112">
          <cell r="A112" t="str">
            <v>510215</v>
          </cell>
          <cell r="B112">
            <v>5626</v>
          </cell>
          <cell r="C112" t="str">
            <v xml:space="preserve">ALMIDON MODIFICADO (SACO:25 K) </v>
          </cell>
          <cell r="D112" t="str">
            <v>510215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29143.5</v>
          </cell>
          <cell r="J112">
            <v>1456502.3298484399</v>
          </cell>
          <cell r="K112">
            <v>25000</v>
          </cell>
          <cell r="L112">
            <v>1.16574</v>
          </cell>
          <cell r="M112" t="str">
            <v>Gramos</v>
          </cell>
        </row>
        <row r="113">
          <cell r="A113" t="str">
            <v>0510240</v>
          </cell>
          <cell r="B113">
            <v>11595</v>
          </cell>
          <cell r="C113" t="str">
            <v>PREMEZCLA PILS. CHOCOLATE (SACO:22.68 K)</v>
          </cell>
          <cell r="D113" t="str">
            <v>0510240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15/06/2020</v>
          </cell>
          <cell r="I113">
            <v>37179</v>
          </cell>
          <cell r="J113">
            <v>85754003</v>
          </cell>
          <cell r="K113">
            <v>22680</v>
          </cell>
          <cell r="L113">
            <v>1.6392857142857142</v>
          </cell>
          <cell r="M113" t="str">
            <v>Gramos</v>
          </cell>
        </row>
        <row r="114">
          <cell r="A114" t="str">
            <v>0510258</v>
          </cell>
          <cell r="B114">
            <v>5558</v>
          </cell>
          <cell r="C114" t="str">
            <v>PREMEZCLA MOIST PUDIN CAKE (SACO:25 K)</v>
          </cell>
          <cell r="D114" t="str">
            <v>0510258</v>
          </cell>
          <cell r="E114" t="str">
            <v>MATERIAS PRIMAS PLANTA</v>
          </cell>
          <cell r="F114" t="str">
            <v>1 SACO</v>
          </cell>
          <cell r="G114">
            <v>500</v>
          </cell>
          <cell r="H114" t="str">
            <v>05/05/2020</v>
          </cell>
          <cell r="I114">
            <v>24875</v>
          </cell>
          <cell r="J114">
            <v>7039625</v>
          </cell>
          <cell r="K114">
            <v>25000</v>
          </cell>
          <cell r="L114">
            <v>0.995</v>
          </cell>
          <cell r="M114" t="str">
            <v>Gramos</v>
          </cell>
        </row>
        <row r="115">
          <cell r="A115" t="str">
            <v>0510262</v>
          </cell>
          <cell r="B115">
            <v>5667</v>
          </cell>
          <cell r="C115" t="str">
            <v>PECANA ENTERA (CAJA:13.6 K)</v>
          </cell>
          <cell r="D115" t="str">
            <v>0510262</v>
          </cell>
          <cell r="E115" t="str">
            <v>MATERIAS PRIMAS PLANTA</v>
          </cell>
          <cell r="F115" t="str">
            <v xml:space="preserve">1 CAJA </v>
          </cell>
          <cell r="G115">
            <v>500</v>
          </cell>
          <cell r="H115" t="str">
            <v>15/06/2020</v>
          </cell>
          <cell r="I115">
            <v>133825.49600000001</v>
          </cell>
          <cell r="J115">
            <v>4417154.608</v>
          </cell>
          <cell r="K115">
            <v>13600</v>
          </cell>
          <cell r="L115">
            <v>9.840110000000001</v>
          </cell>
          <cell r="M115" t="str">
            <v>Gramos</v>
          </cell>
        </row>
        <row r="116">
          <cell r="A116" t="str">
            <v>510268</v>
          </cell>
          <cell r="B116">
            <v>5460</v>
          </cell>
          <cell r="C116" t="str">
            <v>FRIJOL TIERNO (PAQ:1KILO)</v>
          </cell>
          <cell r="D116" t="str">
            <v>510268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16/06/2020</v>
          </cell>
          <cell r="I116">
            <v>1700</v>
          </cell>
          <cell r="J116">
            <v>4845000</v>
          </cell>
          <cell r="K116">
            <v>1000</v>
          </cell>
          <cell r="L116">
            <v>1.7</v>
          </cell>
          <cell r="M116" t="str">
            <v>Gramos</v>
          </cell>
        </row>
        <row r="117">
          <cell r="A117" t="str">
            <v>510280</v>
          </cell>
          <cell r="B117">
            <v>5627</v>
          </cell>
          <cell r="C117" t="str">
            <v>EMULCON TM (SACO:20 K)</v>
          </cell>
          <cell r="D117" t="str">
            <v>510280</v>
          </cell>
          <cell r="E117" t="str">
            <v>MATERIAS PRIMAS PLANTA</v>
          </cell>
          <cell r="F117" t="str">
            <v>1 SACO</v>
          </cell>
          <cell r="G117">
            <v>500</v>
          </cell>
          <cell r="H117" t="str">
            <v>02/06/2020</v>
          </cell>
          <cell r="I117">
            <v>92960</v>
          </cell>
          <cell r="J117">
            <v>741420</v>
          </cell>
          <cell r="K117">
            <v>20000</v>
          </cell>
          <cell r="L117">
            <v>4.6479999999999997</v>
          </cell>
          <cell r="M117" t="str">
            <v>Gramos</v>
          </cell>
        </row>
        <row r="118">
          <cell r="A118" t="str">
            <v>0510285</v>
          </cell>
          <cell r="B118">
            <v>5559</v>
          </cell>
          <cell r="C118" t="str">
            <v>PREMEZCLA P/QUEQUE YOGURT (SACO:22.67 K)</v>
          </cell>
          <cell r="D118" t="str">
            <v>0510285</v>
          </cell>
          <cell r="E118" t="str">
            <v>MATERIAS PRIMAS PLANTA</v>
          </cell>
          <cell r="F118" t="str">
            <v>1 SACO</v>
          </cell>
          <cell r="G118">
            <v>500</v>
          </cell>
          <cell r="H118" t="str">
            <v>09/12/2019</v>
          </cell>
          <cell r="I118">
            <v>38555.32</v>
          </cell>
          <cell r="J118">
            <v>-192776.6</v>
          </cell>
          <cell r="K118">
            <v>22670</v>
          </cell>
          <cell r="L118">
            <v>1.7007198941332158</v>
          </cell>
          <cell r="M118" t="str">
            <v>Gramos</v>
          </cell>
        </row>
        <row r="119">
          <cell r="A119" t="str">
            <v>0510287</v>
          </cell>
          <cell r="B119">
            <v>5560</v>
          </cell>
          <cell r="C119" t="str">
            <v>PREMEZCLA TEGRAL CHIFON (SACO:10K)</v>
          </cell>
          <cell r="D119" t="str">
            <v>0510287</v>
          </cell>
          <cell r="E119" t="str">
            <v>MATERIAS PRIMAS PLANTA</v>
          </cell>
          <cell r="F119" t="str">
            <v>1 SACO</v>
          </cell>
          <cell r="G119">
            <v>500</v>
          </cell>
          <cell r="H119" t="str">
            <v>13/06/2020</v>
          </cell>
          <cell r="I119">
            <v>17300</v>
          </cell>
          <cell r="J119">
            <v>2923700</v>
          </cell>
          <cell r="K119">
            <v>10000</v>
          </cell>
          <cell r="L119">
            <v>1.73</v>
          </cell>
          <cell r="M119" t="str">
            <v>Gramos</v>
          </cell>
        </row>
        <row r="120">
          <cell r="A120" t="str">
            <v>0510294</v>
          </cell>
          <cell r="B120">
            <v>7064</v>
          </cell>
          <cell r="C120" t="str">
            <v>ANTIOXIDANTE ESPECIAL (KILO)</v>
          </cell>
          <cell r="D120" t="str">
            <v>0510294</v>
          </cell>
          <cell r="E120" t="str">
            <v>MATERIAS PRIMAS PLANTA</v>
          </cell>
          <cell r="F120" t="str">
            <v xml:space="preserve">1 KILO </v>
          </cell>
          <cell r="G120">
            <v>500</v>
          </cell>
          <cell r="H120" t="str">
            <v>18/05/2020</v>
          </cell>
          <cell r="I120">
            <v>5391.6962999999996</v>
          </cell>
          <cell r="J120">
            <v>70471.695999999996</v>
          </cell>
          <cell r="K120">
            <v>1000</v>
          </cell>
          <cell r="L120">
            <v>5.3916962999999996</v>
          </cell>
          <cell r="M120" t="str">
            <v>Gramos</v>
          </cell>
        </row>
        <row r="121">
          <cell r="A121" t="str">
            <v>0510298</v>
          </cell>
          <cell r="B121">
            <v>5561</v>
          </cell>
          <cell r="C121" t="str">
            <v>PREMEZCLA TEGRAL BIZCO MELOC (PAQ:6K)</v>
          </cell>
          <cell r="D121" t="str">
            <v>0510298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13/06/2020</v>
          </cell>
          <cell r="I121">
            <v>1010</v>
          </cell>
          <cell r="J121">
            <v>14004660</v>
          </cell>
          <cell r="K121">
            <v>1000</v>
          </cell>
          <cell r="L121">
            <v>1.01</v>
          </cell>
          <cell r="M121" t="str">
            <v>Gramos</v>
          </cell>
        </row>
        <row r="122">
          <cell r="A122" t="str">
            <v>510301</v>
          </cell>
          <cell r="B122">
            <v>5243</v>
          </cell>
          <cell r="C122" t="str">
            <v>AZUCAR BLANCO INDUSTRIAL (SACO:50 K)</v>
          </cell>
          <cell r="D122" t="str">
            <v>510301</v>
          </cell>
          <cell r="E122" t="str">
            <v>MATERIAS PRIMAS PLANTA</v>
          </cell>
          <cell r="F122" t="str">
            <v>1 SACO</v>
          </cell>
          <cell r="G122">
            <v>500</v>
          </cell>
          <cell r="H122" t="str">
            <v>09/06/2020</v>
          </cell>
          <cell r="I122">
            <v>19517</v>
          </cell>
          <cell r="J122">
            <v>7006603</v>
          </cell>
          <cell r="K122">
            <v>50000</v>
          </cell>
          <cell r="L122">
            <v>0.39034000000000002</v>
          </cell>
          <cell r="M122" t="str">
            <v>Gramos</v>
          </cell>
        </row>
        <row r="123">
          <cell r="A123" t="str">
            <v>510302</v>
          </cell>
          <cell r="B123">
            <v>5244</v>
          </cell>
          <cell r="C123" t="str">
            <v>AZUCAR REFINO INDUSTRIAL (SACO:50 K)</v>
          </cell>
          <cell r="D123" t="str">
            <v>510302</v>
          </cell>
          <cell r="E123" t="str">
            <v>MATERIAS PRIMAS PLANTA</v>
          </cell>
          <cell r="F123" t="str">
            <v>1 SACO</v>
          </cell>
          <cell r="G123">
            <v>500</v>
          </cell>
          <cell r="H123" t="str">
            <v>26/05/2020</v>
          </cell>
          <cell r="I123">
            <v>21982</v>
          </cell>
          <cell r="J123">
            <v>998702</v>
          </cell>
          <cell r="K123">
            <v>50000</v>
          </cell>
          <cell r="L123">
            <v>0.43963999999999998</v>
          </cell>
          <cell r="M123" t="str">
            <v>Gramos</v>
          </cell>
        </row>
        <row r="124">
          <cell r="A124" t="str">
            <v>0510304</v>
          </cell>
          <cell r="B124">
            <v>8126</v>
          </cell>
          <cell r="C124" t="str">
            <v>PREMEZCLA PASTEL SUPER ESPONJA</v>
          </cell>
          <cell r="D124" t="str">
            <v>0510304</v>
          </cell>
          <cell r="E124" t="str">
            <v>MATERIAS PRIMAS PLANTA</v>
          </cell>
          <cell r="F124" t="str">
            <v>1 KILO</v>
          </cell>
          <cell r="G124">
            <v>500</v>
          </cell>
          <cell r="H124" t="str">
            <v>03/06/2020</v>
          </cell>
          <cell r="I124">
            <v>1848.1265000000001</v>
          </cell>
          <cell r="J124">
            <v>18608776.419998001</v>
          </cell>
          <cell r="K124">
            <v>1000</v>
          </cell>
          <cell r="L124">
            <v>1.8481265</v>
          </cell>
          <cell r="M124" t="str">
            <v>Gramos</v>
          </cell>
        </row>
        <row r="125">
          <cell r="A125" t="str">
            <v>510414</v>
          </cell>
          <cell r="B125">
            <v>5255</v>
          </cell>
          <cell r="C125" t="str">
            <v>SNACK MIX PLATANO-YUCA (PAQ:500g)</v>
          </cell>
          <cell r="D125" t="str">
            <v>510414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10/06/2020</v>
          </cell>
          <cell r="I125">
            <v>1327.4333329999999</v>
          </cell>
          <cell r="J125">
            <v>3376990.399152</v>
          </cell>
          <cell r="K125">
            <v>500</v>
          </cell>
          <cell r="L125">
            <v>2.6548666659999998</v>
          </cell>
          <cell r="M125" t="str">
            <v>Gramos</v>
          </cell>
        </row>
        <row r="126">
          <cell r="A126" t="str">
            <v>0512255</v>
          </cell>
          <cell r="B126">
            <v>5282</v>
          </cell>
          <cell r="C126" t="str">
            <v>COCOA DUTCH PROCESS (SACO:25 KG)</v>
          </cell>
          <cell r="D126" t="str">
            <v>0512255</v>
          </cell>
          <cell r="E126" t="str">
            <v>MATERIAS PRIMAS PLANTA</v>
          </cell>
          <cell r="F126" t="str">
            <v>1 SACO</v>
          </cell>
          <cell r="G126">
            <v>500</v>
          </cell>
          <cell r="H126" t="str">
            <v>02/03/2020</v>
          </cell>
          <cell r="I126">
            <v>121620.125</v>
          </cell>
          <cell r="J126">
            <v>854318</v>
          </cell>
          <cell r="K126">
            <v>25000</v>
          </cell>
          <cell r="L126">
            <v>4.8648049999999996</v>
          </cell>
          <cell r="M126" t="str">
            <v>Gramos</v>
          </cell>
        </row>
        <row r="127">
          <cell r="A127" t="str">
            <v>512261</v>
          </cell>
          <cell r="B127">
            <v>7066</v>
          </cell>
          <cell r="C127" t="str">
            <v>ACIDO SORBICO (PAQ:2.5 K)</v>
          </cell>
          <cell r="D127" t="str">
            <v>512261</v>
          </cell>
          <cell r="E127" t="str">
            <v>MATERIAS PRIMAS PLANTA</v>
          </cell>
          <cell r="F127" t="str">
            <v>1 PAQUETE</v>
          </cell>
          <cell r="G127">
            <v>500</v>
          </cell>
          <cell r="H127" t="str">
            <v>01/06/2020</v>
          </cell>
          <cell r="I127">
            <v>18046.900000000001</v>
          </cell>
          <cell r="J127">
            <v>538675.61450000003</v>
          </cell>
          <cell r="K127">
            <v>2500</v>
          </cell>
          <cell r="L127">
            <v>7.2187600000000005</v>
          </cell>
          <cell r="M127" t="str">
            <v>Gramos</v>
          </cell>
        </row>
        <row r="128">
          <cell r="A128" t="str">
            <v>0512262</v>
          </cell>
          <cell r="B128">
            <v>7067</v>
          </cell>
          <cell r="C128" t="str">
            <v>PROPIANATO CALCIO (PAQ:2.5 K)</v>
          </cell>
          <cell r="D128" t="str">
            <v>0512262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01/06/2020</v>
          </cell>
          <cell r="I128">
            <v>1783.12</v>
          </cell>
          <cell r="J128">
            <v>151710.125</v>
          </cell>
          <cell r="K128">
            <v>2500</v>
          </cell>
          <cell r="L128">
            <v>0.71324799999999999</v>
          </cell>
          <cell r="M128" t="str">
            <v>Gramos</v>
          </cell>
        </row>
        <row r="129">
          <cell r="A129" t="str">
            <v>0512319</v>
          </cell>
          <cell r="B129">
            <v>5483</v>
          </cell>
          <cell r="C129" t="str">
            <v>PASTA AJO (PAQ: 1 KILO)</v>
          </cell>
          <cell r="D129" t="str">
            <v>0512319</v>
          </cell>
          <cell r="E129" t="str">
            <v>MATERIAS PRIMAS PLANTA</v>
          </cell>
          <cell r="F129" t="str">
            <v xml:space="preserve">1 KILO </v>
          </cell>
          <cell r="G129">
            <v>500</v>
          </cell>
          <cell r="H129" t="str">
            <v>13/06/2020</v>
          </cell>
          <cell r="I129">
            <v>4458</v>
          </cell>
          <cell r="J129">
            <v>3446988</v>
          </cell>
          <cell r="K129">
            <v>1000</v>
          </cell>
          <cell r="L129">
            <v>4.4580000000000002</v>
          </cell>
          <cell r="M129" t="str">
            <v>Gramos</v>
          </cell>
        </row>
        <row r="130">
          <cell r="A130" t="str">
            <v>0512334</v>
          </cell>
          <cell r="B130">
            <v>7068</v>
          </cell>
          <cell r="C130" t="str">
            <v>BENZOATO SODIO (PAQ:2.5 K)</v>
          </cell>
          <cell r="D130" t="str">
            <v>0512334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01/06/2020</v>
          </cell>
          <cell r="I130">
            <v>1668.08</v>
          </cell>
          <cell r="J130">
            <v>33116.695</v>
          </cell>
          <cell r="K130">
            <v>2500</v>
          </cell>
          <cell r="L130">
            <v>0.66723199999999994</v>
          </cell>
          <cell r="M130" t="str">
            <v>Gramos</v>
          </cell>
        </row>
        <row r="131">
          <cell r="A131" t="str">
            <v>0610212</v>
          </cell>
          <cell r="B131">
            <v>5466</v>
          </cell>
          <cell r="C131" t="str">
            <v>JENGIBRE ENTERO KILO</v>
          </cell>
          <cell r="D131" t="str">
            <v>0610212</v>
          </cell>
          <cell r="E131" t="str">
            <v>MATERIAS PRIMAS PLANTA</v>
          </cell>
          <cell r="F131" t="str">
            <v>1 KILO</v>
          </cell>
          <cell r="G131">
            <v>500</v>
          </cell>
          <cell r="H131" t="str">
            <v>23/05/2020</v>
          </cell>
          <cell r="I131">
            <v>2780</v>
          </cell>
          <cell r="J131">
            <v>37726</v>
          </cell>
          <cell r="K131">
            <v>1000</v>
          </cell>
          <cell r="L131">
            <v>2.78</v>
          </cell>
          <cell r="M131" t="str">
            <v>Gramos</v>
          </cell>
        </row>
        <row r="132">
          <cell r="A132" t="str">
            <v>610218</v>
          </cell>
          <cell r="B132">
            <v>5409</v>
          </cell>
          <cell r="C132" t="str">
            <v>COMINO (UND:454G)</v>
          </cell>
          <cell r="D132" t="str">
            <v>610218</v>
          </cell>
          <cell r="E132" t="str">
            <v>MATERIAS PRIMAS PLANTA</v>
          </cell>
          <cell r="F132" t="str">
            <v>1 UND</v>
          </cell>
          <cell r="G132">
            <v>500</v>
          </cell>
          <cell r="H132" t="str">
            <v>19/03/2020</v>
          </cell>
          <cell r="I132">
            <v>2673</v>
          </cell>
          <cell r="J132">
            <v>115062</v>
          </cell>
          <cell r="K132">
            <v>454</v>
          </cell>
          <cell r="L132">
            <v>5.8876651982378858</v>
          </cell>
          <cell r="M132" t="str">
            <v>Gramos</v>
          </cell>
        </row>
        <row r="133">
          <cell r="A133" t="str">
            <v>610220</v>
          </cell>
          <cell r="B133">
            <v>5414</v>
          </cell>
          <cell r="C133" t="str">
            <v>CONSOME POLLO ALSERRO (PAQ: 1 K)</v>
          </cell>
          <cell r="D133" t="str">
            <v>610220</v>
          </cell>
          <cell r="E133" t="str">
            <v>MATERIAS PRIMAS PLANTA</v>
          </cell>
          <cell r="F133" t="str">
            <v>1 PAQUETE</v>
          </cell>
          <cell r="G133">
            <v>500</v>
          </cell>
          <cell r="H133" t="str">
            <v>05/06/2020</v>
          </cell>
          <cell r="I133">
            <v>1708</v>
          </cell>
          <cell r="J133">
            <v>1115324</v>
          </cell>
          <cell r="K133">
            <v>1000</v>
          </cell>
          <cell r="L133">
            <v>1.708</v>
          </cell>
          <cell r="M133" t="str">
            <v>Gramos</v>
          </cell>
        </row>
        <row r="134">
          <cell r="A134" t="str">
            <v>610223</v>
          </cell>
          <cell r="B134">
            <v>5306</v>
          </cell>
          <cell r="C134" t="str">
            <v>CREMA DE HONGOS (CAJA:12 UND)</v>
          </cell>
          <cell r="D134" t="str">
            <v>610223</v>
          </cell>
          <cell r="E134" t="str">
            <v>MATERIAS PRIMAS PLANTA</v>
          </cell>
          <cell r="F134" t="str">
            <v>1 CAJA</v>
          </cell>
          <cell r="G134">
            <v>500</v>
          </cell>
          <cell r="H134" t="str">
            <v>28/05/2020</v>
          </cell>
          <cell r="I134">
            <v>6212</v>
          </cell>
          <cell r="J134">
            <v>2211472</v>
          </cell>
          <cell r="K134">
            <v>780</v>
          </cell>
          <cell r="L134">
            <v>6.7694871794871796</v>
          </cell>
          <cell r="M134" t="str">
            <v>Gramos</v>
          </cell>
        </row>
        <row r="135">
          <cell r="A135" t="str">
            <v>0610236</v>
          </cell>
          <cell r="B135">
            <v>7071</v>
          </cell>
          <cell r="C135" t="str">
            <v>PIMIENTA NEGRA MOLIDA (PAQ: 5 K)</v>
          </cell>
          <cell r="D135" t="str">
            <v>0610236</v>
          </cell>
          <cell r="E135" t="str">
            <v>MATERIAS PRIMAS PLANTA</v>
          </cell>
          <cell r="F135" t="str">
            <v>1 PAQUETE</v>
          </cell>
          <cell r="G135">
            <v>500</v>
          </cell>
          <cell r="H135" t="str">
            <v>21/05/2020</v>
          </cell>
          <cell r="I135">
            <v>29612.35</v>
          </cell>
          <cell r="J135">
            <v>296123.5</v>
          </cell>
          <cell r="K135">
            <v>5000</v>
          </cell>
          <cell r="L135">
            <v>5.9224699999999997</v>
          </cell>
          <cell r="M135" t="str">
            <v>Gramos</v>
          </cell>
        </row>
        <row r="136">
          <cell r="A136" t="str">
            <v>0610244</v>
          </cell>
          <cell r="B136">
            <v>7072</v>
          </cell>
          <cell r="C136" t="str">
            <v>JENGIBRE MOLIDO (UND:340g)</v>
          </cell>
          <cell r="D136" t="str">
            <v>0610244</v>
          </cell>
          <cell r="E136" t="str">
            <v>MATERIAS PRIMAS PLANTA</v>
          </cell>
          <cell r="F136" t="str">
            <v>1 UND</v>
          </cell>
          <cell r="G136">
            <v>500</v>
          </cell>
          <cell r="H136" t="str">
            <v>03/06/2020</v>
          </cell>
          <cell r="I136">
            <v>2814</v>
          </cell>
          <cell r="J136">
            <v>33602</v>
          </cell>
          <cell r="K136">
            <v>340</v>
          </cell>
          <cell r="L136">
            <v>8.2764705882352949</v>
          </cell>
          <cell r="M136" t="str">
            <v>Gramos</v>
          </cell>
        </row>
        <row r="137">
          <cell r="A137" t="str">
            <v>0610250</v>
          </cell>
          <cell r="B137">
            <v>5570</v>
          </cell>
          <cell r="C137" t="str">
            <v>HOJUELA PURE PAPA (SACO:15 K)</v>
          </cell>
          <cell r="D137" t="str">
            <v>0610250</v>
          </cell>
          <cell r="E137" t="str">
            <v>MATERIAS PRIMAS PLANTA</v>
          </cell>
          <cell r="F137" t="str">
            <v xml:space="preserve">1 SACO </v>
          </cell>
          <cell r="G137">
            <v>500</v>
          </cell>
          <cell r="H137" t="str">
            <v>27/05/2020</v>
          </cell>
          <cell r="I137">
            <v>27555.3</v>
          </cell>
          <cell r="J137">
            <v>851602.34424759995</v>
          </cell>
          <cell r="K137">
            <v>15000</v>
          </cell>
          <cell r="L137">
            <v>1.8370199999999999</v>
          </cell>
          <cell r="M137" t="str">
            <v>Gramos</v>
          </cell>
        </row>
        <row r="138">
          <cell r="A138" t="str">
            <v>0610253</v>
          </cell>
          <cell r="B138">
            <v>5308</v>
          </cell>
          <cell r="C138" t="str">
            <v>SOPA OLLA CARNE MAGGI (CAJA:12 UND)</v>
          </cell>
          <cell r="D138" t="str">
            <v>0610253</v>
          </cell>
          <cell r="E138" t="str">
            <v>MATERIAS PRIMAS PLANTA</v>
          </cell>
          <cell r="F138" t="str">
            <v>1 CAJA</v>
          </cell>
          <cell r="G138">
            <v>500</v>
          </cell>
          <cell r="H138" t="str">
            <v>05/06/2020</v>
          </cell>
          <cell r="I138">
            <v>3684</v>
          </cell>
          <cell r="J138">
            <v>1661484</v>
          </cell>
          <cell r="K138">
            <v>480</v>
          </cell>
          <cell r="L138">
            <v>6.5237499999999997</v>
          </cell>
          <cell r="M138" t="str">
            <v>Gramos</v>
          </cell>
        </row>
        <row r="139">
          <cell r="A139" t="str">
            <v>0610254</v>
          </cell>
          <cell r="B139">
            <v>5260</v>
          </cell>
          <cell r="C139" t="str">
            <v>PIMIENTA BLANCA  MOLIDA (PAQ:5 K)</v>
          </cell>
          <cell r="D139" t="str">
            <v>0610254</v>
          </cell>
          <cell r="E139" t="str">
            <v>MATERIAS PRIMAS PLANTA</v>
          </cell>
          <cell r="F139" t="str">
            <v>1 PAQUETE</v>
          </cell>
          <cell r="G139">
            <v>500</v>
          </cell>
          <cell r="H139" t="str">
            <v>21/05/2020</v>
          </cell>
          <cell r="I139">
            <v>47381.85</v>
          </cell>
          <cell r="J139">
            <v>142145.54999999999</v>
          </cell>
          <cell r="K139">
            <v>5000</v>
          </cell>
          <cell r="L139">
            <v>9.4763699999999993</v>
          </cell>
          <cell r="M139" t="str">
            <v>Gramos</v>
          </cell>
        </row>
        <row r="140">
          <cell r="A140" t="str">
            <v>0610256</v>
          </cell>
          <cell r="B140">
            <v>5259</v>
          </cell>
          <cell r="C140" t="str">
            <v>NUEZ MOSCADA MOLIDA (PAQ:3 K)</v>
          </cell>
          <cell r="D140" t="str">
            <v>0610256</v>
          </cell>
          <cell r="E140" t="str">
            <v>MATERIAS PRIMAS PLANTA</v>
          </cell>
          <cell r="F140" t="str">
            <v>1 PAQUETE</v>
          </cell>
          <cell r="G140">
            <v>500</v>
          </cell>
          <cell r="H140" t="str">
            <v>21/05/2020</v>
          </cell>
          <cell r="I140">
            <v>41471.1</v>
          </cell>
          <cell r="J140">
            <v>290297.71000000002</v>
          </cell>
          <cell r="K140">
            <v>3000</v>
          </cell>
          <cell r="L140">
            <v>13.823699999999999</v>
          </cell>
          <cell r="M140" t="str">
            <v>Gramos</v>
          </cell>
        </row>
        <row r="141">
          <cell r="A141" t="str">
            <v>701096</v>
          </cell>
          <cell r="B141">
            <v>5887</v>
          </cell>
          <cell r="C141" t="str">
            <v>ETIQUETA BLANCA R-153 (UND)</v>
          </cell>
          <cell r="D141" t="str">
            <v>701096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12/06/2020</v>
          </cell>
          <cell r="I141">
            <v>0.39</v>
          </cell>
          <cell r="J141">
            <v>553800</v>
          </cell>
          <cell r="K141">
            <v>1</v>
          </cell>
          <cell r="L141">
            <v>0.39</v>
          </cell>
          <cell r="M141" t="str">
            <v>Und</v>
          </cell>
        </row>
        <row r="142">
          <cell r="A142" t="str">
            <v>0702006</v>
          </cell>
          <cell r="B142">
            <v>5899</v>
          </cell>
          <cell r="C142" t="str">
            <v>ETIQ.FECHA VENCIMIENTO AMARILLO (ROLLO)</v>
          </cell>
          <cell r="D142" t="str">
            <v>0702006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25/03/2020</v>
          </cell>
          <cell r="I142">
            <v>180</v>
          </cell>
          <cell r="J142">
            <v>27720</v>
          </cell>
          <cell r="K142">
            <v>900</v>
          </cell>
          <cell r="L142">
            <v>0.2</v>
          </cell>
          <cell r="M142" t="str">
            <v>Und</v>
          </cell>
        </row>
        <row r="143">
          <cell r="A143" t="str">
            <v>0702008</v>
          </cell>
          <cell r="B143">
            <v>5901</v>
          </cell>
          <cell r="C143" t="str">
            <v>ETIQ.FECHA VENCIMIENTO CELESTE (ROLLO)</v>
          </cell>
          <cell r="D143" t="str">
            <v>0702008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180</v>
          </cell>
          <cell r="J143">
            <v>19620</v>
          </cell>
          <cell r="K143">
            <v>900</v>
          </cell>
          <cell r="L143">
            <v>0.2</v>
          </cell>
          <cell r="M143" t="str">
            <v>Und</v>
          </cell>
        </row>
        <row r="144">
          <cell r="A144" t="str">
            <v>0702009</v>
          </cell>
          <cell r="B144">
            <v>5902</v>
          </cell>
          <cell r="C144" t="str">
            <v>ETIQ.FECHA VENCIMIENTO NARANJA (ROLLO)</v>
          </cell>
          <cell r="D144" t="str">
            <v>0702009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28/04/2020</v>
          </cell>
          <cell r="I144">
            <v>180</v>
          </cell>
          <cell r="J144">
            <v>8100</v>
          </cell>
          <cell r="K144">
            <v>900</v>
          </cell>
          <cell r="L144">
            <v>0.2</v>
          </cell>
          <cell r="M144" t="str">
            <v>Und</v>
          </cell>
        </row>
        <row r="145">
          <cell r="A145" t="str">
            <v>0702010</v>
          </cell>
          <cell r="B145">
            <v>5903</v>
          </cell>
          <cell r="C145" t="str">
            <v>ETIQ.FECHA VENCIMIENTO ROJO (ROLLO)</v>
          </cell>
          <cell r="D145" t="str">
            <v>0702010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25/03/2020</v>
          </cell>
          <cell r="I145">
            <v>180</v>
          </cell>
          <cell r="J145">
            <v>4500</v>
          </cell>
          <cell r="K145">
            <v>900</v>
          </cell>
          <cell r="L145">
            <v>0.2</v>
          </cell>
          <cell r="M145" t="str">
            <v>Und</v>
          </cell>
        </row>
        <row r="146">
          <cell r="A146" t="str">
            <v>0702011</v>
          </cell>
          <cell r="B146">
            <v>5904</v>
          </cell>
          <cell r="C146" t="str">
            <v>ETIQ.FECHA VENCIMIENTO ROSADO (ROLLO)</v>
          </cell>
          <cell r="D146" t="str">
            <v>0702011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31/01/2020</v>
          </cell>
          <cell r="I146">
            <v>180</v>
          </cell>
          <cell r="J146">
            <v>18000</v>
          </cell>
          <cell r="K146">
            <v>900</v>
          </cell>
          <cell r="L146">
            <v>0.2</v>
          </cell>
          <cell r="M146" t="str">
            <v>Und</v>
          </cell>
        </row>
        <row r="147">
          <cell r="A147" t="str">
            <v>0702012</v>
          </cell>
          <cell r="B147">
            <v>5905</v>
          </cell>
          <cell r="C147" t="str">
            <v>ETIQ.FECHA VENCIMIENTO VERDE (ROLLO)</v>
          </cell>
          <cell r="D147" t="str">
            <v>0702012</v>
          </cell>
          <cell r="E147" t="str">
            <v>ETIQUETAS PLANTA</v>
          </cell>
          <cell r="F147" t="str">
            <v>1 ROLLO</v>
          </cell>
          <cell r="G147">
            <v>500</v>
          </cell>
          <cell r="H147" t="str">
            <v>12/06/2020</v>
          </cell>
          <cell r="I147">
            <v>180</v>
          </cell>
          <cell r="J147">
            <v>10080</v>
          </cell>
          <cell r="K147">
            <v>900</v>
          </cell>
          <cell r="L147">
            <v>0.2</v>
          </cell>
          <cell r="M147" t="str">
            <v>Und</v>
          </cell>
        </row>
        <row r="148">
          <cell r="A148" t="str">
            <v>0702030</v>
          </cell>
          <cell r="B148">
            <v>5906</v>
          </cell>
          <cell r="C148" t="str">
            <v>ETIQ PRODUCCION BLANCO (ROLLO)</v>
          </cell>
          <cell r="D148" t="str">
            <v>0702030</v>
          </cell>
          <cell r="E148" t="str">
            <v>ETIQUETAS PLANTA</v>
          </cell>
          <cell r="F148" t="str">
            <v>1 ROLLO</v>
          </cell>
          <cell r="G148">
            <v>500</v>
          </cell>
          <cell r="H148" t="str">
            <v>12/06/2020</v>
          </cell>
          <cell r="I148">
            <v>157</v>
          </cell>
          <cell r="J148">
            <v>229220</v>
          </cell>
          <cell r="K148">
            <v>900</v>
          </cell>
          <cell r="L148">
            <v>0.17444444444444446</v>
          </cell>
          <cell r="M148" t="str">
            <v>Und</v>
          </cell>
        </row>
        <row r="149">
          <cell r="A149" t="str">
            <v>0702039</v>
          </cell>
          <cell r="B149">
            <v>5915</v>
          </cell>
          <cell r="C149" t="str">
            <v>ETIQUETA QQ GRANDE V-272 CHOCOLATE (UND)</v>
          </cell>
          <cell r="D149" t="str">
            <v>0702039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07/05/2020</v>
          </cell>
          <cell r="I149">
            <v>47.024999999999999</v>
          </cell>
          <cell r="J149">
            <v>1669387.5</v>
          </cell>
          <cell r="K149">
            <v>1</v>
          </cell>
          <cell r="L149">
            <v>47.024999999999999</v>
          </cell>
          <cell r="M149" t="str">
            <v>Und</v>
          </cell>
        </row>
        <row r="150">
          <cell r="A150" t="str">
            <v>0702041</v>
          </cell>
          <cell r="B150">
            <v>5914</v>
          </cell>
          <cell r="C150" t="str">
            <v>ETIQUETA QQ GRAND  V-272 CHOCOFRESA(UND)</v>
          </cell>
          <cell r="D150" t="str">
            <v>0702041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07/04/2020</v>
          </cell>
          <cell r="I150">
            <v>47.024999999999999</v>
          </cell>
          <cell r="J150">
            <v>376200</v>
          </cell>
          <cell r="K150">
            <v>1</v>
          </cell>
          <cell r="L150">
            <v>47.024999999999999</v>
          </cell>
          <cell r="M150" t="str">
            <v>Und</v>
          </cell>
        </row>
        <row r="151">
          <cell r="A151" t="str">
            <v>0702048</v>
          </cell>
          <cell r="B151">
            <v>5913</v>
          </cell>
          <cell r="C151" t="str">
            <v>ETIQUETA QQ GRANDE V-272 MELOCOTON (UND)</v>
          </cell>
          <cell r="D151" t="str">
            <v>0702048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04/03/2020</v>
          </cell>
          <cell r="I151">
            <v>47.024999999999999</v>
          </cell>
          <cell r="J151">
            <v>493762.5</v>
          </cell>
          <cell r="K151">
            <v>1</v>
          </cell>
          <cell r="L151">
            <v>47.024999999999999</v>
          </cell>
          <cell r="M151" t="str">
            <v>Und</v>
          </cell>
        </row>
        <row r="152">
          <cell r="A152" t="str">
            <v>0702053</v>
          </cell>
          <cell r="B152">
            <v>5891</v>
          </cell>
          <cell r="C152" t="str">
            <v>STICKER REDONDO AMARILLO (ROLLO)</v>
          </cell>
          <cell r="D152" t="str">
            <v>0702053</v>
          </cell>
          <cell r="E152" t="str">
            <v>ETIQUETAS PLANTA</v>
          </cell>
          <cell r="F152" t="str">
            <v>1 ROLLO</v>
          </cell>
          <cell r="G152">
            <v>500</v>
          </cell>
          <cell r="H152" t="str">
            <v>12/06/2020</v>
          </cell>
          <cell r="I152">
            <v>200</v>
          </cell>
          <cell r="J152">
            <v>18000</v>
          </cell>
          <cell r="K152">
            <v>900</v>
          </cell>
          <cell r="L152">
            <v>0.22222222222222221</v>
          </cell>
          <cell r="M152" t="str">
            <v>Und</v>
          </cell>
        </row>
        <row r="153">
          <cell r="A153" t="str">
            <v>0702056</v>
          </cell>
          <cell r="B153">
            <v>5894</v>
          </cell>
          <cell r="C153" t="str">
            <v>STICKER REDONDO CELESTE (ROLLO)</v>
          </cell>
          <cell r="D153" t="str">
            <v>0702056</v>
          </cell>
          <cell r="E153" t="str">
            <v>ETIQUETAS PLANTA</v>
          </cell>
          <cell r="F153" t="str">
            <v>1 ROLLO</v>
          </cell>
          <cell r="G153">
            <v>500</v>
          </cell>
          <cell r="H153" t="str">
            <v>20/12/2019</v>
          </cell>
          <cell r="I153">
            <v>200</v>
          </cell>
          <cell r="J153">
            <v>10000</v>
          </cell>
          <cell r="K153">
            <v>900</v>
          </cell>
          <cell r="L153">
            <v>0.22222222222222221</v>
          </cell>
        </row>
        <row r="154">
          <cell r="A154" t="str">
            <v>0702057</v>
          </cell>
          <cell r="B154">
            <v>12061</v>
          </cell>
          <cell r="C154" t="str">
            <v>STICKER REDONDO NARANJA (ROLLO)</v>
          </cell>
          <cell r="D154" t="str">
            <v>0702057</v>
          </cell>
          <cell r="E154" t="str">
            <v>ETIQUETAS PLANTA</v>
          </cell>
          <cell r="F154" t="str">
            <v>1 ROLLO</v>
          </cell>
          <cell r="G154">
            <v>500</v>
          </cell>
          <cell r="H154" t="str">
            <v>12/06/2020</v>
          </cell>
          <cell r="I154">
            <v>200</v>
          </cell>
          <cell r="J154">
            <v>15200</v>
          </cell>
          <cell r="K154">
            <v>900</v>
          </cell>
          <cell r="L154">
            <v>0.22222222222222221</v>
          </cell>
        </row>
        <row r="155">
          <cell r="A155" t="str">
            <v>0702058</v>
          </cell>
          <cell r="B155">
            <v>5896</v>
          </cell>
          <cell r="C155" t="str">
            <v>STICKER REDONDO ROJO (ROLLO)</v>
          </cell>
          <cell r="D155" t="str">
            <v>0702058</v>
          </cell>
          <cell r="E155" t="str">
            <v>ETIQUETAS PLANTA</v>
          </cell>
          <cell r="F155" t="str">
            <v>1 ROLLO</v>
          </cell>
          <cell r="G155">
            <v>500</v>
          </cell>
          <cell r="H155" t="str">
            <v>12/06/2020</v>
          </cell>
          <cell r="I155">
            <v>200</v>
          </cell>
          <cell r="J155">
            <v>4000</v>
          </cell>
          <cell r="K155">
            <v>900</v>
          </cell>
          <cell r="L155">
            <v>0.22222222222222221</v>
          </cell>
        </row>
        <row r="156">
          <cell r="A156" t="str">
            <v>0702059</v>
          </cell>
          <cell r="B156">
            <v>5897</v>
          </cell>
          <cell r="C156" t="str">
            <v>STICKER REDONDO ROSADO (ROLLO)</v>
          </cell>
          <cell r="D156" t="str">
            <v>0702059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20/12/2019</v>
          </cell>
          <cell r="I156">
            <v>200</v>
          </cell>
          <cell r="J156">
            <v>10000</v>
          </cell>
          <cell r="K156">
            <v>900</v>
          </cell>
          <cell r="L156">
            <v>0.22222222222222221</v>
          </cell>
        </row>
        <row r="157">
          <cell r="A157" t="str">
            <v>0702067</v>
          </cell>
          <cell r="B157">
            <v>5888</v>
          </cell>
          <cell r="C157" t="str">
            <v>ETIQ.BLANCA 1 13/16 * 1 7/8 (UND)</v>
          </cell>
          <cell r="D157" t="str">
            <v>0702067</v>
          </cell>
          <cell r="E157" t="str">
            <v>ETIQUETAS PLANTA</v>
          </cell>
          <cell r="F157" t="str">
            <v>1 UND</v>
          </cell>
          <cell r="G157">
            <v>500</v>
          </cell>
          <cell r="H157" t="str">
            <v>12/06/2020</v>
          </cell>
          <cell r="I157">
            <v>1.7949999999999999</v>
          </cell>
          <cell r="J157">
            <v>840060</v>
          </cell>
          <cell r="K157">
            <v>1</v>
          </cell>
          <cell r="L157">
            <v>1.7949999999999999</v>
          </cell>
          <cell r="M157" t="str">
            <v>Und</v>
          </cell>
        </row>
        <row r="158">
          <cell r="A158" t="str">
            <v>0702069</v>
          </cell>
          <cell r="B158">
            <v>5884</v>
          </cell>
          <cell r="C158" t="str">
            <v>ETIQ.BLANCA 1 1/4 * 3/4 (UND)</v>
          </cell>
          <cell r="D158" t="str">
            <v>0702069</v>
          </cell>
          <cell r="E158" t="str">
            <v>ETIQUETAS PLANTA</v>
          </cell>
          <cell r="F158" t="str">
            <v>1 UND</v>
          </cell>
          <cell r="G158">
            <v>500</v>
          </cell>
          <cell r="H158" t="str">
            <v>28/04/2020</v>
          </cell>
          <cell r="I158">
            <v>0.57999999999999996</v>
          </cell>
          <cell r="J158">
            <v>775460</v>
          </cell>
          <cell r="K158">
            <v>1</v>
          </cell>
          <cell r="L158">
            <v>0.57999999999999996</v>
          </cell>
          <cell r="M158" t="str">
            <v>Und</v>
          </cell>
        </row>
        <row r="159">
          <cell r="A159" t="str">
            <v>0702072</v>
          </cell>
          <cell r="B159">
            <v>5885</v>
          </cell>
          <cell r="C159" t="str">
            <v>ETIQ.BLANCA 3X3 (UND)</v>
          </cell>
          <cell r="D159" t="str">
            <v>0702072</v>
          </cell>
          <cell r="E159" t="str">
            <v>ETIQUETAS PLANTA</v>
          </cell>
          <cell r="F159" t="str">
            <v>1 UND</v>
          </cell>
          <cell r="G159">
            <v>500</v>
          </cell>
          <cell r="H159" t="str">
            <v>25/02/2020</v>
          </cell>
          <cell r="I159">
            <v>4.3230000000000004</v>
          </cell>
          <cell r="J159">
            <v>220473</v>
          </cell>
          <cell r="K159">
            <v>1</v>
          </cell>
          <cell r="L159">
            <v>4.3230000000000004</v>
          </cell>
          <cell r="M159" t="str">
            <v>Und</v>
          </cell>
        </row>
        <row r="160">
          <cell r="A160" t="str">
            <v>0702077</v>
          </cell>
          <cell r="B160">
            <v>5911</v>
          </cell>
          <cell r="C160" t="str">
            <v>ETIQ. GENERICA PEQUEÑA V-274 (UND)</v>
          </cell>
          <cell r="D160" t="str">
            <v>0702077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12.188000000000001</v>
          </cell>
          <cell r="J160">
            <v>1469928</v>
          </cell>
          <cell r="K160">
            <v>1</v>
          </cell>
          <cell r="L160">
            <v>12.188000000000001</v>
          </cell>
          <cell r="M160" t="str">
            <v>Und</v>
          </cell>
        </row>
        <row r="161">
          <cell r="A161" t="str">
            <v>0702087</v>
          </cell>
          <cell r="B161">
            <v>11572</v>
          </cell>
          <cell r="C161" t="str">
            <v>ET.  BUCCA DULCE (UND)</v>
          </cell>
          <cell r="D161" t="str">
            <v>0702087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08/06/2020</v>
          </cell>
          <cell r="I161">
            <v>5</v>
          </cell>
          <cell r="J161">
            <v>345000</v>
          </cell>
          <cell r="K161">
            <v>1</v>
          </cell>
          <cell r="L161">
            <v>5</v>
          </cell>
          <cell r="M161" t="str">
            <v>Und</v>
          </cell>
        </row>
        <row r="162">
          <cell r="A162" t="str">
            <v>0702123</v>
          </cell>
          <cell r="B162">
            <v>12490</v>
          </cell>
          <cell r="C162" t="str">
            <v>ETIQUETA BLANCA 2 5/8X1 15/16 (UND)</v>
          </cell>
          <cell r="D162" t="str">
            <v>0702123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2.1280000000000001</v>
          </cell>
          <cell r="J162">
            <v>2157792</v>
          </cell>
          <cell r="K162">
            <v>1</v>
          </cell>
          <cell r="L162">
            <v>2.1280000000000001</v>
          </cell>
          <cell r="M162" t="str">
            <v>Und</v>
          </cell>
        </row>
        <row r="163">
          <cell r="A163" t="str">
            <v>702136</v>
          </cell>
          <cell r="B163">
            <v>5917</v>
          </cell>
          <cell r="C163" t="str">
            <v>ET. STARBUCKS ALFAJOR (UND)</v>
          </cell>
          <cell r="D163" t="str">
            <v>702136</v>
          </cell>
          <cell r="E163" t="str">
            <v>ETIQUETAS PLANTA</v>
          </cell>
          <cell r="F163" t="str">
            <v>1 UND</v>
          </cell>
          <cell r="G163">
            <v>500</v>
          </cell>
          <cell r="H163" t="str">
            <v>24/03/2020</v>
          </cell>
          <cell r="I163">
            <v>25</v>
          </cell>
          <cell r="J163">
            <v>245000</v>
          </cell>
          <cell r="K163">
            <v>1</v>
          </cell>
          <cell r="L163">
            <v>25</v>
          </cell>
          <cell r="M163" t="str">
            <v>Cm</v>
          </cell>
        </row>
        <row r="164">
          <cell r="A164" t="str">
            <v>0702137</v>
          </cell>
          <cell r="B164">
            <v>5918</v>
          </cell>
          <cell r="C164" t="str">
            <v>ET. STARBUCKS TROCITOS CHEDDAR (UND)</v>
          </cell>
          <cell r="D164" t="str">
            <v>0702137</v>
          </cell>
          <cell r="E164" t="str">
            <v>ETIQUETAS PLANTA</v>
          </cell>
          <cell r="F164" t="str">
            <v>1 UND</v>
          </cell>
          <cell r="G164">
            <v>500</v>
          </cell>
          <cell r="H164" t="str">
            <v>13/03/2020</v>
          </cell>
          <cell r="I164">
            <v>25</v>
          </cell>
          <cell r="J164">
            <v>245000</v>
          </cell>
          <cell r="K164">
            <v>1</v>
          </cell>
          <cell r="L164">
            <v>25</v>
          </cell>
          <cell r="M164" t="str">
            <v>Gramos</v>
          </cell>
        </row>
        <row r="165">
          <cell r="A165" t="str">
            <v>0702147</v>
          </cell>
          <cell r="B165">
            <v>14148</v>
          </cell>
          <cell r="C165" t="str">
            <v>ETIQUETA LIVIANO GENERICA GRD (UND)</v>
          </cell>
          <cell r="D165" t="str">
            <v>0702147</v>
          </cell>
          <cell r="E165" t="str">
            <v>ETIQUETAS PLANTA</v>
          </cell>
          <cell r="F165" t="str">
            <v>1 UND</v>
          </cell>
          <cell r="G165">
            <v>500</v>
          </cell>
          <cell r="H165" t="str">
            <v>06/03/2020</v>
          </cell>
          <cell r="I165">
            <v>32</v>
          </cell>
          <cell r="J165">
            <v>160000</v>
          </cell>
          <cell r="K165">
            <v>1</v>
          </cell>
          <cell r="L165">
            <v>32</v>
          </cell>
          <cell r="M165" t="str">
            <v>Gramos</v>
          </cell>
        </row>
        <row r="166">
          <cell r="A166" t="str">
            <v>0702148</v>
          </cell>
          <cell r="B166">
            <v>5882</v>
          </cell>
          <cell r="C166" t="str">
            <v>ETIQUETA LIVIANO GENERICA PEQUEÑA (UND)</v>
          </cell>
          <cell r="D166" t="str">
            <v>0702148</v>
          </cell>
          <cell r="E166" t="str">
            <v>ETIQUETAS PLANTA</v>
          </cell>
          <cell r="F166" t="str">
            <v>1 UND</v>
          </cell>
          <cell r="G166">
            <v>500</v>
          </cell>
          <cell r="H166" t="str">
            <v>20/02/2020</v>
          </cell>
          <cell r="I166">
            <v>25</v>
          </cell>
          <cell r="J166">
            <v>75000</v>
          </cell>
          <cell r="K166">
            <v>1</v>
          </cell>
          <cell r="L166">
            <v>25</v>
          </cell>
          <cell r="M166" t="str">
            <v>Gramos</v>
          </cell>
        </row>
        <row r="167">
          <cell r="A167" t="str">
            <v>0702155</v>
          </cell>
          <cell r="B167">
            <v>5907</v>
          </cell>
          <cell r="C167" t="str">
            <v>ETIQUETA BLANCA VENCE (ROLLO:1000 UND)</v>
          </cell>
          <cell r="D167" t="str">
            <v>0702155</v>
          </cell>
          <cell r="E167" t="str">
            <v>ETIQUETAS PLANTA</v>
          </cell>
          <cell r="F167" t="str">
            <v>1 ROLLO</v>
          </cell>
          <cell r="G167">
            <v>500</v>
          </cell>
          <cell r="H167" t="str">
            <v>12/06/2020</v>
          </cell>
          <cell r="I167">
            <v>551</v>
          </cell>
          <cell r="J167">
            <v>200013</v>
          </cell>
          <cell r="K167">
            <v>1000</v>
          </cell>
          <cell r="L167">
            <v>0.55100000000000005</v>
          </cell>
          <cell r="M167" t="str">
            <v>Gramos</v>
          </cell>
        </row>
        <row r="168">
          <cell r="A168" t="str">
            <v>0702167</v>
          </cell>
          <cell r="B168">
            <v>10088</v>
          </cell>
          <cell r="C168" t="str">
            <v>ETIQUETA D-31 TORTA BAILEYS (ROLLO)</v>
          </cell>
          <cell r="D168" t="str">
            <v>0702167</v>
          </cell>
          <cell r="E168" t="str">
            <v>ETIQUETAS PLANTA</v>
          </cell>
          <cell r="F168" t="str">
            <v>1 ROLLO</v>
          </cell>
          <cell r="G168">
            <v>500</v>
          </cell>
          <cell r="H168" t="str">
            <v>14/01/2020</v>
          </cell>
          <cell r="I168">
            <v>8000</v>
          </cell>
          <cell r="J168">
            <v>240000</v>
          </cell>
          <cell r="K168">
            <v>1000</v>
          </cell>
          <cell r="L168" t="e">
            <v>#DIV/0!</v>
          </cell>
          <cell r="M168" t="str">
            <v>und</v>
          </cell>
        </row>
        <row r="169">
          <cell r="A169" t="str">
            <v>0702169</v>
          </cell>
          <cell r="B169">
            <v>9467</v>
          </cell>
          <cell r="C169" t="str">
            <v>CARTULINA KRAFT 2.5 X 31 -8 (UND)</v>
          </cell>
          <cell r="D169" t="str">
            <v>0702169</v>
          </cell>
          <cell r="E169" t="str">
            <v>EMPAQUES PLANTA</v>
          </cell>
          <cell r="F169" t="str">
            <v>1 UND</v>
          </cell>
          <cell r="G169">
            <v>500</v>
          </cell>
          <cell r="H169" t="str">
            <v>24/03/2020</v>
          </cell>
          <cell r="I169">
            <v>15</v>
          </cell>
          <cell r="J169">
            <v>427500</v>
          </cell>
          <cell r="K169">
            <v>1</v>
          </cell>
          <cell r="L169">
            <v>15</v>
          </cell>
          <cell r="M169" t="str">
            <v>Und</v>
          </cell>
        </row>
        <row r="170">
          <cell r="A170" t="str">
            <v>702174</v>
          </cell>
          <cell r="B170">
            <v>5908</v>
          </cell>
          <cell r="C170" t="str">
            <v>ETIQUETA SELLO SEGURIDAD (ROLLO:1000)</v>
          </cell>
          <cell r="D170" t="str">
            <v>702174</v>
          </cell>
          <cell r="E170" t="str">
            <v>ETIQUETAS PLANTA</v>
          </cell>
          <cell r="F170" t="str">
            <v>1 ROLLO</v>
          </cell>
          <cell r="G170">
            <v>500</v>
          </cell>
          <cell r="H170" t="str">
            <v>12/06/2020</v>
          </cell>
          <cell r="I170">
            <v>6000</v>
          </cell>
          <cell r="J170">
            <v>1283700</v>
          </cell>
          <cell r="K170">
            <v>1000</v>
          </cell>
          <cell r="L170">
            <v>6</v>
          </cell>
          <cell r="M170" t="str">
            <v>Und</v>
          </cell>
        </row>
        <row r="171">
          <cell r="A171" t="str">
            <v>702175</v>
          </cell>
          <cell r="B171">
            <v>5912</v>
          </cell>
          <cell r="C171" t="str">
            <v>ETIQUETA IMPRES SPOON GRANDE V-272 (UND)</v>
          </cell>
          <cell r="D171" t="str">
            <v>702175</v>
          </cell>
          <cell r="E171" t="str">
            <v>ETIQUETAS PLANTA</v>
          </cell>
          <cell r="F171" t="str">
            <v>1 UND</v>
          </cell>
          <cell r="G171">
            <v>500</v>
          </cell>
          <cell r="H171" t="str">
            <v>12/06/2020</v>
          </cell>
          <cell r="I171">
            <v>47.024999999999999</v>
          </cell>
          <cell r="J171">
            <v>6583500</v>
          </cell>
          <cell r="K171">
            <v>1</v>
          </cell>
          <cell r="L171">
            <v>47.024999999999999</v>
          </cell>
          <cell r="M171" t="str">
            <v>Und</v>
          </cell>
        </row>
        <row r="172">
          <cell r="A172" t="str">
            <v>702182</v>
          </cell>
          <cell r="B172">
            <v>9535</v>
          </cell>
          <cell r="C172" t="str">
            <v>ETIQUETA IMP. SPOON MEDIANA V-273 (UND)</v>
          </cell>
          <cell r="D172" t="str">
            <v>702182</v>
          </cell>
          <cell r="E172" t="str">
            <v>ETIQUETAS PLANTA</v>
          </cell>
          <cell r="F172" t="str">
            <v>1 UND</v>
          </cell>
          <cell r="G172">
            <v>500</v>
          </cell>
          <cell r="H172" t="str">
            <v>02/06/2020</v>
          </cell>
          <cell r="I172">
            <v>32.49</v>
          </cell>
          <cell r="J172">
            <v>1938969</v>
          </cell>
          <cell r="K172">
            <v>1</v>
          </cell>
          <cell r="L172">
            <v>32.49</v>
          </cell>
          <cell r="M172" t="str">
            <v>Und</v>
          </cell>
        </row>
        <row r="173">
          <cell r="A173" t="str">
            <v>703020</v>
          </cell>
          <cell r="B173">
            <v>9444</v>
          </cell>
          <cell r="C173" t="str">
            <v>CINTA ADHESIVA TRANSPARENT 2*100 M (UND)</v>
          </cell>
          <cell r="D173" t="str">
            <v>703020</v>
          </cell>
          <cell r="E173" t="str">
            <v>EMPAQUES PLANTA</v>
          </cell>
          <cell r="F173" t="str">
            <v>1 UND</v>
          </cell>
          <cell r="G173">
            <v>500</v>
          </cell>
          <cell r="H173" t="str">
            <v>12/06/2020</v>
          </cell>
          <cell r="I173">
            <v>1450</v>
          </cell>
          <cell r="J173">
            <v>5875400</v>
          </cell>
          <cell r="K173">
            <v>10000</v>
          </cell>
          <cell r="L173">
            <v>0.14499999999999999</v>
          </cell>
          <cell r="M173" t="str">
            <v>Cm</v>
          </cell>
        </row>
        <row r="174">
          <cell r="A174" t="str">
            <v>0710260</v>
          </cell>
          <cell r="B174">
            <v>12504</v>
          </cell>
          <cell r="C174" t="str">
            <v>PAN CUADRADO INTEGRAL (PAQ=22 REBANADAS)</v>
          </cell>
          <cell r="D174" t="str">
            <v>0710260</v>
          </cell>
          <cell r="E174" t="str">
            <v>MATERIAS PRIMAS PLANTA</v>
          </cell>
          <cell r="F174" t="str">
            <v>1 PAQUETE</v>
          </cell>
          <cell r="G174">
            <v>500</v>
          </cell>
          <cell r="H174" t="str">
            <v>19/05/2020</v>
          </cell>
          <cell r="I174">
            <v>1</v>
          </cell>
          <cell r="J174">
            <v>272800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0710261</v>
          </cell>
          <cell r="B175">
            <v>5544</v>
          </cell>
          <cell r="C175" t="str">
            <v>PAN CUADRADO BLANCO (PAQ=22 REBANADAS )</v>
          </cell>
          <cell r="D175" t="str">
            <v>0710261</v>
          </cell>
          <cell r="E175" t="str">
            <v>MATERIAS PRIMAS PLANTA</v>
          </cell>
          <cell r="F175" t="str">
            <v>1 PAQUETE</v>
          </cell>
          <cell r="G175">
            <v>500</v>
          </cell>
          <cell r="H175" t="str">
            <v>10/06/2020</v>
          </cell>
          <cell r="I175">
            <v>1000</v>
          </cell>
          <cell r="J175">
            <v>2036750</v>
          </cell>
          <cell r="K175">
            <v>790</v>
          </cell>
          <cell r="L175">
            <v>1.2658227848101267</v>
          </cell>
          <cell r="M175" t="str">
            <v>Gramos</v>
          </cell>
        </row>
        <row r="176">
          <cell r="A176" t="str">
            <v>0710262</v>
          </cell>
          <cell r="B176">
            <v>5550</v>
          </cell>
          <cell r="C176" t="str">
            <v>PAN MOLIDO (PAQ:5 K)</v>
          </cell>
          <cell r="D176" t="str">
            <v>0710262</v>
          </cell>
          <cell r="E176" t="str">
            <v>MATERIAS PRIMAS PLANTA</v>
          </cell>
          <cell r="F176" t="str">
            <v>1 PAQUETE</v>
          </cell>
          <cell r="G176">
            <v>500</v>
          </cell>
          <cell r="H176" t="str">
            <v>26/05/2020</v>
          </cell>
          <cell r="I176">
            <v>6050</v>
          </cell>
          <cell r="J176">
            <v>78650</v>
          </cell>
          <cell r="K176">
            <v>5000</v>
          </cell>
          <cell r="L176">
            <v>1.21</v>
          </cell>
          <cell r="M176" t="str">
            <v>Gramos</v>
          </cell>
        </row>
        <row r="177">
          <cell r="A177" t="str">
            <v>0710282</v>
          </cell>
          <cell r="B177">
            <v>5553</v>
          </cell>
          <cell r="C177" t="str">
            <v>GALLETA POZUELO ENTERA KILO</v>
          </cell>
          <cell r="D177" t="str">
            <v>0710282</v>
          </cell>
          <cell r="E177" t="str">
            <v>MATERIAS PRIMAS PLANTA</v>
          </cell>
          <cell r="F177" t="str">
            <v>1 KILO</v>
          </cell>
          <cell r="G177">
            <v>500</v>
          </cell>
          <cell r="H177" t="str">
            <v>15/06/2020</v>
          </cell>
          <cell r="I177">
            <v>1726.34</v>
          </cell>
          <cell r="J177">
            <v>9303669.4550000001</v>
          </cell>
          <cell r="K177">
            <v>1000</v>
          </cell>
          <cell r="L177">
            <v>1.72634</v>
          </cell>
          <cell r="M177" t="str">
            <v>Gramos</v>
          </cell>
        </row>
        <row r="178">
          <cell r="A178" t="str">
            <v>0710290</v>
          </cell>
          <cell r="B178">
            <v>5548</v>
          </cell>
          <cell r="C178" t="str">
            <v>PAPEL DE ARROZ (PAQ:36 UND)</v>
          </cell>
          <cell r="D178" t="str">
            <v>0710290</v>
          </cell>
          <cell r="E178" t="str">
            <v>MATERIAS PRIMAS PLANTA</v>
          </cell>
          <cell r="F178" t="str">
            <v>1 PAQUETE</v>
          </cell>
          <cell r="G178">
            <v>500</v>
          </cell>
          <cell r="H178" t="str">
            <v>15/06/2020</v>
          </cell>
          <cell r="I178">
            <v>1467.39</v>
          </cell>
          <cell r="J178">
            <v>961140.45</v>
          </cell>
          <cell r="K178">
            <v>36</v>
          </cell>
          <cell r="L178">
            <v>40.760833333333338</v>
          </cell>
          <cell r="M178" t="str">
            <v>Mililitros</v>
          </cell>
        </row>
        <row r="179">
          <cell r="A179" t="str">
            <v>710295</v>
          </cell>
          <cell r="B179">
            <v>5275</v>
          </cell>
          <cell r="C179" t="str">
            <v>BARQUILLO VETEAD CHOCOLAT (CAJA:420 UND)</v>
          </cell>
          <cell r="D179" t="str">
            <v>710295</v>
          </cell>
          <cell r="E179" t="str">
            <v>MATERIAS PRIMAS PLANTA</v>
          </cell>
          <cell r="F179" t="str">
            <v xml:space="preserve">1 CAJA </v>
          </cell>
          <cell r="G179">
            <v>500</v>
          </cell>
          <cell r="H179" t="str">
            <v>07/01/2020</v>
          </cell>
          <cell r="I179">
            <v>15740</v>
          </cell>
          <cell r="J179">
            <v>-31480</v>
          </cell>
          <cell r="K179">
            <v>420</v>
          </cell>
          <cell r="L179">
            <v>37.476190476190474</v>
          </cell>
          <cell r="M179" t="str">
            <v>Und</v>
          </cell>
        </row>
        <row r="180">
          <cell r="A180" t="str">
            <v>710305</v>
          </cell>
          <cell r="B180">
            <v>11347</v>
          </cell>
          <cell r="C180" t="str">
            <v>GALLETA DE CHOCOLATE KILO</v>
          </cell>
          <cell r="D180" t="str">
            <v>710305</v>
          </cell>
          <cell r="E180" t="str">
            <v>MATERIAS PRIMAS PLANTA</v>
          </cell>
          <cell r="F180" t="str">
            <v>1 KILO</v>
          </cell>
          <cell r="G180">
            <v>500</v>
          </cell>
          <cell r="H180" t="str">
            <v>01/06/2020</v>
          </cell>
          <cell r="I180">
            <v>1782</v>
          </cell>
          <cell r="J180">
            <v>761983.2</v>
          </cell>
          <cell r="K180">
            <v>1000</v>
          </cell>
          <cell r="L180">
            <v>1.782</v>
          </cell>
          <cell r="M180" t="str">
            <v>Gramos</v>
          </cell>
        </row>
        <row r="181">
          <cell r="A181" t="str">
            <v>720761</v>
          </cell>
          <cell r="B181">
            <v>13074</v>
          </cell>
          <cell r="C181" t="str">
            <v>RELLENO MANZANA CUBITOS (UND:19 LB)</v>
          </cell>
          <cell r="D181" t="str">
            <v>720761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08/02/2020</v>
          </cell>
          <cell r="I181">
            <v>26082</v>
          </cell>
          <cell r="J181">
            <v>288782</v>
          </cell>
          <cell r="K181">
            <v>8.61</v>
          </cell>
          <cell r="L181">
            <v>3029.268292682927</v>
          </cell>
          <cell r="M181" t="str">
            <v>Gramos</v>
          </cell>
        </row>
        <row r="182">
          <cell r="A182" t="str">
            <v>0810288</v>
          </cell>
          <cell r="B182">
            <v>5352</v>
          </cell>
          <cell r="C182" t="str">
            <v>JUGO DE NARANJA TB (CAJA:12 UND)</v>
          </cell>
          <cell r="D182" t="str">
            <v>0810288</v>
          </cell>
          <cell r="E182" t="str">
            <v>MATERIAS PRIMAS PLANTA</v>
          </cell>
          <cell r="F182" t="str">
            <v>1 CAJA</v>
          </cell>
          <cell r="G182">
            <v>500</v>
          </cell>
          <cell r="H182" t="str">
            <v>08/06/2020</v>
          </cell>
          <cell r="I182">
            <v>7853.54</v>
          </cell>
          <cell r="J182">
            <v>657558.06000000006</v>
          </cell>
          <cell r="K182">
            <v>12000</v>
          </cell>
          <cell r="L182">
            <v>0.65446166666666661</v>
          </cell>
          <cell r="M182" t="str">
            <v>Mililitros</v>
          </cell>
        </row>
        <row r="183">
          <cell r="A183" t="str">
            <v>0810306</v>
          </cell>
          <cell r="B183">
            <v>5309</v>
          </cell>
          <cell r="C183" t="str">
            <v>MIEL ABEJA BOTELLA (UND)</v>
          </cell>
          <cell r="D183" t="str">
            <v>0810306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21/05/2020</v>
          </cell>
          <cell r="I183">
            <v>4471</v>
          </cell>
          <cell r="J183">
            <v>98362</v>
          </cell>
          <cell r="K183">
            <v>1</v>
          </cell>
          <cell r="L183">
            <v>4471</v>
          </cell>
          <cell r="M183" t="str">
            <v>Gramos</v>
          </cell>
        </row>
        <row r="184">
          <cell r="A184" t="str">
            <v>0906036</v>
          </cell>
          <cell r="B184">
            <v>5841</v>
          </cell>
          <cell r="C184" t="str">
            <v>PAPEL MANTEQUILLA (CAJA= 1000 UND)</v>
          </cell>
          <cell r="D184" t="str">
            <v>0906036</v>
          </cell>
          <cell r="E184" t="str">
            <v>EMPAQUES PLANTA</v>
          </cell>
          <cell r="F184" t="str">
            <v>1 CAJA</v>
          </cell>
          <cell r="G184">
            <v>500</v>
          </cell>
          <cell r="H184" t="str">
            <v>26/05/2020</v>
          </cell>
          <cell r="I184">
            <v>32000</v>
          </cell>
          <cell r="J184">
            <v>320000</v>
          </cell>
          <cell r="K184">
            <v>1000</v>
          </cell>
          <cell r="L184">
            <v>32</v>
          </cell>
          <cell r="M184" t="str">
            <v>Und</v>
          </cell>
        </row>
        <row r="185">
          <cell r="A185" t="str">
            <v>906288</v>
          </cell>
          <cell r="B185">
            <v>5422</v>
          </cell>
          <cell r="C185" t="str">
            <v>CILINDRO CHANTILLY (CAJA=10UND)</v>
          </cell>
          <cell r="D185" t="str">
            <v>906288</v>
          </cell>
          <cell r="E185" t="str">
            <v>MATERIAS PRIMAS PLANTA</v>
          </cell>
          <cell r="F185" t="str">
            <v>1 CAJA</v>
          </cell>
          <cell r="G185">
            <v>500</v>
          </cell>
          <cell r="H185" t="str">
            <v>19/05/2020</v>
          </cell>
          <cell r="I185">
            <v>1</v>
          </cell>
          <cell r="J185">
            <v>352800</v>
          </cell>
          <cell r="K185">
            <v>10</v>
          </cell>
          <cell r="L185">
            <v>0.1</v>
          </cell>
          <cell r="M185" t="str">
            <v>Mililitros</v>
          </cell>
        </row>
        <row r="186">
          <cell r="A186" t="str">
            <v>910311</v>
          </cell>
          <cell r="B186">
            <v>5529</v>
          </cell>
          <cell r="C186" t="str">
            <v>ACEITE DE OLIVA PLAST (UND:5 L)</v>
          </cell>
          <cell r="D186" t="str">
            <v>910311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13/06/2020</v>
          </cell>
          <cell r="I186">
            <v>9325</v>
          </cell>
          <cell r="J186">
            <v>3159855</v>
          </cell>
          <cell r="K186">
            <v>5000</v>
          </cell>
          <cell r="L186">
            <v>1.865</v>
          </cell>
          <cell r="M186" t="str">
            <v>Mililitros</v>
          </cell>
        </row>
        <row r="187">
          <cell r="A187" t="str">
            <v>0910322</v>
          </cell>
          <cell r="B187">
            <v>5287</v>
          </cell>
          <cell r="C187" t="str">
            <v>VINAGRE BLANCO (UND:3.785 L)</v>
          </cell>
          <cell r="D187" t="str">
            <v>0910322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12/06/2020</v>
          </cell>
          <cell r="I187">
            <v>3230</v>
          </cell>
          <cell r="J187">
            <v>532950</v>
          </cell>
          <cell r="K187">
            <v>3785</v>
          </cell>
          <cell r="L187">
            <v>0.8533685601056803</v>
          </cell>
          <cell r="M187" t="str">
            <v>Mililitros</v>
          </cell>
        </row>
        <row r="188">
          <cell r="A188" t="str">
            <v>0910339</v>
          </cell>
          <cell r="B188">
            <v>5235</v>
          </cell>
          <cell r="C188" t="str">
            <v>VINAGRE VINO DE ARROZ (UND:3.785)</v>
          </cell>
          <cell r="D188" t="str">
            <v>0910339</v>
          </cell>
          <cell r="E188" t="str">
            <v>MATERIAS PRIMAS PLANTA</v>
          </cell>
          <cell r="F188" t="str">
            <v>1 UND</v>
          </cell>
          <cell r="G188">
            <v>500</v>
          </cell>
          <cell r="H188" t="str">
            <v>06/06/2020</v>
          </cell>
          <cell r="I188">
            <v>8378.4</v>
          </cell>
          <cell r="J188">
            <v>135101.70000000001</v>
          </cell>
          <cell r="K188">
            <v>3785</v>
          </cell>
          <cell r="L188">
            <v>2.213579920739762</v>
          </cell>
          <cell r="M188" t="str">
            <v>Mililitros</v>
          </cell>
        </row>
        <row r="189">
          <cell r="A189" t="str">
            <v>0910341</v>
          </cell>
          <cell r="B189">
            <v>12771</v>
          </cell>
          <cell r="C189" t="str">
            <v>SALSA INGLESA LIZANO (UND:3.7 L)</v>
          </cell>
          <cell r="D189" t="str">
            <v>0910341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15/06/2020</v>
          </cell>
          <cell r="I189">
            <v>7303</v>
          </cell>
          <cell r="J189">
            <v>2786574</v>
          </cell>
          <cell r="K189">
            <v>3700</v>
          </cell>
          <cell r="L189">
            <v>1.9737837837837837</v>
          </cell>
          <cell r="M189" t="str">
            <v>Mililitros</v>
          </cell>
        </row>
        <row r="190">
          <cell r="A190" t="str">
            <v>0910351</v>
          </cell>
          <cell r="B190">
            <v>5279</v>
          </cell>
          <cell r="C190" t="str">
            <v>SALSA CHILE AJI (PAQ:1 KILO)</v>
          </cell>
          <cell r="D190" t="str">
            <v>0910351</v>
          </cell>
          <cell r="E190" t="str">
            <v>MATERIAS PRIMAS PLANTA</v>
          </cell>
          <cell r="F190" t="str">
            <v>1 PAQUETE</v>
          </cell>
          <cell r="G190">
            <v>500</v>
          </cell>
          <cell r="H190" t="str">
            <v>05/06/2020</v>
          </cell>
          <cell r="I190">
            <v>5898.23</v>
          </cell>
          <cell r="J190">
            <v>412876.1</v>
          </cell>
          <cell r="K190">
            <v>1000</v>
          </cell>
          <cell r="L190">
            <v>5.8982299999999999</v>
          </cell>
          <cell r="M190" t="str">
            <v>Gramos</v>
          </cell>
        </row>
        <row r="191">
          <cell r="A191" t="str">
            <v>1010008</v>
          </cell>
          <cell r="B191">
            <v>7079</v>
          </cell>
          <cell r="C191" t="str">
            <v>VINAGRE BALSAMICO ROLAND (UND:5 L)</v>
          </cell>
          <cell r="D191" t="str">
            <v>1010008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23/03/2020</v>
          </cell>
          <cell r="I191">
            <v>13600</v>
          </cell>
          <cell r="J191">
            <v>136000</v>
          </cell>
          <cell r="K191">
            <v>5000</v>
          </cell>
          <cell r="L191">
            <v>2.72</v>
          </cell>
          <cell r="M191" t="str">
            <v>Mililitros</v>
          </cell>
        </row>
        <row r="192">
          <cell r="A192" t="str">
            <v>1010009</v>
          </cell>
          <cell r="B192">
            <v>5316</v>
          </cell>
          <cell r="C192" t="str">
            <v>CHILE CHIPOTLE COSTEÑA (UND:2.9 K)</v>
          </cell>
          <cell r="D192" t="str">
            <v>1010009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12/06/2020</v>
          </cell>
          <cell r="I192">
            <v>10930</v>
          </cell>
          <cell r="J192">
            <v>3115050</v>
          </cell>
          <cell r="K192">
            <v>2900</v>
          </cell>
          <cell r="L192">
            <v>3.7689655172413792</v>
          </cell>
          <cell r="M192" t="str">
            <v>Gramos</v>
          </cell>
        </row>
        <row r="193">
          <cell r="A193" t="str">
            <v>1010047</v>
          </cell>
          <cell r="B193">
            <v>13326</v>
          </cell>
          <cell r="C193" t="str">
            <v>SIROPE CHOCOLATE HERSHEY (UND:24 ONZ)</v>
          </cell>
          <cell r="D193" t="str">
            <v>1010047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25/02/2020</v>
          </cell>
          <cell r="I193">
            <v>1691</v>
          </cell>
          <cell r="J193">
            <v>59185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01011701</v>
          </cell>
          <cell r="B194">
            <v>11574</v>
          </cell>
          <cell r="C194" t="str">
            <v>PAPA PREFRITA CORTE RECTO 5/16" NG 6/5 L</v>
          </cell>
          <cell r="D194" t="str">
            <v>01011701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10/12/2019</v>
          </cell>
          <cell r="I194">
            <v>15161</v>
          </cell>
          <cell r="J194">
            <v>15161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1012301</v>
          </cell>
          <cell r="B195">
            <v>5335</v>
          </cell>
          <cell r="C195" t="str">
            <v>VINO TINTO PETER CABERNET SAUV (UND:5L)</v>
          </cell>
          <cell r="D195" t="str">
            <v>1012301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20/03/2020</v>
          </cell>
          <cell r="I195">
            <v>16689.001929999999</v>
          </cell>
          <cell r="J195">
            <v>656624.36562000006</v>
          </cell>
          <cell r="K195">
            <v>5000</v>
          </cell>
          <cell r="L195">
            <v>3.3378003859999996</v>
          </cell>
          <cell r="M195" t="str">
            <v>Mililitros</v>
          </cell>
        </row>
        <row r="196">
          <cell r="A196" t="str">
            <v>1012341</v>
          </cell>
          <cell r="B196">
            <v>5342</v>
          </cell>
          <cell r="C196" t="str">
            <v>BAILEYS (BOTELLA=1 LITRO)</v>
          </cell>
          <cell r="D196" t="str">
            <v>1012341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26/05/2020</v>
          </cell>
          <cell r="I196">
            <v>12485.44</v>
          </cell>
          <cell r="J196">
            <v>17123097.48</v>
          </cell>
          <cell r="K196">
            <v>1000</v>
          </cell>
          <cell r="L196">
            <v>12.485440000000001</v>
          </cell>
          <cell r="M196" t="str">
            <v>Mililitros</v>
          </cell>
        </row>
        <row r="197">
          <cell r="A197" t="str">
            <v>1012431</v>
          </cell>
          <cell r="B197">
            <v>5334</v>
          </cell>
          <cell r="C197" t="str">
            <v>VINO BLANCO PETER CABERNET SAU (UND:5L)</v>
          </cell>
          <cell r="D197" t="str">
            <v>1012431</v>
          </cell>
          <cell r="E197" t="str">
            <v>MATERIAS PRIMAS PLANTA</v>
          </cell>
          <cell r="F197" t="str">
            <v>1 UND</v>
          </cell>
          <cell r="G197">
            <v>500</v>
          </cell>
          <cell r="H197" t="str">
            <v>18/05/2020</v>
          </cell>
          <cell r="I197">
            <v>16689.001929999999</v>
          </cell>
          <cell r="J197">
            <v>3840762.8402100001</v>
          </cell>
          <cell r="K197">
            <v>5000</v>
          </cell>
          <cell r="L197">
            <v>3.3378003859999996</v>
          </cell>
          <cell r="M197" t="str">
            <v>Mililitros</v>
          </cell>
        </row>
        <row r="198">
          <cell r="A198" t="str">
            <v>1058121</v>
          </cell>
          <cell r="B198">
            <v>15013</v>
          </cell>
          <cell r="C198" t="str">
            <v>MORA CONG INPAK (39/80 GRS)</v>
          </cell>
          <cell r="D198" t="str">
            <v>1058121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17/12/2019</v>
          </cell>
          <cell r="I198">
            <v>10344</v>
          </cell>
          <cell r="J198">
            <v>506856</v>
          </cell>
          <cell r="K198">
            <v>3120</v>
          </cell>
          <cell r="L198">
            <v>3.3153846153846156</v>
          </cell>
          <cell r="M198" t="str">
            <v>Gramos</v>
          </cell>
        </row>
        <row r="199">
          <cell r="A199" t="str">
            <v>1070002</v>
          </cell>
          <cell r="B199">
            <v>8075</v>
          </cell>
          <cell r="C199" t="str">
            <v>CHOCOLATE TRIAN OLEA  PEQ (CAJA:250 UND)</v>
          </cell>
          <cell r="D199" t="str">
            <v>1070002</v>
          </cell>
          <cell r="E199" t="str">
            <v>MATERIAS PRIMAS PLANTA</v>
          </cell>
          <cell r="F199" t="str">
            <v>1 CAJA</v>
          </cell>
          <cell r="G199">
            <v>500</v>
          </cell>
          <cell r="H199" t="str">
            <v>12/06/2020</v>
          </cell>
          <cell r="I199">
            <v>20768</v>
          </cell>
          <cell r="J199">
            <v>2352183.6800000002</v>
          </cell>
          <cell r="K199">
            <v>250</v>
          </cell>
          <cell r="L199">
            <v>83.072000000000003</v>
          </cell>
          <cell r="M199" t="str">
            <v>Mililitros</v>
          </cell>
        </row>
        <row r="200">
          <cell r="A200" t="str">
            <v>1110354</v>
          </cell>
          <cell r="B200">
            <v>5295</v>
          </cell>
          <cell r="C200" t="str">
            <v>ALCAPARRA (UND:944g)</v>
          </cell>
          <cell r="D200" t="str">
            <v>1110354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12/06/2020</v>
          </cell>
          <cell r="I200">
            <v>3785</v>
          </cell>
          <cell r="J200">
            <v>589499</v>
          </cell>
          <cell r="K200">
            <v>944</v>
          </cell>
          <cell r="L200">
            <v>4.0095338983050848</v>
          </cell>
          <cell r="M200" t="str">
            <v>Gramos</v>
          </cell>
        </row>
        <row r="201">
          <cell r="A201" t="str">
            <v>1110363</v>
          </cell>
          <cell r="B201">
            <v>12772</v>
          </cell>
          <cell r="C201" t="str">
            <v>CEREZAS ROJAS C/TALLO (UND:1/2 g)</v>
          </cell>
          <cell r="D201" t="str">
            <v>1110363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09/06/2020</v>
          </cell>
          <cell r="I201">
            <v>10425</v>
          </cell>
          <cell r="J201">
            <v>145818</v>
          </cell>
          <cell r="K201">
            <v>2300</v>
          </cell>
          <cell r="L201">
            <v>4.5326086956521738</v>
          </cell>
          <cell r="M201" t="str">
            <v>Gramos</v>
          </cell>
        </row>
        <row r="202">
          <cell r="A202" t="str">
            <v>1110377</v>
          </cell>
          <cell r="B202">
            <v>5319</v>
          </cell>
          <cell r="C202" t="str">
            <v>MOSTAZA FRENCH (UND:2.98 L)</v>
          </cell>
          <cell r="D202" t="str">
            <v>1110377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03/06/2020</v>
          </cell>
          <cell r="I202">
            <v>3859</v>
          </cell>
          <cell r="J202">
            <v>718858</v>
          </cell>
          <cell r="K202">
            <v>2980</v>
          </cell>
          <cell r="L202">
            <v>1.2949664429530201</v>
          </cell>
          <cell r="M202" t="str">
            <v>Mililitros</v>
          </cell>
        </row>
        <row r="203">
          <cell r="A203" t="str">
            <v>1110378</v>
          </cell>
          <cell r="B203">
            <v>5246</v>
          </cell>
          <cell r="C203" t="str">
            <v>TOMATE LICUADO LATA (UND: 4.1 K)</v>
          </cell>
          <cell r="D203" t="str">
            <v>1110378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25/05/2020</v>
          </cell>
          <cell r="I203">
            <v>6066.2</v>
          </cell>
          <cell r="J203">
            <v>9699853.8000000007</v>
          </cell>
          <cell r="K203">
            <v>4100</v>
          </cell>
          <cell r="L203">
            <v>1.4795609756097561</v>
          </cell>
          <cell r="M203" t="str">
            <v>Gramos</v>
          </cell>
        </row>
        <row r="204">
          <cell r="A204" t="str">
            <v>1110380</v>
          </cell>
          <cell r="B204">
            <v>5321</v>
          </cell>
          <cell r="C204" t="str">
            <v>PEPINILLOS REBANADOS (GALON)</v>
          </cell>
          <cell r="D204" t="str">
            <v>1110380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17/03/2020</v>
          </cell>
          <cell r="I204">
            <v>4226</v>
          </cell>
          <cell r="J204">
            <v>54866</v>
          </cell>
          <cell r="K204">
            <v>3785</v>
          </cell>
          <cell r="L204">
            <v>1.1165125495376487</v>
          </cell>
          <cell r="M204" t="str">
            <v>Gramos</v>
          </cell>
        </row>
        <row r="205">
          <cell r="A205" t="str">
            <v>1110386</v>
          </cell>
          <cell r="B205">
            <v>5322</v>
          </cell>
          <cell r="C205" t="str">
            <v>TABASCO 62g (CAJA:36 UND)</v>
          </cell>
          <cell r="D205" t="str">
            <v>1110386</v>
          </cell>
          <cell r="E205" t="str">
            <v>MATERIAS PRIMAS PLANTA</v>
          </cell>
          <cell r="F205" t="str">
            <v>1 CAJA</v>
          </cell>
          <cell r="G205">
            <v>500</v>
          </cell>
          <cell r="H205" t="str">
            <v>18/05/2020</v>
          </cell>
          <cell r="I205">
            <v>15669</v>
          </cell>
          <cell r="J205">
            <v>125352</v>
          </cell>
          <cell r="K205">
            <v>2232</v>
          </cell>
          <cell r="L205">
            <v>7.020161290322581</v>
          </cell>
          <cell r="M205" t="str">
            <v>Gramos</v>
          </cell>
        </row>
        <row r="206">
          <cell r="A206" t="str">
            <v>1110393</v>
          </cell>
          <cell r="B206">
            <v>5323</v>
          </cell>
          <cell r="C206" t="str">
            <v>PIÑA EN RODAJAS (UND: 3 K)</v>
          </cell>
          <cell r="D206" t="str">
            <v>1110393</v>
          </cell>
          <cell r="E206" t="str">
            <v>MATERIAS PRIMAS PLANTA</v>
          </cell>
          <cell r="F206" t="str">
            <v>1 UND</v>
          </cell>
          <cell r="G206">
            <v>500</v>
          </cell>
          <cell r="H206" t="str">
            <v>12/06/2020</v>
          </cell>
          <cell r="I206">
            <v>3061</v>
          </cell>
          <cell r="J206">
            <v>306100</v>
          </cell>
          <cell r="K206">
            <v>1600</v>
          </cell>
          <cell r="L206">
            <v>1.913125</v>
          </cell>
          <cell r="M206" t="str">
            <v>Gramos</v>
          </cell>
        </row>
        <row r="207">
          <cell r="A207" t="str">
            <v>1110406</v>
          </cell>
          <cell r="B207">
            <v>5394</v>
          </cell>
          <cell r="C207" t="str">
            <v>ATUN LOMO TROZOS AGUA (UND:1 K)</v>
          </cell>
          <cell r="D207" t="str">
            <v>1110406</v>
          </cell>
          <cell r="E207" t="str">
            <v>MATERIAS PRIMAS PLANTA</v>
          </cell>
          <cell r="F207" t="str">
            <v>1 UND</v>
          </cell>
          <cell r="G207">
            <v>500</v>
          </cell>
          <cell r="H207" t="str">
            <v>12/06/2020</v>
          </cell>
          <cell r="I207">
            <v>3839</v>
          </cell>
          <cell r="J207">
            <v>410773</v>
          </cell>
          <cell r="K207">
            <v>1000</v>
          </cell>
          <cell r="L207">
            <v>3.839</v>
          </cell>
          <cell r="M207" t="str">
            <v>Gramos</v>
          </cell>
        </row>
        <row r="208">
          <cell r="A208" t="str">
            <v>1110407</v>
          </cell>
          <cell r="B208">
            <v>5513</v>
          </cell>
          <cell r="C208" t="str">
            <v>VEGETALES MIXTOS LAMB WESTON (PAQ: 1 K)</v>
          </cell>
          <cell r="D208" t="str">
            <v>1110407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07/05/2020</v>
          </cell>
          <cell r="I208">
            <v>1755</v>
          </cell>
          <cell r="J208">
            <v>54017</v>
          </cell>
          <cell r="K208">
            <v>1000</v>
          </cell>
          <cell r="L208">
            <v>1.7549999999999999</v>
          </cell>
          <cell r="M208" t="str">
            <v>Gramos</v>
          </cell>
        </row>
        <row r="209">
          <cell r="A209" t="str">
            <v>1110408</v>
          </cell>
          <cell r="B209">
            <v>5514</v>
          </cell>
          <cell r="C209" t="str">
            <v>GUISANTES LAMB WESTON (PAQ: 1 K)</v>
          </cell>
          <cell r="D209" t="str">
            <v>1110408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09/06/2020</v>
          </cell>
          <cell r="I209">
            <v>1344</v>
          </cell>
          <cell r="J209">
            <v>693946</v>
          </cell>
          <cell r="K209">
            <v>1000</v>
          </cell>
          <cell r="L209">
            <v>1.3440000000000001</v>
          </cell>
          <cell r="M209" t="str">
            <v>Gramos</v>
          </cell>
        </row>
        <row r="210">
          <cell r="A210" t="str">
            <v>1110414</v>
          </cell>
          <cell r="B210">
            <v>5602</v>
          </cell>
          <cell r="C210" t="str">
            <v>LECHE EVAPORADA (UND: 1 L)</v>
          </cell>
          <cell r="D210" t="str">
            <v>1110414</v>
          </cell>
          <cell r="E210" t="str">
            <v>MATERIAS PRIMAS PLANTA</v>
          </cell>
          <cell r="F210" t="str">
            <v>1 UND</v>
          </cell>
          <cell r="G210">
            <v>500</v>
          </cell>
          <cell r="H210" t="str">
            <v>15/06/2020</v>
          </cell>
          <cell r="I210">
            <v>1786</v>
          </cell>
          <cell r="J210">
            <v>47780858</v>
          </cell>
          <cell r="K210">
            <v>1000</v>
          </cell>
          <cell r="L210">
            <v>1.5181</v>
          </cell>
          <cell r="M210" t="str">
            <v>Mililitros</v>
          </cell>
        </row>
        <row r="211">
          <cell r="A211" t="str">
            <v>1110415</v>
          </cell>
          <cell r="B211">
            <v>5515</v>
          </cell>
          <cell r="C211" t="str">
            <v>PETI PIOS CON ZANAHORIA (PAQ: 1 K)</v>
          </cell>
          <cell r="D211" t="str">
            <v>1110415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28/05/2020</v>
          </cell>
          <cell r="I211">
            <v>1318</v>
          </cell>
          <cell r="J211">
            <v>1312230</v>
          </cell>
          <cell r="K211">
            <v>1000</v>
          </cell>
          <cell r="L211">
            <v>1.3180000000000001</v>
          </cell>
          <cell r="M211" t="str">
            <v>Gramos</v>
          </cell>
        </row>
        <row r="212">
          <cell r="A212" t="str">
            <v>1110418</v>
          </cell>
          <cell r="B212">
            <v>5237</v>
          </cell>
          <cell r="C212" t="str">
            <v>MOSTAZA DIJON GRANULADA (UND:820ML)</v>
          </cell>
          <cell r="D212" t="str">
            <v>1110418</v>
          </cell>
          <cell r="E212" t="str">
            <v>MATERIAS PRIMAS PLANTA</v>
          </cell>
          <cell r="F212" t="str">
            <v>1 UND</v>
          </cell>
          <cell r="G212">
            <v>500</v>
          </cell>
          <cell r="H212" t="str">
            <v>13/06/2020</v>
          </cell>
          <cell r="I212">
            <v>4068.3719999999998</v>
          </cell>
          <cell r="J212">
            <v>398505.53399999999</v>
          </cell>
          <cell r="K212">
            <v>820</v>
          </cell>
          <cell r="L212">
            <v>4.961429268292683</v>
          </cell>
          <cell r="M212" t="str">
            <v>Gramos</v>
          </cell>
        </row>
        <row r="213">
          <cell r="A213" t="str">
            <v>1110419</v>
          </cell>
          <cell r="B213">
            <v>7089</v>
          </cell>
          <cell r="C213" t="str">
            <v>ANCHOAS FILETAEADAS EN ACEITE (UND:700g)</v>
          </cell>
          <cell r="D213" t="str">
            <v>1110419</v>
          </cell>
          <cell r="E213" t="str">
            <v>MATERIAS PRIMAS PLANTA</v>
          </cell>
          <cell r="F213" t="str">
            <v>1 UND</v>
          </cell>
          <cell r="G213">
            <v>500</v>
          </cell>
          <cell r="H213" t="str">
            <v>30/05/2020</v>
          </cell>
          <cell r="I213">
            <v>13044.78</v>
          </cell>
          <cell r="J213">
            <v>577387.57999999996</v>
          </cell>
          <cell r="K213">
            <v>700</v>
          </cell>
          <cell r="L213">
            <v>18.635400000000001</v>
          </cell>
          <cell r="M213" t="str">
            <v>Gramos</v>
          </cell>
        </row>
        <row r="214">
          <cell r="A214" t="str">
            <v>1112431</v>
          </cell>
          <cell r="B214">
            <v>5603</v>
          </cell>
          <cell r="C214" t="str">
            <v>MANJAR LECHE CONDENSADA (PAQ: 4.5 K)</v>
          </cell>
          <cell r="D214" t="str">
            <v>1112431</v>
          </cell>
          <cell r="E214" t="str">
            <v>MATERIAS PRIMAS PLANTA</v>
          </cell>
          <cell r="F214" t="str">
            <v>1 PAQUETE</v>
          </cell>
          <cell r="G214">
            <v>500</v>
          </cell>
          <cell r="H214" t="str">
            <v>15/06/2020</v>
          </cell>
          <cell r="I214">
            <v>11340</v>
          </cell>
          <cell r="J214">
            <v>177602244</v>
          </cell>
          <cell r="K214">
            <v>4500</v>
          </cell>
          <cell r="L214">
            <v>2.1419999999999999</v>
          </cell>
          <cell r="M214" t="str">
            <v>Gramos</v>
          </cell>
        </row>
        <row r="215">
          <cell r="A215" t="str">
            <v>1112441</v>
          </cell>
          <cell r="B215">
            <v>11801</v>
          </cell>
          <cell r="C215" t="str">
            <v>ACEITUNA  C/PIMIENTO (UND:1,7 Kg)</v>
          </cell>
          <cell r="D215" t="str">
            <v>1112441</v>
          </cell>
          <cell r="E215" t="str">
            <v>MATERIAS PRIMAS PLANTA</v>
          </cell>
          <cell r="F215" t="str">
            <v>1 UND</v>
          </cell>
          <cell r="G215">
            <v>500</v>
          </cell>
          <cell r="H215" t="str">
            <v>14/12/2019</v>
          </cell>
          <cell r="I215">
            <v>6706</v>
          </cell>
          <cell r="J215">
            <v>523068</v>
          </cell>
          <cell r="K215">
            <v>1700</v>
          </cell>
          <cell r="L215">
            <v>3.9447058823529413</v>
          </cell>
          <cell r="M215" t="str">
            <v>Gramos</v>
          </cell>
        </row>
        <row r="216">
          <cell r="A216" t="str">
            <v>1112444</v>
          </cell>
          <cell r="B216">
            <v>5326</v>
          </cell>
          <cell r="C216" t="str">
            <v>FRIJOL MOLIDO NEGRO D PEDRO (UND=2.2 K)</v>
          </cell>
          <cell r="D216" t="str">
            <v>1112444</v>
          </cell>
          <cell r="E216" t="str">
            <v>MATERIAS PRIMAS PLANTA</v>
          </cell>
          <cell r="F216" t="str">
            <v>1 UND</v>
          </cell>
          <cell r="G216">
            <v>500</v>
          </cell>
          <cell r="H216" t="str">
            <v>12/06/2020</v>
          </cell>
          <cell r="I216">
            <v>1908</v>
          </cell>
          <cell r="J216">
            <v>1122011</v>
          </cell>
          <cell r="K216">
            <v>2200</v>
          </cell>
          <cell r="L216">
            <v>0.86727272727272731</v>
          </cell>
          <cell r="M216" t="str">
            <v>Gramos</v>
          </cell>
        </row>
        <row r="217">
          <cell r="A217" t="str">
            <v>1160001</v>
          </cell>
          <cell r="B217">
            <v>8142</v>
          </cell>
          <cell r="C217" t="str">
            <v>GOMA XANTAN (KILO)</v>
          </cell>
          <cell r="D217" t="str">
            <v>1160001</v>
          </cell>
          <cell r="E217" t="str">
            <v>MATERIAS PRIMAS PLANTA</v>
          </cell>
          <cell r="F217" t="str">
            <v>1 KILOGRAMOS</v>
          </cell>
          <cell r="G217">
            <v>500</v>
          </cell>
          <cell r="H217" t="str">
            <v>05/06/2020</v>
          </cell>
          <cell r="I217">
            <v>3224.29</v>
          </cell>
          <cell r="J217">
            <v>48030.55</v>
          </cell>
          <cell r="K217">
            <v>1000</v>
          </cell>
          <cell r="L217">
            <v>3.2242899999999999</v>
          </cell>
          <cell r="M217" t="str">
            <v>Gramos</v>
          </cell>
        </row>
        <row r="218">
          <cell r="A218" t="str">
            <v>1200003</v>
          </cell>
          <cell r="B218">
            <v>7096</v>
          </cell>
          <cell r="C218" t="str">
            <v>CHOCOLATE OSCURO BLOSSOMS (KILO)</v>
          </cell>
          <cell r="D218" t="str">
            <v>1200003</v>
          </cell>
          <cell r="E218" t="str">
            <v>MATERIAS PRIMAS PLANTA</v>
          </cell>
          <cell r="F218" t="str">
            <v xml:space="preserve">1 KILO </v>
          </cell>
          <cell r="G218">
            <v>500</v>
          </cell>
          <cell r="H218" t="str">
            <v>15/06/2020</v>
          </cell>
          <cell r="I218">
            <v>12324</v>
          </cell>
          <cell r="J218">
            <v>27309984</v>
          </cell>
          <cell r="K218">
            <v>1000</v>
          </cell>
          <cell r="L218">
            <v>12.324</v>
          </cell>
          <cell r="M218" t="str">
            <v>Gramos</v>
          </cell>
        </row>
        <row r="219">
          <cell r="A219" t="str">
            <v>1210386</v>
          </cell>
          <cell r="B219">
            <v>5324</v>
          </cell>
          <cell r="C219" t="str">
            <v>COBERTURA CHOCOLATE LECHE (PAQ:5 K)</v>
          </cell>
          <cell r="D219" t="str">
            <v>1210386</v>
          </cell>
          <cell r="E219" t="str">
            <v>MATERIAS PRIMAS PLANTA</v>
          </cell>
          <cell r="F219" t="str">
            <v>1 SACO</v>
          </cell>
          <cell r="G219">
            <v>500</v>
          </cell>
          <cell r="H219" t="str">
            <v>07/05/2020</v>
          </cell>
          <cell r="I219">
            <v>22340</v>
          </cell>
          <cell r="J219">
            <v>4088220</v>
          </cell>
          <cell r="K219">
            <v>5000</v>
          </cell>
          <cell r="L219">
            <v>4.468</v>
          </cell>
          <cell r="M219" t="str">
            <v>Gramos</v>
          </cell>
        </row>
        <row r="220">
          <cell r="A220" t="str">
            <v>1210387</v>
          </cell>
          <cell r="B220">
            <v>5325</v>
          </cell>
          <cell r="C220" t="str">
            <v>COBERTURA CHOCOLATE BLANCO (PAQ:5 K)</v>
          </cell>
          <cell r="D220" t="str">
            <v>1210387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15/06/2020</v>
          </cell>
          <cell r="I220">
            <v>15065</v>
          </cell>
          <cell r="J220">
            <v>12127980</v>
          </cell>
          <cell r="K220">
            <v>4500</v>
          </cell>
          <cell r="L220">
            <v>3.347777777777778</v>
          </cell>
          <cell r="M220" t="str">
            <v>Gramos</v>
          </cell>
        </row>
        <row r="221">
          <cell r="A221" t="str">
            <v>1210393</v>
          </cell>
          <cell r="B221">
            <v>5526</v>
          </cell>
          <cell r="C221" t="str">
            <v>MARGARINA MULTIUSO (CAJA: 25 k)</v>
          </cell>
          <cell r="D221" t="str">
            <v>1210393</v>
          </cell>
          <cell r="E221" t="str">
            <v>MATERIAS PRIMAS PLANTA</v>
          </cell>
          <cell r="F221" t="str">
            <v>1 CAJA</v>
          </cell>
          <cell r="G221">
            <v>500</v>
          </cell>
          <cell r="H221" t="str">
            <v>15/06/2020</v>
          </cell>
          <cell r="I221">
            <v>26675</v>
          </cell>
          <cell r="J221">
            <v>29193952</v>
          </cell>
          <cell r="K221">
            <v>25000</v>
          </cell>
          <cell r="L221">
            <v>1.0669999999999999</v>
          </cell>
          <cell r="M221" t="str">
            <v>Gramos</v>
          </cell>
        </row>
        <row r="222">
          <cell r="A222" t="str">
            <v>1210394</v>
          </cell>
          <cell r="B222">
            <v>11327</v>
          </cell>
          <cell r="C222" t="str">
            <v>CHOCOLATE BLANCO BELCOLAD (PAQ:2.5 K)</v>
          </cell>
          <cell r="D222" t="str">
            <v>1210394</v>
          </cell>
          <cell r="E222" t="str">
            <v>MATERIAS PRIMAS PLANTA</v>
          </cell>
          <cell r="F222" t="str">
            <v>1 PAQ</v>
          </cell>
          <cell r="G222">
            <v>500</v>
          </cell>
          <cell r="H222" t="str">
            <v>27/02/2020</v>
          </cell>
          <cell r="I222">
            <v>15660</v>
          </cell>
          <cell r="J222">
            <v>-250560</v>
          </cell>
          <cell r="K222">
            <v>2500</v>
          </cell>
          <cell r="L222">
            <v>6.2640000000000002</v>
          </cell>
          <cell r="M222" t="str">
            <v>Gramos</v>
          </cell>
        </row>
        <row r="223">
          <cell r="A223" t="str">
            <v>1210396</v>
          </cell>
          <cell r="B223">
            <v>11328</v>
          </cell>
          <cell r="C223" t="str">
            <v>CHOCOLATE LECHE BELCOLADE (PAQ:2.5 K)</v>
          </cell>
          <cell r="D223" t="str">
            <v>1210396</v>
          </cell>
          <cell r="E223" t="str">
            <v>MATERIAS PRIMAS PLANTA</v>
          </cell>
          <cell r="F223" t="str">
            <v>1 PAQUETE</v>
          </cell>
          <cell r="G223">
            <v>500</v>
          </cell>
          <cell r="H223" t="str">
            <v>03/06/2020</v>
          </cell>
          <cell r="I223">
            <v>5998.3140000000003</v>
          </cell>
          <cell r="J223">
            <v>835920.09600000002</v>
          </cell>
          <cell r="K223">
            <v>2500</v>
          </cell>
          <cell r="L223">
            <v>2.3993256000000001</v>
          </cell>
          <cell r="M223" t="str">
            <v>Gramos</v>
          </cell>
        </row>
        <row r="224">
          <cell r="A224" t="str">
            <v>1210397</v>
          </cell>
          <cell r="B224">
            <v>14692</v>
          </cell>
          <cell r="C224" t="str">
            <v>TROZOS CHOCOLATE BLANCO (CAJA:1 K)</v>
          </cell>
          <cell r="D224" t="str">
            <v>1210397</v>
          </cell>
          <cell r="E224" t="str">
            <v>MATERIAS PRIMAS PLANTA</v>
          </cell>
          <cell r="F224" t="str">
            <v xml:space="preserve">1 CAJA </v>
          </cell>
          <cell r="G224">
            <v>500</v>
          </cell>
          <cell r="H224" t="str">
            <v>21/12/2019</v>
          </cell>
          <cell r="I224">
            <v>10858</v>
          </cell>
          <cell r="J224">
            <v>65148</v>
          </cell>
          <cell r="K224">
            <v>1000</v>
          </cell>
          <cell r="L224">
            <v>10.858000000000001</v>
          </cell>
          <cell r="M224" t="str">
            <v>Gramos</v>
          </cell>
        </row>
        <row r="225">
          <cell r="A225" t="str">
            <v>1210399</v>
          </cell>
          <cell r="B225">
            <v>14694</v>
          </cell>
          <cell r="C225" t="str">
            <v>TROZOS CHOCOLATE ROJO (CAJA:1K)</v>
          </cell>
          <cell r="D225" t="str">
            <v>1210399</v>
          </cell>
          <cell r="E225" t="str">
            <v>MATERIAS PRIMAS PLANTA</v>
          </cell>
          <cell r="F225" t="str">
            <v xml:space="preserve">1 CAJA </v>
          </cell>
          <cell r="G225">
            <v>500</v>
          </cell>
          <cell r="H225" t="str">
            <v>21/12/2019</v>
          </cell>
          <cell r="I225">
            <v>10858</v>
          </cell>
          <cell r="J225">
            <v>21716</v>
          </cell>
          <cell r="K225">
            <v>1000</v>
          </cell>
          <cell r="L225">
            <v>10.858000000000001</v>
          </cell>
          <cell r="M225" t="str">
            <v>Gramos</v>
          </cell>
        </row>
        <row r="226">
          <cell r="A226" t="str">
            <v>1210401</v>
          </cell>
          <cell r="B226">
            <v>5527</v>
          </cell>
          <cell r="C226" t="str">
            <v>MANTECA MAX PAN (CAJA:25 k)</v>
          </cell>
          <cell r="D226" t="str">
            <v>1210401</v>
          </cell>
          <cell r="E226" t="str">
            <v>MATERIAS PRIMAS PLANTA</v>
          </cell>
          <cell r="F226" t="str">
            <v>1 CAJA</v>
          </cell>
          <cell r="G226">
            <v>500</v>
          </cell>
          <cell r="H226" t="str">
            <v>15/06/2020</v>
          </cell>
          <cell r="I226">
            <v>20117</v>
          </cell>
          <cell r="J226">
            <v>7135379</v>
          </cell>
          <cell r="K226">
            <v>25000</v>
          </cell>
          <cell r="L226">
            <v>0.80467999999999995</v>
          </cell>
          <cell r="M226" t="str">
            <v>Gramos</v>
          </cell>
        </row>
        <row r="227">
          <cell r="A227" t="str">
            <v>1210402</v>
          </cell>
          <cell r="B227">
            <v>1981</v>
          </cell>
          <cell r="C227" t="str">
            <v>MARGARINA BLOQUE 12.5 KILOS</v>
          </cell>
          <cell r="D227" t="str">
            <v>1210402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16/01/2020</v>
          </cell>
          <cell r="I227">
            <v>15.411759999999999</v>
          </cell>
          <cell r="J227">
            <v>161664</v>
          </cell>
          <cell r="K227">
            <v>12500</v>
          </cell>
          <cell r="L227">
            <v>1.2329407999999999E-3</v>
          </cell>
          <cell r="M227" t="str">
            <v>Und</v>
          </cell>
        </row>
        <row r="228">
          <cell r="A228" t="str">
            <v>1210405</v>
          </cell>
          <cell r="B228">
            <v>5565</v>
          </cell>
          <cell r="C228" t="str">
            <v>PASTA P/LASAG/(PAQ:1 KG)</v>
          </cell>
          <cell r="D228" t="str">
            <v>1210405</v>
          </cell>
          <cell r="E228" t="str">
            <v>MATERIAS PRIMAS PLANTA</v>
          </cell>
          <cell r="F228" t="str">
            <v>1 PAQUETE</v>
          </cell>
          <cell r="G228">
            <v>500</v>
          </cell>
          <cell r="H228" t="str">
            <v>15/06/2020</v>
          </cell>
          <cell r="I228">
            <v>2411</v>
          </cell>
          <cell r="J228">
            <v>18779279</v>
          </cell>
          <cell r="K228">
            <v>1000</v>
          </cell>
          <cell r="L228">
            <v>2.411</v>
          </cell>
          <cell r="M228" t="str">
            <v>Gramos</v>
          </cell>
        </row>
        <row r="229">
          <cell r="A229" t="str">
            <v>1210413</v>
          </cell>
          <cell r="B229">
            <v>5551</v>
          </cell>
          <cell r="C229" t="str">
            <v>PASTA WANTAN (PAQ:465g)</v>
          </cell>
          <cell r="D229" t="str">
            <v>1210413</v>
          </cell>
          <cell r="E229" t="str">
            <v>MATERIAS PRIMAS PLANTA</v>
          </cell>
          <cell r="F229" t="str">
            <v>1 PAQUETE</v>
          </cell>
          <cell r="G229">
            <v>500</v>
          </cell>
          <cell r="H229" t="str">
            <v>09/06/2020</v>
          </cell>
          <cell r="I229">
            <v>1415</v>
          </cell>
          <cell r="J229">
            <v>1710735</v>
          </cell>
          <cell r="K229">
            <v>465</v>
          </cell>
          <cell r="L229">
            <v>3.043010752688172</v>
          </cell>
          <cell r="M229" t="str">
            <v>Gramos</v>
          </cell>
        </row>
        <row r="230">
          <cell r="A230" t="str">
            <v>1210420</v>
          </cell>
          <cell r="B230">
            <v>5539</v>
          </cell>
          <cell r="C230" t="str">
            <v>ESPAGUETTI (PAQ: 1K)</v>
          </cell>
          <cell r="D230" t="str">
            <v>1210420</v>
          </cell>
          <cell r="E230" t="str">
            <v>MATERIAS PRIMAS PLANTA</v>
          </cell>
          <cell r="F230" t="str">
            <v>1 PAQUETE</v>
          </cell>
          <cell r="G230">
            <v>500</v>
          </cell>
          <cell r="H230" t="str">
            <v>21/03/2020</v>
          </cell>
          <cell r="I230">
            <v>1465</v>
          </cell>
          <cell r="J230">
            <v>115735</v>
          </cell>
          <cell r="K230">
            <v>1000</v>
          </cell>
          <cell r="L230">
            <v>1.4650000000000001</v>
          </cell>
          <cell r="M230" t="str">
            <v>Und</v>
          </cell>
        </row>
        <row r="231">
          <cell r="A231" t="str">
            <v>1210428</v>
          </cell>
          <cell r="B231">
            <v>11213</v>
          </cell>
          <cell r="C231" t="str">
            <v>PRUEBA CODIGO</v>
          </cell>
          <cell r="D231" t="str">
            <v>1210428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06/06/2020</v>
          </cell>
          <cell r="I231">
            <v>3791.82</v>
          </cell>
          <cell r="J231">
            <v>142937.921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1210437</v>
          </cell>
          <cell r="B232">
            <v>5540</v>
          </cell>
          <cell r="C232" t="str">
            <v>PASTA CARACOLITOS (PAQ: 1  K)</v>
          </cell>
          <cell r="D232" t="str">
            <v>1210437</v>
          </cell>
          <cell r="E232" t="str">
            <v>MATERIAS PRIMAS PLANTA</v>
          </cell>
          <cell r="F232" t="str">
            <v>1 PAQUETE</v>
          </cell>
          <cell r="G232">
            <v>500</v>
          </cell>
          <cell r="H232" t="str">
            <v>12/12/2019</v>
          </cell>
          <cell r="I232">
            <v>1685</v>
          </cell>
          <cell r="J232">
            <v>6740</v>
          </cell>
          <cell r="K232">
            <v>1000</v>
          </cell>
          <cell r="L232">
            <v>1.6850000000000001</v>
          </cell>
          <cell r="M232" t="str">
            <v>Gramos</v>
          </cell>
        </row>
        <row r="233">
          <cell r="A233" t="str">
            <v>1210441</v>
          </cell>
          <cell r="B233">
            <v>5577</v>
          </cell>
          <cell r="C233" t="str">
            <v>HUEVO LIQUIDO REFRIG (UND:13.6 K)</v>
          </cell>
          <cell r="D233" t="str">
            <v>1210441</v>
          </cell>
          <cell r="E233" t="str">
            <v>MATERIAS PRIMAS PLANTA</v>
          </cell>
          <cell r="F233" t="str">
            <v>1 UND</v>
          </cell>
          <cell r="G233">
            <v>500</v>
          </cell>
          <cell r="H233" t="str">
            <v>01/06/2020</v>
          </cell>
          <cell r="I233">
            <v>16059</v>
          </cell>
          <cell r="J233">
            <v>77796598</v>
          </cell>
          <cell r="K233">
            <v>13600</v>
          </cell>
          <cell r="L233">
            <v>1.1808088235294119</v>
          </cell>
          <cell r="M233" t="str">
            <v>Gramos</v>
          </cell>
        </row>
        <row r="234">
          <cell r="A234" t="str">
            <v>1210443</v>
          </cell>
          <cell r="B234">
            <v>5581</v>
          </cell>
          <cell r="C234" t="str">
            <v>YEMA DE HUEVO PASTEURIZADA (CAJA:2 Kg)</v>
          </cell>
          <cell r="D234" t="str">
            <v>1210443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11/06/2020</v>
          </cell>
          <cell r="I234">
            <v>4400</v>
          </cell>
          <cell r="J234">
            <v>8690000</v>
          </cell>
          <cell r="K234">
            <v>2000</v>
          </cell>
          <cell r="L234">
            <v>2.2000000000000002</v>
          </cell>
          <cell r="M234" t="str">
            <v>Gramos</v>
          </cell>
        </row>
        <row r="235">
          <cell r="A235" t="str">
            <v>1210445</v>
          </cell>
          <cell r="B235">
            <v>5582</v>
          </cell>
          <cell r="C235" t="str">
            <v>CLARAS HUEVO DESHIDRATADA (CAJA:22.68 K)</v>
          </cell>
          <cell r="D235" t="str">
            <v>1210445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08/06/2020</v>
          </cell>
          <cell r="I235">
            <v>422718.91200000001</v>
          </cell>
          <cell r="J235">
            <v>3324053.3755999999</v>
          </cell>
          <cell r="K235">
            <v>22680</v>
          </cell>
          <cell r="L235">
            <v>18.638400000000001</v>
          </cell>
          <cell r="M235" t="str">
            <v>Gramos</v>
          </cell>
        </row>
        <row r="236">
          <cell r="A236" t="str">
            <v>1210451</v>
          </cell>
          <cell r="B236">
            <v>11275</v>
          </cell>
          <cell r="C236" t="str">
            <v>CAPUCCINO  LATAM NESCAFE (PAQ:750 g)</v>
          </cell>
          <cell r="D236" t="str">
            <v>1210451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05/06/2020</v>
          </cell>
          <cell r="I236">
            <v>11682</v>
          </cell>
          <cell r="J236">
            <v>169812</v>
          </cell>
          <cell r="K236">
            <v>750</v>
          </cell>
          <cell r="L236">
            <v>15.576000000000001</v>
          </cell>
          <cell r="M236" t="str">
            <v>Gramos</v>
          </cell>
        </row>
        <row r="237">
          <cell r="A237" t="str">
            <v>1210453</v>
          </cell>
          <cell r="B237">
            <v>5328</v>
          </cell>
          <cell r="C237" t="str">
            <v>CAPUCCINO VAINILLA LATAM (PAQ:750 g)</v>
          </cell>
          <cell r="D237" t="str">
            <v>1210453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20/02/2020</v>
          </cell>
          <cell r="I237">
            <v>8940</v>
          </cell>
          <cell r="J237">
            <v>71672</v>
          </cell>
          <cell r="K237">
            <v>750</v>
          </cell>
          <cell r="L237">
            <v>11.92</v>
          </cell>
          <cell r="M237" t="str">
            <v>Gramos</v>
          </cell>
        </row>
        <row r="238">
          <cell r="A238" t="str">
            <v>1210461</v>
          </cell>
          <cell r="B238">
            <v>5269</v>
          </cell>
          <cell r="C238" t="str">
            <v>CHOCOLATE TULIPAN MARMOL (CAJA:150 UND)</v>
          </cell>
          <cell r="D238" t="str">
            <v>1210461</v>
          </cell>
          <cell r="E238" t="str">
            <v>MATERIAS PRIMAS PLANTA</v>
          </cell>
          <cell r="F238" t="str">
            <v xml:space="preserve">1 CAJA </v>
          </cell>
          <cell r="G238">
            <v>500</v>
          </cell>
          <cell r="H238" t="str">
            <v>12/06/2020</v>
          </cell>
          <cell r="I238">
            <v>18000</v>
          </cell>
          <cell r="J238">
            <v>3321360</v>
          </cell>
          <cell r="K238">
            <v>150</v>
          </cell>
          <cell r="L238">
            <v>120</v>
          </cell>
          <cell r="M238" t="str">
            <v>Und</v>
          </cell>
        </row>
        <row r="239">
          <cell r="A239" t="str">
            <v>1210462</v>
          </cell>
          <cell r="B239">
            <v>5270</v>
          </cell>
          <cell r="C239" t="str">
            <v>MONEDAS MARMOLEADAS (CAJA:240 UND)</v>
          </cell>
          <cell r="D239" t="str">
            <v>1210462</v>
          </cell>
          <cell r="E239" t="str">
            <v>MATERIAS PRIMAS PLANTA</v>
          </cell>
          <cell r="F239" t="str">
            <v>1 CAJA</v>
          </cell>
          <cell r="G239">
            <v>500</v>
          </cell>
          <cell r="H239" t="str">
            <v>12/06/2020</v>
          </cell>
          <cell r="I239">
            <v>10080</v>
          </cell>
          <cell r="J239">
            <v>7205999.9800000004</v>
          </cell>
          <cell r="K239">
            <v>240</v>
          </cell>
          <cell r="L239">
            <v>42</v>
          </cell>
          <cell r="M239" t="str">
            <v>Und</v>
          </cell>
        </row>
        <row r="240">
          <cell r="A240" t="str">
            <v>1210464</v>
          </cell>
          <cell r="B240">
            <v>7086</v>
          </cell>
          <cell r="C240" t="str">
            <v>CHOCOLATE TRIAN OLEAJE GRD (CAJA:200 UN)</v>
          </cell>
          <cell r="D240" t="str">
            <v>1210464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12/06/2020</v>
          </cell>
          <cell r="I240">
            <v>23000</v>
          </cell>
          <cell r="J240">
            <v>5152000</v>
          </cell>
          <cell r="K240">
            <v>200</v>
          </cell>
          <cell r="L240">
            <v>115</v>
          </cell>
          <cell r="M240" t="str">
            <v>Und</v>
          </cell>
        </row>
        <row r="241">
          <cell r="A241" t="str">
            <v>1210473</v>
          </cell>
          <cell r="B241">
            <v>5274</v>
          </cell>
          <cell r="C241" t="str">
            <v>CHOCOLATE HOJA OTOÑO (CAJA:150 UND)</v>
          </cell>
          <cell r="D241" t="str">
            <v>1210473</v>
          </cell>
          <cell r="E241" t="str">
            <v>MATERIAS PRIMAS PLANTA</v>
          </cell>
          <cell r="F241" t="str">
            <v xml:space="preserve">1 CAJA </v>
          </cell>
          <cell r="G241">
            <v>500</v>
          </cell>
          <cell r="H241" t="str">
            <v>26/05/2020</v>
          </cell>
          <cell r="I241">
            <v>10500</v>
          </cell>
          <cell r="J241">
            <v>1806000</v>
          </cell>
          <cell r="K241">
            <v>150</v>
          </cell>
          <cell r="L241">
            <v>70</v>
          </cell>
          <cell r="M241" t="str">
            <v>Und</v>
          </cell>
        </row>
        <row r="242">
          <cell r="A242" t="str">
            <v>1210482</v>
          </cell>
          <cell r="B242">
            <v>5580</v>
          </cell>
          <cell r="C242" t="str">
            <v>HUEVO ENTERO PASTERI INNOVO (CAJA:10 K)</v>
          </cell>
          <cell r="D242" t="str">
            <v>1210482</v>
          </cell>
          <cell r="E242" t="str">
            <v>MATERIAS PRIMAS PLANTA</v>
          </cell>
          <cell r="F242" t="str">
            <v>1 CAJA</v>
          </cell>
          <cell r="G242">
            <v>500</v>
          </cell>
          <cell r="H242" t="str">
            <v>12/06/2020</v>
          </cell>
          <cell r="I242">
            <v>15000</v>
          </cell>
          <cell r="J242">
            <v>7440000</v>
          </cell>
          <cell r="K242">
            <v>10000</v>
          </cell>
          <cell r="L242">
            <v>1.5</v>
          </cell>
          <cell r="M242" t="str">
            <v>Gramos</v>
          </cell>
        </row>
        <row r="243">
          <cell r="A243" t="str">
            <v>1210492</v>
          </cell>
          <cell r="B243">
            <v>5613</v>
          </cell>
          <cell r="C243" t="str">
            <v>CHANTILLY TOP CREAM CHOCOLATE (UND:2 K)</v>
          </cell>
          <cell r="D243" t="str">
            <v>1210492</v>
          </cell>
          <cell r="E243" t="str">
            <v>MATERIAS PRIMAS PLANTA</v>
          </cell>
          <cell r="F243" t="str">
            <v>1 UND</v>
          </cell>
          <cell r="G243">
            <v>500</v>
          </cell>
          <cell r="H243" t="str">
            <v>25/05/2020</v>
          </cell>
          <cell r="I243">
            <v>3992.28</v>
          </cell>
          <cell r="J243">
            <v>4499299.5599999996</v>
          </cell>
          <cell r="K243">
            <v>2000</v>
          </cell>
          <cell r="L243">
            <v>1.99614</v>
          </cell>
          <cell r="M243" t="str">
            <v>Gramos</v>
          </cell>
        </row>
        <row r="244">
          <cell r="A244" t="str">
            <v>1210494</v>
          </cell>
          <cell r="B244">
            <v>11352</v>
          </cell>
          <cell r="C244" t="str">
            <v>CUCHARA CHOCOLATE (CAJA: 25 UND)</v>
          </cell>
          <cell r="D244" t="str">
            <v>1210494</v>
          </cell>
          <cell r="E244" t="str">
            <v>MATERIAS PRIMAS PLANTA</v>
          </cell>
          <cell r="F244" t="str">
            <v>1 CAJA</v>
          </cell>
          <cell r="G244">
            <v>500</v>
          </cell>
          <cell r="H244" t="str">
            <v>08/06/2020</v>
          </cell>
          <cell r="I244">
            <v>14975</v>
          </cell>
          <cell r="J244">
            <v>3519125</v>
          </cell>
          <cell r="K244">
            <v>25</v>
          </cell>
          <cell r="L244">
            <v>599</v>
          </cell>
          <cell r="M244" t="str">
            <v>Gramos</v>
          </cell>
        </row>
        <row r="245">
          <cell r="A245" t="str">
            <v>1210495</v>
          </cell>
          <cell r="B245">
            <v>12616</v>
          </cell>
          <cell r="C245" t="str">
            <v>CHOCOLATE TRIANGULO CURVO (CAJA:150 UND)</v>
          </cell>
          <cell r="D245" t="str">
            <v>1210495</v>
          </cell>
          <cell r="E245" t="str">
            <v>MATERIAS PRIMAS PLANTA</v>
          </cell>
          <cell r="F245" t="str">
            <v>1 CAJA</v>
          </cell>
          <cell r="G245">
            <v>500</v>
          </cell>
          <cell r="H245" t="str">
            <v>12/06/2020</v>
          </cell>
          <cell r="I245">
            <v>12946</v>
          </cell>
          <cell r="J245">
            <v>8019999</v>
          </cell>
          <cell r="K245">
            <v>150</v>
          </cell>
          <cell r="L245">
            <v>86.306666666666672</v>
          </cell>
          <cell r="M245" t="str">
            <v>Und</v>
          </cell>
        </row>
        <row r="246">
          <cell r="A246" t="str">
            <v>1210496</v>
          </cell>
          <cell r="B246">
            <v>14216</v>
          </cell>
          <cell r="C246" t="str">
            <v>MONEDAS ONDEADAS COMBIN (CAJA:240 UND)</v>
          </cell>
          <cell r="D246" t="str">
            <v>1210496</v>
          </cell>
          <cell r="E246" t="str">
            <v>MATERIAS PRIMAS PLANTA</v>
          </cell>
          <cell r="F246" t="str">
            <v>1 CAJA</v>
          </cell>
          <cell r="G246">
            <v>500</v>
          </cell>
          <cell r="H246" t="str">
            <v>03/12/2019</v>
          </cell>
          <cell r="I246">
            <v>6957</v>
          </cell>
          <cell r="J246">
            <v>-13914</v>
          </cell>
          <cell r="K246">
            <v>240</v>
          </cell>
          <cell r="L246">
            <v>28.987500000000001</v>
          </cell>
          <cell r="M246" t="str">
            <v>Gramos</v>
          </cell>
        </row>
        <row r="247">
          <cell r="A247" t="str">
            <v>1210497</v>
          </cell>
          <cell r="B247">
            <v>16693</v>
          </cell>
          <cell r="C247" t="str">
            <v>COBERTURA CHOCO LECHE VENEZUEL (PAQ:1 K)</v>
          </cell>
          <cell r="D247" t="str">
            <v>1210497</v>
          </cell>
          <cell r="E247" t="str">
            <v>MATERIAS PRIMAS PLANTA</v>
          </cell>
          <cell r="F247" t="str">
            <v>1 PAQUETE</v>
          </cell>
          <cell r="G247">
            <v>500</v>
          </cell>
          <cell r="H247" t="str">
            <v>09/06/2020</v>
          </cell>
          <cell r="I247">
            <v>4625.25</v>
          </cell>
          <cell r="J247">
            <v>115631.25</v>
          </cell>
          <cell r="K247">
            <v>1000</v>
          </cell>
          <cell r="L247">
            <v>4.6252500000000003</v>
          </cell>
          <cell r="M247" t="str">
            <v>Gramos</v>
          </cell>
        </row>
        <row r="248">
          <cell r="A248" t="str">
            <v>1212410</v>
          </cell>
          <cell r="B248">
            <v>5623</v>
          </cell>
          <cell r="C248" t="str">
            <v>PRESERVANTE 1047S (PAQ=5 KILO)</v>
          </cell>
          <cell r="D248" t="str">
            <v>1212410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10/06/2020</v>
          </cell>
          <cell r="I248">
            <v>4844.88</v>
          </cell>
          <cell r="J248">
            <v>2162094.4</v>
          </cell>
          <cell r="K248">
            <v>1000</v>
          </cell>
          <cell r="L248">
            <v>4.8448799999999999</v>
          </cell>
          <cell r="M248" t="str">
            <v>Gramos</v>
          </cell>
        </row>
        <row r="249">
          <cell r="A249" t="str">
            <v>1212412</v>
          </cell>
          <cell r="B249">
            <v>5624</v>
          </cell>
          <cell r="C249" t="str">
            <v>PRESERVANTE 1017S (PAQ=5 KILO)</v>
          </cell>
          <cell r="D249" t="str">
            <v>1212412</v>
          </cell>
          <cell r="E249" t="str">
            <v>MATERIAS PRIMAS PLANTA</v>
          </cell>
          <cell r="F249" t="str">
            <v>1 PAQUETE</v>
          </cell>
          <cell r="G249">
            <v>500</v>
          </cell>
          <cell r="H249" t="str">
            <v>29/04/2020</v>
          </cell>
          <cell r="I249">
            <v>6267.25</v>
          </cell>
          <cell r="J249">
            <v>1414766.1</v>
          </cell>
          <cell r="K249">
            <v>5000</v>
          </cell>
          <cell r="L249">
            <v>1.25345</v>
          </cell>
          <cell r="M249" t="str">
            <v>Gramos</v>
          </cell>
        </row>
        <row r="250">
          <cell r="A250" t="str">
            <v>1212437</v>
          </cell>
          <cell r="B250">
            <v>5625</v>
          </cell>
          <cell r="C250" t="str">
            <v>PRESERVANTE MIXTO (UND:17 K)</v>
          </cell>
          <cell r="D250" t="str">
            <v>1212437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13/06/2020</v>
          </cell>
          <cell r="I250">
            <v>51510</v>
          </cell>
          <cell r="J250">
            <v>1390770</v>
          </cell>
          <cell r="K250">
            <v>17000</v>
          </cell>
          <cell r="L250">
            <v>3.03</v>
          </cell>
          <cell r="M250" t="str">
            <v>Gramos</v>
          </cell>
        </row>
        <row r="251">
          <cell r="A251" t="str">
            <v>1212438</v>
          </cell>
          <cell r="B251">
            <v>16435</v>
          </cell>
          <cell r="C251" t="str">
            <v>ESTABILIZANTE FRUTAS (SACO:25 K) 97178</v>
          </cell>
          <cell r="D251" t="str">
            <v>1212438</v>
          </cell>
          <cell r="E251" t="str">
            <v>MATERIAS PRIMAS PLANTA</v>
          </cell>
          <cell r="F251" t="str">
            <v>1 SACO</v>
          </cell>
          <cell r="G251">
            <v>500</v>
          </cell>
          <cell r="H251" t="str">
            <v>22/04/2020</v>
          </cell>
          <cell r="I251">
            <v>125818</v>
          </cell>
          <cell r="J251">
            <v>125818</v>
          </cell>
          <cell r="K251">
            <v>25000</v>
          </cell>
          <cell r="L251">
            <v>5.0327200000000003</v>
          </cell>
          <cell r="M251" t="str">
            <v>Gramos</v>
          </cell>
        </row>
        <row r="252">
          <cell r="A252" t="str">
            <v>1310108</v>
          </cell>
          <cell r="B252">
            <v>16364</v>
          </cell>
          <cell r="C252" t="str">
            <v>LECHE AZUL DOS PINOS (CAJA: 12 UND)</v>
          </cell>
          <cell r="D252" t="str">
            <v>1310108</v>
          </cell>
          <cell r="E252" t="str">
            <v>MATERIAS PRIMAS PLANTA</v>
          </cell>
          <cell r="F252" t="str">
            <v>1 CAJA</v>
          </cell>
          <cell r="G252">
            <v>500</v>
          </cell>
          <cell r="H252" t="str">
            <v>06/04/2020</v>
          </cell>
          <cell r="I252">
            <v>582.51499999999999</v>
          </cell>
          <cell r="J252">
            <v>34950.9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1700001</v>
          </cell>
          <cell r="B253">
            <v>5653</v>
          </cell>
          <cell r="C253" t="str">
            <v>SABORIZANTE LIMON ESPAÑA (KILO)</v>
          </cell>
          <cell r="D253" t="str">
            <v>1700001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26/02/2020</v>
          </cell>
          <cell r="I253">
            <v>24998.58</v>
          </cell>
          <cell r="J253">
            <v>34998.012000000002</v>
          </cell>
          <cell r="K253">
            <v>1000</v>
          </cell>
          <cell r="L253">
            <v>24.99858</v>
          </cell>
          <cell r="M253" t="str">
            <v>Gramos</v>
          </cell>
        </row>
        <row r="254">
          <cell r="A254" t="str">
            <v>1730535</v>
          </cell>
          <cell r="B254">
            <v>9814</v>
          </cell>
          <cell r="C254" t="str">
            <v>MANZANA PICADA (PAQ:1 K)</v>
          </cell>
          <cell r="D254" t="str">
            <v>1730535</v>
          </cell>
          <cell r="E254" t="str">
            <v>MATERIAS PRIMAS PLANTA</v>
          </cell>
          <cell r="F254" t="str">
            <v>1 PAQ</v>
          </cell>
          <cell r="G254">
            <v>500</v>
          </cell>
          <cell r="H254" t="str">
            <v>03/02/2020</v>
          </cell>
          <cell r="I254">
            <v>2795</v>
          </cell>
          <cell r="J254">
            <v>433225</v>
          </cell>
          <cell r="K254">
            <v>1000</v>
          </cell>
          <cell r="L254">
            <v>2.7949999999999999</v>
          </cell>
          <cell r="M254" t="str">
            <v>Gramos</v>
          </cell>
        </row>
        <row r="255">
          <cell r="A255" t="str">
            <v>1730579</v>
          </cell>
          <cell r="B255">
            <v>5389</v>
          </cell>
          <cell r="C255" t="str">
            <v>CHULETAS KILO</v>
          </cell>
          <cell r="D255" t="str">
            <v>1730579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30/05/2020</v>
          </cell>
          <cell r="I255">
            <v>3695</v>
          </cell>
          <cell r="J255">
            <v>453722.5</v>
          </cell>
          <cell r="K255">
            <v>1000</v>
          </cell>
          <cell r="L255">
            <v>3.6949999999999998</v>
          </cell>
          <cell r="M255" t="str">
            <v>Gramos</v>
          </cell>
        </row>
        <row r="256">
          <cell r="A256" t="str">
            <v>1730580</v>
          </cell>
          <cell r="B256">
            <v>5373</v>
          </cell>
          <cell r="C256" t="str">
            <v>COSTILLA DE CERDO (PAQ:1 KILO)</v>
          </cell>
          <cell r="D256" t="str">
            <v>1730580</v>
          </cell>
          <cell r="E256" t="str">
            <v>MATERIAS PRIMAS PLANTA</v>
          </cell>
          <cell r="F256" t="str">
            <v>1 PAQUETE</v>
          </cell>
          <cell r="G256">
            <v>500</v>
          </cell>
          <cell r="H256" t="str">
            <v>06/06/2020</v>
          </cell>
          <cell r="I256">
            <v>3895</v>
          </cell>
          <cell r="J256">
            <v>2467482.5</v>
          </cell>
          <cell r="K256">
            <v>1000</v>
          </cell>
          <cell r="L256">
            <v>3.895</v>
          </cell>
          <cell r="M256" t="str">
            <v>Gramos</v>
          </cell>
        </row>
        <row r="257">
          <cell r="A257" t="str">
            <v>1730588</v>
          </cell>
          <cell r="B257">
            <v>5372</v>
          </cell>
          <cell r="C257" t="str">
            <v>LOMO DE AGUJA KILO</v>
          </cell>
          <cell r="D257" t="str">
            <v>1730588</v>
          </cell>
          <cell r="E257" t="str">
            <v>MATERIAS PRIMAS PLANTA</v>
          </cell>
          <cell r="F257" t="str">
            <v>1 KILO</v>
          </cell>
          <cell r="G257">
            <v>500</v>
          </cell>
          <cell r="H257" t="str">
            <v>07/03/2020</v>
          </cell>
          <cell r="I257">
            <v>5690</v>
          </cell>
          <cell r="J257">
            <v>281086</v>
          </cell>
          <cell r="K257">
            <v>1000</v>
          </cell>
          <cell r="L257">
            <v>5.69</v>
          </cell>
          <cell r="M257" t="str">
            <v>Gramos</v>
          </cell>
        </row>
        <row r="258">
          <cell r="A258" t="str">
            <v>1730589</v>
          </cell>
          <cell r="B258">
            <v>7045</v>
          </cell>
          <cell r="C258" t="str">
            <v>SALCHICHAS KILO</v>
          </cell>
          <cell r="D258" t="str">
            <v>1730589</v>
          </cell>
          <cell r="E258" t="str">
            <v>MATERIAS PRIMAS PLANTA</v>
          </cell>
          <cell r="F258" t="str">
            <v>1 KILO</v>
          </cell>
          <cell r="G258">
            <v>500</v>
          </cell>
          <cell r="H258" t="str">
            <v>18/05/2020</v>
          </cell>
          <cell r="I258">
            <v>1909.5</v>
          </cell>
          <cell r="J258">
            <v>415245</v>
          </cell>
          <cell r="K258">
            <v>1000</v>
          </cell>
          <cell r="L258">
            <v>1.9095</v>
          </cell>
          <cell r="M258" t="str">
            <v>Gramos</v>
          </cell>
        </row>
        <row r="259">
          <cell r="A259" t="str">
            <v>1730592</v>
          </cell>
          <cell r="B259">
            <v>5391</v>
          </cell>
          <cell r="C259" t="str">
            <v>PECHO LIMPIO KILO</v>
          </cell>
          <cell r="D259" t="str">
            <v>1730592</v>
          </cell>
          <cell r="E259" t="str">
            <v>MATERIAS PRIMAS PLANTA</v>
          </cell>
          <cell r="F259" t="str">
            <v>1 KILO</v>
          </cell>
          <cell r="G259">
            <v>500</v>
          </cell>
          <cell r="H259" t="str">
            <v>06/06/2020</v>
          </cell>
          <cell r="I259">
            <v>3990</v>
          </cell>
          <cell r="J259">
            <v>427728</v>
          </cell>
          <cell r="K259">
            <v>1000</v>
          </cell>
          <cell r="L259">
            <v>3.99</v>
          </cell>
          <cell r="M259" t="str">
            <v>Gramos</v>
          </cell>
        </row>
        <row r="260">
          <cell r="A260" t="str">
            <v>1730594</v>
          </cell>
          <cell r="B260">
            <v>11359</v>
          </cell>
          <cell r="C260" t="str">
            <v>COSTILLA DE RES</v>
          </cell>
          <cell r="D260" t="str">
            <v>1730594</v>
          </cell>
          <cell r="E260" t="str">
            <v>MATERIAS PRIMAS PLANTA</v>
          </cell>
          <cell r="F260" t="str">
            <v>1 KILO</v>
          </cell>
          <cell r="G260">
            <v>500</v>
          </cell>
          <cell r="H260" t="str">
            <v>04/02/2020</v>
          </cell>
          <cell r="I260">
            <v>2195</v>
          </cell>
          <cell r="J260">
            <v>43900</v>
          </cell>
          <cell r="K260">
            <v>1000</v>
          </cell>
          <cell r="L260">
            <v>2.1949999999999998</v>
          </cell>
          <cell r="M260" t="str">
            <v>Gramos</v>
          </cell>
        </row>
        <row r="261">
          <cell r="A261" t="str">
            <v>1730610</v>
          </cell>
          <cell r="B261">
            <v>5592</v>
          </cell>
          <cell r="C261" t="str">
            <v>NATILLA GALON (UND:3.785 K)</v>
          </cell>
          <cell r="D261" t="str">
            <v>1730610</v>
          </cell>
          <cell r="E261" t="str">
            <v>MATERIAS PRIMAS PLANTA</v>
          </cell>
          <cell r="F261" t="str">
            <v>1 UND</v>
          </cell>
          <cell r="G261">
            <v>500</v>
          </cell>
          <cell r="H261" t="str">
            <v>30/05/2020</v>
          </cell>
          <cell r="I261">
            <v>5670</v>
          </cell>
          <cell r="J261">
            <v>340200</v>
          </cell>
          <cell r="K261">
            <v>3785</v>
          </cell>
          <cell r="L261">
            <v>1.4980184940554822</v>
          </cell>
          <cell r="M261" t="str">
            <v>Und</v>
          </cell>
        </row>
        <row r="262">
          <cell r="A262" t="str">
            <v>1730616</v>
          </cell>
          <cell r="B262">
            <v>5434</v>
          </cell>
          <cell r="C262" t="str">
            <v>REMOLACHA KILO</v>
          </cell>
          <cell r="D262" t="str">
            <v>1730616</v>
          </cell>
          <cell r="E262" t="str">
            <v>MATERIAS PRIMAS PLANTA</v>
          </cell>
          <cell r="F262" t="str">
            <v>1 KILO</v>
          </cell>
          <cell r="G262">
            <v>500</v>
          </cell>
          <cell r="H262" t="str">
            <v>13/06/2020</v>
          </cell>
          <cell r="I262">
            <v>923</v>
          </cell>
          <cell r="J262">
            <v>109150</v>
          </cell>
          <cell r="K262">
            <v>1000</v>
          </cell>
          <cell r="L262">
            <v>0.92300000000000004</v>
          </cell>
          <cell r="M262" t="str">
            <v>Gramos</v>
          </cell>
        </row>
        <row r="263">
          <cell r="A263" t="str">
            <v>1730617</v>
          </cell>
          <cell r="B263">
            <v>5436</v>
          </cell>
          <cell r="C263" t="str">
            <v>REPOLLO VERDE RAYADO KILO</v>
          </cell>
          <cell r="D263" t="str">
            <v>1730617</v>
          </cell>
          <cell r="E263" t="str">
            <v>MATERIAS PRIMAS PLANTA</v>
          </cell>
          <cell r="F263" t="str">
            <v>1 KILO</v>
          </cell>
          <cell r="G263">
            <v>500</v>
          </cell>
          <cell r="H263" t="str">
            <v>02/06/2020</v>
          </cell>
          <cell r="I263">
            <v>1384</v>
          </cell>
          <cell r="J263">
            <v>140784</v>
          </cell>
          <cell r="K263">
            <v>1000</v>
          </cell>
          <cell r="L263">
            <v>1.3839999999999999</v>
          </cell>
          <cell r="M263" t="str">
            <v>Gramos</v>
          </cell>
        </row>
        <row r="264">
          <cell r="A264" t="str">
            <v>1730640</v>
          </cell>
          <cell r="B264">
            <v>5364</v>
          </cell>
          <cell r="C264" t="str">
            <v xml:space="preserve">ALITAS DE POLLO KILO </v>
          </cell>
          <cell r="D264" t="str">
            <v>1730640</v>
          </cell>
          <cell r="E264" t="str">
            <v>MATERIAS PRIMAS PLANTA</v>
          </cell>
          <cell r="F264" t="str">
            <v>1 KILO</v>
          </cell>
          <cell r="G264">
            <v>500</v>
          </cell>
          <cell r="H264" t="str">
            <v>05/05/2020</v>
          </cell>
          <cell r="I264">
            <v>2080</v>
          </cell>
          <cell r="J264">
            <v>477672</v>
          </cell>
          <cell r="K264">
            <v>1000</v>
          </cell>
          <cell r="L264">
            <v>2.08</v>
          </cell>
          <cell r="M264" t="str">
            <v>Gramos</v>
          </cell>
        </row>
        <row r="265">
          <cell r="A265" t="str">
            <v>1730642</v>
          </cell>
          <cell r="B265">
            <v>11344</v>
          </cell>
          <cell r="C265" t="str">
            <v>PLATANO VERDE (UND)</v>
          </cell>
          <cell r="D265" t="str">
            <v>1730642</v>
          </cell>
          <cell r="E265" t="str">
            <v>MATERIAS PRIMAS PLANTA</v>
          </cell>
          <cell r="F265" t="str">
            <v>1 KILO</v>
          </cell>
          <cell r="G265">
            <v>500</v>
          </cell>
          <cell r="H265" t="str">
            <v>06/06/2020</v>
          </cell>
          <cell r="I265">
            <v>195</v>
          </cell>
          <cell r="J265">
            <v>7800</v>
          </cell>
          <cell r="K265">
            <v>1000</v>
          </cell>
          <cell r="L265">
            <v>0.19500000000000001</v>
          </cell>
          <cell r="M265" t="str">
            <v>Gramos</v>
          </cell>
        </row>
        <row r="266">
          <cell r="A266" t="str">
            <v>1730647</v>
          </cell>
          <cell r="B266">
            <v>5361</v>
          </cell>
          <cell r="C266" t="str">
            <v>PECHUGA DES FILET LOMITO KILO</v>
          </cell>
          <cell r="D266" t="str">
            <v>1730647</v>
          </cell>
          <cell r="E266" t="str">
            <v>MATERIAS PRIMAS PLANTA</v>
          </cell>
          <cell r="F266" t="str">
            <v>1 KILO</v>
          </cell>
          <cell r="G266">
            <v>500</v>
          </cell>
          <cell r="H266" t="str">
            <v>06/06/2020</v>
          </cell>
          <cell r="I266">
            <v>2620</v>
          </cell>
          <cell r="J266">
            <v>604591.19999999995</v>
          </cell>
          <cell r="K266">
            <v>1000</v>
          </cell>
          <cell r="L266">
            <v>2.62</v>
          </cell>
          <cell r="M266" t="str">
            <v>Gramos</v>
          </cell>
        </row>
        <row r="267">
          <cell r="A267" t="str">
            <v>1730660</v>
          </cell>
          <cell r="B267">
            <v>5588</v>
          </cell>
          <cell r="C267" t="str">
            <v>QUESO CREMA PANADERO (CAJA: 5 K)</v>
          </cell>
          <cell r="D267" t="str">
            <v>1730660</v>
          </cell>
          <cell r="E267" t="str">
            <v>MATERIAS PRIMAS PLANTA</v>
          </cell>
          <cell r="F267" t="str">
            <v>1 CAJA</v>
          </cell>
          <cell r="G267">
            <v>500</v>
          </cell>
          <cell r="H267" t="str">
            <v>15/06/2020</v>
          </cell>
          <cell r="I267">
            <v>13214.31</v>
          </cell>
          <cell r="J267">
            <v>14730778.949999999</v>
          </cell>
          <cell r="K267">
            <v>5000</v>
          </cell>
          <cell r="L267">
            <v>2.642862</v>
          </cell>
          <cell r="M267" t="str">
            <v>Gramos</v>
          </cell>
        </row>
        <row r="268">
          <cell r="A268" t="str">
            <v>1730663</v>
          </cell>
          <cell r="B268">
            <v>5281</v>
          </cell>
          <cell r="C268" t="str">
            <v>SALSA AJI AMARILLO DOYPACK  (UND:460g)</v>
          </cell>
          <cell r="D268" t="str">
            <v>1730663</v>
          </cell>
          <cell r="E268" t="str">
            <v>MATERIAS PRIMAS PLANTA</v>
          </cell>
          <cell r="F268" t="str">
            <v>1 UND</v>
          </cell>
          <cell r="G268">
            <v>500</v>
          </cell>
          <cell r="H268" t="str">
            <v>12/06/2020</v>
          </cell>
          <cell r="I268">
            <v>1</v>
          </cell>
          <cell r="J268">
            <v>319822.88</v>
          </cell>
          <cell r="K268">
            <v>460</v>
          </cell>
          <cell r="L268">
            <v>2.1739130434782609E-3</v>
          </cell>
          <cell r="M268" t="str">
            <v>Und</v>
          </cell>
        </row>
        <row r="269">
          <cell r="A269" t="str">
            <v>1730670</v>
          </cell>
          <cell r="B269">
            <v>12491</v>
          </cell>
          <cell r="C269" t="str">
            <v>BOLITA FALAFEL CRUDA (PAQ:100 UND)</v>
          </cell>
          <cell r="D269" t="str">
            <v>1730670</v>
          </cell>
          <cell r="E269" t="str">
            <v>MATERIAS PRIMAS PLANTA</v>
          </cell>
          <cell r="F269" t="str">
            <v>1 PAQUETE</v>
          </cell>
          <cell r="G269">
            <v>500</v>
          </cell>
          <cell r="H269" t="str">
            <v>19/05/2020</v>
          </cell>
          <cell r="I269">
            <v>1</v>
          </cell>
          <cell r="J269">
            <v>7000000</v>
          </cell>
          <cell r="K269">
            <v>100</v>
          </cell>
          <cell r="L269">
            <v>0.01</v>
          </cell>
          <cell r="M269" t="str">
            <v>Gramos</v>
          </cell>
        </row>
        <row r="270">
          <cell r="A270" t="str">
            <v>1840640</v>
          </cell>
          <cell r="B270">
            <v>5678</v>
          </cell>
          <cell r="C270" t="str">
            <v>BOLSAS TRANSP EXTRAGRANDE 37x55 KILO</v>
          </cell>
          <cell r="D270" t="str">
            <v>1840640</v>
          </cell>
          <cell r="E270" t="str">
            <v>EMPAQUES PLANTA</v>
          </cell>
          <cell r="F270" t="str">
            <v>1 KILO</v>
          </cell>
          <cell r="G270">
            <v>500</v>
          </cell>
          <cell r="H270" t="str">
            <v>09/06/2020</v>
          </cell>
          <cell r="I270">
            <v>1350</v>
          </cell>
          <cell r="J270">
            <v>10113901.710000001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1900001</v>
          </cell>
          <cell r="B271">
            <v>7041</v>
          </cell>
          <cell r="C271" t="str">
            <v>QUINUA BLANCA (SACO:25 Kg)</v>
          </cell>
          <cell r="D271" t="str">
            <v>1900001</v>
          </cell>
          <cell r="E271" t="str">
            <v>MATERIAS PRIMAS PLANTA</v>
          </cell>
          <cell r="F271" t="str">
            <v>1 SACO</v>
          </cell>
          <cell r="G271">
            <v>500</v>
          </cell>
          <cell r="H271" t="str">
            <v>17/02/2020</v>
          </cell>
          <cell r="I271">
            <v>64162.125</v>
          </cell>
          <cell r="J271">
            <v>128841.75</v>
          </cell>
          <cell r="K271">
            <v>25000</v>
          </cell>
          <cell r="L271">
            <v>2.5664850000000001</v>
          </cell>
          <cell r="M271" t="str">
            <v>Gramos</v>
          </cell>
        </row>
        <row r="272">
          <cell r="A272" t="str">
            <v>1942315</v>
          </cell>
          <cell r="B272">
            <v>11425</v>
          </cell>
          <cell r="C272" t="str">
            <v>QUEQUERA 10" MEDIA (CAJA:66 UND)</v>
          </cell>
          <cell r="D272" t="str">
            <v>1942315</v>
          </cell>
          <cell r="E272" t="str">
            <v>EMPAQUES PLANTA</v>
          </cell>
          <cell r="F272" t="str">
            <v>1 CAJA</v>
          </cell>
          <cell r="G272">
            <v>500</v>
          </cell>
          <cell r="H272" t="str">
            <v>25/05/2020</v>
          </cell>
          <cell r="I272">
            <v>20685.060000000001</v>
          </cell>
          <cell r="J272">
            <v>9515127.5999999996</v>
          </cell>
          <cell r="K272">
            <v>66</v>
          </cell>
          <cell r="L272">
            <v>313.41000000000003</v>
          </cell>
          <cell r="M272" t="str">
            <v>Und</v>
          </cell>
        </row>
        <row r="273">
          <cell r="A273" t="str">
            <v>1950387</v>
          </cell>
          <cell r="B273">
            <v>5863</v>
          </cell>
          <cell r="C273" t="str">
            <v>CONO P/AGUA (CAJA:25 PAQ)</v>
          </cell>
          <cell r="D273" t="str">
            <v>1950387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10/06/2020</v>
          </cell>
          <cell r="I273">
            <v>26980</v>
          </cell>
          <cell r="J273">
            <v>269800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1950409</v>
          </cell>
          <cell r="B274">
            <v>5779</v>
          </cell>
          <cell r="C274" t="str">
            <v>TAPA P/FONDO CAJA BLANCA (PAQ:100 UND)</v>
          </cell>
          <cell r="D274" t="str">
            <v>1950409</v>
          </cell>
          <cell r="E274" t="str">
            <v>EMPAQUES PLANTA</v>
          </cell>
          <cell r="F274" t="str">
            <v>1 PAQUETE</v>
          </cell>
          <cell r="G274">
            <v>500</v>
          </cell>
          <cell r="H274" t="str">
            <v>29/05/2020</v>
          </cell>
          <cell r="I274">
            <v>5300</v>
          </cell>
          <cell r="J274">
            <v>280900</v>
          </cell>
          <cell r="K274">
            <v>100</v>
          </cell>
          <cell r="L274">
            <v>53</v>
          </cell>
          <cell r="M274" t="str">
            <v>Und</v>
          </cell>
        </row>
        <row r="275">
          <cell r="A275" t="str">
            <v>1950672</v>
          </cell>
          <cell r="B275">
            <v>5809</v>
          </cell>
          <cell r="C275" t="str">
            <v>CONT.48 ON TRAN.TAPA PLANA (CAJA:200UND)</v>
          </cell>
          <cell r="D275" t="str">
            <v>1950672</v>
          </cell>
          <cell r="E275" t="str">
            <v>EMPAQUES PLANTA</v>
          </cell>
          <cell r="F275" t="str">
            <v>1 CAJA</v>
          </cell>
          <cell r="G275">
            <v>500</v>
          </cell>
          <cell r="H275" t="str">
            <v>16/06/2020</v>
          </cell>
          <cell r="I275">
            <v>43840.2</v>
          </cell>
          <cell r="J275">
            <v>3594896.4</v>
          </cell>
          <cell r="K275">
            <v>200</v>
          </cell>
          <cell r="L275">
            <v>219.20099999999999</v>
          </cell>
          <cell r="M275" t="str">
            <v>Und</v>
          </cell>
        </row>
        <row r="276">
          <cell r="A276" t="str">
            <v>1950682</v>
          </cell>
          <cell r="B276">
            <v>5815</v>
          </cell>
          <cell r="C276" t="str">
            <v>CONTEN LBH 692 PRALINE (CAJA:200 UND)</v>
          </cell>
          <cell r="D276" t="str">
            <v>1950682</v>
          </cell>
          <cell r="E276" t="str">
            <v>EMPAQUES PLANTA</v>
          </cell>
          <cell r="F276" t="str">
            <v xml:space="preserve">1 CAJA </v>
          </cell>
          <cell r="G276">
            <v>500</v>
          </cell>
          <cell r="H276" t="str">
            <v>12/06/2020</v>
          </cell>
          <cell r="I276">
            <v>41166</v>
          </cell>
          <cell r="J276">
            <v>10522469</v>
          </cell>
          <cell r="K276">
            <v>200</v>
          </cell>
          <cell r="L276">
            <v>205.83</v>
          </cell>
          <cell r="M276" t="str">
            <v>Und</v>
          </cell>
        </row>
        <row r="277">
          <cell r="A277" t="str">
            <v>1950692</v>
          </cell>
          <cell r="B277">
            <v>10370</v>
          </cell>
          <cell r="C277" t="str">
            <v>ORLA CARTON 10" DORADA (UND)</v>
          </cell>
          <cell r="D277" t="str">
            <v>1950692</v>
          </cell>
          <cell r="E277" t="str">
            <v>EMPAQUES PLANTA</v>
          </cell>
          <cell r="F277" t="str">
            <v>1 UND</v>
          </cell>
          <cell r="G277">
            <v>500</v>
          </cell>
          <cell r="H277" t="str">
            <v>12/06/2020</v>
          </cell>
          <cell r="I277">
            <v>111</v>
          </cell>
          <cell r="J277">
            <v>20646000</v>
          </cell>
          <cell r="K277">
            <v>1</v>
          </cell>
          <cell r="L277">
            <v>111</v>
          </cell>
          <cell r="M277" t="str">
            <v>Und</v>
          </cell>
        </row>
        <row r="278">
          <cell r="A278" t="str">
            <v>1950693</v>
          </cell>
          <cell r="B278">
            <v>11368</v>
          </cell>
          <cell r="C278" t="str">
            <v>ORLA #9  DORADA (UND)</v>
          </cell>
          <cell r="D278" t="str">
            <v>1950693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12/06/2020</v>
          </cell>
          <cell r="I278">
            <v>105</v>
          </cell>
          <cell r="J278">
            <v>1785000</v>
          </cell>
          <cell r="K278">
            <v>1</v>
          </cell>
          <cell r="L278">
            <v>105</v>
          </cell>
          <cell r="M278" t="str">
            <v>Und</v>
          </cell>
        </row>
        <row r="279">
          <cell r="A279" t="str">
            <v>1950699</v>
          </cell>
          <cell r="B279">
            <v>5734</v>
          </cell>
          <cell r="C279" t="str">
            <v>BASE PARA ROSQUETE (UND)</v>
          </cell>
          <cell r="D279" t="str">
            <v>1950699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15/06/2020</v>
          </cell>
          <cell r="I279">
            <v>125</v>
          </cell>
          <cell r="J279">
            <v>22087500</v>
          </cell>
          <cell r="K279">
            <v>1</v>
          </cell>
          <cell r="L279">
            <v>125</v>
          </cell>
          <cell r="M279" t="str">
            <v>Und</v>
          </cell>
        </row>
        <row r="280">
          <cell r="A280" t="str">
            <v>1950702</v>
          </cell>
          <cell r="B280">
            <v>12144</v>
          </cell>
          <cell r="C280" t="str">
            <v>BOLSA 12x18 TRANSP KILO</v>
          </cell>
          <cell r="D280" t="str">
            <v>1950702</v>
          </cell>
          <cell r="E280" t="str">
            <v>EMPAQUES PLANTA</v>
          </cell>
          <cell r="F280" t="str">
            <v xml:space="preserve">1 KILO </v>
          </cell>
          <cell r="G280">
            <v>500</v>
          </cell>
          <cell r="H280" t="str">
            <v>18/05/2020</v>
          </cell>
          <cell r="I280">
            <v>1400</v>
          </cell>
          <cell r="J280">
            <v>4622030</v>
          </cell>
          <cell r="K280">
            <v>125</v>
          </cell>
          <cell r="L280">
            <v>11.2</v>
          </cell>
          <cell r="M280" t="str">
            <v>Und</v>
          </cell>
        </row>
        <row r="281">
          <cell r="A281" t="str">
            <v>1950703</v>
          </cell>
          <cell r="B281">
            <v>5750</v>
          </cell>
          <cell r="C281" t="str">
            <v>BOLSA IMP. SPOON CAMI 8*16 KILO</v>
          </cell>
          <cell r="D281" t="str">
            <v>1950703</v>
          </cell>
          <cell r="E281" t="str">
            <v>EMPAQUES PLANTA</v>
          </cell>
          <cell r="F281" t="str">
            <v>1 KILO</v>
          </cell>
          <cell r="G281">
            <v>500</v>
          </cell>
          <cell r="H281" t="str">
            <v>14/02/2020</v>
          </cell>
          <cell r="I281">
            <v>1400</v>
          </cell>
          <cell r="J281">
            <v>70000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1950704</v>
          </cell>
          <cell r="B282">
            <v>12088</v>
          </cell>
          <cell r="C282" t="str">
            <v>BOLSA 5x8 TRANSPARENTE KILO</v>
          </cell>
          <cell r="D282" t="str">
            <v>1950704</v>
          </cell>
          <cell r="E282" t="str">
            <v>EMPAQUES PLANTA</v>
          </cell>
          <cell r="F282" t="str">
            <v xml:space="preserve">1 KILO </v>
          </cell>
          <cell r="G282">
            <v>500</v>
          </cell>
          <cell r="H282" t="str">
            <v>05/06/2020</v>
          </cell>
          <cell r="I282">
            <v>1400</v>
          </cell>
          <cell r="J282">
            <v>1041600</v>
          </cell>
          <cell r="K282">
            <v>500</v>
          </cell>
          <cell r="L282">
            <v>2.8</v>
          </cell>
          <cell r="M282" t="str">
            <v>Gramos</v>
          </cell>
        </row>
        <row r="283">
          <cell r="A283" t="str">
            <v>1950705</v>
          </cell>
          <cell r="B283">
            <v>12089</v>
          </cell>
          <cell r="C283" t="str">
            <v>BOLSA 8x12 TRANSPARENTE KILO</v>
          </cell>
          <cell r="D283" t="str">
            <v>1950705</v>
          </cell>
          <cell r="E283" t="str">
            <v>EMPAQUES PLANTA</v>
          </cell>
          <cell r="F283" t="str">
            <v xml:space="preserve">1 KILO  </v>
          </cell>
          <cell r="G283">
            <v>500</v>
          </cell>
          <cell r="H283" t="str">
            <v>09/06/2020</v>
          </cell>
          <cell r="I283">
            <v>1400</v>
          </cell>
          <cell r="J283">
            <v>3941000</v>
          </cell>
          <cell r="K283">
            <v>200</v>
          </cell>
          <cell r="L283">
            <v>7</v>
          </cell>
          <cell r="M283" t="str">
            <v>Und</v>
          </cell>
        </row>
        <row r="284">
          <cell r="A284" t="str">
            <v>1950708</v>
          </cell>
          <cell r="B284">
            <v>5684</v>
          </cell>
          <cell r="C284" t="str">
            <v>BOLSA 17x25 TRANSP KILO</v>
          </cell>
          <cell r="D284" t="str">
            <v>1950708</v>
          </cell>
          <cell r="E284" t="str">
            <v>EMPAQUES PLANTA</v>
          </cell>
          <cell r="F284" t="str">
            <v>1 KILO</v>
          </cell>
          <cell r="G284">
            <v>500</v>
          </cell>
          <cell r="H284" t="str">
            <v>09/06/2020</v>
          </cell>
          <cell r="I284">
            <v>1400</v>
          </cell>
          <cell r="J284">
            <v>2252040</v>
          </cell>
          <cell r="K284">
            <v>42</v>
          </cell>
          <cell r="L284">
            <v>33.333333333333336</v>
          </cell>
          <cell r="M284" t="str">
            <v>Und</v>
          </cell>
        </row>
        <row r="285">
          <cell r="A285" t="str">
            <v>1950715</v>
          </cell>
          <cell r="B285">
            <v>5807</v>
          </cell>
          <cell r="C285" t="str">
            <v>CAPSULA # 2 BLANCA (PAQ:500 UND)</v>
          </cell>
          <cell r="D285" t="str">
            <v>1950715</v>
          </cell>
          <cell r="E285" t="str">
            <v>EMPAQUES PLANTA</v>
          </cell>
          <cell r="F285" t="str">
            <v>1 PAQUETE</v>
          </cell>
          <cell r="G285">
            <v>500</v>
          </cell>
          <cell r="H285" t="str">
            <v>31/03/2020</v>
          </cell>
          <cell r="I285">
            <v>1369.9</v>
          </cell>
          <cell r="J285">
            <v>4109.7</v>
          </cell>
          <cell r="K285">
            <v>500</v>
          </cell>
          <cell r="L285">
            <v>2.7398000000000002</v>
          </cell>
          <cell r="M285" t="str">
            <v>Und</v>
          </cell>
        </row>
        <row r="286">
          <cell r="A286" t="str">
            <v>1950716</v>
          </cell>
          <cell r="B286">
            <v>5823</v>
          </cell>
          <cell r="C286" t="str">
            <v>BANDEJA  94121 24 OZ (CAJA:200 UND)</v>
          </cell>
          <cell r="D286" t="str">
            <v>1950716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19/05/2020</v>
          </cell>
          <cell r="I286">
            <v>22181</v>
          </cell>
          <cell r="J286">
            <v>528978</v>
          </cell>
          <cell r="K286">
            <v>200</v>
          </cell>
          <cell r="L286">
            <v>110.905</v>
          </cell>
          <cell r="M286" t="str">
            <v>Und</v>
          </cell>
        </row>
        <row r="287">
          <cell r="A287" t="str">
            <v>1950725</v>
          </cell>
          <cell r="B287">
            <v>5792</v>
          </cell>
          <cell r="C287" t="str">
            <v>CAJA TROQUELADA # 25 (UND)</v>
          </cell>
          <cell r="D287" t="str">
            <v>1950725</v>
          </cell>
          <cell r="E287" t="str">
            <v>EMPAQUES PLANTA</v>
          </cell>
          <cell r="F287" t="str">
            <v>1 UND</v>
          </cell>
          <cell r="G287">
            <v>500</v>
          </cell>
          <cell r="H287" t="str">
            <v>27/03/2020</v>
          </cell>
          <cell r="I287">
            <v>1827.6369999999999</v>
          </cell>
          <cell r="J287">
            <v>993337.70429999998</v>
          </cell>
          <cell r="K287">
            <v>1</v>
          </cell>
          <cell r="L287">
            <v>1827.6369999999999</v>
          </cell>
          <cell r="M287" t="str">
            <v>Gramos</v>
          </cell>
        </row>
        <row r="288">
          <cell r="A288" t="str">
            <v>1950729</v>
          </cell>
          <cell r="B288">
            <v>5789</v>
          </cell>
          <cell r="C288" t="str">
            <v>CAJA BLANCA MEDIANA (PAQ:100 UND)</v>
          </cell>
          <cell r="D288" t="str">
            <v>1950729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27/03/2020</v>
          </cell>
          <cell r="I288">
            <v>4000</v>
          </cell>
          <cell r="J288">
            <v>1828000</v>
          </cell>
          <cell r="K288">
            <v>100</v>
          </cell>
          <cell r="L288">
            <v>40</v>
          </cell>
          <cell r="M288" t="str">
            <v>Und</v>
          </cell>
        </row>
        <row r="289">
          <cell r="A289" t="str">
            <v>1950730</v>
          </cell>
          <cell r="B289">
            <v>5788</v>
          </cell>
          <cell r="C289" t="str">
            <v>CAJA BLANCA PEQUEÑA (PAQ:100 UND)</v>
          </cell>
          <cell r="D289" t="str">
            <v>1950730</v>
          </cell>
          <cell r="E289" t="str">
            <v>EMPAQUES PLANTA</v>
          </cell>
          <cell r="F289" t="str">
            <v>1 PAQUETE</v>
          </cell>
          <cell r="G289">
            <v>500</v>
          </cell>
          <cell r="H289" t="str">
            <v>12/06/2020</v>
          </cell>
          <cell r="I289">
            <v>2450</v>
          </cell>
          <cell r="J289">
            <v>2000425</v>
          </cell>
          <cell r="K289">
            <v>100</v>
          </cell>
          <cell r="L289">
            <v>24.5</v>
          </cell>
          <cell r="M289" t="str">
            <v>Und</v>
          </cell>
        </row>
        <row r="290">
          <cell r="A290" t="str">
            <v>1950731</v>
          </cell>
          <cell r="B290">
            <v>5805</v>
          </cell>
          <cell r="C290" t="str">
            <v>CAPSULA # 3 LOGO (PAQ:1000 UND)</v>
          </cell>
          <cell r="D290" t="str">
            <v>1950731</v>
          </cell>
          <cell r="E290" t="str">
            <v>EMPAQUES PLANTA</v>
          </cell>
          <cell r="F290" t="str">
            <v>1 PAQUETE</v>
          </cell>
          <cell r="G290">
            <v>500</v>
          </cell>
          <cell r="H290" t="str">
            <v>15/06/2020</v>
          </cell>
          <cell r="I290">
            <v>7900</v>
          </cell>
          <cell r="J290">
            <v>3320965.1200000001</v>
          </cell>
          <cell r="K290">
            <v>1000</v>
          </cell>
          <cell r="L290">
            <v>7.9</v>
          </cell>
          <cell r="M290" t="str">
            <v>Und</v>
          </cell>
        </row>
        <row r="291">
          <cell r="A291" t="str">
            <v>1950732</v>
          </cell>
          <cell r="B291">
            <v>13561</v>
          </cell>
          <cell r="C291" t="str">
            <v>CAPSULA # 3 BLANCA (UND)</v>
          </cell>
          <cell r="D291" t="str">
            <v>1950732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16/12/2019</v>
          </cell>
          <cell r="I291">
            <v>3.3578000000000001</v>
          </cell>
          <cell r="J291">
            <v>16789</v>
          </cell>
          <cell r="K291">
            <v>1</v>
          </cell>
          <cell r="L291">
            <v>3.3578000000000001</v>
          </cell>
          <cell r="M291" t="str">
            <v>Und</v>
          </cell>
        </row>
        <row r="292">
          <cell r="A292" t="str">
            <v>1950733</v>
          </cell>
          <cell r="B292">
            <v>12624</v>
          </cell>
          <cell r="C292" t="str">
            <v>CAPSULA # 10 BLANCA (PAQ:500 UND)</v>
          </cell>
          <cell r="D292" t="str">
            <v>1950733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18/04/2020</v>
          </cell>
          <cell r="I292">
            <v>2976.7</v>
          </cell>
          <cell r="J292">
            <v>101204.3</v>
          </cell>
          <cell r="K292">
            <v>500</v>
          </cell>
          <cell r="L292">
            <v>5.9533999999999994</v>
          </cell>
          <cell r="M292" t="str">
            <v>Und</v>
          </cell>
        </row>
        <row r="293">
          <cell r="A293" t="str">
            <v>1950735</v>
          </cell>
          <cell r="B293">
            <v>5806</v>
          </cell>
          <cell r="C293" t="str">
            <v>CAPSULA # 5 LOGO (PAQ:1000 UND)</v>
          </cell>
          <cell r="D293" t="str">
            <v>1950735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12/06/2020</v>
          </cell>
          <cell r="I293">
            <v>1</v>
          </cell>
          <cell r="J293">
            <v>3459500</v>
          </cell>
          <cell r="K293">
            <v>1000</v>
          </cell>
          <cell r="L293">
            <v>1E-3</v>
          </cell>
          <cell r="M293" t="str">
            <v>Und</v>
          </cell>
        </row>
        <row r="294">
          <cell r="A294" t="str">
            <v>1950752</v>
          </cell>
          <cell r="B294">
            <v>5787</v>
          </cell>
          <cell r="C294" t="str">
            <v>CAJA BLANCA MINI (PAQ:100 UND)</v>
          </cell>
          <cell r="D294" t="str">
            <v>1959752</v>
          </cell>
          <cell r="E294" t="str">
            <v>EMPAQUES PLANTA</v>
          </cell>
          <cell r="F294" t="str">
            <v>1 PAQUETE</v>
          </cell>
          <cell r="G294">
            <v>500</v>
          </cell>
          <cell r="H294" t="str">
            <v>15/06/2020</v>
          </cell>
          <cell r="I294">
            <v>2100</v>
          </cell>
          <cell r="J294">
            <v>571200</v>
          </cell>
          <cell r="K294">
            <v>100</v>
          </cell>
          <cell r="L294">
            <v>21</v>
          </cell>
          <cell r="M294" t="str">
            <v>Und</v>
          </cell>
        </row>
        <row r="295">
          <cell r="A295" t="str">
            <v>1950756</v>
          </cell>
          <cell r="B295">
            <v>5722</v>
          </cell>
          <cell r="C295" t="str">
            <v>BANDEJA ALUMINIO# 4040 6P (CAJA:250 UND)</v>
          </cell>
          <cell r="D295" t="str">
            <v>1950756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15/06/2020</v>
          </cell>
          <cell r="I295">
            <v>50378</v>
          </cell>
          <cell r="J295">
            <v>5748232</v>
          </cell>
          <cell r="K295">
            <v>250</v>
          </cell>
          <cell r="L295">
            <v>201.512</v>
          </cell>
          <cell r="M295" t="str">
            <v>Und</v>
          </cell>
        </row>
        <row r="296">
          <cell r="A296" t="str">
            <v>1950767</v>
          </cell>
          <cell r="B296">
            <v>5842</v>
          </cell>
          <cell r="C296" t="str">
            <v>PAPEL ALUMINIO 12 * 1000 (CAJA)</v>
          </cell>
          <cell r="D296" t="str">
            <v>1950767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16/01/2020</v>
          </cell>
          <cell r="I296">
            <v>14758</v>
          </cell>
          <cell r="J296">
            <v>29729</v>
          </cell>
          <cell r="K296">
            <v>10000</v>
          </cell>
          <cell r="L296">
            <v>1.4758</v>
          </cell>
          <cell r="M296" t="str">
            <v>Cm</v>
          </cell>
        </row>
        <row r="297">
          <cell r="A297" t="str">
            <v>1950769</v>
          </cell>
          <cell r="B297">
            <v>5835</v>
          </cell>
          <cell r="C297" t="str">
            <v>ORLA N°3 DORADA (UND)</v>
          </cell>
          <cell r="D297" t="str">
            <v>1950769</v>
          </cell>
          <cell r="E297" t="str">
            <v>EMPAQUES PLANTA</v>
          </cell>
          <cell r="F297" t="str">
            <v>1 UND</v>
          </cell>
          <cell r="G297">
            <v>500</v>
          </cell>
          <cell r="H297" t="str">
            <v>29/04/2020</v>
          </cell>
          <cell r="I297">
            <v>29</v>
          </cell>
          <cell r="J297">
            <v>464000</v>
          </cell>
          <cell r="K297">
            <v>1</v>
          </cell>
          <cell r="L297">
            <v>29</v>
          </cell>
          <cell r="M297" t="str">
            <v>Und</v>
          </cell>
        </row>
        <row r="298">
          <cell r="A298" t="str">
            <v>1950771</v>
          </cell>
          <cell r="B298">
            <v>5843</v>
          </cell>
          <cell r="C298" t="str">
            <v>PAPEL ENCERADO 10X10 (CAJA)</v>
          </cell>
          <cell r="D298" t="str">
            <v>1950771</v>
          </cell>
          <cell r="E298" t="str">
            <v>EMPAQUES PLANTA</v>
          </cell>
          <cell r="F298" t="str">
            <v>1 CAJA</v>
          </cell>
          <cell r="G298">
            <v>500</v>
          </cell>
          <cell r="H298" t="str">
            <v>17/03/2020</v>
          </cell>
          <cell r="I298">
            <v>2791</v>
          </cell>
          <cell r="J298">
            <v>58556</v>
          </cell>
          <cell r="K298">
            <v>500</v>
          </cell>
          <cell r="L298">
            <v>5.5819999999999999</v>
          </cell>
          <cell r="M298" t="str">
            <v>Und</v>
          </cell>
        </row>
        <row r="299">
          <cell r="A299" t="str">
            <v>1950772</v>
          </cell>
          <cell r="B299">
            <v>5844</v>
          </cell>
          <cell r="C299" t="str">
            <v>PAPEL ENCERADO 12 X 10 (CAJA:500 UND)</v>
          </cell>
          <cell r="D299" t="str">
            <v>1950772</v>
          </cell>
          <cell r="E299" t="str">
            <v>EMPAQUES PLANTA</v>
          </cell>
          <cell r="F299" t="str">
            <v>1 CAJA</v>
          </cell>
          <cell r="G299">
            <v>500</v>
          </cell>
          <cell r="H299" t="str">
            <v>21/03/2020</v>
          </cell>
          <cell r="I299">
            <v>3519</v>
          </cell>
          <cell r="J299">
            <v>81123</v>
          </cell>
          <cell r="K299">
            <v>500</v>
          </cell>
          <cell r="L299">
            <v>7.0380000000000003</v>
          </cell>
          <cell r="M299" t="str">
            <v>Und</v>
          </cell>
        </row>
        <row r="300">
          <cell r="A300" t="str">
            <v>1950786</v>
          </cell>
          <cell r="B300">
            <v>5752</v>
          </cell>
          <cell r="C300" t="str">
            <v>BOLSA IMP. SPOON CAMI 12*25 KILO</v>
          </cell>
          <cell r="D300" t="str">
            <v>1950786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05/06/2020</v>
          </cell>
          <cell r="I300">
            <v>1850</v>
          </cell>
          <cell r="J300">
            <v>2997000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1950797</v>
          </cell>
          <cell r="B301">
            <v>1656</v>
          </cell>
          <cell r="C301" t="str">
            <v>VASO PLAST. TRASL 16OZ (PAQ:50 UND)</v>
          </cell>
          <cell r="D301" t="str">
            <v>1950797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29/05/2020</v>
          </cell>
          <cell r="I301">
            <v>1</v>
          </cell>
          <cell r="J301">
            <v>366184</v>
          </cell>
          <cell r="K301">
            <v>50</v>
          </cell>
          <cell r="L301">
            <v>0.02</v>
          </cell>
          <cell r="M301" t="str">
            <v>Unidades</v>
          </cell>
        </row>
        <row r="302">
          <cell r="A302" t="str">
            <v>1950808</v>
          </cell>
          <cell r="B302">
            <v>11369</v>
          </cell>
          <cell r="C302" t="str">
            <v>ORLA CARTON  8" DORADA (UND)</v>
          </cell>
          <cell r="D302" t="str">
            <v>1950808</v>
          </cell>
          <cell r="E302" t="str">
            <v>EMPAQUES PLANTA</v>
          </cell>
          <cell r="F302" t="str">
            <v>1 UND</v>
          </cell>
          <cell r="G302">
            <v>500</v>
          </cell>
          <cell r="H302" t="str">
            <v>12/06/2020</v>
          </cell>
          <cell r="I302">
            <v>77</v>
          </cell>
          <cell r="J302">
            <v>7007000</v>
          </cell>
          <cell r="K302">
            <v>1</v>
          </cell>
          <cell r="L302">
            <v>77</v>
          </cell>
          <cell r="M302" t="str">
            <v>Und</v>
          </cell>
        </row>
        <row r="303">
          <cell r="A303" t="str">
            <v>1950811</v>
          </cell>
          <cell r="B303">
            <v>5737</v>
          </cell>
          <cell r="C303" t="str">
            <v>BASE CARTON 15 PORCIONES (UND)</v>
          </cell>
          <cell r="D303" t="str">
            <v>1950811</v>
          </cell>
          <cell r="E303" t="str">
            <v>EMPAQUES PLANTA</v>
          </cell>
          <cell r="F303" t="str">
            <v>1 UND</v>
          </cell>
          <cell r="G303">
            <v>500</v>
          </cell>
          <cell r="H303" t="str">
            <v>12/06/2020</v>
          </cell>
          <cell r="I303">
            <v>165</v>
          </cell>
          <cell r="J303">
            <v>4587000</v>
          </cell>
          <cell r="K303">
            <v>1</v>
          </cell>
          <cell r="L303">
            <v>165</v>
          </cell>
          <cell r="M303" t="str">
            <v>Und</v>
          </cell>
        </row>
        <row r="304">
          <cell r="A304" t="str">
            <v>1950818</v>
          </cell>
          <cell r="B304">
            <v>5861</v>
          </cell>
          <cell r="C304" t="str">
            <v>QUEQUERA RECT. T41 (CAJA:50 UND)</v>
          </cell>
          <cell r="D304" t="str">
            <v>1950818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11/06/2020</v>
          </cell>
          <cell r="I304">
            <v>39819</v>
          </cell>
          <cell r="J304">
            <v>20101598</v>
          </cell>
          <cell r="K304">
            <v>50</v>
          </cell>
          <cell r="L304">
            <v>796.38</v>
          </cell>
          <cell r="M304" t="str">
            <v>Und</v>
          </cell>
        </row>
        <row r="305">
          <cell r="A305" t="str">
            <v>1950829</v>
          </cell>
          <cell r="B305">
            <v>5739</v>
          </cell>
          <cell r="C305" t="str">
            <v>BASE CARTON 30 PORCIONES UND</v>
          </cell>
          <cell r="D305" t="str">
            <v>1950829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20/03/2020</v>
          </cell>
          <cell r="I305">
            <v>212</v>
          </cell>
          <cell r="J305">
            <v>890400</v>
          </cell>
          <cell r="K305">
            <v>1</v>
          </cell>
          <cell r="L305">
            <v>212</v>
          </cell>
          <cell r="M305" t="str">
            <v>Und</v>
          </cell>
        </row>
        <row r="306">
          <cell r="A306" t="str">
            <v>1950837</v>
          </cell>
          <cell r="B306">
            <v>5778</v>
          </cell>
          <cell r="C306" t="str">
            <v>FONDO P/CAJA BLANCA (PAQ:100 UND)</v>
          </cell>
          <cell r="D306" t="str">
            <v>1950837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5300</v>
          </cell>
          <cell r="J306">
            <v>312700</v>
          </cell>
          <cell r="K306">
            <v>100</v>
          </cell>
          <cell r="L306">
            <v>53</v>
          </cell>
          <cell r="M306" t="str">
            <v>Und</v>
          </cell>
        </row>
        <row r="307">
          <cell r="A307" t="str">
            <v>1950853</v>
          </cell>
          <cell r="B307">
            <v>5811</v>
          </cell>
          <cell r="C307" t="str">
            <v>VASO 9oz SUNDA TS9 PAQ:50(CAJA:1000 UND)</v>
          </cell>
          <cell r="D307" t="str">
            <v>1950853</v>
          </cell>
          <cell r="E307" t="str">
            <v>EMPAQUES PLANTA</v>
          </cell>
          <cell r="F307" t="str">
            <v>1 CAJA</v>
          </cell>
          <cell r="G307">
            <v>500</v>
          </cell>
          <cell r="H307" t="str">
            <v>18/05/2020</v>
          </cell>
          <cell r="I307">
            <v>41500</v>
          </cell>
          <cell r="J307">
            <v>664000</v>
          </cell>
          <cell r="K307">
            <v>1000</v>
          </cell>
          <cell r="L307">
            <v>41.5</v>
          </cell>
          <cell r="M307" t="str">
            <v>Und</v>
          </cell>
        </row>
        <row r="308">
          <cell r="A308" t="str">
            <v>1950854</v>
          </cell>
          <cell r="B308">
            <v>5812</v>
          </cell>
          <cell r="C308" t="str">
            <v>TAPA VASO 9oz P/SUN PAQ:50 (CAJA:2000UN)</v>
          </cell>
          <cell r="D308" t="str">
            <v>1950854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18/05/2020</v>
          </cell>
          <cell r="I308">
            <v>39500</v>
          </cell>
          <cell r="J308">
            <v>276500</v>
          </cell>
          <cell r="K308">
            <v>2000</v>
          </cell>
          <cell r="L308">
            <v>19.75</v>
          </cell>
          <cell r="M308" t="str">
            <v>Und</v>
          </cell>
        </row>
        <row r="309">
          <cell r="A309" t="str">
            <v>1950865</v>
          </cell>
          <cell r="B309">
            <v>5859</v>
          </cell>
          <cell r="C309" t="str">
            <v>QUEQUERA 8 ALTA (CAJA:70 UND)</v>
          </cell>
          <cell r="D309" t="str">
            <v>1950865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24/03/2020</v>
          </cell>
          <cell r="I309">
            <v>16752.04</v>
          </cell>
          <cell r="J309">
            <v>3369214.8</v>
          </cell>
          <cell r="K309">
            <v>70</v>
          </cell>
          <cell r="L309">
            <v>239.31485714285716</v>
          </cell>
          <cell r="M309" t="str">
            <v>Und</v>
          </cell>
        </row>
        <row r="310">
          <cell r="A310" t="str">
            <v>1950873</v>
          </cell>
          <cell r="B310">
            <v>11505</v>
          </cell>
          <cell r="C310" t="str">
            <v>BOLSA CELOFAN 30X45 (KILO)</v>
          </cell>
          <cell r="D310" t="str">
            <v>1950873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10/06/2020</v>
          </cell>
          <cell r="I310">
            <v>4240.53</v>
          </cell>
          <cell r="J310">
            <v>1975979.19</v>
          </cell>
          <cell r="K310">
            <v>100</v>
          </cell>
          <cell r="L310">
            <v>42.405299999999997</v>
          </cell>
          <cell r="M310" t="str">
            <v>Gramos</v>
          </cell>
        </row>
        <row r="311">
          <cell r="A311" t="str">
            <v>1950880</v>
          </cell>
          <cell r="B311">
            <v>12754</v>
          </cell>
          <cell r="C311" t="str">
            <v>TAPA BANDEJA PLAST 3 DIV (CAJA:250 UND)</v>
          </cell>
          <cell r="D311" t="str">
            <v>1950880</v>
          </cell>
          <cell r="E311" t="str">
            <v>EMPAQUES PLANTA</v>
          </cell>
          <cell r="F311" t="str">
            <v xml:space="preserve">1 CAJA </v>
          </cell>
          <cell r="G311">
            <v>500</v>
          </cell>
          <cell r="H311" t="str">
            <v>04/06/2020</v>
          </cell>
          <cell r="I311">
            <v>23093</v>
          </cell>
          <cell r="J311">
            <v>228916</v>
          </cell>
          <cell r="K311">
            <v>250</v>
          </cell>
          <cell r="L311">
            <v>92.372</v>
          </cell>
          <cell r="M311" t="str">
            <v>Und</v>
          </cell>
        </row>
        <row r="312">
          <cell r="A312" t="str">
            <v>1950887</v>
          </cell>
          <cell r="B312">
            <v>5848</v>
          </cell>
          <cell r="C312" t="str">
            <v>PLATO 9 COMPOSTABLE CAJA:500 (UND)</v>
          </cell>
          <cell r="D312" t="str">
            <v>1950887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10/03/2020</v>
          </cell>
          <cell r="I312">
            <v>61.02</v>
          </cell>
          <cell r="J312">
            <v>346850</v>
          </cell>
          <cell r="K312">
            <v>1</v>
          </cell>
          <cell r="L312">
            <v>61.02</v>
          </cell>
          <cell r="M312" t="str">
            <v>Und</v>
          </cell>
        </row>
        <row r="313">
          <cell r="A313" t="str">
            <v>1950888</v>
          </cell>
          <cell r="B313">
            <v>5849</v>
          </cell>
          <cell r="C313" t="str">
            <v>PLATO  6 COMPOSTABLE (CAJA:1000 UND)</v>
          </cell>
          <cell r="D313" t="str">
            <v>1950888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25/02/2020</v>
          </cell>
          <cell r="I313">
            <v>29.945</v>
          </cell>
          <cell r="J313">
            <v>179670</v>
          </cell>
          <cell r="K313">
            <v>1</v>
          </cell>
          <cell r="L313">
            <v>29.945</v>
          </cell>
          <cell r="M313" t="str">
            <v>Und</v>
          </cell>
        </row>
        <row r="314">
          <cell r="A314" t="str">
            <v>1950895</v>
          </cell>
          <cell r="B314">
            <v>5755</v>
          </cell>
          <cell r="C314" t="str">
            <v>BOLSA CELOFAN 6 X 9 (KILO)</v>
          </cell>
          <cell r="D314" t="str">
            <v>1950895</v>
          </cell>
          <cell r="E314" t="str">
            <v>EMPAQUES PLANTA</v>
          </cell>
          <cell r="F314" t="str">
            <v>1 KILO</v>
          </cell>
          <cell r="G314">
            <v>500</v>
          </cell>
          <cell r="H314" t="str">
            <v>27/02/2020</v>
          </cell>
          <cell r="I314">
            <v>4227.38</v>
          </cell>
          <cell r="J314">
            <v>202491.50200000001</v>
          </cell>
          <cell r="K314">
            <v>334</v>
          </cell>
          <cell r="L314">
            <v>12.65682634730539</v>
          </cell>
          <cell r="M314" t="str">
            <v>Gramos</v>
          </cell>
        </row>
        <row r="315">
          <cell r="A315" t="str">
            <v>1950896</v>
          </cell>
          <cell r="B315">
            <v>5721</v>
          </cell>
          <cell r="C315" t="str">
            <v>BANDEJA 17-1 NEGRA (PAQ:500 UND)</v>
          </cell>
          <cell r="D315" t="str">
            <v>1950896</v>
          </cell>
          <cell r="E315" t="str">
            <v>EMPAQUES PLANTA</v>
          </cell>
          <cell r="F315" t="str">
            <v>1 PAQUETE</v>
          </cell>
          <cell r="G315">
            <v>500</v>
          </cell>
          <cell r="H315" t="str">
            <v>23/03/2020</v>
          </cell>
          <cell r="I315">
            <v>14288</v>
          </cell>
          <cell r="J315">
            <v>57152</v>
          </cell>
          <cell r="K315">
            <v>500</v>
          </cell>
          <cell r="L315">
            <v>28.576000000000001</v>
          </cell>
          <cell r="M315" t="str">
            <v>Und</v>
          </cell>
        </row>
        <row r="316">
          <cell r="A316" t="str">
            <v>1950904</v>
          </cell>
          <cell r="B316">
            <v>5685</v>
          </cell>
          <cell r="C316" t="str">
            <v>BOLSA TRANSPARENTE  6 X 10 KILO</v>
          </cell>
          <cell r="D316" t="str">
            <v>1950904</v>
          </cell>
          <cell r="E316" t="str">
            <v>EMPAQUES PLANTA</v>
          </cell>
          <cell r="F316" t="str">
            <v>1 KILO</v>
          </cell>
          <cell r="G316">
            <v>500</v>
          </cell>
          <cell r="H316" t="str">
            <v>23/03/2020</v>
          </cell>
          <cell r="I316">
            <v>1400</v>
          </cell>
          <cell r="J316">
            <v>840000</v>
          </cell>
          <cell r="K316">
            <v>334</v>
          </cell>
          <cell r="L316">
            <v>4.1916167664670656</v>
          </cell>
          <cell r="M316" t="str">
            <v>Und</v>
          </cell>
        </row>
        <row r="317">
          <cell r="A317" t="str">
            <v>1950909</v>
          </cell>
          <cell r="B317">
            <v>14061</v>
          </cell>
          <cell r="C317" t="str">
            <v>CONT.24 ONZ.TAPA PLANA (CAJA:200 UND)</v>
          </cell>
          <cell r="D317" t="str">
            <v>1950909</v>
          </cell>
          <cell r="E317" t="str">
            <v>EMPAQUES PLANTA</v>
          </cell>
          <cell r="F317" t="str">
            <v>1 CAJA</v>
          </cell>
          <cell r="G317">
            <v>500</v>
          </cell>
          <cell r="H317" t="str">
            <v>02/06/2020</v>
          </cell>
          <cell r="I317">
            <v>34399.5</v>
          </cell>
          <cell r="J317">
            <v>894387</v>
          </cell>
          <cell r="K317">
            <v>200</v>
          </cell>
          <cell r="L317">
            <v>171.9975</v>
          </cell>
          <cell r="M317" t="str">
            <v>Und</v>
          </cell>
        </row>
        <row r="318">
          <cell r="A318" t="str">
            <v>1950914</v>
          </cell>
          <cell r="B318">
            <v>5733</v>
          </cell>
          <cell r="C318" t="str">
            <v>PORTA VASO 4 CAVIDADES (UND)</v>
          </cell>
          <cell r="D318" t="str">
            <v>1950914</v>
          </cell>
          <cell r="E318" t="str">
            <v>EMPAQUES PLANTA</v>
          </cell>
          <cell r="F318" t="str">
            <v>1 UND</v>
          </cell>
          <cell r="G318">
            <v>500</v>
          </cell>
          <cell r="H318" t="str">
            <v>29/05/2020</v>
          </cell>
          <cell r="I318">
            <v>1</v>
          </cell>
          <cell r="J318">
            <v>322554</v>
          </cell>
          <cell r="K318">
            <v>1</v>
          </cell>
          <cell r="L318">
            <v>1</v>
          </cell>
          <cell r="M318" t="str">
            <v>Und</v>
          </cell>
        </row>
        <row r="319">
          <cell r="A319" t="str">
            <v>1950921</v>
          </cell>
          <cell r="B319">
            <v>12107</v>
          </cell>
          <cell r="C319" t="str">
            <v>TAPA SUFLE PLAS 5/.75/1 OZ (PAQ:100 UND)</v>
          </cell>
          <cell r="D319" t="str">
            <v>1950921</v>
          </cell>
          <cell r="E319" t="str">
            <v>EMPAQUES PLANTA</v>
          </cell>
          <cell r="F319" t="str">
            <v>1 PAQUETE</v>
          </cell>
          <cell r="G319">
            <v>500</v>
          </cell>
          <cell r="H319" t="str">
            <v>05/06/2020</v>
          </cell>
          <cell r="I319">
            <v>541.96</v>
          </cell>
          <cell r="J319">
            <v>391729</v>
          </cell>
          <cell r="K319">
            <v>100</v>
          </cell>
          <cell r="L319">
            <v>5.4196</v>
          </cell>
          <cell r="M319" t="str">
            <v>Und</v>
          </cell>
        </row>
        <row r="320">
          <cell r="A320" t="str">
            <v>1950928</v>
          </cell>
          <cell r="B320">
            <v>5686</v>
          </cell>
          <cell r="C320" t="str">
            <v>BOLSA TRANSPARENTE 56X96X1.80 KILO</v>
          </cell>
          <cell r="D320" t="str">
            <v>1950928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05/06/2020</v>
          </cell>
          <cell r="I320">
            <v>1400</v>
          </cell>
          <cell r="J320">
            <v>1995000</v>
          </cell>
          <cell r="K320">
            <v>28</v>
          </cell>
          <cell r="L320">
            <v>50</v>
          </cell>
          <cell r="M320" t="str">
            <v>Und</v>
          </cell>
        </row>
        <row r="321">
          <cell r="A321" t="str">
            <v>1950942</v>
          </cell>
          <cell r="B321">
            <v>11370</v>
          </cell>
          <cell r="C321" t="str">
            <v>ORLA #4 AZUL REDONDA (UND)</v>
          </cell>
          <cell r="D321" t="str">
            <v>1950942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15/06/2020</v>
          </cell>
          <cell r="I321">
            <v>33</v>
          </cell>
          <cell r="J321">
            <v>1194600</v>
          </cell>
          <cell r="K321">
            <v>1</v>
          </cell>
          <cell r="L321">
            <v>33</v>
          </cell>
          <cell r="M321" t="str">
            <v>Und</v>
          </cell>
        </row>
        <row r="322">
          <cell r="A322" t="str">
            <v>1950959</v>
          </cell>
          <cell r="B322">
            <v>12110</v>
          </cell>
          <cell r="C322" t="str">
            <v>TAPA PLAST SUFLE 3.25 ONZ (CAJA:20 PAQ)</v>
          </cell>
          <cell r="D322" t="str">
            <v>1950959</v>
          </cell>
          <cell r="E322" t="str">
            <v>EMPAQUES PLANTA</v>
          </cell>
          <cell r="F322" t="str">
            <v>1 CAJA</v>
          </cell>
          <cell r="G322">
            <v>500</v>
          </cell>
          <cell r="H322" t="str">
            <v>11/06/2020</v>
          </cell>
          <cell r="I322">
            <v>1</v>
          </cell>
          <cell r="J322">
            <v>365821</v>
          </cell>
          <cell r="K322">
            <v>20</v>
          </cell>
          <cell r="L322">
            <v>0.05</v>
          </cell>
          <cell r="M322" t="str">
            <v>Und</v>
          </cell>
        </row>
        <row r="323">
          <cell r="A323" t="str">
            <v>1952378</v>
          </cell>
          <cell r="B323">
            <v>5819</v>
          </cell>
          <cell r="C323" t="str">
            <v>CONTEN. TAPA PLANA (CAJA: 480 UND)</v>
          </cell>
          <cell r="D323" t="str">
            <v>1952378</v>
          </cell>
          <cell r="E323" t="str">
            <v>EMPAQUES PLANTA</v>
          </cell>
          <cell r="F323" t="str">
            <v>1 CAJA</v>
          </cell>
          <cell r="G323">
            <v>500</v>
          </cell>
          <cell r="H323" t="str">
            <v>30/04/2020</v>
          </cell>
          <cell r="I323">
            <v>26880</v>
          </cell>
          <cell r="J323">
            <v>456960</v>
          </cell>
          <cell r="K323">
            <v>480</v>
          </cell>
          <cell r="L323">
            <v>56</v>
          </cell>
          <cell r="M323" t="str">
            <v>Und</v>
          </cell>
        </row>
        <row r="324">
          <cell r="A324" t="str">
            <v>1952400</v>
          </cell>
          <cell r="B324">
            <v>5759</v>
          </cell>
          <cell r="C324" t="str">
            <v>BOLSA BUCCA PALMERITAS (10*20CM)( KILO )</v>
          </cell>
          <cell r="D324" t="str">
            <v>1952400</v>
          </cell>
          <cell r="E324" t="str">
            <v>EMPAQUES PLANTA</v>
          </cell>
          <cell r="F324" t="str">
            <v>1 KILO</v>
          </cell>
          <cell r="G324">
            <v>500</v>
          </cell>
          <cell r="H324" t="str">
            <v>01/02/2020</v>
          </cell>
          <cell r="I324">
            <v>3916.8</v>
          </cell>
          <cell r="J324">
            <v>117504</v>
          </cell>
          <cell r="K324">
            <v>1000</v>
          </cell>
          <cell r="L324">
            <v>3.9168000000000003</v>
          </cell>
          <cell r="M324" t="str">
            <v>Und</v>
          </cell>
        </row>
        <row r="325">
          <cell r="A325" t="str">
            <v>1952409</v>
          </cell>
          <cell r="B325">
            <v>5723</v>
          </cell>
          <cell r="C325" t="str">
            <v>BANDEJA ALUMINIO A-42 (4POR)(CAJA:500 U)</v>
          </cell>
          <cell r="D325" t="str">
            <v>1952409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05/06/2020</v>
          </cell>
          <cell r="I325">
            <v>90</v>
          </cell>
          <cell r="J325">
            <v>539500</v>
          </cell>
          <cell r="K325">
            <v>1</v>
          </cell>
          <cell r="L325">
            <v>90</v>
          </cell>
          <cell r="M325" t="str">
            <v>Und</v>
          </cell>
        </row>
        <row r="326">
          <cell r="A326" t="str">
            <v>1952410</v>
          </cell>
          <cell r="B326">
            <v>5724</v>
          </cell>
          <cell r="C326" t="str">
            <v>TAPA CONTE.ALUMI A-42 (4 POR) (CAJA:500)</v>
          </cell>
          <cell r="D326" t="str">
            <v>1952410</v>
          </cell>
          <cell r="E326" t="str">
            <v>EMPAQUES PLANTA</v>
          </cell>
          <cell r="F326" t="str">
            <v>1 UND</v>
          </cell>
          <cell r="G326">
            <v>500</v>
          </cell>
          <cell r="H326" t="str">
            <v>05/06/2020</v>
          </cell>
          <cell r="I326">
            <v>64.400000000000006</v>
          </cell>
          <cell r="J326">
            <v>387400</v>
          </cell>
          <cell r="K326">
            <v>1</v>
          </cell>
          <cell r="L326">
            <v>64.400000000000006</v>
          </cell>
          <cell r="M326" t="str">
            <v>Und</v>
          </cell>
        </row>
        <row r="327">
          <cell r="A327" t="str">
            <v>1952432</v>
          </cell>
          <cell r="B327">
            <v>5725</v>
          </cell>
          <cell r="C327" t="str">
            <v>TAPA BAND ALUM 4040 (CAJA:250 UND)</v>
          </cell>
          <cell r="D327" t="str">
            <v>1952432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15/06/2020</v>
          </cell>
          <cell r="I327">
            <v>20533</v>
          </cell>
          <cell r="J327">
            <v>2341465</v>
          </cell>
          <cell r="K327">
            <v>250</v>
          </cell>
          <cell r="L327">
            <v>82.132000000000005</v>
          </cell>
          <cell r="M327" t="str">
            <v>Und</v>
          </cell>
        </row>
        <row r="328">
          <cell r="A328" t="str">
            <v>1952434</v>
          </cell>
          <cell r="B328">
            <v>11577</v>
          </cell>
          <cell r="C328" t="str">
            <v>CAJA SPOON #1 (20 UND) (INDUSTRIA)</v>
          </cell>
          <cell r="D328" t="str">
            <v>1952434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10/06/2020</v>
          </cell>
          <cell r="I328">
            <v>460</v>
          </cell>
          <cell r="J328">
            <v>59926500</v>
          </cell>
          <cell r="K328">
            <v>1</v>
          </cell>
          <cell r="L328">
            <v>460</v>
          </cell>
          <cell r="M328" t="str">
            <v>Und</v>
          </cell>
        </row>
        <row r="329">
          <cell r="A329" t="str">
            <v>1952445</v>
          </cell>
          <cell r="B329">
            <v>8129</v>
          </cell>
          <cell r="C329" t="str">
            <v>CAJA SIX PACK MUSMANNI (UND)</v>
          </cell>
          <cell r="D329" t="str">
            <v>1952445</v>
          </cell>
          <cell r="E329" t="str">
            <v>EMPAQUES PLANTA</v>
          </cell>
          <cell r="F329" t="str">
            <v>1 UND</v>
          </cell>
          <cell r="G329">
            <v>500</v>
          </cell>
          <cell r="H329" t="str">
            <v>20/05/2020</v>
          </cell>
          <cell r="I329">
            <v>185</v>
          </cell>
          <cell r="J329">
            <v>897250</v>
          </cell>
          <cell r="K329">
            <v>1</v>
          </cell>
          <cell r="L329">
            <v>185</v>
          </cell>
          <cell r="M329" t="str">
            <v>Und</v>
          </cell>
        </row>
        <row r="330">
          <cell r="A330" t="str">
            <v>1952826</v>
          </cell>
          <cell r="B330">
            <v>12114</v>
          </cell>
          <cell r="C330" t="str">
            <v>TAPA DOMO P/VASO TRASL 16onz ( PAQ*100)</v>
          </cell>
          <cell r="D330" t="str">
            <v>1952826</v>
          </cell>
          <cell r="E330" t="str">
            <v>EMPAQUES PLANTA</v>
          </cell>
          <cell r="F330" t="str">
            <v>1 PAQUETE</v>
          </cell>
          <cell r="G330">
            <v>500</v>
          </cell>
          <cell r="H330" t="str">
            <v>22/05/2020</v>
          </cell>
          <cell r="I330">
            <v>3270.75</v>
          </cell>
          <cell r="J330">
            <v>364143.5</v>
          </cell>
          <cell r="K330">
            <v>100</v>
          </cell>
          <cell r="L330">
            <v>32.707500000000003</v>
          </cell>
          <cell r="M330" t="str">
            <v>Gramos</v>
          </cell>
        </row>
        <row r="331">
          <cell r="A331" t="str">
            <v>1952831</v>
          </cell>
          <cell r="B331">
            <v>13333</v>
          </cell>
          <cell r="C331" t="str">
            <v>TAPA NESCAFE 12/14/16  ONZ (PAQ:100 UND)</v>
          </cell>
          <cell r="D331" t="str">
            <v>1952831</v>
          </cell>
          <cell r="E331" t="str">
            <v>EMPAQUES PLANTA</v>
          </cell>
          <cell r="F331" t="str">
            <v>1 PAQUETE</v>
          </cell>
          <cell r="G331">
            <v>500</v>
          </cell>
          <cell r="H331" t="str">
            <v>27/12/2019</v>
          </cell>
          <cell r="I331">
            <v>2490</v>
          </cell>
          <cell r="J331">
            <v>2490</v>
          </cell>
          <cell r="K331">
            <v>100</v>
          </cell>
          <cell r="L331">
            <v>24.9</v>
          </cell>
          <cell r="M331" t="str">
            <v>Gramos</v>
          </cell>
        </row>
        <row r="332">
          <cell r="A332" t="str">
            <v>1952851</v>
          </cell>
          <cell r="B332">
            <v>5855</v>
          </cell>
          <cell r="C332" t="str">
            <v>CONTENEDOR CUADRADO 9X9X5 (CAJA:600 UND)</v>
          </cell>
          <cell r="D332" t="str">
            <v>1952851</v>
          </cell>
          <cell r="E332" t="str">
            <v>EMPAQUES PLANTA</v>
          </cell>
          <cell r="F332" t="str">
            <v>1 CAJA</v>
          </cell>
          <cell r="G332">
            <v>500</v>
          </cell>
          <cell r="H332" t="str">
            <v>09/03/2020</v>
          </cell>
          <cell r="I332">
            <v>30816</v>
          </cell>
          <cell r="J332">
            <v>400608</v>
          </cell>
          <cell r="K332">
            <v>600</v>
          </cell>
          <cell r="L332">
            <v>51.36</v>
          </cell>
          <cell r="M332" t="str">
            <v>Und</v>
          </cell>
        </row>
        <row r="333">
          <cell r="A333" t="str">
            <v>1952856</v>
          </cell>
          <cell r="B333">
            <v>11225</v>
          </cell>
          <cell r="C333" t="str">
            <v>BOLSA TRANSPARENTE 76X24X210 (KILO)</v>
          </cell>
          <cell r="D333" t="str">
            <v>1952856</v>
          </cell>
          <cell r="E333" t="str">
            <v>EMPAQUES PLANTA</v>
          </cell>
          <cell r="F333" t="str">
            <v>1 KILO</v>
          </cell>
          <cell r="G333">
            <v>500</v>
          </cell>
          <cell r="H333" t="str">
            <v>25/05/2020</v>
          </cell>
          <cell r="I333">
            <v>3923.6</v>
          </cell>
          <cell r="J333">
            <v>316854.15999999997</v>
          </cell>
          <cell r="K333">
            <v>378</v>
          </cell>
          <cell r="L333">
            <v>10.37989417989418</v>
          </cell>
          <cell r="M333" t="str">
            <v>Und</v>
          </cell>
        </row>
        <row r="334">
          <cell r="A334" t="str">
            <v>1952871</v>
          </cell>
          <cell r="B334">
            <v>11376</v>
          </cell>
          <cell r="C334" t="str">
            <v>CAJA PRALINE (UND)</v>
          </cell>
          <cell r="D334" t="str">
            <v>1952871</v>
          </cell>
          <cell r="E334" t="str">
            <v>EMPAQUES PLANTA</v>
          </cell>
          <cell r="F334" t="str">
            <v>1 UND</v>
          </cell>
          <cell r="G334">
            <v>500</v>
          </cell>
          <cell r="H334" t="str">
            <v>22/04/2020</v>
          </cell>
          <cell r="I334">
            <v>450</v>
          </cell>
          <cell r="J334">
            <v>303450</v>
          </cell>
          <cell r="K334">
            <v>1</v>
          </cell>
          <cell r="L334">
            <v>450</v>
          </cell>
          <cell r="M334" t="str">
            <v>Gramos</v>
          </cell>
        </row>
        <row r="335">
          <cell r="A335" t="str">
            <v>1952873</v>
          </cell>
          <cell r="B335">
            <v>14163</v>
          </cell>
          <cell r="C335" t="str">
            <v>CONTENEDOR CUADRADO POTE (CAJA:600 UND)</v>
          </cell>
          <cell r="D335" t="str">
            <v>1952873</v>
          </cell>
          <cell r="E335" t="str">
            <v>EMPAQUES PLANTA</v>
          </cell>
          <cell r="F335" t="str">
            <v xml:space="preserve">1 CAJA </v>
          </cell>
          <cell r="G335">
            <v>500</v>
          </cell>
          <cell r="H335" t="str">
            <v>13/03/2020</v>
          </cell>
          <cell r="I335">
            <v>31800</v>
          </cell>
          <cell r="J335">
            <v>190800</v>
          </cell>
          <cell r="K335">
            <v>600</v>
          </cell>
          <cell r="L335">
            <v>53</v>
          </cell>
          <cell r="M335" t="str">
            <v>Und</v>
          </cell>
        </row>
        <row r="336">
          <cell r="A336" t="str">
            <v>1952874</v>
          </cell>
          <cell r="B336">
            <v>5834</v>
          </cell>
          <cell r="C336" t="str">
            <v>ORLA #8 BUCCA (UND)</v>
          </cell>
          <cell r="D336" t="str">
            <v>1952874</v>
          </cell>
          <cell r="E336" t="str">
            <v>EMPAQUES PLANTA</v>
          </cell>
          <cell r="F336" t="str">
            <v>1 UND</v>
          </cell>
          <cell r="G336">
            <v>500</v>
          </cell>
          <cell r="H336" t="str">
            <v>15/05/2020</v>
          </cell>
          <cell r="I336">
            <v>77</v>
          </cell>
          <cell r="J336">
            <v>2772000</v>
          </cell>
          <cell r="K336">
            <v>1</v>
          </cell>
          <cell r="L336">
            <v>77</v>
          </cell>
          <cell r="M336" t="str">
            <v>Und</v>
          </cell>
        </row>
        <row r="337">
          <cell r="A337" t="str">
            <v>1952875</v>
          </cell>
          <cell r="B337">
            <v>5833</v>
          </cell>
          <cell r="C337" t="str">
            <v>ORLA # 10 BUCCA (UND)</v>
          </cell>
          <cell r="D337" t="str">
            <v>1952875</v>
          </cell>
          <cell r="E337" t="str">
            <v>EMPAQUES PLANTA</v>
          </cell>
          <cell r="F337" t="str">
            <v>1 UND</v>
          </cell>
          <cell r="G337">
            <v>500</v>
          </cell>
          <cell r="H337" t="str">
            <v>12/06/2020</v>
          </cell>
          <cell r="I337">
            <v>111</v>
          </cell>
          <cell r="J337">
            <v>10744800</v>
          </cell>
          <cell r="K337">
            <v>1</v>
          </cell>
          <cell r="L337">
            <v>111</v>
          </cell>
          <cell r="M337" t="str">
            <v>Gramos</v>
          </cell>
        </row>
        <row r="338">
          <cell r="A338" t="str">
            <v>1952910</v>
          </cell>
          <cell r="B338">
            <v>11377</v>
          </cell>
          <cell r="C338" t="str">
            <v>CAJA CARTON GRANDE (UND)</v>
          </cell>
          <cell r="D338" t="str">
            <v>1952910</v>
          </cell>
          <cell r="E338" t="str">
            <v>EMPAQUES PLANTA</v>
          </cell>
          <cell r="F338" t="str">
            <v>1 UND</v>
          </cell>
          <cell r="G338">
            <v>500</v>
          </cell>
          <cell r="H338" t="str">
            <v>10/06/2020</v>
          </cell>
          <cell r="I338">
            <v>550</v>
          </cell>
          <cell r="J338">
            <v>1309000</v>
          </cell>
          <cell r="K338">
            <v>1</v>
          </cell>
          <cell r="L338">
            <v>550</v>
          </cell>
          <cell r="M338" t="str">
            <v>Mililitros</v>
          </cell>
        </row>
        <row r="339">
          <cell r="A339" t="str">
            <v>1952912</v>
          </cell>
          <cell r="B339">
            <v>9465</v>
          </cell>
          <cell r="C339" t="str">
            <v>CONTENEDOR TRIANGU ALTO (CAJA:200 UND)</v>
          </cell>
          <cell r="D339" t="str">
            <v>1952912</v>
          </cell>
          <cell r="E339" t="str">
            <v>EMPAQUES PLANTA</v>
          </cell>
          <cell r="F339" t="str">
            <v>1 CAJA</v>
          </cell>
          <cell r="G339">
            <v>500</v>
          </cell>
          <cell r="H339" t="str">
            <v>16/06/2020</v>
          </cell>
          <cell r="I339">
            <v>10278</v>
          </cell>
          <cell r="J339">
            <v>9782532</v>
          </cell>
          <cell r="K339">
            <v>200</v>
          </cell>
          <cell r="L339">
            <v>51.39</v>
          </cell>
          <cell r="M339" t="str">
            <v>Mililitros</v>
          </cell>
        </row>
        <row r="340">
          <cell r="A340" t="str">
            <v>1952915</v>
          </cell>
          <cell r="B340">
            <v>11475</v>
          </cell>
          <cell r="C340" t="str">
            <v>BANDEJA CONCHA TRANSPAR 4X4 (CJ:500 UND)</v>
          </cell>
          <cell r="D340" t="str">
            <v>1952915</v>
          </cell>
          <cell r="E340" t="str">
            <v>EMPAQUES PLANTA</v>
          </cell>
          <cell r="F340" t="str">
            <v>1 CAJA</v>
          </cell>
          <cell r="G340">
            <v>500</v>
          </cell>
          <cell r="H340" t="str">
            <v>29/05/2020</v>
          </cell>
          <cell r="I340">
            <v>25500</v>
          </cell>
          <cell r="J340">
            <v>505000</v>
          </cell>
          <cell r="K340">
            <v>1500</v>
          </cell>
          <cell r="L340">
            <v>17</v>
          </cell>
          <cell r="M340" t="str">
            <v>Gramos</v>
          </cell>
        </row>
        <row r="341">
          <cell r="A341" t="str">
            <v>1952919</v>
          </cell>
          <cell r="B341">
            <v>14418</v>
          </cell>
          <cell r="C341" t="str">
            <v>CAJA PRALINE 2 (UND)</v>
          </cell>
          <cell r="D341" t="str">
            <v>1952919</v>
          </cell>
          <cell r="E341" t="str">
            <v>EMPAQUES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325</v>
          </cell>
          <cell r="J341">
            <v>1694580</v>
          </cell>
          <cell r="K341">
            <v>1</v>
          </cell>
          <cell r="L341">
            <v>325</v>
          </cell>
          <cell r="M341" t="str">
            <v>Und</v>
          </cell>
        </row>
        <row r="342">
          <cell r="A342" t="str">
            <v>2000001</v>
          </cell>
          <cell r="B342">
            <v>11436</v>
          </cell>
          <cell r="C342" t="str">
            <v>SALMON AHUMADO  (PAQ:900g)</v>
          </cell>
          <cell r="D342" t="str">
            <v>2000001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12/06/2020</v>
          </cell>
          <cell r="I342">
            <v>17518.7</v>
          </cell>
          <cell r="J342">
            <v>17001749</v>
          </cell>
          <cell r="K342">
            <v>900</v>
          </cell>
          <cell r="L342">
            <v>19.465222222222224</v>
          </cell>
          <cell r="M342" t="str">
            <v>Gramos</v>
          </cell>
        </row>
        <row r="343">
          <cell r="A343" t="str">
            <v>2000002</v>
          </cell>
          <cell r="B343">
            <v>11484</v>
          </cell>
          <cell r="C343" t="str">
            <v>CARNE ANALOGA POLLO (CAJA:13.6 Kg)</v>
          </cell>
          <cell r="D343" t="str">
            <v>2000002</v>
          </cell>
          <cell r="E343" t="str">
            <v>MATERIAS PRIMAS PLANTA</v>
          </cell>
          <cell r="F343" t="str">
            <v>1 CAJA</v>
          </cell>
          <cell r="G343">
            <v>500</v>
          </cell>
          <cell r="H343" t="str">
            <v>15/04/2020</v>
          </cell>
          <cell r="I343">
            <v>103365.9</v>
          </cell>
          <cell r="J343">
            <v>623693.4</v>
          </cell>
          <cell r="K343">
            <v>13600</v>
          </cell>
          <cell r="L343">
            <v>7.6004338235294115</v>
          </cell>
          <cell r="M343" t="str">
            <v>Gramos</v>
          </cell>
        </row>
        <row r="344">
          <cell r="A344" t="str">
            <v>2001001</v>
          </cell>
          <cell r="B344">
            <v>11337</v>
          </cell>
          <cell r="C344" t="str">
            <v>PEPINO ENTERO KILO</v>
          </cell>
          <cell r="D344" t="str">
            <v>2001001</v>
          </cell>
          <cell r="E344" t="str">
            <v>MATERIAS PRIMAS PLANTA</v>
          </cell>
          <cell r="F344" t="str">
            <v>1 KILO</v>
          </cell>
          <cell r="G344">
            <v>500</v>
          </cell>
          <cell r="H344" t="str">
            <v>16/06/2020</v>
          </cell>
          <cell r="I344">
            <v>600</v>
          </cell>
          <cell r="J344">
            <v>1907748</v>
          </cell>
          <cell r="K344">
            <v>1000</v>
          </cell>
          <cell r="L344">
            <v>0.6</v>
          </cell>
          <cell r="M344" t="str">
            <v>Gramos</v>
          </cell>
        </row>
        <row r="345">
          <cell r="A345" t="str">
            <v>2006223</v>
          </cell>
          <cell r="B345">
            <v>13315</v>
          </cell>
          <cell r="C345" t="str">
            <v>TORTILLA REDONDITA RUMBA (PAQ:1 KG)</v>
          </cell>
          <cell r="D345" t="str">
            <v>2006223</v>
          </cell>
          <cell r="E345" t="str">
            <v>MATERIAS PRIMAS PLANTA</v>
          </cell>
          <cell r="F345" t="str">
            <v>1 PAQUETE</v>
          </cell>
          <cell r="G345">
            <v>500</v>
          </cell>
          <cell r="H345" t="str">
            <v>15/06/2020</v>
          </cell>
          <cell r="I345">
            <v>1560</v>
          </cell>
          <cell r="J345">
            <v>25324</v>
          </cell>
          <cell r="K345">
            <v>1000</v>
          </cell>
          <cell r="L345">
            <v>1.56</v>
          </cell>
          <cell r="M345" t="str">
            <v>Mililitros</v>
          </cell>
        </row>
        <row r="346">
          <cell r="A346" t="str">
            <v>2172411</v>
          </cell>
          <cell r="B346">
            <v>5910</v>
          </cell>
          <cell r="C346" t="str">
            <v>ET. TORTA BUCCA GENERICA PEQUEÑA (UND)</v>
          </cell>
          <cell r="D346" t="str">
            <v>2172411</v>
          </cell>
          <cell r="E346" t="str">
            <v>ETIQUETAS PLANTA</v>
          </cell>
          <cell r="F346" t="str">
            <v>1 UND</v>
          </cell>
          <cell r="G346">
            <v>500</v>
          </cell>
          <cell r="H346" t="str">
            <v>12/06/2020</v>
          </cell>
          <cell r="I346">
            <v>25.8</v>
          </cell>
          <cell r="J346">
            <v>2591660</v>
          </cell>
          <cell r="K346">
            <v>1</v>
          </cell>
          <cell r="L346">
            <v>25.8</v>
          </cell>
          <cell r="M346" t="str">
            <v>Und</v>
          </cell>
        </row>
        <row r="347">
          <cell r="A347" t="str">
            <v>3110271</v>
          </cell>
          <cell r="B347">
            <v>15979</v>
          </cell>
          <cell r="C347" t="str">
            <v>FILET TILAPIA (5-7 ONZ P/KILO)</v>
          </cell>
          <cell r="D347" t="str">
            <v>3110271</v>
          </cell>
          <cell r="E347" t="str">
            <v>MATERIAS PRIMAS PLANTA</v>
          </cell>
          <cell r="F347" t="str">
            <v>1 KILO</v>
          </cell>
          <cell r="G347">
            <v>500</v>
          </cell>
          <cell r="H347" t="str">
            <v>19/03/2020</v>
          </cell>
          <cell r="I347">
            <v>2933</v>
          </cell>
          <cell r="J347">
            <v>434084</v>
          </cell>
          <cell r="K347">
            <v>1000</v>
          </cell>
          <cell r="L347">
            <v>2.9329999999999998</v>
          </cell>
          <cell r="M347" t="str">
            <v>Gramos</v>
          </cell>
        </row>
        <row r="348">
          <cell r="A348" t="str">
            <v>5000001</v>
          </cell>
          <cell r="B348">
            <v>7101</v>
          </cell>
          <cell r="C348" t="str">
            <v>SAL INDUSTRIA (SACO:25 Kg)</v>
          </cell>
          <cell r="D348" t="str">
            <v>5000001</v>
          </cell>
          <cell r="E348" t="str">
            <v>MATERIAS PRIMAS PLANTA</v>
          </cell>
          <cell r="F348" t="str">
            <v>1 SACO</v>
          </cell>
          <cell r="G348">
            <v>500</v>
          </cell>
          <cell r="H348" t="str">
            <v>05/06/2020</v>
          </cell>
          <cell r="I348">
            <v>4700</v>
          </cell>
          <cell r="J348">
            <v>1203200</v>
          </cell>
          <cell r="K348">
            <v>25000</v>
          </cell>
          <cell r="L348">
            <v>0.188</v>
          </cell>
          <cell r="M348" t="str">
            <v>Gramos</v>
          </cell>
        </row>
        <row r="349">
          <cell r="A349" t="str">
            <v>5062011</v>
          </cell>
          <cell r="B349">
            <v>14425</v>
          </cell>
          <cell r="C349" t="str">
            <v>BURBUJA # 5 (CAJA:3/125UND)</v>
          </cell>
          <cell r="D349" t="str">
            <v>5062011</v>
          </cell>
          <cell r="E349" t="str">
            <v>EMPAQUES PLANTA</v>
          </cell>
          <cell r="F349" t="str">
            <v>1 CAJA</v>
          </cell>
          <cell r="G349">
            <v>500</v>
          </cell>
          <cell r="H349" t="str">
            <v>15/06/2020</v>
          </cell>
          <cell r="I349">
            <v>18356</v>
          </cell>
          <cell r="J349">
            <v>1827059</v>
          </cell>
          <cell r="K349">
            <v>350</v>
          </cell>
          <cell r="L349">
            <v>52.445714285714288</v>
          </cell>
          <cell r="M349" t="str">
            <v>Und</v>
          </cell>
        </row>
        <row r="350">
          <cell r="A350" t="str">
            <v>10100003</v>
          </cell>
          <cell r="B350">
            <v>7078</v>
          </cell>
          <cell r="C350" t="str">
            <v>AZUCAR POLVO P.REAL (PAQ:2.5 Kg)</v>
          </cell>
          <cell r="D350" t="str">
            <v>10100003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13/06/2020</v>
          </cell>
          <cell r="I350">
            <v>2773.5839999999998</v>
          </cell>
          <cell r="J350">
            <v>8126601.1200000001</v>
          </cell>
          <cell r="K350">
            <v>2500</v>
          </cell>
          <cell r="L350">
            <v>1.1094336</v>
          </cell>
          <cell r="M350" t="str">
            <v>Gramos</v>
          </cell>
        </row>
        <row r="351">
          <cell r="A351" t="str">
            <v>10100009</v>
          </cell>
          <cell r="B351">
            <v>9363</v>
          </cell>
          <cell r="C351" t="str">
            <v>SALSA BLANCA MAGGI (UND:1K)</v>
          </cell>
          <cell r="D351" t="str">
            <v>10100009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17/03/2020</v>
          </cell>
          <cell r="I351">
            <v>5746</v>
          </cell>
          <cell r="J351">
            <v>206856</v>
          </cell>
          <cell r="K351">
            <v>1000</v>
          </cell>
          <cell r="L351">
            <v>4.8841000000000001</v>
          </cell>
          <cell r="M351" t="str">
            <v>Gramos</v>
          </cell>
        </row>
        <row r="352">
          <cell r="A352" t="str">
            <v>10100033</v>
          </cell>
          <cell r="B352">
            <v>11351</v>
          </cell>
          <cell r="C352" t="str">
            <v>MOSTAZA DE DIJON (UND:850ML)</v>
          </cell>
          <cell r="D352" t="str">
            <v>10100033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21/03/2020</v>
          </cell>
          <cell r="I352">
            <v>4068.3719999999998</v>
          </cell>
          <cell r="J352">
            <v>48820.464</v>
          </cell>
          <cell r="K352">
            <v>850</v>
          </cell>
          <cell r="L352">
            <v>4.7863199999999999</v>
          </cell>
          <cell r="M352" t="str">
            <v>Mililitros</v>
          </cell>
        </row>
        <row r="353">
          <cell r="A353" t="str">
            <v>10100039</v>
          </cell>
          <cell r="B353">
            <v>8030</v>
          </cell>
          <cell r="C353" t="str">
            <v>CHIPS CHOCOLATE AMARGO (PAQ: 2,5 k)</v>
          </cell>
          <cell r="D353" t="str">
            <v>10100039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12/05/2020</v>
          </cell>
          <cell r="I353">
            <v>14786</v>
          </cell>
          <cell r="J353">
            <v>29572</v>
          </cell>
          <cell r="K353">
            <v>2500</v>
          </cell>
          <cell r="L353">
            <v>5.9143999999999997</v>
          </cell>
          <cell r="M353" t="str">
            <v>Gramos</v>
          </cell>
        </row>
        <row r="354">
          <cell r="A354">
            <v>10100041</v>
          </cell>
          <cell r="B354">
            <v>5299</v>
          </cell>
          <cell r="C354" t="str">
            <v>GARBANZOS (UND:3 K)</v>
          </cell>
          <cell r="D354" t="str">
            <v>10100041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12/06/2020</v>
          </cell>
          <cell r="I354">
            <v>3461</v>
          </cell>
          <cell r="J354">
            <v>2277584</v>
          </cell>
          <cell r="K354">
            <v>3000</v>
          </cell>
          <cell r="L354">
            <v>1.1536666666666666</v>
          </cell>
          <cell r="M354" t="str">
            <v>Gramos</v>
          </cell>
        </row>
        <row r="355">
          <cell r="A355" t="str">
            <v>10100045</v>
          </cell>
          <cell r="B355">
            <v>5304</v>
          </cell>
          <cell r="C355" t="str">
            <v>AZUCAR CARAMELO (PAQ:0.5 K)</v>
          </cell>
          <cell r="D355" t="str">
            <v>10100045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686</v>
          </cell>
          <cell r="J355">
            <v>1640912</v>
          </cell>
          <cell r="K355">
            <v>500</v>
          </cell>
          <cell r="L355">
            <v>1.3720000000000001</v>
          </cell>
          <cell r="M355" t="str">
            <v>Gramos</v>
          </cell>
        </row>
        <row r="356">
          <cell r="A356" t="str">
            <v>10100046</v>
          </cell>
          <cell r="B356">
            <v>5630</v>
          </cell>
          <cell r="C356" t="str">
            <v>POLVO HORNEAR FLEISHMAN (PAQ:2.5 K)</v>
          </cell>
          <cell r="D356" t="str">
            <v>10100046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08/06/2020</v>
          </cell>
          <cell r="I356">
            <v>2238</v>
          </cell>
          <cell r="J356">
            <v>349128</v>
          </cell>
          <cell r="K356">
            <v>2500</v>
          </cell>
          <cell r="L356">
            <v>0.8952</v>
          </cell>
          <cell r="M356" t="str">
            <v>Gramos</v>
          </cell>
        </row>
        <row r="357">
          <cell r="A357" t="str">
            <v>10100047</v>
          </cell>
          <cell r="B357">
            <v>12770</v>
          </cell>
          <cell r="C357" t="str">
            <v>SIROPE CHOCO. LIQUIDO (UND: 680 g)</v>
          </cell>
          <cell r="D357" t="str">
            <v>10100047</v>
          </cell>
          <cell r="E357" t="str">
            <v>MATERIAS PRIMAS PLANTA</v>
          </cell>
          <cell r="F357" t="str">
            <v>1 UND</v>
          </cell>
          <cell r="G357">
            <v>500</v>
          </cell>
          <cell r="H357" t="str">
            <v>04/01/2020</v>
          </cell>
          <cell r="I357">
            <v>1691</v>
          </cell>
          <cell r="J357">
            <v>18601</v>
          </cell>
          <cell r="K357">
            <v>680</v>
          </cell>
          <cell r="L357">
            <v>2.486764705882353</v>
          </cell>
          <cell r="M357" t="str">
            <v>UND</v>
          </cell>
        </row>
        <row r="358">
          <cell r="A358" t="str">
            <v>10100048</v>
          </cell>
          <cell r="B358">
            <v>5312</v>
          </cell>
          <cell r="C358" t="str">
            <v>SIROPE KARO DARK (UND: 3.78 K)</v>
          </cell>
          <cell r="D358" t="str">
            <v>10100048</v>
          </cell>
          <cell r="E358" t="str">
            <v>MATERIAS PRIMAS PLANTA</v>
          </cell>
          <cell r="F358" t="str">
            <v>1 UND</v>
          </cell>
          <cell r="G358">
            <v>500</v>
          </cell>
          <cell r="H358" t="str">
            <v>15/06/2020</v>
          </cell>
          <cell r="I358">
            <v>9612</v>
          </cell>
          <cell r="J358">
            <v>572472</v>
          </cell>
          <cell r="K358">
            <v>3780</v>
          </cell>
          <cell r="L358">
            <v>2.5428571428571427</v>
          </cell>
          <cell r="M358" t="str">
            <v>Mililitros</v>
          </cell>
        </row>
        <row r="359">
          <cell r="A359" t="str">
            <v>10100049</v>
          </cell>
          <cell r="B359">
            <v>12773</v>
          </cell>
          <cell r="C359" t="str">
            <v>ACEITE LIBRE TRANS INOLAS (UND:15.88 L)</v>
          </cell>
          <cell r="D359" t="str">
            <v>10100049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08/06/2020</v>
          </cell>
          <cell r="I359">
            <v>12748</v>
          </cell>
          <cell r="J359">
            <v>977498</v>
          </cell>
          <cell r="K359">
            <v>15880</v>
          </cell>
          <cell r="L359">
            <v>0.80277078085642317</v>
          </cell>
          <cell r="M359" t="str">
            <v>Mililitros</v>
          </cell>
        </row>
        <row r="360">
          <cell r="A360" t="str">
            <v>10100050</v>
          </cell>
          <cell r="B360">
            <v>5524</v>
          </cell>
          <cell r="C360" t="str">
            <v>ACEITE CAPULLO RBD (UND:17  L)</v>
          </cell>
          <cell r="D360" t="str">
            <v>10100050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15/06/2020</v>
          </cell>
          <cell r="I360">
            <v>14545</v>
          </cell>
          <cell r="J360">
            <v>39057825</v>
          </cell>
          <cell r="K360">
            <v>17000</v>
          </cell>
          <cell r="L360">
            <v>0.85558823529411765</v>
          </cell>
          <cell r="M360" t="str">
            <v>Mililitros</v>
          </cell>
        </row>
        <row r="361">
          <cell r="A361" t="str">
            <v>10100051</v>
          </cell>
          <cell r="B361">
            <v>5313</v>
          </cell>
          <cell r="C361" t="str">
            <v>SALSA CHINA GALON</v>
          </cell>
          <cell r="D361" t="str">
            <v>10100051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19/03/2020</v>
          </cell>
          <cell r="I361">
            <v>3305</v>
          </cell>
          <cell r="J361">
            <v>142115</v>
          </cell>
          <cell r="K361">
            <v>3785</v>
          </cell>
          <cell r="L361">
            <v>0.87318361955085866</v>
          </cell>
          <cell r="M361" t="str">
            <v>Mililitros</v>
          </cell>
        </row>
        <row r="362">
          <cell r="A362" t="str">
            <v>10100053</v>
          </cell>
          <cell r="B362">
            <v>5315</v>
          </cell>
          <cell r="C362" t="str">
            <v>SALSA TOMATE BANQUETE (PAQ:2 Kg)</v>
          </cell>
          <cell r="D362" t="str">
            <v>10100053</v>
          </cell>
          <cell r="E362" t="str">
            <v>MATERIAS PRIMAS PLANTA</v>
          </cell>
          <cell r="F362" t="str">
            <v>1 PAQUETE</v>
          </cell>
          <cell r="G362">
            <v>500</v>
          </cell>
          <cell r="H362" t="str">
            <v>01/06/2020</v>
          </cell>
          <cell r="I362">
            <v>1510</v>
          </cell>
          <cell r="J362">
            <v>1642880</v>
          </cell>
          <cell r="K362">
            <v>2000</v>
          </cell>
          <cell r="L362">
            <v>0.755</v>
          </cell>
          <cell r="M362" t="str">
            <v>Gramos</v>
          </cell>
        </row>
        <row r="363">
          <cell r="A363" t="str">
            <v>10100067</v>
          </cell>
          <cell r="B363">
            <v>5241</v>
          </cell>
          <cell r="C363" t="str">
            <v>MAÍZ DULCE GALON (1.800K= DRENADO)</v>
          </cell>
          <cell r="D363" t="str">
            <v>10100067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04/06/2020</v>
          </cell>
          <cell r="I363">
            <v>2729</v>
          </cell>
          <cell r="J363">
            <v>693166</v>
          </cell>
          <cell r="K363">
            <v>1800</v>
          </cell>
          <cell r="L363">
            <v>1.5161111111111112</v>
          </cell>
          <cell r="M363" t="str">
            <v>Gramos</v>
          </cell>
        </row>
        <row r="364">
          <cell r="A364" t="str">
            <v>10100068</v>
          </cell>
          <cell r="B364">
            <v>5285</v>
          </cell>
          <cell r="C364" t="str">
            <v>PAPITA RAYADA (PAQ:1.5 KILOS)</v>
          </cell>
          <cell r="D364" t="str">
            <v>10100068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05/06/2020</v>
          </cell>
          <cell r="I364">
            <v>15600</v>
          </cell>
          <cell r="J364">
            <v>10280400</v>
          </cell>
          <cell r="K364">
            <v>1500</v>
          </cell>
          <cell r="L364">
            <v>10.4</v>
          </cell>
          <cell r="M364" t="str">
            <v>Gramos</v>
          </cell>
        </row>
        <row r="365">
          <cell r="A365" t="str">
            <v>10100082</v>
          </cell>
          <cell r="B365">
            <v>11295</v>
          </cell>
          <cell r="C365" t="str">
            <v>MAIZ DULCE ENTERO (UND:425g)</v>
          </cell>
          <cell r="D365" t="str">
            <v>10100082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10/02/2020</v>
          </cell>
          <cell r="I365">
            <v>374</v>
          </cell>
          <cell r="J365">
            <v>6014</v>
          </cell>
          <cell r="K365">
            <v>425</v>
          </cell>
          <cell r="L365">
            <v>0.88</v>
          </cell>
          <cell r="M365" t="str">
            <v>Gramos</v>
          </cell>
        </row>
        <row r="366">
          <cell r="A366" t="str">
            <v>10100088</v>
          </cell>
          <cell r="B366">
            <v>5234</v>
          </cell>
          <cell r="C366" t="str">
            <v>VINAGRE BALSAMICO TINTO (UND:250 ML)**</v>
          </cell>
          <cell r="D366" t="str">
            <v>10100088</v>
          </cell>
          <cell r="E366" t="str">
            <v>MATERIAS PRIMAS PLANTA</v>
          </cell>
          <cell r="F366" t="str">
            <v>1 UND</v>
          </cell>
          <cell r="G366">
            <v>500</v>
          </cell>
          <cell r="H366" t="str">
            <v>28/01/2020</v>
          </cell>
          <cell r="I366">
            <v>1932</v>
          </cell>
          <cell r="J366">
            <v>873264</v>
          </cell>
          <cell r="K366">
            <v>250</v>
          </cell>
          <cell r="L366">
            <v>7.7279999999999998</v>
          </cell>
          <cell r="M366" t="str">
            <v>Mililitros</v>
          </cell>
        </row>
        <row r="367">
          <cell r="A367" t="str">
            <v>10100089</v>
          </cell>
          <cell r="B367">
            <v>5239</v>
          </cell>
          <cell r="C367" t="str">
            <v>CHILE MORRON LATA (UND:390g) *</v>
          </cell>
          <cell r="D367" t="str">
            <v>10100089</v>
          </cell>
          <cell r="E367" t="str">
            <v>MATERIAS PRIMAS PLANTA</v>
          </cell>
          <cell r="F367" t="str">
            <v>1 UND</v>
          </cell>
          <cell r="G367">
            <v>500</v>
          </cell>
          <cell r="H367" t="str">
            <v>13/06/2020</v>
          </cell>
          <cell r="I367">
            <v>1200</v>
          </cell>
          <cell r="J367">
            <v>2302800</v>
          </cell>
          <cell r="K367">
            <v>390</v>
          </cell>
          <cell r="L367">
            <v>3.0769230769230771</v>
          </cell>
          <cell r="M367"/>
        </row>
        <row r="368">
          <cell r="A368" t="str">
            <v>10100098</v>
          </cell>
          <cell r="B368">
            <v>12654</v>
          </cell>
          <cell r="C368" t="str">
            <v>SAL REFINADA (PAQ:500g)</v>
          </cell>
          <cell r="D368" t="str">
            <v>10100098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08/06/2020</v>
          </cell>
          <cell r="I368">
            <v>173.833333333333</v>
          </cell>
          <cell r="J368">
            <v>95955.999999999796</v>
          </cell>
          <cell r="K368">
            <v>500</v>
          </cell>
          <cell r="L368">
            <v>0.34766666666666601</v>
          </cell>
          <cell r="M368" t="str">
            <v>Gramos</v>
          </cell>
        </row>
        <row r="369">
          <cell r="A369" t="str">
            <v>10100103</v>
          </cell>
          <cell r="B369">
            <v>5528</v>
          </cell>
          <cell r="C369" t="str">
            <v>ACEITE EXTRA VIRGEN FILIPPO (UND:250 ML)</v>
          </cell>
          <cell r="D369" t="str">
            <v>10100103</v>
          </cell>
          <cell r="E369" t="str">
            <v>MATERIAS PRIMAS PLANTA</v>
          </cell>
          <cell r="F369" t="str">
            <v>1 UND</v>
          </cell>
          <cell r="G369">
            <v>500</v>
          </cell>
          <cell r="H369" t="str">
            <v>13/06/2020</v>
          </cell>
          <cell r="I369">
            <v>1583.6647499999999</v>
          </cell>
          <cell r="J369">
            <v>188155.69403399999</v>
          </cell>
          <cell r="K369">
            <v>250</v>
          </cell>
          <cell r="L369">
            <v>6.3346589999999994</v>
          </cell>
          <cell r="M369" t="str">
            <v>und</v>
          </cell>
        </row>
        <row r="370">
          <cell r="A370" t="str">
            <v>10100104</v>
          </cell>
          <cell r="B370">
            <v>7104</v>
          </cell>
          <cell r="C370" t="str">
            <v>TORTILLA MISION CONG 10.5 (PA:12 UND)</v>
          </cell>
          <cell r="D370" t="str">
            <v>10100104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30/03/2020</v>
          </cell>
          <cell r="I370">
            <v>98.75</v>
          </cell>
          <cell r="J370">
            <v>7110</v>
          </cell>
          <cell r="K370">
            <v>48</v>
          </cell>
          <cell r="L370" t="e">
            <v>#DIV/0!</v>
          </cell>
          <cell r="M370" t="str">
            <v>und</v>
          </cell>
        </row>
        <row r="371">
          <cell r="A371" t="str">
            <v>10100107</v>
          </cell>
          <cell r="B371">
            <v>11492</v>
          </cell>
          <cell r="C371" t="str">
            <v>TORTILLA (PAQ:50 UND)</v>
          </cell>
          <cell r="D371" t="str">
            <v>10100107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16/06/2020</v>
          </cell>
          <cell r="I371">
            <v>1050</v>
          </cell>
          <cell r="J371">
            <v>2802900</v>
          </cell>
          <cell r="K371">
            <v>50</v>
          </cell>
          <cell r="L371">
            <v>21</v>
          </cell>
          <cell r="M371" t="str">
            <v>Gramos</v>
          </cell>
        </row>
        <row r="372">
          <cell r="A372" t="str">
            <v>10100108</v>
          </cell>
          <cell r="B372">
            <v>11495</v>
          </cell>
          <cell r="C372" t="str">
            <v>EQUAL SUCRALOSA (CAJA=2000/UND)</v>
          </cell>
          <cell r="D372" t="str">
            <v>10100108</v>
          </cell>
          <cell r="E372" t="str">
            <v>MATERIAS PRIMAS PLANTA</v>
          </cell>
          <cell r="F372" t="str">
            <v>1 CAJA</v>
          </cell>
          <cell r="G372">
            <v>500</v>
          </cell>
          <cell r="H372" t="str">
            <v>24/03/2020</v>
          </cell>
          <cell r="I372">
            <v>11945.85</v>
          </cell>
          <cell r="J372">
            <v>1983011.1</v>
          </cell>
          <cell r="K372">
            <v>2000</v>
          </cell>
          <cell r="L372">
            <v>5.972925</v>
          </cell>
          <cell r="M372" t="str">
            <v>Gramos</v>
          </cell>
        </row>
        <row r="373">
          <cell r="A373" t="str">
            <v>10100109</v>
          </cell>
          <cell r="B373">
            <v>5549</v>
          </cell>
          <cell r="C373" t="str">
            <v>PAN MOLIDO PAQ (250g)</v>
          </cell>
          <cell r="D373" t="str">
            <v>10100109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18/05/2020</v>
          </cell>
          <cell r="I373">
            <v>302.5</v>
          </cell>
          <cell r="J373">
            <v>1210</v>
          </cell>
          <cell r="K373">
            <v>250</v>
          </cell>
          <cell r="L373">
            <v>1.21</v>
          </cell>
          <cell r="M373" t="str">
            <v>Gramos</v>
          </cell>
        </row>
        <row r="374">
          <cell r="A374" t="str">
            <v>10100116</v>
          </cell>
          <cell r="B374">
            <v>12620</v>
          </cell>
          <cell r="C374" t="str">
            <v>ACEITUNA VERDE C/PIMIENTO (UND:180g)</v>
          </cell>
          <cell r="D374" t="str">
            <v>10100116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19/05/2020</v>
          </cell>
          <cell r="I374">
            <v>1</v>
          </cell>
          <cell r="J374">
            <v>234529.16666666701</v>
          </cell>
          <cell r="K374">
            <v>180</v>
          </cell>
          <cell r="L374">
            <v>5.5555555555555558E-3</v>
          </cell>
          <cell r="M374" t="str">
            <v>Gramos</v>
          </cell>
        </row>
        <row r="375">
          <cell r="A375" t="str">
            <v>10100121</v>
          </cell>
          <cell r="B375">
            <v>9623</v>
          </cell>
          <cell r="C375" t="str">
            <v>DULCE GRANULADO (UND=900GR)</v>
          </cell>
          <cell r="D375" t="str">
            <v>10100121</v>
          </cell>
          <cell r="E375" t="str">
            <v>MATERIAS PRIMAS PLANTA</v>
          </cell>
          <cell r="F375" t="str">
            <v>1 UNIDAD</v>
          </cell>
          <cell r="G375">
            <v>500</v>
          </cell>
          <cell r="H375" t="str">
            <v>10/12/2019</v>
          </cell>
          <cell r="I375">
            <v>1190</v>
          </cell>
          <cell r="J375">
            <v>1190</v>
          </cell>
          <cell r="K375">
            <v>900</v>
          </cell>
          <cell r="L375">
            <v>1.3222222222222222</v>
          </cell>
          <cell r="M375" t="str">
            <v>Gramos</v>
          </cell>
        </row>
        <row r="376">
          <cell r="A376" t="str">
            <v>10100122</v>
          </cell>
          <cell r="B376">
            <v>11609</v>
          </cell>
          <cell r="C376" t="str">
            <v>CANELA EN POLVO BADIA (UND: 1.82 K)</v>
          </cell>
          <cell r="D376" t="str">
            <v>10100122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28/05/2020</v>
          </cell>
          <cell r="I376">
            <v>10232</v>
          </cell>
          <cell r="J376">
            <v>111636</v>
          </cell>
          <cell r="K376">
            <v>1820</v>
          </cell>
          <cell r="L376">
            <v>5.6219780219780215</v>
          </cell>
          <cell r="M376" t="str">
            <v>Gramos</v>
          </cell>
        </row>
        <row r="377">
          <cell r="A377" t="str">
            <v>10100124</v>
          </cell>
          <cell r="B377">
            <v>11610</v>
          </cell>
          <cell r="C377" t="str">
            <v>BIDON DE AGUA UND</v>
          </cell>
          <cell r="D377" t="str">
            <v>10100124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15/06/2020</v>
          </cell>
          <cell r="I377">
            <v>2654.86</v>
          </cell>
          <cell r="J377">
            <v>748560.14</v>
          </cell>
          <cell r="K377">
            <v>5160</v>
          </cell>
          <cell r="L377" t="e">
            <v>#DIV/0!</v>
          </cell>
          <cell r="M377" t="str">
            <v>Gramos</v>
          </cell>
        </row>
        <row r="378">
          <cell r="A378" t="str">
            <v>10100125</v>
          </cell>
          <cell r="B378">
            <v>5320</v>
          </cell>
          <cell r="C378" t="str">
            <v>PASTA TOMATE OLD CALI (UND:3.14 K)</v>
          </cell>
          <cell r="D378" t="str">
            <v>10100125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02/06/2020</v>
          </cell>
          <cell r="I378">
            <v>3172</v>
          </cell>
          <cell r="J378">
            <v>1220915</v>
          </cell>
          <cell r="K378">
            <v>3140</v>
          </cell>
          <cell r="L378">
            <v>1.0101910828025478</v>
          </cell>
          <cell r="M378" t="str">
            <v>Gramos</v>
          </cell>
        </row>
        <row r="379">
          <cell r="A379" t="str">
            <v>10100131</v>
          </cell>
          <cell r="B379">
            <v>12477</v>
          </cell>
          <cell r="C379" t="str">
            <v>PAN TOAST ARTESANAL BRUCHETAS (PAQ)</v>
          </cell>
          <cell r="D379" t="str">
            <v>10100131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15/06/2020</v>
          </cell>
          <cell r="I379">
            <v>1</v>
          </cell>
          <cell r="J379">
            <v>3289572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10100132</v>
          </cell>
          <cell r="B380">
            <v>12585</v>
          </cell>
          <cell r="C380" t="str">
            <v>CHIPS RAICES EXOTICAS (CAJA:40 UND)</v>
          </cell>
          <cell r="D380" t="str">
            <v>10100132</v>
          </cell>
          <cell r="E380" t="str">
            <v>MATERIAS PRIMAS PLANTA</v>
          </cell>
          <cell r="F380" t="str">
            <v>1 CAJA</v>
          </cell>
          <cell r="G380">
            <v>500</v>
          </cell>
          <cell r="H380" t="str">
            <v>25/03/2020</v>
          </cell>
          <cell r="I380">
            <v>10000</v>
          </cell>
          <cell r="J380">
            <v>1437433.64</v>
          </cell>
          <cell r="K380">
            <v>40</v>
          </cell>
          <cell r="L380">
            <v>250</v>
          </cell>
          <cell r="M380" t="str">
            <v>Gramos</v>
          </cell>
        </row>
        <row r="381">
          <cell r="A381" t="str">
            <v>10100135</v>
          </cell>
          <cell r="B381">
            <v>11762</v>
          </cell>
          <cell r="C381" t="str">
            <v>FIDEOS TORNILLITO (PAQ:1 K)</v>
          </cell>
          <cell r="D381" t="str">
            <v>10100135</v>
          </cell>
          <cell r="E381" t="str">
            <v>MATERIAS PRIMAS PLANTA</v>
          </cell>
          <cell r="F381" t="str">
            <v>1 PAQUETE</v>
          </cell>
          <cell r="G381">
            <v>500</v>
          </cell>
          <cell r="H381" t="str">
            <v>01/06/2020</v>
          </cell>
          <cell r="I381">
            <v>1655</v>
          </cell>
          <cell r="J381">
            <v>26480</v>
          </cell>
          <cell r="K381">
            <v>1000</v>
          </cell>
          <cell r="L381">
            <v>1.655</v>
          </cell>
          <cell r="M381" t="str">
            <v>Gramos</v>
          </cell>
        </row>
        <row r="382">
          <cell r="A382" t="str">
            <v>10100145</v>
          </cell>
          <cell r="B382">
            <v>12434</v>
          </cell>
          <cell r="C382" t="str">
            <v>JALEA DE GUAYABA (PAQ:200g)</v>
          </cell>
          <cell r="D382" t="str">
            <v>10100145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16/06/2020</v>
          </cell>
          <cell r="I382">
            <v>550</v>
          </cell>
          <cell r="J382">
            <v>240350</v>
          </cell>
          <cell r="K382">
            <v>200</v>
          </cell>
          <cell r="L382">
            <v>2.75</v>
          </cell>
          <cell r="M382" t="str">
            <v>Gramos</v>
          </cell>
        </row>
        <row r="383">
          <cell r="A383" t="str">
            <v>10100153</v>
          </cell>
          <cell r="B383">
            <v>12517</v>
          </cell>
          <cell r="C383" t="str">
            <v>DEDOS DE SEÑORA DIVELLA (PAQ)</v>
          </cell>
          <cell r="D383" t="str">
            <v>10100153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18/01/2020</v>
          </cell>
          <cell r="I383">
            <v>2499</v>
          </cell>
          <cell r="J383">
            <v>1624350</v>
          </cell>
          <cell r="K383">
            <v>48</v>
          </cell>
          <cell r="L383" t="e">
            <v>#DIV/0!</v>
          </cell>
          <cell r="M383" t="str">
            <v>und</v>
          </cell>
        </row>
        <row r="384">
          <cell r="A384" t="str">
            <v>10100155</v>
          </cell>
          <cell r="B384">
            <v>12939</v>
          </cell>
          <cell r="C384" t="str">
            <v>WAFLE LUTOSA (PAQ: 70g)</v>
          </cell>
          <cell r="D384" t="str">
            <v>10100155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15/06/2020</v>
          </cell>
          <cell r="I384">
            <v>347.82</v>
          </cell>
          <cell r="J384">
            <v>1308846.6599999999</v>
          </cell>
          <cell r="K384">
            <v>70</v>
          </cell>
          <cell r="L384">
            <v>4.9688571428571429</v>
          </cell>
          <cell r="M384" t="str">
            <v>Gramos</v>
          </cell>
        </row>
        <row r="385">
          <cell r="A385" t="str">
            <v>10100157</v>
          </cell>
          <cell r="B385">
            <v>13063</v>
          </cell>
          <cell r="C385" t="str">
            <v>SALSA HOISIN (UND:2.27 K)</v>
          </cell>
          <cell r="D385" t="str">
            <v>10100157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24/03/2020</v>
          </cell>
          <cell r="I385">
            <v>4950</v>
          </cell>
          <cell r="J385">
            <v>89100</v>
          </cell>
          <cell r="K385">
            <v>2270</v>
          </cell>
          <cell r="L385">
            <v>2.1806167400881056</v>
          </cell>
          <cell r="M385" t="str">
            <v>Gramos</v>
          </cell>
        </row>
        <row r="386">
          <cell r="A386" t="str">
            <v>10100163</v>
          </cell>
          <cell r="B386">
            <v>14393</v>
          </cell>
          <cell r="C386" t="str">
            <v>ARROZ PRECOCIDO MI SABOR (SACO:50K)</v>
          </cell>
          <cell r="D386" t="str">
            <v>10100163</v>
          </cell>
          <cell r="E386" t="str">
            <v>MATERIAS PRIMAS PLANTA</v>
          </cell>
          <cell r="F386" t="str">
            <v>1 SACO</v>
          </cell>
          <cell r="G386">
            <v>500</v>
          </cell>
          <cell r="H386" t="str">
            <v>05/06/2020</v>
          </cell>
          <cell r="I386">
            <v>10515.32</v>
          </cell>
          <cell r="J386">
            <v>199789.16</v>
          </cell>
          <cell r="K386">
            <v>50000</v>
          </cell>
          <cell r="L386">
            <v>0.2103064</v>
          </cell>
        </row>
        <row r="387">
          <cell r="A387" t="str">
            <v>10100164</v>
          </cell>
          <cell r="B387">
            <v>14394</v>
          </cell>
          <cell r="C387" t="str">
            <v>MELOCOTON CUBOS MONACO (UND:3 K)</v>
          </cell>
          <cell r="D387" t="str">
            <v>10100164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28/05/2020</v>
          </cell>
          <cell r="I387">
            <v>2689</v>
          </cell>
          <cell r="J387">
            <v>6855429</v>
          </cell>
          <cell r="K387">
            <v>1800</v>
          </cell>
          <cell r="L387">
            <v>1.4938888888888888</v>
          </cell>
          <cell r="M387" t="str">
            <v>Gramos</v>
          </cell>
        </row>
        <row r="388">
          <cell r="A388" t="str">
            <v>10100165</v>
          </cell>
          <cell r="B388">
            <v>14395</v>
          </cell>
          <cell r="C388" t="str">
            <v>FLAT BREAD REDONDO (PAQ:12 UND)</v>
          </cell>
          <cell r="D388" t="str">
            <v>10100165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08/02/2020</v>
          </cell>
          <cell r="I388">
            <v>1455</v>
          </cell>
          <cell r="J388">
            <v>3253080</v>
          </cell>
          <cell r="K388">
            <v>5000</v>
          </cell>
          <cell r="L388" t="e">
            <v>#DIV/0!</v>
          </cell>
        </row>
        <row r="389">
          <cell r="A389" t="str">
            <v>10100171</v>
          </cell>
          <cell r="B389">
            <v>14743</v>
          </cell>
          <cell r="C389" t="str">
            <v>LECHE CONDENSADA COCINADA ( PAQ:4 K)</v>
          </cell>
          <cell r="D389" t="str">
            <v>10100171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15/02/2020</v>
          </cell>
          <cell r="I389">
            <v>16180</v>
          </cell>
          <cell r="J389">
            <v>2977120</v>
          </cell>
          <cell r="K389">
            <v>4000</v>
          </cell>
          <cell r="L389">
            <v>3.43825</v>
          </cell>
          <cell r="M389" t="str">
            <v>Gramos</v>
          </cell>
        </row>
        <row r="390">
          <cell r="A390" t="str">
            <v>10100172</v>
          </cell>
          <cell r="B390">
            <v>14845</v>
          </cell>
          <cell r="C390" t="str">
            <v>CHOP SUEY VIGUI 860 G (BULTO:6 UND)</v>
          </cell>
          <cell r="D390" t="str">
            <v>10100172</v>
          </cell>
          <cell r="E390" t="str">
            <v>MATERIAS PRIMAS PLANTA</v>
          </cell>
          <cell r="F390" t="str">
            <v>1 BULTO</v>
          </cell>
          <cell r="G390">
            <v>500</v>
          </cell>
          <cell r="H390" t="str">
            <v>17/03/2020</v>
          </cell>
          <cell r="I390">
            <v>3583.5</v>
          </cell>
          <cell r="J390">
            <v>1655577</v>
          </cell>
          <cell r="K390">
            <v>5160</v>
          </cell>
          <cell r="L390">
            <v>0.69447674418604655</v>
          </cell>
          <cell r="M390" t="str">
            <v>Gramos</v>
          </cell>
        </row>
        <row r="391">
          <cell r="A391" t="str">
            <v>10100173</v>
          </cell>
          <cell r="B391">
            <v>14895</v>
          </cell>
          <cell r="C391" t="str">
            <v>MOSTAZA HELLMANNS (UND: 4 K)</v>
          </cell>
          <cell r="D391" t="str">
            <v>10100173</v>
          </cell>
          <cell r="E391" t="str">
            <v>MATERIAS PRIMAS PLANTA</v>
          </cell>
          <cell r="F391" t="str">
            <v>1 UND</v>
          </cell>
          <cell r="G391">
            <v>500</v>
          </cell>
          <cell r="H391" t="str">
            <v>12/06/2020</v>
          </cell>
          <cell r="I391">
            <v>3859</v>
          </cell>
          <cell r="J391">
            <v>118042</v>
          </cell>
          <cell r="K391">
            <v>4000</v>
          </cell>
          <cell r="L391">
            <v>0.96475</v>
          </cell>
        </row>
        <row r="392">
          <cell r="A392" t="str">
            <v>10100174</v>
          </cell>
          <cell r="B392">
            <v>14987</v>
          </cell>
          <cell r="C392" t="str">
            <v>FRIJOL NEGRO TIO PELON (BULTO:15/800 G)</v>
          </cell>
          <cell r="D392" t="str">
            <v>10100174</v>
          </cell>
          <cell r="E392" t="str">
            <v>MATERIAS PRIMAS PLANTA</v>
          </cell>
          <cell r="F392" t="str">
            <v>1 BULTO</v>
          </cell>
          <cell r="G392">
            <v>500</v>
          </cell>
          <cell r="H392" t="str">
            <v>15/06/2020</v>
          </cell>
          <cell r="I392">
            <v>13881</v>
          </cell>
          <cell r="J392">
            <v>7828884</v>
          </cell>
          <cell r="K392">
            <v>12000</v>
          </cell>
          <cell r="L392">
            <v>1.1567499999999999</v>
          </cell>
          <cell r="M392" t="str">
            <v>Gramos</v>
          </cell>
        </row>
        <row r="393">
          <cell r="A393" t="str">
            <v>10100175</v>
          </cell>
          <cell r="B393">
            <v>15008</v>
          </cell>
          <cell r="C393" t="str">
            <v>SALSITA TOMATE CON CARNE (PAQ:8 UND)</v>
          </cell>
          <cell r="D393" t="str">
            <v>10100175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21/03/2020</v>
          </cell>
          <cell r="I393">
            <v>3942</v>
          </cell>
          <cell r="J393">
            <v>440629</v>
          </cell>
          <cell r="K393">
            <v>1000</v>
          </cell>
          <cell r="L393" t="e">
            <v>#DIV/0!</v>
          </cell>
        </row>
        <row r="394">
          <cell r="A394" t="str">
            <v>10100178</v>
          </cell>
          <cell r="B394">
            <v>15112</v>
          </cell>
          <cell r="C394" t="str">
            <v>CHILE ROJO TRITURADO (UND:368G)</v>
          </cell>
          <cell r="D394" t="str">
            <v>10100178</v>
          </cell>
          <cell r="E394" t="str">
            <v>MATERIAS PRIMAS PLANTA</v>
          </cell>
          <cell r="F394" t="str">
            <v>1 UND</v>
          </cell>
          <cell r="G394">
            <v>500</v>
          </cell>
          <cell r="H394" t="str">
            <v>14/12/2019</v>
          </cell>
          <cell r="I394">
            <v>2400</v>
          </cell>
          <cell r="J394">
            <v>2400</v>
          </cell>
          <cell r="K394">
            <v>368</v>
          </cell>
          <cell r="L394">
            <v>6.5217391304347823</v>
          </cell>
          <cell r="M394" t="str">
            <v>Gramos</v>
          </cell>
        </row>
        <row r="395">
          <cell r="A395" t="str">
            <v>10100180</v>
          </cell>
          <cell r="B395">
            <v>15119</v>
          </cell>
          <cell r="C395" t="str">
            <v>BASE ADEREZO ITALIANO (SACO: 25 KG)</v>
          </cell>
          <cell r="D395" t="str">
            <v>10100180</v>
          </cell>
          <cell r="E395" t="str">
            <v>MATERIAS PRIMAS PLANTA</v>
          </cell>
          <cell r="F395" t="str">
            <v>1 SACO</v>
          </cell>
          <cell r="G395">
            <v>500</v>
          </cell>
          <cell r="H395" t="str">
            <v>17/03/2020</v>
          </cell>
          <cell r="I395">
            <v>59242</v>
          </cell>
          <cell r="J395">
            <v>473936</v>
          </cell>
          <cell r="K395">
            <v>25000</v>
          </cell>
          <cell r="L395">
            <v>2.3696799999999998</v>
          </cell>
          <cell r="M395" t="str">
            <v>Gramos</v>
          </cell>
        </row>
        <row r="396">
          <cell r="A396" t="str">
            <v>10100181</v>
          </cell>
          <cell r="B396">
            <v>15120</v>
          </cell>
          <cell r="C396" t="str">
            <v>VINAGRE SINTETICO CLARO (GALON)</v>
          </cell>
          <cell r="D396" t="str">
            <v>10100181</v>
          </cell>
          <cell r="E396" t="str">
            <v>MATERIAS PRIMAS PLANTA</v>
          </cell>
          <cell r="F396" t="str">
            <v xml:space="preserve">1 GALON </v>
          </cell>
          <cell r="G396">
            <v>500</v>
          </cell>
          <cell r="H396" t="str">
            <v>16/03/2020</v>
          </cell>
          <cell r="I396">
            <v>1215</v>
          </cell>
          <cell r="J396">
            <v>277020</v>
          </cell>
          <cell r="K396">
            <v>3785</v>
          </cell>
          <cell r="L396">
            <v>0.32100396301188905</v>
          </cell>
          <cell r="M396" t="str">
            <v>Gramos</v>
          </cell>
        </row>
        <row r="397">
          <cell r="A397" t="str">
            <v>10100182</v>
          </cell>
          <cell r="B397">
            <v>15121</v>
          </cell>
          <cell r="C397" t="str">
            <v>MEZCLA ADEREZO AJO (PAQ:25 K)</v>
          </cell>
          <cell r="D397" t="str">
            <v>10100182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05/02/2020</v>
          </cell>
          <cell r="I397">
            <v>108166.53</v>
          </cell>
          <cell r="J397">
            <v>108166.53</v>
          </cell>
          <cell r="K397">
            <v>25000</v>
          </cell>
          <cell r="L397">
            <v>4.3266612000000002</v>
          </cell>
          <cell r="M397" t="str">
            <v>Gramos</v>
          </cell>
        </row>
        <row r="398">
          <cell r="A398" t="str">
            <v>10100183</v>
          </cell>
          <cell r="B398">
            <v>15122</v>
          </cell>
          <cell r="C398" t="str">
            <v>ADEREZO MAYONESA (UND 10 K)</v>
          </cell>
          <cell r="D398" t="str">
            <v>10100183</v>
          </cell>
          <cell r="E398" t="str">
            <v>MATERIAS PRIMAS PLANTA</v>
          </cell>
          <cell r="F398" t="str">
            <v>1 UND</v>
          </cell>
          <cell r="G398">
            <v>500</v>
          </cell>
          <cell r="H398" t="str">
            <v>19/03/2020</v>
          </cell>
          <cell r="I398">
            <v>14751</v>
          </cell>
          <cell r="J398">
            <v>1062072</v>
          </cell>
          <cell r="K398">
            <v>10000</v>
          </cell>
          <cell r="L398">
            <v>1.4751000000000001</v>
          </cell>
          <cell r="M398" t="str">
            <v>Gramos</v>
          </cell>
        </row>
        <row r="399">
          <cell r="A399" t="str">
            <v>10100184</v>
          </cell>
          <cell r="B399">
            <v>15123</v>
          </cell>
          <cell r="C399" t="str">
            <v>PLATANO VERDE PELADO (PAQ: 2 K)</v>
          </cell>
          <cell r="D399" t="str">
            <v>10100184</v>
          </cell>
          <cell r="E399" t="str">
            <v>MATERIAS PRIMAS PLANTA</v>
          </cell>
          <cell r="F399" t="str">
            <v>1 PAQUETE</v>
          </cell>
          <cell r="G399">
            <v>500</v>
          </cell>
          <cell r="H399" t="str">
            <v>21/05/2020</v>
          </cell>
          <cell r="I399">
            <v>2200</v>
          </cell>
          <cell r="J399">
            <v>11000000</v>
          </cell>
          <cell r="K399">
            <v>2000</v>
          </cell>
          <cell r="L399">
            <v>1.1000000000000001</v>
          </cell>
          <cell r="M399" t="str">
            <v>Gramos</v>
          </cell>
        </row>
        <row r="400">
          <cell r="A400" t="str">
            <v>10100185</v>
          </cell>
          <cell r="B400">
            <v>15124</v>
          </cell>
          <cell r="C400" t="str">
            <v>SALSA TOMATE ROSTIPOLLOS (UND: 4 K)</v>
          </cell>
          <cell r="D400" t="str">
            <v>10100185</v>
          </cell>
          <cell r="E400" t="str">
            <v>MATERIAS PRIMAS PLANTA</v>
          </cell>
          <cell r="F400" t="str">
            <v>1 UND</v>
          </cell>
          <cell r="G400">
            <v>500</v>
          </cell>
          <cell r="H400" t="str">
            <v>23/04/2020</v>
          </cell>
          <cell r="I400">
            <v>2353</v>
          </cell>
          <cell r="J400">
            <v>491777</v>
          </cell>
          <cell r="K400">
            <v>4000</v>
          </cell>
          <cell r="L400">
            <v>0.58825000000000005</v>
          </cell>
          <cell r="M400" t="str">
            <v>Gramos</v>
          </cell>
        </row>
        <row r="401">
          <cell r="A401" t="str">
            <v>10100186</v>
          </cell>
          <cell r="B401">
            <v>15125</v>
          </cell>
          <cell r="C401" t="str">
            <v>PRESERVANTE T (PAQ: 5 KILO)</v>
          </cell>
          <cell r="D401" t="str">
            <v>10100186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14/01/2020</v>
          </cell>
          <cell r="I401">
            <v>4558.0529999999999</v>
          </cell>
          <cell r="J401">
            <v>45580.53</v>
          </cell>
          <cell r="K401">
            <v>5000</v>
          </cell>
          <cell r="L401">
            <v>0.91161059999999994</v>
          </cell>
          <cell r="M401" t="str">
            <v>Gramos</v>
          </cell>
        </row>
        <row r="402">
          <cell r="A402" t="str">
            <v>10100187</v>
          </cell>
          <cell r="B402">
            <v>15126</v>
          </cell>
          <cell r="C402" t="str">
            <v>CMC AMTEX (PAQ: KILO)</v>
          </cell>
          <cell r="D402" t="str">
            <v>10100187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14/01/2020</v>
          </cell>
          <cell r="I402">
            <v>3646.4423999999999</v>
          </cell>
          <cell r="J402">
            <v>7292.8847999999998</v>
          </cell>
          <cell r="K402">
            <v>1000</v>
          </cell>
          <cell r="L402">
            <v>3.6464423999999998</v>
          </cell>
          <cell r="M402" t="str">
            <v>Gramos</v>
          </cell>
        </row>
        <row r="403">
          <cell r="A403" t="str">
            <v>10100188</v>
          </cell>
          <cell r="B403">
            <v>15129</v>
          </cell>
          <cell r="C403" t="str">
            <v>YUCA EN TROZO (PAQ:3 K)</v>
          </cell>
          <cell r="D403" t="str">
            <v>10100188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13/06/2020</v>
          </cell>
          <cell r="I403">
            <v>3450</v>
          </cell>
          <cell r="J403">
            <v>11360850</v>
          </cell>
          <cell r="K403">
            <v>3000</v>
          </cell>
          <cell r="L403">
            <v>1.1499999999999999</v>
          </cell>
          <cell r="M403" t="str">
            <v>Gramos</v>
          </cell>
        </row>
        <row r="404">
          <cell r="A404" t="str">
            <v>10100189</v>
          </cell>
          <cell r="B404">
            <v>15130</v>
          </cell>
          <cell r="C404" t="str">
            <v>CLORURO DE CALCIO (PAQ: KILO)</v>
          </cell>
          <cell r="D404" t="str">
            <v>10100189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10/06/2020</v>
          </cell>
          <cell r="I404">
            <v>2375.7399999999998</v>
          </cell>
          <cell r="J404">
            <v>65386.74</v>
          </cell>
          <cell r="K404">
            <v>1000</v>
          </cell>
          <cell r="L404">
            <v>2.37574</v>
          </cell>
          <cell r="M404" t="str">
            <v>Mililitros</v>
          </cell>
        </row>
        <row r="405">
          <cell r="A405" t="str">
            <v>10100190</v>
          </cell>
          <cell r="B405">
            <v>15131</v>
          </cell>
          <cell r="C405" t="str">
            <v>LIMON MANDARINA (GALON)</v>
          </cell>
          <cell r="D405" t="str">
            <v>10100190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06/06/2020</v>
          </cell>
          <cell r="I405">
            <v>4000</v>
          </cell>
          <cell r="J405">
            <v>2368000</v>
          </cell>
          <cell r="K405">
            <v>3785</v>
          </cell>
          <cell r="L405">
            <v>1.0568031704095113</v>
          </cell>
          <cell r="M405" t="str">
            <v>Mililitros</v>
          </cell>
        </row>
        <row r="406">
          <cell r="A406" t="str">
            <v>10100191</v>
          </cell>
          <cell r="B406">
            <v>15132</v>
          </cell>
          <cell r="C406" t="str">
            <v>SORBATO DE POTASIO (PAQ: KILO)</v>
          </cell>
          <cell r="D406" t="str">
            <v>10100191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>
            <v>3766.2240000000002</v>
          </cell>
          <cell r="J406">
            <v>37748.471599999997</v>
          </cell>
          <cell r="K406">
            <v>1000</v>
          </cell>
          <cell r="L406">
            <v>3.7662240000000002</v>
          </cell>
          <cell r="M406" t="str">
            <v>Mililitros</v>
          </cell>
        </row>
        <row r="407">
          <cell r="A407" t="str">
            <v>10100193</v>
          </cell>
          <cell r="B407">
            <v>15138</v>
          </cell>
          <cell r="C407" t="str">
            <v>CONSOME POLLO MAGGI (PAQ:1K)</v>
          </cell>
          <cell r="D407" t="str">
            <v>10100193</v>
          </cell>
          <cell r="E407" t="str">
            <v>MATERIAS PRIMAS PLANTA</v>
          </cell>
          <cell r="F407" t="str">
            <v>1 PAQUETE</v>
          </cell>
          <cell r="G407">
            <v>500</v>
          </cell>
          <cell r="H407" t="str">
            <v>21/05/2020</v>
          </cell>
          <cell r="I407">
            <v>3398</v>
          </cell>
          <cell r="J407">
            <v>499506</v>
          </cell>
          <cell r="K407">
            <v>1000</v>
          </cell>
          <cell r="L407">
            <v>3.3980000000000001</v>
          </cell>
          <cell r="M407" t="str">
            <v>Gramos</v>
          </cell>
        </row>
        <row r="408">
          <cell r="A408" t="str">
            <v>10100194</v>
          </cell>
          <cell r="B408">
            <v>15139</v>
          </cell>
          <cell r="C408" t="str">
            <v>NATILLA CREMOSITA 18% CON SAL(PAQ:300 G)</v>
          </cell>
          <cell r="D408" t="str">
            <v>10100194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15/06/2020</v>
          </cell>
          <cell r="I408">
            <v>560</v>
          </cell>
          <cell r="J408">
            <v>86564.758000000002</v>
          </cell>
          <cell r="K408">
            <v>300</v>
          </cell>
          <cell r="L408">
            <v>1.8666666666666667</v>
          </cell>
          <cell r="M408" t="str">
            <v>Gramos</v>
          </cell>
        </row>
        <row r="409">
          <cell r="A409" t="str">
            <v>10100195</v>
          </cell>
          <cell r="B409">
            <v>15140</v>
          </cell>
          <cell r="C409" t="str">
            <v>QUESO MOLIDO (PAQ:1 K)</v>
          </cell>
          <cell r="D409" t="str">
            <v>10100195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26/05/2020</v>
          </cell>
          <cell r="I409">
            <v>3819</v>
          </cell>
          <cell r="J409">
            <v>91375.902000000002</v>
          </cell>
          <cell r="K409">
            <v>1000</v>
          </cell>
          <cell r="L409">
            <v>3.819</v>
          </cell>
          <cell r="M409" t="str">
            <v>Gramos</v>
          </cell>
        </row>
        <row r="410">
          <cell r="A410" t="str">
            <v>10100197</v>
          </cell>
          <cell r="B410">
            <v>15142</v>
          </cell>
          <cell r="C410" t="str">
            <v>ARROZ PRECOC 95%TIO PELON (BULT:10/1.8K)</v>
          </cell>
          <cell r="D410" t="str">
            <v>10100197</v>
          </cell>
          <cell r="E410" t="str">
            <v>MATERIAS PRIMAS PLANTA</v>
          </cell>
          <cell r="F410" t="str">
            <v>1 BULTO</v>
          </cell>
          <cell r="G410">
            <v>500</v>
          </cell>
          <cell r="H410" t="str">
            <v>16/01/2020</v>
          </cell>
          <cell r="I410">
            <v>17137</v>
          </cell>
          <cell r="J410">
            <v>342740</v>
          </cell>
          <cell r="K410">
            <v>18000</v>
          </cell>
          <cell r="L410">
            <v>0.95205555555555554</v>
          </cell>
          <cell r="M410" t="str">
            <v>Gramos</v>
          </cell>
        </row>
        <row r="411">
          <cell r="A411" t="str">
            <v>10100198</v>
          </cell>
          <cell r="B411">
            <v>15143</v>
          </cell>
          <cell r="C411" t="str">
            <v>CURCUMA POLVO (PAQ: 1 K)</v>
          </cell>
          <cell r="D411" t="str">
            <v>10100198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17/01/2020</v>
          </cell>
          <cell r="I411">
            <v>2013.48</v>
          </cell>
          <cell r="J411">
            <v>12080.88</v>
          </cell>
          <cell r="K411">
            <v>1000</v>
          </cell>
          <cell r="L411">
            <v>2.0134799999999999</v>
          </cell>
          <cell r="M411" t="str">
            <v>Gramos</v>
          </cell>
        </row>
        <row r="412">
          <cell r="A412" t="str">
            <v>10100199</v>
          </cell>
          <cell r="B412">
            <v>15144</v>
          </cell>
          <cell r="C412" t="str">
            <v>PECHUGA VENTANITA CONCASA (KILO)</v>
          </cell>
          <cell r="D412" t="str">
            <v>10100199</v>
          </cell>
          <cell r="E412" t="str">
            <v>MATERIAS PRIMAS PLANTA</v>
          </cell>
          <cell r="F412" t="str">
            <v xml:space="preserve">1 KILO </v>
          </cell>
          <cell r="G412">
            <v>500</v>
          </cell>
          <cell r="H412" t="str">
            <v>15/06/2020</v>
          </cell>
          <cell r="I412">
            <v>4520</v>
          </cell>
          <cell r="J412">
            <v>2753865.9993500002</v>
          </cell>
          <cell r="K412">
            <v>1000</v>
          </cell>
          <cell r="L412">
            <v>4.5199999999999996</v>
          </cell>
          <cell r="M412" t="str">
            <v>Gramos</v>
          </cell>
        </row>
        <row r="413">
          <cell r="A413" t="str">
            <v>10100200</v>
          </cell>
          <cell r="B413">
            <v>15145</v>
          </cell>
          <cell r="C413" t="str">
            <v>MUSLO VENTANITA CONCASA (KILO)</v>
          </cell>
          <cell r="D413" t="str">
            <v>10100200</v>
          </cell>
          <cell r="E413" t="str">
            <v>MATERIAS PRIMAS PLANTA</v>
          </cell>
          <cell r="F413" t="str">
            <v xml:space="preserve">1 KILO  </v>
          </cell>
          <cell r="G413">
            <v>500</v>
          </cell>
          <cell r="H413" t="str">
            <v>15/06/2020</v>
          </cell>
          <cell r="I413">
            <v>4520</v>
          </cell>
          <cell r="J413">
            <v>1642244</v>
          </cell>
          <cell r="K413">
            <v>1000</v>
          </cell>
          <cell r="L413">
            <v>4.5199999999999996</v>
          </cell>
          <cell r="M413" t="str">
            <v>Gramos</v>
          </cell>
        </row>
        <row r="414">
          <cell r="A414" t="str">
            <v>10100201</v>
          </cell>
          <cell r="B414">
            <v>15146</v>
          </cell>
          <cell r="C414" t="str">
            <v>COND FRIJOL MOLIDO GRIFF RP 4K(CJ:4 UND)</v>
          </cell>
          <cell r="D414" t="str">
            <v>10100201</v>
          </cell>
          <cell r="E414" t="str">
            <v>MATERIAS PRIMAS PLANTA</v>
          </cell>
          <cell r="F414" t="str">
            <v>1 CAJA</v>
          </cell>
          <cell r="G414">
            <v>500</v>
          </cell>
          <cell r="H414" t="str">
            <v>15/06/2020</v>
          </cell>
          <cell r="I414">
            <v>18266</v>
          </cell>
          <cell r="J414">
            <v>6502696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10100202</v>
          </cell>
          <cell r="B415">
            <v>15148</v>
          </cell>
          <cell r="C415" t="str">
            <v>HARINA PALATINA CORRIENTE (SACO:25 K)</v>
          </cell>
          <cell r="D415" t="str">
            <v>10100202</v>
          </cell>
          <cell r="E415" t="str">
            <v>MATERIAS PRIMAS PLANTA</v>
          </cell>
          <cell r="F415" t="str">
            <v>1 SACO</v>
          </cell>
          <cell r="G415">
            <v>500</v>
          </cell>
          <cell r="H415" t="str">
            <v>13/06/2020</v>
          </cell>
          <cell r="I415">
            <v>10138.75</v>
          </cell>
          <cell r="J415">
            <v>314301.25</v>
          </cell>
          <cell r="K415">
            <v>25000</v>
          </cell>
          <cell r="L415">
            <v>0.40555000000000002</v>
          </cell>
          <cell r="M415" t="str">
            <v>Gramos</v>
          </cell>
        </row>
        <row r="416">
          <cell r="A416" t="str">
            <v>10100203</v>
          </cell>
          <cell r="B416">
            <v>15149</v>
          </cell>
          <cell r="C416" t="str">
            <v>GALLETA MARIA EN POLVO (PAQ:KILO)</v>
          </cell>
          <cell r="D416" t="str">
            <v>10100203</v>
          </cell>
          <cell r="E416" t="str">
            <v>MATERIAS PRIMAS PLANTA</v>
          </cell>
          <cell r="F416" t="str">
            <v>1 PAQUETE</v>
          </cell>
          <cell r="G416">
            <v>500</v>
          </cell>
          <cell r="H416" t="str">
            <v>19/03/2020</v>
          </cell>
          <cell r="I416">
            <v>3709</v>
          </cell>
          <cell r="J416">
            <v>471043</v>
          </cell>
          <cell r="K416">
            <v>1000</v>
          </cell>
          <cell r="L416">
            <v>3.7090000000000001</v>
          </cell>
          <cell r="M416" t="str">
            <v>Gramos</v>
          </cell>
        </row>
        <row r="417">
          <cell r="A417" t="str">
            <v>10100204</v>
          </cell>
          <cell r="B417">
            <v>15151</v>
          </cell>
          <cell r="C417" t="str">
            <v>QUESO CREMA IN LINE (UND: 210 G)</v>
          </cell>
          <cell r="D417" t="str">
            <v>10100204</v>
          </cell>
          <cell r="E417" t="str">
            <v>MATERIAS PRIMAS PLANTA</v>
          </cell>
          <cell r="F417" t="str">
            <v>1 UND</v>
          </cell>
          <cell r="G417">
            <v>500</v>
          </cell>
          <cell r="H417" t="str">
            <v>18/04/2020</v>
          </cell>
          <cell r="I417">
            <v>1056</v>
          </cell>
          <cell r="J417">
            <v>1000032</v>
          </cell>
          <cell r="K417">
            <v>210</v>
          </cell>
          <cell r="L417">
            <v>5.0285714285714285</v>
          </cell>
          <cell r="M417" t="str">
            <v>Gramos</v>
          </cell>
        </row>
        <row r="418">
          <cell r="A418" t="str">
            <v>10100205</v>
          </cell>
          <cell r="B418">
            <v>15152</v>
          </cell>
          <cell r="C418" t="str">
            <v>CREMA DULCE (GALON) DPR</v>
          </cell>
          <cell r="D418" t="str">
            <v>10100205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11/06/2020</v>
          </cell>
          <cell r="I418">
            <v>9617</v>
          </cell>
          <cell r="J418">
            <v>10866702.539999999</v>
          </cell>
          <cell r="K418">
            <v>3785</v>
          </cell>
          <cell r="L418">
            <v>2.5408190224570673</v>
          </cell>
          <cell r="M418" t="str">
            <v>Mililitros</v>
          </cell>
        </row>
        <row r="419">
          <cell r="A419" t="str">
            <v>10100206</v>
          </cell>
          <cell r="B419">
            <v>15153</v>
          </cell>
          <cell r="C419" t="str">
            <v>SUSTITUTO SUCRALOSA (PAQ: 5 KILOS)</v>
          </cell>
          <cell r="D419" t="str">
            <v>10100206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14922.236000000001</v>
          </cell>
          <cell r="J419">
            <v>122648.158</v>
          </cell>
          <cell r="K419">
            <v>5000</v>
          </cell>
          <cell r="L419">
            <v>2.9844472</v>
          </cell>
          <cell r="M419" t="str">
            <v>Gramos</v>
          </cell>
        </row>
        <row r="420">
          <cell r="A420" t="str">
            <v>10100207</v>
          </cell>
          <cell r="B420">
            <v>15154</v>
          </cell>
          <cell r="C420" t="str">
            <v>LECHE DESCREMADA TB DOS PINOS(CAJA:12 L)</v>
          </cell>
          <cell r="D420" t="str">
            <v>10100207</v>
          </cell>
          <cell r="E420" t="str">
            <v>MATERIAS PRIMAS PLANTA</v>
          </cell>
          <cell r="F420" t="str">
            <v>1 CAJA</v>
          </cell>
          <cell r="G420">
            <v>500</v>
          </cell>
          <cell r="H420" t="str">
            <v>18/04/2020</v>
          </cell>
          <cell r="I420">
            <v>9320.5400000000009</v>
          </cell>
          <cell r="J420">
            <v>203491.24</v>
          </cell>
          <cell r="K420">
            <v>3780</v>
          </cell>
          <cell r="L420" t="e">
            <v>#DIV/0!</v>
          </cell>
          <cell r="M420" t="str">
            <v>Gramos</v>
          </cell>
        </row>
        <row r="421">
          <cell r="A421" t="str">
            <v>10100208</v>
          </cell>
          <cell r="B421">
            <v>15155</v>
          </cell>
          <cell r="C421" t="str">
            <v>MARACUYA (KILO)</v>
          </cell>
          <cell r="D421" t="str">
            <v>10100208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06/04/2020</v>
          </cell>
          <cell r="I421">
            <v>2465</v>
          </cell>
          <cell r="J421">
            <v>105995</v>
          </cell>
          <cell r="K421">
            <v>1000</v>
          </cell>
          <cell r="L421">
            <v>2.4649999999999999</v>
          </cell>
          <cell r="M421" t="str">
            <v>Gramos</v>
          </cell>
        </row>
        <row r="422">
          <cell r="A422" t="str">
            <v>10100211</v>
          </cell>
          <cell r="B422">
            <v>15177</v>
          </cell>
          <cell r="C422" t="str">
            <v>MANTECA CLOVER GRUESA 460G (CJ:40 UND)</v>
          </cell>
          <cell r="D422" t="str">
            <v>10100211</v>
          </cell>
          <cell r="E422" t="str">
            <v>MATERIAS PRIMAS PLANTA</v>
          </cell>
          <cell r="F422" t="str">
            <v>1 CAJA</v>
          </cell>
          <cell r="G422">
            <v>500</v>
          </cell>
          <cell r="H422" t="str">
            <v>28/05/2020</v>
          </cell>
          <cell r="I422">
            <v>16965</v>
          </cell>
          <cell r="J422">
            <v>243405</v>
          </cell>
          <cell r="K422">
            <v>40</v>
          </cell>
          <cell r="L422">
            <v>424.125</v>
          </cell>
          <cell r="M422" t="str">
            <v>Gramos</v>
          </cell>
        </row>
        <row r="423">
          <cell r="A423" t="str">
            <v>10100212</v>
          </cell>
          <cell r="B423">
            <v>15188</v>
          </cell>
          <cell r="C423" t="str">
            <v>CEBOLLA ROSTI (PAQ: 2.5K)</v>
          </cell>
          <cell r="D423" t="str">
            <v>10100212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16/06/2020</v>
          </cell>
          <cell r="I423">
            <v>4125</v>
          </cell>
          <cell r="J423">
            <v>1093125</v>
          </cell>
          <cell r="K423">
            <v>2500</v>
          </cell>
          <cell r="L423">
            <v>1.65</v>
          </cell>
          <cell r="M423" t="str">
            <v>Gramos</v>
          </cell>
        </row>
        <row r="424">
          <cell r="A424" t="str">
            <v>10100213</v>
          </cell>
          <cell r="B424">
            <v>15189</v>
          </cell>
          <cell r="C424" t="str">
            <v>VINAGRE DULCE GRIFF RP 4 K (CAJA:4 UND)</v>
          </cell>
          <cell r="D424" t="str">
            <v>10100213</v>
          </cell>
          <cell r="E424" t="str">
            <v>MATERIAS PRIMAS PLANTA</v>
          </cell>
          <cell r="F424" t="str">
            <v>1 CAJA</v>
          </cell>
          <cell r="G424">
            <v>500</v>
          </cell>
          <cell r="H424" t="str">
            <v>15/06/2020</v>
          </cell>
          <cell r="I424">
            <v>11616</v>
          </cell>
          <cell r="J424">
            <v>418176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10100214</v>
          </cell>
          <cell r="B425">
            <v>15234</v>
          </cell>
          <cell r="C425" t="str">
            <v>VINAGRE PICANTE GRIFF RP 4K(CAJA:4 UND )</v>
          </cell>
          <cell r="D425" t="str">
            <v>10100214</v>
          </cell>
          <cell r="E425" t="str">
            <v>MATERIAS PRIMAS PLANTA</v>
          </cell>
          <cell r="F425" t="str">
            <v>1 CAJA</v>
          </cell>
          <cell r="G425">
            <v>500</v>
          </cell>
          <cell r="H425" t="str">
            <v>15/06/2020</v>
          </cell>
          <cell r="I425">
            <v>14065</v>
          </cell>
          <cell r="J425">
            <v>154715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10100215</v>
          </cell>
          <cell r="B426">
            <v>15244</v>
          </cell>
          <cell r="C426" t="str">
            <v>COCO DESHIDRATADO MEDIO (PAQ: KILO)</v>
          </cell>
          <cell r="D426" t="str">
            <v>10100215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22/02/2020</v>
          </cell>
          <cell r="I426">
            <v>2078</v>
          </cell>
          <cell r="J426">
            <v>228580</v>
          </cell>
          <cell r="K426">
            <v>1000</v>
          </cell>
          <cell r="L426">
            <v>2.0779999999999998</v>
          </cell>
          <cell r="M426" t="str">
            <v>Gramos</v>
          </cell>
        </row>
        <row r="427">
          <cell r="A427" t="str">
            <v>10100217</v>
          </cell>
          <cell r="B427">
            <v>15248</v>
          </cell>
          <cell r="C427" t="str">
            <v>CONDIMENTO CAJUN (PAQ:1 K)</v>
          </cell>
          <cell r="D427" t="str">
            <v>10100217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17/01/2020</v>
          </cell>
          <cell r="I427">
            <v>5039.41</v>
          </cell>
          <cell r="J427">
            <v>30236.46</v>
          </cell>
          <cell r="K427">
            <v>1000</v>
          </cell>
          <cell r="L427">
            <v>5.0394100000000002</v>
          </cell>
          <cell r="M427" t="str">
            <v>Gramos</v>
          </cell>
        </row>
        <row r="428">
          <cell r="A428" t="str">
            <v>10100218</v>
          </cell>
          <cell r="B428">
            <v>15252</v>
          </cell>
          <cell r="C428" t="str">
            <v>QUESO SEMIDURO DADOS RD (KILO)</v>
          </cell>
          <cell r="D428" t="str">
            <v>10100218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15/06/2020</v>
          </cell>
          <cell r="I428">
            <v>3667</v>
          </cell>
          <cell r="J428">
            <v>4881824.2538999999</v>
          </cell>
          <cell r="K428">
            <v>1000</v>
          </cell>
          <cell r="L428">
            <v>3.6669999999999998</v>
          </cell>
          <cell r="M428" t="str">
            <v>Gramos</v>
          </cell>
        </row>
        <row r="429">
          <cell r="A429" t="str">
            <v>10100219</v>
          </cell>
          <cell r="B429">
            <v>15281</v>
          </cell>
          <cell r="C429" t="str">
            <v>POLLO LOMITO S/R FCO (30 KG)</v>
          </cell>
          <cell r="D429" t="str">
            <v>10100219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04/06/2020</v>
          </cell>
          <cell r="I429">
            <v>4000</v>
          </cell>
          <cell r="J429">
            <v>11799520</v>
          </cell>
          <cell r="K429">
            <v>1000</v>
          </cell>
          <cell r="L429">
            <v>4</v>
          </cell>
          <cell r="M429" t="str">
            <v>Gramos</v>
          </cell>
        </row>
        <row r="430">
          <cell r="A430" t="str">
            <v>10100220</v>
          </cell>
          <cell r="B430">
            <v>15282</v>
          </cell>
          <cell r="C430" t="str">
            <v>SALSA POLLO ROSTI GRIFF RP 6K (CJ:2 UND)</v>
          </cell>
          <cell r="D430" t="str">
            <v>10100220</v>
          </cell>
          <cell r="E430" t="str">
            <v>MATERIAS PRIMAS PLANTA</v>
          </cell>
          <cell r="F430" t="str">
            <v>1 CAJA</v>
          </cell>
          <cell r="G430">
            <v>500</v>
          </cell>
          <cell r="H430" t="str">
            <v>25/05/2020</v>
          </cell>
          <cell r="I430">
            <v>31051</v>
          </cell>
          <cell r="J430">
            <v>1086785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10100221</v>
          </cell>
          <cell r="B431">
            <v>15283</v>
          </cell>
          <cell r="C431" t="str">
            <v>SALSA SOYA KIKOMAN (GALON)</v>
          </cell>
          <cell r="D431" t="str">
            <v>10100221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23/01/2020</v>
          </cell>
          <cell r="I431">
            <v>10050</v>
          </cell>
          <cell r="J431">
            <v>180900</v>
          </cell>
          <cell r="K431">
            <v>3785</v>
          </cell>
          <cell r="L431">
            <v>2.6552179656538968</v>
          </cell>
          <cell r="M431" t="str">
            <v>Gramos</v>
          </cell>
        </row>
        <row r="432">
          <cell r="A432" t="str">
            <v>10100222</v>
          </cell>
          <cell r="B432">
            <v>15284</v>
          </cell>
          <cell r="C432" t="str">
            <v>MAICENA DURYEA (PAQ: 2.3 K)</v>
          </cell>
          <cell r="D432" t="str">
            <v>10100222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27/03/2020</v>
          </cell>
          <cell r="I432">
            <v>4995</v>
          </cell>
          <cell r="J432">
            <v>384291</v>
          </cell>
          <cell r="K432">
            <v>2300</v>
          </cell>
          <cell r="L432">
            <v>2.1717391304347826</v>
          </cell>
          <cell r="M432" t="str">
            <v>Mililitros</v>
          </cell>
        </row>
        <row r="433">
          <cell r="A433" t="str">
            <v>10100223</v>
          </cell>
          <cell r="B433">
            <v>15285</v>
          </cell>
          <cell r="C433" t="str">
            <v>ADEREZO JENGIBRE C/AJONJOLI (UND:3.78 K)</v>
          </cell>
          <cell r="D433" t="str">
            <v>10100223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30/05/2020</v>
          </cell>
          <cell r="I433">
            <v>6162</v>
          </cell>
          <cell r="J433">
            <v>103751</v>
          </cell>
          <cell r="K433">
            <v>3780</v>
          </cell>
          <cell r="L433">
            <v>1.6301587301587301</v>
          </cell>
          <cell r="M433" t="str">
            <v>Mililitros</v>
          </cell>
        </row>
        <row r="434">
          <cell r="A434" t="str">
            <v>10100224</v>
          </cell>
          <cell r="B434">
            <v>15305</v>
          </cell>
          <cell r="C434" t="str">
            <v>REPOLLO VERDE GRANEL (KILO)</v>
          </cell>
          <cell r="D434" t="str">
            <v>10100224</v>
          </cell>
          <cell r="E434" t="str">
            <v>MATERIAS PRIMAS PLANTA</v>
          </cell>
          <cell r="F434" t="str">
            <v xml:space="preserve">1 KILO </v>
          </cell>
          <cell r="G434">
            <v>500</v>
          </cell>
          <cell r="H434" t="str">
            <v>16/06/2020</v>
          </cell>
          <cell r="I434">
            <v>380</v>
          </cell>
          <cell r="J434">
            <v>445826</v>
          </cell>
          <cell r="K434">
            <v>1000</v>
          </cell>
          <cell r="L434">
            <v>0.38</v>
          </cell>
          <cell r="M434" t="str">
            <v>Gramos</v>
          </cell>
        </row>
        <row r="435">
          <cell r="A435" t="str">
            <v>10100225</v>
          </cell>
          <cell r="B435">
            <v>15309</v>
          </cell>
          <cell r="C435" t="str">
            <v>ACEITE POMACE 90% CANOLA OLIVA (GALON)</v>
          </cell>
          <cell r="D435" t="str">
            <v>10100225</v>
          </cell>
          <cell r="E435" t="str">
            <v>MATERIAS PRIMAS PLANTA</v>
          </cell>
          <cell r="F435" t="str">
            <v xml:space="preserve">1 GALON </v>
          </cell>
          <cell r="G435">
            <v>500</v>
          </cell>
          <cell r="H435" t="str">
            <v>28/05/2020</v>
          </cell>
          <cell r="I435">
            <v>7973</v>
          </cell>
          <cell r="J435">
            <v>225246</v>
          </cell>
          <cell r="K435">
            <v>3785</v>
          </cell>
          <cell r="L435">
            <v>2.1064729194187581</v>
          </cell>
          <cell r="M435" t="str">
            <v>Gramos</v>
          </cell>
        </row>
        <row r="436">
          <cell r="A436" t="str">
            <v>10100226</v>
          </cell>
          <cell r="B436">
            <v>15322</v>
          </cell>
          <cell r="C436" t="str">
            <v>PANKO COSTRA DE PAN (PAQ:20 LB)</v>
          </cell>
          <cell r="D436" t="str">
            <v>10100226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17/01/2020</v>
          </cell>
          <cell r="I436">
            <v>27173</v>
          </cell>
          <cell r="J436">
            <v>108692</v>
          </cell>
          <cell r="K436">
            <v>3700</v>
          </cell>
          <cell r="L436" t="e">
            <v>#DIV/0!</v>
          </cell>
          <cell r="M436" t="str">
            <v>Unidad</v>
          </cell>
        </row>
        <row r="437">
          <cell r="A437" t="str">
            <v>10100227</v>
          </cell>
          <cell r="B437">
            <v>15325</v>
          </cell>
          <cell r="C437" t="str">
            <v>ROSA JAMAICA (PAQ:KILO)</v>
          </cell>
          <cell r="D437" t="str">
            <v>10100227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02/05/2020</v>
          </cell>
          <cell r="I437">
            <v>7500</v>
          </cell>
          <cell r="J437">
            <v>690000</v>
          </cell>
          <cell r="K437">
            <v>1000</v>
          </cell>
          <cell r="L437">
            <v>7.5</v>
          </cell>
          <cell r="M437" t="str">
            <v>Unidad</v>
          </cell>
        </row>
        <row r="438">
          <cell r="A438" t="str">
            <v>10100229</v>
          </cell>
          <cell r="B438">
            <v>15328</v>
          </cell>
          <cell r="C438" t="str">
            <v>NEGRO B100 ESPECIAL (BULTO:36 PAQ)</v>
          </cell>
          <cell r="D438" t="str">
            <v>10100229</v>
          </cell>
          <cell r="E438" t="str">
            <v>MATERIAS PRIMAS PLANTA</v>
          </cell>
          <cell r="F438" t="str">
            <v>1 BULTO</v>
          </cell>
          <cell r="G438">
            <v>500</v>
          </cell>
          <cell r="H438" t="str">
            <v>13/05/2020</v>
          </cell>
          <cell r="I438">
            <v>41400</v>
          </cell>
          <cell r="J438">
            <v>703800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10100230</v>
          </cell>
          <cell r="B439">
            <v>15334</v>
          </cell>
          <cell r="C439" t="str">
            <v>FRESA CONGELADA BEGRO (PAQ:1 K)</v>
          </cell>
          <cell r="D439" t="str">
            <v>10100230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08/06/2020</v>
          </cell>
          <cell r="I439">
            <v>1890</v>
          </cell>
          <cell r="J439">
            <v>3021599</v>
          </cell>
          <cell r="K439">
            <v>1000</v>
          </cell>
          <cell r="L439">
            <v>1.89</v>
          </cell>
          <cell r="M439" t="str">
            <v>Gramos</v>
          </cell>
        </row>
        <row r="440">
          <cell r="A440" t="str">
            <v>10100235</v>
          </cell>
          <cell r="B440">
            <v>15344</v>
          </cell>
          <cell r="C440" t="str">
            <v>QUESO MOZA RALLADO CONGEL PIZZA (PAQ:2K)</v>
          </cell>
          <cell r="D440" t="str">
            <v>10100235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01/06/2020</v>
          </cell>
          <cell r="I440">
            <v>9356.44</v>
          </cell>
          <cell r="J440">
            <v>1944798.98</v>
          </cell>
          <cell r="K440">
            <v>2000</v>
          </cell>
          <cell r="L440">
            <v>4.6782200000000005</v>
          </cell>
          <cell r="M440" t="str">
            <v>Gramos</v>
          </cell>
        </row>
        <row r="441">
          <cell r="A441" t="str">
            <v>10100237</v>
          </cell>
          <cell r="B441">
            <v>15361</v>
          </cell>
          <cell r="C441" t="str">
            <v>PREMEZCLA CHOCOLATE RICHS (SACO:30 LB)</v>
          </cell>
          <cell r="D441" t="str">
            <v>10100237</v>
          </cell>
          <cell r="E441" t="str">
            <v>MATERIAS PRIMAS PLANTA</v>
          </cell>
          <cell r="F441" t="str">
            <v>1 SACO</v>
          </cell>
          <cell r="G441">
            <v>500</v>
          </cell>
          <cell r="H441" t="str">
            <v>08/06/2020</v>
          </cell>
          <cell r="I441">
            <v>26348</v>
          </cell>
          <cell r="J441">
            <v>1766787</v>
          </cell>
          <cell r="K441">
            <v>4000</v>
          </cell>
          <cell r="L441" t="e">
            <v>#DIV/0!</v>
          </cell>
          <cell r="M441" t="str">
            <v>Unidad</v>
          </cell>
        </row>
        <row r="442">
          <cell r="A442" t="str">
            <v>10100238</v>
          </cell>
          <cell r="B442">
            <v>15366</v>
          </cell>
          <cell r="C442" t="str">
            <v>COBERTURA DONA CHOCOLAT RICH (UND:23 LB)</v>
          </cell>
          <cell r="D442" t="str">
            <v>10100238</v>
          </cell>
          <cell r="E442" t="str">
            <v>MATERIAS PRIMAS PLANTA</v>
          </cell>
          <cell r="F442" t="str">
            <v>1 UND</v>
          </cell>
          <cell r="G442">
            <v>500</v>
          </cell>
          <cell r="H442" t="str">
            <v>10/06/2020</v>
          </cell>
          <cell r="I442">
            <v>27965</v>
          </cell>
          <cell r="J442">
            <v>779169</v>
          </cell>
          <cell r="K442">
            <v>10432</v>
          </cell>
          <cell r="L442">
            <v>2.6806940184049082</v>
          </cell>
          <cell r="M442" t="str">
            <v>Gramos</v>
          </cell>
        </row>
        <row r="443">
          <cell r="A443" t="str">
            <v>10100239</v>
          </cell>
          <cell r="B443">
            <v>15370</v>
          </cell>
          <cell r="C443" t="str">
            <v>TOMATE SALSA (KILO)</v>
          </cell>
          <cell r="D443" t="str">
            <v>10100239</v>
          </cell>
          <cell r="E443" t="str">
            <v>MATERIAS PRIMAS PLANTA</v>
          </cell>
          <cell r="F443" t="str">
            <v xml:space="preserve">1 KILO </v>
          </cell>
          <cell r="G443">
            <v>500</v>
          </cell>
          <cell r="H443" t="str">
            <v>26/03/2020</v>
          </cell>
          <cell r="I443">
            <v>1100</v>
          </cell>
          <cell r="J443">
            <v>4104000</v>
          </cell>
          <cell r="K443">
            <v>1000</v>
          </cell>
          <cell r="L443">
            <v>1.1000000000000001</v>
          </cell>
          <cell r="M443" t="str">
            <v>Gramos</v>
          </cell>
        </row>
        <row r="444">
          <cell r="A444" t="str">
            <v>10100241</v>
          </cell>
          <cell r="B444">
            <v>15372</v>
          </cell>
          <cell r="C444" t="str">
            <v>APIO GRANEL (KILO)</v>
          </cell>
          <cell r="D444" t="str">
            <v>10100241</v>
          </cell>
          <cell r="E444" t="str">
            <v>MATERIAS PRIMAS PLANTA</v>
          </cell>
          <cell r="F444" t="str">
            <v xml:space="preserve">1 KILO </v>
          </cell>
          <cell r="G444">
            <v>500</v>
          </cell>
          <cell r="H444" t="str">
            <v>13/06/2020</v>
          </cell>
          <cell r="I444">
            <v>1000</v>
          </cell>
          <cell r="J444">
            <v>103500</v>
          </cell>
          <cell r="K444">
            <v>1000</v>
          </cell>
          <cell r="L444">
            <v>1</v>
          </cell>
          <cell r="M444" t="str">
            <v>Gramos</v>
          </cell>
        </row>
        <row r="445">
          <cell r="A445" t="str">
            <v>10100242</v>
          </cell>
          <cell r="B445">
            <v>15377</v>
          </cell>
          <cell r="C445" t="str">
            <v>SALSA INGLESA DEL LLANO (GALON)</v>
          </cell>
          <cell r="D445" t="str">
            <v>10100242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16/04/2020</v>
          </cell>
          <cell r="I445">
            <v>4189</v>
          </cell>
          <cell r="J445">
            <v>247151</v>
          </cell>
          <cell r="K445">
            <v>3785</v>
          </cell>
          <cell r="L445">
            <v>1.1067371202113607</v>
          </cell>
          <cell r="M445" t="str">
            <v>Mililitros</v>
          </cell>
        </row>
        <row r="446">
          <cell r="A446" t="str">
            <v>10100243</v>
          </cell>
          <cell r="B446">
            <v>15379</v>
          </cell>
          <cell r="C446" t="str">
            <v>BATTER ZFC (PAQ: 1 K)</v>
          </cell>
          <cell r="D446" t="str">
            <v>10100243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21/01/2020</v>
          </cell>
          <cell r="I446">
            <v>1514</v>
          </cell>
          <cell r="J446">
            <v>37850</v>
          </cell>
          <cell r="K446">
            <v>1000</v>
          </cell>
          <cell r="L446">
            <v>1.514</v>
          </cell>
          <cell r="M446" t="str">
            <v>Mililitros</v>
          </cell>
        </row>
        <row r="447">
          <cell r="A447" t="str">
            <v>10100244</v>
          </cell>
          <cell r="B447">
            <v>15380</v>
          </cell>
          <cell r="C447" t="str">
            <v>EMPANIZADOR ROSTIPOLLOS (UND: 25 K)</v>
          </cell>
          <cell r="D447" t="str">
            <v>10100244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25/05/2020</v>
          </cell>
          <cell r="I447">
            <v>33495</v>
          </cell>
          <cell r="J447">
            <v>637794</v>
          </cell>
          <cell r="K447">
            <v>25000</v>
          </cell>
          <cell r="L447">
            <v>1.3398000000000001</v>
          </cell>
          <cell r="M447" t="str">
            <v>Mililitros</v>
          </cell>
        </row>
        <row r="448">
          <cell r="A448" t="str">
            <v>10100245</v>
          </cell>
          <cell r="B448">
            <v>15387</v>
          </cell>
          <cell r="C448" t="str">
            <v>PREMEZCLA VAINILLA RICHS (SACO:30 LBS)</v>
          </cell>
          <cell r="D448" t="str">
            <v>10100245</v>
          </cell>
          <cell r="E448" t="str">
            <v>MATERIAS PRIMAS PLANTA</v>
          </cell>
          <cell r="F448" t="str">
            <v>1 SACO</v>
          </cell>
          <cell r="G448">
            <v>500</v>
          </cell>
          <cell r="H448" t="str">
            <v>18/05/2020</v>
          </cell>
          <cell r="I448">
            <v>22599</v>
          </cell>
          <cell r="J448">
            <v>425191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10100249</v>
          </cell>
          <cell r="B449">
            <v>15402</v>
          </cell>
          <cell r="C449" t="str">
            <v>SALSA BARBACOA CHIPOTLE MIEL (UND:3.7 K)</v>
          </cell>
          <cell r="D449" t="str">
            <v>10100249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28/01/2020</v>
          </cell>
          <cell r="I449">
            <v>8740</v>
          </cell>
          <cell r="J449">
            <v>43700</v>
          </cell>
          <cell r="K449">
            <v>3700</v>
          </cell>
          <cell r="L449">
            <v>2.362162162162162</v>
          </cell>
          <cell r="M449"/>
        </row>
        <row r="450">
          <cell r="A450" t="str">
            <v>10100250</v>
          </cell>
          <cell r="B450">
            <v>15436</v>
          </cell>
          <cell r="C450" t="str">
            <v>PAPA TOSTADA KITTY (PAQ: 1 K)</v>
          </cell>
          <cell r="D450" t="str">
            <v>10100250</v>
          </cell>
          <cell r="E450" t="str">
            <v>MATERIAS PRIMAS PLANTA</v>
          </cell>
          <cell r="F450" t="str">
            <v>1 PAQUETE</v>
          </cell>
          <cell r="G450">
            <v>500</v>
          </cell>
          <cell r="H450" t="str">
            <v>30/12/2019</v>
          </cell>
          <cell r="I450">
            <v>5777.3329999999996</v>
          </cell>
          <cell r="J450">
            <v>86659.994999999995</v>
          </cell>
          <cell r="K450">
            <v>1000</v>
          </cell>
          <cell r="L450">
            <v>5.7773329999999996</v>
          </cell>
          <cell r="M450" t="str">
            <v>Mililitros</v>
          </cell>
        </row>
        <row r="451">
          <cell r="A451" t="str">
            <v>10100252</v>
          </cell>
          <cell r="B451">
            <v>15479</v>
          </cell>
          <cell r="C451" t="str">
            <v>TORTILLA TRIGO MISION 12" CON (CJ:6 PAQ)</v>
          </cell>
          <cell r="D451" t="str">
            <v>10100252</v>
          </cell>
          <cell r="E451" t="str">
            <v>MATERIAS PRIMAS PLANTA</v>
          </cell>
          <cell r="F451" t="str">
            <v>1 CAJA</v>
          </cell>
          <cell r="G451">
            <v>500</v>
          </cell>
          <cell r="H451" t="str">
            <v>26/02/2020</v>
          </cell>
          <cell r="I451">
            <v>1008.33333333333</v>
          </cell>
          <cell r="J451">
            <v>18338.999999999902</v>
          </cell>
          <cell r="K451">
            <v>60</v>
          </cell>
          <cell r="L451" t="e">
            <v>#DIV/0!</v>
          </cell>
          <cell r="M451" t="str">
            <v>Unidad</v>
          </cell>
        </row>
        <row r="452">
          <cell r="A452" t="str">
            <v>10100253</v>
          </cell>
          <cell r="B452">
            <v>15538</v>
          </cell>
          <cell r="C452" t="str">
            <v>LENTEJAS ( PAQ:1 K)</v>
          </cell>
          <cell r="D452" t="str">
            <v>10100253</v>
          </cell>
          <cell r="E452" t="str">
            <v>MATERIAS PRIMAS PLANTA</v>
          </cell>
          <cell r="F452" t="str">
            <v xml:space="preserve">1 PAQUETE </v>
          </cell>
          <cell r="G452">
            <v>500</v>
          </cell>
          <cell r="H452" t="str">
            <v>29/04/2020</v>
          </cell>
          <cell r="I452">
            <v>1250</v>
          </cell>
          <cell r="J452">
            <v>5000</v>
          </cell>
          <cell r="K452">
            <v>1000</v>
          </cell>
          <cell r="L452">
            <v>1.25</v>
          </cell>
        </row>
        <row r="453">
          <cell r="A453" t="str">
            <v>10100255</v>
          </cell>
          <cell r="B453">
            <v>15609</v>
          </cell>
          <cell r="C453" t="str">
            <v>PAPA GAJO CASCARA HIERBA (CAJA:4/2.5k)</v>
          </cell>
          <cell r="D453" t="str">
            <v>10100255</v>
          </cell>
          <cell r="E453" t="str">
            <v>MATERIAS PRIMAS PLANTA</v>
          </cell>
          <cell r="F453" t="str">
            <v>1 CAJA</v>
          </cell>
          <cell r="G453">
            <v>500</v>
          </cell>
          <cell r="H453" t="str">
            <v>19/12/2019</v>
          </cell>
          <cell r="I453">
            <v>19540</v>
          </cell>
          <cell r="J453">
            <v>19540</v>
          </cell>
          <cell r="K453">
            <v>10000</v>
          </cell>
          <cell r="L453">
            <v>1.954</v>
          </cell>
          <cell r="M453" t="str">
            <v>Gramos</v>
          </cell>
        </row>
        <row r="454">
          <cell r="A454" t="str">
            <v>10100256</v>
          </cell>
          <cell r="B454">
            <v>15823</v>
          </cell>
          <cell r="C454" t="str">
            <v>FRIJOLES MOLIDOS SADE (PAQ: 4 K)</v>
          </cell>
          <cell r="D454" t="str">
            <v>10100256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09/06/2020</v>
          </cell>
          <cell r="I454">
            <v>2403.52</v>
          </cell>
          <cell r="J454">
            <v>22844268.359999999</v>
          </cell>
          <cell r="K454">
            <v>4000</v>
          </cell>
          <cell r="L454">
            <v>0.60087999999999997</v>
          </cell>
          <cell r="M454" t="str">
            <v>Gramos</v>
          </cell>
        </row>
        <row r="455">
          <cell r="A455" t="str">
            <v>10100259</v>
          </cell>
          <cell r="B455">
            <v>15846</v>
          </cell>
          <cell r="C455" t="str">
            <v>CHAYOTE TIERNO CUBO (PAQ:2K)</v>
          </cell>
          <cell r="D455" t="str">
            <v>10100259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16/06/2020</v>
          </cell>
          <cell r="I455">
            <v>1900</v>
          </cell>
          <cell r="J455">
            <v>1875300</v>
          </cell>
          <cell r="K455">
            <v>2000</v>
          </cell>
          <cell r="L455">
            <v>0.95</v>
          </cell>
          <cell r="M455" t="str">
            <v>Gramos</v>
          </cell>
        </row>
        <row r="456">
          <cell r="A456" t="str">
            <v>10100260</v>
          </cell>
          <cell r="B456">
            <v>15847</v>
          </cell>
          <cell r="C456" t="str">
            <v>HIERBA BUENA GRANEL (KILO)</v>
          </cell>
          <cell r="D456" t="str">
            <v>10100260</v>
          </cell>
          <cell r="E456" t="str">
            <v>MATERIAS PRIMAS PLANTA</v>
          </cell>
          <cell r="F456" t="str">
            <v>1 KILO</v>
          </cell>
          <cell r="G456">
            <v>500</v>
          </cell>
          <cell r="H456" t="str">
            <v>09/05/2020</v>
          </cell>
          <cell r="I456">
            <v>6000</v>
          </cell>
          <cell r="J456">
            <v>610000</v>
          </cell>
          <cell r="K456">
            <v>1000</v>
          </cell>
          <cell r="L456">
            <v>6</v>
          </cell>
          <cell r="M456" t="str">
            <v>Gramos</v>
          </cell>
        </row>
        <row r="457">
          <cell r="A457" t="str">
            <v>10100261</v>
          </cell>
          <cell r="B457">
            <v>15848</v>
          </cell>
          <cell r="C457" t="str">
            <v>GARBANZO MFS (PAQ:KILO)</v>
          </cell>
          <cell r="D457" t="str">
            <v>10100261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15/06/2020</v>
          </cell>
          <cell r="I457">
            <v>1380</v>
          </cell>
          <cell r="J457">
            <v>75900</v>
          </cell>
          <cell r="K457">
            <v>1000</v>
          </cell>
          <cell r="L457">
            <v>1.38</v>
          </cell>
          <cell r="M457" t="str">
            <v>Gramos</v>
          </cell>
        </row>
        <row r="458">
          <cell r="A458" t="str">
            <v>10100262</v>
          </cell>
          <cell r="B458">
            <v>15849</v>
          </cell>
          <cell r="C458" t="str">
            <v>YOGURT NATURAL (UND:500 G)</v>
          </cell>
          <cell r="D458" t="str">
            <v>10100262</v>
          </cell>
          <cell r="E458" t="str">
            <v>MATERIAS PRIMAS PLANTA</v>
          </cell>
          <cell r="F458" t="str">
            <v>1 UND</v>
          </cell>
          <cell r="G458">
            <v>500</v>
          </cell>
          <cell r="H458" t="str">
            <v>15/06/2020</v>
          </cell>
          <cell r="I458">
            <v>992.65499999999997</v>
          </cell>
          <cell r="J458">
            <v>1303817.7250000001</v>
          </cell>
          <cell r="K458">
            <v>500</v>
          </cell>
          <cell r="L458">
            <v>1.9853099999999999</v>
          </cell>
          <cell r="M458" t="str">
            <v>Mililitros</v>
          </cell>
        </row>
        <row r="459">
          <cell r="A459" t="str">
            <v>10100263</v>
          </cell>
          <cell r="B459">
            <v>15850</v>
          </cell>
          <cell r="C459" t="str">
            <v>CHILE DULCE JULIANO (PAQ:KILO)</v>
          </cell>
          <cell r="D459" t="str">
            <v>10100263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17/01/2020</v>
          </cell>
          <cell r="I459">
            <v>2295</v>
          </cell>
          <cell r="J459">
            <v>34425</v>
          </cell>
          <cell r="K459">
            <v>1000</v>
          </cell>
          <cell r="L459">
            <v>2.2949999999999999</v>
          </cell>
          <cell r="M459" t="str">
            <v>Mililitros</v>
          </cell>
        </row>
        <row r="460">
          <cell r="A460" t="str">
            <v>10100264</v>
          </cell>
          <cell r="B460">
            <v>15854</v>
          </cell>
          <cell r="C460" t="str">
            <v>LIMON MESINO (GALON)</v>
          </cell>
          <cell r="D460" t="str">
            <v>10100264</v>
          </cell>
          <cell r="E460" t="str">
            <v>MATERIAS PRIMAS PLANTA</v>
          </cell>
          <cell r="F460" t="str">
            <v xml:space="preserve">1 GALON </v>
          </cell>
          <cell r="G460">
            <v>500</v>
          </cell>
          <cell r="H460" t="str">
            <v>21/04/2020</v>
          </cell>
          <cell r="I460">
            <v>4000</v>
          </cell>
          <cell r="J460">
            <v>132000</v>
          </cell>
          <cell r="K460">
            <v>3785</v>
          </cell>
          <cell r="L460">
            <v>1.0568031704095113</v>
          </cell>
          <cell r="M460" t="str">
            <v>Mililitros</v>
          </cell>
        </row>
        <row r="461">
          <cell r="A461" t="str">
            <v>10100270</v>
          </cell>
          <cell r="B461">
            <v>15919</v>
          </cell>
          <cell r="C461" t="str">
            <v>TABASCO BANQUETE (UND: 1/2 GALON)</v>
          </cell>
          <cell r="D461" t="str">
            <v>10100270</v>
          </cell>
          <cell r="E461" t="str">
            <v>MATERIAS PRIMAS PLANTA</v>
          </cell>
          <cell r="F461" t="str">
            <v>1 UND</v>
          </cell>
          <cell r="G461">
            <v>500</v>
          </cell>
          <cell r="H461" t="str">
            <v>18/05/2020</v>
          </cell>
          <cell r="I461">
            <v>3738</v>
          </cell>
          <cell r="J461">
            <v>26166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10100271</v>
          </cell>
          <cell r="B462">
            <v>15978</v>
          </cell>
          <cell r="C462" t="str">
            <v>FRIJOL TIERNO RP (PAQ:1 KG)</v>
          </cell>
          <cell r="D462" t="str">
            <v>10200023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10100272</v>
          </cell>
          <cell r="B463">
            <v>16084</v>
          </cell>
          <cell r="C463" t="str">
            <v>ADEREZO RANCH (UND)</v>
          </cell>
          <cell r="D463" t="str">
            <v>10100272</v>
          </cell>
          <cell r="E463" t="str">
            <v>MATERIAS PRIMAS PLANTA</v>
          </cell>
          <cell r="F463" t="str">
            <v>1 UND</v>
          </cell>
          <cell r="G463">
            <v>500</v>
          </cell>
          <cell r="H463" t="str">
            <v>24/03/2020</v>
          </cell>
          <cell r="I463">
            <v>5099</v>
          </cell>
          <cell r="J463">
            <v>30594</v>
          </cell>
          <cell r="K463">
            <v>1</v>
          </cell>
          <cell r="L463">
            <v>5099</v>
          </cell>
        </row>
        <row r="464">
          <cell r="A464" t="str">
            <v>10100273</v>
          </cell>
          <cell r="B464">
            <v>16085</v>
          </cell>
          <cell r="C464" t="str">
            <v>ADEREZO MOSTAZA MIEL (UND)</v>
          </cell>
          <cell r="D464" t="str">
            <v>10100273</v>
          </cell>
          <cell r="E464" t="str">
            <v>MATERIAS PRIMAS PLANTA</v>
          </cell>
          <cell r="F464" t="str">
            <v>1 UND</v>
          </cell>
          <cell r="G464">
            <v>500</v>
          </cell>
          <cell r="H464" t="str">
            <v>03/03/2020</v>
          </cell>
          <cell r="I464">
            <v>7669</v>
          </cell>
          <cell r="J464">
            <v>23007</v>
          </cell>
          <cell r="K464">
            <v>1</v>
          </cell>
          <cell r="L464">
            <v>7669</v>
          </cell>
        </row>
        <row r="465">
          <cell r="A465" t="str">
            <v>10100274</v>
          </cell>
          <cell r="B465">
            <v>16086</v>
          </cell>
          <cell r="C465" t="str">
            <v>ADEREZO MIL ISLAS (UND)</v>
          </cell>
          <cell r="D465" t="str">
            <v>10100274</v>
          </cell>
          <cell r="E465" t="str">
            <v>MATERIAS PRIMAS PLANTA</v>
          </cell>
          <cell r="F465" t="str">
            <v>1 UND</v>
          </cell>
          <cell r="G465">
            <v>500</v>
          </cell>
          <cell r="H465" t="str">
            <v>14/03/2020</v>
          </cell>
          <cell r="I465">
            <v>5099</v>
          </cell>
          <cell r="J465">
            <v>20396</v>
          </cell>
          <cell r="K465">
            <v>1</v>
          </cell>
          <cell r="L465">
            <v>5099</v>
          </cell>
        </row>
        <row r="466">
          <cell r="A466" t="str">
            <v>10100275</v>
          </cell>
          <cell r="B466">
            <v>16087</v>
          </cell>
          <cell r="C466" t="str">
            <v>ADEREZO ITALIANO CREMOSO (UND)</v>
          </cell>
          <cell r="D466" t="str">
            <v>10100275</v>
          </cell>
          <cell r="E466" t="str">
            <v>MATERIAS PRIMAS PLANTA</v>
          </cell>
          <cell r="F466" t="str">
            <v>1 UND</v>
          </cell>
          <cell r="G466">
            <v>500</v>
          </cell>
          <cell r="H466" t="str">
            <v>19/03/2020</v>
          </cell>
          <cell r="I466">
            <v>5949</v>
          </cell>
          <cell r="J466">
            <v>35583</v>
          </cell>
          <cell r="K466">
            <v>1</v>
          </cell>
          <cell r="L466">
            <v>5949</v>
          </cell>
        </row>
        <row r="467">
          <cell r="A467" t="str">
            <v>10100276</v>
          </cell>
          <cell r="B467">
            <v>16088</v>
          </cell>
          <cell r="C467" t="str">
            <v>ADEREZO CESAR (UND)</v>
          </cell>
          <cell r="D467" t="str">
            <v>10100276</v>
          </cell>
          <cell r="E467" t="str">
            <v>MATERIAS PRIMAS PLANTA</v>
          </cell>
          <cell r="F467" t="str">
            <v>1 UND</v>
          </cell>
          <cell r="G467">
            <v>500</v>
          </cell>
          <cell r="H467" t="str">
            <v>07/03/2020</v>
          </cell>
          <cell r="I467">
            <v>5099</v>
          </cell>
          <cell r="J467">
            <v>25495</v>
          </cell>
          <cell r="K467">
            <v>1</v>
          </cell>
          <cell r="L467">
            <v>5099</v>
          </cell>
        </row>
        <row r="468">
          <cell r="A468" t="str">
            <v>10100278</v>
          </cell>
          <cell r="B468">
            <v>16138</v>
          </cell>
          <cell r="C468" t="str">
            <v>ARROZ LUISINA 95% PRECOCIDO (BULTO:20 K)</v>
          </cell>
          <cell r="D468" t="str">
            <v>10100278</v>
          </cell>
          <cell r="E468" t="str">
            <v>MATERIAS PRIMAS PLANTA</v>
          </cell>
          <cell r="F468" t="str">
            <v>1 BULTO</v>
          </cell>
          <cell r="G468">
            <v>500</v>
          </cell>
          <cell r="H468" t="str">
            <v>20/02/2020</v>
          </cell>
          <cell r="I468">
            <v>16394</v>
          </cell>
          <cell r="J468">
            <v>98364</v>
          </cell>
          <cell r="K468">
            <v>20000</v>
          </cell>
          <cell r="L468">
            <v>0.81969999999999998</v>
          </cell>
          <cell r="M468" t="str">
            <v>Gramos</v>
          </cell>
        </row>
        <row r="469">
          <cell r="A469" t="str">
            <v>10100279</v>
          </cell>
          <cell r="B469">
            <v>16467</v>
          </cell>
          <cell r="C469" t="str">
            <v>ADEREZO MAYONESA DELGA-C  (PAQ:400 GR)</v>
          </cell>
          <cell r="D469" t="str">
            <v>10100279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16/04/2020</v>
          </cell>
          <cell r="I469">
            <v>981</v>
          </cell>
          <cell r="J469">
            <v>9810</v>
          </cell>
          <cell r="K469">
            <v>400</v>
          </cell>
          <cell r="L469">
            <v>2.4525000000000001</v>
          </cell>
          <cell r="M469" t="str">
            <v>Mililitros</v>
          </cell>
        </row>
        <row r="470">
          <cell r="A470" t="str">
            <v>10100280</v>
          </cell>
          <cell r="B470">
            <v>16550</v>
          </cell>
          <cell r="C470" t="str">
            <v>SALSITA TOMATE CON CARNE (UND:106 G)</v>
          </cell>
          <cell r="D470" t="str">
            <v>10100280</v>
          </cell>
          <cell r="E470" t="str">
            <v>MATERIAS PRIMAS PLANTA</v>
          </cell>
          <cell r="F470" t="str">
            <v>1 UNIDAD</v>
          </cell>
          <cell r="G470">
            <v>500</v>
          </cell>
          <cell r="H470" t="str">
            <v>03/06/2020</v>
          </cell>
          <cell r="I470">
            <v>177</v>
          </cell>
          <cell r="J470">
            <v>28320</v>
          </cell>
          <cell r="K470">
            <v>106</v>
          </cell>
          <cell r="L470">
            <v>1.6698113207547169</v>
          </cell>
          <cell r="M470" t="str">
            <v>Gramos</v>
          </cell>
        </row>
        <row r="471">
          <cell r="A471" t="str">
            <v>10200001</v>
          </cell>
          <cell r="B471">
            <v>11477</v>
          </cell>
          <cell r="C471" t="str">
            <v>SIROPE DE KOLA (GALON)</v>
          </cell>
          <cell r="D471" t="str">
            <v>10200001</v>
          </cell>
          <cell r="E471" t="str">
            <v>MATERIAS PRIMAS PLANTA</v>
          </cell>
          <cell r="F471" t="str">
            <v>1 GALON</v>
          </cell>
          <cell r="G471">
            <v>500</v>
          </cell>
          <cell r="H471" t="str">
            <v>15/06/2020</v>
          </cell>
          <cell r="I471">
            <v>2637.9</v>
          </cell>
          <cell r="J471">
            <v>990902.7</v>
          </cell>
          <cell r="K471">
            <v>3785</v>
          </cell>
          <cell r="L471">
            <v>0.69693527080581241</v>
          </cell>
          <cell r="M471" t="str">
            <v>Mililitros</v>
          </cell>
        </row>
        <row r="472">
          <cell r="A472" t="str">
            <v>10200012</v>
          </cell>
          <cell r="B472">
            <v>5343</v>
          </cell>
          <cell r="C472" t="str">
            <v>TE CHAI ESPECIES (PAQ:800g)</v>
          </cell>
          <cell r="D472" t="str">
            <v>10200012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24/03/2020</v>
          </cell>
          <cell r="I472">
            <v>4823.91</v>
          </cell>
          <cell r="J472">
            <v>1503938.67</v>
          </cell>
          <cell r="K472">
            <v>800</v>
          </cell>
          <cell r="L472">
            <v>6.0298875000000001</v>
          </cell>
          <cell r="M472" t="str">
            <v>Gramos</v>
          </cell>
        </row>
        <row r="473">
          <cell r="A473" t="str">
            <v>10200018</v>
          </cell>
          <cell r="B473">
            <v>9991</v>
          </cell>
          <cell r="C473" t="str">
            <v>AGUA EMBOT SPOON (PAQ:20 UND)</v>
          </cell>
          <cell r="D473" t="str">
            <v>10200018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30/04/2020</v>
          </cell>
          <cell r="I473">
            <v>4680</v>
          </cell>
          <cell r="J473">
            <v>32760</v>
          </cell>
          <cell r="K473">
            <v>3100</v>
          </cell>
          <cell r="L473" t="e">
            <v>#DIV/0!</v>
          </cell>
          <cell r="M473" t="str">
            <v>Gramos</v>
          </cell>
        </row>
        <row r="474">
          <cell r="A474" t="str">
            <v>10200022</v>
          </cell>
          <cell r="B474">
            <v>12578</v>
          </cell>
          <cell r="C474" t="str">
            <v>TE PALACIO ROYAL"ARANDANO" (PAQ:12 UND)</v>
          </cell>
          <cell r="D474" t="str">
            <v>10200022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</v>
          </cell>
          <cell r="J474">
            <v>589050</v>
          </cell>
          <cell r="K474">
            <v>500</v>
          </cell>
          <cell r="L474" t="e">
            <v>#DIV/0!</v>
          </cell>
          <cell r="M474" t="str">
            <v>Gramos</v>
          </cell>
        </row>
        <row r="475">
          <cell r="A475" t="str">
            <v>10200023</v>
          </cell>
          <cell r="B475">
            <v>12579</v>
          </cell>
          <cell r="C475" t="str">
            <v>TE ON THE BEACH "VERDE" (PAQ=12 UND)</v>
          </cell>
          <cell r="D475" t="str">
            <v>10200023</v>
          </cell>
          <cell r="E475" t="str">
            <v>MATERIAS PRIMAS PLANTA</v>
          </cell>
          <cell r="F475" t="str">
            <v>1 PAQ</v>
          </cell>
          <cell r="G475">
            <v>500</v>
          </cell>
          <cell r="H475" t="str">
            <v>24/03/2020</v>
          </cell>
          <cell r="I475">
            <v>2142</v>
          </cell>
          <cell r="J475">
            <v>32130</v>
          </cell>
          <cell r="K475">
            <v>1000</v>
          </cell>
          <cell r="L475" t="e">
            <v>#DIV/0!</v>
          </cell>
          <cell r="M475" t="str">
            <v>Gramos</v>
          </cell>
        </row>
        <row r="476">
          <cell r="A476" t="str">
            <v>10200024</v>
          </cell>
          <cell r="B476">
            <v>12580</v>
          </cell>
          <cell r="C476" t="str">
            <v>TE MENTA DEGESTIVA (PAQ:12 UND)</v>
          </cell>
          <cell r="D476" t="str">
            <v>10200024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24/03/2020</v>
          </cell>
          <cell r="I476">
            <v>2142</v>
          </cell>
          <cell r="J476">
            <v>374850</v>
          </cell>
          <cell r="K476">
            <v>13600</v>
          </cell>
          <cell r="L476" t="e">
            <v>#DIV/0!</v>
          </cell>
          <cell r="M476" t="str">
            <v>Gramos</v>
          </cell>
        </row>
        <row r="477">
          <cell r="A477" t="str">
            <v>10200025</v>
          </cell>
          <cell r="B477">
            <v>12581</v>
          </cell>
          <cell r="C477" t="str">
            <v>TE SPICY CHAI (PAQ:12 UND)</v>
          </cell>
          <cell r="D477" t="str">
            <v>10200025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07/02/2020</v>
          </cell>
          <cell r="I477">
            <v>2142</v>
          </cell>
          <cell r="J477">
            <v>107100</v>
          </cell>
          <cell r="K477">
            <v>250</v>
          </cell>
          <cell r="L477" t="e">
            <v>#DIV/0!</v>
          </cell>
          <cell r="M477" t="str">
            <v>Gramos</v>
          </cell>
        </row>
        <row r="478">
          <cell r="A478" t="str">
            <v>10200026</v>
          </cell>
          <cell r="B478">
            <v>12582</v>
          </cell>
          <cell r="C478" t="str">
            <v>TE BED TIME "MANZANILLA" (PAQ:12 UND)</v>
          </cell>
          <cell r="D478" t="str">
            <v>10200026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12/06/2020</v>
          </cell>
          <cell r="I478">
            <v>1</v>
          </cell>
          <cell r="J478">
            <v>569772</v>
          </cell>
          <cell r="K478">
            <v>1000</v>
          </cell>
          <cell r="L478" t="e">
            <v>#DIV/0!</v>
          </cell>
          <cell r="M478" t="str">
            <v>Gramos</v>
          </cell>
        </row>
        <row r="479">
          <cell r="A479" t="str">
            <v>10200027</v>
          </cell>
          <cell r="B479">
            <v>12583</v>
          </cell>
          <cell r="C479" t="str">
            <v>TE GINGER FRESH (PAQ:12 UND)</v>
          </cell>
          <cell r="D479" t="str">
            <v>10200027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24/03/2020</v>
          </cell>
          <cell r="I479">
            <v>2142</v>
          </cell>
          <cell r="J479">
            <v>240210</v>
          </cell>
          <cell r="K479">
            <v>2000</v>
          </cell>
          <cell r="L479" t="e">
            <v>#DIV/0!</v>
          </cell>
          <cell r="M479" t="str">
            <v>Gramos</v>
          </cell>
        </row>
        <row r="480">
          <cell r="A480" t="str">
            <v>10200028</v>
          </cell>
          <cell r="B480">
            <v>12584</v>
          </cell>
          <cell r="C480" t="str">
            <v>TE MAGIC TEA "AZUL" (PAQ:12 UND)</v>
          </cell>
          <cell r="D480" t="str">
            <v>10200028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28/01/2020</v>
          </cell>
          <cell r="I480">
            <v>2640</v>
          </cell>
          <cell r="J480">
            <v>158400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10200029</v>
          </cell>
          <cell r="B481">
            <v>12587</v>
          </cell>
          <cell r="C481" t="str">
            <v>LECHE SABORIZADA FRAPPE MIX (PAQ: 1 K)</v>
          </cell>
          <cell r="D481" t="str">
            <v>10200029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24/03/2020</v>
          </cell>
          <cell r="I481">
            <v>5500</v>
          </cell>
          <cell r="J481">
            <v>2942500</v>
          </cell>
          <cell r="K481">
            <v>1000</v>
          </cell>
          <cell r="L481">
            <v>5.5</v>
          </cell>
          <cell r="M481" t="str">
            <v>Gramos</v>
          </cell>
        </row>
        <row r="482">
          <cell r="A482" t="str">
            <v>10200030</v>
          </cell>
          <cell r="B482">
            <v>12416</v>
          </cell>
          <cell r="C482" t="str">
            <v>BASE LECHE  MILK SHAKE (PAQ:1 K)</v>
          </cell>
          <cell r="D482" t="str">
            <v>10200030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16/12/2019</v>
          </cell>
          <cell r="I482">
            <v>6500</v>
          </cell>
          <cell r="J482">
            <v>195000</v>
          </cell>
          <cell r="K482">
            <v>1000</v>
          </cell>
          <cell r="L482">
            <v>6.5</v>
          </cell>
          <cell r="M482" t="str">
            <v>Gramos</v>
          </cell>
        </row>
        <row r="483">
          <cell r="A483" t="str">
            <v>10200088</v>
          </cell>
          <cell r="B483">
            <v>5346</v>
          </cell>
          <cell r="C483" t="str">
            <v>RON ABUELO RESERVA (UND: LITRO)</v>
          </cell>
          <cell r="D483" t="str">
            <v>10200088</v>
          </cell>
          <cell r="E483" t="str">
            <v>MATERIAS PRIMAS PLANTA</v>
          </cell>
          <cell r="F483" t="str">
            <v>1 UND</v>
          </cell>
          <cell r="G483">
            <v>500</v>
          </cell>
          <cell r="H483" t="str">
            <v>20/05/2020</v>
          </cell>
          <cell r="I483">
            <v>7140</v>
          </cell>
          <cell r="J483">
            <v>656880</v>
          </cell>
          <cell r="K483">
            <v>1000</v>
          </cell>
          <cell r="L483">
            <v>7.14</v>
          </cell>
          <cell r="M483" t="str">
            <v>Mililitros</v>
          </cell>
        </row>
        <row r="484">
          <cell r="A484" t="str">
            <v>10200090</v>
          </cell>
          <cell r="B484">
            <v>14379</v>
          </cell>
          <cell r="C484" t="str">
            <v>CERVEZA AMBAR (UND: 350 ML)</v>
          </cell>
          <cell r="D484" t="str">
            <v>10200090</v>
          </cell>
          <cell r="E484" t="str">
            <v>MATERIAS PRIMAS PLANTA</v>
          </cell>
          <cell r="F484" t="str">
            <v>1 UND</v>
          </cell>
          <cell r="G484">
            <v>500</v>
          </cell>
          <cell r="H484" t="str">
            <v>02/12/2019</v>
          </cell>
          <cell r="I484">
            <v>1080</v>
          </cell>
          <cell r="J484">
            <v>207360</v>
          </cell>
          <cell r="K484">
            <v>350</v>
          </cell>
          <cell r="L484">
            <v>3.0857142857142859</v>
          </cell>
          <cell r="M484" t="str">
            <v>Gramos</v>
          </cell>
        </row>
        <row r="485">
          <cell r="A485" t="str">
            <v>10300001</v>
          </cell>
          <cell r="B485">
            <v>7048</v>
          </cell>
          <cell r="C485" t="str">
            <v>JARRETE PICADO KILO</v>
          </cell>
          <cell r="D485" t="str">
            <v>10300001</v>
          </cell>
          <cell r="E485" t="str">
            <v>MATERIAS PRIMAS PLANTA</v>
          </cell>
          <cell r="F485" t="str">
            <v>1 KILO</v>
          </cell>
          <cell r="G485">
            <v>500</v>
          </cell>
          <cell r="H485" t="str">
            <v>13/06/2020</v>
          </cell>
          <cell r="I485">
            <v>859</v>
          </cell>
          <cell r="J485">
            <v>441354.2</v>
          </cell>
          <cell r="K485">
            <v>1000</v>
          </cell>
          <cell r="L485">
            <v>0.85899999999999999</v>
          </cell>
          <cell r="M485" t="str">
            <v>Gramos</v>
          </cell>
        </row>
        <row r="486">
          <cell r="A486" t="str">
            <v>10300002</v>
          </cell>
          <cell r="B486">
            <v>11813</v>
          </cell>
          <cell r="C486" t="str">
            <v>JAMON PAVO PECHUGA (UND:3.1 K)</v>
          </cell>
          <cell r="D486" t="str">
            <v>10300002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13/06/2020</v>
          </cell>
          <cell r="I486">
            <v>8363.7999999999993</v>
          </cell>
          <cell r="J486">
            <v>5612132.9965679897</v>
          </cell>
          <cell r="K486">
            <v>3100</v>
          </cell>
          <cell r="L486">
            <v>2.698</v>
          </cell>
          <cell r="M486" t="str">
            <v>Gramos</v>
          </cell>
        </row>
        <row r="487">
          <cell r="A487" t="str">
            <v>10300003</v>
          </cell>
          <cell r="B487">
            <v>5368</v>
          </cell>
          <cell r="C487" t="str">
            <v>JAMON COCIDO EN TROZOS (PAQ:500g)</v>
          </cell>
          <cell r="D487" t="str">
            <v>10300003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19/05/2020</v>
          </cell>
          <cell r="I487">
            <v>1950</v>
          </cell>
          <cell r="J487">
            <v>1047150</v>
          </cell>
          <cell r="K487">
            <v>500</v>
          </cell>
          <cell r="L487">
            <v>3.9</v>
          </cell>
          <cell r="M487" t="str">
            <v>Gramos</v>
          </cell>
        </row>
        <row r="488">
          <cell r="A488" t="str">
            <v>10300004</v>
          </cell>
          <cell r="B488">
            <v>11803</v>
          </cell>
          <cell r="C488" t="str">
            <v>CARNE MOLIDA DE POLLO (KILO)</v>
          </cell>
          <cell r="D488" t="str">
            <v>10300004</v>
          </cell>
          <cell r="E488" t="str">
            <v>MATERIAS PRIMAS PLANTA</v>
          </cell>
          <cell r="F488" t="str">
            <v>1 KILO</v>
          </cell>
          <cell r="G488">
            <v>500</v>
          </cell>
          <cell r="H488" t="str">
            <v>24/12/2019</v>
          </cell>
          <cell r="I488">
            <v>2800</v>
          </cell>
          <cell r="J488">
            <v>504560</v>
          </cell>
          <cell r="K488">
            <v>1000</v>
          </cell>
          <cell r="L488">
            <v>2.8</v>
          </cell>
          <cell r="M488" t="str">
            <v>Gramos</v>
          </cell>
        </row>
        <row r="489">
          <cell r="A489" t="str">
            <v>10300006</v>
          </cell>
          <cell r="B489">
            <v>7044</v>
          </cell>
          <cell r="C489" t="str">
            <v>CARNE ANALOGA RES (CAJA:13.6 Kg)</v>
          </cell>
          <cell r="D489" t="str">
            <v>10300006</v>
          </cell>
          <cell r="E489" t="str">
            <v>MATERIAS PRIMAS PLANTA</v>
          </cell>
          <cell r="F489" t="str">
            <v>1 CAJA</v>
          </cell>
          <cell r="G489">
            <v>500</v>
          </cell>
          <cell r="H489" t="str">
            <v>24/03/2020</v>
          </cell>
          <cell r="I489">
            <v>105560.58</v>
          </cell>
          <cell r="J489">
            <v>12367468.800000001</v>
          </cell>
          <cell r="K489">
            <v>13600</v>
          </cell>
          <cell r="L489">
            <v>7.7618073529411769</v>
          </cell>
          <cell r="M489" t="str">
            <v>Gramos</v>
          </cell>
        </row>
        <row r="490">
          <cell r="A490" t="str">
            <v>10300007</v>
          </cell>
          <cell r="B490">
            <v>12057</v>
          </cell>
          <cell r="C490" t="str">
            <v>JAMON COCIDO (PAQ:250g)</v>
          </cell>
          <cell r="D490" t="str">
            <v>10300007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28/05/2020</v>
          </cell>
          <cell r="I490">
            <v>930</v>
          </cell>
          <cell r="J490">
            <v>1913044.8024500001</v>
          </cell>
          <cell r="K490">
            <v>250</v>
          </cell>
          <cell r="L490">
            <v>3.72</v>
          </cell>
          <cell r="M490" t="str">
            <v>Gramos</v>
          </cell>
        </row>
        <row r="491">
          <cell r="A491" t="str">
            <v>10300010</v>
          </cell>
          <cell r="B491">
            <v>11355</v>
          </cell>
          <cell r="C491" t="str">
            <v>BISTEC ESO. TP MILANESA (KILO)</v>
          </cell>
          <cell r="D491" t="str">
            <v>10300010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06/04/2020</v>
          </cell>
          <cell r="I491">
            <v>5595</v>
          </cell>
          <cell r="J491">
            <v>278906</v>
          </cell>
          <cell r="K491">
            <v>1000</v>
          </cell>
          <cell r="L491">
            <v>5.5949999999999998</v>
          </cell>
          <cell r="M491" t="str">
            <v>Gramos</v>
          </cell>
        </row>
        <row r="492">
          <cell r="A492" t="str">
            <v>10300019</v>
          </cell>
          <cell r="B492">
            <v>5367</v>
          </cell>
          <cell r="C492" t="str">
            <v>TOCINETA(PAQ:2 KILOS)</v>
          </cell>
          <cell r="D492" t="str">
            <v>10300019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>
            <v>9982</v>
          </cell>
          <cell r="J492">
            <v>4657651.1043894002</v>
          </cell>
          <cell r="K492">
            <v>2000</v>
          </cell>
          <cell r="L492">
            <v>4.9909999999999997</v>
          </cell>
          <cell r="M492" t="str">
            <v>Gramos</v>
          </cell>
        </row>
        <row r="493">
          <cell r="A493" t="str">
            <v>10300020</v>
          </cell>
          <cell r="B493">
            <v>11214</v>
          </cell>
          <cell r="C493" t="str">
            <v>CARNITAS PORK (KILO)</v>
          </cell>
          <cell r="D493" t="str">
            <v>10300020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03/12/2019</v>
          </cell>
          <cell r="I493">
            <v>6448.49</v>
          </cell>
          <cell r="J493">
            <v>-508012.04220000003</v>
          </cell>
          <cell r="K493">
            <v>1000</v>
          </cell>
          <cell r="L493">
            <v>6.4484899999999996</v>
          </cell>
          <cell r="M493" t="str">
            <v>Gramos</v>
          </cell>
        </row>
        <row r="494">
          <cell r="A494" t="str">
            <v>10300028</v>
          </cell>
          <cell r="B494">
            <v>12589</v>
          </cell>
          <cell r="C494" t="str">
            <v>CARNE PARA MECHAR TD KILO</v>
          </cell>
          <cell r="D494" t="str">
            <v>10300028</v>
          </cell>
          <cell r="E494" t="str">
            <v>MATERIAS PRIMAS PLANTA</v>
          </cell>
          <cell r="F494" t="str">
            <v xml:space="preserve">1 KILO </v>
          </cell>
          <cell r="G494">
            <v>500</v>
          </cell>
          <cell r="H494" t="str">
            <v>11/06/2020</v>
          </cell>
          <cell r="I494">
            <v>3500</v>
          </cell>
          <cell r="J494">
            <v>26260116.5</v>
          </cell>
          <cell r="K494">
            <v>1000</v>
          </cell>
          <cell r="L494">
            <v>3.5</v>
          </cell>
          <cell r="M494" t="str">
            <v>Gramos</v>
          </cell>
        </row>
        <row r="495">
          <cell r="A495" t="str">
            <v>10300029</v>
          </cell>
          <cell r="B495">
            <v>12766</v>
          </cell>
          <cell r="C495" t="str">
            <v>MARISCADA ECONOMICA (PAQ:1 KILO)</v>
          </cell>
          <cell r="D495" t="str">
            <v>10300029</v>
          </cell>
          <cell r="E495" t="str">
            <v>MATERIAS PRIMAS PLANTA</v>
          </cell>
          <cell r="F495" t="str">
            <v>1 PAQUETE</v>
          </cell>
          <cell r="G495">
            <v>500</v>
          </cell>
          <cell r="H495" t="str">
            <v>05/03/2020</v>
          </cell>
          <cell r="I495">
            <v>4000</v>
          </cell>
          <cell r="J495">
            <v>40000</v>
          </cell>
          <cell r="K495">
            <v>1000</v>
          </cell>
          <cell r="L495">
            <v>4</v>
          </cell>
          <cell r="M495" t="str">
            <v>Mililitros</v>
          </cell>
        </row>
        <row r="496">
          <cell r="A496" t="str">
            <v>10300030</v>
          </cell>
          <cell r="B496">
            <v>12921</v>
          </cell>
          <cell r="C496" t="str">
            <v>BISTEC BOLITA TENDER Y MARINADO KILO</v>
          </cell>
          <cell r="D496" t="str">
            <v>10300030</v>
          </cell>
          <cell r="E496" t="str">
            <v>MATERIAS PRIMAS PLANTA</v>
          </cell>
          <cell r="F496" t="str">
            <v xml:space="preserve">1 KILO  </v>
          </cell>
          <cell r="G496">
            <v>500</v>
          </cell>
          <cell r="H496" t="str">
            <v>01/04/2020</v>
          </cell>
          <cell r="I496">
            <v>1</v>
          </cell>
          <cell r="J496">
            <v>6215817.5</v>
          </cell>
          <cell r="K496">
            <v>1000</v>
          </cell>
          <cell r="L496">
            <v>1E-3</v>
          </cell>
          <cell r="M496" t="str">
            <v>Gramos</v>
          </cell>
        </row>
        <row r="497">
          <cell r="A497" t="str">
            <v>10300032</v>
          </cell>
          <cell r="B497">
            <v>14046</v>
          </cell>
          <cell r="C497" t="str">
            <v>MUSLITO DE MUSLO KILO</v>
          </cell>
          <cell r="D497" t="str">
            <v>10300032</v>
          </cell>
          <cell r="E497" t="str">
            <v>MATERIAS PRIMAS PLANTA</v>
          </cell>
          <cell r="F497" t="str">
            <v>1 KILO</v>
          </cell>
          <cell r="G497">
            <v>500</v>
          </cell>
          <cell r="H497" t="str">
            <v>20/05/2020</v>
          </cell>
          <cell r="I497">
            <v>2310</v>
          </cell>
          <cell r="J497">
            <v>523007.1</v>
          </cell>
          <cell r="K497">
            <v>1000</v>
          </cell>
          <cell r="L497">
            <v>2.31</v>
          </cell>
          <cell r="M497" t="str">
            <v>Gramos</v>
          </cell>
        </row>
        <row r="498">
          <cell r="A498" t="str">
            <v>10300033</v>
          </cell>
          <cell r="B498">
            <v>14565</v>
          </cell>
          <cell r="C498" t="str">
            <v>JAMON SERRANO (PAQ:250 G)</v>
          </cell>
          <cell r="D498" t="str">
            <v>10300033</v>
          </cell>
          <cell r="E498" t="str">
            <v>MATERIAS PRIMAS PLANTA</v>
          </cell>
          <cell r="F498" t="str">
            <v>1 PAQUETE</v>
          </cell>
          <cell r="G498">
            <v>500</v>
          </cell>
          <cell r="H498" t="str">
            <v>10/06/2020</v>
          </cell>
          <cell r="I498">
            <v>3774.8249999999998</v>
          </cell>
          <cell r="J498">
            <v>120794.4</v>
          </cell>
          <cell r="K498">
            <v>250</v>
          </cell>
          <cell r="L498">
            <v>15.099299999999999</v>
          </cell>
          <cell r="M498" t="str">
            <v>Mililitros</v>
          </cell>
        </row>
        <row r="499">
          <cell r="A499" t="str">
            <v>10300034</v>
          </cell>
          <cell r="B499">
            <v>14724</v>
          </cell>
          <cell r="C499" t="str">
            <v>CESINA TROZOS ( KILO)</v>
          </cell>
          <cell r="D499" t="str">
            <v>10300034</v>
          </cell>
          <cell r="E499" t="str">
            <v>MATERIAS PRIMAS PLANTA</v>
          </cell>
          <cell r="F499" t="str">
            <v xml:space="preserve">1 KILO </v>
          </cell>
          <cell r="G499">
            <v>500</v>
          </cell>
          <cell r="H499" t="str">
            <v>02/01/2020</v>
          </cell>
          <cell r="I499">
            <v>5395</v>
          </cell>
          <cell r="J499">
            <v>2211732.5</v>
          </cell>
          <cell r="K499">
            <v>1000</v>
          </cell>
          <cell r="L499">
            <v>5.3949999999999996</v>
          </cell>
          <cell r="M499" t="str">
            <v>Gramos</v>
          </cell>
        </row>
        <row r="500">
          <cell r="A500" t="str">
            <v>10300035</v>
          </cell>
          <cell r="B500">
            <v>14896</v>
          </cell>
          <cell r="C500" t="str">
            <v>JAMON COCIDO DELIKA GI (PAQ:250 G)</v>
          </cell>
          <cell r="D500" t="str">
            <v>10300035</v>
          </cell>
          <cell r="E500" t="str">
            <v>MATERIAS PRIMAS PLANTA</v>
          </cell>
          <cell r="F500" t="str">
            <v>1 PAQUETE</v>
          </cell>
          <cell r="G500">
            <v>500</v>
          </cell>
          <cell r="H500" t="str">
            <v>12/06/2020</v>
          </cell>
          <cell r="I500">
            <v>912.6</v>
          </cell>
          <cell r="J500">
            <v>7145980.2000000002</v>
          </cell>
          <cell r="K500">
            <v>250</v>
          </cell>
          <cell r="L500">
            <v>3.6504000000000003</v>
          </cell>
          <cell r="M500" t="str">
            <v>Mililitros</v>
          </cell>
        </row>
        <row r="501">
          <cell r="A501" t="str">
            <v>10300036</v>
          </cell>
          <cell r="B501">
            <v>15411</v>
          </cell>
          <cell r="C501" t="str">
            <v>ATUN LIGHT LOMO TROZOS AGUA(UND:170 G)</v>
          </cell>
          <cell r="D501" t="str">
            <v>10300036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04/02/2020</v>
          </cell>
          <cell r="I501">
            <v>708.84990000000005</v>
          </cell>
          <cell r="J501">
            <v>1769289.3504000001</v>
          </cell>
          <cell r="K501">
            <v>170</v>
          </cell>
          <cell r="L501">
            <v>4.1697052941176471</v>
          </cell>
          <cell r="M501" t="str">
            <v>Mililitros</v>
          </cell>
        </row>
        <row r="502">
          <cell r="A502" t="str">
            <v>10300038</v>
          </cell>
          <cell r="B502">
            <v>15543</v>
          </cell>
          <cell r="C502" t="str">
            <v>ROAF BEEF REBANADO (PAQ:1 K)</v>
          </cell>
          <cell r="D502" t="str">
            <v>10300038</v>
          </cell>
          <cell r="E502" t="str">
            <v>MATERIAS PRIMAS PLANTA</v>
          </cell>
          <cell r="F502" t="str">
            <v>1 PAQUETE</v>
          </cell>
          <cell r="G502">
            <v>500</v>
          </cell>
          <cell r="H502" t="str">
            <v>13/06/2020</v>
          </cell>
          <cell r="I502">
            <v>1</v>
          </cell>
          <cell r="J502">
            <v>5227767.1780000003</v>
          </cell>
          <cell r="K502">
            <v>1000</v>
          </cell>
          <cell r="L502">
            <v>1E-3</v>
          </cell>
          <cell r="M502" t="str">
            <v>Gramos</v>
          </cell>
        </row>
        <row r="503">
          <cell r="A503" t="str">
            <v>10300039</v>
          </cell>
          <cell r="B503">
            <v>15606</v>
          </cell>
          <cell r="C503" t="str">
            <v>FILET TRUCHA PORCIONES (KILO)</v>
          </cell>
          <cell r="D503" t="str">
            <v>10300039</v>
          </cell>
          <cell r="E503" t="str">
            <v>MATERIAS PRIMAS PLANTA</v>
          </cell>
          <cell r="F503" t="str">
            <v xml:space="preserve">1 KILO  </v>
          </cell>
          <cell r="G503">
            <v>500</v>
          </cell>
          <cell r="H503" t="str">
            <v>15/06/2020</v>
          </cell>
          <cell r="I503">
            <v>1</v>
          </cell>
          <cell r="J503">
            <v>7926295</v>
          </cell>
          <cell r="K503">
            <v>1000</v>
          </cell>
          <cell r="L503">
            <v>1E-3</v>
          </cell>
          <cell r="M503" t="str">
            <v>Gramos</v>
          </cell>
        </row>
        <row r="504">
          <cell r="A504" t="str">
            <v>10300040</v>
          </cell>
          <cell r="B504">
            <v>15607</v>
          </cell>
          <cell r="C504" t="str">
            <v>MORTADELITA CUADRADA MIXTA (PAQ:400 G)</v>
          </cell>
          <cell r="D504" t="str">
            <v>10300040</v>
          </cell>
          <cell r="E504" t="str">
            <v>MATERIAS PRIMAS PLANTA</v>
          </cell>
          <cell r="F504" t="str">
            <v>1 PAQUETE</v>
          </cell>
          <cell r="G504">
            <v>500</v>
          </cell>
          <cell r="H504" t="str">
            <v>19/12/2019</v>
          </cell>
          <cell r="I504">
            <v>1042</v>
          </cell>
          <cell r="J504">
            <v>585604</v>
          </cell>
          <cell r="K504">
            <v>400</v>
          </cell>
          <cell r="L504">
            <v>2.605</v>
          </cell>
          <cell r="M504" t="str">
            <v>Mililitros</v>
          </cell>
        </row>
        <row r="505">
          <cell r="A505" t="str">
            <v>10300041</v>
          </cell>
          <cell r="B505">
            <v>15807</v>
          </cell>
          <cell r="C505" t="str">
            <v>JAMON DE PAVO LIGHT (PAQ:250 G)</v>
          </cell>
          <cell r="D505" t="str">
            <v>10300041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18/01/2020</v>
          </cell>
          <cell r="I505">
            <v>708</v>
          </cell>
          <cell r="J505">
            <v>26710.2</v>
          </cell>
          <cell r="K505">
            <v>250</v>
          </cell>
          <cell r="L505">
            <v>2.8319999999999999</v>
          </cell>
          <cell r="M505" t="str">
            <v>Gramos</v>
          </cell>
        </row>
        <row r="506">
          <cell r="A506" t="str">
            <v>10300042</v>
          </cell>
          <cell r="B506">
            <v>15884</v>
          </cell>
          <cell r="C506" t="str">
            <v>MUSLO DE POLLO ENTERO (KILO)</v>
          </cell>
          <cell r="D506" t="str">
            <v>10300042</v>
          </cell>
          <cell r="E506" t="str">
            <v>MATERIAS PRIMAS PLANTA</v>
          </cell>
          <cell r="F506" t="str">
            <v>1 KILO</v>
          </cell>
          <cell r="G506">
            <v>500</v>
          </cell>
          <cell r="H506" t="str">
            <v>04/06/2020</v>
          </cell>
          <cell r="I506">
            <v>1450</v>
          </cell>
          <cell r="J506">
            <v>404405</v>
          </cell>
          <cell r="K506">
            <v>1000</v>
          </cell>
          <cell r="L506">
            <v>1.45</v>
          </cell>
          <cell r="M506" t="str">
            <v>Gramos</v>
          </cell>
        </row>
        <row r="507">
          <cell r="A507" t="str">
            <v>10300043</v>
          </cell>
          <cell r="B507">
            <v>15911</v>
          </cell>
          <cell r="C507" t="str">
            <v>CHORIZO COCIDO DE CERDO (PAQ: 600 G)</v>
          </cell>
          <cell r="D507" t="str">
            <v>10300043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13/06/2020</v>
          </cell>
          <cell r="I507">
            <v>2080</v>
          </cell>
          <cell r="J507">
            <v>1064960</v>
          </cell>
          <cell r="K507">
            <v>600</v>
          </cell>
          <cell r="L507">
            <v>3.4666666666666668</v>
          </cell>
          <cell r="M507" t="str">
            <v>Gramos</v>
          </cell>
        </row>
        <row r="508">
          <cell r="A508" t="str">
            <v>10400001</v>
          </cell>
          <cell r="B508">
            <v>10292</v>
          </cell>
          <cell r="C508" t="str">
            <v>COLORANTE GEL ELECTRIC GREEN (UD=130ml)</v>
          </cell>
          <cell r="D508" t="str">
            <v>10400001</v>
          </cell>
          <cell r="E508" t="str">
            <v>MATERIAS PRIMAS PLANTA</v>
          </cell>
          <cell r="F508" t="str">
            <v>1 UND</v>
          </cell>
          <cell r="G508">
            <v>500</v>
          </cell>
          <cell r="H508" t="str">
            <v>13/05/2020</v>
          </cell>
          <cell r="I508">
            <v>2400</v>
          </cell>
          <cell r="J508">
            <v>64800</v>
          </cell>
          <cell r="K508">
            <v>130</v>
          </cell>
          <cell r="L508">
            <v>18.46153846153846</v>
          </cell>
          <cell r="M508" t="str">
            <v>Mililitros</v>
          </cell>
        </row>
        <row r="509">
          <cell r="A509" t="str">
            <v>10400002</v>
          </cell>
          <cell r="B509">
            <v>10069</v>
          </cell>
          <cell r="C509" t="str">
            <v>COLORANTE GEL ELECTRIC PURPLE (UND=4.5)</v>
          </cell>
          <cell r="D509" t="str">
            <v>10400002</v>
          </cell>
          <cell r="E509" t="str">
            <v>MATERIAS PRIMAS PLANTA</v>
          </cell>
          <cell r="F509" t="str">
            <v>1 UND</v>
          </cell>
          <cell r="G509">
            <v>500</v>
          </cell>
          <cell r="H509" t="str">
            <v>13/05/2020</v>
          </cell>
          <cell r="I509">
            <v>2400</v>
          </cell>
          <cell r="J509">
            <v>98400</v>
          </cell>
          <cell r="K509">
            <v>130</v>
          </cell>
          <cell r="L509">
            <v>18.46153846153846</v>
          </cell>
          <cell r="M509" t="str">
            <v>Mililitros</v>
          </cell>
        </row>
        <row r="510">
          <cell r="A510" t="str">
            <v>10400003</v>
          </cell>
          <cell r="B510">
            <v>9704</v>
          </cell>
          <cell r="C510" t="str">
            <v>COLORANTE GEL ELECTRIC BLUE (UND=130ml)</v>
          </cell>
          <cell r="D510" t="str">
            <v>10400003</v>
          </cell>
          <cell r="E510" t="str">
            <v>MATERIAS PRIMAS PLANTA</v>
          </cell>
          <cell r="F510" t="str">
            <v>1 UND</v>
          </cell>
          <cell r="G510">
            <v>500</v>
          </cell>
          <cell r="H510" t="str">
            <v>03/06/2020</v>
          </cell>
          <cell r="I510">
            <v>2400</v>
          </cell>
          <cell r="J510">
            <v>201600</v>
          </cell>
          <cell r="K510">
            <v>130</v>
          </cell>
          <cell r="L510">
            <v>18.46153846153846</v>
          </cell>
          <cell r="M510" t="str">
            <v>Mililitros</v>
          </cell>
        </row>
        <row r="511">
          <cell r="A511" t="str">
            <v>10400004</v>
          </cell>
          <cell r="B511">
            <v>9605</v>
          </cell>
          <cell r="C511" t="str">
            <v>COLORANTE GEL MINT GREEN (UND)</v>
          </cell>
          <cell r="D511" t="str">
            <v>10400004</v>
          </cell>
          <cell r="E511" t="str">
            <v>MATERIAS PRIMAS PLANTA</v>
          </cell>
          <cell r="F511" t="str">
            <v>1 UND</v>
          </cell>
          <cell r="G511">
            <v>500</v>
          </cell>
          <cell r="H511" t="str">
            <v>03/06/2020</v>
          </cell>
          <cell r="I511">
            <v>2400</v>
          </cell>
          <cell r="J511">
            <v>31200</v>
          </cell>
          <cell r="K511">
            <v>130</v>
          </cell>
          <cell r="L511">
            <v>18.46153846153846</v>
          </cell>
          <cell r="M511" t="str">
            <v>Mililitros</v>
          </cell>
        </row>
        <row r="512">
          <cell r="A512" t="str">
            <v>10400005</v>
          </cell>
          <cell r="B512">
            <v>10068</v>
          </cell>
          <cell r="C512" t="str">
            <v>COLORANTE GEL ELECTRIC PINK (UND=4.5 OZ)</v>
          </cell>
          <cell r="D512" t="str">
            <v>10400005</v>
          </cell>
          <cell r="E512" t="str">
            <v>MATERIAS PRIMAS PLANTA</v>
          </cell>
          <cell r="F512" t="str">
            <v>1 UND</v>
          </cell>
          <cell r="G512">
            <v>500</v>
          </cell>
          <cell r="H512" t="str">
            <v>24/03/2020</v>
          </cell>
          <cell r="I512">
            <v>2400</v>
          </cell>
          <cell r="J512">
            <v>76800</v>
          </cell>
          <cell r="K512">
            <v>130</v>
          </cell>
          <cell r="L512">
            <v>18.46153846153846</v>
          </cell>
          <cell r="M512" t="str">
            <v>Mililitros</v>
          </cell>
        </row>
        <row r="513">
          <cell r="A513" t="str">
            <v>10400006</v>
          </cell>
          <cell r="B513">
            <v>9706</v>
          </cell>
          <cell r="C513" t="str">
            <v>COLORANTE GEL LEMON YELLOW UND 130 ML</v>
          </cell>
          <cell r="D513" t="str">
            <v>10400006</v>
          </cell>
          <cell r="E513" t="str">
            <v>MATERIAS PRIMAS PLANTA</v>
          </cell>
          <cell r="F513" t="str">
            <v>1 UND</v>
          </cell>
          <cell r="G513">
            <v>500</v>
          </cell>
          <cell r="H513" t="str">
            <v>03/06/2020</v>
          </cell>
          <cell r="I513">
            <v>2400</v>
          </cell>
          <cell r="J513">
            <v>93600</v>
          </cell>
          <cell r="K513">
            <v>130</v>
          </cell>
          <cell r="L513">
            <v>18.46153846153846</v>
          </cell>
          <cell r="M513" t="str">
            <v>Mililitros</v>
          </cell>
        </row>
        <row r="514">
          <cell r="A514" t="str">
            <v>10400007</v>
          </cell>
          <cell r="B514">
            <v>9705</v>
          </cell>
          <cell r="C514" t="str">
            <v>COLORANTE GEL ELECTRIC ORANGE (UND=130m)</v>
          </cell>
          <cell r="D514" t="str">
            <v>10400007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25/05/2020</v>
          </cell>
          <cell r="I514">
            <v>2400</v>
          </cell>
          <cell r="J514">
            <v>24000</v>
          </cell>
          <cell r="K514">
            <v>130</v>
          </cell>
          <cell r="L514">
            <v>18.46153846153846</v>
          </cell>
          <cell r="M514" t="str">
            <v>Mililitros</v>
          </cell>
        </row>
        <row r="515">
          <cell r="A515" t="str">
            <v>10400008</v>
          </cell>
          <cell r="B515">
            <v>9602</v>
          </cell>
          <cell r="C515" t="str">
            <v>COLORANTE GEL EGG YELLOW  (UND= 130 ML)</v>
          </cell>
          <cell r="D515" t="str">
            <v>10400008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03/06/2020</v>
          </cell>
          <cell r="I515">
            <v>2400</v>
          </cell>
          <cell r="J515">
            <v>93600</v>
          </cell>
          <cell r="K515">
            <v>130</v>
          </cell>
          <cell r="L515">
            <v>18.46153846153846</v>
          </cell>
          <cell r="M515" t="str">
            <v>Mililitros</v>
          </cell>
        </row>
        <row r="516">
          <cell r="A516" t="str">
            <v>10400009</v>
          </cell>
          <cell r="B516">
            <v>10301</v>
          </cell>
          <cell r="C516" t="str">
            <v>COLORANTE GEL SUPER RED</v>
          </cell>
          <cell r="D516" t="str">
            <v>10400009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13/05/2020</v>
          </cell>
          <cell r="I516">
            <v>2400</v>
          </cell>
          <cell r="J516">
            <v>40800</v>
          </cell>
          <cell r="K516">
            <v>130</v>
          </cell>
          <cell r="L516">
            <v>18.46153846153846</v>
          </cell>
          <cell r="M516" t="str">
            <v>Mililitros</v>
          </cell>
        </row>
        <row r="517">
          <cell r="A517" t="str">
            <v>10400011</v>
          </cell>
          <cell r="B517">
            <v>16479</v>
          </cell>
          <cell r="C517" t="str">
            <v>COLORANTE ARTIFICIAL ROSADO F225 (LITRO)</v>
          </cell>
          <cell r="D517" t="str">
            <v>10400011</v>
          </cell>
          <cell r="E517" t="str">
            <v>MATERIAS PRIMAS PLANTA</v>
          </cell>
          <cell r="F517" t="str">
            <v>1 LITRO</v>
          </cell>
          <cell r="G517">
            <v>500</v>
          </cell>
          <cell r="H517" t="str">
            <v>28/05/2020</v>
          </cell>
          <cell r="I517">
            <v>5511.07</v>
          </cell>
          <cell r="J517">
            <v>38501.17</v>
          </cell>
          <cell r="K517">
            <v>1000</v>
          </cell>
          <cell r="L517">
            <v>5.5110700000000001</v>
          </cell>
          <cell r="M517" t="str">
            <v>Mililitros</v>
          </cell>
        </row>
        <row r="518">
          <cell r="A518" t="str">
            <v>10500001</v>
          </cell>
          <cell r="B518">
            <v>11212</v>
          </cell>
          <cell r="C518" t="str">
            <v>CLAVO DE OLOR MOLIDO KG</v>
          </cell>
          <cell r="D518" t="str">
            <v>10500001</v>
          </cell>
          <cell r="E518" t="str">
            <v>MATERIAS PRIMAS PLANTA</v>
          </cell>
          <cell r="F518" t="str">
            <v>1 KILO</v>
          </cell>
          <cell r="G518">
            <v>500</v>
          </cell>
          <cell r="H518" t="str">
            <v>05/03/2020</v>
          </cell>
          <cell r="I518">
            <v>23152.504000000001</v>
          </cell>
          <cell r="J518">
            <v>92610.016000000003</v>
          </cell>
          <cell r="K518">
            <v>1000</v>
          </cell>
          <cell r="L518">
            <v>23.152504</v>
          </cell>
          <cell r="M518" t="str">
            <v>Gramos</v>
          </cell>
        </row>
        <row r="519">
          <cell r="A519" t="str">
            <v>10500016</v>
          </cell>
          <cell r="B519">
            <v>5398</v>
          </cell>
          <cell r="C519" t="str">
            <v>HOJA DE LAUREL (UND:43g)</v>
          </cell>
          <cell r="D519" t="str">
            <v>10500016</v>
          </cell>
          <cell r="E519" t="str">
            <v>MATERIAS PRIMAS PLANTA</v>
          </cell>
          <cell r="F519" t="str">
            <v>1 UND</v>
          </cell>
          <cell r="G519">
            <v>500</v>
          </cell>
          <cell r="H519" t="str">
            <v>25/05/2020</v>
          </cell>
          <cell r="I519">
            <v>2394</v>
          </cell>
          <cell r="J519">
            <v>107974</v>
          </cell>
          <cell r="K519">
            <v>43</v>
          </cell>
          <cell r="L519">
            <v>55.674418604651166</v>
          </cell>
          <cell r="M519" t="str">
            <v>Gramos</v>
          </cell>
        </row>
        <row r="520">
          <cell r="A520" t="str">
            <v>10700008</v>
          </cell>
          <cell r="B520">
            <v>8136</v>
          </cell>
          <cell r="C520" t="str">
            <v>CONFITE PALITO CHOCOLATE (PAQ:680 G)</v>
          </cell>
          <cell r="D520" t="str">
            <v>10700008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12/06/2020</v>
          </cell>
          <cell r="I520">
            <v>1810</v>
          </cell>
          <cell r="J520">
            <v>2296890</v>
          </cell>
          <cell r="K520">
            <v>680</v>
          </cell>
          <cell r="L520">
            <v>2.6617647058823528</v>
          </cell>
          <cell r="M520" t="str">
            <v>Gramos</v>
          </cell>
        </row>
        <row r="521">
          <cell r="A521" t="str">
            <v>10700013</v>
          </cell>
          <cell r="B521">
            <v>9472</v>
          </cell>
          <cell r="C521" t="str">
            <v>STICK DORADO (CAJA:100 UND)</v>
          </cell>
          <cell r="D521" t="str">
            <v>10700013</v>
          </cell>
          <cell r="E521" t="str">
            <v>MATERIAS PRIMAS PLANTA</v>
          </cell>
          <cell r="F521" t="str">
            <v>1 CAJA</v>
          </cell>
          <cell r="G521">
            <v>500</v>
          </cell>
          <cell r="H521" t="str">
            <v>25/05/2020</v>
          </cell>
          <cell r="I521">
            <v>5838</v>
          </cell>
          <cell r="J521">
            <v>344442</v>
          </cell>
          <cell r="K521">
            <v>100</v>
          </cell>
          <cell r="L521">
            <v>58.38</v>
          </cell>
          <cell r="M521" t="str">
            <v>Und</v>
          </cell>
        </row>
        <row r="522">
          <cell r="A522" t="str">
            <v>10700015</v>
          </cell>
          <cell r="B522">
            <v>9600</v>
          </cell>
          <cell r="C522" t="str">
            <v>CHOCOLATE ESTRELLA DORADA (CAJA:215 UN)</v>
          </cell>
          <cell r="D522" t="str">
            <v>10700015</v>
          </cell>
          <cell r="E522" t="str">
            <v>MATERIAS PRIMAS PLANTA</v>
          </cell>
          <cell r="F522" t="str">
            <v>1 CAJA</v>
          </cell>
          <cell r="G522">
            <v>500</v>
          </cell>
          <cell r="H522" t="str">
            <v>01/06/2020</v>
          </cell>
          <cell r="I522">
            <v>15265</v>
          </cell>
          <cell r="J522">
            <v>580070</v>
          </cell>
          <cell r="K522">
            <v>215</v>
          </cell>
          <cell r="L522">
            <v>71</v>
          </cell>
          <cell r="M522" t="str">
            <v>Und</v>
          </cell>
        </row>
        <row r="523">
          <cell r="A523" t="str">
            <v>10700023</v>
          </cell>
          <cell r="B523">
            <v>14214</v>
          </cell>
          <cell r="C523" t="str">
            <v>CHOCOLATE CORAZON GRANDE ORO(CJ:215 UND)</v>
          </cell>
          <cell r="D523" t="str">
            <v>10700023</v>
          </cell>
          <cell r="E523" t="str">
            <v>MATERIAS PRIMAS PLANTA</v>
          </cell>
          <cell r="F523" t="str">
            <v>1 CAJA</v>
          </cell>
          <cell r="G523">
            <v>500</v>
          </cell>
          <cell r="H523" t="str">
            <v>03/12/2019</v>
          </cell>
          <cell r="I523">
            <v>13772.9</v>
          </cell>
          <cell r="J523">
            <v>-206593.5</v>
          </cell>
          <cell r="K523">
            <v>215</v>
          </cell>
          <cell r="L523">
            <v>64.06</v>
          </cell>
          <cell r="M523" t="str">
            <v>Und</v>
          </cell>
        </row>
        <row r="524">
          <cell r="A524" t="str">
            <v>10700026</v>
          </cell>
          <cell r="B524">
            <v>12988</v>
          </cell>
          <cell r="C524" t="str">
            <v>PLACA DE FONDANT (PAQ:10 UND)</v>
          </cell>
          <cell r="D524" t="str">
            <v>10700026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15/06/2020</v>
          </cell>
          <cell r="I524">
            <v>0</v>
          </cell>
          <cell r="J524">
            <v>471100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10700029</v>
          </cell>
          <cell r="B525">
            <v>14303</v>
          </cell>
          <cell r="C525" t="str">
            <v>CHOCOLATE CORAZON ROJO PASION (CAJA:200)</v>
          </cell>
          <cell r="D525" t="str">
            <v>10700029</v>
          </cell>
          <cell r="E525" t="str">
            <v>MATERIAS PRIMAS PLANTA</v>
          </cell>
          <cell r="F525" t="str">
            <v>1 CAJA</v>
          </cell>
          <cell r="G525">
            <v>500</v>
          </cell>
          <cell r="H525" t="str">
            <v>11/02/2020</v>
          </cell>
          <cell r="I525">
            <v>7650</v>
          </cell>
          <cell r="J525">
            <v>2436.95999999998</v>
          </cell>
          <cell r="K525">
            <v>200</v>
          </cell>
          <cell r="L525">
            <v>38.25</v>
          </cell>
          <cell r="M525" t="str">
            <v>Und</v>
          </cell>
        </row>
        <row r="526">
          <cell r="A526" t="str">
            <v>10700032</v>
          </cell>
          <cell r="B526">
            <v>15413</v>
          </cell>
          <cell r="C526" t="str">
            <v>MERENGUE  POLVO MERCK BAKE (PAQ:2.27 K)</v>
          </cell>
          <cell r="D526" t="str">
            <v>10700032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01/02/2020</v>
          </cell>
          <cell r="I526">
            <v>18350</v>
          </cell>
          <cell r="J526">
            <v>128450</v>
          </cell>
          <cell r="K526">
            <v>2270</v>
          </cell>
          <cell r="L526">
            <v>8.0837004405286343</v>
          </cell>
          <cell r="M526" t="str">
            <v>Gramos</v>
          </cell>
        </row>
        <row r="527">
          <cell r="A527" t="str">
            <v>10700033</v>
          </cell>
          <cell r="B527">
            <v>15654</v>
          </cell>
          <cell r="C527" t="str">
            <v>CHOCOLATE KIT KAT (CAJA:24 X41.5 G)</v>
          </cell>
          <cell r="D527" t="str">
            <v>10700033</v>
          </cell>
          <cell r="E527" t="str">
            <v>MATERIAS PRIMAS PLANTA</v>
          </cell>
          <cell r="F527" t="str">
            <v>1 CAJA</v>
          </cell>
          <cell r="G527">
            <v>500</v>
          </cell>
          <cell r="H527" t="str">
            <v>04/04/2020</v>
          </cell>
          <cell r="I527">
            <v>9548</v>
          </cell>
          <cell r="J527">
            <v>2721180</v>
          </cell>
          <cell r="K527">
            <v>996</v>
          </cell>
          <cell r="L527">
            <v>9.5863453815261046</v>
          </cell>
          <cell r="M527" t="str">
            <v>Gramos</v>
          </cell>
        </row>
        <row r="528">
          <cell r="A528" t="str">
            <v>10700034</v>
          </cell>
          <cell r="B528">
            <v>15871</v>
          </cell>
          <cell r="C528" t="str">
            <v>MINI PERLAS COMBINADAS (CAJA: 312 UND)</v>
          </cell>
          <cell r="D528" t="str">
            <v>10700034</v>
          </cell>
          <cell r="E528" t="str">
            <v>MATERIAS PRIMAS PLANTA</v>
          </cell>
          <cell r="F528" t="str">
            <v>1 CAJA</v>
          </cell>
          <cell r="G528">
            <v>500</v>
          </cell>
          <cell r="H528" t="str">
            <v>31/01/2020</v>
          </cell>
          <cell r="I528">
            <v>29635</v>
          </cell>
          <cell r="J528">
            <v>237080</v>
          </cell>
          <cell r="K528">
            <v>312</v>
          </cell>
          <cell r="L528">
            <v>94.983974358974365</v>
          </cell>
          <cell r="M528" t="str">
            <v>Und</v>
          </cell>
        </row>
        <row r="529">
          <cell r="A529" t="str">
            <v>10700035</v>
          </cell>
          <cell r="B529">
            <v>15872</v>
          </cell>
          <cell r="C529" t="str">
            <v>DOYPACK FUDGE (UND:650 G)</v>
          </cell>
          <cell r="D529" t="str">
            <v>10700035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16/06/2020</v>
          </cell>
          <cell r="I529">
            <v>2599</v>
          </cell>
          <cell r="J529">
            <v>758908</v>
          </cell>
          <cell r="K529">
            <v>650</v>
          </cell>
          <cell r="L529">
            <v>3.9984615384615383</v>
          </cell>
          <cell r="M529" t="str">
            <v>Gramos</v>
          </cell>
        </row>
        <row r="530">
          <cell r="A530" t="str">
            <v>10700036</v>
          </cell>
          <cell r="B530">
            <v>15873</v>
          </cell>
          <cell r="C530" t="str">
            <v>CHOCOLATE CORAZON MINI COMB (CJ:1500 UD)</v>
          </cell>
          <cell r="D530" t="str">
            <v>10700036</v>
          </cell>
          <cell r="E530" t="str">
            <v>MATERIAS PRIMAS PLANTA</v>
          </cell>
          <cell r="F530" t="str">
            <v>1 CAJA</v>
          </cell>
          <cell r="G530">
            <v>500</v>
          </cell>
          <cell r="H530" t="str">
            <v>11/02/2020</v>
          </cell>
          <cell r="I530">
            <v>5500</v>
          </cell>
          <cell r="J530">
            <v>88000</v>
          </cell>
          <cell r="K530">
            <v>1500</v>
          </cell>
          <cell r="L530">
            <v>3.6666666666666665</v>
          </cell>
          <cell r="M530" t="str">
            <v>Gramos</v>
          </cell>
        </row>
        <row r="531">
          <cell r="A531" t="str">
            <v>10700037</v>
          </cell>
          <cell r="B531">
            <v>16025</v>
          </cell>
          <cell r="C531" t="str">
            <v>CHOCOLATE HERSHEYS ALMENDRA GIGANT (UND)</v>
          </cell>
          <cell r="D531" t="str">
            <v>10700037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27/03/2020</v>
          </cell>
          <cell r="I531">
            <v>1069.04</v>
          </cell>
          <cell r="J531">
            <v>360351.12</v>
          </cell>
          <cell r="K531">
            <v>300</v>
          </cell>
          <cell r="L531" t="e">
            <v>#DIV/0!</v>
          </cell>
          <cell r="M531" t="str">
            <v>Gramos</v>
          </cell>
        </row>
        <row r="532">
          <cell r="A532" t="str">
            <v>10700038</v>
          </cell>
          <cell r="B532">
            <v>16026</v>
          </cell>
          <cell r="C532" t="str">
            <v xml:space="preserve">CHOCOLATE SURTIDO GALLITO (CAJA: 330 G) </v>
          </cell>
          <cell r="D532" t="str">
            <v>10700038</v>
          </cell>
          <cell r="E532" t="str">
            <v>MATERIAS PRIMAS PLANTA</v>
          </cell>
          <cell r="F532" t="str">
            <v>1 CAJA</v>
          </cell>
          <cell r="G532">
            <v>500</v>
          </cell>
          <cell r="H532" t="str">
            <v>16/03/2020</v>
          </cell>
          <cell r="I532">
            <v>2252.27</v>
          </cell>
          <cell r="J532">
            <v>585590.19999999995</v>
          </cell>
          <cell r="K532">
            <v>330</v>
          </cell>
          <cell r="L532">
            <v>6.8250606060606058</v>
          </cell>
          <cell r="M532" t="str">
            <v>Gramos</v>
          </cell>
        </row>
        <row r="533">
          <cell r="A533" t="str">
            <v>10700040</v>
          </cell>
          <cell r="B533">
            <v>16619</v>
          </cell>
          <cell r="C533" t="str">
            <v>MONEDA CHOCOLATE SPOON ( CAJA:25 UND)</v>
          </cell>
          <cell r="D533" t="str">
            <v>10700040</v>
          </cell>
          <cell r="E533" t="str">
            <v>MATERIAS PRIMAS PLANTA</v>
          </cell>
          <cell r="F533" t="str">
            <v>1 CAJA</v>
          </cell>
          <cell r="G533">
            <v>500</v>
          </cell>
          <cell r="H533" t="str">
            <v>13/06/2020</v>
          </cell>
          <cell r="I533">
            <v>1</v>
          </cell>
          <cell r="J533">
            <v>85000</v>
          </cell>
          <cell r="K533">
            <v>25</v>
          </cell>
          <cell r="L533">
            <v>0.04</v>
          </cell>
          <cell r="M533" t="str">
            <v>Gramos</v>
          </cell>
        </row>
        <row r="534">
          <cell r="A534" t="str">
            <v>10900004</v>
          </cell>
          <cell r="B534">
            <v>9416</v>
          </cell>
          <cell r="C534" t="str">
            <v>OLLA DE CARNE MIXTO (PAQ:1KILO)</v>
          </cell>
          <cell r="D534" t="str">
            <v>10900004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08/06/2020</v>
          </cell>
          <cell r="I534">
            <v>1900</v>
          </cell>
          <cell r="J534">
            <v>248000</v>
          </cell>
          <cell r="K534">
            <v>1000</v>
          </cell>
          <cell r="L534">
            <v>1.9</v>
          </cell>
          <cell r="M534" t="str">
            <v>Gramos</v>
          </cell>
        </row>
        <row r="535">
          <cell r="A535" t="str">
            <v>10900005</v>
          </cell>
          <cell r="B535">
            <v>11342</v>
          </cell>
          <cell r="C535" t="str">
            <v>MENTA EN RAMAS (PAQ:100g)</v>
          </cell>
          <cell r="D535" t="str">
            <v>10900005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526</v>
          </cell>
          <cell r="J535">
            <v>303888</v>
          </cell>
          <cell r="K535">
            <v>100</v>
          </cell>
          <cell r="L535">
            <v>5.26</v>
          </cell>
          <cell r="M535" t="str">
            <v>Gramos</v>
          </cell>
        </row>
        <row r="536">
          <cell r="A536" t="str">
            <v>10900020</v>
          </cell>
          <cell r="B536">
            <v>10261</v>
          </cell>
          <cell r="C536" t="str">
            <v>ZANAHORIA EN TROZOS (PAQ=2Kg)</v>
          </cell>
          <cell r="D536" t="str">
            <v>10900020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30/05/2020</v>
          </cell>
          <cell r="I536">
            <v>2307</v>
          </cell>
          <cell r="J536">
            <v>536556</v>
          </cell>
          <cell r="K536">
            <v>2000</v>
          </cell>
          <cell r="L536">
            <v>1.1535</v>
          </cell>
          <cell r="M536" t="str">
            <v>Gramos</v>
          </cell>
        </row>
        <row r="537">
          <cell r="A537" t="str">
            <v>10900021</v>
          </cell>
          <cell r="B537">
            <v>10262</v>
          </cell>
          <cell r="C537" t="str">
            <v>AYOTE SAZON PELADO EN TROZOS (PAQ: 2Kg)</v>
          </cell>
          <cell r="D537" t="str">
            <v>10900021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13/06/2020</v>
          </cell>
          <cell r="I537">
            <v>3241</v>
          </cell>
          <cell r="J537">
            <v>6158740</v>
          </cell>
          <cell r="K537">
            <v>2000</v>
          </cell>
          <cell r="L537">
            <v>1.6205000000000001</v>
          </cell>
          <cell r="M537" t="str">
            <v>Gramos</v>
          </cell>
        </row>
        <row r="538">
          <cell r="A538" t="str">
            <v>10900022</v>
          </cell>
          <cell r="B538">
            <v>10263</v>
          </cell>
          <cell r="C538" t="str">
            <v>CHAYOTE TIERNO EN TROZOS (PAQ:2 KILOS)</v>
          </cell>
          <cell r="D538" t="str">
            <v>10900022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06/06/2020</v>
          </cell>
          <cell r="I538">
            <v>2518</v>
          </cell>
          <cell r="J538">
            <v>139685</v>
          </cell>
          <cell r="K538">
            <v>2000</v>
          </cell>
          <cell r="L538">
            <v>1.2589999999999999</v>
          </cell>
        </row>
        <row r="539">
          <cell r="A539" t="str">
            <v>10900023</v>
          </cell>
          <cell r="B539">
            <v>10260</v>
          </cell>
          <cell r="C539" t="str">
            <v xml:space="preserve">PAPA EN TROZOS (PAQ: 2 K) </v>
          </cell>
          <cell r="D539" t="str">
            <v>10900023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13/06/2020</v>
          </cell>
          <cell r="I539">
            <v>3641</v>
          </cell>
          <cell r="J539">
            <v>7125201</v>
          </cell>
          <cell r="K539">
            <v>2000</v>
          </cell>
          <cell r="L539">
            <v>1.8205</v>
          </cell>
          <cell r="M539" t="str">
            <v>Gramos</v>
          </cell>
        </row>
        <row r="540">
          <cell r="A540" t="str">
            <v>10900024</v>
          </cell>
          <cell r="B540">
            <v>9425</v>
          </cell>
          <cell r="C540" t="str">
            <v>YUCA EN TROZOS (PAQ: 2K)</v>
          </cell>
          <cell r="D540" t="str">
            <v>10900024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06/06/2020</v>
          </cell>
          <cell r="I540">
            <v>3450</v>
          </cell>
          <cell r="J540">
            <v>289800</v>
          </cell>
          <cell r="K540">
            <v>2000</v>
          </cell>
          <cell r="L540">
            <v>1.7250000000000001</v>
          </cell>
          <cell r="M540" t="str">
            <v>Gramos</v>
          </cell>
        </row>
        <row r="541">
          <cell r="A541" t="str">
            <v>10900025</v>
          </cell>
          <cell r="B541">
            <v>9426</v>
          </cell>
          <cell r="C541" t="str">
            <v>CAMOTE EN TROZOS (PAQ: 2K)</v>
          </cell>
          <cell r="D541" t="str">
            <v>10900025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06/06/2020</v>
          </cell>
          <cell r="I541">
            <v>4150</v>
          </cell>
          <cell r="J541">
            <v>33200</v>
          </cell>
          <cell r="K541">
            <v>2000</v>
          </cell>
          <cell r="L541">
            <v>2.0750000000000002</v>
          </cell>
          <cell r="M541" t="str">
            <v>Gramos</v>
          </cell>
        </row>
        <row r="542">
          <cell r="A542" t="str">
            <v>10900026</v>
          </cell>
          <cell r="B542">
            <v>9427</v>
          </cell>
          <cell r="C542" t="str">
            <v>ELOTE BLANCO EN TROZOS (PAQ:2K)</v>
          </cell>
          <cell r="D542" t="str">
            <v>10900026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06/06/2020</v>
          </cell>
          <cell r="I542">
            <v>3651</v>
          </cell>
          <cell r="J542">
            <v>65890</v>
          </cell>
          <cell r="K542">
            <v>2000</v>
          </cell>
          <cell r="L542">
            <v>1.8254999999999999</v>
          </cell>
          <cell r="M542" t="str">
            <v>Gramos</v>
          </cell>
        </row>
        <row r="543">
          <cell r="A543" t="str">
            <v>10900029</v>
          </cell>
          <cell r="B543">
            <v>5509</v>
          </cell>
          <cell r="C543" t="str">
            <v>ZANAHORIA TIRAS (PAQ:500g)</v>
          </cell>
          <cell r="D543" t="str">
            <v>10900029</v>
          </cell>
          <cell r="E543" t="str">
            <v>MATERIAS PRIMAS PLANTA</v>
          </cell>
          <cell r="F543" t="str">
            <v>1 PAQUETE</v>
          </cell>
          <cell r="G543">
            <v>500</v>
          </cell>
          <cell r="H543" t="str">
            <v>15/06/2020</v>
          </cell>
          <cell r="I543">
            <v>428</v>
          </cell>
          <cell r="J543">
            <v>1940724</v>
          </cell>
          <cell r="K543">
            <v>500</v>
          </cell>
          <cell r="L543">
            <v>0.85599999999999998</v>
          </cell>
          <cell r="M543" t="str">
            <v>Gramos</v>
          </cell>
        </row>
        <row r="544">
          <cell r="A544" t="str">
            <v>10900032</v>
          </cell>
          <cell r="B544">
            <v>5424</v>
          </cell>
          <cell r="C544" t="str">
            <v>FRESA ENTERA (UND:300 g)</v>
          </cell>
          <cell r="D544" t="str">
            <v>10900032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15/06/2020</v>
          </cell>
          <cell r="I544">
            <v>875</v>
          </cell>
          <cell r="J544">
            <v>3815000</v>
          </cell>
          <cell r="K544">
            <v>300</v>
          </cell>
          <cell r="L544">
            <v>2.9166666666666665</v>
          </cell>
          <cell r="M544" t="str">
            <v>Gramos</v>
          </cell>
        </row>
        <row r="545">
          <cell r="A545" t="str">
            <v>10900033</v>
          </cell>
          <cell r="B545">
            <v>5470</v>
          </cell>
          <cell r="C545" t="str">
            <v>ELOTE MINI (PAQ:200g)</v>
          </cell>
          <cell r="D545" t="str">
            <v>10900033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28/05/2020</v>
          </cell>
          <cell r="I545">
            <v>780</v>
          </cell>
          <cell r="J545">
            <v>149760</v>
          </cell>
          <cell r="K545">
            <v>200</v>
          </cell>
          <cell r="L545">
            <v>3.9</v>
          </cell>
          <cell r="M545" t="str">
            <v>Gramos</v>
          </cell>
        </row>
        <row r="546">
          <cell r="A546" t="str">
            <v>10900034</v>
          </cell>
          <cell r="B546">
            <v>5478</v>
          </cell>
          <cell r="C546" t="str">
            <v>ALBAHACA (PAQ: 100g)</v>
          </cell>
          <cell r="D546" t="str">
            <v>10900034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15/06/2020</v>
          </cell>
          <cell r="I546">
            <v>1</v>
          </cell>
          <cell r="J546">
            <v>986944.5</v>
          </cell>
          <cell r="K546">
            <v>100</v>
          </cell>
          <cell r="L546">
            <v>0.01</v>
          </cell>
          <cell r="M546" t="str">
            <v>Gramos</v>
          </cell>
        </row>
        <row r="547">
          <cell r="A547" t="str">
            <v>10900036</v>
          </cell>
          <cell r="B547">
            <v>5499</v>
          </cell>
          <cell r="C547" t="str">
            <v>LECHUGA AMERICANA ENTERA (PAQ:500g)</v>
          </cell>
          <cell r="D547" t="str">
            <v>10900036</v>
          </cell>
          <cell r="E547" t="str">
            <v>MATERIAS PRIMAS PLANTA</v>
          </cell>
          <cell r="F547" t="str">
            <v>1 PAQUETE</v>
          </cell>
          <cell r="G547">
            <v>500</v>
          </cell>
          <cell r="H547" t="str">
            <v>15/06/2020</v>
          </cell>
          <cell r="I547">
            <v>1026</v>
          </cell>
          <cell r="J547">
            <v>8700228</v>
          </cell>
          <cell r="K547">
            <v>500</v>
          </cell>
          <cell r="L547">
            <v>2.052</v>
          </cell>
          <cell r="M547" t="str">
            <v>Gramos</v>
          </cell>
        </row>
        <row r="548">
          <cell r="A548" t="str">
            <v>10900037</v>
          </cell>
          <cell r="B548">
            <v>5469</v>
          </cell>
          <cell r="C548" t="str">
            <v>VAINICA BABY (PAQ:200g)</v>
          </cell>
          <cell r="D548" t="str">
            <v>10900037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30/05/2020</v>
          </cell>
          <cell r="I548">
            <v>580</v>
          </cell>
          <cell r="J548">
            <v>48140</v>
          </cell>
          <cell r="K548">
            <v>200</v>
          </cell>
          <cell r="L548">
            <v>2.9</v>
          </cell>
          <cell r="M548" t="str">
            <v>Und</v>
          </cell>
        </row>
        <row r="549">
          <cell r="A549" t="str">
            <v>10900040</v>
          </cell>
          <cell r="B549">
            <v>5452</v>
          </cell>
          <cell r="C549" t="str">
            <v>PEREJIL (PAQUETE: 32 gr)</v>
          </cell>
          <cell r="D549" t="str">
            <v>10900040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1</v>
          </cell>
          <cell r="J549">
            <v>748292</v>
          </cell>
          <cell r="K549">
            <v>32</v>
          </cell>
          <cell r="L549">
            <v>3.125E-2</v>
          </cell>
          <cell r="M549" t="str">
            <v>Und</v>
          </cell>
        </row>
        <row r="550">
          <cell r="A550" t="str">
            <v>10900041</v>
          </cell>
          <cell r="B550">
            <v>5489</v>
          </cell>
          <cell r="C550" t="str">
            <v>REPOLLO MORADO RALLADO (PAQ:250g)</v>
          </cell>
          <cell r="D550" t="str">
            <v>10900041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399</v>
          </cell>
          <cell r="J550">
            <v>1627715</v>
          </cell>
          <cell r="K550">
            <v>250</v>
          </cell>
          <cell r="L550">
            <v>1.5960000000000001</v>
          </cell>
          <cell r="M550" t="str">
            <v>Und</v>
          </cell>
        </row>
        <row r="551">
          <cell r="A551" t="str">
            <v>10900042</v>
          </cell>
          <cell r="B551">
            <v>5477</v>
          </cell>
          <cell r="C551" t="str">
            <v>HIERBA BUENA (PAQ:100g)</v>
          </cell>
          <cell r="D551" t="str">
            <v>10900042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1</v>
          </cell>
          <cell r="J551">
            <v>2752850</v>
          </cell>
          <cell r="K551">
            <v>100</v>
          </cell>
          <cell r="L551">
            <v>0.01</v>
          </cell>
          <cell r="M551" t="str">
            <v>Und</v>
          </cell>
        </row>
        <row r="552">
          <cell r="A552" t="str">
            <v>10900043</v>
          </cell>
          <cell r="B552">
            <v>5468</v>
          </cell>
          <cell r="C552" t="str">
            <v>TOMATE CHERRY (PAQ:200g)</v>
          </cell>
          <cell r="D552" t="str">
            <v>10900043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16/06/2020</v>
          </cell>
          <cell r="I552">
            <v>450</v>
          </cell>
          <cell r="J552">
            <v>8591850</v>
          </cell>
          <cell r="K552">
            <v>200</v>
          </cell>
          <cell r="L552">
            <v>2.25</v>
          </cell>
          <cell r="M552" t="str">
            <v>Und</v>
          </cell>
        </row>
        <row r="553">
          <cell r="A553" t="str">
            <v>10900047</v>
          </cell>
          <cell r="B553">
            <v>5459</v>
          </cell>
          <cell r="C553" t="str">
            <v>ALFALFA (PAQ:150g)</v>
          </cell>
          <cell r="D553" t="str">
            <v>10900047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16/06/2020</v>
          </cell>
          <cell r="I553">
            <v>750</v>
          </cell>
          <cell r="J553">
            <v>3714750</v>
          </cell>
          <cell r="K553">
            <v>150</v>
          </cell>
          <cell r="L553">
            <v>5</v>
          </cell>
          <cell r="M553" t="str">
            <v>Und</v>
          </cell>
        </row>
        <row r="554">
          <cell r="A554" t="str">
            <v>10900051</v>
          </cell>
          <cell r="B554">
            <v>11353</v>
          </cell>
          <cell r="C554" t="str">
            <v>AGUACATE KILO</v>
          </cell>
          <cell r="D554" t="str">
            <v>10900051</v>
          </cell>
          <cell r="E554" t="str">
            <v>MATERIAS PRIMAS PLANTA</v>
          </cell>
          <cell r="F554" t="str">
            <v>1 KILO</v>
          </cell>
          <cell r="G554">
            <v>500</v>
          </cell>
          <cell r="H554" t="str">
            <v>15/06/2020</v>
          </cell>
          <cell r="I554">
            <v>2400</v>
          </cell>
          <cell r="J554">
            <v>46930219.75</v>
          </cell>
          <cell r="K554">
            <v>1000</v>
          </cell>
          <cell r="L554">
            <v>2.4</v>
          </cell>
          <cell r="M554" t="str">
            <v>Gramos</v>
          </cell>
        </row>
        <row r="555">
          <cell r="A555" t="str">
            <v>10900057</v>
          </cell>
          <cell r="B555">
            <v>12159</v>
          </cell>
          <cell r="C555" t="str">
            <v>ZUQUINI MINI (PAQ:200g)</v>
          </cell>
          <cell r="D555" t="str">
            <v>10900057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16/06/2020</v>
          </cell>
          <cell r="I555">
            <v>400</v>
          </cell>
          <cell r="J555">
            <v>1774000</v>
          </cell>
          <cell r="K555">
            <v>200</v>
          </cell>
          <cell r="L555">
            <v>2</v>
          </cell>
          <cell r="M555" t="str">
            <v>Gramos</v>
          </cell>
        </row>
        <row r="556">
          <cell r="A556" t="str">
            <v>10900059</v>
          </cell>
          <cell r="B556">
            <v>5490</v>
          </cell>
          <cell r="C556" t="str">
            <v>RABANO (PAQ:125g)</v>
          </cell>
          <cell r="D556" t="str">
            <v>10900059</v>
          </cell>
          <cell r="E556" t="str">
            <v>MATERIAS PRIMAS PLANTA</v>
          </cell>
          <cell r="F556" t="str">
            <v xml:space="preserve">1 KILO </v>
          </cell>
          <cell r="G556">
            <v>500</v>
          </cell>
          <cell r="H556" t="str">
            <v>15/06/2020</v>
          </cell>
          <cell r="I556">
            <v>1149</v>
          </cell>
          <cell r="J556">
            <v>360673.03</v>
          </cell>
          <cell r="K556">
            <v>1000</v>
          </cell>
          <cell r="L556">
            <v>1.149</v>
          </cell>
          <cell r="M556" t="str">
            <v>Gramos</v>
          </cell>
        </row>
        <row r="557">
          <cell r="A557" t="str">
            <v>10900060</v>
          </cell>
          <cell r="B557">
            <v>8109</v>
          </cell>
          <cell r="C557" t="str">
            <v>CEREZA ROJA C/TALLO MARASCH (UND:GALON)</v>
          </cell>
          <cell r="D557" t="str">
            <v>10900060</v>
          </cell>
          <cell r="E557" t="str">
            <v>MATERIAS PRIMAS PLANTA</v>
          </cell>
          <cell r="F557" t="str">
            <v>1 UND</v>
          </cell>
          <cell r="G557">
            <v>500</v>
          </cell>
          <cell r="H557" t="str">
            <v>08/06/2020</v>
          </cell>
          <cell r="I557">
            <v>10425</v>
          </cell>
          <cell r="J557">
            <v>1762256</v>
          </cell>
          <cell r="K557">
            <v>3785</v>
          </cell>
          <cell r="L557">
            <v>2.7542932628797887</v>
          </cell>
          <cell r="M557" t="str">
            <v>Gramos</v>
          </cell>
        </row>
        <row r="558">
          <cell r="A558" t="str">
            <v>10900062</v>
          </cell>
          <cell r="B558">
            <v>11812</v>
          </cell>
          <cell r="C558" t="str">
            <v>PLATANO MADURO KILO</v>
          </cell>
          <cell r="D558" t="str">
            <v>10900062</v>
          </cell>
          <cell r="E558" t="str">
            <v>MATERIAS PRIMAS PLANTA</v>
          </cell>
          <cell r="F558" t="str">
            <v xml:space="preserve">1 KILO </v>
          </cell>
          <cell r="G558">
            <v>500</v>
          </cell>
          <cell r="H558" t="str">
            <v>13/06/2020</v>
          </cell>
          <cell r="I558">
            <v>685</v>
          </cell>
          <cell r="J558">
            <v>4873295.5</v>
          </cell>
          <cell r="K558">
            <v>1000</v>
          </cell>
          <cell r="L558">
            <v>0.68500000000000005</v>
          </cell>
          <cell r="M558" t="str">
            <v>Gramos</v>
          </cell>
        </row>
        <row r="559">
          <cell r="A559" t="str">
            <v>10900066</v>
          </cell>
          <cell r="B559">
            <v>12599</v>
          </cell>
          <cell r="C559" t="str">
            <v>PIÑA PICADA (PAQ:1 kg)</v>
          </cell>
          <cell r="D559" t="str">
            <v>10900066</v>
          </cell>
          <cell r="E559" t="str">
            <v>MATERIAS PRIMAS PLANTA</v>
          </cell>
          <cell r="F559" t="str">
            <v>1 PAQUETE</v>
          </cell>
          <cell r="G559">
            <v>500</v>
          </cell>
          <cell r="H559" t="str">
            <v>23/03/2020</v>
          </cell>
          <cell r="I559">
            <v>1950</v>
          </cell>
          <cell r="J559">
            <v>222300</v>
          </cell>
          <cell r="K559">
            <v>1000</v>
          </cell>
          <cell r="L559">
            <v>1.95</v>
          </cell>
          <cell r="M559" t="str">
            <v>Gramos</v>
          </cell>
        </row>
        <row r="560">
          <cell r="A560" t="str">
            <v>11000003</v>
          </cell>
          <cell r="B560">
            <v>12966</v>
          </cell>
          <cell r="C560" t="str">
            <v>BATERIA MAXELL ALKALINA TI D (PAQ:2 UND)</v>
          </cell>
          <cell r="D560" t="str">
            <v>11000003</v>
          </cell>
          <cell r="E560" t="str">
            <v>MATERIAS PRIMAS PLANTA</v>
          </cell>
          <cell r="F560" t="str">
            <v>1 PAQUETE</v>
          </cell>
          <cell r="G560">
            <v>500</v>
          </cell>
          <cell r="H560" t="str">
            <v>10/03/2020</v>
          </cell>
          <cell r="I560">
            <v>2200</v>
          </cell>
          <cell r="J560">
            <v>68000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11000006</v>
          </cell>
          <cell r="B561">
            <v>14894</v>
          </cell>
          <cell r="C561" t="str">
            <v>ORLA 6.5'' (UND)</v>
          </cell>
          <cell r="D561" t="str">
            <v>11000006</v>
          </cell>
          <cell r="E561" t="str">
            <v>EMPAQUES PLANTA</v>
          </cell>
          <cell r="F561" t="str">
            <v>1 UND</v>
          </cell>
          <cell r="G561">
            <v>500</v>
          </cell>
          <cell r="H561" t="str">
            <v>13/03/2020</v>
          </cell>
          <cell r="I561">
            <v>69</v>
          </cell>
          <cell r="J561">
            <v>103500</v>
          </cell>
          <cell r="K561">
            <v>0</v>
          </cell>
          <cell r="L561" t="e">
            <v>#DIV/0!</v>
          </cell>
          <cell r="M561"/>
        </row>
        <row r="562">
          <cell r="A562" t="str">
            <v>11100002</v>
          </cell>
          <cell r="B562">
            <v>12716</v>
          </cell>
          <cell r="C562" t="str">
            <v>MARGARINA LIQUIDA 17.5LB (CAJA:2 UND)</v>
          </cell>
          <cell r="D562" t="str">
            <v>11100002</v>
          </cell>
          <cell r="E562" t="str">
            <v>MATERIAS PRIMAS PLANTA</v>
          </cell>
          <cell r="F562" t="str">
            <v>1 CAJA</v>
          </cell>
          <cell r="G562">
            <v>500</v>
          </cell>
          <cell r="H562" t="str">
            <v>07/01/2020</v>
          </cell>
          <cell r="I562">
            <v>9320.5</v>
          </cell>
          <cell r="J562">
            <v>37282</v>
          </cell>
          <cell r="K562">
            <v>120</v>
          </cell>
          <cell r="L562" t="e">
            <v>#DIV/0!</v>
          </cell>
          <cell r="M562" t="str">
            <v>Und</v>
          </cell>
        </row>
        <row r="563">
          <cell r="A563" t="str">
            <v>11100006</v>
          </cell>
          <cell r="B563">
            <v>11434</v>
          </cell>
          <cell r="C563" t="str">
            <v>MANTEQUILLA BLISTER 7g  (CAJA:120 UND)</v>
          </cell>
          <cell r="D563" t="str">
            <v>11100006</v>
          </cell>
          <cell r="E563" t="str">
            <v>MATERIAS PRIMAS PLANTA</v>
          </cell>
          <cell r="F563" t="str">
            <v xml:space="preserve">1 CAJA </v>
          </cell>
          <cell r="G563">
            <v>500</v>
          </cell>
          <cell r="H563" t="str">
            <v>20/03/2020</v>
          </cell>
          <cell r="I563">
            <v>7963.89</v>
          </cell>
          <cell r="J563">
            <v>363436.83</v>
          </cell>
          <cell r="K563">
            <v>10</v>
          </cell>
          <cell r="L563" t="e">
            <v>#DIV/0!</v>
          </cell>
          <cell r="M563" t="str">
            <v>Und</v>
          </cell>
        </row>
        <row r="564">
          <cell r="A564" t="str">
            <v>11200004</v>
          </cell>
          <cell r="B564">
            <v>11440</v>
          </cell>
          <cell r="C564" t="str">
            <v>PAN TRENZA(PAQ:10 UND)</v>
          </cell>
          <cell r="D564" t="str">
            <v>11200004</v>
          </cell>
          <cell r="E564" t="str">
            <v>MATERIAS PRIMAS PLANTA</v>
          </cell>
          <cell r="F564" t="str">
            <v>1 PAQUETE</v>
          </cell>
          <cell r="G564">
            <v>500</v>
          </cell>
          <cell r="H564" t="str">
            <v>12/06/2020</v>
          </cell>
          <cell r="I564">
            <v>2050</v>
          </cell>
          <cell r="J564">
            <v>811800</v>
          </cell>
          <cell r="K564">
            <v>20</v>
          </cell>
          <cell r="L564" t="e">
            <v>#DIV/0!</v>
          </cell>
          <cell r="M564" t="str">
            <v>Und</v>
          </cell>
        </row>
        <row r="565">
          <cell r="A565" t="str">
            <v>11200005</v>
          </cell>
          <cell r="B565">
            <v>11441</v>
          </cell>
          <cell r="C565" t="str">
            <v>PAN BAGUETTINO (PAQ:20 UND)</v>
          </cell>
          <cell r="D565" t="str">
            <v>11200005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2400</v>
          </cell>
          <cell r="J565">
            <v>2815200</v>
          </cell>
          <cell r="K565">
            <v>5</v>
          </cell>
          <cell r="L565" t="e">
            <v>#DIV/0!</v>
          </cell>
          <cell r="M565" t="str">
            <v>Und</v>
          </cell>
        </row>
        <row r="566">
          <cell r="A566" t="str">
            <v>11200019</v>
          </cell>
          <cell r="B566">
            <v>5573</v>
          </cell>
          <cell r="C566" t="str">
            <v>PAN MINI BAGUET (PAQ:5 UND)</v>
          </cell>
          <cell r="D566" t="str">
            <v>11200019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1</v>
          </cell>
          <cell r="J566">
            <v>27599400</v>
          </cell>
          <cell r="K566">
            <v>5</v>
          </cell>
          <cell r="L566" t="e">
            <v>#DIV/0!</v>
          </cell>
          <cell r="M566" t="str">
            <v>Und</v>
          </cell>
        </row>
        <row r="567">
          <cell r="A567" t="str">
            <v>11200041</v>
          </cell>
          <cell r="B567">
            <v>5572</v>
          </cell>
          <cell r="C567" t="str">
            <v>CONCHA PIZZA (PAQ:5 UND)</v>
          </cell>
          <cell r="D567" t="str">
            <v>11200041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845</v>
          </cell>
          <cell r="J567">
            <v>1928290</v>
          </cell>
          <cell r="K567">
            <v>25000</v>
          </cell>
          <cell r="L567" t="e">
            <v>#DIV/0!</v>
          </cell>
          <cell r="M567" t="str">
            <v>Gramos</v>
          </cell>
        </row>
        <row r="568">
          <cell r="A568" t="str">
            <v>11200043</v>
          </cell>
          <cell r="B568">
            <v>11326</v>
          </cell>
          <cell r="C568" t="str">
            <v>PREMEZCLA TEGRAL QQ VAINILLA (SACO:25K)</v>
          </cell>
          <cell r="D568" t="str">
            <v>11200043</v>
          </cell>
          <cell r="E568" t="str">
            <v>MATERIAS PRIMAS PLANTA</v>
          </cell>
          <cell r="F568" t="str">
            <v>1 SACO</v>
          </cell>
          <cell r="G568">
            <v>500</v>
          </cell>
          <cell r="H568" t="str">
            <v>13/06/2020</v>
          </cell>
          <cell r="I568">
            <v>23175</v>
          </cell>
          <cell r="J568">
            <v>21460050</v>
          </cell>
          <cell r="K568">
            <v>25000</v>
          </cell>
          <cell r="L568">
            <v>0.92700000000000005</v>
          </cell>
          <cell r="M568" t="str">
            <v>Gramos</v>
          </cell>
        </row>
        <row r="569">
          <cell r="A569" t="str">
            <v>11200048</v>
          </cell>
          <cell r="B569">
            <v>12603</v>
          </cell>
          <cell r="C569" t="str">
            <v>PREMEZCLA TEGRAL QQ CHOCOLATE (SACO:20K)</v>
          </cell>
          <cell r="D569" t="str">
            <v>11200048</v>
          </cell>
          <cell r="E569" t="str">
            <v>MATERIAS PRIMAS PLANTA</v>
          </cell>
          <cell r="F569" t="str">
            <v>1 SACO</v>
          </cell>
          <cell r="G569">
            <v>500</v>
          </cell>
          <cell r="H569" t="str">
            <v>13/06/2020</v>
          </cell>
          <cell r="I569">
            <v>22000</v>
          </cell>
          <cell r="J569">
            <v>11264000</v>
          </cell>
          <cell r="K569">
            <v>20000</v>
          </cell>
          <cell r="L569">
            <v>1.1000000000000001</v>
          </cell>
          <cell r="M569" t="str">
            <v>Gramos</v>
          </cell>
        </row>
        <row r="570">
          <cell r="A570" t="str">
            <v>11200058</v>
          </cell>
          <cell r="B570">
            <v>14508</v>
          </cell>
          <cell r="C570" t="str">
            <v>PAN ARABE BLANCO 15 CM (PAQ:5 UND)</v>
          </cell>
          <cell r="D570" t="str">
            <v>11200058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910</v>
          </cell>
          <cell r="J570">
            <v>8372000</v>
          </cell>
          <cell r="K570">
            <v>5</v>
          </cell>
          <cell r="L570">
            <v>182</v>
          </cell>
          <cell r="M570" t="str">
            <v>Gramos</v>
          </cell>
        </row>
        <row r="571">
          <cell r="A571" t="str">
            <v>11200060</v>
          </cell>
          <cell r="B571">
            <v>14555</v>
          </cell>
          <cell r="C571" t="str">
            <v>PAN BRIOCHE (PAQ= 20 UND)</v>
          </cell>
          <cell r="D571" t="str">
            <v>11200060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07/01/2020</v>
          </cell>
          <cell r="I571">
            <v>3100</v>
          </cell>
          <cell r="J571">
            <v>130200</v>
          </cell>
          <cell r="K571">
            <v>20</v>
          </cell>
          <cell r="L571">
            <v>155</v>
          </cell>
          <cell r="M571" t="str">
            <v>Gramos</v>
          </cell>
        </row>
        <row r="572">
          <cell r="A572" t="str">
            <v>11200063</v>
          </cell>
          <cell r="B572">
            <v>15186</v>
          </cell>
          <cell r="C572" t="str">
            <v>PAN CIABATTA 16 CM (PAQ:10 UND)</v>
          </cell>
          <cell r="D572" t="str">
            <v>11200063</v>
          </cell>
          <cell r="E572" t="str">
            <v>MATERIAS PRIMAS PLANTA</v>
          </cell>
          <cell r="F572" t="str">
            <v xml:space="preserve">1 PAQUETE  </v>
          </cell>
          <cell r="G572">
            <v>500</v>
          </cell>
          <cell r="H572" t="str">
            <v>15/06/2020</v>
          </cell>
          <cell r="I572">
            <v>2200</v>
          </cell>
          <cell r="J572">
            <v>12086800</v>
          </cell>
          <cell r="K572">
            <v>10</v>
          </cell>
          <cell r="L572">
            <v>220</v>
          </cell>
          <cell r="M572" t="str">
            <v>Gramos</v>
          </cell>
        </row>
        <row r="573">
          <cell r="A573" t="str">
            <v>11200064</v>
          </cell>
          <cell r="B573">
            <v>15550</v>
          </cell>
          <cell r="C573" t="str">
            <v>HARINA TRIGO NACARINA (SACO: 25 K)</v>
          </cell>
          <cell r="D573" t="str">
            <v>11200064</v>
          </cell>
          <cell r="E573" t="str">
            <v>MATERIAS PRIMAS PLANTA</v>
          </cell>
          <cell r="F573" t="str">
            <v>1 SACO</v>
          </cell>
          <cell r="G573">
            <v>500</v>
          </cell>
          <cell r="H573" t="str">
            <v>12/06/2020</v>
          </cell>
          <cell r="I573">
            <v>13104</v>
          </cell>
          <cell r="J573">
            <v>18096624</v>
          </cell>
          <cell r="K573">
            <v>25000</v>
          </cell>
          <cell r="L573">
            <v>0.52415999999999996</v>
          </cell>
          <cell r="M573" t="str">
            <v>Gramos</v>
          </cell>
        </row>
        <row r="574">
          <cell r="A574" t="str">
            <v>11200065</v>
          </cell>
          <cell r="B574">
            <v>15852</v>
          </cell>
          <cell r="C574" t="str">
            <v>BAGUETTE FRANCES LAPIZ (CAJA:17 UND)</v>
          </cell>
          <cell r="D574" t="str">
            <v>11200065</v>
          </cell>
          <cell r="E574" t="str">
            <v>MATERIAS PRIMAS PLANTA</v>
          </cell>
          <cell r="F574" t="str">
            <v>1 CAJA</v>
          </cell>
          <cell r="G574">
            <v>500</v>
          </cell>
          <cell r="H574" t="str">
            <v>02/06/2020</v>
          </cell>
          <cell r="I574">
            <v>6480</v>
          </cell>
          <cell r="J574">
            <v>401920</v>
          </cell>
          <cell r="K574">
            <v>25000</v>
          </cell>
          <cell r="L574" t="e">
            <v>#DIV/0!</v>
          </cell>
          <cell r="M574" t="str">
            <v>Gramos</v>
          </cell>
        </row>
        <row r="575">
          <cell r="A575" t="str">
            <v>11200066</v>
          </cell>
          <cell r="B575">
            <v>15882</v>
          </cell>
          <cell r="C575" t="str">
            <v>PREMEZCLA RED VELVET (SACO:25 K)</v>
          </cell>
          <cell r="D575" t="str">
            <v>11200066</v>
          </cell>
          <cell r="E575" t="str">
            <v>MATERIAS PRIMAS PLANTA</v>
          </cell>
          <cell r="F575" t="str">
            <v>1 SACO</v>
          </cell>
          <cell r="G575">
            <v>500</v>
          </cell>
          <cell r="H575" t="str">
            <v>15/02/2020</v>
          </cell>
          <cell r="I575">
            <v>38750</v>
          </cell>
          <cell r="J575">
            <v>232500</v>
          </cell>
          <cell r="K575">
            <v>25000</v>
          </cell>
          <cell r="L575">
            <v>1.55</v>
          </cell>
          <cell r="M575" t="str">
            <v>Gramos</v>
          </cell>
        </row>
        <row r="576">
          <cell r="A576" t="str">
            <v>11200067</v>
          </cell>
          <cell r="B576">
            <v>15895</v>
          </cell>
          <cell r="C576" t="str">
            <v>PREMEZCLA PUDING CAKE PILLSB (SC:22.6 K)</v>
          </cell>
          <cell r="D576" t="str">
            <v>11200067</v>
          </cell>
          <cell r="E576" t="str">
            <v>MATERIAS PRIMAS PLANTA</v>
          </cell>
          <cell r="F576" t="str">
            <v>1 SACO</v>
          </cell>
          <cell r="G576">
            <v>500</v>
          </cell>
          <cell r="H576" t="str">
            <v>11/05/2020</v>
          </cell>
          <cell r="I576">
            <v>25854</v>
          </cell>
          <cell r="J576">
            <v>277946</v>
          </cell>
          <cell r="K576">
            <v>22600</v>
          </cell>
          <cell r="L576">
            <v>1.1439823008849557</v>
          </cell>
          <cell r="M576" t="str">
            <v>Gramos</v>
          </cell>
        </row>
        <row r="577">
          <cell r="A577" t="str">
            <v>11200068</v>
          </cell>
          <cell r="B577">
            <v>15913</v>
          </cell>
          <cell r="C577" t="str">
            <v xml:space="preserve">PAN FOCACCIA ( PAQ:10 UND) </v>
          </cell>
          <cell r="D577" t="str">
            <v>11200068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1950</v>
          </cell>
          <cell r="J577">
            <v>3106350</v>
          </cell>
          <cell r="K577">
            <v>10</v>
          </cell>
          <cell r="L577">
            <v>195</v>
          </cell>
          <cell r="M577" t="str">
            <v>Gramos</v>
          </cell>
        </row>
        <row r="578">
          <cell r="A578" t="str">
            <v>11300001</v>
          </cell>
          <cell r="B578">
            <v>7092</v>
          </cell>
          <cell r="C578" t="str">
            <v>CLARA HUEVO PASTE DEB-EL (CAJA:2.267 K)</v>
          </cell>
          <cell r="D578" t="str">
            <v>11300001</v>
          </cell>
          <cell r="E578" t="str">
            <v>MATERIAS PRIMAS PLANTA</v>
          </cell>
          <cell r="F578" t="str">
            <v>1 Uds.</v>
          </cell>
          <cell r="G578">
            <v>500</v>
          </cell>
          <cell r="H578" t="str">
            <v>15/06/2020</v>
          </cell>
          <cell r="I578">
            <v>3859</v>
          </cell>
          <cell r="J578">
            <v>1677715</v>
          </cell>
          <cell r="K578">
            <v>2267</v>
          </cell>
          <cell r="L578">
            <v>1.7022496691662992</v>
          </cell>
          <cell r="M578" t="str">
            <v>Gramos</v>
          </cell>
        </row>
        <row r="579">
          <cell r="A579" t="str">
            <v>11300005</v>
          </cell>
          <cell r="B579">
            <v>5579</v>
          </cell>
          <cell r="C579" t="str">
            <v>HUEVOS EN CARTON (30UNID)</v>
          </cell>
          <cell r="D579" t="str">
            <v>11300005</v>
          </cell>
          <cell r="E579" t="str">
            <v>MATERIAS PRIMAS PLANTA</v>
          </cell>
          <cell r="F579" t="str">
            <v>1 CARTON</v>
          </cell>
          <cell r="G579">
            <v>500</v>
          </cell>
          <cell r="H579" t="str">
            <v>15/06/2020</v>
          </cell>
          <cell r="I579">
            <v>2197.8461538400002</v>
          </cell>
          <cell r="J579">
            <v>36673958.286337502</v>
          </cell>
          <cell r="K579">
            <v>30</v>
          </cell>
          <cell r="L579">
            <v>73.261538461333345</v>
          </cell>
          <cell r="M579" t="str">
            <v>Gramos</v>
          </cell>
        </row>
        <row r="580">
          <cell r="A580" t="str">
            <v>11300009</v>
          </cell>
          <cell r="B580">
            <v>15167</v>
          </cell>
          <cell r="C580" t="str">
            <v xml:space="preserve">CLARA DE HUEVO (CAJA:5 K) </v>
          </cell>
          <cell r="D580" t="str">
            <v>11300009</v>
          </cell>
          <cell r="E580" t="str">
            <v>MATERIAS PRIMAS PLANTA</v>
          </cell>
          <cell r="F580" t="str">
            <v>1 CAJA</v>
          </cell>
          <cell r="G580">
            <v>500</v>
          </cell>
          <cell r="H580" t="str">
            <v>21/02/2020</v>
          </cell>
          <cell r="I580">
            <v>10175</v>
          </cell>
          <cell r="J580">
            <v>86950</v>
          </cell>
          <cell r="K580">
            <v>5000</v>
          </cell>
          <cell r="L580">
            <v>2.0350000000000001</v>
          </cell>
          <cell r="M580" t="str">
            <v>Gramos</v>
          </cell>
        </row>
        <row r="581">
          <cell r="A581" t="str">
            <v>11300010</v>
          </cell>
          <cell r="B581">
            <v>15597</v>
          </cell>
          <cell r="C581" t="str">
            <v>HUEVO DURO (PAQ:4 UND)</v>
          </cell>
          <cell r="D581" t="str">
            <v>11300010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15/06/2020</v>
          </cell>
          <cell r="I581">
            <v>1</v>
          </cell>
          <cell r="J581">
            <v>2934200</v>
          </cell>
          <cell r="K581">
            <v>4</v>
          </cell>
          <cell r="L581">
            <v>0.25</v>
          </cell>
          <cell r="M581" t="str">
            <v>Mililitros</v>
          </cell>
        </row>
        <row r="582">
          <cell r="A582" t="str">
            <v>11300011</v>
          </cell>
          <cell r="B582">
            <v>16203</v>
          </cell>
          <cell r="C582" t="str">
            <v>YEMA DE HUEVO (UND: 8.34 K)</v>
          </cell>
          <cell r="D582" t="str">
            <v>11300011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05/03/2020</v>
          </cell>
          <cell r="I582">
            <v>17514</v>
          </cell>
          <cell r="J582">
            <v>332766</v>
          </cell>
          <cell r="K582">
            <v>8340</v>
          </cell>
          <cell r="L582">
            <v>2.1</v>
          </cell>
          <cell r="M582" t="str">
            <v>Gramos</v>
          </cell>
        </row>
        <row r="583">
          <cell r="A583" t="str">
            <v>11400014</v>
          </cell>
          <cell r="B583">
            <v>5605</v>
          </cell>
          <cell r="C583" t="str">
            <v>YOGURTH IN LINE NATURAL (UND:500g)</v>
          </cell>
          <cell r="D583" t="str">
            <v>11400014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05/05/2020</v>
          </cell>
          <cell r="I583">
            <v>992.66</v>
          </cell>
          <cell r="J583">
            <v>104229.3</v>
          </cell>
          <cell r="K583">
            <v>500</v>
          </cell>
          <cell r="L583">
            <v>1.98532</v>
          </cell>
          <cell r="M583" t="str">
            <v>Gramos</v>
          </cell>
        </row>
        <row r="584">
          <cell r="A584" t="str">
            <v>11400015</v>
          </cell>
          <cell r="B584">
            <v>5606</v>
          </cell>
          <cell r="C584" t="str">
            <v>QUESO GOUDA (PAQ:160g)</v>
          </cell>
          <cell r="D584" t="str">
            <v>11400015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15/06/2020</v>
          </cell>
          <cell r="I584">
            <v>1654.8420000000001</v>
          </cell>
          <cell r="J584">
            <v>1331693.257</v>
          </cell>
          <cell r="K584">
            <v>160</v>
          </cell>
          <cell r="L584">
            <v>10.342762500000001</v>
          </cell>
          <cell r="M584" t="str">
            <v>Gramos</v>
          </cell>
        </row>
        <row r="585">
          <cell r="A585" t="str">
            <v>11400024</v>
          </cell>
          <cell r="B585">
            <v>5590</v>
          </cell>
          <cell r="C585" t="str">
            <v>QUESO TURRIALBA (PAQ: 3 K)</v>
          </cell>
          <cell r="D585" t="str">
            <v>11400024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15/06/2020</v>
          </cell>
          <cell r="I585">
            <v>9124.1299999999992</v>
          </cell>
          <cell r="J585">
            <v>5706832.0599999996</v>
          </cell>
          <cell r="K585">
            <v>3000</v>
          </cell>
          <cell r="L585">
            <v>3.0413766666666664</v>
          </cell>
          <cell r="M585" t="str">
            <v>Gramos</v>
          </cell>
        </row>
        <row r="586">
          <cell r="A586" t="str">
            <v>11400027</v>
          </cell>
          <cell r="B586">
            <v>5596</v>
          </cell>
          <cell r="C586" t="str">
            <v>CREMA BETTERCREAM DOBLE CHOCO (UND:4 K)</v>
          </cell>
          <cell r="D586" t="str">
            <v>11400027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15/06/2020</v>
          </cell>
          <cell r="I586">
            <v>8177</v>
          </cell>
          <cell r="J586">
            <v>17136970</v>
          </cell>
          <cell r="K586">
            <v>4000</v>
          </cell>
          <cell r="L586">
            <v>2.0442499999999999</v>
          </cell>
          <cell r="M586" t="str">
            <v>Gramos</v>
          </cell>
        </row>
        <row r="587">
          <cell r="A587" t="str">
            <v>11400029</v>
          </cell>
          <cell r="B587">
            <v>5598</v>
          </cell>
          <cell r="C587" t="str">
            <v>CREMA BETTER DULCE LECHE RICH (UND:4 K)</v>
          </cell>
          <cell r="D587" t="str">
            <v>11400029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15/06/2020</v>
          </cell>
          <cell r="I587">
            <v>8872</v>
          </cell>
          <cell r="J587">
            <v>17275874</v>
          </cell>
          <cell r="K587">
            <v>4000</v>
          </cell>
          <cell r="L587">
            <v>2.218</v>
          </cell>
          <cell r="M587" t="str">
            <v>Gramos</v>
          </cell>
        </row>
        <row r="588">
          <cell r="A588" t="str">
            <v>11400031</v>
          </cell>
          <cell r="B588">
            <v>5600</v>
          </cell>
          <cell r="C588" t="str">
            <v>CREMA PRESTIGE GRAND (UND:4 K) *</v>
          </cell>
          <cell r="D588" t="str">
            <v>11400031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15/06/2020</v>
          </cell>
          <cell r="I588">
            <v>6486</v>
          </cell>
          <cell r="J588">
            <v>49828274</v>
          </cell>
          <cell r="K588">
            <v>4000</v>
          </cell>
          <cell r="L588">
            <v>1.6214999999999999</v>
          </cell>
          <cell r="M588" t="str">
            <v>Gramos</v>
          </cell>
        </row>
        <row r="589">
          <cell r="A589" t="str">
            <v>11400032</v>
          </cell>
          <cell r="B589">
            <v>5601</v>
          </cell>
          <cell r="C589" t="str">
            <v>LECHE CONDENSADA NEST CHILE  (PAQ:4.5 K)</v>
          </cell>
          <cell r="D589" t="str">
            <v>11400032</v>
          </cell>
          <cell r="E589" t="str">
            <v>MATERIAS PRIMAS PLANTA</v>
          </cell>
          <cell r="F589" t="str">
            <v>1 PAQUETE</v>
          </cell>
          <cell r="G589">
            <v>500</v>
          </cell>
          <cell r="H589" t="str">
            <v>12/06/2020</v>
          </cell>
          <cell r="I589">
            <v>9273</v>
          </cell>
          <cell r="J589">
            <v>24276714</v>
          </cell>
          <cell r="K589">
            <v>4500</v>
          </cell>
          <cell r="L589">
            <v>1.7515666666666665</v>
          </cell>
          <cell r="M589" t="str">
            <v>Gramos</v>
          </cell>
        </row>
        <row r="590">
          <cell r="A590" t="str">
            <v>11400036</v>
          </cell>
          <cell r="B590">
            <v>5616</v>
          </cell>
          <cell r="C590" t="str">
            <v>QUESO FETTA (PAQ:200g)</v>
          </cell>
          <cell r="D590" t="str">
            <v>11400036</v>
          </cell>
          <cell r="E590" t="str">
            <v>MATERIAS PRIMAS PLANTA</v>
          </cell>
          <cell r="F590" t="str">
            <v>1 PAQUETE</v>
          </cell>
          <cell r="G590">
            <v>500</v>
          </cell>
          <cell r="H590" t="str">
            <v>12/06/2020</v>
          </cell>
          <cell r="I590">
            <v>2940.49</v>
          </cell>
          <cell r="J590">
            <v>1514352.35</v>
          </cell>
          <cell r="K590">
            <v>200</v>
          </cell>
          <cell r="L590">
            <v>14.702449999999999</v>
          </cell>
          <cell r="M590" t="str">
            <v>Gramos</v>
          </cell>
        </row>
        <row r="591">
          <cell r="A591" t="str">
            <v>11400038</v>
          </cell>
          <cell r="B591">
            <v>5619</v>
          </cell>
          <cell r="C591" t="str">
            <v>LECHE COND COCINADA (CAJA:18.96 K)</v>
          </cell>
          <cell r="D591" t="str">
            <v>11400038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15/06/2020</v>
          </cell>
          <cell r="I591">
            <v>43392</v>
          </cell>
          <cell r="J591">
            <v>139062184</v>
          </cell>
          <cell r="K591">
            <v>18960</v>
          </cell>
          <cell r="L591">
            <v>2.2886075949367091</v>
          </cell>
          <cell r="M591" t="str">
            <v>Gramos</v>
          </cell>
        </row>
        <row r="592">
          <cell r="A592" t="str">
            <v>11400040</v>
          </cell>
          <cell r="B592">
            <v>11364</v>
          </cell>
          <cell r="C592" t="str">
            <v>YOGURT BATIDO NATURAL (UND:1 K)</v>
          </cell>
          <cell r="D592" t="str">
            <v>11400040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03/06/2020</v>
          </cell>
          <cell r="I592">
            <v>1750</v>
          </cell>
          <cell r="J592">
            <v>2600500</v>
          </cell>
          <cell r="K592">
            <v>1000</v>
          </cell>
          <cell r="L592">
            <v>1.75</v>
          </cell>
          <cell r="M592" t="str">
            <v>Gramos</v>
          </cell>
        </row>
        <row r="593">
          <cell r="A593" t="str">
            <v>11400045</v>
          </cell>
          <cell r="B593">
            <v>12901</v>
          </cell>
          <cell r="C593" t="str">
            <v>QUESO RALLADO RICO DOS PINO SP (PAQ:2 K)</v>
          </cell>
          <cell r="D593" t="str">
            <v>11400045</v>
          </cell>
          <cell r="E593" t="str">
            <v>MATERIAS PRIMAS PLANTA</v>
          </cell>
          <cell r="F593" t="str">
            <v>1 PAQUETE</v>
          </cell>
          <cell r="G593">
            <v>500</v>
          </cell>
          <cell r="H593" t="str">
            <v>15/06/2020</v>
          </cell>
          <cell r="I593">
            <v>6825.41</v>
          </cell>
          <cell r="J593">
            <v>5919593.6299999999</v>
          </cell>
          <cell r="K593">
            <v>2000</v>
          </cell>
          <cell r="L593">
            <v>3.4127049999999999</v>
          </cell>
          <cell r="M593" t="str">
            <v>Gramos</v>
          </cell>
        </row>
        <row r="594">
          <cell r="A594" t="str">
            <v>11400046</v>
          </cell>
          <cell r="B594">
            <v>14097</v>
          </cell>
          <cell r="C594" t="str">
            <v>LECHE CONDENSADA (PAQ:11 K)</v>
          </cell>
          <cell r="D594" t="str">
            <v>11400046</v>
          </cell>
          <cell r="E594" t="str">
            <v>MATERIAS PRIMAS PLANTA</v>
          </cell>
          <cell r="F594" t="str">
            <v>1 PAQUETE</v>
          </cell>
          <cell r="G594">
            <v>500</v>
          </cell>
          <cell r="H594" t="str">
            <v>15/06/2020</v>
          </cell>
          <cell r="I594">
            <v>21499</v>
          </cell>
          <cell r="J594">
            <v>78277859</v>
          </cell>
          <cell r="K594">
            <v>11000</v>
          </cell>
          <cell r="L594">
            <v>1.6612863636363635</v>
          </cell>
          <cell r="M594" t="str">
            <v>Gramos</v>
          </cell>
        </row>
        <row r="595">
          <cell r="A595" t="str">
            <v>11400047</v>
          </cell>
          <cell r="B595">
            <v>14289</v>
          </cell>
          <cell r="C595" t="str">
            <v>LECHE 2% PASTEURIZADA (UND)</v>
          </cell>
          <cell r="D595" t="str">
            <v>11400047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15/06/2020</v>
          </cell>
          <cell r="I595">
            <v>2071.92</v>
          </cell>
          <cell r="J595">
            <v>11352679.880000001</v>
          </cell>
          <cell r="K595">
            <v>3785</v>
          </cell>
          <cell r="L595">
            <v>0.54740290620871868</v>
          </cell>
          <cell r="M595" t="str">
            <v>Mililitros</v>
          </cell>
        </row>
        <row r="596">
          <cell r="A596" t="str">
            <v>11400048</v>
          </cell>
          <cell r="B596">
            <v>14290</v>
          </cell>
          <cell r="C596" t="str">
            <v>QUESO AMERI CHEESE NESTLE (PAQ:52 UND)</v>
          </cell>
          <cell r="D596" t="str">
            <v>11400048</v>
          </cell>
          <cell r="E596" t="str">
            <v>MATERIAS PRIMAS PLANTA</v>
          </cell>
          <cell r="F596" t="str">
            <v>1 PAQUETE</v>
          </cell>
          <cell r="G596">
            <v>500</v>
          </cell>
          <cell r="H596" t="str">
            <v>28/05/2020</v>
          </cell>
          <cell r="I596">
            <v>3563</v>
          </cell>
          <cell r="J596">
            <v>274351</v>
          </cell>
          <cell r="K596">
            <v>52</v>
          </cell>
          <cell r="L596">
            <v>68.519230769230774</v>
          </cell>
          <cell r="M596" t="str">
            <v>Gramos</v>
          </cell>
        </row>
        <row r="597">
          <cell r="A597" t="str">
            <v>11400051</v>
          </cell>
          <cell r="B597">
            <v>15513</v>
          </cell>
          <cell r="C597" t="str">
            <v>CREMA PRESTIGE GRAND (UND:1 K)</v>
          </cell>
          <cell r="D597" t="str">
            <v>11400051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12/06/2020</v>
          </cell>
          <cell r="I597">
            <v>1905.25</v>
          </cell>
          <cell r="J597">
            <v>547614</v>
          </cell>
          <cell r="K597">
            <v>1000</v>
          </cell>
          <cell r="L597">
            <v>1.9052500000000001</v>
          </cell>
          <cell r="M597" t="str">
            <v>Gramos</v>
          </cell>
        </row>
        <row r="598">
          <cell r="A598" t="str">
            <v>11400053</v>
          </cell>
          <cell r="B598">
            <v>15608</v>
          </cell>
          <cell r="C598" t="str">
            <v>SALSA QUESO CHEDDAR SYSCO (UND:3.03 K)</v>
          </cell>
          <cell r="D598" t="str">
            <v>11400053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06/03/2020</v>
          </cell>
          <cell r="I598">
            <v>2730</v>
          </cell>
          <cell r="J598">
            <v>141960</v>
          </cell>
          <cell r="K598">
            <v>3030</v>
          </cell>
          <cell r="L598">
            <v>0.90099009900990101</v>
          </cell>
        </row>
        <row r="599">
          <cell r="A599" t="str">
            <v>11400054</v>
          </cell>
          <cell r="B599">
            <v>15634</v>
          </cell>
          <cell r="C599" t="str">
            <v>QUESO BOCCOCINI (PAQ:250 G)</v>
          </cell>
          <cell r="D599" t="str">
            <v>11400054</v>
          </cell>
          <cell r="E599" t="str">
            <v>MATERIAS PRIMAS PLANTA</v>
          </cell>
          <cell r="F599" t="str">
            <v>1 PAQUETE</v>
          </cell>
          <cell r="G599">
            <v>500</v>
          </cell>
          <cell r="H599" t="str">
            <v>14/05/2020</v>
          </cell>
          <cell r="I599">
            <v>11.672000000000001</v>
          </cell>
          <cell r="J599">
            <v>917390</v>
          </cell>
          <cell r="K599">
            <v>250</v>
          </cell>
          <cell r="L599">
            <v>4.6688E-2</v>
          </cell>
        </row>
        <row r="600">
          <cell r="A600" t="str">
            <v>11400057</v>
          </cell>
          <cell r="B600">
            <v>16027</v>
          </cell>
          <cell r="C600" t="str">
            <v>MARGARINA INDUSTRIAL OLMECA (CAJA:25 K)</v>
          </cell>
          <cell r="D600" t="str">
            <v>11400057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19/05/2020</v>
          </cell>
          <cell r="I600">
            <v>26514</v>
          </cell>
          <cell r="J600">
            <v>6886797</v>
          </cell>
          <cell r="K600">
            <v>25000</v>
          </cell>
          <cell r="L600">
            <v>1.0605599999999999</v>
          </cell>
        </row>
        <row r="601">
          <cell r="A601" t="str">
            <v>11400058</v>
          </cell>
          <cell r="B601">
            <v>16285</v>
          </cell>
          <cell r="C601" t="str">
            <v xml:space="preserve">QUESO RICOTTA (PAQ:500 GR) </v>
          </cell>
          <cell r="D601" t="str">
            <v>11400058</v>
          </cell>
          <cell r="E601" t="str">
            <v>MATERIAS PRIMAS PLANTA</v>
          </cell>
          <cell r="F601" t="str">
            <v>1 PAQUETE</v>
          </cell>
          <cell r="G601">
            <v>500</v>
          </cell>
          <cell r="H601" t="str">
            <v>02/03/2020</v>
          </cell>
          <cell r="I601">
            <v>2690.1</v>
          </cell>
          <cell r="J601">
            <v>43041.599999999999</v>
          </cell>
          <cell r="K601">
            <v>500</v>
          </cell>
          <cell r="L601">
            <v>5.3801999999999994</v>
          </cell>
          <cell r="M601" t="str">
            <v>Gramos</v>
          </cell>
        </row>
        <row r="602">
          <cell r="A602" t="str">
            <v>11700002</v>
          </cell>
          <cell r="B602">
            <v>8031</v>
          </cell>
          <cell r="C602" t="str">
            <v>DULCE LECHE LA CIABATA (UND:5 K )</v>
          </cell>
          <cell r="D602" t="str">
            <v>11700002</v>
          </cell>
          <cell r="E602" t="str">
            <v>MATERIAS PRIMAS PLANTA</v>
          </cell>
          <cell r="F602" t="str">
            <v>1 UND</v>
          </cell>
          <cell r="G602">
            <v>500</v>
          </cell>
          <cell r="H602" t="str">
            <v>13/06/2020</v>
          </cell>
          <cell r="I602">
            <v>6925</v>
          </cell>
          <cell r="J602">
            <v>3317075</v>
          </cell>
          <cell r="K602">
            <v>5000</v>
          </cell>
          <cell r="L602">
            <v>1.385</v>
          </cell>
          <cell r="M602" t="str">
            <v>Gramos</v>
          </cell>
        </row>
        <row r="603">
          <cell r="A603" t="str">
            <v>11800012</v>
          </cell>
          <cell r="B603">
            <v>14247</v>
          </cell>
          <cell r="C603" t="str">
            <v>SABORIZANTE NARANJA A-0191 KILO</v>
          </cell>
          <cell r="D603" t="str">
            <v>11800012</v>
          </cell>
          <cell r="E603" t="str">
            <v>MATERIAS PRIMAS PLANTA</v>
          </cell>
          <cell r="F603" t="str">
            <v xml:space="preserve">1 KILO   </v>
          </cell>
          <cell r="G603">
            <v>500</v>
          </cell>
          <cell r="H603" t="str">
            <v>30/03/2020</v>
          </cell>
          <cell r="I603">
            <v>19672.8</v>
          </cell>
          <cell r="J603">
            <v>33022.788999999997</v>
          </cell>
          <cell r="K603">
            <v>1000</v>
          </cell>
          <cell r="L603">
            <v>19.672799999999999</v>
          </cell>
          <cell r="M603" t="str">
            <v>Gramos</v>
          </cell>
        </row>
        <row r="604">
          <cell r="A604" t="str">
            <v>11900001</v>
          </cell>
          <cell r="B604">
            <v>9601</v>
          </cell>
          <cell r="C604" t="str">
            <v>NUEZ PECANA QUEBRADURA (CAJA:10 Kg)</v>
          </cell>
          <cell r="D604" t="str">
            <v>11900001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08/06/2020</v>
          </cell>
          <cell r="I604">
            <v>99087.9</v>
          </cell>
          <cell r="J604">
            <v>6504425.5999999996</v>
          </cell>
          <cell r="K604">
            <v>10000</v>
          </cell>
          <cell r="L604">
            <v>9.9087899999999998</v>
          </cell>
          <cell r="M604" t="str">
            <v>Gramos</v>
          </cell>
        </row>
        <row r="605">
          <cell r="A605" t="str">
            <v>11900010</v>
          </cell>
          <cell r="B605">
            <v>11431</v>
          </cell>
          <cell r="C605" t="str">
            <v>NUEZ PECANA PICADA (CAJA:13.6KG)</v>
          </cell>
          <cell r="D605" t="str">
            <v>11900010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05/05/2020</v>
          </cell>
          <cell r="I605">
            <v>132343.50399999999</v>
          </cell>
          <cell r="J605">
            <v>132343.50399999999</v>
          </cell>
          <cell r="K605">
            <v>13600</v>
          </cell>
          <cell r="L605">
            <v>9.7311399999999981</v>
          </cell>
          <cell r="M605" t="str">
            <v>Gramos</v>
          </cell>
        </row>
        <row r="606">
          <cell r="A606" t="str">
            <v>11900016</v>
          </cell>
          <cell r="B606">
            <v>15551</v>
          </cell>
          <cell r="C606" t="str">
            <v>AJONJOLI NEGRO (UND:454 G)</v>
          </cell>
          <cell r="D606" t="str">
            <v>11900016</v>
          </cell>
          <cell r="E606" t="str">
            <v>MATERIAS PRIMAS PLANTA</v>
          </cell>
          <cell r="F606" t="str">
            <v>1 UND</v>
          </cell>
          <cell r="G606">
            <v>500</v>
          </cell>
          <cell r="H606" t="str">
            <v>15/06/2020</v>
          </cell>
          <cell r="I606">
            <v>2701</v>
          </cell>
          <cell r="J606">
            <v>64249</v>
          </cell>
          <cell r="K606">
            <v>454</v>
          </cell>
          <cell r="L606">
            <v>5.9493392070484585</v>
          </cell>
          <cell r="M606" t="str">
            <v>Gramos</v>
          </cell>
        </row>
        <row r="607">
          <cell r="A607" t="str">
            <v>12000003</v>
          </cell>
          <cell r="B607">
            <v>9618</v>
          </cell>
          <cell r="C607" t="str">
            <v>CREMA VERSATIE (UND: L)</v>
          </cell>
          <cell r="D607" t="str">
            <v>12000003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1992</v>
          </cell>
          <cell r="J607">
            <v>18113920</v>
          </cell>
          <cell r="K607">
            <v>1000</v>
          </cell>
          <cell r="L607">
            <v>1.992</v>
          </cell>
          <cell r="M607" t="str">
            <v>Mililitros</v>
          </cell>
        </row>
        <row r="608">
          <cell r="A608" t="str">
            <v>12100006</v>
          </cell>
          <cell r="B608">
            <v>8134</v>
          </cell>
          <cell r="C608" t="str">
            <v>CHOCOLATE GUAYABITA (PAQ=36 UND)</v>
          </cell>
          <cell r="D608" t="str">
            <v>12100006</v>
          </cell>
          <cell r="E608" t="str">
            <v>MATERIAS PRIMAS PLANTA</v>
          </cell>
          <cell r="F608" t="str">
            <v>1 PAQ</v>
          </cell>
          <cell r="G608">
            <v>500</v>
          </cell>
          <cell r="H608" t="str">
            <v>30/03/2020</v>
          </cell>
          <cell r="I608">
            <v>1782</v>
          </cell>
          <cell r="J608">
            <v>1131570</v>
          </cell>
          <cell r="L608" t="e">
            <v>#DIV/0!</v>
          </cell>
        </row>
        <row r="609">
          <cell r="A609" t="str">
            <v>12300004</v>
          </cell>
          <cell r="B609">
            <v>12690</v>
          </cell>
          <cell r="C609" t="str">
            <v>PURE PAPA KFC 24/22.05OZ (CAJA)</v>
          </cell>
          <cell r="D609" t="str">
            <v>12300004</v>
          </cell>
          <cell r="E609" t="str">
            <v>MATERIAS PRIMAS PLANTA</v>
          </cell>
          <cell r="F609" t="str">
            <v>1 CAJA</v>
          </cell>
          <cell r="G609">
            <v>500</v>
          </cell>
          <cell r="H609" t="str">
            <v>02/06/2020</v>
          </cell>
          <cell r="I609">
            <v>24081</v>
          </cell>
          <cell r="J609">
            <v>287388</v>
          </cell>
          <cell r="K609">
            <v>160</v>
          </cell>
          <cell r="L609" t="e">
            <v>#DIV/0!</v>
          </cell>
        </row>
        <row r="610">
          <cell r="A610" t="str">
            <v>12300005</v>
          </cell>
          <cell r="B610">
            <v>5280</v>
          </cell>
          <cell r="C610" t="str">
            <v>SALSA AJI AMARILLO (UND:160 ML)</v>
          </cell>
          <cell r="D610" t="str">
            <v>12300005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18/05/2020</v>
          </cell>
          <cell r="I610">
            <v>1</v>
          </cell>
          <cell r="J610">
            <v>108016.1</v>
          </cell>
          <cell r="K610">
            <v>160</v>
          </cell>
          <cell r="L610">
            <v>6.2500000000000003E-3</v>
          </cell>
        </row>
        <row r="611">
          <cell r="A611" t="str">
            <v>19508791</v>
          </cell>
          <cell r="B611">
            <v>12759</v>
          </cell>
          <cell r="C611" t="str">
            <v>BANDEJA PLAST 3 DIV (CAJA:250 UND)</v>
          </cell>
          <cell r="D611" t="str">
            <v>19508791</v>
          </cell>
          <cell r="E611" t="str">
            <v>EMPAQUES PLANTA</v>
          </cell>
          <cell r="F611" t="str">
            <v>1 CAJA</v>
          </cell>
          <cell r="G611">
            <v>500</v>
          </cell>
          <cell r="H611" t="str">
            <v>03/06/2020</v>
          </cell>
          <cell r="I611">
            <v>29105</v>
          </cell>
          <cell r="J611">
            <v>289872</v>
          </cell>
          <cell r="K611">
            <v>250</v>
          </cell>
          <cell r="L611">
            <v>116.42</v>
          </cell>
        </row>
        <row r="612">
          <cell r="A612" t="str">
            <v>20200036</v>
          </cell>
          <cell r="B612">
            <v>12480</v>
          </cell>
          <cell r="C612" t="str">
            <v>GALLETA PARA DECORAR MENU INFANTIL</v>
          </cell>
          <cell r="D612" t="str">
            <v>20200036</v>
          </cell>
          <cell r="E612" t="str">
            <v>MATERIAS PRIMAS PLANTA</v>
          </cell>
          <cell r="F612" t="str">
            <v>1 UND</v>
          </cell>
          <cell r="G612">
            <v>500</v>
          </cell>
          <cell r="H612" t="str">
            <v>15/06/2020</v>
          </cell>
          <cell r="I612">
            <v>625</v>
          </cell>
          <cell r="J612">
            <v>4748125</v>
          </cell>
          <cell r="K612">
            <v>1</v>
          </cell>
          <cell r="L612" t="e">
            <v>#DIV/0!</v>
          </cell>
        </row>
        <row r="613">
          <cell r="A613" t="str">
            <v>20300005</v>
          </cell>
          <cell r="B613">
            <v>11503</v>
          </cell>
          <cell r="C613" t="str">
            <v>CUP CAKE FONDANT  (UND)</v>
          </cell>
          <cell r="D613" t="str">
            <v>20300005</v>
          </cell>
          <cell r="E613" t="str">
            <v>MATERIAS PRIMAS PLANTA</v>
          </cell>
          <cell r="F613" t="str">
            <v>1 UND</v>
          </cell>
          <cell r="G613">
            <v>500</v>
          </cell>
          <cell r="H613" t="str">
            <v>13/06/2020</v>
          </cell>
          <cell r="I613">
            <v>1</v>
          </cell>
          <cell r="J613">
            <v>860715</v>
          </cell>
          <cell r="K613">
            <v>1</v>
          </cell>
          <cell r="L613">
            <v>1</v>
          </cell>
        </row>
        <row r="614">
          <cell r="A614" t="str">
            <v>20300007</v>
          </cell>
          <cell r="B614">
            <v>12615</v>
          </cell>
          <cell r="C614" t="str">
            <v>CUCHARA CHOCOLATE BELGA (CAJA:20 UND)</v>
          </cell>
          <cell r="D614" t="str">
            <v>20300007</v>
          </cell>
          <cell r="E614" t="str">
            <v>MATERIAS PRIMAS PLANTA</v>
          </cell>
          <cell r="F614" t="str">
            <v>1 CAJA</v>
          </cell>
          <cell r="G614">
            <v>500</v>
          </cell>
          <cell r="H614" t="str">
            <v>12/06/2020</v>
          </cell>
          <cell r="I614">
            <v>13000</v>
          </cell>
          <cell r="J614">
            <v>715000</v>
          </cell>
          <cell r="K614">
            <v>20</v>
          </cell>
          <cell r="L614">
            <v>650</v>
          </cell>
        </row>
        <row r="615">
          <cell r="A615" t="str">
            <v>20300008</v>
          </cell>
          <cell r="B615">
            <v>12481</v>
          </cell>
          <cell r="C615" t="str">
            <v>GALLETA DE FIGURA BOLSA</v>
          </cell>
          <cell r="D615" t="str">
            <v>20300008</v>
          </cell>
          <cell r="E615" t="str">
            <v>MATERIAS PRIMAS PLANTA</v>
          </cell>
          <cell r="F615" t="str">
            <v>1 UND</v>
          </cell>
          <cell r="G615">
            <v>500</v>
          </cell>
          <cell r="H615" t="str">
            <v>13/06/2020</v>
          </cell>
          <cell r="I615">
            <v>1</v>
          </cell>
          <cell r="J615">
            <v>1606060.5</v>
          </cell>
          <cell r="K615">
            <v>100</v>
          </cell>
          <cell r="L615" t="e">
            <v>#DIV/0!</v>
          </cell>
        </row>
        <row r="616">
          <cell r="A616" t="str">
            <v>20400022</v>
          </cell>
          <cell r="B616">
            <v>11409</v>
          </cell>
          <cell r="C616" t="str">
            <v>CAJETA GRANDE (CAJA:6 UND)</v>
          </cell>
          <cell r="D616" t="str">
            <v>20400022</v>
          </cell>
          <cell r="E616" t="str">
            <v>MATERIAS PRIMAS PLANTA</v>
          </cell>
          <cell r="F616" t="str">
            <v>1 CAJA</v>
          </cell>
          <cell r="G616">
            <v>500</v>
          </cell>
          <cell r="H616" t="str">
            <v>16/06/2020</v>
          </cell>
          <cell r="I616">
            <v>1830</v>
          </cell>
          <cell r="J616">
            <v>9483060</v>
          </cell>
          <cell r="K616">
            <v>225</v>
          </cell>
          <cell r="L616" t="e">
            <v>#DIV/0!</v>
          </cell>
        </row>
        <row r="617">
          <cell r="A617" t="str">
            <v>20400051</v>
          </cell>
          <cell r="B617">
            <v>13081</v>
          </cell>
          <cell r="C617" t="str">
            <v>CROCANTE DE NUEZ (CAJA:6 UND)</v>
          </cell>
          <cell r="D617" t="str">
            <v>20400051</v>
          </cell>
          <cell r="E617" t="str">
            <v>MATERIAS PRIMAS PLANTA</v>
          </cell>
          <cell r="F617" t="str">
            <v>1 CAJA</v>
          </cell>
          <cell r="G617">
            <v>500</v>
          </cell>
          <cell r="H617" t="str">
            <v>15/06/2020</v>
          </cell>
          <cell r="I617">
            <v>3510</v>
          </cell>
          <cell r="J617">
            <v>7371360</v>
          </cell>
          <cell r="K617">
            <v>1000</v>
          </cell>
          <cell r="L617" t="e">
            <v>#DIV/0!</v>
          </cell>
        </row>
        <row r="618">
          <cell r="A618" t="str">
            <v>20400118</v>
          </cell>
          <cell r="B618">
            <v>16622</v>
          </cell>
          <cell r="C618" t="str">
            <v>EMPANIZADOR DE POLLO (PAQ:KILO) COMEDOR</v>
          </cell>
          <cell r="D618" t="str">
            <v>20400118</v>
          </cell>
          <cell r="E618" t="str">
            <v>MATERIAS PRIMAS PLANTA</v>
          </cell>
          <cell r="F618" t="str">
            <v>1 PAQUETE</v>
          </cell>
          <cell r="G618">
            <v>500</v>
          </cell>
          <cell r="H618" t="str">
            <v>05/06/2020</v>
          </cell>
          <cell r="I618">
            <v>1905</v>
          </cell>
          <cell r="J618">
            <v>5715</v>
          </cell>
          <cell r="K618">
            <v>1000</v>
          </cell>
          <cell r="L618">
            <v>1.905</v>
          </cell>
        </row>
        <row r="619">
          <cell r="A619" t="str">
            <v>20400120</v>
          </cell>
          <cell r="B619">
            <v>16632</v>
          </cell>
          <cell r="C619" t="str">
            <v>CHOCO SNICKERS ALMENDRA (CJ:24 Paq)COMED</v>
          </cell>
          <cell r="D619" t="str">
            <v>20400120</v>
          </cell>
          <cell r="E619" t="str">
            <v>MATERIAS PRIMAS PLANTA</v>
          </cell>
          <cell r="F619" t="str">
            <v>1 CAJA</v>
          </cell>
          <cell r="G619">
            <v>500</v>
          </cell>
          <cell r="H619" t="str">
            <v>05/06/2020</v>
          </cell>
          <cell r="I619">
            <v>22567</v>
          </cell>
          <cell r="J619">
            <v>22567</v>
          </cell>
          <cell r="K619">
            <v>500</v>
          </cell>
          <cell r="L619" t="e">
            <v>#DIV/0!</v>
          </cell>
        </row>
        <row r="620">
          <cell r="A620" t="str">
            <v>20400121</v>
          </cell>
          <cell r="B620">
            <v>16633</v>
          </cell>
          <cell r="C620" t="str">
            <v>CHOCOLATE SNICKERS (CAJA:48 PAQ) COMEDOR</v>
          </cell>
          <cell r="D620" t="str">
            <v>20400121</v>
          </cell>
          <cell r="E620" t="str">
            <v>MATERIAS PRIMAS PLANTA</v>
          </cell>
          <cell r="F620" t="str">
            <v>1 CAJA</v>
          </cell>
          <cell r="G620">
            <v>500</v>
          </cell>
          <cell r="H620" t="str">
            <v>05/06/2020</v>
          </cell>
          <cell r="I620">
            <v>11216</v>
          </cell>
          <cell r="J620">
            <v>11216</v>
          </cell>
          <cell r="K620">
            <v>500</v>
          </cell>
          <cell r="L620" t="e">
            <v>#DIV/0!</v>
          </cell>
        </row>
        <row r="621">
          <cell r="A621" t="str">
            <v>20400122</v>
          </cell>
          <cell r="B621">
            <v>16634</v>
          </cell>
          <cell r="C621" t="str">
            <v>CHOCOLATE M&amp;M ( CAJA:36 PAQ ) COMEDOR</v>
          </cell>
          <cell r="D621" t="str">
            <v>20400122</v>
          </cell>
          <cell r="E621" t="str">
            <v>MATERIAS PRIMAS PLANTA</v>
          </cell>
          <cell r="F621" t="str">
            <v>1 CAJA</v>
          </cell>
          <cell r="G621">
            <v>500</v>
          </cell>
          <cell r="H621" t="str">
            <v>05/06/2020</v>
          </cell>
          <cell r="I621">
            <v>15322</v>
          </cell>
          <cell r="J621">
            <v>15322</v>
          </cell>
          <cell r="K621">
            <v>500</v>
          </cell>
          <cell r="L621" t="e">
            <v>#DIV/0!</v>
          </cell>
          <cell r="M621" t="str">
            <v>Und</v>
          </cell>
        </row>
        <row r="622">
          <cell r="A622" t="str">
            <v>20400123</v>
          </cell>
          <cell r="B622">
            <v>16635</v>
          </cell>
          <cell r="C622" t="str">
            <v>CHOCOLATE M&amp;M PEANUT (CJ:48 PAQ ) COMEDO</v>
          </cell>
          <cell r="D622" t="str">
            <v>20400123</v>
          </cell>
          <cell r="E622" t="str">
            <v>MATERIAS PRIMAS PLANTA</v>
          </cell>
          <cell r="F622" t="str">
            <v>1 CAJA</v>
          </cell>
          <cell r="G622">
            <v>500</v>
          </cell>
          <cell r="H622" t="str">
            <v>05/06/2020</v>
          </cell>
          <cell r="I622">
            <v>22567</v>
          </cell>
          <cell r="J622">
            <v>22567</v>
          </cell>
          <cell r="K622">
            <v>600</v>
          </cell>
          <cell r="L622" t="e">
            <v>#DIV/0!</v>
          </cell>
          <cell r="M622" t="str">
            <v>Und</v>
          </cell>
        </row>
        <row r="623">
          <cell r="A623" t="str">
            <v>20400124</v>
          </cell>
          <cell r="B623">
            <v>16636</v>
          </cell>
          <cell r="C623" t="str">
            <v>MAYONESA ( UNIDAD ) COMEDOR</v>
          </cell>
          <cell r="D623" t="str">
            <v>20400124</v>
          </cell>
          <cell r="E623" t="str">
            <v>MATERIAS PRIMAS PLANTA</v>
          </cell>
          <cell r="F623" t="str">
            <v>1 UND</v>
          </cell>
          <cell r="G623">
            <v>500</v>
          </cell>
          <cell r="H623" t="str">
            <v>15/06/2020</v>
          </cell>
          <cell r="I623">
            <v>8074</v>
          </cell>
          <cell r="J623">
            <v>72666</v>
          </cell>
          <cell r="K623">
            <v>600</v>
          </cell>
          <cell r="L623" t="e">
            <v>#DIV/0!</v>
          </cell>
          <cell r="M623" t="str">
            <v>Und</v>
          </cell>
        </row>
        <row r="624">
          <cell r="A624" t="str">
            <v>20400125</v>
          </cell>
          <cell r="B624">
            <v>16637</v>
          </cell>
          <cell r="C624" t="str">
            <v>CHILERA ( UNIDAD ) COMEDOR</v>
          </cell>
          <cell r="D624" t="str">
            <v>20400125</v>
          </cell>
          <cell r="E624" t="str">
            <v>MATERIAS PRIMAS PLANTA</v>
          </cell>
          <cell r="F624" t="str">
            <v>1 UND</v>
          </cell>
          <cell r="G624">
            <v>500</v>
          </cell>
          <cell r="H624" t="str">
            <v>15/06/2020</v>
          </cell>
          <cell r="I624">
            <v>2586</v>
          </cell>
          <cell r="J624">
            <v>5172</v>
          </cell>
          <cell r="K624">
            <v>24</v>
          </cell>
          <cell r="L624" t="e">
            <v>#DIV/0!</v>
          </cell>
          <cell r="M624" t="str">
            <v>Und</v>
          </cell>
        </row>
        <row r="625">
          <cell r="A625" t="str">
            <v>20400134</v>
          </cell>
          <cell r="B625">
            <v>16646</v>
          </cell>
          <cell r="C625" t="str">
            <v>PLATANO VERDE LIMON PRO (PAQ:24 UND)COME</v>
          </cell>
          <cell r="D625" t="str">
            <v>20400134</v>
          </cell>
          <cell r="E625" t="str">
            <v>MATERIAS PRIMAS PLANTA</v>
          </cell>
          <cell r="F625" t="str">
            <v>1 PAQUETE</v>
          </cell>
          <cell r="G625">
            <v>500</v>
          </cell>
          <cell r="H625" t="str">
            <v>09/06/2020</v>
          </cell>
          <cell r="I625">
            <v>11525</v>
          </cell>
          <cell r="J625">
            <v>11525</v>
          </cell>
          <cell r="K625">
            <v>24</v>
          </cell>
          <cell r="L625">
            <v>480.20833333333331</v>
          </cell>
          <cell r="M625" t="str">
            <v>Und</v>
          </cell>
        </row>
        <row r="626">
          <cell r="A626" t="str">
            <v>20400135</v>
          </cell>
          <cell r="B626">
            <v>16647</v>
          </cell>
          <cell r="C626" t="str">
            <v>PLATANO MADURO NAT PRO (PAQ:24 UND)COMED</v>
          </cell>
          <cell r="D626" t="str">
            <v>20400135</v>
          </cell>
          <cell r="E626" t="str">
            <v>MATERIAS PRIMAS PLANTA</v>
          </cell>
          <cell r="F626" t="str">
            <v>1 PAQUETE</v>
          </cell>
          <cell r="G626">
            <v>500</v>
          </cell>
          <cell r="H626" t="str">
            <v>05/06/2020</v>
          </cell>
          <cell r="I626">
            <v>11906</v>
          </cell>
          <cell r="J626">
            <v>11906</v>
          </cell>
          <cell r="K626">
            <v>24</v>
          </cell>
          <cell r="L626">
            <v>496.08333333333331</v>
          </cell>
          <cell r="M626"/>
        </row>
        <row r="627">
          <cell r="A627" t="str">
            <v>20400136</v>
          </cell>
          <cell r="B627">
            <v>16648</v>
          </cell>
          <cell r="C627" t="str">
            <v>YUCA CREMA Y CEBOLLA (PAQ:24 UND)COMEDOR</v>
          </cell>
          <cell r="D627" t="str">
            <v>20400136</v>
          </cell>
          <cell r="E627" t="str">
            <v>MATERIAS PRIMAS PLANTA</v>
          </cell>
          <cell r="F627" t="str">
            <v>1 PAQUETE</v>
          </cell>
          <cell r="G627">
            <v>500</v>
          </cell>
          <cell r="H627" t="str">
            <v>05/06/2020</v>
          </cell>
          <cell r="I627">
            <v>7557</v>
          </cell>
          <cell r="J627">
            <v>7557</v>
          </cell>
          <cell r="K627">
            <v>24</v>
          </cell>
          <cell r="L627">
            <v>314.875</v>
          </cell>
          <cell r="M627" t="str">
            <v>Und</v>
          </cell>
        </row>
        <row r="628">
          <cell r="A628" t="str">
            <v>20400137</v>
          </cell>
          <cell r="B628">
            <v>16649</v>
          </cell>
          <cell r="C628" t="str">
            <v>YUCA CON SAL (PAQ: 24 UND) COMEDOR</v>
          </cell>
          <cell r="D628" t="str">
            <v>20400137</v>
          </cell>
          <cell r="E628" t="str">
            <v>MATERIAS PRIMAS PLANTA</v>
          </cell>
          <cell r="F628" t="str">
            <v>1 PAQUETE</v>
          </cell>
          <cell r="G628">
            <v>500</v>
          </cell>
          <cell r="H628" t="str">
            <v>08/06/2020</v>
          </cell>
          <cell r="I628">
            <v>7557</v>
          </cell>
          <cell r="J628">
            <v>7557</v>
          </cell>
          <cell r="K628">
            <v>24</v>
          </cell>
          <cell r="L628">
            <v>314.875</v>
          </cell>
        </row>
        <row r="629">
          <cell r="A629" t="str">
            <v>50100028</v>
          </cell>
          <cell r="B629">
            <v>15349</v>
          </cell>
          <cell r="C629" t="str">
            <v>BANDEJA ALUM 34*25 108 ONZ 394 (CJ:100)</v>
          </cell>
          <cell r="D629" t="str">
            <v>50100028</v>
          </cell>
          <cell r="E629" t="str">
            <v>EMPAQUES PLANTA</v>
          </cell>
          <cell r="F629" t="str">
            <v>1 CAJA</v>
          </cell>
          <cell r="G629">
            <v>500</v>
          </cell>
          <cell r="H629" t="str">
            <v>30/05/2020</v>
          </cell>
          <cell r="I629">
            <v>35385</v>
          </cell>
          <cell r="J629">
            <v>419131</v>
          </cell>
          <cell r="K629">
            <v>100</v>
          </cell>
          <cell r="L629">
            <v>353.85</v>
          </cell>
        </row>
        <row r="630">
          <cell r="A630" t="str">
            <v>50100031</v>
          </cell>
          <cell r="B630">
            <v>15825</v>
          </cell>
          <cell r="C630" t="str">
            <v>RECIPIENTE DELI DARNEL 24OZ (CAJA:225 U)</v>
          </cell>
          <cell r="D630" t="str">
            <v>50100031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05/05/2020</v>
          </cell>
          <cell r="I630">
            <v>24035</v>
          </cell>
          <cell r="J630">
            <v>48070</v>
          </cell>
          <cell r="K630">
            <v>225</v>
          </cell>
          <cell r="L630">
            <v>106.82222222222222</v>
          </cell>
          <cell r="M630" t="str">
            <v>Und</v>
          </cell>
        </row>
        <row r="631">
          <cell r="A631" t="str">
            <v>50100035</v>
          </cell>
          <cell r="B631">
            <v>15893</v>
          </cell>
          <cell r="C631" t="str">
            <v>TAPA CONT ALUMINIO 16 ONZ (CAJA:500 UND)</v>
          </cell>
          <cell r="D631" t="str">
            <v>50100035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23/03/2020</v>
          </cell>
          <cell r="I631">
            <v>16368.5</v>
          </cell>
          <cell r="J631">
            <v>130948</v>
          </cell>
          <cell r="K631">
            <v>500</v>
          </cell>
          <cell r="L631">
            <v>32.737000000000002</v>
          </cell>
          <cell r="M631" t="str">
            <v>Und</v>
          </cell>
        </row>
        <row r="632">
          <cell r="A632" t="str">
            <v>50100036</v>
          </cell>
          <cell r="B632">
            <v>15894</v>
          </cell>
          <cell r="C632" t="str">
            <v>MOLDE ALUMINIO 16 ONZ (CAJA:500 UND)</v>
          </cell>
          <cell r="D632" t="str">
            <v>50100036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23/03/2020</v>
          </cell>
          <cell r="I632">
            <v>25745</v>
          </cell>
          <cell r="J632">
            <v>180215</v>
          </cell>
          <cell r="K632">
            <v>500</v>
          </cell>
          <cell r="L632">
            <v>51.49</v>
          </cell>
          <cell r="M632" t="str">
            <v>Und</v>
          </cell>
        </row>
        <row r="633">
          <cell r="A633" t="str">
            <v>50100037</v>
          </cell>
          <cell r="B633">
            <v>16462</v>
          </cell>
          <cell r="C633" t="str">
            <v>MOLDE ALUMINIO RED 2058 (CAJA:500 UND)</v>
          </cell>
          <cell r="D633" t="str">
            <v>50100037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13/06/2020</v>
          </cell>
          <cell r="I633">
            <v>1</v>
          </cell>
          <cell r="J633">
            <v>345000</v>
          </cell>
          <cell r="K633">
            <v>500</v>
          </cell>
          <cell r="L633">
            <v>2E-3</v>
          </cell>
          <cell r="M633" t="str">
            <v>Und</v>
          </cell>
        </row>
        <row r="634">
          <cell r="A634" t="str">
            <v>50100038</v>
          </cell>
          <cell r="B634">
            <v>16465</v>
          </cell>
          <cell r="C634" t="str">
            <v>TAPA MOLDE ALUMINIO RED 2058 (CAJA:500u)</v>
          </cell>
          <cell r="D634" t="str">
            <v>50100038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15/06/2020</v>
          </cell>
          <cell r="I634">
            <v>34.65</v>
          </cell>
          <cell r="J634">
            <v>50970.15</v>
          </cell>
          <cell r="K634">
            <v>500</v>
          </cell>
          <cell r="L634">
            <v>6.93E-2</v>
          </cell>
          <cell r="M634" t="str">
            <v>Und</v>
          </cell>
        </row>
        <row r="635">
          <cell r="A635" t="str">
            <v>50100038</v>
          </cell>
          <cell r="B635">
            <v>16464</v>
          </cell>
          <cell r="C635" t="str">
            <v>TAPA MOLDE ALUMINIO RED 2058 (CAJA:500u)</v>
          </cell>
          <cell r="D635" t="str">
            <v>50100038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13/06/2020</v>
          </cell>
          <cell r="I635">
            <v>1</v>
          </cell>
          <cell r="J635">
            <v>157500</v>
          </cell>
          <cell r="K635">
            <v>500</v>
          </cell>
          <cell r="L635">
            <v>2E-3</v>
          </cell>
          <cell r="M635" t="str">
            <v>Und</v>
          </cell>
        </row>
        <row r="636">
          <cell r="A636" t="str">
            <v>50200002</v>
          </cell>
          <cell r="B636">
            <v>16480</v>
          </cell>
          <cell r="C636" t="str">
            <v>BANDEJA ALUMINIO 18X14 (CAJA: 600 UND)</v>
          </cell>
          <cell r="D636" t="str">
            <v>50200002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13/06/2020</v>
          </cell>
          <cell r="I636">
            <v>1</v>
          </cell>
          <cell r="J636">
            <v>102000</v>
          </cell>
          <cell r="K636">
            <v>600</v>
          </cell>
          <cell r="L636">
            <v>1.6666666666666668E-3</v>
          </cell>
          <cell r="M636" t="str">
            <v>Und</v>
          </cell>
        </row>
        <row r="637">
          <cell r="A637" t="str">
            <v>50200003</v>
          </cell>
          <cell r="B637">
            <v>16482</v>
          </cell>
          <cell r="C637" t="str">
            <v>TAPA ALUMINIO 18X14 (CAJA: 600 UND)</v>
          </cell>
          <cell r="D637" t="str">
            <v>50200003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13/06/2020</v>
          </cell>
          <cell r="I637">
            <v>1</v>
          </cell>
          <cell r="J637">
            <v>87600</v>
          </cell>
          <cell r="K637">
            <v>600</v>
          </cell>
          <cell r="L637">
            <v>1.6666666666666668E-3</v>
          </cell>
          <cell r="M637" t="str">
            <v>Und</v>
          </cell>
        </row>
        <row r="638">
          <cell r="A638" t="str">
            <v>50400003</v>
          </cell>
          <cell r="B638">
            <v>11379</v>
          </cell>
          <cell r="C638" t="str">
            <v>CAJA MUSMANNI #2 (UND)</v>
          </cell>
          <cell r="D638" t="str">
            <v>50400003</v>
          </cell>
          <cell r="E638" t="str">
            <v>EMPAQUES PLANTA</v>
          </cell>
          <cell r="F638" t="str">
            <v>1 UND</v>
          </cell>
          <cell r="G638">
            <v>500</v>
          </cell>
          <cell r="H638" t="str">
            <v>10/06/2020</v>
          </cell>
          <cell r="I638">
            <v>195</v>
          </cell>
          <cell r="J638">
            <v>1303185</v>
          </cell>
          <cell r="K638">
            <v>1</v>
          </cell>
          <cell r="L638">
            <v>195</v>
          </cell>
          <cell r="M638" t="str">
            <v>Und</v>
          </cell>
        </row>
        <row r="639">
          <cell r="A639" t="str">
            <v>50400014</v>
          </cell>
          <cell r="B639">
            <v>15527</v>
          </cell>
          <cell r="C639" t="str">
            <v>CAJA PEQUEÑA OFFICE BREAK (CAJA:625 UND)</v>
          </cell>
          <cell r="D639" t="str">
            <v>50400014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15/06/2020</v>
          </cell>
          <cell r="I639">
            <v>40312.5</v>
          </cell>
          <cell r="J639">
            <v>7175625</v>
          </cell>
          <cell r="K639">
            <v>625</v>
          </cell>
          <cell r="L639">
            <v>64.5</v>
          </cell>
        </row>
        <row r="640">
          <cell r="A640" t="str">
            <v>50400015</v>
          </cell>
          <cell r="B640">
            <v>15528</v>
          </cell>
          <cell r="C640" t="str">
            <v>CAJA MEDIANA OFFICE BREAK (CAJA:400 UND)</v>
          </cell>
          <cell r="D640" t="str">
            <v>50400015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15/06/2020</v>
          </cell>
          <cell r="I640">
            <v>31600</v>
          </cell>
          <cell r="J640">
            <v>3349600</v>
          </cell>
          <cell r="K640">
            <v>400</v>
          </cell>
          <cell r="L640">
            <v>79</v>
          </cell>
        </row>
        <row r="641">
          <cell r="A641" t="str">
            <v>50400016</v>
          </cell>
          <cell r="B641">
            <v>15529</v>
          </cell>
          <cell r="C641" t="str">
            <v>CAJA GRANDE OFFICE BREAK (CAJA:280 UND)</v>
          </cell>
          <cell r="D641" t="str">
            <v>50400016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08/05/2020</v>
          </cell>
          <cell r="I641">
            <v>32760</v>
          </cell>
          <cell r="J641">
            <v>2260440</v>
          </cell>
          <cell r="K641">
            <v>280</v>
          </cell>
          <cell r="L641">
            <v>117</v>
          </cell>
          <cell r="M641" t="str">
            <v>Und</v>
          </cell>
        </row>
        <row r="642">
          <cell r="A642" t="str">
            <v>50400017</v>
          </cell>
          <cell r="B642">
            <v>15530</v>
          </cell>
          <cell r="C642" t="str">
            <v>CAJA PORCION OFFICE BREAK (CAJA:950 UND)</v>
          </cell>
          <cell r="D642" t="str">
            <v>50400017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27/05/2020</v>
          </cell>
          <cell r="I642">
            <v>51870</v>
          </cell>
          <cell r="J642">
            <v>4253340</v>
          </cell>
          <cell r="K642">
            <v>950</v>
          </cell>
          <cell r="L642">
            <v>54.6</v>
          </cell>
          <cell r="M642" t="str">
            <v>Und</v>
          </cell>
        </row>
        <row r="643">
          <cell r="A643" t="str">
            <v>50500003</v>
          </cell>
          <cell r="B643">
            <v>12118</v>
          </cell>
          <cell r="C643" t="str">
            <v>CANDELA CARITAS COLORES (UND)</v>
          </cell>
          <cell r="D643" t="str">
            <v>50500003</v>
          </cell>
          <cell r="E643" t="str">
            <v>EMPAQUES PLANTA</v>
          </cell>
          <cell r="F643" t="str">
            <v>1 UND</v>
          </cell>
          <cell r="G643">
            <v>500</v>
          </cell>
          <cell r="H643" t="str">
            <v>23/05/2020</v>
          </cell>
          <cell r="I643">
            <v>726.75</v>
          </cell>
          <cell r="J643">
            <v>419624.5</v>
          </cell>
          <cell r="K643">
            <v>1</v>
          </cell>
          <cell r="L643">
            <v>726.75</v>
          </cell>
          <cell r="M643" t="str">
            <v>Und</v>
          </cell>
        </row>
        <row r="644">
          <cell r="A644" t="str">
            <v>50500004</v>
          </cell>
          <cell r="B644">
            <v>12119</v>
          </cell>
          <cell r="C644" t="str">
            <v>CANDELA GLOBOS SURTIDO COLORES (UND)</v>
          </cell>
          <cell r="D644" t="str">
            <v>50500004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08/06/2020</v>
          </cell>
          <cell r="I644">
            <v>522.5</v>
          </cell>
          <cell r="J644">
            <v>609187.5</v>
          </cell>
          <cell r="K644">
            <v>1</v>
          </cell>
          <cell r="L644">
            <v>522.5</v>
          </cell>
          <cell r="M644" t="str">
            <v>Und</v>
          </cell>
        </row>
        <row r="645">
          <cell r="A645" t="str">
            <v>50500005</v>
          </cell>
          <cell r="B645">
            <v>12120</v>
          </cell>
          <cell r="C645" t="str">
            <v>CANDELA FELIZ ESCARCHA SURTIDA (UND)</v>
          </cell>
          <cell r="D645" t="str">
            <v>50500005</v>
          </cell>
          <cell r="E645" t="str">
            <v>EMPAQUES PLANTA</v>
          </cell>
          <cell r="F645" t="str">
            <v>1 UND</v>
          </cell>
          <cell r="G645">
            <v>500</v>
          </cell>
          <cell r="H645" t="str">
            <v>08/06/2020</v>
          </cell>
          <cell r="I645">
            <v>712.5</v>
          </cell>
          <cell r="J645">
            <v>467827.5</v>
          </cell>
          <cell r="K645">
            <v>1000</v>
          </cell>
          <cell r="L645" t="e">
            <v>#DIV/0!</v>
          </cell>
          <cell r="M645" t="str">
            <v>Und</v>
          </cell>
        </row>
        <row r="646">
          <cell r="A646" t="str">
            <v>50600003</v>
          </cell>
          <cell r="B646">
            <v>15524</v>
          </cell>
          <cell r="C646" t="str">
            <v>CAPSULA # 5 BLANCA (PAQ:1000 UND)</v>
          </cell>
          <cell r="D646" t="str">
            <v>50600003</v>
          </cell>
          <cell r="E646" t="str">
            <v>EMPAQUES PLANTA</v>
          </cell>
          <cell r="F646" t="str">
            <v>1 PAQUETE</v>
          </cell>
          <cell r="G646">
            <v>500</v>
          </cell>
          <cell r="H646" t="str">
            <v>27/12/2019</v>
          </cell>
          <cell r="I646">
            <v>8600</v>
          </cell>
          <cell r="J646">
            <v>1462000</v>
          </cell>
          <cell r="K646">
            <v>1000</v>
          </cell>
          <cell r="L646">
            <v>8.6</v>
          </cell>
          <cell r="M646" t="str">
            <v>Und</v>
          </cell>
        </row>
        <row r="647">
          <cell r="A647" t="str">
            <v>50700006</v>
          </cell>
          <cell r="B647">
            <v>11250</v>
          </cell>
          <cell r="C647" t="str">
            <v xml:space="preserve">CONTENEDOR FOAM KFC 8OZ (CAJA:1000 UND) </v>
          </cell>
          <cell r="D647" t="str">
            <v>50700006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27703</v>
          </cell>
          <cell r="J647">
            <v>1395911</v>
          </cell>
          <cell r="K647">
            <v>1000</v>
          </cell>
          <cell r="L647">
            <v>27.702999999999999</v>
          </cell>
          <cell r="M647" t="str">
            <v>Und</v>
          </cell>
        </row>
        <row r="648">
          <cell r="A648" t="str">
            <v>50700007</v>
          </cell>
          <cell r="B648">
            <v>12723</v>
          </cell>
          <cell r="C648" t="str">
            <v>TAPA PLAST CONT KFC 4-8-16OZ (CAJA:1000)</v>
          </cell>
          <cell r="D648" t="str">
            <v>50700007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10/06/2020</v>
          </cell>
          <cell r="I648">
            <v>13472</v>
          </cell>
          <cell r="J648">
            <v>804095</v>
          </cell>
          <cell r="K648">
            <v>1000</v>
          </cell>
          <cell r="L648">
            <v>13.472</v>
          </cell>
          <cell r="M648" t="str">
            <v>Und</v>
          </cell>
        </row>
        <row r="649">
          <cell r="A649" t="str">
            <v>50700016</v>
          </cell>
          <cell r="B649">
            <v>5810</v>
          </cell>
          <cell r="C649" t="str">
            <v>CONT.24 ONZ.TAPA PLANA (CAJA:200 UND)</v>
          </cell>
          <cell r="D649" t="str">
            <v>50700016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14/02/2020</v>
          </cell>
          <cell r="I649">
            <v>0</v>
          </cell>
          <cell r="J649">
            <v>137598</v>
          </cell>
          <cell r="K649">
            <v>200</v>
          </cell>
          <cell r="L649">
            <v>0</v>
          </cell>
          <cell r="M649" t="str">
            <v>Und</v>
          </cell>
        </row>
        <row r="650">
          <cell r="A650" t="str">
            <v>50700028</v>
          </cell>
          <cell r="B650">
            <v>13581</v>
          </cell>
          <cell r="C650" t="str">
            <v>CONTENEDOR PLAS SUFLE 1 OZ (PAQ:200 UND)</v>
          </cell>
          <cell r="D650" t="str">
            <v>50700028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15/06/2020</v>
          </cell>
          <cell r="I650">
            <v>1210.1600000000001</v>
          </cell>
          <cell r="J650">
            <v>481672</v>
          </cell>
          <cell r="K650">
            <v>200</v>
          </cell>
          <cell r="L650">
            <v>6.0508000000000006</v>
          </cell>
          <cell r="M650" t="str">
            <v>Und</v>
          </cell>
        </row>
        <row r="651">
          <cell r="A651" t="str">
            <v>50700029</v>
          </cell>
          <cell r="B651">
            <v>14055</v>
          </cell>
          <cell r="C651" t="str">
            <v>CONTENEDOR SUFLE 2 ONZ (PAQ:200 UND)</v>
          </cell>
          <cell r="D651" t="str">
            <v>50700029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21/05/2020</v>
          </cell>
          <cell r="I651">
            <v>1494</v>
          </cell>
          <cell r="J651">
            <v>723651.12919999904</v>
          </cell>
          <cell r="K651">
            <v>200</v>
          </cell>
          <cell r="L651">
            <v>7.47</v>
          </cell>
          <cell r="M651" t="str">
            <v>Und</v>
          </cell>
        </row>
        <row r="652">
          <cell r="A652" t="str">
            <v>50700039</v>
          </cell>
          <cell r="B652">
            <v>15135</v>
          </cell>
          <cell r="C652" t="str">
            <v>TAPA UNIVERL POLI BOTE 16PP (CJ:500 UND)</v>
          </cell>
          <cell r="D652" t="str">
            <v>50700039</v>
          </cell>
          <cell r="E652" t="str">
            <v>EMPAQUES PLANTA</v>
          </cell>
          <cell r="F652" t="str">
            <v>1 CAJA</v>
          </cell>
          <cell r="G652">
            <v>500</v>
          </cell>
          <cell r="H652" t="str">
            <v>12/06/2020</v>
          </cell>
          <cell r="I652">
            <v>10825.22</v>
          </cell>
          <cell r="J652">
            <v>411358.36</v>
          </cell>
          <cell r="K652">
            <v>500</v>
          </cell>
          <cell r="L652">
            <v>21.65044</v>
          </cell>
          <cell r="M652" t="str">
            <v>Und</v>
          </cell>
        </row>
        <row r="653">
          <cell r="A653" t="str">
            <v>50700040</v>
          </cell>
          <cell r="B653">
            <v>15136</v>
          </cell>
          <cell r="C653" t="str">
            <v>CONTENEDOR PLAST 4 OZ (CAJA: 15 PAQ)</v>
          </cell>
          <cell r="D653" t="str">
            <v>50700040</v>
          </cell>
          <cell r="E653" t="str">
            <v>EMPAQUES PLANTA</v>
          </cell>
          <cell r="F653" t="str">
            <v>1 CAJA</v>
          </cell>
          <cell r="G653">
            <v>500</v>
          </cell>
          <cell r="H653" t="str">
            <v>19/03/2020</v>
          </cell>
          <cell r="I653">
            <v>3276</v>
          </cell>
          <cell r="J653">
            <v>490168</v>
          </cell>
          <cell r="K653">
            <v>250</v>
          </cell>
          <cell r="L653" t="e">
            <v>#DIV/0!</v>
          </cell>
          <cell r="M653"/>
        </row>
        <row r="654">
          <cell r="A654" t="str">
            <v>50700042</v>
          </cell>
          <cell r="B654">
            <v>15147</v>
          </cell>
          <cell r="C654" t="str">
            <v>CONT COSTILLA BASE DOMO OP3 (CJ:250 UND)</v>
          </cell>
          <cell r="D654" t="str">
            <v>50700042</v>
          </cell>
          <cell r="E654" t="str">
            <v>EMPAQUES PLANTA</v>
          </cell>
          <cell r="F654" t="str">
            <v>1 CAJA</v>
          </cell>
          <cell r="G654">
            <v>500</v>
          </cell>
          <cell r="H654" t="str">
            <v>04/06/2020</v>
          </cell>
          <cell r="I654">
            <v>23825.1</v>
          </cell>
          <cell r="J654">
            <v>1834532.7</v>
          </cell>
          <cell r="K654">
            <v>250</v>
          </cell>
          <cell r="L654">
            <v>95.300399999999996</v>
          </cell>
          <cell r="M654" t="str">
            <v>Und</v>
          </cell>
        </row>
        <row r="655">
          <cell r="A655" t="str">
            <v>50700043</v>
          </cell>
          <cell r="B655">
            <v>15157</v>
          </cell>
          <cell r="C655" t="str">
            <v>BISAGRA P/PASTEL ROSCA (CAJA: 180 UND)</v>
          </cell>
          <cell r="D655" t="str">
            <v>50700043</v>
          </cell>
          <cell r="E655" t="str">
            <v>EMPAQUES PLANTA</v>
          </cell>
          <cell r="F655" t="str">
            <v>1 CAJA</v>
          </cell>
          <cell r="G655">
            <v>500</v>
          </cell>
          <cell r="H655" t="str">
            <v>21/05/2020</v>
          </cell>
          <cell r="I655">
            <v>39375.800000000003</v>
          </cell>
          <cell r="J655">
            <v>826891.8</v>
          </cell>
          <cell r="K655">
            <v>180</v>
          </cell>
          <cell r="L655">
            <v>218.75444444444446</v>
          </cell>
        </row>
        <row r="656">
          <cell r="A656" t="str">
            <v>50700044</v>
          </cell>
          <cell r="B656">
            <v>15311</v>
          </cell>
          <cell r="C656" t="str">
            <v>CONTENEDOR POLIPROP 8 ONZ (CJ:500 UND)</v>
          </cell>
          <cell r="D656" t="str">
            <v>50700044</v>
          </cell>
          <cell r="E656" t="str">
            <v>EMPAQUES PLANTA</v>
          </cell>
          <cell r="F656" t="str">
            <v>1 CAJA</v>
          </cell>
          <cell r="G656">
            <v>500</v>
          </cell>
          <cell r="H656" t="str">
            <v>12/06/2020</v>
          </cell>
          <cell r="I656">
            <v>16576.87</v>
          </cell>
          <cell r="J656">
            <v>580190.44999999995</v>
          </cell>
          <cell r="K656">
            <v>500</v>
          </cell>
          <cell r="L656">
            <v>33.153739999999999</v>
          </cell>
        </row>
        <row r="657">
          <cell r="A657" t="str">
            <v>50700045</v>
          </cell>
          <cell r="B657">
            <v>15390</v>
          </cell>
          <cell r="C657" t="str">
            <v>BISAGRA 6 MANTECADA 24*16*8 (CJ:250 UND)</v>
          </cell>
          <cell r="D657" t="str">
            <v>50700045</v>
          </cell>
          <cell r="E657" t="str">
            <v>EMPAQUES PLANTA</v>
          </cell>
          <cell r="F657" t="str">
            <v>1 CAJA</v>
          </cell>
          <cell r="G657">
            <v>500</v>
          </cell>
          <cell r="H657" t="str">
            <v>20/02/2020</v>
          </cell>
          <cell r="I657">
            <v>28769.96</v>
          </cell>
          <cell r="J657">
            <v>287699.59999999998</v>
          </cell>
          <cell r="K657">
            <v>250</v>
          </cell>
          <cell r="L657">
            <v>115.07983999999999</v>
          </cell>
          <cell r="M657" t="str">
            <v>Und</v>
          </cell>
        </row>
        <row r="658">
          <cell r="A658" t="str">
            <v>51000003</v>
          </cell>
          <cell r="B658">
            <v>9473</v>
          </cell>
          <cell r="C658" t="str">
            <v>ORLA 14.5" (UND)</v>
          </cell>
          <cell r="D658" t="str">
            <v>51000003</v>
          </cell>
          <cell r="E658" t="str">
            <v>EMPAQUES PLANTA</v>
          </cell>
          <cell r="F658" t="str">
            <v>1 UND</v>
          </cell>
          <cell r="G658">
            <v>500</v>
          </cell>
          <cell r="H658" t="str">
            <v>20/03/2020</v>
          </cell>
          <cell r="I658">
            <v>305</v>
          </cell>
          <cell r="J658">
            <v>48800</v>
          </cell>
          <cell r="K658">
            <v>1000</v>
          </cell>
          <cell r="L658" t="e">
            <v>#DIV/0!</v>
          </cell>
        </row>
        <row r="659">
          <cell r="A659" t="str">
            <v>51100018</v>
          </cell>
          <cell r="B659">
            <v>14562</v>
          </cell>
          <cell r="C659" t="str">
            <v>PAPEL ENCERADO 12X12 (PAQ:1000 UND)</v>
          </cell>
          <cell r="D659" t="str">
            <v>51100018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19/05/2020</v>
          </cell>
          <cell r="I659">
            <v>1</v>
          </cell>
          <cell r="J659">
            <v>1556080.58</v>
          </cell>
          <cell r="K659">
            <v>1000</v>
          </cell>
          <cell r="L659">
            <v>1E-3</v>
          </cell>
          <cell r="M659" t="str">
            <v>Und</v>
          </cell>
        </row>
        <row r="660">
          <cell r="A660" t="str">
            <v>51400001</v>
          </cell>
          <cell r="B660">
            <v>10089</v>
          </cell>
          <cell r="C660" t="str">
            <v>QUEQUERA RECTANGULAR 1/2 (CAJA:35 UND)</v>
          </cell>
          <cell r="D660" t="str">
            <v>51400001</v>
          </cell>
          <cell r="E660" t="str">
            <v>EMPAQUES PLANTA</v>
          </cell>
          <cell r="F660" t="str">
            <v>1 CAJA</v>
          </cell>
          <cell r="G660">
            <v>500</v>
          </cell>
          <cell r="H660" t="str">
            <v>05/06/2020</v>
          </cell>
          <cell r="I660">
            <v>41396</v>
          </cell>
          <cell r="J660">
            <v>4768739</v>
          </cell>
          <cell r="K660">
            <v>35</v>
          </cell>
          <cell r="L660">
            <v>1182.7428571428572</v>
          </cell>
          <cell r="M660" t="str">
            <v>Und</v>
          </cell>
        </row>
        <row r="661">
          <cell r="A661" t="str">
            <v>51400015</v>
          </cell>
          <cell r="B661">
            <v>12720</v>
          </cell>
          <cell r="C661" t="str">
            <v>QUEQUERA CHILENA (CAJA:50 UND)</v>
          </cell>
          <cell r="D661" t="str">
            <v>51400015</v>
          </cell>
          <cell r="E661" t="str">
            <v>EMPAQUES PLANTA</v>
          </cell>
          <cell r="F661" t="str">
            <v>1 CAJA</v>
          </cell>
          <cell r="G661">
            <v>500</v>
          </cell>
          <cell r="H661" t="str">
            <v>10/06/2020</v>
          </cell>
          <cell r="I661">
            <v>13013</v>
          </cell>
          <cell r="J661">
            <v>11750797</v>
          </cell>
          <cell r="K661">
            <v>50</v>
          </cell>
          <cell r="L661">
            <v>260.26</v>
          </cell>
          <cell r="M661" t="str">
            <v>Und</v>
          </cell>
        </row>
        <row r="662">
          <cell r="A662" t="str">
            <v>51400016</v>
          </cell>
          <cell r="B662">
            <v>12721</v>
          </cell>
          <cell r="C662" t="str">
            <v>DOMO QUEQUERA 8" ALTA (CAJA:100 UND)</v>
          </cell>
          <cell r="D662" t="str">
            <v>51400016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12/06/2020</v>
          </cell>
          <cell r="I662">
            <v>15439</v>
          </cell>
          <cell r="J662">
            <v>17157345</v>
          </cell>
          <cell r="K662">
            <v>100</v>
          </cell>
          <cell r="L662">
            <v>154.38999999999999</v>
          </cell>
          <cell r="M662" t="str">
            <v>Und</v>
          </cell>
        </row>
        <row r="663">
          <cell r="A663" t="str">
            <v>51400017</v>
          </cell>
          <cell r="B663">
            <v>12722</v>
          </cell>
          <cell r="C663" t="str">
            <v>BASE QUEQUERA 8" ALTA (CAJA:200 UND)</v>
          </cell>
          <cell r="D663" t="str">
            <v>51400017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18184</v>
          </cell>
          <cell r="J663">
            <v>10305846</v>
          </cell>
          <cell r="K663">
            <v>200</v>
          </cell>
          <cell r="L663">
            <v>90.92</v>
          </cell>
          <cell r="M663" t="str">
            <v>Und</v>
          </cell>
        </row>
        <row r="664">
          <cell r="A664" t="str">
            <v>51400020</v>
          </cell>
          <cell r="B664">
            <v>14983</v>
          </cell>
          <cell r="C664" t="str">
            <v>BURBUJA I-3 ALTA (CAJA:250 UND)</v>
          </cell>
          <cell r="D664" t="str">
            <v>51400020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12/06/2020</v>
          </cell>
          <cell r="I664">
            <v>10052</v>
          </cell>
          <cell r="J664">
            <v>2731062.91</v>
          </cell>
          <cell r="K664">
            <v>250</v>
          </cell>
          <cell r="L664">
            <v>40.207999999999998</v>
          </cell>
          <cell r="M664" t="str">
            <v>Und</v>
          </cell>
        </row>
        <row r="665">
          <cell r="A665" t="str">
            <v>51400021</v>
          </cell>
          <cell r="B665">
            <v>15022</v>
          </cell>
          <cell r="C665" t="str">
            <v>QUEQUERA RED C/BASE ALTA 9" (CAJA:100 U)</v>
          </cell>
          <cell r="D665" t="str">
            <v>51400021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12/06/2020</v>
          </cell>
          <cell r="I665">
            <v>24436</v>
          </cell>
          <cell r="J665">
            <v>5598080</v>
          </cell>
          <cell r="K665">
            <v>100</v>
          </cell>
          <cell r="L665">
            <v>244.36</v>
          </cell>
          <cell r="M665" t="str">
            <v>Und</v>
          </cell>
        </row>
        <row r="666">
          <cell r="A666" t="str">
            <v>51400022</v>
          </cell>
          <cell r="B666">
            <v>15028</v>
          </cell>
          <cell r="C666" t="str">
            <v>BOWL FIBRA 24 ONZ COMPOST (PAQ:125 UND)</v>
          </cell>
          <cell r="D666" t="str">
            <v>51400022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27/05/2020</v>
          </cell>
          <cell r="I666">
            <v>14413.71</v>
          </cell>
          <cell r="J666">
            <v>2392240.3612500001</v>
          </cell>
          <cell r="K666">
            <v>125</v>
          </cell>
          <cell r="L666">
            <v>115.30967999999999</v>
          </cell>
        </row>
        <row r="667">
          <cell r="A667" t="str">
            <v>51400023</v>
          </cell>
          <cell r="B667">
            <v>15029</v>
          </cell>
          <cell r="C667" t="str">
            <v>BOWL FIBRA 32 ONZ COMPOST (PAQ:125 UND)</v>
          </cell>
          <cell r="D667" t="str">
            <v>51400023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29/05/2020</v>
          </cell>
          <cell r="I667">
            <v>1</v>
          </cell>
          <cell r="J667">
            <v>3410514.33</v>
          </cell>
          <cell r="K667">
            <v>125</v>
          </cell>
          <cell r="L667">
            <v>8.0000000000000002E-3</v>
          </cell>
        </row>
        <row r="668">
          <cell r="A668" t="str">
            <v>51400024</v>
          </cell>
          <cell r="B668">
            <v>15030</v>
          </cell>
          <cell r="C668" t="str">
            <v>TAPA  BOWL 16/24/32 ONZ (PAQ:125 UND)</v>
          </cell>
          <cell r="D668" t="str">
            <v>51400024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08/06/2020</v>
          </cell>
          <cell r="I668">
            <v>10345.942499999999</v>
          </cell>
          <cell r="J668">
            <v>3564964.1575000002</v>
          </cell>
          <cell r="K668">
            <v>125</v>
          </cell>
          <cell r="L668">
            <v>82.767539999999997</v>
          </cell>
        </row>
        <row r="669">
          <cell r="A669" t="str">
            <v>51400025</v>
          </cell>
          <cell r="B669">
            <v>15031</v>
          </cell>
          <cell r="C669" t="str">
            <v>BANDEJA FIBRA 2 DIVISIONES (PAQ:50 UND)</v>
          </cell>
          <cell r="D669" t="str">
            <v>51400025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11/06/2020</v>
          </cell>
          <cell r="I669">
            <v>1</v>
          </cell>
          <cell r="J669">
            <v>410722.1</v>
          </cell>
          <cell r="K669">
            <v>50</v>
          </cell>
          <cell r="L669">
            <v>0.02</v>
          </cell>
        </row>
        <row r="670">
          <cell r="A670" t="str">
            <v>51400026</v>
          </cell>
          <cell r="B670">
            <v>15032</v>
          </cell>
          <cell r="C670" t="str">
            <v>BANDEJA FIBRA 3 DIVISIONES (PAQ:50 UND)</v>
          </cell>
          <cell r="D670" t="str">
            <v>51400026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11/06/2020</v>
          </cell>
          <cell r="I670">
            <v>1</v>
          </cell>
          <cell r="J670">
            <v>3316155.06</v>
          </cell>
          <cell r="K670">
            <v>50</v>
          </cell>
          <cell r="L670">
            <v>0.02</v>
          </cell>
        </row>
        <row r="671">
          <cell r="A671" t="str">
            <v>51400027</v>
          </cell>
          <cell r="B671">
            <v>15033</v>
          </cell>
          <cell r="C671" t="str">
            <v>TAPA BOWL SOPA 8 ONZ (PAQ:50 UND)</v>
          </cell>
          <cell r="D671" t="str">
            <v>51400027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09/06/2020</v>
          </cell>
          <cell r="I671">
            <v>57.5</v>
          </cell>
          <cell r="J671">
            <v>1387204.9750000001</v>
          </cell>
          <cell r="K671">
            <v>50</v>
          </cell>
          <cell r="L671">
            <v>1.1499999999999999</v>
          </cell>
        </row>
        <row r="672">
          <cell r="A672" t="str">
            <v>51400028</v>
          </cell>
          <cell r="B672">
            <v>15034</v>
          </cell>
          <cell r="C672" t="str">
            <v>BOWL FIBRA SOPA 16 ONZ (PAQ:50 UND)</v>
          </cell>
          <cell r="D672" t="str">
            <v>51400028</v>
          </cell>
          <cell r="E672" t="str">
            <v>EMPAQUES PLANTA</v>
          </cell>
          <cell r="F672" t="str">
            <v>1 PAQUETE</v>
          </cell>
          <cell r="G672">
            <v>500</v>
          </cell>
          <cell r="H672" t="str">
            <v>27/03/2020</v>
          </cell>
          <cell r="I672">
            <v>4336.2725</v>
          </cell>
          <cell r="J672">
            <v>716800.41</v>
          </cell>
          <cell r="K672">
            <v>50</v>
          </cell>
          <cell r="L672">
            <v>86.725449999999995</v>
          </cell>
        </row>
        <row r="673">
          <cell r="A673" t="str">
            <v>51400029</v>
          </cell>
          <cell r="B673">
            <v>15035</v>
          </cell>
          <cell r="C673" t="str">
            <v>BOWL FIBRA 16 ONZ COMPOST (PAQ:125 UND)</v>
          </cell>
          <cell r="D673" t="str">
            <v>51400029</v>
          </cell>
          <cell r="E673" t="str">
            <v>EMPAQUES PLANTA</v>
          </cell>
          <cell r="F673" t="str">
            <v>1 PAQUETE</v>
          </cell>
          <cell r="G673">
            <v>500</v>
          </cell>
          <cell r="H673" t="str">
            <v>03/06/2020</v>
          </cell>
          <cell r="I673">
            <v>83.055999999999997</v>
          </cell>
          <cell r="J673">
            <v>457503.11</v>
          </cell>
          <cell r="K673">
            <v>125</v>
          </cell>
          <cell r="L673">
            <v>0.66444799999999993</v>
          </cell>
        </row>
        <row r="674">
          <cell r="A674" t="str">
            <v>51400030</v>
          </cell>
          <cell r="B674">
            <v>15036</v>
          </cell>
          <cell r="C674" t="str">
            <v>TAPA FIBRA BANDEJA 2 DIV (PAQ:50 UND)</v>
          </cell>
          <cell r="D674" t="str">
            <v>51400030</v>
          </cell>
          <cell r="E674" t="str">
            <v>EMPAQUES PLANTA</v>
          </cell>
          <cell r="F674" t="str">
            <v>1 PAQUETE</v>
          </cell>
          <cell r="G674">
            <v>500</v>
          </cell>
          <cell r="H674" t="str">
            <v>11/06/2020</v>
          </cell>
          <cell r="I674">
            <v>1</v>
          </cell>
          <cell r="J674">
            <v>310445.8</v>
          </cell>
          <cell r="K674">
            <v>50</v>
          </cell>
          <cell r="L674">
            <v>0.02</v>
          </cell>
        </row>
        <row r="675">
          <cell r="A675" t="str">
            <v>51400031</v>
          </cell>
          <cell r="B675">
            <v>15037</v>
          </cell>
          <cell r="C675" t="str">
            <v>TAPA FIBRA BANDEJA 3 DIV  (PAQ:50 UND)</v>
          </cell>
          <cell r="D675" t="str">
            <v>51400031</v>
          </cell>
          <cell r="E675" t="str">
            <v>EMPAQUES PLANTA</v>
          </cell>
          <cell r="F675" t="str">
            <v>1 PAQUETE</v>
          </cell>
          <cell r="G675">
            <v>500</v>
          </cell>
          <cell r="H675" t="str">
            <v>13/06/2020</v>
          </cell>
          <cell r="I675">
            <v>1</v>
          </cell>
          <cell r="J675">
            <v>2781826.4</v>
          </cell>
          <cell r="K675">
            <v>50</v>
          </cell>
          <cell r="L675">
            <v>0.02</v>
          </cell>
        </row>
        <row r="676">
          <cell r="A676" t="str">
            <v>51400032</v>
          </cell>
          <cell r="B676">
            <v>15038</v>
          </cell>
          <cell r="C676" t="str">
            <v>BOWL FIBRA SOPA 12 ONZ (PAQ:50 UND)</v>
          </cell>
          <cell r="D676" t="str">
            <v>51400032</v>
          </cell>
          <cell r="E676" t="str">
            <v>EMPAQUES PLANTA</v>
          </cell>
          <cell r="F676" t="str">
            <v>1 PAQUETE</v>
          </cell>
          <cell r="G676">
            <v>500</v>
          </cell>
          <cell r="H676" t="str">
            <v>08/06/2020</v>
          </cell>
          <cell r="I676">
            <v>3846.942</v>
          </cell>
          <cell r="J676">
            <v>387817.10200000001</v>
          </cell>
          <cell r="K676">
            <v>50</v>
          </cell>
          <cell r="L676">
            <v>76.938839999999999</v>
          </cell>
        </row>
        <row r="677">
          <cell r="A677" t="str">
            <v>51400033</v>
          </cell>
          <cell r="B677">
            <v>15039</v>
          </cell>
          <cell r="C677" t="str">
            <v>TAPA BOWL SOPA 12/16/32 ONZ (PAQ:50 UND)</v>
          </cell>
          <cell r="D677" t="str">
            <v>51400033</v>
          </cell>
          <cell r="E677" t="str">
            <v>EMPAQUES PLANTA</v>
          </cell>
          <cell r="F677" t="str">
            <v>1 PAQUETE</v>
          </cell>
          <cell r="G677">
            <v>500</v>
          </cell>
          <cell r="H677" t="str">
            <v>09/06/2020</v>
          </cell>
          <cell r="I677">
            <v>89.44</v>
          </cell>
          <cell r="J677">
            <v>791423.76</v>
          </cell>
          <cell r="K677">
            <v>50</v>
          </cell>
          <cell r="L677">
            <v>1.7887999999999999</v>
          </cell>
        </row>
        <row r="678">
          <cell r="A678" t="str">
            <v>51400034</v>
          </cell>
          <cell r="B678">
            <v>15040</v>
          </cell>
          <cell r="C678" t="str">
            <v>BOWL FIBRA SOPA 8 ONZ (PAQ:50 UND)</v>
          </cell>
          <cell r="D678" t="str">
            <v>51400034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08/06/2020</v>
          </cell>
          <cell r="I678">
            <v>2739.489</v>
          </cell>
          <cell r="J678">
            <v>1337529.96</v>
          </cell>
          <cell r="K678">
            <v>50</v>
          </cell>
          <cell r="L678">
            <v>54.78978</v>
          </cell>
        </row>
        <row r="679">
          <cell r="A679" t="str">
            <v>51400035</v>
          </cell>
          <cell r="B679">
            <v>15369</v>
          </cell>
          <cell r="C679" t="str">
            <v>QUEQUERA PLAST RED 12" ALTA (CJ:50 UND)</v>
          </cell>
          <cell r="D679" t="str">
            <v>51400035</v>
          </cell>
          <cell r="E679" t="str">
            <v>EMPAQUES PLANTA</v>
          </cell>
          <cell r="F679" t="str">
            <v>1 CAJA</v>
          </cell>
          <cell r="G679">
            <v>500</v>
          </cell>
          <cell r="H679" t="str">
            <v>08/06/2020</v>
          </cell>
          <cell r="I679">
            <v>48189</v>
          </cell>
          <cell r="J679">
            <v>4879679</v>
          </cell>
          <cell r="K679">
            <v>50</v>
          </cell>
          <cell r="L679">
            <v>963.78</v>
          </cell>
        </row>
        <row r="680">
          <cell r="A680" t="str">
            <v>51400036</v>
          </cell>
          <cell r="B680">
            <v>15383</v>
          </cell>
          <cell r="C680" t="str">
            <v>QUEQUERA PLAST RECT 48*13*11 (CJ:25 UND)</v>
          </cell>
          <cell r="D680" t="str">
            <v>51400036</v>
          </cell>
          <cell r="E680" t="str">
            <v>EMPAQUES PLANTA</v>
          </cell>
          <cell r="F680" t="str">
            <v>1 CAJA</v>
          </cell>
          <cell r="G680">
            <v>500</v>
          </cell>
          <cell r="H680" t="str">
            <v>21/03/2020</v>
          </cell>
          <cell r="I680">
            <v>33775</v>
          </cell>
          <cell r="J680">
            <v>537868</v>
          </cell>
          <cell r="K680">
            <v>25</v>
          </cell>
          <cell r="L680">
            <v>1351</v>
          </cell>
        </row>
        <row r="681">
          <cell r="A681" t="str">
            <v>51500012</v>
          </cell>
          <cell r="B681">
            <v>12129</v>
          </cell>
          <cell r="C681" t="str">
            <v>VASO BIODEGRADABLE 12 ONZ (PAQ:25 UND)</v>
          </cell>
          <cell r="D681" t="str">
            <v>51500012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10/06/2020</v>
          </cell>
          <cell r="I681">
            <v>1510.35</v>
          </cell>
          <cell r="J681">
            <v>1438464</v>
          </cell>
          <cell r="K681">
            <v>25</v>
          </cell>
          <cell r="L681">
            <v>60.413999999999994</v>
          </cell>
        </row>
        <row r="682">
          <cell r="A682" t="str">
            <v>51500013</v>
          </cell>
          <cell r="B682">
            <v>12130</v>
          </cell>
          <cell r="C682" t="str">
            <v>TAPA VASO BIODEGR 12,16 onz (PAQ:50 UND)</v>
          </cell>
          <cell r="D682" t="str">
            <v>51500013</v>
          </cell>
          <cell r="E682" t="str">
            <v>EMPAQUES PLANTA</v>
          </cell>
          <cell r="F682" t="str">
            <v>1 PAQ</v>
          </cell>
          <cell r="G682">
            <v>500</v>
          </cell>
          <cell r="H682" t="str">
            <v>21/05/2020</v>
          </cell>
          <cell r="I682">
            <v>903.05</v>
          </cell>
          <cell r="J682">
            <v>377774</v>
          </cell>
          <cell r="K682">
            <v>50</v>
          </cell>
          <cell r="L682">
            <v>18.061</v>
          </cell>
          <cell r="M682" t="str">
            <v>Und</v>
          </cell>
        </row>
        <row r="683">
          <cell r="A683" t="str">
            <v>51500014</v>
          </cell>
          <cell r="B683">
            <v>12131</v>
          </cell>
          <cell r="C683" t="str">
            <v>VASO BIODEGRADABLE 8 onz (PAQ:25 UND)</v>
          </cell>
          <cell r="D683" t="str">
            <v>51500014</v>
          </cell>
          <cell r="E683" t="str">
            <v>EMPAQUES PLANTA</v>
          </cell>
          <cell r="F683" t="str">
            <v>1 PAQUETE</v>
          </cell>
          <cell r="G683">
            <v>500</v>
          </cell>
          <cell r="H683" t="str">
            <v>15/06/2020</v>
          </cell>
          <cell r="I683">
            <v>1498.25</v>
          </cell>
          <cell r="J683">
            <v>2114002</v>
          </cell>
          <cell r="K683">
            <v>25</v>
          </cell>
          <cell r="L683">
            <v>59.93</v>
          </cell>
          <cell r="M683" t="str">
            <v>Und</v>
          </cell>
        </row>
        <row r="684">
          <cell r="A684" t="str">
            <v>51500015</v>
          </cell>
          <cell r="B684">
            <v>12132</v>
          </cell>
          <cell r="C684" t="str">
            <v>TAPA VASO BIO 8 ONZ (PAQ:50 UND)</v>
          </cell>
          <cell r="D684" t="str">
            <v>51500015</v>
          </cell>
          <cell r="E684" t="str">
            <v>EMPAQUES PLANTA</v>
          </cell>
          <cell r="F684" t="str">
            <v>1 PAQUETE</v>
          </cell>
          <cell r="G684">
            <v>500</v>
          </cell>
          <cell r="H684" t="str">
            <v>04/06/2020</v>
          </cell>
          <cell r="I684">
            <v>1</v>
          </cell>
          <cell r="J684">
            <v>478177</v>
          </cell>
          <cell r="K684">
            <v>50</v>
          </cell>
          <cell r="L684">
            <v>0.02</v>
          </cell>
          <cell r="M684" t="str">
            <v>Und</v>
          </cell>
        </row>
        <row r="685">
          <cell r="A685" t="str">
            <v>51500032</v>
          </cell>
          <cell r="B685">
            <v>14054</v>
          </cell>
          <cell r="C685" t="str">
            <v>TAPA SUFLE 1,5-2-2,5 (PAQ:100 UND)</v>
          </cell>
          <cell r="D685" t="str">
            <v>51500032</v>
          </cell>
          <cell r="E685" t="str">
            <v>EMPAQUES PLANTA</v>
          </cell>
          <cell r="F685" t="str">
            <v>1 PAQUETE</v>
          </cell>
          <cell r="G685">
            <v>500</v>
          </cell>
          <cell r="H685" t="str">
            <v>30/04/2020</v>
          </cell>
          <cell r="I685">
            <v>0</v>
          </cell>
          <cell r="J685">
            <v>1415119.5730000001</v>
          </cell>
          <cell r="K685">
            <v>100</v>
          </cell>
          <cell r="L685">
            <v>0</v>
          </cell>
          <cell r="M685" t="str">
            <v>Und</v>
          </cell>
        </row>
        <row r="686">
          <cell r="A686" t="str">
            <v>51500033</v>
          </cell>
          <cell r="B686">
            <v>15232</v>
          </cell>
          <cell r="C686" t="str">
            <v>VASO PLASTICO FABRIK 9 ONZ (CAJA:20 PAQ)</v>
          </cell>
          <cell r="D686" t="str">
            <v>51500033</v>
          </cell>
          <cell r="E686" t="str">
            <v>EMPAQUES PLANTA</v>
          </cell>
          <cell r="F686" t="str">
            <v>1 CAJA</v>
          </cell>
          <cell r="G686">
            <v>500</v>
          </cell>
          <cell r="H686" t="str">
            <v>07/05/2020</v>
          </cell>
          <cell r="I686">
            <v>33467</v>
          </cell>
          <cell r="J686">
            <v>233143</v>
          </cell>
          <cell r="K686">
            <v>1</v>
          </cell>
          <cell r="L686" t="e">
            <v>#DIV/0!</v>
          </cell>
          <cell r="M686" t="str">
            <v>Und</v>
          </cell>
        </row>
        <row r="687">
          <cell r="A687" t="str">
            <v>51500034</v>
          </cell>
          <cell r="B687">
            <v>15233</v>
          </cell>
          <cell r="C687" t="str">
            <v>TAPA PLAST DOMO SUND POLAR 9 (CJ:10 PAQ)</v>
          </cell>
          <cell r="D687" t="str">
            <v>51500034</v>
          </cell>
          <cell r="E687" t="str">
            <v>EMPAQUES PLANTA</v>
          </cell>
          <cell r="F687" t="str">
            <v>1 CAJA</v>
          </cell>
          <cell r="G687">
            <v>500</v>
          </cell>
          <cell r="H687" t="str">
            <v>04/05/2020</v>
          </cell>
          <cell r="I687">
            <v>25446</v>
          </cell>
          <cell r="J687">
            <v>75615</v>
          </cell>
          <cell r="K687">
            <v>100</v>
          </cell>
          <cell r="L687" t="e">
            <v>#DIV/0!</v>
          </cell>
          <cell r="M687" t="str">
            <v>Und</v>
          </cell>
        </row>
        <row r="688">
          <cell r="A688" t="str">
            <v>51500035</v>
          </cell>
          <cell r="B688">
            <v>15350</v>
          </cell>
          <cell r="C688" t="str">
            <v>TAPA DOMO PLAST BAND ALUM 394 (CJ:100)</v>
          </cell>
          <cell r="D688" t="str">
            <v>51500035</v>
          </cell>
          <cell r="E688" t="str">
            <v>EMPAQUES PLANTA</v>
          </cell>
          <cell r="F688" t="str">
            <v>1 CAJA</v>
          </cell>
          <cell r="G688">
            <v>500</v>
          </cell>
          <cell r="H688" t="str">
            <v>27/04/2020</v>
          </cell>
          <cell r="I688">
            <v>24004</v>
          </cell>
          <cell r="J688">
            <v>304844</v>
          </cell>
          <cell r="K688">
            <v>100</v>
          </cell>
          <cell r="L688">
            <v>240.04</v>
          </cell>
          <cell r="M688" t="str">
            <v>Und</v>
          </cell>
        </row>
        <row r="689">
          <cell r="A689" t="str">
            <v>51500036</v>
          </cell>
          <cell r="B689">
            <v>15853</v>
          </cell>
          <cell r="C689" t="str">
            <v xml:space="preserve">TAPA PLAN S/HOYO 9/12/20 (CJ:10 PAQ ) </v>
          </cell>
          <cell r="D689" t="str">
            <v>51500036</v>
          </cell>
          <cell r="E689" t="str">
            <v>EMPAQUES PLANTA</v>
          </cell>
          <cell r="F689" t="str">
            <v>1 CAJA</v>
          </cell>
          <cell r="G689">
            <v>500</v>
          </cell>
          <cell r="H689" t="str">
            <v>30/04/2020</v>
          </cell>
          <cell r="I689">
            <v>14828</v>
          </cell>
          <cell r="J689">
            <v>174684</v>
          </cell>
          <cell r="K689">
            <v>1</v>
          </cell>
          <cell r="L689" t="e">
            <v>#DIV/0!</v>
          </cell>
          <cell r="M689" t="str">
            <v>Und</v>
          </cell>
        </row>
        <row r="690">
          <cell r="A690" t="str">
            <v>51600004</v>
          </cell>
          <cell r="B690">
            <v>9469</v>
          </cell>
          <cell r="C690" t="str">
            <v>LAZOS ROJOS (UND)</v>
          </cell>
          <cell r="D690" t="str">
            <v>51600004</v>
          </cell>
          <cell r="E690" t="str">
            <v>EMPAQUES PLANTA</v>
          </cell>
          <cell r="F690" t="str">
            <v>1 UND</v>
          </cell>
          <cell r="G690">
            <v>500</v>
          </cell>
          <cell r="H690" t="str">
            <v>03/06/2020</v>
          </cell>
          <cell r="I690">
            <v>20</v>
          </cell>
          <cell r="J690">
            <v>342800</v>
          </cell>
          <cell r="K690">
            <v>1</v>
          </cell>
          <cell r="L690" t="e">
            <v>#DIV/0!</v>
          </cell>
          <cell r="M690" t="str">
            <v>Und</v>
          </cell>
        </row>
        <row r="691">
          <cell r="A691" t="str">
            <v>51600006</v>
          </cell>
          <cell r="B691">
            <v>11828</v>
          </cell>
          <cell r="C691" t="str">
            <v>ROLLO CINTA RASO 45 MTS COLOR ORO (UND)</v>
          </cell>
          <cell r="D691" t="str">
            <v>51600006</v>
          </cell>
          <cell r="E691" t="str">
            <v>EMPAQUES PLANTA</v>
          </cell>
          <cell r="F691" t="str">
            <v>1 UND</v>
          </cell>
          <cell r="G691">
            <v>500</v>
          </cell>
          <cell r="H691" t="str">
            <v>06/01/2020</v>
          </cell>
          <cell r="I691">
            <v>5950</v>
          </cell>
          <cell r="J691">
            <v>11900</v>
          </cell>
          <cell r="K691">
            <v>45000</v>
          </cell>
          <cell r="L691" t="e">
            <v>#DIV/0!</v>
          </cell>
          <cell r="M691" t="str">
            <v>Und</v>
          </cell>
        </row>
        <row r="692">
          <cell r="A692" t="str">
            <v>51600014</v>
          </cell>
          <cell r="B692">
            <v>9667</v>
          </cell>
          <cell r="C692" t="str">
            <v>ROLLO DE CINTA DE RASO DE 45MTS COLOR FU</v>
          </cell>
          <cell r="D692" t="str">
            <v>51600014</v>
          </cell>
          <cell r="E692" t="str">
            <v>EMPAQUES PLANTA</v>
          </cell>
          <cell r="F692" t="str">
            <v>1 ROLLO</v>
          </cell>
          <cell r="G692">
            <v>500</v>
          </cell>
          <cell r="H692" t="str">
            <v>23/03/2020</v>
          </cell>
          <cell r="I692">
            <v>5950</v>
          </cell>
          <cell r="J692">
            <v>17850</v>
          </cell>
          <cell r="K692">
            <v>45000</v>
          </cell>
          <cell r="L692">
            <v>0.13222222222222221</v>
          </cell>
          <cell r="M692" t="str">
            <v>Und</v>
          </cell>
        </row>
        <row r="693">
          <cell r="A693" t="str">
            <v>51600015</v>
          </cell>
          <cell r="B693">
            <v>13573</v>
          </cell>
          <cell r="C693" t="str">
            <v>CINTA TRANS 1X40 (DELGADA)</v>
          </cell>
          <cell r="D693" t="str">
            <v>51600015</v>
          </cell>
          <cell r="E693" t="str">
            <v>EMPAQUES PLANTA</v>
          </cell>
          <cell r="F693" t="str">
            <v>1 UND</v>
          </cell>
          <cell r="G693">
            <v>500</v>
          </cell>
          <cell r="H693" t="str">
            <v>07/02/2020</v>
          </cell>
          <cell r="I693">
            <v>190</v>
          </cell>
          <cell r="J693">
            <v>54720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51600022</v>
          </cell>
          <cell r="B694">
            <v>15567</v>
          </cell>
          <cell r="C694" t="str">
            <v>ROLLO SELLO SEGURIDAD ROJO (ROLLO)</v>
          </cell>
          <cell r="D694" t="str">
            <v>51600022</v>
          </cell>
          <cell r="E694" t="str">
            <v>ETIQUETAS PLANTA</v>
          </cell>
          <cell r="F694" t="str">
            <v>1 ROLLO</v>
          </cell>
          <cell r="G694">
            <v>500</v>
          </cell>
          <cell r="H694" t="str">
            <v>12/06/2020</v>
          </cell>
          <cell r="I694">
            <v>4800</v>
          </cell>
          <cell r="J694">
            <v>883200</v>
          </cell>
          <cell r="K694">
            <v>50</v>
          </cell>
          <cell r="L694" t="e">
            <v>#DIV/0!</v>
          </cell>
          <cell r="M694" t="str">
            <v>Und</v>
          </cell>
        </row>
        <row r="695">
          <cell r="A695" t="str">
            <v>51600023</v>
          </cell>
          <cell r="B695">
            <v>15655</v>
          </cell>
          <cell r="C695" t="str">
            <v>ROLLOS PUNTO DE VENTA 3X3X1 (ROLLO)</v>
          </cell>
          <cell r="D695" t="str">
            <v>51600023</v>
          </cell>
          <cell r="E695" t="str">
            <v>ETIQUETAS PLANTA</v>
          </cell>
          <cell r="F695" t="str">
            <v>1 ROLLO</v>
          </cell>
          <cell r="G695">
            <v>500</v>
          </cell>
          <cell r="H695" t="str">
            <v>21/01/2020</v>
          </cell>
          <cell r="I695">
            <v>1</v>
          </cell>
          <cell r="J695">
            <v>691200</v>
          </cell>
          <cell r="K695">
            <v>50</v>
          </cell>
          <cell r="L695" t="e">
            <v>#DIV/0!</v>
          </cell>
          <cell r="M695" t="str">
            <v>Und</v>
          </cell>
        </row>
        <row r="696">
          <cell r="A696" t="str">
            <v>51600025</v>
          </cell>
          <cell r="B696">
            <v>16107</v>
          </cell>
          <cell r="C696" t="str">
            <v>ROLLOS PUNTO DE VENTA 3X3X2 (ROLLO)</v>
          </cell>
          <cell r="D696" t="str">
            <v>51600025</v>
          </cell>
          <cell r="E696" t="str">
            <v>EMPAQUES PLANTA</v>
          </cell>
          <cell r="F696" t="str">
            <v>1 ROLLO</v>
          </cell>
          <cell r="G696">
            <v>500</v>
          </cell>
          <cell r="H696" t="str">
            <v>06/04/2020</v>
          </cell>
          <cell r="I696">
            <v>540</v>
          </cell>
          <cell r="J696">
            <v>811944</v>
          </cell>
          <cell r="K696">
            <v>1</v>
          </cell>
          <cell r="L696" t="e">
            <v>#DIV/0!</v>
          </cell>
        </row>
        <row r="697">
          <cell r="A697" t="str">
            <v>51600026</v>
          </cell>
          <cell r="B697">
            <v>16289</v>
          </cell>
          <cell r="C697" t="str">
            <v>BANDEJA FIBRA 10X7.5X1.5 (PAQ:50 UND)</v>
          </cell>
          <cell r="D697" t="str">
            <v>51600026</v>
          </cell>
          <cell r="E697" t="str">
            <v>EMPAQUES PLANTA</v>
          </cell>
          <cell r="F697" t="str">
            <v>1 PAQUETE</v>
          </cell>
          <cell r="G697">
            <v>500</v>
          </cell>
          <cell r="H697" t="str">
            <v>01/06/2020</v>
          </cell>
          <cell r="I697">
            <v>540</v>
          </cell>
          <cell r="J697">
            <v>570299.19999999995</v>
          </cell>
          <cell r="K697">
            <v>50</v>
          </cell>
          <cell r="L697">
            <v>10.8</v>
          </cell>
        </row>
        <row r="698">
          <cell r="A698" t="str">
            <v>51600027</v>
          </cell>
          <cell r="B698">
            <v>16292</v>
          </cell>
          <cell r="C698" t="str">
            <v>TAPA TRANSPARENT 10X7.5X1.5 (PAQ:50 UND)</v>
          </cell>
          <cell r="D698" t="str">
            <v>51600027</v>
          </cell>
          <cell r="E698" t="str">
            <v>EMPAQUES PLANTA</v>
          </cell>
          <cell r="F698" t="str">
            <v>1 PAQUETE</v>
          </cell>
          <cell r="G698">
            <v>500</v>
          </cell>
          <cell r="H698" t="str">
            <v>17/03/2020</v>
          </cell>
          <cell r="I698">
            <v>9178.3680000000004</v>
          </cell>
          <cell r="J698">
            <v>660677.12</v>
          </cell>
          <cell r="K698">
            <v>50</v>
          </cell>
          <cell r="L698">
            <v>183.56736000000001</v>
          </cell>
          <cell r="M698" t="str">
            <v>Und</v>
          </cell>
        </row>
        <row r="699">
          <cell r="A699" t="str">
            <v>60100001</v>
          </cell>
          <cell r="B699">
            <v>10459</v>
          </cell>
          <cell r="C699" t="str">
            <v>ETIQUETA LOGO MUSMANNI (UND)</v>
          </cell>
          <cell r="D699" t="str">
            <v>60100001</v>
          </cell>
          <cell r="E699" t="str">
            <v>ETIQUETAS PLANTA</v>
          </cell>
          <cell r="F699" t="str">
            <v>1 UND</v>
          </cell>
          <cell r="G699">
            <v>500</v>
          </cell>
          <cell r="H699" t="str">
            <v>21/05/2020</v>
          </cell>
          <cell r="I699">
            <v>5</v>
          </cell>
          <cell r="J699">
            <v>117500</v>
          </cell>
          <cell r="K699">
            <v>1</v>
          </cell>
          <cell r="L699">
            <v>5</v>
          </cell>
          <cell r="M699" t="str">
            <v>Und</v>
          </cell>
        </row>
        <row r="700">
          <cell r="A700" t="str">
            <v>60100007</v>
          </cell>
          <cell r="B700">
            <v>10898</v>
          </cell>
          <cell r="C700" t="str">
            <v>ETiQUETA BLANCA  R-17 (UND)</v>
          </cell>
          <cell r="D700" t="str">
            <v>60100007</v>
          </cell>
          <cell r="E700" t="str">
            <v>ETIQUETAS PLANTA</v>
          </cell>
          <cell r="F700" t="str">
            <v>1 UND</v>
          </cell>
          <cell r="G700">
            <v>500</v>
          </cell>
          <cell r="H700" t="str">
            <v>02/01/2020</v>
          </cell>
          <cell r="I700">
            <v>3.2</v>
          </cell>
          <cell r="J700">
            <v>224000</v>
          </cell>
          <cell r="K700">
            <v>1</v>
          </cell>
          <cell r="L700">
            <v>3.2</v>
          </cell>
          <cell r="M700" t="str">
            <v>Und</v>
          </cell>
        </row>
        <row r="701">
          <cell r="A701" t="str">
            <v>60100010</v>
          </cell>
          <cell r="B701">
            <v>11570</v>
          </cell>
          <cell r="C701" t="str">
            <v>ETIQUETA ROJA LETRA ALERJENO (UND)</v>
          </cell>
          <cell r="D701" t="str">
            <v>60100010</v>
          </cell>
          <cell r="E701" t="str">
            <v>ETIQUETAS PLANTA</v>
          </cell>
          <cell r="F701" t="str">
            <v>1 UND</v>
          </cell>
          <cell r="G701">
            <v>500</v>
          </cell>
          <cell r="H701" t="str">
            <v>02/06/2020</v>
          </cell>
          <cell r="I701">
            <v>3.6</v>
          </cell>
          <cell r="J701">
            <v>635328</v>
          </cell>
          <cell r="K701">
            <v>1</v>
          </cell>
          <cell r="L701">
            <v>3.6</v>
          </cell>
          <cell r="M701" t="str">
            <v>Und</v>
          </cell>
        </row>
        <row r="702">
          <cell r="A702" t="str">
            <v>60100011</v>
          </cell>
          <cell r="B702">
            <v>11571</v>
          </cell>
          <cell r="C702" t="str">
            <v>ETIQ TORTA GENERICA BUCCA GRANDE (UND)</v>
          </cell>
          <cell r="D702" t="str">
            <v>60100011</v>
          </cell>
          <cell r="E702" t="str">
            <v>ETIQUETAS PLANTA</v>
          </cell>
          <cell r="F702" t="str">
            <v>1 UND</v>
          </cell>
          <cell r="G702">
            <v>500</v>
          </cell>
          <cell r="H702" t="str">
            <v>15/05/2020</v>
          </cell>
          <cell r="I702">
            <v>43.5</v>
          </cell>
          <cell r="J702">
            <v>1241820</v>
          </cell>
          <cell r="K702">
            <v>1</v>
          </cell>
          <cell r="L702">
            <v>43.5</v>
          </cell>
          <cell r="M702" t="str">
            <v>Und</v>
          </cell>
        </row>
        <row r="703">
          <cell r="A703" t="str">
            <v>60100013</v>
          </cell>
          <cell r="B703">
            <v>12920</v>
          </cell>
          <cell r="C703" t="str">
            <v>ETIQ CIRCULO BUCCA DULCE (UND)</v>
          </cell>
          <cell r="D703" t="str">
            <v>60100013</v>
          </cell>
          <cell r="E703" t="str">
            <v>ETIQUETAS PLANTA</v>
          </cell>
          <cell r="F703" t="str">
            <v>1 UND</v>
          </cell>
          <cell r="G703">
            <v>500</v>
          </cell>
          <cell r="H703" t="str">
            <v>17/01/2020</v>
          </cell>
          <cell r="I703">
            <v>3.5</v>
          </cell>
          <cell r="J703">
            <v>17500</v>
          </cell>
          <cell r="K703">
            <v>1</v>
          </cell>
          <cell r="L703">
            <v>3.5</v>
          </cell>
          <cell r="M703" t="str">
            <v>Und</v>
          </cell>
        </row>
        <row r="704">
          <cell r="A704" t="str">
            <v>60100014</v>
          </cell>
          <cell r="B704">
            <v>9489</v>
          </cell>
          <cell r="C704" t="str">
            <v>ETIQUETA LOGO SPOON DORADO (ROLLO:1000)</v>
          </cell>
          <cell r="D704" t="str">
            <v>60100014</v>
          </cell>
          <cell r="E704" t="str">
            <v>ETIQUETAS PLANTA</v>
          </cell>
          <cell r="F704" t="str">
            <v>1 ROLLO</v>
          </cell>
          <cell r="G704">
            <v>500</v>
          </cell>
          <cell r="H704" t="str">
            <v>04/02/2020</v>
          </cell>
          <cell r="I704">
            <v>6000</v>
          </cell>
          <cell r="J704">
            <v>300000</v>
          </cell>
          <cell r="K704">
            <v>1000</v>
          </cell>
          <cell r="L704">
            <v>6</v>
          </cell>
          <cell r="M704" t="str">
            <v>Und</v>
          </cell>
        </row>
        <row r="705">
          <cell r="A705" t="str">
            <v>60100023</v>
          </cell>
          <cell r="B705">
            <v>9210</v>
          </cell>
          <cell r="C705" t="str">
            <v>ETIQ APP SPOONERS CARD CUADRADA (UND)</v>
          </cell>
          <cell r="D705" t="str">
            <v>60100023</v>
          </cell>
          <cell r="E705" t="str">
            <v>ETIQUETAS PLANTA</v>
          </cell>
          <cell r="F705" t="str">
            <v>1 UND</v>
          </cell>
          <cell r="G705">
            <v>500</v>
          </cell>
          <cell r="H705" t="str">
            <v>02/06/2020</v>
          </cell>
          <cell r="I705">
            <v>5.6</v>
          </cell>
          <cell r="J705">
            <v>738440</v>
          </cell>
          <cell r="K705">
            <v>1</v>
          </cell>
          <cell r="L705">
            <v>5.6</v>
          </cell>
          <cell r="M705" t="str">
            <v>Und</v>
          </cell>
        </row>
        <row r="706">
          <cell r="A706" t="str">
            <v>60100024</v>
          </cell>
          <cell r="B706">
            <v>9211</v>
          </cell>
          <cell r="C706" t="str">
            <v>ETIQ CIRCULO APP SPOONERS CARD (UND)</v>
          </cell>
          <cell r="D706" t="str">
            <v>60100024</v>
          </cell>
          <cell r="E706" t="str">
            <v>ETIQUETAS PLANTA</v>
          </cell>
          <cell r="F706" t="str">
            <v>1 UND</v>
          </cell>
          <cell r="G706">
            <v>500</v>
          </cell>
          <cell r="H706" t="str">
            <v>02/06/2020</v>
          </cell>
          <cell r="I706">
            <v>4</v>
          </cell>
          <cell r="J706">
            <v>422040</v>
          </cell>
          <cell r="K706">
            <v>1</v>
          </cell>
          <cell r="L706">
            <v>4</v>
          </cell>
          <cell r="M706" t="str">
            <v>Mililitros</v>
          </cell>
        </row>
        <row r="707">
          <cell r="A707" t="str">
            <v>60100026</v>
          </cell>
          <cell r="B707">
            <v>11509</v>
          </cell>
          <cell r="C707" t="str">
            <v>LOGO OVALADO SPOON GRANDE (ROLLO:1000 U)</v>
          </cell>
          <cell r="D707" t="str">
            <v>60100026</v>
          </cell>
          <cell r="E707" t="str">
            <v>ETIQUETAS PLANTA</v>
          </cell>
          <cell r="F707" t="str">
            <v>1 ROLLO</v>
          </cell>
          <cell r="G707">
            <v>500</v>
          </cell>
          <cell r="H707" t="str">
            <v>12/06/2020</v>
          </cell>
          <cell r="I707">
            <v>3961</v>
          </cell>
          <cell r="J707">
            <v>231784.2</v>
          </cell>
          <cell r="K707">
            <v>1000</v>
          </cell>
          <cell r="L707">
            <v>3.9609999999999999</v>
          </cell>
          <cell r="M707" t="str">
            <v>Und</v>
          </cell>
        </row>
        <row r="708">
          <cell r="A708" t="str">
            <v>60100027</v>
          </cell>
          <cell r="B708">
            <v>11511</v>
          </cell>
          <cell r="C708" t="str">
            <v>LOGO OVALADO SPOON PEQ  (ROLLO:1000 U)</v>
          </cell>
          <cell r="D708" t="str">
            <v>60100027</v>
          </cell>
          <cell r="E708" t="str">
            <v>ETIQUETAS PLANTA</v>
          </cell>
          <cell r="F708" t="str">
            <v>1 ROLLO</v>
          </cell>
          <cell r="G708">
            <v>500</v>
          </cell>
          <cell r="H708" t="str">
            <v>15/06/2020</v>
          </cell>
          <cell r="I708">
            <v>1150</v>
          </cell>
          <cell r="J708">
            <v>11544</v>
          </cell>
          <cell r="K708">
            <v>1000</v>
          </cell>
          <cell r="L708">
            <v>1.1499999999999999</v>
          </cell>
          <cell r="M708" t="str">
            <v>Und</v>
          </cell>
        </row>
        <row r="709">
          <cell r="A709" t="str">
            <v>60100044</v>
          </cell>
          <cell r="B709">
            <v>15128</v>
          </cell>
          <cell r="C709" t="str">
            <v>ETIQUETA RP CIRCULO (UND)</v>
          </cell>
          <cell r="D709" t="str">
            <v>60100044</v>
          </cell>
          <cell r="E709" t="str">
            <v>ETIQUETAS PLANTA</v>
          </cell>
          <cell r="F709" t="str">
            <v>1 UND</v>
          </cell>
          <cell r="G709">
            <v>500</v>
          </cell>
          <cell r="H709" t="str">
            <v>06/02/2020</v>
          </cell>
          <cell r="I709">
            <v>4.0179999999999998</v>
          </cell>
          <cell r="J709">
            <v>1615236</v>
          </cell>
          <cell r="K709">
            <v>1</v>
          </cell>
          <cell r="L709">
            <v>4.0179999999999998</v>
          </cell>
          <cell r="M709" t="str">
            <v>Mililitros</v>
          </cell>
        </row>
        <row r="710">
          <cell r="A710" t="str">
            <v>60100046</v>
          </cell>
          <cell r="B710">
            <v>15481</v>
          </cell>
          <cell r="C710" t="str">
            <v>ETIQUETA ROMPOPE (UND)</v>
          </cell>
          <cell r="D710" t="str">
            <v>60100046</v>
          </cell>
          <cell r="E710" t="str">
            <v>ETIQUETAS PLANTA</v>
          </cell>
          <cell r="F710" t="str">
            <v>1 UND</v>
          </cell>
          <cell r="G710">
            <v>500</v>
          </cell>
          <cell r="H710" t="str">
            <v>18/12/2019</v>
          </cell>
          <cell r="I710">
            <v>150</v>
          </cell>
          <cell r="J710">
            <v>45000</v>
          </cell>
          <cell r="K710">
            <v>1</v>
          </cell>
          <cell r="L710">
            <v>150</v>
          </cell>
          <cell r="M710"/>
        </row>
        <row r="711">
          <cell r="A711" t="str">
            <v>60100047</v>
          </cell>
          <cell r="B711">
            <v>15611</v>
          </cell>
          <cell r="C711" t="str">
            <v>ETIQUETA TE CHAI FRENTE (UND)</v>
          </cell>
          <cell r="D711" t="str">
            <v>60100047</v>
          </cell>
          <cell r="E711" t="str">
            <v>ETIQUETAS PLANTA</v>
          </cell>
          <cell r="F711" t="str">
            <v>1 UND</v>
          </cell>
          <cell r="G711">
            <v>500</v>
          </cell>
          <cell r="H711" t="str">
            <v>09/12/2019</v>
          </cell>
          <cell r="I711">
            <v>42</v>
          </cell>
          <cell r="J711">
            <v>440580</v>
          </cell>
          <cell r="K711">
            <v>1</v>
          </cell>
          <cell r="L711">
            <v>42</v>
          </cell>
          <cell r="M711" t="str">
            <v>Mililitros</v>
          </cell>
        </row>
        <row r="712">
          <cell r="A712" t="str">
            <v>60100048</v>
          </cell>
          <cell r="B712">
            <v>15612</v>
          </cell>
          <cell r="C712" t="str">
            <v>ETIQUETA TE CHAI REVERSO (UND)</v>
          </cell>
          <cell r="D712" t="str">
            <v>60100048</v>
          </cell>
          <cell r="E712" t="str">
            <v>ETIQUETAS PLANTA</v>
          </cell>
          <cell r="F712" t="str">
            <v>1 UND</v>
          </cell>
          <cell r="G712">
            <v>500</v>
          </cell>
          <cell r="H712" t="str">
            <v>09/12/2019</v>
          </cell>
          <cell r="I712">
            <v>39</v>
          </cell>
          <cell r="J712">
            <v>428220</v>
          </cell>
          <cell r="K712">
            <v>1</v>
          </cell>
          <cell r="L712">
            <v>39</v>
          </cell>
        </row>
        <row r="713">
          <cell r="A713" t="str">
            <v>60100049</v>
          </cell>
          <cell r="B713">
            <v>16178</v>
          </cell>
          <cell r="C713" t="str">
            <v>ETIQUETA DATA VARIABLE (UND)</v>
          </cell>
          <cell r="D713" t="str">
            <v>60100049</v>
          </cell>
          <cell r="E713" t="str">
            <v>ETIQUETAS PLANTA</v>
          </cell>
          <cell r="F713" t="str">
            <v>1 UND</v>
          </cell>
          <cell r="G713">
            <v>500</v>
          </cell>
          <cell r="H713" t="str">
            <v>28/02/2020</v>
          </cell>
          <cell r="I713">
            <v>7.0144399999999996</v>
          </cell>
          <cell r="J713">
            <v>265075.6876</v>
          </cell>
          <cell r="K713">
            <v>1</v>
          </cell>
          <cell r="L713">
            <v>7.0144399999999996</v>
          </cell>
          <cell r="M713"/>
        </row>
        <row r="714">
          <cell r="A714" t="str">
            <v>60100050</v>
          </cell>
          <cell r="B714">
            <v>16179</v>
          </cell>
          <cell r="C714" t="str">
            <v>ETIQUETA TE LLEVA A LA PLAYA (UND)</v>
          </cell>
          <cell r="D714" t="str">
            <v>60100050</v>
          </cell>
          <cell r="E714" t="str">
            <v>ETIQUETAS PLANTA</v>
          </cell>
          <cell r="F714" t="str">
            <v>1 UND</v>
          </cell>
          <cell r="G714">
            <v>500</v>
          </cell>
          <cell r="H714" t="str">
            <v>28/02/2020</v>
          </cell>
          <cell r="I714">
            <v>5.8</v>
          </cell>
          <cell r="J714">
            <v>219240</v>
          </cell>
          <cell r="K714">
            <v>1</v>
          </cell>
          <cell r="L714">
            <v>5.8</v>
          </cell>
          <cell r="M714" t="str">
            <v>Gramos</v>
          </cell>
        </row>
        <row r="715">
          <cell r="A715" t="str">
            <v>60100051</v>
          </cell>
          <cell r="B715">
            <v>16441</v>
          </cell>
          <cell r="C715" t="str">
            <v xml:space="preserve">ETIQ. JUNTOS A LA DISTANCIA(ROLLO:500 U </v>
          </cell>
          <cell r="D715" t="str">
            <v>60100051</v>
          </cell>
          <cell r="E715" t="str">
            <v>ETIQUETAS PLANTA</v>
          </cell>
          <cell r="F715" t="str">
            <v>1 ROLLO</v>
          </cell>
          <cell r="G715">
            <v>500</v>
          </cell>
          <cell r="H715" t="str">
            <v>02/06/2020</v>
          </cell>
          <cell r="I715">
            <v>8800</v>
          </cell>
          <cell r="J715">
            <v>712617.4</v>
          </cell>
          <cell r="K715">
            <v>500</v>
          </cell>
          <cell r="L715">
            <v>17.600000000000001</v>
          </cell>
          <cell r="M715" t="str">
            <v>Mililitros</v>
          </cell>
        </row>
        <row r="716">
          <cell r="A716" t="str">
            <v>60100052</v>
          </cell>
          <cell r="B716">
            <v>16442</v>
          </cell>
          <cell r="C716" t="str">
            <v>ETIQ. PRONTO VOLVEREMOS JUNTOS (ROLLO)</v>
          </cell>
          <cell r="D716" t="str">
            <v>60100052</v>
          </cell>
          <cell r="E716" t="str">
            <v>ETIQUETAS PLANTA</v>
          </cell>
          <cell r="F716" t="str">
            <v>1 ROLLO</v>
          </cell>
          <cell r="G716">
            <v>500</v>
          </cell>
          <cell r="H716" t="str">
            <v>12/05/2020</v>
          </cell>
          <cell r="I716">
            <v>3000</v>
          </cell>
          <cell r="J716">
            <v>735617.4</v>
          </cell>
          <cell r="K716">
            <v>1000</v>
          </cell>
          <cell r="L716" t="e">
            <v>#DIV/0!</v>
          </cell>
          <cell r="M716" t="str">
            <v>Mililitros</v>
          </cell>
        </row>
        <row r="717">
          <cell r="A717" t="str">
            <v>60100053</v>
          </cell>
          <cell r="B717">
            <v>16443</v>
          </cell>
          <cell r="C717" t="str">
            <v>ETIQ. DESINFECTAR CELULAR (ROLLO: 500 U)</v>
          </cell>
          <cell r="D717" t="str">
            <v>60100053</v>
          </cell>
          <cell r="E717" t="str">
            <v>ETIQUETAS PLANTA</v>
          </cell>
          <cell r="F717" t="str">
            <v>1 ROLLO</v>
          </cell>
          <cell r="G717">
            <v>500</v>
          </cell>
          <cell r="H717" t="str">
            <v>11/05/2020</v>
          </cell>
          <cell r="I717">
            <v>5.8</v>
          </cell>
          <cell r="J717">
            <v>693817.4</v>
          </cell>
          <cell r="K717">
            <v>500</v>
          </cell>
          <cell r="L717">
            <v>1.1599999999999999E-2</v>
          </cell>
          <cell r="M717" t="str">
            <v>Gramos</v>
          </cell>
        </row>
        <row r="718">
          <cell r="A718" t="str">
            <v>60100054</v>
          </cell>
          <cell r="B718">
            <v>16444</v>
          </cell>
          <cell r="C718" t="str">
            <v>ETIQ. RECUERDE LAVAR MANOS (ROLLO:500 U)</v>
          </cell>
          <cell r="D718" t="str">
            <v>60100054</v>
          </cell>
          <cell r="E718" t="str">
            <v>ETIQUETAS PLANTA</v>
          </cell>
          <cell r="F718" t="str">
            <v>1 ROLLO</v>
          </cell>
          <cell r="G718">
            <v>500</v>
          </cell>
          <cell r="H718" t="str">
            <v>11/05/2020</v>
          </cell>
          <cell r="I718">
            <v>5.8</v>
          </cell>
          <cell r="J718">
            <v>713377.4</v>
          </cell>
          <cell r="K718">
            <v>500</v>
          </cell>
          <cell r="L718">
            <v>1.1599999999999999E-2</v>
          </cell>
          <cell r="M718" t="str">
            <v>Gramos</v>
          </cell>
        </row>
        <row r="719">
          <cell r="A719" t="str">
            <v>60100055</v>
          </cell>
          <cell r="B719">
            <v>16500</v>
          </cell>
          <cell r="C719" t="str">
            <v>STICKER TORTA KAHLUA (ROLLO: 1000 UND)</v>
          </cell>
          <cell r="D719" t="str">
            <v>60100055</v>
          </cell>
          <cell r="E719" t="str">
            <v>ETIQUETAS PLANTA</v>
          </cell>
          <cell r="F719" t="str">
            <v>1 ROLLO</v>
          </cell>
          <cell r="G719">
            <v>500</v>
          </cell>
          <cell r="H719" t="str">
            <v>08/05/2020</v>
          </cell>
          <cell r="I719">
            <v>16000</v>
          </cell>
          <cell r="J719">
            <v>80000</v>
          </cell>
          <cell r="K719">
            <v>1000</v>
          </cell>
          <cell r="L719">
            <v>16</v>
          </cell>
          <cell r="M719" t="str">
            <v>Mililitros</v>
          </cell>
        </row>
        <row r="720">
          <cell r="A720" t="str">
            <v>100100002</v>
          </cell>
          <cell r="B720">
            <v>11537</v>
          </cell>
          <cell r="C720" t="str">
            <v>BLOCK ORDEN DE TRABAJO (UND)</v>
          </cell>
          <cell r="D720" t="str">
            <v>100100002</v>
          </cell>
          <cell r="E720" t="str">
            <v>ETIQUETAS PLANTA</v>
          </cell>
          <cell r="F720" t="str">
            <v>1 UND</v>
          </cell>
          <cell r="G720">
            <v>500</v>
          </cell>
          <cell r="H720" t="str">
            <v>04/12/2019</v>
          </cell>
          <cell r="I720">
            <v>11333.34</v>
          </cell>
          <cell r="J720">
            <v>170000.1</v>
          </cell>
          <cell r="K720">
            <v>1</v>
          </cell>
          <cell r="L720">
            <v>11333.34</v>
          </cell>
          <cell r="M720" t="str">
            <v>Gramos</v>
          </cell>
        </row>
        <row r="721">
          <cell r="A721" t="str">
            <v>100100003</v>
          </cell>
          <cell r="B721">
            <v>11824</v>
          </cell>
          <cell r="C721" t="str">
            <v>BLOCK HOJA DE TRABAJO DIARIO (UND)</v>
          </cell>
          <cell r="D721" t="str">
            <v>100100003</v>
          </cell>
          <cell r="E721" t="str">
            <v>ETIQUETAS PLANTA</v>
          </cell>
          <cell r="F721" t="str">
            <v>1 UND</v>
          </cell>
          <cell r="G721">
            <v>500</v>
          </cell>
          <cell r="H721" t="str">
            <v>09/01/2020</v>
          </cell>
          <cell r="I721">
            <v>3312.5</v>
          </cell>
          <cell r="J721">
            <v>132500</v>
          </cell>
          <cell r="K721">
            <v>946</v>
          </cell>
          <cell r="L721" t="e">
            <v>#DIV/0!</v>
          </cell>
          <cell r="M721" t="str">
            <v>Mililitros</v>
          </cell>
        </row>
        <row r="722">
          <cell r="A722" t="str">
            <v>100100009</v>
          </cell>
          <cell r="B722">
            <v>11539</v>
          </cell>
          <cell r="C722" t="str">
            <v>BLOCK CONTEO PRODUCCION DIARIA</v>
          </cell>
          <cell r="D722" t="str">
            <v>100100009</v>
          </cell>
          <cell r="E722" t="str">
            <v>ETIQUETAS PLANTA</v>
          </cell>
          <cell r="F722" t="str">
            <v>1 UND</v>
          </cell>
          <cell r="G722">
            <v>500</v>
          </cell>
          <cell r="H722" t="str">
            <v>21/05/2020</v>
          </cell>
          <cell r="I722">
            <v>6566.67</v>
          </cell>
          <cell r="J722">
            <v>98500.05</v>
          </cell>
          <cell r="K722">
            <v>3785</v>
          </cell>
          <cell r="L722" t="e">
            <v>#DIV/0!</v>
          </cell>
          <cell r="M722" t="str">
            <v>Gramos</v>
          </cell>
        </row>
        <row r="723">
          <cell r="A723" t="str">
            <v>100100012</v>
          </cell>
          <cell r="B723">
            <v>11540</v>
          </cell>
          <cell r="C723" t="str">
            <v>PRUEBA DE VALIDACION DE DETECTOR DE META</v>
          </cell>
          <cell r="D723" t="str">
            <v>100100012</v>
          </cell>
          <cell r="E723" t="str">
            <v>ETIQUETAS PLANTA</v>
          </cell>
          <cell r="F723" t="str">
            <v>1 UND</v>
          </cell>
          <cell r="G723">
            <v>500</v>
          </cell>
          <cell r="H723" t="str">
            <v>04/12/2019</v>
          </cell>
          <cell r="I723">
            <v>7000</v>
          </cell>
          <cell r="J723">
            <v>70000</v>
          </cell>
          <cell r="K723">
            <v>930</v>
          </cell>
          <cell r="L723" t="e">
            <v>#DIV/0!</v>
          </cell>
          <cell r="M723" t="str">
            <v>Gramos</v>
          </cell>
        </row>
        <row r="724">
          <cell r="A724" t="str">
            <v>100100014</v>
          </cell>
          <cell r="B724">
            <v>12972</v>
          </cell>
          <cell r="C724" t="str">
            <v>BLOCK REGISTRO PRODUC QUEQUES DECO (UND)</v>
          </cell>
          <cell r="D724" t="str">
            <v>100100014</v>
          </cell>
          <cell r="E724" t="str">
            <v>ETIQUETAS PLANTA</v>
          </cell>
          <cell r="F724" t="str">
            <v>1 UND</v>
          </cell>
          <cell r="G724">
            <v>500</v>
          </cell>
          <cell r="H724" t="str">
            <v>15/06/2020</v>
          </cell>
          <cell r="I724">
            <v>6566.67</v>
          </cell>
          <cell r="J724">
            <v>208500.05</v>
          </cell>
          <cell r="K724">
            <v>1000</v>
          </cell>
          <cell r="L724" t="e">
            <v>#DIV/0!</v>
          </cell>
          <cell r="M724" t="str">
            <v>Gramos</v>
          </cell>
        </row>
        <row r="725">
          <cell r="A725" t="str">
            <v>100100018</v>
          </cell>
          <cell r="B725">
            <v>11543</v>
          </cell>
          <cell r="C725" t="str">
            <v>BLOCK REG  DE DESECHO-VENTA-DONACION</v>
          </cell>
          <cell r="D725" t="str">
            <v>100100018</v>
          </cell>
          <cell r="E725" t="str">
            <v>ETIQUETAS PLANTA</v>
          </cell>
          <cell r="F725" t="str">
            <v>1 UND</v>
          </cell>
          <cell r="G725">
            <v>500</v>
          </cell>
          <cell r="H725" t="str">
            <v>06/01/2020</v>
          </cell>
          <cell r="I725">
            <v>13000</v>
          </cell>
          <cell r="J725">
            <v>195000</v>
          </cell>
          <cell r="K725">
            <v>1000</v>
          </cell>
          <cell r="L725" t="e">
            <v>#DIV/0!</v>
          </cell>
          <cell r="M725" t="str">
            <v>Gramos</v>
          </cell>
        </row>
        <row r="726">
          <cell r="A726" t="str">
            <v>100100022</v>
          </cell>
          <cell r="B726">
            <v>12974</v>
          </cell>
          <cell r="C726" t="str">
            <v>BLOCK TRASLADO DE MATERIALES PRIMAS (UND</v>
          </cell>
          <cell r="D726" t="str">
            <v>100100022</v>
          </cell>
          <cell r="E726" t="str">
            <v>ETIQUETAS PLANTA</v>
          </cell>
          <cell r="F726" t="str">
            <v>1 UND</v>
          </cell>
          <cell r="G726">
            <v>500</v>
          </cell>
          <cell r="H726" t="str">
            <v>04/12/2019</v>
          </cell>
          <cell r="I726">
            <v>4750</v>
          </cell>
          <cell r="J726">
            <v>95000</v>
          </cell>
          <cell r="K726">
            <v>454</v>
          </cell>
          <cell r="L726" t="e">
            <v>#DIV/0!</v>
          </cell>
          <cell r="M726" t="str">
            <v>Gramos</v>
          </cell>
        </row>
        <row r="727">
          <cell r="A727" t="str">
            <v>100100024</v>
          </cell>
          <cell r="B727">
            <v>11545</v>
          </cell>
          <cell r="C727" t="str">
            <v>BLOCK BOLETA SALIDA PRODCUTO</v>
          </cell>
          <cell r="D727" t="str">
            <v>100100024</v>
          </cell>
          <cell r="E727" t="str">
            <v>ETIQUETAS PLANTA</v>
          </cell>
          <cell r="F727" t="str">
            <v>1 UND</v>
          </cell>
          <cell r="G727">
            <v>500</v>
          </cell>
          <cell r="H727" t="str">
            <v>21/05/2020</v>
          </cell>
          <cell r="I727">
            <v>8750</v>
          </cell>
          <cell r="J727">
            <v>105000</v>
          </cell>
          <cell r="K727">
            <v>510</v>
          </cell>
          <cell r="L727" t="e">
            <v>#DIV/0!</v>
          </cell>
          <cell r="M727" t="str">
            <v>Gramos</v>
          </cell>
        </row>
        <row r="728">
          <cell r="A728" t="str">
            <v>100100032</v>
          </cell>
          <cell r="B728">
            <v>13090</v>
          </cell>
          <cell r="C728" t="str">
            <v>CONTROL DE TEMPERATURA CRITICA COCCION D</v>
          </cell>
          <cell r="D728" t="str">
            <v>100100032</v>
          </cell>
          <cell r="E728" t="str">
            <v>ETIQUETAS PLANTA</v>
          </cell>
          <cell r="F728" t="str">
            <v>1 UND</v>
          </cell>
          <cell r="G728">
            <v>500</v>
          </cell>
          <cell r="H728" t="str">
            <v>09/01/2020</v>
          </cell>
          <cell r="I728">
            <v>8250</v>
          </cell>
          <cell r="J728">
            <v>82500</v>
          </cell>
          <cell r="K728">
            <v>57</v>
          </cell>
          <cell r="L728" t="e">
            <v>#DIV/0!</v>
          </cell>
          <cell r="M728" t="str">
            <v>Gramos</v>
          </cell>
        </row>
        <row r="729">
          <cell r="A729" t="str">
            <v>100100037</v>
          </cell>
          <cell r="B729">
            <v>11549</v>
          </cell>
          <cell r="C729" t="str">
            <v>BLOCK CONT ENTREGAS RECOLEC CAJAS (UND)</v>
          </cell>
          <cell r="D729" t="str">
            <v>100100037</v>
          </cell>
          <cell r="E729" t="str">
            <v>ETIQUETAS PLANTA</v>
          </cell>
          <cell r="F729" t="str">
            <v>1 UND</v>
          </cell>
          <cell r="G729">
            <v>500</v>
          </cell>
          <cell r="H729" t="str">
            <v>24/02/2020</v>
          </cell>
          <cell r="I729">
            <v>5875</v>
          </cell>
          <cell r="J729">
            <v>557500</v>
          </cell>
          <cell r="K729">
            <v>500</v>
          </cell>
          <cell r="L729" t="e">
            <v>#DIV/0!</v>
          </cell>
          <cell r="M729" t="str">
            <v>Gramos</v>
          </cell>
        </row>
        <row r="730">
          <cell r="A730" t="str">
            <v>101000015</v>
          </cell>
          <cell r="B730">
            <v>5245</v>
          </cell>
          <cell r="C730" t="str">
            <v>AZUCAR REFINADA VICTORIA (PAQ:1 K)</v>
          </cell>
          <cell r="D730" t="str">
            <v>101000015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09/06/2020</v>
          </cell>
          <cell r="I730">
            <v>691.16666666666697</v>
          </cell>
          <cell r="J730">
            <v>11736010</v>
          </cell>
          <cell r="K730">
            <v>1000</v>
          </cell>
          <cell r="L730">
            <v>0.69116666666666693</v>
          </cell>
          <cell r="M730" t="str">
            <v>Gramos</v>
          </cell>
        </row>
        <row r="731">
          <cell r="A731" t="str">
            <v>101000073</v>
          </cell>
          <cell r="B731">
            <v>5303</v>
          </cell>
          <cell r="C731" t="str">
            <v>AZUCAR GLASS MOLIDA (PAQ: 4 K)</v>
          </cell>
          <cell r="D731" t="str">
            <v>101000073</v>
          </cell>
          <cell r="E731" t="str">
            <v>MATERIAS PRIMAS PLANTA</v>
          </cell>
          <cell r="F731" t="str">
            <v>1 PAQUETE</v>
          </cell>
          <cell r="G731">
            <v>500</v>
          </cell>
          <cell r="H731" t="str">
            <v>15/06/2020</v>
          </cell>
          <cell r="I731">
            <v>6004</v>
          </cell>
          <cell r="J731">
            <v>8519676</v>
          </cell>
          <cell r="K731">
            <v>4000</v>
          </cell>
          <cell r="L731">
            <v>1.5009999999999999</v>
          </cell>
          <cell r="M731" t="str">
            <v>Gramos</v>
          </cell>
        </row>
        <row r="732">
          <cell r="A732" t="str">
            <v>101000104</v>
          </cell>
          <cell r="B732">
            <v>7077</v>
          </cell>
          <cell r="C732" t="str">
            <v>SALSA OSTION PANDA (UND:5LBS)</v>
          </cell>
          <cell r="D732" t="str">
            <v>101000104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>
            <v>4995</v>
          </cell>
          <cell r="J732">
            <v>375030</v>
          </cell>
          <cell r="K732">
            <v>2268</v>
          </cell>
          <cell r="L732">
            <v>2.2023809523809526</v>
          </cell>
          <cell r="M732" t="str">
            <v>Mililitros</v>
          </cell>
        </row>
        <row r="733">
          <cell r="A733" t="str">
            <v>101000114</v>
          </cell>
          <cell r="B733">
            <v>7087</v>
          </cell>
          <cell r="C733" t="str">
            <v>MAIZ DULCE GALON MONACO (UND:2.5K)</v>
          </cell>
          <cell r="D733" t="str">
            <v>101000114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28/01/2020</v>
          </cell>
          <cell r="I733">
            <v>2516</v>
          </cell>
          <cell r="J733">
            <v>239416</v>
          </cell>
          <cell r="K733">
            <v>2500</v>
          </cell>
          <cell r="L733">
            <v>1.0064</v>
          </cell>
          <cell r="M733" t="str">
            <v>Gramos</v>
          </cell>
        </row>
        <row r="734">
          <cell r="A734" t="str">
            <v>102000024</v>
          </cell>
          <cell r="B734">
            <v>5353</v>
          </cell>
          <cell r="C734" t="str">
            <v>MEZCLA BEBIDA MARACUYA (UND:946ML)</v>
          </cell>
          <cell r="D734" t="str">
            <v>102000024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04/02/2020</v>
          </cell>
          <cell r="I734">
            <v>3035</v>
          </cell>
          <cell r="J734">
            <v>6070</v>
          </cell>
          <cell r="K734">
            <v>946</v>
          </cell>
          <cell r="L734">
            <v>3.2082452431289639</v>
          </cell>
          <cell r="M734" t="str">
            <v>Mililitros</v>
          </cell>
        </row>
        <row r="735">
          <cell r="A735" t="str">
            <v>102000028</v>
          </cell>
          <cell r="B735">
            <v>5357</v>
          </cell>
          <cell r="C735" t="str">
            <v>JUGO DE NARANJA NATURAL (UND:3.785 L)</v>
          </cell>
          <cell r="D735" t="str">
            <v>102000028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15/06/2020</v>
          </cell>
          <cell r="I735">
            <v>1</v>
          </cell>
          <cell r="J735">
            <v>16182647.199999999</v>
          </cell>
          <cell r="K735">
            <v>3785</v>
          </cell>
          <cell r="L735">
            <v>2.642007926023778E-4</v>
          </cell>
          <cell r="M735" t="str">
            <v>Gramos</v>
          </cell>
        </row>
        <row r="736">
          <cell r="A736" t="str">
            <v>102000035</v>
          </cell>
          <cell r="B736">
            <v>12925</v>
          </cell>
          <cell r="C736" t="str">
            <v>JUGO LIMON (UND=930 ml)</v>
          </cell>
          <cell r="D736" t="str">
            <v>102000035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10/06/2020</v>
          </cell>
          <cell r="I736">
            <v>1425</v>
          </cell>
          <cell r="J736">
            <v>3010892</v>
          </cell>
          <cell r="K736">
            <v>930</v>
          </cell>
          <cell r="L736">
            <v>1.532258064516129</v>
          </cell>
          <cell r="M736" t="str">
            <v>Gramos</v>
          </cell>
        </row>
        <row r="737">
          <cell r="A737" t="str">
            <v>102000036</v>
          </cell>
          <cell r="B737">
            <v>14844</v>
          </cell>
          <cell r="C737" t="str">
            <v>CAFE INSTANTANEO CLASICO (UND:1 K)</v>
          </cell>
          <cell r="D737" t="str">
            <v>102000036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11/06/2020</v>
          </cell>
          <cell r="I737">
            <v>17111</v>
          </cell>
          <cell r="J737">
            <v>803681</v>
          </cell>
          <cell r="K737">
            <v>1000</v>
          </cell>
          <cell r="L737">
            <v>14.54435</v>
          </cell>
          <cell r="M737" t="str">
            <v>Gramos</v>
          </cell>
        </row>
        <row r="738">
          <cell r="A738" t="str">
            <v>102000037</v>
          </cell>
          <cell r="B738">
            <v>15159</v>
          </cell>
          <cell r="C738" t="str">
            <v xml:space="preserve">TE FRIO MELOCOTON (CAJA: 6 PAQ) </v>
          </cell>
          <cell r="D738" t="str">
            <v>102000037</v>
          </cell>
          <cell r="E738" t="str">
            <v>MATERIAS PRIMAS PLANTA</v>
          </cell>
          <cell r="F738" t="str">
            <v>1 CAJA</v>
          </cell>
          <cell r="G738">
            <v>500</v>
          </cell>
          <cell r="H738" t="str">
            <v>15/06/2020</v>
          </cell>
          <cell r="I738">
            <v>9553</v>
          </cell>
          <cell r="J738">
            <v>983959</v>
          </cell>
          <cell r="K738">
            <v>1000</v>
          </cell>
          <cell r="L738" t="e">
            <v>#DIV/0!</v>
          </cell>
          <cell r="M738" t="str">
            <v>Gramos</v>
          </cell>
        </row>
        <row r="739">
          <cell r="A739" t="str">
            <v>102000038</v>
          </cell>
          <cell r="B739">
            <v>15160</v>
          </cell>
          <cell r="C739" t="str">
            <v>TE VERDE DE MANZANA (CAJA: 8 PAQ)</v>
          </cell>
          <cell r="D739" t="str">
            <v>102000038</v>
          </cell>
          <cell r="E739" t="str">
            <v>MATERIAS PRIMAS PLANTA</v>
          </cell>
          <cell r="F739" t="str">
            <v>1 CAJA</v>
          </cell>
          <cell r="G739">
            <v>500</v>
          </cell>
          <cell r="H739" t="str">
            <v>15/06/2020</v>
          </cell>
          <cell r="I739">
            <v>11819</v>
          </cell>
          <cell r="J739">
            <v>720959</v>
          </cell>
          <cell r="K739">
            <v>1000</v>
          </cell>
          <cell r="L739" t="e">
            <v>#DIV/0!</v>
          </cell>
          <cell r="M739" t="str">
            <v>Gramos</v>
          </cell>
        </row>
        <row r="740">
          <cell r="A740" t="str">
            <v>102000039</v>
          </cell>
          <cell r="B740">
            <v>15504</v>
          </cell>
          <cell r="C740" t="str">
            <v>ROMPOPE SPOON (UND:510 G)</v>
          </cell>
          <cell r="D740" t="str">
            <v>102000039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20/12/2019</v>
          </cell>
          <cell r="I740">
            <v>2460</v>
          </cell>
          <cell r="J740">
            <v>2063940</v>
          </cell>
          <cell r="K740">
            <v>510</v>
          </cell>
          <cell r="L740">
            <v>4.8235294117647056</v>
          </cell>
          <cell r="M740" t="str">
            <v>Gramos</v>
          </cell>
        </row>
        <row r="741">
          <cell r="A741" t="str">
            <v>102000040</v>
          </cell>
          <cell r="B741">
            <v>15624</v>
          </cell>
          <cell r="C741" t="str">
            <v>TE MATCHA NARANJA (PAQ: 20/50 G)</v>
          </cell>
          <cell r="D741" t="str">
            <v>102000040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18/03/2020</v>
          </cell>
          <cell r="I741">
            <v>3300</v>
          </cell>
          <cell r="J741">
            <v>303600</v>
          </cell>
          <cell r="K741">
            <v>156</v>
          </cell>
          <cell r="L741" t="e">
            <v>#DIV/0!</v>
          </cell>
          <cell r="M741" t="str">
            <v>Gramos</v>
          </cell>
        </row>
        <row r="742">
          <cell r="A742" t="str">
            <v>102000041</v>
          </cell>
          <cell r="B742">
            <v>15625</v>
          </cell>
          <cell r="C742" t="str">
            <v>TE FRIO LIMON (PAQ:500 G)</v>
          </cell>
          <cell r="D742" t="str">
            <v>102000041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19/05/2020</v>
          </cell>
          <cell r="I742">
            <v>1</v>
          </cell>
          <cell r="J742">
            <v>1689600</v>
          </cell>
          <cell r="K742">
            <v>500</v>
          </cell>
          <cell r="L742">
            <v>2E-3</v>
          </cell>
          <cell r="M742" t="str">
            <v>Gramos</v>
          </cell>
        </row>
        <row r="743">
          <cell r="A743" t="str">
            <v>102000046</v>
          </cell>
          <cell r="B743">
            <v>15630</v>
          </cell>
          <cell r="C743" t="str">
            <v>BEBIDA TE CHAI (PAQ: 300 G)</v>
          </cell>
          <cell r="D743" t="str">
            <v>102000046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05/06/2020</v>
          </cell>
          <cell r="I743">
            <v>1</v>
          </cell>
          <cell r="J743">
            <v>738390</v>
          </cell>
          <cell r="K743">
            <v>300</v>
          </cell>
          <cell r="L743">
            <v>3.3333333333333335E-3</v>
          </cell>
          <cell r="M743" t="str">
            <v>Gramos</v>
          </cell>
        </row>
        <row r="744">
          <cell r="A744" t="str">
            <v>102000048</v>
          </cell>
          <cell r="B744">
            <v>15881</v>
          </cell>
          <cell r="C744" t="str">
            <v>PIPA (UND)</v>
          </cell>
          <cell r="D744" t="str">
            <v>102000048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19/03/2020</v>
          </cell>
          <cell r="I744">
            <v>675</v>
          </cell>
          <cell r="J744">
            <v>557550</v>
          </cell>
          <cell r="K744">
            <v>500</v>
          </cell>
          <cell r="L744" t="e">
            <v>#DIV/0!</v>
          </cell>
          <cell r="M744" t="str">
            <v>Gramos</v>
          </cell>
        </row>
        <row r="745">
          <cell r="A745" t="str">
            <v>102000049</v>
          </cell>
          <cell r="B745">
            <v>16321</v>
          </cell>
          <cell r="C745" t="str">
            <v>KAHLUA LICOR DE CAFÉ (UND: 750 ML)</v>
          </cell>
          <cell r="D745" t="str">
            <v>102000049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01/06/2020</v>
          </cell>
          <cell r="I745">
            <v>7457</v>
          </cell>
          <cell r="J745">
            <v>5891030</v>
          </cell>
          <cell r="K745">
            <v>750</v>
          </cell>
          <cell r="L745">
            <v>9.9426666666666659</v>
          </cell>
          <cell r="M745" t="str">
            <v>Mililitros</v>
          </cell>
        </row>
        <row r="746">
          <cell r="A746" t="str">
            <v>102000051</v>
          </cell>
          <cell r="B746">
            <v>16466</v>
          </cell>
          <cell r="C746" t="str">
            <v>SIROPE CHOCOLATE HERSHEYS (UND:7.5 LBS)</v>
          </cell>
          <cell r="D746" t="str">
            <v>102000051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05/05/2020</v>
          </cell>
          <cell r="I746">
            <v>7149</v>
          </cell>
          <cell r="J746">
            <v>323645</v>
          </cell>
          <cell r="K746">
            <v>2000</v>
          </cell>
          <cell r="L746" t="e">
            <v>#DIV/0!</v>
          </cell>
          <cell r="M746" t="str">
            <v>Gramos</v>
          </cell>
        </row>
        <row r="747">
          <cell r="A747" t="str">
            <v>102000052</v>
          </cell>
          <cell r="B747">
            <v>16488</v>
          </cell>
          <cell r="C747" t="str">
            <v>JUGO DE NARANJA 100% NATURAL (UND)</v>
          </cell>
          <cell r="D747" t="str">
            <v>102000052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04/05/2020</v>
          </cell>
          <cell r="I747">
            <v>730.37</v>
          </cell>
          <cell r="J747">
            <v>105173.28</v>
          </cell>
          <cell r="K747">
            <v>354</v>
          </cell>
          <cell r="L747" t="e">
            <v>#DIV/0!</v>
          </cell>
          <cell r="M747" t="str">
            <v>Gramos</v>
          </cell>
        </row>
        <row r="748">
          <cell r="A748" t="str">
            <v>103000001</v>
          </cell>
          <cell r="B748">
            <v>5358</v>
          </cell>
          <cell r="C748" t="str">
            <v>SALMON EN MEDALLON KILO</v>
          </cell>
          <cell r="D748" t="str">
            <v>103000001</v>
          </cell>
          <cell r="E748" t="str">
            <v>MATERIAS PRIMAS PLANTA</v>
          </cell>
          <cell r="F748" t="str">
            <v>1 KILO</v>
          </cell>
          <cell r="G748">
            <v>500</v>
          </cell>
          <cell r="H748" t="str">
            <v>15/06/2020</v>
          </cell>
          <cell r="I748">
            <v>8986.9500000000007</v>
          </cell>
          <cell r="J748">
            <v>7082615.2949999999</v>
          </cell>
          <cell r="K748">
            <v>1000</v>
          </cell>
          <cell r="L748">
            <v>8.9869500000000002</v>
          </cell>
          <cell r="M748" t="str">
            <v>Gramos</v>
          </cell>
        </row>
        <row r="749">
          <cell r="A749" t="str">
            <v>103000021</v>
          </cell>
          <cell r="B749">
            <v>5378</v>
          </cell>
          <cell r="C749" t="str">
            <v>CARNE OSOBUCO PICADO (KILO)</v>
          </cell>
          <cell r="D749" t="str">
            <v>103000021</v>
          </cell>
          <cell r="E749" t="str">
            <v>MATERIAS PRIMAS PLANTA</v>
          </cell>
          <cell r="F749" t="str">
            <v>1 KILO</v>
          </cell>
          <cell r="G749">
            <v>500</v>
          </cell>
          <cell r="H749" t="str">
            <v>06/06/2020</v>
          </cell>
          <cell r="I749">
            <v>2195</v>
          </cell>
          <cell r="J749">
            <v>32925</v>
          </cell>
          <cell r="K749">
            <v>1000</v>
          </cell>
          <cell r="L749">
            <v>2.1949999999999998</v>
          </cell>
          <cell r="M749" t="str">
            <v>Gramos</v>
          </cell>
        </row>
        <row r="750">
          <cell r="A750" t="str">
            <v>103000027</v>
          </cell>
          <cell r="B750">
            <v>13164</v>
          </cell>
          <cell r="C750" t="str">
            <v>CHORIZO PASTA KILO</v>
          </cell>
          <cell r="D750" t="str">
            <v>103000027</v>
          </cell>
          <cell r="E750" t="str">
            <v>MATERIAS PRIMAS PLANTA</v>
          </cell>
          <cell r="F750" t="str">
            <v>1 KILO</v>
          </cell>
          <cell r="G750">
            <v>500</v>
          </cell>
          <cell r="H750" t="str">
            <v>13/06/2020</v>
          </cell>
          <cell r="I750">
            <v>2050</v>
          </cell>
          <cell r="J750">
            <v>2145735</v>
          </cell>
          <cell r="K750">
            <v>1000</v>
          </cell>
          <cell r="L750">
            <v>2.0499999999999998</v>
          </cell>
          <cell r="M750" t="str">
            <v>Gramos</v>
          </cell>
        </row>
        <row r="751">
          <cell r="A751" t="str">
            <v>103000035</v>
          </cell>
          <cell r="B751">
            <v>14621</v>
          </cell>
          <cell r="C751" t="str">
            <v>ALBONDIGA ITAL COC 1.5 ONZ (1/4.53K)</v>
          </cell>
          <cell r="D751" t="str">
            <v>103000035</v>
          </cell>
          <cell r="E751" t="str">
            <v>MATERIAS PRIMAS PLANTA</v>
          </cell>
          <cell r="F751" t="str">
            <v>1 KILO</v>
          </cell>
          <cell r="G751">
            <v>500</v>
          </cell>
          <cell r="H751" t="str">
            <v>11/02/2020</v>
          </cell>
          <cell r="I751">
            <v>1.3172185430463601</v>
          </cell>
          <cell r="J751">
            <v>55223.88</v>
          </cell>
          <cell r="K751">
            <v>1000</v>
          </cell>
          <cell r="L751">
            <v>1.31721854304636E-3</v>
          </cell>
          <cell r="M751" t="str">
            <v>Gramos</v>
          </cell>
        </row>
        <row r="752">
          <cell r="A752" t="str">
            <v>103000036</v>
          </cell>
          <cell r="B752">
            <v>5393</v>
          </cell>
          <cell r="C752" t="str">
            <v>FILET TILAPIA (5-7 ONZ P/KILO)</v>
          </cell>
          <cell r="D752" t="str">
            <v>103000036</v>
          </cell>
          <cell r="E752" t="str">
            <v>MATERIAS PRIMAS PLANTA</v>
          </cell>
          <cell r="F752" t="str">
            <v>1 KILO</v>
          </cell>
          <cell r="G752">
            <v>500</v>
          </cell>
          <cell r="H752" t="str">
            <v>30/04/2020</v>
          </cell>
          <cell r="I752">
            <v>2588.6913043478298</v>
          </cell>
          <cell r="J752">
            <v>329971.48000000103</v>
          </cell>
          <cell r="K752">
            <v>1000</v>
          </cell>
          <cell r="L752">
            <v>2.5886913043478299</v>
          </cell>
          <cell r="M752" t="str">
            <v>Gramos</v>
          </cell>
        </row>
        <row r="753">
          <cell r="A753" t="str">
            <v>105000001</v>
          </cell>
          <cell r="B753">
            <v>5405</v>
          </cell>
          <cell r="C753" t="str">
            <v>CURRY POLVO (UND:454 G)</v>
          </cell>
          <cell r="D753" t="str">
            <v>105000001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28/04/2020</v>
          </cell>
          <cell r="I753">
            <v>2316</v>
          </cell>
          <cell r="J753">
            <v>39395</v>
          </cell>
          <cell r="K753">
            <v>454</v>
          </cell>
          <cell r="L753">
            <v>5.1013215859030838</v>
          </cell>
          <cell r="M753" t="str">
            <v>Gramos</v>
          </cell>
        </row>
        <row r="754">
          <cell r="A754" t="str">
            <v>105000002</v>
          </cell>
          <cell r="B754">
            <v>5399</v>
          </cell>
          <cell r="C754" t="str">
            <v>OREGANO (UND: 156 G)</v>
          </cell>
          <cell r="D754" t="str">
            <v>105000002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28/05/2020</v>
          </cell>
          <cell r="I754">
            <v>1792</v>
          </cell>
          <cell r="J754">
            <v>181144</v>
          </cell>
          <cell r="K754">
            <v>156</v>
          </cell>
          <cell r="L754">
            <v>11.487179487179487</v>
          </cell>
          <cell r="M754" t="str">
            <v>Gramos</v>
          </cell>
        </row>
        <row r="755">
          <cell r="A755" t="str">
            <v>105000003</v>
          </cell>
          <cell r="B755">
            <v>5400</v>
          </cell>
          <cell r="C755" t="str">
            <v>PEREJIL SECO (UND:57 G)</v>
          </cell>
          <cell r="D755" t="str">
            <v>105000003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01/06/2020</v>
          </cell>
          <cell r="I755">
            <v>1639</v>
          </cell>
          <cell r="J755">
            <v>108901</v>
          </cell>
          <cell r="K755">
            <v>57</v>
          </cell>
          <cell r="L755">
            <v>28.754385964912281</v>
          </cell>
          <cell r="M755" t="str">
            <v>Gramos</v>
          </cell>
        </row>
        <row r="756">
          <cell r="A756" t="str">
            <v>105000007</v>
          </cell>
          <cell r="B756">
            <v>5407</v>
          </cell>
          <cell r="C756" t="str">
            <v>PIMIENTA NEGRA MOLIDA (UND:510 G)</v>
          </cell>
          <cell r="D756" t="str">
            <v>105000007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19/03/2020</v>
          </cell>
          <cell r="I756">
            <v>6975</v>
          </cell>
          <cell r="J756">
            <v>118355</v>
          </cell>
          <cell r="K756">
            <v>510</v>
          </cell>
          <cell r="L756">
            <v>13.676470588235293</v>
          </cell>
          <cell r="M756" t="str">
            <v>Gramos</v>
          </cell>
        </row>
        <row r="757">
          <cell r="A757" t="str">
            <v>105000008</v>
          </cell>
          <cell r="B757">
            <v>7070</v>
          </cell>
          <cell r="C757" t="str">
            <v>CANELA ASTILLA (PAQ:500g)</v>
          </cell>
          <cell r="D757" t="str">
            <v>105000008</v>
          </cell>
          <cell r="E757" t="str">
            <v>MATERIAS PRIMAS PLANTA</v>
          </cell>
          <cell r="F757" t="str">
            <v>1 PAQUETE</v>
          </cell>
          <cell r="G757">
            <v>500</v>
          </cell>
          <cell r="H757" t="str">
            <v>05/06/2020</v>
          </cell>
          <cell r="I757">
            <v>3475</v>
          </cell>
          <cell r="J757">
            <v>76450</v>
          </cell>
          <cell r="K757">
            <v>500</v>
          </cell>
          <cell r="L757">
            <v>6.95</v>
          </cell>
          <cell r="M757" t="str">
            <v>Gramos</v>
          </cell>
        </row>
        <row r="758">
          <cell r="A758" t="str">
            <v>105000009</v>
          </cell>
          <cell r="B758">
            <v>5412</v>
          </cell>
          <cell r="C758" t="str">
            <v>ACHIOTE (UND:850g)</v>
          </cell>
          <cell r="D758" t="str">
            <v>105000009</v>
          </cell>
          <cell r="E758" t="str">
            <v>MATERIAS PRIMAS PLANTA</v>
          </cell>
          <cell r="F758" t="str">
            <v>1 UND</v>
          </cell>
          <cell r="G758">
            <v>500</v>
          </cell>
          <cell r="H758" t="str">
            <v>05/06/2020</v>
          </cell>
          <cell r="I758">
            <v>3137</v>
          </cell>
          <cell r="J758">
            <v>884634</v>
          </cell>
          <cell r="K758">
            <v>850</v>
          </cell>
          <cell r="L758">
            <v>3.6905882352941175</v>
          </cell>
          <cell r="M758" t="str">
            <v>Gramos</v>
          </cell>
        </row>
        <row r="759">
          <cell r="A759" t="str">
            <v>105000029</v>
          </cell>
          <cell r="B759">
            <v>10237</v>
          </cell>
          <cell r="C759" t="str">
            <v>CONSOME CONCEN. DE RES (UND:2 K)</v>
          </cell>
          <cell r="D759" t="str">
            <v>105000029</v>
          </cell>
          <cell r="E759" t="str">
            <v>MATERIAS PRIMAS PLANTA</v>
          </cell>
          <cell r="F759" t="str">
            <v>1 UND</v>
          </cell>
          <cell r="G759">
            <v>500</v>
          </cell>
          <cell r="H759" t="str">
            <v>28/05/2020</v>
          </cell>
          <cell r="I759">
            <v>5988</v>
          </cell>
          <cell r="J759">
            <v>497922</v>
          </cell>
          <cell r="K759">
            <v>2000</v>
          </cell>
          <cell r="L759">
            <v>2.9940000000000002</v>
          </cell>
          <cell r="M759" t="str">
            <v>Gramos</v>
          </cell>
        </row>
        <row r="760">
          <cell r="A760" t="str">
            <v>105000046</v>
          </cell>
          <cell r="B760">
            <v>15114</v>
          </cell>
          <cell r="C760" t="str">
            <v>JENGIBRE MOLIDO (UND:354 G)</v>
          </cell>
          <cell r="D760" t="str">
            <v>105000046</v>
          </cell>
          <cell r="E760" t="str">
            <v>MATERIAS PRIMAS PLANTA</v>
          </cell>
          <cell r="F760" t="str">
            <v>1 UND</v>
          </cell>
          <cell r="G760">
            <v>500</v>
          </cell>
          <cell r="H760" t="str">
            <v>07/05/2020</v>
          </cell>
          <cell r="I760">
            <v>6089</v>
          </cell>
          <cell r="J760">
            <v>89150</v>
          </cell>
          <cell r="K760">
            <v>354</v>
          </cell>
          <cell r="L760">
            <v>17.200564971751412</v>
          </cell>
          <cell r="M760" t="str">
            <v>Gramos</v>
          </cell>
        </row>
        <row r="761">
          <cell r="A761" t="str">
            <v>105000047</v>
          </cell>
          <cell r="B761">
            <v>15115</v>
          </cell>
          <cell r="C761" t="str">
            <v>CLAVOS DE OLOR MOLIDO (UND:453G)</v>
          </cell>
          <cell r="D761" t="str">
            <v>105000047</v>
          </cell>
          <cell r="E761" t="str">
            <v>MATERIAS PRIMAS PLANTA</v>
          </cell>
          <cell r="F761" t="str">
            <v>1 UND</v>
          </cell>
          <cell r="G761">
            <v>500</v>
          </cell>
          <cell r="H761" t="str">
            <v>10/12/2019</v>
          </cell>
          <cell r="I761">
            <v>13229</v>
          </cell>
          <cell r="J761">
            <v>66145</v>
          </cell>
          <cell r="K761">
            <v>453</v>
          </cell>
          <cell r="L761">
            <v>29.203090507726269</v>
          </cell>
          <cell r="M761" t="str">
            <v>Gramos</v>
          </cell>
        </row>
        <row r="762">
          <cell r="A762" t="str">
            <v>105000048</v>
          </cell>
          <cell r="B762">
            <v>16318</v>
          </cell>
          <cell r="C762" t="str">
            <v>AJO EN POLVO BADIA (UND:1.8 K)</v>
          </cell>
          <cell r="D762" t="str">
            <v>105000048</v>
          </cell>
          <cell r="E762" t="str">
            <v>MATERIAS PRIMAS PLANTA</v>
          </cell>
          <cell r="F762" t="str">
            <v>1 UND</v>
          </cell>
          <cell r="G762">
            <v>500</v>
          </cell>
          <cell r="H762" t="str">
            <v>24/03/2020</v>
          </cell>
          <cell r="I762">
            <v>11521</v>
          </cell>
          <cell r="J762">
            <v>11521</v>
          </cell>
          <cell r="K762">
            <v>1800</v>
          </cell>
          <cell r="L762">
            <v>6.400555555555556</v>
          </cell>
          <cell r="M762" t="str">
            <v>Gramos</v>
          </cell>
        </row>
        <row r="763">
          <cell r="A763" t="str">
            <v>105000049</v>
          </cell>
          <cell r="B763">
            <v>16484</v>
          </cell>
          <cell r="C763" t="str">
            <v>PIMIENTA EN SOBRES (PAQ:1000 UND)</v>
          </cell>
          <cell r="D763" t="str">
            <v>105000049</v>
          </cell>
          <cell r="E763" t="str">
            <v>MATERIAS PRIMAS PLANTA</v>
          </cell>
          <cell r="F763" t="str">
            <v>1 PAQUETE</v>
          </cell>
          <cell r="G763">
            <v>500</v>
          </cell>
          <cell r="H763" t="str">
            <v>06/05/2020</v>
          </cell>
          <cell r="I763">
            <v>4780</v>
          </cell>
          <cell r="J763">
            <v>109940</v>
          </cell>
          <cell r="K763">
            <v>1000</v>
          </cell>
          <cell r="L763">
            <v>4.78</v>
          </cell>
          <cell r="M763" t="str">
            <v>Gramos</v>
          </cell>
        </row>
        <row r="764">
          <cell r="A764" t="str">
            <v>105000050</v>
          </cell>
          <cell r="B764">
            <v>16486</v>
          </cell>
          <cell r="C764" t="str">
            <v>SAL EN SOBRES (PAQ:1000 UND)</v>
          </cell>
          <cell r="D764" t="str">
            <v>105000050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12/06/2020</v>
          </cell>
          <cell r="I764">
            <v>1</v>
          </cell>
          <cell r="J764">
            <v>106008</v>
          </cell>
          <cell r="K764">
            <v>1000</v>
          </cell>
          <cell r="L764">
            <v>1E-3</v>
          </cell>
          <cell r="M764" t="str">
            <v>Gramos</v>
          </cell>
        </row>
        <row r="765">
          <cell r="A765" t="str">
            <v>106000001</v>
          </cell>
          <cell r="B765">
            <v>5415</v>
          </cell>
          <cell r="C765" t="str">
            <v>HIGOS EN ALMIBAR (UND:23 K)</v>
          </cell>
          <cell r="D765" t="str">
            <v>106000001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11/12/2019</v>
          </cell>
          <cell r="I765">
            <v>56448</v>
          </cell>
          <cell r="J765">
            <v>2991744</v>
          </cell>
          <cell r="K765">
            <v>23000</v>
          </cell>
          <cell r="L765">
            <v>2.4542608695652173</v>
          </cell>
          <cell r="M765" t="str">
            <v>Gramos</v>
          </cell>
        </row>
        <row r="766">
          <cell r="A766" t="str">
            <v>106000007</v>
          </cell>
          <cell r="B766">
            <v>16293</v>
          </cell>
          <cell r="C766" t="str">
            <v>CHIVERRE CONSERVA (UND:25 K)</v>
          </cell>
          <cell r="D766" t="str">
            <v>106000007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12/03/2020</v>
          </cell>
          <cell r="I766">
            <v>62150</v>
          </cell>
          <cell r="J766">
            <v>62150</v>
          </cell>
          <cell r="K766">
            <v>25000</v>
          </cell>
          <cell r="L766">
            <v>2.4860000000000002</v>
          </cell>
          <cell r="M766" t="str">
            <v>Gramos</v>
          </cell>
        </row>
        <row r="767">
          <cell r="A767" t="str">
            <v>107000012</v>
          </cell>
          <cell r="B767">
            <v>8693</v>
          </cell>
          <cell r="C767" t="str">
            <v>CONFITILLO CORAZON MAVALERIO (PAQ:150G)</v>
          </cell>
          <cell r="D767" t="str">
            <v>107000012</v>
          </cell>
          <cell r="E767" t="str">
            <v>MATERIAS PRIMAS PLANTA</v>
          </cell>
          <cell r="F767" t="str">
            <v>1 PAQ</v>
          </cell>
          <cell r="G767">
            <v>500</v>
          </cell>
          <cell r="H767" t="str">
            <v>13/02/2020</v>
          </cell>
          <cell r="I767">
            <v>6.4203333333333301</v>
          </cell>
          <cell r="J767">
            <v>40798.300000000003</v>
          </cell>
          <cell r="K767">
            <v>150</v>
          </cell>
          <cell r="L767">
            <v>4.28022222222222E-2</v>
          </cell>
          <cell r="M767" t="str">
            <v>Gramos</v>
          </cell>
        </row>
        <row r="768">
          <cell r="A768" t="str">
            <v>109000106</v>
          </cell>
          <cell r="B768">
            <v>9364</v>
          </cell>
          <cell r="C768" t="str">
            <v>FRESAS CONGEL  BEGRO (PAQ: 1 K)</v>
          </cell>
          <cell r="D768" t="str">
            <v>109000106</v>
          </cell>
          <cell r="E768" t="str">
            <v>MATERIAS PRIMAS PLANTA</v>
          </cell>
          <cell r="F768" t="str">
            <v>1 PAQ</v>
          </cell>
          <cell r="G768">
            <v>500</v>
          </cell>
          <cell r="H768" t="str">
            <v>12/06/2020</v>
          </cell>
          <cell r="I768">
            <v>1890</v>
          </cell>
          <cell r="J768">
            <v>1606500</v>
          </cell>
          <cell r="K768">
            <v>1000</v>
          </cell>
          <cell r="L768">
            <v>1.89</v>
          </cell>
          <cell r="M768" t="str">
            <v>Mililitros</v>
          </cell>
        </row>
        <row r="769">
          <cell r="A769" t="str">
            <v>109000121</v>
          </cell>
          <cell r="B769">
            <v>15410</v>
          </cell>
          <cell r="C769" t="str">
            <v>TOMATE DESHIDRATADO SECO (UND: 800 G)</v>
          </cell>
          <cell r="D769" t="str">
            <v>109000121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14/01/2020</v>
          </cell>
          <cell r="I769">
            <v>7576.9679999999998</v>
          </cell>
          <cell r="J769">
            <v>318232.65600000002</v>
          </cell>
          <cell r="K769">
            <v>800</v>
          </cell>
          <cell r="L769">
            <v>9.4712099999999992</v>
          </cell>
          <cell r="M769" t="str">
            <v>Gramos</v>
          </cell>
        </row>
        <row r="770">
          <cell r="A770" t="str">
            <v>109000122</v>
          </cell>
          <cell r="B770">
            <v>15868</v>
          </cell>
          <cell r="C770" t="str">
            <v>RELLENO PULPA DE PIÑA (KILO)</v>
          </cell>
          <cell r="D770" t="str">
            <v>109000122</v>
          </cell>
          <cell r="E770" t="str">
            <v>MATERIAS PRIMAS PLANTA</v>
          </cell>
          <cell r="F770" t="str">
            <v>1 KILOGramos</v>
          </cell>
          <cell r="G770">
            <v>500</v>
          </cell>
          <cell r="H770" t="str">
            <v>27/05/2020</v>
          </cell>
          <cell r="I770">
            <v>1655</v>
          </cell>
          <cell r="J770">
            <v>334641</v>
          </cell>
          <cell r="K770">
            <v>1000</v>
          </cell>
          <cell r="L770">
            <v>1.655</v>
          </cell>
          <cell r="M770" t="str">
            <v>Gramos</v>
          </cell>
        </row>
        <row r="771">
          <cell r="A771" t="str">
            <v>109000123</v>
          </cell>
          <cell r="B771">
            <v>15869</v>
          </cell>
          <cell r="C771" t="str">
            <v>RELLENO PULPA DE GUANABANA (KILO)</v>
          </cell>
          <cell r="D771" t="str">
            <v>109000123</v>
          </cell>
          <cell r="E771" t="str">
            <v>MATERIAS PRIMAS PLANTA</v>
          </cell>
          <cell r="F771" t="str">
            <v>1 KILOGramos</v>
          </cell>
          <cell r="G771">
            <v>500</v>
          </cell>
          <cell r="H771" t="str">
            <v>20/05/2020</v>
          </cell>
          <cell r="I771">
            <v>2995</v>
          </cell>
          <cell r="J771">
            <v>802540.2</v>
          </cell>
          <cell r="K771">
            <v>1000</v>
          </cell>
          <cell r="L771">
            <v>2.9950000000000001</v>
          </cell>
          <cell r="M771" t="str">
            <v>Gramos</v>
          </cell>
        </row>
        <row r="772">
          <cell r="A772" t="str">
            <v>109000124</v>
          </cell>
          <cell r="B772">
            <v>15927</v>
          </cell>
          <cell r="C772" t="str">
            <v>PITAHAYA INPAK (PAQ: 3 KILOS)</v>
          </cell>
          <cell r="D772" t="str">
            <v>109000124</v>
          </cell>
          <cell r="E772" t="str">
            <v>MATERIAS PRIMAS PLANTA</v>
          </cell>
          <cell r="F772" t="str">
            <v>1 PAQUETE</v>
          </cell>
          <cell r="G772">
            <v>500</v>
          </cell>
          <cell r="H772" t="str">
            <v>30/01/2020</v>
          </cell>
          <cell r="I772">
            <v>19402</v>
          </cell>
          <cell r="J772">
            <v>291030</v>
          </cell>
          <cell r="K772">
            <v>3000</v>
          </cell>
          <cell r="L772">
            <v>6.4673333333333334</v>
          </cell>
          <cell r="M772" t="str">
            <v>Gramos</v>
          </cell>
        </row>
        <row r="773">
          <cell r="A773" t="str">
            <v>109000125</v>
          </cell>
          <cell r="B773">
            <v>15928</v>
          </cell>
          <cell r="C773" t="str">
            <v>MARACUYA ( PAQ: 3 KILOS)</v>
          </cell>
          <cell r="D773" t="str">
            <v>0159281</v>
          </cell>
          <cell r="E773" t="str">
            <v>MATERIAS PRIMAS PLANTA</v>
          </cell>
          <cell r="F773" t="str">
            <v>1 PAQUETE</v>
          </cell>
          <cell r="G773">
            <v>500</v>
          </cell>
          <cell r="H773" t="str">
            <v>30/01/2020</v>
          </cell>
          <cell r="I773">
            <v>10180</v>
          </cell>
          <cell r="J773">
            <v>203600</v>
          </cell>
          <cell r="K773">
            <v>3000</v>
          </cell>
          <cell r="L773">
            <v>3.3933333333333335</v>
          </cell>
          <cell r="M773" t="str">
            <v>Gramos</v>
          </cell>
        </row>
        <row r="774">
          <cell r="A774" t="str">
            <v>109000127</v>
          </cell>
          <cell r="B774">
            <v>16666</v>
          </cell>
          <cell r="C774" t="str">
            <v>MELOCOTON EN CUBOS COUNTREE (UND:3 K)</v>
          </cell>
          <cell r="D774" t="str">
            <v>109000127</v>
          </cell>
          <cell r="E774" t="str">
            <v>MATERIAS PRIMAS PLANTA</v>
          </cell>
          <cell r="F774" t="str">
            <v>1 UND</v>
          </cell>
          <cell r="G774">
            <v>500</v>
          </cell>
          <cell r="H774" t="str">
            <v>15/06/2020</v>
          </cell>
          <cell r="I774">
            <v>2689</v>
          </cell>
          <cell r="J774">
            <v>1301476</v>
          </cell>
          <cell r="K774">
            <v>1800</v>
          </cell>
          <cell r="L774">
            <v>1.4938888888888888</v>
          </cell>
          <cell r="M774" t="str">
            <v>Gramos</v>
          </cell>
        </row>
        <row r="775">
          <cell r="A775" t="str">
            <v>111000002</v>
          </cell>
          <cell r="B775">
            <v>5522</v>
          </cell>
          <cell r="C775" t="str">
            <v xml:space="preserve">ACEITE DE SESAMO (UND:1656 ml) </v>
          </cell>
          <cell r="D775" t="str">
            <v>111000002</v>
          </cell>
          <cell r="E775" t="str">
            <v>MATERIAS PRIMAS PLANTA</v>
          </cell>
          <cell r="F775" t="str">
            <v>1 UND</v>
          </cell>
          <cell r="G775">
            <v>500</v>
          </cell>
          <cell r="H775" t="str">
            <v>10/06/2020</v>
          </cell>
          <cell r="I775">
            <v>13050.9</v>
          </cell>
          <cell r="J775">
            <v>-273635</v>
          </cell>
          <cell r="K775">
            <v>1656</v>
          </cell>
          <cell r="L775">
            <v>7.8809782608695649</v>
          </cell>
          <cell r="M775" t="str">
            <v>Gramos</v>
          </cell>
        </row>
        <row r="776">
          <cell r="A776" t="str">
            <v>112000004</v>
          </cell>
          <cell r="B776">
            <v>5537</v>
          </cell>
          <cell r="C776" t="str">
            <v>GALLETA OREO TROZOS (PAQ:1.13 K)</v>
          </cell>
          <cell r="D776" t="str">
            <v>112000004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12/05/2020</v>
          </cell>
          <cell r="I776">
            <v>5960</v>
          </cell>
          <cell r="J776">
            <v>59600</v>
          </cell>
          <cell r="K776">
            <v>1130</v>
          </cell>
          <cell r="L776">
            <v>5.2743362831858409</v>
          </cell>
          <cell r="M776" t="str">
            <v>Gramos</v>
          </cell>
        </row>
        <row r="777">
          <cell r="A777" t="str">
            <v>112000009</v>
          </cell>
          <cell r="B777">
            <v>5542</v>
          </cell>
          <cell r="C777" t="str">
            <v>MASECA GRANEL (SACO:20 K)</v>
          </cell>
          <cell r="D777" t="str">
            <v>112000009</v>
          </cell>
          <cell r="E777" t="str">
            <v>MATERIAS PRIMAS PLANTA</v>
          </cell>
          <cell r="F777" t="str">
            <v xml:space="preserve">1 SACO </v>
          </cell>
          <cell r="G777">
            <v>500</v>
          </cell>
          <cell r="H777" t="str">
            <v>15/01/2020</v>
          </cell>
          <cell r="I777">
            <v>10747</v>
          </cell>
          <cell r="J777">
            <v>451374</v>
          </cell>
          <cell r="K777">
            <v>20000</v>
          </cell>
          <cell r="L777">
            <v>0.53734999999999999</v>
          </cell>
          <cell r="M777" t="str">
            <v>Gramos</v>
          </cell>
        </row>
        <row r="778">
          <cell r="A778" t="str">
            <v>112000047</v>
          </cell>
          <cell r="B778">
            <v>7074</v>
          </cell>
          <cell r="C778" t="str">
            <v>EMPANIZADOR PANKO (PAQ: 3 K)</v>
          </cell>
          <cell r="D778" t="str">
            <v>112000047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28/02/2020</v>
          </cell>
          <cell r="I778">
            <v>12119</v>
          </cell>
          <cell r="J778">
            <v>908925</v>
          </cell>
          <cell r="K778">
            <v>3000</v>
          </cell>
          <cell r="L778">
            <v>4.0396666666666663</v>
          </cell>
          <cell r="M778" t="str">
            <v>Gramos</v>
          </cell>
        </row>
        <row r="779">
          <cell r="A779" t="str">
            <v>112000061</v>
          </cell>
          <cell r="B779">
            <v>14101</v>
          </cell>
          <cell r="C779" t="str">
            <v>PAN MUFFIN 70G (PAQ:6 UND)</v>
          </cell>
          <cell r="D779" t="str">
            <v>112000061</v>
          </cell>
          <cell r="E779" t="str">
            <v>MATERIAS PRIMAS PLANTA</v>
          </cell>
          <cell r="F779" t="str">
            <v>1 PAQUETE</v>
          </cell>
          <cell r="G779">
            <v>500</v>
          </cell>
          <cell r="H779" t="str">
            <v>15/06/2020</v>
          </cell>
          <cell r="I779">
            <v>1140</v>
          </cell>
          <cell r="J779">
            <v>247380</v>
          </cell>
          <cell r="K779">
            <v>6</v>
          </cell>
          <cell r="L779">
            <v>190</v>
          </cell>
          <cell r="M779" t="str">
            <v>Gramos</v>
          </cell>
        </row>
        <row r="780">
          <cell r="A780" t="str">
            <v>112000065</v>
          </cell>
          <cell r="B780">
            <v>15821</v>
          </cell>
          <cell r="C780" t="str">
            <v>PANINI PARRILADA 8" (PAQ:10 UND)</v>
          </cell>
          <cell r="D780" t="str">
            <v>112000065</v>
          </cell>
          <cell r="E780" t="str">
            <v>MATERIAS PRIMAS PLANTA</v>
          </cell>
          <cell r="F780" t="str">
            <v>1 PAQUETE</v>
          </cell>
          <cell r="G780">
            <v>500</v>
          </cell>
          <cell r="H780" t="str">
            <v>13/01/2020</v>
          </cell>
          <cell r="I780">
            <v>203.1</v>
          </cell>
          <cell r="J780">
            <v>406200</v>
          </cell>
          <cell r="K780">
            <v>10</v>
          </cell>
          <cell r="L780">
            <v>20.309999999999999</v>
          </cell>
          <cell r="M780" t="str">
            <v>Gramos</v>
          </cell>
        </row>
        <row r="781">
          <cell r="A781" t="str">
            <v>114000002</v>
          </cell>
          <cell r="B781">
            <v>5584</v>
          </cell>
          <cell r="C781" t="str">
            <v>LECHE HOMOGENIZ TB 3.5%  (CAJA:12 UND)</v>
          </cell>
          <cell r="D781" t="str">
            <v>0310108</v>
          </cell>
          <cell r="E781" t="str">
            <v>MATERIAS PRIMAS PLANTA</v>
          </cell>
          <cell r="F781" t="str">
            <v>1 CAJA</v>
          </cell>
          <cell r="G781">
            <v>500</v>
          </cell>
          <cell r="H781" t="str">
            <v>08/06/2020</v>
          </cell>
          <cell r="I781">
            <v>7866.74</v>
          </cell>
          <cell r="J781">
            <v>1165972.02</v>
          </cell>
          <cell r="K781">
            <v>12000</v>
          </cell>
          <cell r="L781">
            <v>0.6555616666666666</v>
          </cell>
          <cell r="M781" t="str">
            <v>Mililitros</v>
          </cell>
        </row>
        <row r="782">
          <cell r="A782" t="str">
            <v>114000017</v>
          </cell>
          <cell r="B782">
            <v>5599</v>
          </cell>
          <cell r="C782" t="str">
            <v>BETTERCREAM CHOCOLATE (UND:4 Kg)</v>
          </cell>
          <cell r="D782" t="str">
            <v>114000017</v>
          </cell>
          <cell r="E782" t="str">
            <v>MATERIAS PRIMAS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7955</v>
          </cell>
          <cell r="J782">
            <v>2293166</v>
          </cell>
          <cell r="K782">
            <v>4000</v>
          </cell>
          <cell r="L782">
            <v>1.98875</v>
          </cell>
          <cell r="M782" t="str">
            <v>Gramos</v>
          </cell>
        </row>
        <row r="783">
          <cell r="A783" t="str">
            <v>116000009</v>
          </cell>
          <cell r="B783">
            <v>9534</v>
          </cell>
          <cell r="C783" t="str">
            <v>PRESERVANTE OPTIFORM PD4 (UND:25K)</v>
          </cell>
          <cell r="D783" t="str">
            <v>116000009</v>
          </cell>
          <cell r="E783" t="str">
            <v>MATERIAS PRIMAS PLANTA</v>
          </cell>
          <cell r="F783" t="str">
            <v>1 UND</v>
          </cell>
          <cell r="G783">
            <v>500</v>
          </cell>
          <cell r="H783" t="str">
            <v>05/06/2020</v>
          </cell>
          <cell r="I783">
            <v>46561.599999999999</v>
          </cell>
          <cell r="J783">
            <v>92339.199999999997</v>
          </cell>
          <cell r="K783">
            <v>25000</v>
          </cell>
          <cell r="L783">
            <v>1.8624639999999999</v>
          </cell>
          <cell r="M783" t="str">
            <v>Gramos</v>
          </cell>
        </row>
        <row r="784">
          <cell r="A784" t="str">
            <v>118000004</v>
          </cell>
          <cell r="B784">
            <v>5655</v>
          </cell>
          <cell r="C784" t="str">
            <v>VAINILLA OSCURA (UND: 3.78 L)</v>
          </cell>
          <cell r="D784" t="str">
            <v>118000004</v>
          </cell>
          <cell r="E784" t="str">
            <v>MATERIAS PRIMAS PLANTA</v>
          </cell>
          <cell r="F784" t="str">
            <v>1 UND</v>
          </cell>
          <cell r="G784">
            <v>500</v>
          </cell>
          <cell r="H784" t="str">
            <v>03/06/2020</v>
          </cell>
          <cell r="I784">
            <v>3900</v>
          </cell>
          <cell r="J784">
            <v>42900</v>
          </cell>
          <cell r="K784">
            <v>3780</v>
          </cell>
          <cell r="L784">
            <v>1.0317460317460319</v>
          </cell>
          <cell r="M784" t="str">
            <v>Mililitros</v>
          </cell>
        </row>
        <row r="785">
          <cell r="A785" t="str">
            <v>118000007</v>
          </cell>
          <cell r="B785">
            <v>7062</v>
          </cell>
          <cell r="C785" t="str">
            <v>SABORIZANTE MELO (KILO)</v>
          </cell>
          <cell r="D785" t="str">
            <v>118000007</v>
          </cell>
          <cell r="E785" t="str">
            <v>MATERIAS PRIMAS PLANTA</v>
          </cell>
          <cell r="F785" t="str">
            <v xml:space="preserve">1 KILO </v>
          </cell>
          <cell r="G785">
            <v>500</v>
          </cell>
          <cell r="H785" t="str">
            <v>07/02/2020</v>
          </cell>
          <cell r="I785">
            <v>7795.36</v>
          </cell>
          <cell r="J785">
            <v>7795.36</v>
          </cell>
          <cell r="K785">
            <v>1000</v>
          </cell>
          <cell r="L785">
            <v>7.7953599999999996</v>
          </cell>
          <cell r="M785" t="str">
            <v>Gramos</v>
          </cell>
        </row>
        <row r="786">
          <cell r="A786" t="str">
            <v>118000014</v>
          </cell>
          <cell r="B786">
            <v>9606</v>
          </cell>
          <cell r="C786" t="str">
            <v>SABORIZANTE MENTA (KILO)</v>
          </cell>
          <cell r="D786" t="str">
            <v>118000014</v>
          </cell>
          <cell r="E786" t="str">
            <v>MATERIAS PRIMAS PLANTA</v>
          </cell>
          <cell r="F786" t="str">
            <v xml:space="preserve">1 KILO </v>
          </cell>
          <cell r="G786">
            <v>500</v>
          </cell>
          <cell r="H786" t="str">
            <v>07/02/2020</v>
          </cell>
          <cell r="I786">
            <v>19158.57</v>
          </cell>
          <cell r="J786">
            <v>38317.14</v>
          </cell>
          <cell r="K786">
            <v>1000</v>
          </cell>
          <cell r="L786">
            <v>19.158570000000001</v>
          </cell>
          <cell r="M786" t="str">
            <v>Gramos</v>
          </cell>
        </row>
        <row r="787">
          <cell r="A787" t="str">
            <v>118000017</v>
          </cell>
          <cell r="B787">
            <v>16320</v>
          </cell>
          <cell r="C787" t="str">
            <v>SABORIZANTE RON (UND)</v>
          </cell>
          <cell r="D787" t="str">
            <v>118000017</v>
          </cell>
          <cell r="E787" t="str">
            <v>MATERIAS PRIMAS PLANTA</v>
          </cell>
          <cell r="F787" t="str">
            <v>1 UNIDAD</v>
          </cell>
          <cell r="G787">
            <v>500</v>
          </cell>
          <cell r="H787" t="str">
            <v>29/05/2020</v>
          </cell>
          <cell r="I787">
            <v>8584.0499999999993</v>
          </cell>
          <cell r="J787">
            <v>16368.96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119000002</v>
          </cell>
          <cell r="B788">
            <v>5658</v>
          </cell>
          <cell r="C788" t="str">
            <v>MACADAMIA PICADA #8 (CAJA 11,34 K)</v>
          </cell>
          <cell r="D788" t="str">
            <v>119000002</v>
          </cell>
          <cell r="E788" t="str">
            <v>MATERIAS PRIMAS PLANTA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94303</v>
          </cell>
          <cell r="J788">
            <v>282909</v>
          </cell>
          <cell r="K788">
            <v>11134</v>
          </cell>
          <cell r="L788">
            <v>8.4698221663373445</v>
          </cell>
          <cell r="M788" t="str">
            <v>Gramos</v>
          </cell>
        </row>
        <row r="789">
          <cell r="A789" t="str">
            <v>119000012</v>
          </cell>
          <cell r="B789">
            <v>5668</v>
          </cell>
          <cell r="C789" t="str">
            <v>MACADAMIA ENTERA (PAQ=1 KILO)</v>
          </cell>
          <cell r="D789" t="str">
            <v>119000012</v>
          </cell>
          <cell r="E789" t="str">
            <v>MATERIAS PRIMAS PLANTA</v>
          </cell>
          <cell r="F789" t="str">
            <v>1 PAQUETE</v>
          </cell>
          <cell r="G789">
            <v>500</v>
          </cell>
          <cell r="H789" t="str">
            <v>15/06/2020</v>
          </cell>
          <cell r="I789">
            <v>18522.560000000001</v>
          </cell>
          <cell r="J789">
            <v>12423172.800000001</v>
          </cell>
          <cell r="K789">
            <v>1000</v>
          </cell>
          <cell r="L789">
            <v>18.522560000000002</v>
          </cell>
          <cell r="M789" t="str">
            <v>Und</v>
          </cell>
        </row>
        <row r="790">
          <cell r="A790" t="str">
            <v>119000026</v>
          </cell>
          <cell r="B790">
            <v>14850</v>
          </cell>
          <cell r="C790" t="str">
            <v>SEMILLA DE AMAPOLA (UND: 566 G)</v>
          </cell>
          <cell r="D790" t="str">
            <v>119000026</v>
          </cell>
          <cell r="E790" t="str">
            <v>MATERIAS PRIMAS PLANTA</v>
          </cell>
          <cell r="F790" t="str">
            <v>1 Uds.</v>
          </cell>
          <cell r="G790">
            <v>500</v>
          </cell>
          <cell r="H790" t="str">
            <v>15/06/2020</v>
          </cell>
          <cell r="I790">
            <v>5138</v>
          </cell>
          <cell r="J790">
            <v>51068</v>
          </cell>
          <cell r="K790">
            <v>566</v>
          </cell>
          <cell r="L790">
            <v>9.0777385159010606</v>
          </cell>
          <cell r="M790" t="str">
            <v>Gramos</v>
          </cell>
        </row>
        <row r="791">
          <cell r="A791" t="str">
            <v>120000012</v>
          </cell>
          <cell r="B791">
            <v>10290</v>
          </cell>
          <cell r="C791" t="str">
            <v>ARO CHOCOLATE BLANCO (CAJA:150 UND)</v>
          </cell>
          <cell r="D791" t="str">
            <v>120000012</v>
          </cell>
          <cell r="E791" t="str">
            <v>MATERIAS PRIMAS PLANTA</v>
          </cell>
          <cell r="F791" t="str">
            <v>1 CAJA</v>
          </cell>
          <cell r="G791">
            <v>500</v>
          </cell>
          <cell r="H791" t="str">
            <v>03/12/2019</v>
          </cell>
          <cell r="I791">
            <v>12951</v>
          </cell>
          <cell r="J791">
            <v>-12951</v>
          </cell>
          <cell r="K791">
            <v>150</v>
          </cell>
          <cell r="L791">
            <v>86.34</v>
          </cell>
          <cell r="M791" t="str">
            <v>Gramos</v>
          </cell>
        </row>
        <row r="792">
          <cell r="A792" t="str">
            <v>120000017</v>
          </cell>
          <cell r="B792">
            <v>14824</v>
          </cell>
          <cell r="C792" t="str">
            <v>GALLETA DE CHOCOLATE (PAQ:3 UND)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>
            <v>623.1</v>
          </cell>
          <cell r="J792">
            <v>165121.5</v>
          </cell>
          <cell r="K792">
            <v>126</v>
          </cell>
          <cell r="L792" t="e">
            <v>#DIV/0!</v>
          </cell>
          <cell r="M792" t="str">
            <v>Gramos</v>
          </cell>
        </row>
        <row r="793">
          <cell r="A793" t="str">
            <v>120000018</v>
          </cell>
          <cell r="B793">
            <v>14825</v>
          </cell>
          <cell r="C793" t="str">
            <v>GALLETA DE CRAMBERRY (PAQ:5 UND)</v>
          </cell>
          <cell r="D793" t="str">
            <v>120000018</v>
          </cell>
          <cell r="E793" t="str">
            <v>MATERIAS PRIMAS PLANTA</v>
          </cell>
          <cell r="F793" t="str">
            <v>1 PAQ</v>
          </cell>
          <cell r="G793">
            <v>500</v>
          </cell>
          <cell r="H793" t="str">
            <v>13/05/2020</v>
          </cell>
          <cell r="I793">
            <v>573.1</v>
          </cell>
          <cell r="J793">
            <v>130093.7</v>
          </cell>
          <cell r="K793">
            <v>2500</v>
          </cell>
          <cell r="L793" t="e">
            <v>#DIV/0!</v>
          </cell>
          <cell r="M793" t="str">
            <v>Gramos</v>
          </cell>
        </row>
        <row r="794">
          <cell r="A794" t="str">
            <v>120000019</v>
          </cell>
          <cell r="B794">
            <v>14826</v>
          </cell>
          <cell r="C794" t="str">
            <v>GALLETA DE CANELA (PAQ:4 UND)</v>
          </cell>
          <cell r="D794" t="str">
            <v>120000019</v>
          </cell>
          <cell r="E794" t="str">
            <v>MATERIAS PRIMAS PLANTA</v>
          </cell>
          <cell r="F794" t="str">
            <v>1 PAQ</v>
          </cell>
          <cell r="G794">
            <v>500</v>
          </cell>
          <cell r="H794" t="str">
            <v>05/06/2020</v>
          </cell>
          <cell r="I794">
            <v>1</v>
          </cell>
          <cell r="J794">
            <v>126655.1</v>
          </cell>
          <cell r="K794">
            <v>1</v>
          </cell>
          <cell r="L794" t="e">
            <v>#DIV/0!</v>
          </cell>
          <cell r="M794" t="str">
            <v>Gramos</v>
          </cell>
        </row>
        <row r="795">
          <cell r="A795" t="str">
            <v>120000022</v>
          </cell>
          <cell r="B795">
            <v>15912</v>
          </cell>
          <cell r="C795" t="str">
            <v>GALLETA OREO ( PAQ: 126 G)</v>
          </cell>
          <cell r="D795" t="str">
            <v>120000022</v>
          </cell>
          <cell r="E795" t="str">
            <v>MATERIAS PRIMAS PLANTA</v>
          </cell>
          <cell r="F795" t="str">
            <v>1 PAQUETE</v>
          </cell>
          <cell r="G795">
            <v>500</v>
          </cell>
          <cell r="H795" t="str">
            <v>21/05/2020</v>
          </cell>
          <cell r="I795">
            <v>510</v>
          </cell>
          <cell r="J795">
            <v>85170</v>
          </cell>
          <cell r="K795">
            <v>126</v>
          </cell>
          <cell r="L795">
            <v>4.0476190476190474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>
            <v>0</v>
          </cell>
          <cell r="I823">
            <v>20298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2" refreshError="1"/>
      <sheetData sheetId="3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4844.88</v>
          </cell>
          <cell r="H2">
            <v>4.8448799999999999</v>
          </cell>
          <cell r="I2">
            <v>65.22</v>
          </cell>
          <cell r="J2">
            <v>6.522E-2</v>
          </cell>
          <cell r="K2">
            <v>597.84999999999991</v>
          </cell>
          <cell r="L2">
            <v>0.59784999999999988</v>
          </cell>
          <cell r="M2">
            <v>5507.9500000000007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1282.9273809703136</v>
          </cell>
          <cell r="H3">
            <v>1.2829273809703137</v>
          </cell>
          <cell r="I3">
            <v>7.3698599999999989E-2</v>
          </cell>
          <cell r="J3">
            <v>7.3698599999999986E-5</v>
          </cell>
          <cell r="K3">
            <v>11.4555705</v>
          </cell>
          <cell r="L3">
            <v>1.14555705E-2</v>
          </cell>
          <cell r="M3">
            <v>1294.4566500703136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753.83892617449669</v>
          </cell>
          <cell r="H4">
            <v>0.75383892617449666</v>
          </cell>
          <cell r="I4">
            <v>13.378012500000001</v>
          </cell>
          <cell r="J4">
            <v>1.3378012500000001E-2</v>
          </cell>
          <cell r="K4">
            <v>55.55</v>
          </cell>
          <cell r="L4">
            <v>5.5549999999999995E-2</v>
          </cell>
          <cell r="M4">
            <v>822.7669386744966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696.12232100217295</v>
          </cell>
          <cell r="H5">
            <v>696.12232100217295</v>
          </cell>
          <cell r="I5">
            <v>4.9100590817579999</v>
          </cell>
          <cell r="J5">
            <v>4.9100590817579999</v>
          </cell>
          <cell r="K5">
            <v>21.103623669865001</v>
          </cell>
          <cell r="L5">
            <v>21.103623669865001</v>
          </cell>
          <cell r="M5">
            <v>722.13600375379599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761.48297487999992</v>
          </cell>
          <cell r="H6">
            <v>0.76148297487999994</v>
          </cell>
          <cell r="I6">
            <v>3.3533333333333339</v>
          </cell>
          <cell r="J6">
            <v>3.353333333333334E-3</v>
          </cell>
          <cell r="K6">
            <v>9.1300000000000008</v>
          </cell>
          <cell r="L6">
            <v>9.130000000000001E-3</v>
          </cell>
          <cell r="M6">
            <v>773.96630821333326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768.80082626859678</v>
          </cell>
          <cell r="H7">
            <v>0.7688008262685968</v>
          </cell>
          <cell r="I7">
            <v>3.3855588666666674</v>
          </cell>
          <cell r="J7">
            <v>3.3855588666666676E-3</v>
          </cell>
          <cell r="K7">
            <v>20.987739300000001</v>
          </cell>
          <cell r="L7">
            <v>2.0987739300000002E-2</v>
          </cell>
          <cell r="M7">
            <v>793.17412443526348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111.27982251640934</v>
          </cell>
          <cell r="H8">
            <v>111.27982251640934</v>
          </cell>
          <cell r="I8">
            <v>0.50439752380000014</v>
          </cell>
          <cell r="J8">
            <v>0.50439752380000014</v>
          </cell>
          <cell r="K8">
            <v>18.707673719900001</v>
          </cell>
          <cell r="L8">
            <v>18.707673719900001</v>
          </cell>
          <cell r="M8">
            <v>130.49189376010935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366.34667287328216</v>
          </cell>
          <cell r="H9">
            <v>366.34667287328216</v>
          </cell>
          <cell r="I9">
            <v>0.17045640353400002</v>
          </cell>
          <cell r="J9">
            <v>0.17045640353400002</v>
          </cell>
          <cell r="K9">
            <v>13.025418083645</v>
          </cell>
          <cell r="L9">
            <v>13.025418083645</v>
          </cell>
          <cell r="M9">
            <v>379.54254736046113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23.759093333333336</v>
          </cell>
          <cell r="J10">
            <v>2.3759093333333335E-2</v>
          </cell>
          <cell r="K10">
            <v>36.630000000000003</v>
          </cell>
          <cell r="L10">
            <v>3.6630000000000003E-2</v>
          </cell>
          <cell r="M10">
            <v>450.72909333333337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1621.4205540987346</v>
          </cell>
          <cell r="H11">
            <v>1.6214205540987345</v>
          </cell>
          <cell r="I11">
            <v>1.254</v>
          </cell>
          <cell r="J11">
            <v>1.2539999999999999E-3</v>
          </cell>
          <cell r="K11">
            <v>12.540000000000001</v>
          </cell>
          <cell r="L11">
            <v>1.2540000000000001E-2</v>
          </cell>
          <cell r="M11">
            <v>1635.2145540987344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1952.7821235602094</v>
          </cell>
          <cell r="H12">
            <v>1.9527821235602094</v>
          </cell>
          <cell r="I12">
            <v>8.5120000000000001E-2</v>
          </cell>
          <cell r="J12">
            <v>8.5119999999999998E-5</v>
          </cell>
          <cell r="K12">
            <v>13.805</v>
          </cell>
          <cell r="L12">
            <v>1.3805E-2</v>
          </cell>
          <cell r="M12">
            <v>1966.6722435602094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403.31414214</v>
          </cell>
          <cell r="H13">
            <v>0.40331414214</v>
          </cell>
          <cell r="I13">
            <v>3.7175405000000001</v>
          </cell>
          <cell r="J13">
            <v>3.7175405000000003E-3</v>
          </cell>
          <cell r="K13">
            <v>15.015000000000001</v>
          </cell>
          <cell r="L13">
            <v>1.5015000000000001E-2</v>
          </cell>
          <cell r="M13">
            <v>422.04668263999997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1293.0204160000001</v>
          </cell>
          <cell r="H14">
            <v>1.2930204160000001</v>
          </cell>
          <cell r="I14">
            <v>0.9776741333333332</v>
          </cell>
          <cell r="J14">
            <v>9.776741333333333E-4</v>
          </cell>
          <cell r="K14">
            <v>33.976741333333337</v>
          </cell>
          <cell r="L14">
            <v>3.3976741333333338E-2</v>
          </cell>
          <cell r="M14">
            <v>1327.9748314666667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1526.3892393634719</v>
          </cell>
          <cell r="H15">
            <v>1.5263892393634719</v>
          </cell>
          <cell r="I15">
            <v>5.5854199766283337</v>
          </cell>
          <cell r="J15">
            <v>5.5854199766283341E-3</v>
          </cell>
          <cell r="K15">
            <v>70.275604850000008</v>
          </cell>
          <cell r="L15">
            <v>7.0275604850000006E-2</v>
          </cell>
          <cell r="M15">
            <v>1602.2502641901003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1374.9210921778683</v>
          </cell>
          <cell r="H16">
            <v>1.3749210921778683</v>
          </cell>
          <cell r="I16">
            <v>1.4732802287966664</v>
          </cell>
          <cell r="J16">
            <v>1.4732802287966665E-3</v>
          </cell>
          <cell r="K16">
            <v>118.73905025546668</v>
          </cell>
          <cell r="L16">
            <v>0.11873905025546667</v>
          </cell>
          <cell r="M16">
            <v>1495.1334226621318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1374.9210921778683</v>
          </cell>
          <cell r="H17">
            <v>1.3749210921778683</v>
          </cell>
          <cell r="I17">
            <v>10.281920228796666</v>
          </cell>
          <cell r="J17">
            <v>1.0281920228796666E-2</v>
          </cell>
          <cell r="K17">
            <v>132.65405025546667</v>
          </cell>
          <cell r="L17">
            <v>0.13265405025546667</v>
          </cell>
          <cell r="M17">
            <v>1517.8570626621317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1526.3892393634719</v>
          </cell>
          <cell r="H18">
            <v>1.5263892393634719</v>
          </cell>
          <cell r="I18">
            <v>12.408086643295</v>
          </cell>
          <cell r="J18">
            <v>1.2408086643295001E-2</v>
          </cell>
          <cell r="K18">
            <v>81.275604850000008</v>
          </cell>
          <cell r="L18">
            <v>8.1275604850000002E-2</v>
          </cell>
          <cell r="M18">
            <v>1620.072930856767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3237.7401181263244</v>
          </cell>
          <cell r="H19">
            <v>3.2377401181263243</v>
          </cell>
          <cell r="I19">
            <v>26.122268078378987</v>
          </cell>
          <cell r="J19">
            <v>2.6122268078378988E-2</v>
          </cell>
          <cell r="K19">
            <v>243.15640819641339</v>
          </cell>
          <cell r="L19">
            <v>0.2431564081964134</v>
          </cell>
          <cell r="M19">
            <v>3507.0187944011168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1374.9210921778683</v>
          </cell>
          <cell r="H20">
            <v>1.3749210921778683</v>
          </cell>
          <cell r="I20">
            <v>10.281920228796666</v>
          </cell>
          <cell r="J20">
            <v>1.0281920228796666E-2</v>
          </cell>
          <cell r="K20">
            <v>197.00405025546667</v>
          </cell>
          <cell r="L20">
            <v>0.19700405025546666</v>
          </cell>
          <cell r="M20">
            <v>1582.2070626621316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526.04992899148658</v>
          </cell>
          <cell r="H21">
            <v>526.04992899148658</v>
          </cell>
          <cell r="I21">
            <v>0.260835815217</v>
          </cell>
          <cell r="J21">
            <v>0.260835815217</v>
          </cell>
          <cell r="K21">
            <v>16.174517744385</v>
          </cell>
          <cell r="L21">
            <v>16.174517744385</v>
          </cell>
          <cell r="M21">
            <v>542.48528255108852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2516.2263364539008</v>
          </cell>
          <cell r="H22">
            <v>2.5162263364539008</v>
          </cell>
          <cell r="I22">
            <v>8.2582978723404246</v>
          </cell>
          <cell r="J22">
            <v>8.2582978723404251E-3</v>
          </cell>
          <cell r="K22">
            <v>39.765000000000001</v>
          </cell>
          <cell r="L22">
            <v>3.9765000000000002E-2</v>
          </cell>
          <cell r="M22">
            <v>2564.249634326241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>
            <v>1519.5246320184733</v>
          </cell>
          <cell r="H23">
            <v>1.5195246320184732</v>
          </cell>
          <cell r="I23">
            <v>0.57668800000000009</v>
          </cell>
          <cell r="J23">
            <v>5.7668800000000011E-4</v>
          </cell>
          <cell r="K23">
            <v>17.875</v>
          </cell>
          <cell r="L23">
            <v>1.7874999999999999E-2</v>
          </cell>
          <cell r="M23">
            <v>1537.9763200184734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>
            <v>1519.5246320184733</v>
          </cell>
          <cell r="H24">
            <v>1.5195246320184732</v>
          </cell>
          <cell r="I24">
            <v>7.708954666666668</v>
          </cell>
          <cell r="J24">
            <v>7.7089546666666677E-3</v>
          </cell>
          <cell r="K24">
            <v>33.825000000000003</v>
          </cell>
          <cell r="L24">
            <v>3.3825000000000001E-2</v>
          </cell>
          <cell r="M24">
            <v>1561.05858668514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3712.1812763713078</v>
          </cell>
          <cell r="H25">
            <v>3.7121812763713078</v>
          </cell>
          <cell r="I25">
            <v>14.71012658227848</v>
          </cell>
          <cell r="J25">
            <v>1.4710126582278481E-2</v>
          </cell>
          <cell r="K25">
            <v>70.95</v>
          </cell>
          <cell r="L25">
            <v>7.0949999999999999E-2</v>
          </cell>
          <cell r="M25">
            <v>3797.8414029535861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3712.1812763713078</v>
          </cell>
          <cell r="H26">
            <v>3.7121812763713078</v>
          </cell>
          <cell r="I26">
            <v>28.466393248945145</v>
          </cell>
          <cell r="J26">
            <v>2.8466393248945145E-2</v>
          </cell>
          <cell r="K26">
            <v>79.2</v>
          </cell>
          <cell r="L26">
            <v>7.9200000000000007E-2</v>
          </cell>
          <cell r="M26">
            <v>3819.8476696202529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1165.74</v>
          </cell>
          <cell r="H27">
            <v>1.16574</v>
          </cell>
          <cell r="I27">
            <v>7.0922666666666681</v>
          </cell>
          <cell r="J27">
            <v>7.0922666666666679E-3</v>
          </cell>
          <cell r="K27">
            <v>11</v>
          </cell>
          <cell r="L27">
            <v>1.0999999999999999E-2</v>
          </cell>
          <cell r="M27">
            <v>1183.8322666666668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1732.820826923077</v>
          </cell>
          <cell r="H28">
            <v>1.7328208269230769</v>
          </cell>
          <cell r="I28">
            <v>2.7884615384615379E-2</v>
          </cell>
          <cell r="J28">
            <v>2.7884615384615379E-5</v>
          </cell>
          <cell r="K28">
            <v>26.438500000000001</v>
          </cell>
          <cell r="L28">
            <v>2.64385E-2</v>
          </cell>
          <cell r="M28">
            <v>1759.2872115384616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1318.0712659467597</v>
          </cell>
          <cell r="H29">
            <v>1.3180712659467597</v>
          </cell>
          <cell r="I29">
            <v>6.9821804377500003</v>
          </cell>
          <cell r="J29">
            <v>6.9821804377500005E-3</v>
          </cell>
          <cell r="K29">
            <v>120.6632625</v>
          </cell>
          <cell r="L29">
            <v>0.12066326250000001</v>
          </cell>
          <cell r="M29">
            <v>1445.7167088845097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1318.0712659467597</v>
          </cell>
          <cell r="H30">
            <v>1.3180712659467597</v>
          </cell>
          <cell r="I30">
            <v>12.97218043775</v>
          </cell>
          <cell r="J30">
            <v>1.2972180437749999E-2</v>
          </cell>
          <cell r="K30">
            <v>148.1632625</v>
          </cell>
          <cell r="L30">
            <v>0.1481632625</v>
          </cell>
          <cell r="M30">
            <v>1479.2067088845097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2286.6518519349097</v>
          </cell>
          <cell r="H31">
            <v>2.2866518519349097</v>
          </cell>
          <cell r="I31">
            <v>2.7993589039808917</v>
          </cell>
          <cell r="J31">
            <v>2.7993589039808915E-3</v>
          </cell>
          <cell r="K31">
            <v>66.437168259023366</v>
          </cell>
          <cell r="L31">
            <v>6.6437168259023363E-2</v>
          </cell>
          <cell r="M31">
            <v>2355.8883790979144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287.14811729999997</v>
          </cell>
          <cell r="H32">
            <v>0.28714811729999995</v>
          </cell>
          <cell r="I32">
            <v>6.3676349999999999</v>
          </cell>
          <cell r="J32">
            <v>6.367635E-3</v>
          </cell>
          <cell r="K32">
            <v>26.344999999999999</v>
          </cell>
          <cell r="L32">
            <v>2.6345E-2</v>
          </cell>
          <cell r="M32">
            <v>319.86075229999994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1089.2822595636803</v>
          </cell>
          <cell r="H33">
            <v>1.0892822595636804</v>
          </cell>
          <cell r="I33">
            <v>0</v>
          </cell>
          <cell r="J33">
            <v>0</v>
          </cell>
          <cell r="K33">
            <v>20.350000000000001</v>
          </cell>
          <cell r="L33">
            <v>2.035E-2</v>
          </cell>
          <cell r="M33">
            <v>1109.6322595636802</v>
          </cell>
        </row>
        <row r="34">
          <cell r="A34" t="str">
            <v>96270</v>
          </cell>
          <cell r="B34" t="str">
            <v>ROSQUETE MELOCOTON PURATOS (360g)</v>
          </cell>
          <cell r="C34" t="str">
            <v>ESP-RE-BAS-013</v>
          </cell>
          <cell r="D34" t="str">
            <v>06</v>
          </cell>
          <cell r="E34" t="str">
            <v>UND</v>
          </cell>
          <cell r="F34" t="str">
            <v>Und</v>
          </cell>
          <cell r="G34">
            <v>403.49266659903606</v>
          </cell>
          <cell r="H34">
            <v>403.49266659903606</v>
          </cell>
          <cell r="I34">
            <v>0.22852585484999999</v>
          </cell>
          <cell r="J34">
            <v>0.22852585484999999</v>
          </cell>
          <cell r="K34">
            <v>19.368481549999998</v>
          </cell>
          <cell r="L34">
            <v>19.368481549999998</v>
          </cell>
          <cell r="M34">
            <v>423.08967400388605</v>
          </cell>
        </row>
        <row r="35">
          <cell r="A35" t="str">
            <v>901000020</v>
          </cell>
          <cell r="B35" t="str">
            <v>PREMEZCLA P/GALLETA FIGURA</v>
          </cell>
          <cell r="C35" t="str">
            <v xml:space="preserve">ESP-RE-PRES-020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784.44408066953019</v>
          </cell>
          <cell r="H35">
            <v>0.7844440806695302</v>
          </cell>
          <cell r="I35">
            <v>1.8581999999999999</v>
          </cell>
          <cell r="J35">
            <v>1.8582E-3</v>
          </cell>
          <cell r="K35">
            <v>17.984999999999999</v>
          </cell>
          <cell r="L35">
            <v>1.7985000000000001E-2</v>
          </cell>
          <cell r="M35">
            <v>804.28728066953022</v>
          </cell>
        </row>
        <row r="36">
          <cell r="A36" t="str">
            <v>95613</v>
          </cell>
          <cell r="B36" t="str">
            <v>BASE PREMEZCLA P/PASTA ALFAJOR KILO</v>
          </cell>
          <cell r="C36" t="str">
            <v xml:space="preserve">ESP-RE-PRES-003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844.3890151999999</v>
          </cell>
          <cell r="H36">
            <v>0.84438901519999987</v>
          </cell>
          <cell r="I36">
            <v>3.456</v>
          </cell>
          <cell r="J36">
            <v>3.4559999999999999E-3</v>
          </cell>
          <cell r="K36">
            <v>9.5149999999999988</v>
          </cell>
          <cell r="L36">
            <v>9.5149999999999992E-3</v>
          </cell>
          <cell r="M36">
            <v>857.36001519999991</v>
          </cell>
        </row>
        <row r="37">
          <cell r="A37" t="str">
            <v>907000014</v>
          </cell>
          <cell r="B37" t="str">
            <v>BASE MERENGUE DESHIDRATADO (KILO)</v>
          </cell>
          <cell r="C37" t="str">
            <v>ESP-RE-POS-036</v>
          </cell>
          <cell r="D37" t="str">
            <v>08</v>
          </cell>
          <cell r="E37" t="str">
            <v>Kilo</v>
          </cell>
          <cell r="F37" t="str">
            <v>Gramo</v>
          </cell>
          <cell r="G37">
            <v>1815.6108514977973</v>
          </cell>
          <cell r="H37">
            <v>1.8156108514977973</v>
          </cell>
          <cell r="I37">
            <v>0</v>
          </cell>
          <cell r="J37">
            <v>0</v>
          </cell>
          <cell r="K37">
            <v>98.45</v>
          </cell>
          <cell r="L37">
            <v>9.845000000000001E-2</v>
          </cell>
          <cell r="M37">
            <v>1914.0608514977973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1787.5283967999999</v>
          </cell>
          <cell r="H38">
            <v>1.7875283968</v>
          </cell>
          <cell r="I38">
            <v>0</v>
          </cell>
          <cell r="J38">
            <v>0</v>
          </cell>
          <cell r="K38">
            <v>20.9</v>
          </cell>
          <cell r="L38">
            <v>2.0899999999999998E-2</v>
          </cell>
          <cell r="M38">
            <v>1808.4283968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1794.4055086666665</v>
          </cell>
          <cell r="H39">
            <v>1.7944055086666666</v>
          </cell>
          <cell r="I39">
            <v>2.300125</v>
          </cell>
          <cell r="J39">
            <v>2.3001250000000001E-3</v>
          </cell>
          <cell r="K39">
            <v>22</v>
          </cell>
          <cell r="L39">
            <v>2.1999999999999999E-2</v>
          </cell>
          <cell r="M39">
            <v>1818.7056336666665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841.79683851358368</v>
          </cell>
          <cell r="H40">
            <v>0.84179683851358367</v>
          </cell>
          <cell r="I40">
            <v>3.4410538424944859</v>
          </cell>
          <cell r="J40">
            <v>3.441053842494486E-3</v>
          </cell>
          <cell r="K40">
            <v>21.353850495177959</v>
          </cell>
          <cell r="L40">
            <v>2.1353850495177958E-2</v>
          </cell>
          <cell r="M40">
            <v>866.59174285125619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1575.7191086604571</v>
          </cell>
          <cell r="H41">
            <v>1.5757191086604572</v>
          </cell>
          <cell r="I41">
            <v>12.236455362637363</v>
          </cell>
          <cell r="J41">
            <v>1.2236455362637363E-2</v>
          </cell>
          <cell r="K41">
            <v>132.52366648351648</v>
          </cell>
          <cell r="L41">
            <v>0.13252366648351649</v>
          </cell>
          <cell r="M41">
            <v>1720.479230506611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11.338715982845422</v>
          </cell>
          <cell r="H42">
            <v>11.338715982845422</v>
          </cell>
          <cell r="I42">
            <v>8.5655187538461547E-2</v>
          </cell>
          <cell r="J42">
            <v>8.5655187538461547E-2</v>
          </cell>
          <cell r="K42">
            <v>4.5576656653846159</v>
          </cell>
          <cell r="L42">
            <v>4.5576656653846159</v>
          </cell>
          <cell r="M42">
            <v>15.982036835768501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13.564097487989081</v>
          </cell>
          <cell r="H43">
            <v>13.564097487989081</v>
          </cell>
          <cell r="I43">
            <v>6.0619770883247562E-2</v>
          </cell>
          <cell r="J43">
            <v>6.0619770883247562E-2</v>
          </cell>
          <cell r="K43">
            <v>11.343171007702768</v>
          </cell>
          <cell r="L43">
            <v>11.343171007702768</v>
          </cell>
          <cell r="M43">
            <v>24.967888266575095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2007.1032502888663</v>
          </cell>
          <cell r="H44">
            <v>2.0071032502888664</v>
          </cell>
          <cell r="I44">
            <v>1.1524699119903916</v>
          </cell>
          <cell r="J44">
            <v>1.1524699119903916E-3</v>
          </cell>
          <cell r="K44">
            <v>208.72229760513179</v>
          </cell>
          <cell r="L44">
            <v>0.20872229760513178</v>
          </cell>
          <cell r="M44">
            <v>2216.9780178059887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2881.5308790525514</v>
          </cell>
          <cell r="H45">
            <v>2.8815308790525513</v>
          </cell>
          <cell r="I45">
            <v>5.306924668370451</v>
          </cell>
          <cell r="J45">
            <v>5.3069246683704512E-3</v>
          </cell>
          <cell r="K45">
            <v>20.074999999999999</v>
          </cell>
          <cell r="L45">
            <v>2.0074999999999999E-2</v>
          </cell>
          <cell r="M45">
            <v>2906.9128037209216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1117.7125245662178</v>
          </cell>
          <cell r="H46">
            <v>1.1177125245662178</v>
          </cell>
          <cell r="I46">
            <v>0</v>
          </cell>
          <cell r="J46">
            <v>0</v>
          </cell>
          <cell r="K46">
            <v>31.569999999999997</v>
          </cell>
          <cell r="L46">
            <v>3.1569999999999994E-2</v>
          </cell>
          <cell r="M46">
            <v>1149.2825245662177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2770.4163842424241</v>
          </cell>
          <cell r="H47">
            <v>2.7704163842424241</v>
          </cell>
          <cell r="I47">
            <v>0</v>
          </cell>
          <cell r="J47">
            <v>0</v>
          </cell>
          <cell r="K47">
            <v>29.975000000000001</v>
          </cell>
          <cell r="L47">
            <v>2.9975000000000002E-2</v>
          </cell>
          <cell r="M47">
            <v>2800.391384242424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1986.3913208163265</v>
          </cell>
          <cell r="H48">
            <v>1.9863913208163264</v>
          </cell>
          <cell r="I48">
            <v>8.5120000000000001E-2</v>
          </cell>
          <cell r="J48">
            <v>8.5119999999999998E-5</v>
          </cell>
          <cell r="K48">
            <v>11.219999999999999</v>
          </cell>
          <cell r="L48">
            <v>1.1219999999999999E-2</v>
          </cell>
          <cell r="M48">
            <v>1997.6964408163265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1694.6691997159514</v>
          </cell>
          <cell r="H49">
            <v>1.6946691997159515</v>
          </cell>
          <cell r="I49">
            <v>19.415861658363369</v>
          </cell>
          <cell r="J49">
            <v>1.941586165836337E-2</v>
          </cell>
          <cell r="K49">
            <v>402.16262251000001</v>
          </cell>
          <cell r="L49">
            <v>0.40216262251000001</v>
          </cell>
          <cell r="M49">
            <v>2116.2476838843149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1720.6067499503465</v>
          </cell>
          <cell r="H50">
            <v>1.7206067499503466</v>
          </cell>
          <cell r="I50">
            <v>0</v>
          </cell>
          <cell r="J50">
            <v>0</v>
          </cell>
          <cell r="K50">
            <v>91.293298148148139</v>
          </cell>
          <cell r="L50">
            <v>9.1293298148148141E-2</v>
          </cell>
          <cell r="M50">
            <v>1811.9000480984946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816.78649606655904</v>
          </cell>
          <cell r="H51">
            <v>816.78649606655904</v>
          </cell>
          <cell r="I51">
            <v>0.17443753804347831</v>
          </cell>
          <cell r="J51">
            <v>0.17443753804347831</v>
          </cell>
          <cell r="K51">
            <v>43.520266086956518</v>
          </cell>
          <cell r="L51">
            <v>43.520266086956518</v>
          </cell>
          <cell r="M51">
            <v>860.48119969155903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209.38239195889494</v>
          </cell>
          <cell r="H52">
            <v>209.38239195889494</v>
          </cell>
          <cell r="I52">
            <v>0.17278012500000003</v>
          </cell>
          <cell r="J52">
            <v>0.17278012500000003</v>
          </cell>
          <cell r="K52">
            <v>4.3263550000000004</v>
          </cell>
          <cell r="L52">
            <v>4.3263550000000004</v>
          </cell>
          <cell r="M52">
            <v>213.88152708389495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982.62174075162966</v>
          </cell>
          <cell r="H53">
            <v>982.62174075162966</v>
          </cell>
          <cell r="I53">
            <v>3.6825443113184999</v>
          </cell>
          <cell r="J53">
            <v>3.6825443113184999</v>
          </cell>
          <cell r="K53">
            <v>125.82771775239875</v>
          </cell>
          <cell r="L53">
            <v>125.82771775239875</v>
          </cell>
          <cell r="M53">
            <v>1112.1320028153468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1034.0334250925528</v>
          </cell>
          <cell r="H54">
            <v>1034.0334250925528</v>
          </cell>
          <cell r="I54">
            <v>1.445862174334156</v>
          </cell>
          <cell r="J54">
            <v>1.445862174334156</v>
          </cell>
          <cell r="K54">
            <v>141.58356560782909</v>
          </cell>
          <cell r="L54">
            <v>141.58356560782909</v>
          </cell>
          <cell r="M54">
            <v>1177.0628528747161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3966.0039999999999</v>
          </cell>
          <cell r="H55">
            <v>3.9660039999999999</v>
          </cell>
          <cell r="I55">
            <v>36.582167664670656</v>
          </cell>
          <cell r="J55">
            <v>3.6582167664670658E-2</v>
          </cell>
          <cell r="K55">
            <v>229.13000000000002</v>
          </cell>
          <cell r="L55">
            <v>0.22913000000000003</v>
          </cell>
          <cell r="M55">
            <v>4231.7161676646701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1465.800995886922</v>
          </cell>
          <cell r="H56">
            <v>1.465800995886922</v>
          </cell>
          <cell r="I56">
            <v>0.56071460266666673</v>
          </cell>
          <cell r="J56">
            <v>5.6071460266666671E-4</v>
          </cell>
          <cell r="K56">
            <v>3.5044680000000001</v>
          </cell>
          <cell r="L56">
            <v>3.5044680000000002E-3</v>
          </cell>
          <cell r="M56">
            <v>1469.8661784895887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1929.9737523809522</v>
          </cell>
          <cell r="H57">
            <v>1.9299737523809521</v>
          </cell>
          <cell r="I57">
            <v>2.726E-2</v>
          </cell>
          <cell r="J57">
            <v>2.726E-5</v>
          </cell>
          <cell r="K57">
            <v>26.18</v>
          </cell>
          <cell r="L57">
            <v>2.6179999999999998E-2</v>
          </cell>
          <cell r="M57">
            <v>1956.1810123809523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1496.9181156186614</v>
          </cell>
          <cell r="H58">
            <v>1.4969181156186615</v>
          </cell>
          <cell r="I58">
            <v>0.11130476977080322</v>
          </cell>
          <cell r="J58">
            <v>1.1130476977080323E-4</v>
          </cell>
          <cell r="K58">
            <v>11.807150101419879</v>
          </cell>
          <cell r="L58">
            <v>1.1807150101419878E-2</v>
          </cell>
          <cell r="M58">
            <v>1508.8365704898522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582.33737026910808</v>
          </cell>
          <cell r="H59">
            <v>582.33737026910808</v>
          </cell>
          <cell r="I59">
            <v>0.27283452179379108</v>
          </cell>
          <cell r="J59">
            <v>0.27283452179379108</v>
          </cell>
          <cell r="K59">
            <v>18.505257281553398</v>
          </cell>
          <cell r="L59">
            <v>18.505257281553398</v>
          </cell>
          <cell r="M59">
            <v>601.11546207245533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663.07170177838577</v>
          </cell>
          <cell r="H60">
            <v>0.66307170177838581</v>
          </cell>
          <cell r="I60">
            <v>10.923372093023255</v>
          </cell>
          <cell r="J60">
            <v>1.0923372093023255E-2</v>
          </cell>
          <cell r="K60">
            <v>34.1</v>
          </cell>
          <cell r="L60">
            <v>3.4099999999999998E-2</v>
          </cell>
          <cell r="M60">
            <v>708.095073871409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2214.975126700368</v>
          </cell>
          <cell r="H61">
            <v>2.2149751267003679</v>
          </cell>
          <cell r="I61">
            <v>51.901041666666671</v>
          </cell>
          <cell r="J61">
            <v>5.1901041666666668E-2</v>
          </cell>
          <cell r="K61">
            <v>57.254999999999995</v>
          </cell>
          <cell r="L61">
            <v>5.7254999999999993E-2</v>
          </cell>
          <cell r="M61">
            <v>2324.1311683670347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2009.3457943925234</v>
          </cell>
          <cell r="H62">
            <v>2.0093457943925235</v>
          </cell>
          <cell r="I62">
            <v>3.2084112149532715</v>
          </cell>
          <cell r="J62">
            <v>3.2084112149532713E-3</v>
          </cell>
          <cell r="K62">
            <v>30.800000000000004</v>
          </cell>
          <cell r="L62">
            <v>3.0800000000000004E-2</v>
          </cell>
          <cell r="M62">
            <v>2043.3542056074766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336.02725071887619</v>
          </cell>
          <cell r="H63">
            <v>336.02725071887619</v>
          </cell>
          <cell r="I63">
            <v>2.6330628879846412</v>
          </cell>
          <cell r="J63">
            <v>2.6330628879846412</v>
          </cell>
          <cell r="K63">
            <v>37.313383857521792</v>
          </cell>
          <cell r="L63">
            <v>37.313383857521792</v>
          </cell>
          <cell r="M63">
            <v>375.97369746438261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>
            <v>618.54440717515797</v>
          </cell>
          <cell r="H64">
            <v>0.61854440717515802</v>
          </cell>
          <cell r="I64">
            <v>5.6813601456030547</v>
          </cell>
          <cell r="J64">
            <v>5.6813601456030547E-3</v>
          </cell>
          <cell r="K64">
            <v>21.945</v>
          </cell>
          <cell r="L64">
            <v>2.1944999999999999E-2</v>
          </cell>
          <cell r="M64">
            <v>646.17076732076112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5.8710816777041952</v>
          </cell>
          <cell r="J65">
            <v>5.8710816777041951E-3</v>
          </cell>
          <cell r="K65">
            <v>90.75</v>
          </cell>
          <cell r="L65">
            <v>9.0749999999999997E-2</v>
          </cell>
          <cell r="M65">
            <v>1305.7518763796911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20.794052642153911</v>
          </cell>
          <cell r="J66">
            <v>2.079405264215391E-2</v>
          </cell>
          <cell r="K66">
            <v>82.83</v>
          </cell>
          <cell r="L66">
            <v>8.2830000000000001E-2</v>
          </cell>
          <cell r="M66">
            <v>1028.3976471421538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>
            <v>714.16413226553277</v>
          </cell>
          <cell r="H67">
            <v>0.71416413226553277</v>
          </cell>
          <cell r="I67">
            <v>3.9086329000713786</v>
          </cell>
          <cell r="J67">
            <v>3.908632900071379E-3</v>
          </cell>
          <cell r="K67">
            <v>53.400201256744189</v>
          </cell>
          <cell r="L67">
            <v>5.340020125674419E-2</v>
          </cell>
          <cell r="M67">
            <v>771.47296642234824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13.327999999999999</v>
          </cell>
          <cell r="J68">
            <v>1.3328E-2</v>
          </cell>
          <cell r="K68">
            <v>55</v>
          </cell>
          <cell r="L68">
            <v>5.5E-2</v>
          </cell>
          <cell r="M68">
            <v>507.96799999999996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2046.7809392709887</v>
          </cell>
          <cell r="H69">
            <v>2.0467809392709886</v>
          </cell>
          <cell r="I69">
            <v>5.1437326901960789</v>
          </cell>
          <cell r="J69">
            <v>5.1437326901960789E-3</v>
          </cell>
          <cell r="K69">
            <v>49.56580588235294</v>
          </cell>
          <cell r="L69">
            <v>4.9565805882352938E-2</v>
          </cell>
          <cell r="M69">
            <v>2101.4904778435375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2046.7809392709885</v>
          </cell>
          <cell r="H70">
            <v>2.0467809392709886</v>
          </cell>
          <cell r="I70">
            <v>11.741232690196078</v>
          </cell>
          <cell r="J70">
            <v>1.1741232690196078E-2</v>
          </cell>
          <cell r="K70">
            <v>77.065805882352947</v>
          </cell>
          <cell r="L70">
            <v>7.7065805882352942E-2</v>
          </cell>
          <cell r="M70">
            <v>2135.5879778435374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732.65976438267614</v>
          </cell>
          <cell r="H71">
            <v>0.7326597643826761</v>
          </cell>
          <cell r="I71">
            <v>4.9277275000000005</v>
          </cell>
          <cell r="J71">
            <v>4.9277275000000004E-3</v>
          </cell>
          <cell r="K71">
            <v>47.310274725274716</v>
          </cell>
          <cell r="L71">
            <v>4.7310274725274715E-2</v>
          </cell>
          <cell r="M71">
            <v>784.89776660795076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576.85769369747902</v>
          </cell>
          <cell r="H72">
            <v>0.57685769369747897</v>
          </cell>
          <cell r="I72">
            <v>7.134210666666668</v>
          </cell>
          <cell r="J72">
            <v>7.1342106666666683E-3</v>
          </cell>
          <cell r="K72">
            <v>50.552857142857135</v>
          </cell>
          <cell r="L72">
            <v>5.0552857142857135E-2</v>
          </cell>
          <cell r="M72">
            <v>634.54476150700293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376</v>
          </cell>
          <cell r="H73">
            <v>0.376</v>
          </cell>
          <cell r="I73">
            <v>5.3311999999999999</v>
          </cell>
          <cell r="J73">
            <v>5.3312000000000003E-3</v>
          </cell>
          <cell r="K73">
            <v>22</v>
          </cell>
          <cell r="L73">
            <v>2.1999999999999999E-2</v>
          </cell>
          <cell r="M73">
            <v>403.33120000000002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576.85769369747902</v>
          </cell>
          <cell r="H74">
            <v>0.57685769369747897</v>
          </cell>
          <cell r="I74">
            <v>6.8544000000000008E-2</v>
          </cell>
          <cell r="J74">
            <v>6.8544000000000013E-5</v>
          </cell>
          <cell r="K74">
            <v>39.552857142857135</v>
          </cell>
          <cell r="L74">
            <v>3.9552857142857133E-2</v>
          </cell>
          <cell r="M74">
            <v>616.47909484033607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3893.6718906798792</v>
          </cell>
          <cell r="H75">
            <v>3.8936718906798791</v>
          </cell>
          <cell r="I75">
            <v>26.776332687435279</v>
          </cell>
          <cell r="J75">
            <v>2.6776332687435279E-2</v>
          </cell>
          <cell r="K75">
            <v>237.3818965518</v>
          </cell>
          <cell r="L75">
            <v>0.2373818965518</v>
          </cell>
          <cell r="M75">
            <v>4157.8301199191146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3893.6718906798792</v>
          </cell>
          <cell r="H76">
            <v>3.8936718906798791</v>
          </cell>
          <cell r="I76">
            <v>30.546332687435278</v>
          </cell>
          <cell r="J76">
            <v>3.0546332687435278E-2</v>
          </cell>
          <cell r="K76">
            <v>252.7818965518</v>
          </cell>
          <cell r="L76">
            <v>0.2527818965518</v>
          </cell>
          <cell r="M76">
            <v>4177.0001199191147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>
            <v>387.78180889685132</v>
          </cell>
          <cell r="H77">
            <v>387.78180889685132</v>
          </cell>
          <cell r="I77">
            <v>48.452664215671405</v>
          </cell>
          <cell r="J77">
            <v>48.452664215671405</v>
          </cell>
          <cell r="K77">
            <v>138.88444518077054</v>
          </cell>
          <cell r="L77">
            <v>138.88444518077054</v>
          </cell>
          <cell r="M77">
            <v>575.11891829329329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39.82</v>
          </cell>
          <cell r="L78">
            <v>3.9820000000000001E-2</v>
          </cell>
          <cell r="M78">
            <v>1888.4182608695653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5.4726233043478265</v>
          </cell>
          <cell r="J79">
            <v>5.4726233043478267E-3</v>
          </cell>
          <cell r="K79">
            <v>79.64</v>
          </cell>
          <cell r="L79">
            <v>7.9640000000000002E-2</v>
          </cell>
          <cell r="M79">
            <v>1933.3734928695653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>
            <v>675.97400734404459</v>
          </cell>
          <cell r="H80">
            <v>0.67597400734404456</v>
          </cell>
          <cell r="I80">
            <v>5.0075363743700514</v>
          </cell>
          <cell r="J80">
            <v>5.0075363743700514E-3</v>
          </cell>
          <cell r="K80">
            <v>54.542180237581007</v>
          </cell>
          <cell r="L80">
            <v>5.4542180237581006E-2</v>
          </cell>
          <cell r="M80">
            <v>735.52372395599559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3712.1812763713078</v>
          </cell>
          <cell r="H81">
            <v>3.7121812763713078</v>
          </cell>
          <cell r="I81">
            <v>19.064476582278481</v>
          </cell>
          <cell r="J81">
            <v>1.9064476582278479E-2</v>
          </cell>
          <cell r="K81">
            <v>89.100000000000009</v>
          </cell>
          <cell r="L81">
            <v>8.9100000000000013E-2</v>
          </cell>
          <cell r="M81">
            <v>3820.3457529535863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>
            <v>376.75222230248403</v>
          </cell>
          <cell r="H82">
            <v>376.75222230248403</v>
          </cell>
          <cell r="I82">
            <v>48.352431403673258</v>
          </cell>
          <cell r="J82">
            <v>48.352431403673258</v>
          </cell>
          <cell r="K82">
            <v>134.9865341937178</v>
          </cell>
          <cell r="L82">
            <v>134.9865341937178</v>
          </cell>
          <cell r="M82">
            <v>560.09118789987508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>
            <v>100.00014515350065</v>
          </cell>
          <cell r="H83">
            <v>0.10000014515350066</v>
          </cell>
          <cell r="I83">
            <v>0</v>
          </cell>
          <cell r="J83">
            <v>0</v>
          </cell>
          <cell r="K83">
            <v>110</v>
          </cell>
          <cell r="L83">
            <v>0.11</v>
          </cell>
          <cell r="M83">
            <v>210.00014515350065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4.5249747729566092</v>
          </cell>
          <cell r="J84">
            <v>4.5249747729566095E-3</v>
          </cell>
          <cell r="K84">
            <v>27.72</v>
          </cell>
          <cell r="L84">
            <v>2.7719999999999998E-2</v>
          </cell>
          <cell r="M84">
            <v>722.99926337033298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1317.8842945958447</v>
          </cell>
          <cell r="H85">
            <v>1.3178842945958447</v>
          </cell>
          <cell r="I85">
            <v>16.623801799684731</v>
          </cell>
          <cell r="J85">
            <v>1.6623801799684732E-2</v>
          </cell>
          <cell r="K85">
            <v>101.56006920415224</v>
          </cell>
          <cell r="L85">
            <v>0.10156006920415224</v>
          </cell>
          <cell r="M85">
            <v>1436.0681655996818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2167.5380696400393</v>
          </cell>
          <cell r="H86">
            <v>2.1675380696400395</v>
          </cell>
          <cell r="I86">
            <v>0.23954326923076921</v>
          </cell>
          <cell r="J86">
            <v>2.3954326923076921E-4</v>
          </cell>
          <cell r="K86">
            <v>105.6</v>
          </cell>
          <cell r="L86">
            <v>0.1056</v>
          </cell>
          <cell r="M86">
            <v>2273.3776129092698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5400.2491801515152</v>
          </cell>
          <cell r="H87">
            <v>5.4002491801515156</v>
          </cell>
          <cell r="I87">
            <v>23.393863636363637</v>
          </cell>
          <cell r="J87">
            <v>2.3393863636363636E-2</v>
          </cell>
          <cell r="K87">
            <v>199.65</v>
          </cell>
          <cell r="L87">
            <v>0.19964999999999999</v>
          </cell>
          <cell r="M87">
            <v>5623.2930437878786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482.24382384806978</v>
          </cell>
          <cell r="H88">
            <v>0.4822438238480698</v>
          </cell>
          <cell r="I88">
            <v>7.3336100733361009</v>
          </cell>
          <cell r="J88">
            <v>7.333610073336101E-3</v>
          </cell>
          <cell r="K88">
            <v>11.385</v>
          </cell>
          <cell r="L88">
            <v>1.1384999999999999E-2</v>
          </cell>
          <cell r="M88">
            <v>500.96243392140588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799.85380609836068</v>
          </cell>
          <cell r="H89">
            <v>0.79985380609836065</v>
          </cell>
          <cell r="I89">
            <v>3.8615664845173043</v>
          </cell>
          <cell r="J89">
            <v>3.8615664845173042E-3</v>
          </cell>
          <cell r="K89">
            <v>23.979855737704916</v>
          </cell>
          <cell r="L89">
            <v>2.3979855737704916E-2</v>
          </cell>
          <cell r="M89">
            <v>827.69522832058294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133.28528932261744</v>
          </cell>
          <cell r="H90">
            <v>133.28528932261744</v>
          </cell>
          <cell r="I90">
            <v>2.2948924097222223</v>
          </cell>
          <cell r="J90">
            <v>2.2948924097222223</v>
          </cell>
          <cell r="K90">
            <v>29.240178</v>
          </cell>
          <cell r="L90">
            <v>29.240178</v>
          </cell>
          <cell r="M90">
            <v>164.82035973233968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997.93642030942351</v>
          </cell>
          <cell r="H91">
            <v>997.93642030942351</v>
          </cell>
          <cell r="I91">
            <v>29.515999999999998</v>
          </cell>
          <cell r="J91">
            <v>29.515999999999998</v>
          </cell>
          <cell r="K91">
            <v>131.97800000000001</v>
          </cell>
          <cell r="L91">
            <v>131.97800000000001</v>
          </cell>
          <cell r="M91">
            <v>1159.4304203094237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366.3</v>
          </cell>
          <cell r="L92">
            <v>0.36630000000000001</v>
          </cell>
          <cell r="M92">
            <v>1134.2629629629632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1869.9122498730899</v>
          </cell>
          <cell r="H93">
            <v>1.8699122498730898</v>
          </cell>
          <cell r="I93">
            <v>7.4358974358974348E-3</v>
          </cell>
          <cell r="J93">
            <v>7.4358974358974352E-6</v>
          </cell>
          <cell r="K93">
            <v>98.35026666666667</v>
          </cell>
          <cell r="L93">
            <v>9.8350266666666672E-2</v>
          </cell>
          <cell r="M93">
            <v>1968.2699524371924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10764.670000000002</v>
          </cell>
          <cell r="H94">
            <v>10.764670000000002</v>
          </cell>
          <cell r="I94">
            <v>7.5930144267274118</v>
          </cell>
          <cell r="J94">
            <v>7.5930144267274116E-3</v>
          </cell>
          <cell r="K94">
            <v>124.85</v>
          </cell>
          <cell r="L94">
            <v>0.12484999999999999</v>
          </cell>
          <cell r="M94">
            <v>10897.11301442673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505.29819929078013</v>
          </cell>
          <cell r="H95">
            <v>0.50529819929078013</v>
          </cell>
          <cell r="I95">
            <v>5.0936170212765948</v>
          </cell>
          <cell r="J95">
            <v>5.093617021276595E-3</v>
          </cell>
          <cell r="K95">
            <v>35.106382978723403</v>
          </cell>
          <cell r="L95">
            <v>3.5106382978723399E-2</v>
          </cell>
          <cell r="M95">
            <v>545.49819929078012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505.29819929078013</v>
          </cell>
          <cell r="H96">
            <v>0.50529819929078013</v>
          </cell>
          <cell r="I96">
            <v>12.225883687943261</v>
          </cell>
          <cell r="J96">
            <v>1.2225883687943261E-2</v>
          </cell>
          <cell r="K96">
            <v>46.106382978723403</v>
          </cell>
          <cell r="L96">
            <v>4.6106382978723402E-2</v>
          </cell>
          <cell r="M96">
            <v>563.63046595744686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1556.7631699049768</v>
          </cell>
          <cell r="H97">
            <v>1.5567631699049769</v>
          </cell>
          <cell r="I97">
            <v>3.9003047350126168</v>
          </cell>
          <cell r="J97">
            <v>3.9003047350126166E-3</v>
          </cell>
          <cell r="K97">
            <v>69.715239678318142</v>
          </cell>
          <cell r="L97">
            <v>6.9715239678318136E-2</v>
          </cell>
          <cell r="M97">
            <v>1630.3787143183076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1169.6985699053848</v>
          </cell>
          <cell r="H98">
            <v>1.1696985699053848</v>
          </cell>
          <cell r="I98">
            <v>1.4123622047244095</v>
          </cell>
          <cell r="J98">
            <v>1.4123622047244096E-3</v>
          </cell>
          <cell r="K98">
            <v>34.594999999999999</v>
          </cell>
          <cell r="L98">
            <v>3.4595000000000001E-2</v>
          </cell>
          <cell r="M98">
            <v>1205.7059321101092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1169.6985699053848</v>
          </cell>
          <cell r="H99">
            <v>1.1696985699053848</v>
          </cell>
          <cell r="I99">
            <v>9.6550288713910746</v>
          </cell>
          <cell r="J99">
            <v>9.6550288713910751E-3</v>
          </cell>
          <cell r="K99">
            <v>58.96</v>
          </cell>
          <cell r="L99">
            <v>5.8959999999999999E-2</v>
          </cell>
          <cell r="M99">
            <v>1238.313598776776</v>
          </cell>
        </row>
        <row r="100">
          <cell r="A100" t="str">
            <v>905000013</v>
          </cell>
          <cell r="B100" t="str">
            <v>RELLENO CARNE P/LASAGNA KILO</v>
          </cell>
          <cell r="C100" t="str">
            <v>ESP-RE-COCS-075</v>
          </cell>
          <cell r="D100" t="str">
            <v>06</v>
          </cell>
          <cell r="E100" t="str">
            <v>Kilo</v>
          </cell>
          <cell r="F100" t="str">
            <v>Gramo</v>
          </cell>
          <cell r="G100">
            <v>2638.6243111862368</v>
          </cell>
          <cell r="H100">
            <v>2.6386243111862369</v>
          </cell>
          <cell r="I100">
            <v>7.5010574712643691E-2</v>
          </cell>
          <cell r="J100">
            <v>7.5010574712643688E-5</v>
          </cell>
          <cell r="K100">
            <v>83.186551724137928</v>
          </cell>
          <cell r="L100">
            <v>8.3186551724137928E-2</v>
          </cell>
          <cell r="M100">
            <v>2721.8858734850874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991.79493376645109</v>
          </cell>
          <cell r="H101">
            <v>0.99179493376645111</v>
          </cell>
          <cell r="I101">
            <v>1.3977962834224602</v>
          </cell>
          <cell r="J101">
            <v>1.3977962834224602E-3</v>
          </cell>
          <cell r="K101">
            <v>59.597941176470584</v>
          </cell>
          <cell r="L101">
            <v>5.9597941176470583E-2</v>
          </cell>
          <cell r="M101">
            <v>1052.7906712263441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1383.2193921270011</v>
          </cell>
          <cell r="H102">
            <v>1.3832193921270011</v>
          </cell>
          <cell r="I102">
            <v>1.3089590682873697</v>
          </cell>
          <cell r="J102">
            <v>1.3089590682873698E-3</v>
          </cell>
          <cell r="K102">
            <v>73.800280816679418</v>
          </cell>
          <cell r="L102">
            <v>7.3800280816679414E-2</v>
          </cell>
          <cell r="M102">
            <v>1458.3286320119678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3360.121828270233</v>
          </cell>
          <cell r="H103">
            <v>3.3601218282702332</v>
          </cell>
          <cell r="I103">
            <v>28.214454420500349</v>
          </cell>
          <cell r="J103">
            <v>2.821445442050035E-2</v>
          </cell>
          <cell r="K103">
            <v>229.09293478260872</v>
          </cell>
          <cell r="L103">
            <v>0.22909293478260873</v>
          </cell>
          <cell r="M103">
            <v>3617.4292174733419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4330.9797272727274</v>
          </cell>
          <cell r="H104">
            <v>4.3309797272727275</v>
          </cell>
          <cell r="I104">
            <v>58.237012987012989</v>
          </cell>
          <cell r="J104">
            <v>5.823701298701299E-2</v>
          </cell>
          <cell r="K104">
            <v>357.11500000000001</v>
          </cell>
          <cell r="L104">
            <v>0.35711500000000002</v>
          </cell>
          <cell r="M104">
            <v>4746.3317402597404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618.74202225307158</v>
          </cell>
          <cell r="H105">
            <v>0.61874202225307162</v>
          </cell>
          <cell r="I105">
            <v>22.815251849242692</v>
          </cell>
          <cell r="J105">
            <v>2.2815251849242692E-2</v>
          </cell>
          <cell r="K105">
            <v>38.72</v>
          </cell>
          <cell r="L105">
            <v>3.8719999999999997E-2</v>
          </cell>
          <cell r="M105">
            <v>680.27727410231432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710.91862378064855</v>
          </cell>
          <cell r="H106">
            <v>0.71091862378064852</v>
          </cell>
          <cell r="I106">
            <v>3.6866156955795759</v>
          </cell>
          <cell r="J106">
            <v>3.686615695579576E-3</v>
          </cell>
          <cell r="K106">
            <v>10.835000000000001</v>
          </cell>
          <cell r="L106">
            <v>1.0835000000000001E-2</v>
          </cell>
          <cell r="M106">
            <v>725.44023947622816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583.94594901960784</v>
          </cell>
          <cell r="H107">
            <v>0.58394594901960784</v>
          </cell>
          <cell r="I107">
            <v>2.9504575163398687</v>
          </cell>
          <cell r="J107">
            <v>2.9504575163398689E-3</v>
          </cell>
          <cell r="K107">
            <v>81.758265686274513</v>
          </cell>
          <cell r="L107">
            <v>8.1758265686274506E-2</v>
          </cell>
          <cell r="M107">
            <v>668.65467222222219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71.124132579185527</v>
          </cell>
          <cell r="H108">
            <v>71.124132579185527</v>
          </cell>
          <cell r="I108">
            <v>1.5712066365007542</v>
          </cell>
          <cell r="J108">
            <v>1.5712066365007542</v>
          </cell>
          <cell r="K108">
            <v>14.713646040723983</v>
          </cell>
          <cell r="L108">
            <v>14.713646040723983</v>
          </cell>
          <cell r="M108">
            <v>87.408985256410261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747.26340222634508</v>
          </cell>
          <cell r="H109">
            <v>0.74726340222634513</v>
          </cell>
          <cell r="I109">
            <v>4.1496598639455788</v>
          </cell>
          <cell r="J109">
            <v>4.1496598639455791E-3</v>
          </cell>
          <cell r="K109">
            <v>15.290000000000001</v>
          </cell>
          <cell r="L109">
            <v>1.5290000000000002E-2</v>
          </cell>
          <cell r="M109">
            <v>766.70306209029059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4368.904010416667</v>
          </cell>
          <cell r="H110">
            <v>4.3689040104166672</v>
          </cell>
          <cell r="I110">
            <v>0.7</v>
          </cell>
          <cell r="J110">
            <v>6.9999999999999999E-4</v>
          </cell>
          <cell r="K110">
            <v>154.715</v>
          </cell>
          <cell r="L110">
            <v>0.15471499999999999</v>
          </cell>
          <cell r="M110">
            <v>4524.319010416667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3233.0800458468307</v>
          </cell>
          <cell r="H111">
            <v>3.2330800458468305</v>
          </cell>
          <cell r="I111">
            <v>5.1915823358250943</v>
          </cell>
          <cell r="J111">
            <v>5.1915823358250944E-3</v>
          </cell>
          <cell r="K111">
            <v>162.46127320954906</v>
          </cell>
          <cell r="L111">
            <v>0.16246127320954906</v>
          </cell>
          <cell r="M111">
            <v>3400.7329013922044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692.11522360201695</v>
          </cell>
          <cell r="H112">
            <v>0.69211522360201694</v>
          </cell>
          <cell r="I112">
            <v>3.3666992799979933</v>
          </cell>
          <cell r="J112">
            <v>3.3666992799979934E-3</v>
          </cell>
          <cell r="K112">
            <v>86.65507262738015</v>
          </cell>
          <cell r="L112">
            <v>8.6655072627380147E-2</v>
          </cell>
          <cell r="M112">
            <v>782.13699550939509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2629.3587883951832</v>
          </cell>
          <cell r="H113">
            <v>2.6293587883951832</v>
          </cell>
          <cell r="I113">
            <v>25.241002650542903</v>
          </cell>
          <cell r="J113">
            <v>2.5241002650542903E-2</v>
          </cell>
          <cell r="K113">
            <v>136.34058823529412</v>
          </cell>
          <cell r="L113">
            <v>0.13634058823529413</v>
          </cell>
          <cell r="M113">
            <v>2790.9403792810203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2811.2868849503434</v>
          </cell>
          <cell r="H114">
            <v>2.8112868849503432</v>
          </cell>
          <cell r="I114">
            <v>23.294805194805193</v>
          </cell>
          <cell r="J114">
            <v>2.3294805194805191E-2</v>
          </cell>
          <cell r="K114">
            <v>190.3</v>
          </cell>
          <cell r="L114">
            <v>0.19030000000000002</v>
          </cell>
          <cell r="M114">
            <v>3024.8816901451487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1918.7809943454713</v>
          </cell>
          <cell r="H115">
            <v>1.9187809943454712</v>
          </cell>
          <cell r="I115">
            <v>0</v>
          </cell>
          <cell r="J115">
            <v>0</v>
          </cell>
          <cell r="K115">
            <v>25.849999999999998</v>
          </cell>
          <cell r="L115">
            <v>2.5849999999999998E-2</v>
          </cell>
          <cell r="M115">
            <v>1944.6309943454712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8304.1082756855267</v>
          </cell>
          <cell r="H116">
            <v>8304.1082756855267</v>
          </cell>
          <cell r="I116">
            <v>32</v>
          </cell>
          <cell r="J116">
            <v>32</v>
          </cell>
          <cell r="K116">
            <v>166.15499999999997</v>
          </cell>
          <cell r="L116">
            <v>166.15499999999997</v>
          </cell>
          <cell r="M116">
            <v>8502.2632756855273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2455.6595120842953</v>
          </cell>
          <cell r="H117">
            <v>2.4556595120842952</v>
          </cell>
          <cell r="I117">
            <v>0.29365853658536584</v>
          </cell>
          <cell r="J117">
            <v>2.9365853658536585E-4</v>
          </cell>
          <cell r="K117">
            <v>98.399829268292677</v>
          </cell>
          <cell r="L117">
            <v>9.8399829268292674E-2</v>
          </cell>
          <cell r="M117">
            <v>2554.3529998891736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2455.6595120842953</v>
          </cell>
          <cell r="H118">
            <v>2.4556595120842952</v>
          </cell>
          <cell r="I118">
            <v>4.7984825365853663</v>
          </cell>
          <cell r="J118">
            <v>4.7984825365853662E-3</v>
          </cell>
          <cell r="K118">
            <v>116.54982926829268</v>
          </cell>
          <cell r="L118">
            <v>0.11654982926829269</v>
          </cell>
          <cell r="M118">
            <v>2577.0078238891733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164.10452793446495</v>
          </cell>
          <cell r="H119">
            <v>164.10452793446495</v>
          </cell>
          <cell r="I119">
            <v>1.6755803217405663</v>
          </cell>
          <cell r="J119">
            <v>1.6755803217405663</v>
          </cell>
          <cell r="K119">
            <v>33.20515968540343</v>
          </cell>
          <cell r="L119">
            <v>33.20515968540343</v>
          </cell>
          <cell r="M119">
            <v>198.98526794160895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52.458613417906456</v>
          </cell>
          <cell r="H120">
            <v>52.458613417906456</v>
          </cell>
          <cell r="I120">
            <v>0.22570392444444451</v>
          </cell>
          <cell r="J120">
            <v>0.22570392444444451</v>
          </cell>
          <cell r="K120">
            <v>15.149182619999999</v>
          </cell>
          <cell r="L120">
            <v>15.149182619999999</v>
          </cell>
          <cell r="M120">
            <v>67.833499962350899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>
            <v>1695.5782863636364</v>
          </cell>
          <cell r="H121">
            <v>1.6955782863636364</v>
          </cell>
          <cell r="I121">
            <v>0</v>
          </cell>
          <cell r="J121">
            <v>0</v>
          </cell>
          <cell r="K121">
            <v>37.949999999999996</v>
          </cell>
          <cell r="L121">
            <v>3.7949999999999998E-2</v>
          </cell>
          <cell r="M121">
            <v>1733.5282863636364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16.962875366448404</v>
          </cell>
          <cell r="H122">
            <v>16.962875366448404</v>
          </cell>
          <cell r="I122">
            <v>8.0800782719951836E-2</v>
          </cell>
          <cell r="J122">
            <v>8.0800782719951836E-2</v>
          </cell>
          <cell r="K122">
            <v>11.209721743057123</v>
          </cell>
          <cell r="L122">
            <v>11.209721743057123</v>
          </cell>
          <cell r="M122">
            <v>28.253397892225479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469.48</v>
          </cell>
          <cell r="H123">
            <v>0.46948000000000001</v>
          </cell>
          <cell r="I123">
            <v>7.0922666666666681</v>
          </cell>
          <cell r="J123">
            <v>7.0922666666666679E-3</v>
          </cell>
          <cell r="K123">
            <v>11</v>
          </cell>
          <cell r="L123">
            <v>1.0999999999999999E-2</v>
          </cell>
          <cell r="M123">
            <v>487.57226666666668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4065.0817691176471</v>
          </cell>
          <cell r="H124">
            <v>4.0650817691176471</v>
          </cell>
          <cell r="I124">
            <v>7.3955961640091115</v>
          </cell>
          <cell r="J124">
            <v>7.3955961640091118E-3</v>
          </cell>
          <cell r="K124">
            <v>111.0175</v>
          </cell>
          <cell r="L124">
            <v>0.11101750000000001</v>
          </cell>
          <cell r="M124">
            <v>4183.4948652816565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91.16702405620363</v>
          </cell>
          <cell r="H125">
            <v>91.16702405620363</v>
          </cell>
          <cell r="I125">
            <v>0.22365545779711585</v>
          </cell>
          <cell r="J125">
            <v>0.22365545779711585</v>
          </cell>
          <cell r="K125">
            <v>22.364618243057123</v>
          </cell>
          <cell r="L125">
            <v>22.364618243057123</v>
          </cell>
          <cell r="M125">
            <v>113.75529775705787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1769.9566478571433</v>
          </cell>
          <cell r="H126">
            <v>1.7699566478571434</v>
          </cell>
          <cell r="I126">
            <v>0</v>
          </cell>
          <cell r="J126">
            <v>0</v>
          </cell>
          <cell r="K126">
            <v>39.269999999999996</v>
          </cell>
          <cell r="L126">
            <v>3.9269999999999999E-2</v>
          </cell>
          <cell r="M126">
            <v>1809.2266478571432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3182.836046511628</v>
          </cell>
          <cell r="H127">
            <v>3.1828360465116279</v>
          </cell>
          <cell r="I127">
            <v>1.2494186046511631</v>
          </cell>
          <cell r="J127">
            <v>1.2494186046511631E-3</v>
          </cell>
          <cell r="K127">
            <v>89.100000000000009</v>
          </cell>
          <cell r="L127">
            <v>8.9100000000000013E-2</v>
          </cell>
          <cell r="M127">
            <v>3273.1854651162789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51.287347621219027</v>
          </cell>
          <cell r="H128">
            <v>51.287347621219027</v>
          </cell>
          <cell r="I128">
            <v>9.2549526270456518E-3</v>
          </cell>
          <cell r="J128">
            <v>9.2549526270456518E-3</v>
          </cell>
          <cell r="K128">
            <v>5.72</v>
          </cell>
          <cell r="L128">
            <v>5.72</v>
          </cell>
          <cell r="M128">
            <v>57.016602573846072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1838.1908910423144</v>
          </cell>
          <cell r="H129">
            <v>1.8381908910423144</v>
          </cell>
          <cell r="I129">
            <v>0</v>
          </cell>
          <cell r="J129">
            <v>0</v>
          </cell>
          <cell r="K129">
            <v>82.83</v>
          </cell>
          <cell r="L129">
            <v>8.2830000000000001E-2</v>
          </cell>
          <cell r="M129">
            <v>1921.0208910423144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1737.7668448772984</v>
          </cell>
          <cell r="H130">
            <v>1.7377668448772983</v>
          </cell>
          <cell r="I130">
            <v>14.064905286277517</v>
          </cell>
          <cell r="J130">
            <v>1.4064905286277516E-2</v>
          </cell>
          <cell r="K130">
            <v>89.76623711340207</v>
          </cell>
          <cell r="L130">
            <v>8.9766237113402064E-2</v>
          </cell>
          <cell r="M130">
            <v>1841.5979872769778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73.682873041404633</v>
          </cell>
          <cell r="H131">
            <v>73.682873041404633</v>
          </cell>
          <cell r="I131">
            <v>1.0311755408568577</v>
          </cell>
          <cell r="J131">
            <v>1.0311755408568577</v>
          </cell>
          <cell r="K131">
            <v>36.869875499596922</v>
          </cell>
          <cell r="L131">
            <v>36.869875499596922</v>
          </cell>
          <cell r="M131">
            <v>111.58392408185841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363.5845083234899</v>
          </cell>
          <cell r="H132">
            <v>363.5845083234899</v>
          </cell>
          <cell r="I132">
            <v>207.45416342460317</v>
          </cell>
          <cell r="J132">
            <v>207.45416342460317</v>
          </cell>
          <cell r="K132">
            <v>37.739365714285711</v>
          </cell>
          <cell r="L132">
            <v>37.739365714285711</v>
          </cell>
          <cell r="M132">
            <v>608.77803746237873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14.950758725490196</v>
          </cell>
          <cell r="H133">
            <v>14.950758725490196</v>
          </cell>
          <cell r="I133">
            <v>7.3761437908496721E-2</v>
          </cell>
          <cell r="J133">
            <v>7.3761437908496721E-2</v>
          </cell>
          <cell r="K133">
            <v>11.173956642156863</v>
          </cell>
          <cell r="L133">
            <v>11.173956642156863</v>
          </cell>
          <cell r="M133">
            <v>26.198476805555558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53.648304740087958</v>
          </cell>
          <cell r="H134">
            <v>53.648304740087958</v>
          </cell>
          <cell r="I134">
            <v>1.2335921870683881</v>
          </cell>
          <cell r="J134">
            <v>1.2335921870683881</v>
          </cell>
          <cell r="K134">
            <v>26.679537414514584</v>
          </cell>
          <cell r="L134">
            <v>26.679537414514584</v>
          </cell>
          <cell r="M134">
            <v>81.561434341670932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1006.498368851122</v>
          </cell>
          <cell r="H135">
            <v>1.006498368851122</v>
          </cell>
          <cell r="I135">
            <v>0</v>
          </cell>
          <cell r="J135">
            <v>0</v>
          </cell>
          <cell r="K135">
            <v>47.685000000000002</v>
          </cell>
          <cell r="L135">
            <v>4.7685000000000005E-2</v>
          </cell>
          <cell r="M135">
            <v>1054.1833688511219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23.749000961784311</v>
          </cell>
          <cell r="H136">
            <v>23.749000961784311</v>
          </cell>
          <cell r="I136">
            <v>0.11801830065359475</v>
          </cell>
          <cell r="J136">
            <v>0.11801830065359475</v>
          </cell>
          <cell r="K136">
            <v>12.40033062745098</v>
          </cell>
          <cell r="L136">
            <v>12.40033062745098</v>
          </cell>
          <cell r="M136">
            <v>36.267349889888891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6275.7555059523802</v>
          </cell>
          <cell r="H137">
            <v>6.2757555059523806</v>
          </cell>
          <cell r="I137">
            <v>11.444642857142856</v>
          </cell>
          <cell r="J137">
            <v>1.1444642857142856E-2</v>
          </cell>
          <cell r="K137">
            <v>183.33333333333331</v>
          </cell>
          <cell r="L137">
            <v>0.18333333333333332</v>
          </cell>
          <cell r="M137">
            <v>6470.533482142856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2229.4880460901027</v>
          </cell>
          <cell r="H138">
            <v>2.2294880460901028</v>
          </cell>
          <cell r="I138">
            <v>1.907440476190476</v>
          </cell>
          <cell r="J138">
            <v>1.907440476190476E-3</v>
          </cell>
          <cell r="K138">
            <v>168.05555555555554</v>
          </cell>
          <cell r="L138">
            <v>0.16805555555555554</v>
          </cell>
          <cell r="M138">
            <v>2399.4510421218488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2229.4880460901027</v>
          </cell>
          <cell r="H139">
            <v>2.2294880460901028</v>
          </cell>
          <cell r="I139">
            <v>7.884662698412698</v>
          </cell>
          <cell r="J139">
            <v>7.8846626984126981E-3</v>
          </cell>
          <cell r="K139">
            <v>209.30555555555554</v>
          </cell>
          <cell r="L139">
            <v>0.20930555555555555</v>
          </cell>
          <cell r="M139">
            <v>2446.6782643440711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113.58108773775082</v>
          </cell>
          <cell r="H140">
            <v>113.58108773775082</v>
          </cell>
          <cell r="I140">
            <v>0.94763447734010264</v>
          </cell>
          <cell r="J140">
            <v>0.94763447734010264</v>
          </cell>
          <cell r="K140">
            <v>23.531811183006536</v>
          </cell>
          <cell r="L140">
            <v>23.531811183006536</v>
          </cell>
          <cell r="M140">
            <v>138.06053339809745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1661.4766666666667</v>
          </cell>
          <cell r="H141">
            <v>1.6614766666666667</v>
          </cell>
          <cell r="I141">
            <v>2.1280000000000001</v>
          </cell>
          <cell r="J141">
            <v>2.1280000000000001E-3</v>
          </cell>
          <cell r="K141">
            <v>110</v>
          </cell>
          <cell r="L141">
            <v>0.11</v>
          </cell>
          <cell r="M141">
            <v>1773.6046666666666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1474.5056401646091</v>
          </cell>
          <cell r="H142">
            <v>1.4745056401646091</v>
          </cell>
          <cell r="I142">
            <v>6.4150617283950631</v>
          </cell>
          <cell r="J142">
            <v>6.4150617283950627E-3</v>
          </cell>
          <cell r="K142">
            <v>162.67098765432098</v>
          </cell>
          <cell r="L142">
            <v>0.16267098765432098</v>
          </cell>
          <cell r="M142">
            <v>1643.5916895473251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181.63570313050323</v>
          </cell>
          <cell r="H143">
            <v>181.63570313050323</v>
          </cell>
          <cell r="I143">
            <v>1.2613999226146044</v>
          </cell>
          <cell r="J143">
            <v>1.2613999226146044</v>
          </cell>
          <cell r="K143">
            <v>58.287046381544371</v>
          </cell>
          <cell r="L143">
            <v>58.287046381544371</v>
          </cell>
          <cell r="M143">
            <v>241.1841494346622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1024.8410909090908</v>
          </cell>
          <cell r="H144">
            <v>1.0248410909090908</v>
          </cell>
          <cell r="I144">
            <v>13.450734893848667</v>
          </cell>
          <cell r="J144">
            <v>1.3450734893848668E-2</v>
          </cell>
          <cell r="K144">
            <v>37.400000000000006</v>
          </cell>
          <cell r="L144">
            <v>3.7400000000000003E-2</v>
          </cell>
          <cell r="M144">
            <v>1075.6918258029395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1548.6269858315186</v>
          </cell>
          <cell r="H145">
            <v>1548.6269858315186</v>
          </cell>
          <cell r="I145">
            <v>11.763518100532702</v>
          </cell>
          <cell r="J145">
            <v>11.763518100532702</v>
          </cell>
          <cell r="K145">
            <v>170.25642857142859</v>
          </cell>
          <cell r="L145">
            <v>170.25642857142859</v>
          </cell>
          <cell r="M145">
            <v>1730.64693250348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296.82930402930407</v>
          </cell>
          <cell r="H146">
            <v>0.29682930402930408</v>
          </cell>
          <cell r="I146">
            <v>0</v>
          </cell>
          <cell r="J146">
            <v>0</v>
          </cell>
          <cell r="K146">
            <v>11</v>
          </cell>
          <cell r="L146">
            <v>1.0999999999999999E-2</v>
          </cell>
          <cell r="M146">
            <v>307.82930402930407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1389.6111050268316</v>
          </cell>
          <cell r="H147">
            <v>1.3896111050268316</v>
          </cell>
          <cell r="I147">
            <v>0</v>
          </cell>
          <cell r="J147">
            <v>0</v>
          </cell>
          <cell r="K147">
            <v>47.795000000000002</v>
          </cell>
          <cell r="L147">
            <v>4.7795000000000004E-2</v>
          </cell>
          <cell r="M147">
            <v>1437.4061050268317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780.0741444561005</v>
          </cell>
          <cell r="H148">
            <v>0.78007414445610046</v>
          </cell>
          <cell r="I148">
            <v>4.9790954009882178</v>
          </cell>
          <cell r="J148">
            <v>4.9790954009882177E-3</v>
          </cell>
          <cell r="K148">
            <v>49.72</v>
          </cell>
          <cell r="L148">
            <v>4.972E-2</v>
          </cell>
          <cell r="M148">
            <v>834.7732398570887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1078.4760095074762</v>
          </cell>
          <cell r="H149">
            <v>1.0784760095074761</v>
          </cell>
          <cell r="I149">
            <v>10.001845357567888</v>
          </cell>
          <cell r="J149">
            <v>1.0001845357567887E-2</v>
          </cell>
          <cell r="K149">
            <v>131.7148068808828</v>
          </cell>
          <cell r="L149">
            <v>0.1317148068808828</v>
          </cell>
          <cell r="M149">
            <v>1220.1926617459269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2070.9112810846214</v>
          </cell>
          <cell r="H150">
            <v>2.0709112810846215</v>
          </cell>
          <cell r="I150">
            <v>4.7281777777777778</v>
          </cell>
          <cell r="J150">
            <v>4.728177777777778E-3</v>
          </cell>
          <cell r="K150">
            <v>73.314999999999998</v>
          </cell>
          <cell r="L150">
            <v>7.3314999999999991E-2</v>
          </cell>
          <cell r="M150">
            <v>2148.9544588623994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222.28842343031866</v>
          </cell>
          <cell r="H151">
            <v>222.28842343031866</v>
          </cell>
          <cell r="I151">
            <v>0.99485809228740663</v>
          </cell>
          <cell r="J151">
            <v>0.99485809228740663</v>
          </cell>
          <cell r="K151">
            <v>54.818163412852968</v>
          </cell>
          <cell r="L151">
            <v>54.818163412852968</v>
          </cell>
          <cell r="M151">
            <v>278.10144493545903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441.53493072534638</v>
          </cell>
          <cell r="H152">
            <v>0.44153493072534639</v>
          </cell>
          <cell r="I152">
            <v>16.136919315403421</v>
          </cell>
          <cell r="J152">
            <v>1.6136919315403422E-2</v>
          </cell>
          <cell r="K152">
            <v>44.769999999999996</v>
          </cell>
          <cell r="L152">
            <v>4.4769999999999997E-2</v>
          </cell>
          <cell r="M152">
            <v>502.44185004074978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1338.1543209998531</v>
          </cell>
          <cell r="H153">
            <v>1.3381543209998532</v>
          </cell>
          <cell r="I153">
            <v>6.6</v>
          </cell>
          <cell r="J153">
            <v>6.6E-3</v>
          </cell>
          <cell r="K153">
            <v>109.94092999999999</v>
          </cell>
          <cell r="L153">
            <v>0.10994092999999999</v>
          </cell>
          <cell r="M153">
            <v>1454.695250999853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1347.2003881139472</v>
          </cell>
          <cell r="H154">
            <v>1347.2003881139472</v>
          </cell>
          <cell r="I154">
            <v>88.760536150000007</v>
          </cell>
          <cell r="J154">
            <v>88.760536150000007</v>
          </cell>
          <cell r="K154">
            <v>165.60753</v>
          </cell>
          <cell r="L154">
            <v>165.60753</v>
          </cell>
          <cell r="M154">
            <v>1601.5684542639472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>
            <v>1865.7082496252726</v>
          </cell>
          <cell r="H155">
            <v>1.8657082496252726</v>
          </cell>
          <cell r="I155">
            <v>5.2094017094017095</v>
          </cell>
          <cell r="J155">
            <v>5.2094017094017099E-3</v>
          </cell>
          <cell r="K155">
            <v>112.80500000000001</v>
          </cell>
          <cell r="L155">
            <v>0.112805</v>
          </cell>
          <cell r="M155">
            <v>1983.7226513346743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>
            <v>7705.0577487683431</v>
          </cell>
          <cell r="H156">
            <v>7.7050577487683434</v>
          </cell>
          <cell r="I156">
            <v>20.574603174603173</v>
          </cell>
          <cell r="J156">
            <v>2.0574603174603173E-2</v>
          </cell>
          <cell r="K156">
            <v>139.14999999999998</v>
          </cell>
          <cell r="L156">
            <v>0.13914999999999997</v>
          </cell>
          <cell r="M156">
            <v>7864.7823519429458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1012.8699538106234</v>
          </cell>
          <cell r="H157">
            <v>1.0128699538106234</v>
          </cell>
          <cell r="I157">
            <v>11.743299041220521</v>
          </cell>
          <cell r="J157">
            <v>1.174329904122052E-2</v>
          </cell>
          <cell r="K157">
            <v>28.82</v>
          </cell>
          <cell r="L157">
            <v>2.8820000000000002E-2</v>
          </cell>
          <cell r="M157">
            <v>1053.4332528518439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1145.3216253373016</v>
          </cell>
          <cell r="H158">
            <v>1.1453216253373015</v>
          </cell>
          <cell r="I158">
            <v>13.507666666666667</v>
          </cell>
          <cell r="J158">
            <v>1.3507666666666668E-2</v>
          </cell>
          <cell r="K158">
            <v>51.533707500000006</v>
          </cell>
          <cell r="L158">
            <v>5.1533707500000005E-2</v>
          </cell>
          <cell r="M158">
            <v>1210.3629995039682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2343.5903094981327</v>
          </cell>
          <cell r="H159">
            <v>2343.5903094981327</v>
          </cell>
          <cell r="I159">
            <v>55.905333333333331</v>
          </cell>
          <cell r="J159">
            <v>55.905333333333331</v>
          </cell>
          <cell r="K159">
            <v>171.81741500000001</v>
          </cell>
          <cell r="L159">
            <v>171.81741500000001</v>
          </cell>
          <cell r="M159">
            <v>2571.3130578314658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1563.2256090867143</v>
          </cell>
          <cell r="H160">
            <v>1.5632256090867143</v>
          </cell>
          <cell r="I160">
            <v>9.4815952687500005</v>
          </cell>
          <cell r="J160">
            <v>9.4815952687500003E-3</v>
          </cell>
          <cell r="K160">
            <v>103.6880625</v>
          </cell>
          <cell r="L160">
            <v>0.1036880625</v>
          </cell>
          <cell r="M160">
            <v>1676.3952668554643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1859.5792439152224</v>
          </cell>
          <cell r="H161">
            <v>1.8595792439152223</v>
          </cell>
          <cell r="I161">
            <v>35.143025078369902</v>
          </cell>
          <cell r="J161">
            <v>3.5143025078369902E-2</v>
          </cell>
          <cell r="K161">
            <v>129.25</v>
          </cell>
          <cell r="L161">
            <v>0.12925</v>
          </cell>
          <cell r="M161">
            <v>2023.9722689935923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1487.3020231727003</v>
          </cell>
          <cell r="H162">
            <v>1.4873020231727003</v>
          </cell>
          <cell r="I162">
            <v>15.31125157792208</v>
          </cell>
          <cell r="J162">
            <v>1.531125157792208E-2</v>
          </cell>
          <cell r="K162">
            <v>168.82135714285712</v>
          </cell>
          <cell r="L162">
            <v>0.16882135714285712</v>
          </cell>
          <cell r="M162">
            <v>1671.4346318934795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991.79493376645109</v>
          </cell>
          <cell r="H163">
            <v>0.99179493376645111</v>
          </cell>
          <cell r="I163">
            <v>16.947129616755792</v>
          </cell>
          <cell r="J163">
            <v>1.6947129616755791E-2</v>
          </cell>
          <cell r="K163">
            <v>77.74794117647059</v>
          </cell>
          <cell r="L163">
            <v>7.7747941176470589E-2</v>
          </cell>
          <cell r="M163">
            <v>1086.4900045596773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376</v>
          </cell>
          <cell r="H164">
            <v>0.376</v>
          </cell>
          <cell r="I164">
            <v>5.3311999999999999</v>
          </cell>
          <cell r="J164">
            <v>5.3312000000000003E-3</v>
          </cell>
          <cell r="K164">
            <v>22</v>
          </cell>
          <cell r="L164">
            <v>2.1999999999999999E-2</v>
          </cell>
          <cell r="M164">
            <v>403.33120000000002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807.68956538123223</v>
          </cell>
          <cell r="H165">
            <v>0.80768956538123227</v>
          </cell>
          <cell r="I165">
            <v>7.9707667388910775</v>
          </cell>
          <cell r="J165">
            <v>7.9707667388910775E-3</v>
          </cell>
          <cell r="K165">
            <v>57.667537151702788</v>
          </cell>
          <cell r="L165">
            <v>5.7667537151702787E-2</v>
          </cell>
          <cell r="M165">
            <v>873.3278692718261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13.025980020030035</v>
          </cell>
          <cell r="H166">
            <v>13.025980020030035</v>
          </cell>
          <cell r="I166">
            <v>5.2844755438308182E-2</v>
          </cell>
          <cell r="J166">
            <v>5.2844755438308182E-2</v>
          </cell>
          <cell r="K166">
            <v>2.9129341326045184</v>
          </cell>
          <cell r="L166">
            <v>2.9129341326045184</v>
          </cell>
          <cell r="M166">
            <v>15.99175890807286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1262.2726158905543</v>
          </cell>
          <cell r="H167">
            <v>1.2622726158905544</v>
          </cell>
          <cell r="I167">
            <v>3.2840680851063828</v>
          </cell>
          <cell r="J167">
            <v>3.2840680851063827E-3</v>
          </cell>
          <cell r="K167">
            <v>99.175531914893611</v>
          </cell>
          <cell r="L167">
            <v>9.9175531914893617E-2</v>
          </cell>
          <cell r="M167">
            <v>1364.7322158905542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1744.7386404749591</v>
          </cell>
          <cell r="H168">
            <v>1.7447386404749592</v>
          </cell>
          <cell r="I168">
            <v>11.017739832837567</v>
          </cell>
          <cell r="J168">
            <v>1.1017739832837567E-2</v>
          </cell>
          <cell r="K168">
            <v>90.710452205882348</v>
          </cell>
          <cell r="L168">
            <v>9.071045220588235E-2</v>
          </cell>
          <cell r="M168">
            <v>1846.466832513679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1092.3879607633025</v>
          </cell>
          <cell r="H169">
            <v>1.0923879607633025</v>
          </cell>
          <cell r="I169">
            <v>3.5091147432722471</v>
          </cell>
          <cell r="J169">
            <v>3.5091147432722469E-3</v>
          </cell>
          <cell r="K169">
            <v>97.318361282105712</v>
          </cell>
          <cell r="L169">
            <v>9.7318361282105706E-2</v>
          </cell>
          <cell r="M169">
            <v>1193.2154367886806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3336.975626440711</v>
          </cell>
          <cell r="H170">
            <v>3.3369756264407111</v>
          </cell>
          <cell r="I170">
            <v>1.968177070201347</v>
          </cell>
          <cell r="J170">
            <v>1.9681770702013471E-3</v>
          </cell>
          <cell r="K170">
            <v>137.41786550444834</v>
          </cell>
          <cell r="L170">
            <v>0.13741786550444834</v>
          </cell>
          <cell r="M170">
            <v>3476.3616690153608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47.261656879999997</v>
          </cell>
          <cell r="H171">
            <v>47.261656879999997</v>
          </cell>
          <cell r="I171">
            <v>0.22366666666666671</v>
          </cell>
          <cell r="J171">
            <v>0.22366666666666671</v>
          </cell>
          <cell r="K171">
            <v>12.631929750000001</v>
          </cell>
          <cell r="L171">
            <v>12.631929750000001</v>
          </cell>
          <cell r="M171">
            <v>60.117253296666661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3336.975626440711</v>
          </cell>
          <cell r="H172">
            <v>3.3369756264407111</v>
          </cell>
          <cell r="I172">
            <v>6.47751040353468</v>
          </cell>
          <cell r="J172">
            <v>6.4775104035346802E-3</v>
          </cell>
          <cell r="K172">
            <v>155.56786550444835</v>
          </cell>
          <cell r="L172">
            <v>0.15556786550444834</v>
          </cell>
          <cell r="M172">
            <v>3499.0210023486943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270.46276044005589</v>
          </cell>
          <cell r="H173">
            <v>270.46276044005589</v>
          </cell>
          <cell r="I173">
            <v>2.0153715095630877</v>
          </cell>
          <cell r="J173">
            <v>2.0153715095630877</v>
          </cell>
          <cell r="K173">
            <v>54.808841007789141</v>
          </cell>
          <cell r="L173">
            <v>54.808841007789141</v>
          </cell>
          <cell r="M173">
            <v>327.28697295740812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787.55767338917065</v>
          </cell>
          <cell r="H174">
            <v>0.7875576733891706</v>
          </cell>
          <cell r="I174">
            <v>3.1111111111111116</v>
          </cell>
          <cell r="J174">
            <v>3.1111111111111118E-3</v>
          </cell>
          <cell r="K174">
            <v>72.600000000000009</v>
          </cell>
          <cell r="L174">
            <v>7.2600000000000012E-2</v>
          </cell>
          <cell r="M174">
            <v>863.26878450028175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2730.6750334510602</v>
          </cell>
          <cell r="H175">
            <v>2.7306750334510603</v>
          </cell>
          <cell r="I175">
            <v>1.8430267062314538</v>
          </cell>
          <cell r="J175">
            <v>1.8430267062314537E-3</v>
          </cell>
          <cell r="K175">
            <v>104.44500000000001</v>
          </cell>
          <cell r="L175">
            <v>0.10444500000000001</v>
          </cell>
          <cell r="M175">
            <v>2836.9630601572917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3723.1932773109243</v>
          </cell>
          <cell r="H176">
            <v>3.7231932773109242</v>
          </cell>
          <cell r="I176">
            <v>0</v>
          </cell>
          <cell r="J176">
            <v>0</v>
          </cell>
          <cell r="K176">
            <v>282.85950000000003</v>
          </cell>
          <cell r="L176">
            <v>0.28285950000000004</v>
          </cell>
          <cell r="M176">
            <v>4006.0527773109243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655.03396295171569</v>
          </cell>
          <cell r="H177">
            <v>0.65503396295171568</v>
          </cell>
          <cell r="I177">
            <v>4.2463812126733469</v>
          </cell>
          <cell r="J177">
            <v>4.2463812126733473E-3</v>
          </cell>
          <cell r="K177">
            <v>12.485000000000001</v>
          </cell>
          <cell r="L177">
            <v>1.2485000000000001E-2</v>
          </cell>
          <cell r="M177">
            <v>671.76534416438903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523.03203002680971</v>
          </cell>
          <cell r="H178">
            <v>0.52303203002680976</v>
          </cell>
          <cell r="I178">
            <v>3.2273100983020555</v>
          </cell>
          <cell r="J178">
            <v>3.2273100983020555E-3</v>
          </cell>
          <cell r="K178">
            <v>89.942824128686325</v>
          </cell>
          <cell r="L178">
            <v>8.994282412868633E-2</v>
          </cell>
          <cell r="M178">
            <v>616.20216425379806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628.83268550925482</v>
          </cell>
          <cell r="H179">
            <v>628.83268550925482</v>
          </cell>
          <cell r="I179">
            <v>32.934663179267204</v>
          </cell>
          <cell r="J179">
            <v>32.934663179267204</v>
          </cell>
          <cell r="K179">
            <v>162.75375150722255</v>
          </cell>
          <cell r="L179">
            <v>162.75375150722255</v>
          </cell>
          <cell r="M179">
            <v>824.52110019574457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54.681103087761286</v>
          </cell>
          <cell r="H180">
            <v>54.681103087761286</v>
          </cell>
          <cell r="I180">
            <v>2.8638837547188873</v>
          </cell>
          <cell r="J180">
            <v>2.8638837547188873</v>
          </cell>
          <cell r="K180">
            <v>23.66750013106283</v>
          </cell>
          <cell r="L180">
            <v>23.66750013106283</v>
          </cell>
          <cell r="M180">
            <v>81.212486973543008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1760.2958605654549</v>
          </cell>
          <cell r="H181">
            <v>1.7602958605654548</v>
          </cell>
          <cell r="I181">
            <v>9.1868647860812516</v>
          </cell>
          <cell r="J181">
            <v>9.1868647860812516E-3</v>
          </cell>
          <cell r="K181">
            <v>69.215538225391157</v>
          </cell>
          <cell r="L181">
            <v>6.9215538225391157E-2</v>
          </cell>
          <cell r="M181">
            <v>1838.6982635769273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525.07318173965621</v>
          </cell>
          <cell r="H182">
            <v>0.52507318173965623</v>
          </cell>
          <cell r="I182">
            <v>1.9745185185185185E-2</v>
          </cell>
          <cell r="J182">
            <v>1.9745185185185184E-5</v>
          </cell>
          <cell r="K182">
            <v>127.13148148148147</v>
          </cell>
          <cell r="L182">
            <v>0.12713148148148148</v>
          </cell>
          <cell r="M182">
            <v>652.22440840632294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3774.0509643108294</v>
          </cell>
          <cell r="H183">
            <v>3.7740509643108293</v>
          </cell>
          <cell r="I183">
            <v>37.03529535864979</v>
          </cell>
          <cell r="J183">
            <v>3.7035295358649793E-2</v>
          </cell>
          <cell r="K183">
            <v>145.2825</v>
          </cell>
          <cell r="L183">
            <v>0.14528250000000001</v>
          </cell>
          <cell r="M183">
            <v>3956.368759669479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1826.4494558570327</v>
          </cell>
          <cell r="H184">
            <v>1.8264494558570328</v>
          </cell>
          <cell r="I184">
            <v>11.371443326162005</v>
          </cell>
          <cell r="J184">
            <v>1.1371443326162006E-2</v>
          </cell>
          <cell r="K184">
            <v>164.81543478260869</v>
          </cell>
          <cell r="L184">
            <v>0.16481543478260868</v>
          </cell>
          <cell r="M184">
            <v>2002.6363339658035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17.811803470588234</v>
          </cell>
          <cell r="H185">
            <v>17.811803470588234</v>
          </cell>
          <cell r="I185">
            <v>8.8513725490196066E-2</v>
          </cell>
          <cell r="J185">
            <v>8.8513725490196066E-2</v>
          </cell>
          <cell r="K185">
            <v>8.1727479705882349</v>
          </cell>
          <cell r="L185">
            <v>8.1727479705882349</v>
          </cell>
          <cell r="M185">
            <v>26.073065166666666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18.93439435425714</v>
          </cell>
          <cell r="H186">
            <v>18.93439435425714</v>
          </cell>
          <cell r="I186">
            <v>9.8268526271446069E-2</v>
          </cell>
          <cell r="J186">
            <v>9.8268526271446069E-2</v>
          </cell>
          <cell r="K186">
            <v>11.073253178921568</v>
          </cell>
          <cell r="L186">
            <v>11.073253178921568</v>
          </cell>
          <cell r="M186">
            <v>30.105916059450156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2805.1004700000008</v>
          </cell>
          <cell r="H187">
            <v>2.8051004700000006</v>
          </cell>
          <cell r="I187">
            <v>0</v>
          </cell>
          <cell r="J187">
            <v>0</v>
          </cell>
          <cell r="K187">
            <v>275</v>
          </cell>
          <cell r="L187">
            <v>0.27500000000000002</v>
          </cell>
          <cell r="M187">
            <v>3080.1004700000008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2658.7896082278103</v>
          </cell>
          <cell r="H188">
            <v>2.6587896082278104</v>
          </cell>
          <cell r="I188">
            <v>0</v>
          </cell>
          <cell r="J188">
            <v>0</v>
          </cell>
          <cell r="K188">
            <v>36.630000000000003</v>
          </cell>
          <cell r="L188">
            <v>3.6630000000000003E-2</v>
          </cell>
          <cell r="M188">
            <v>2695.4196082278104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1198.2686841608311</v>
          </cell>
          <cell r="H189">
            <v>1198.2686841608311</v>
          </cell>
          <cell r="I189">
            <v>54.607666666666667</v>
          </cell>
          <cell r="J189">
            <v>54.607666666666667</v>
          </cell>
          <cell r="K189">
            <v>120.28370750000001</v>
          </cell>
          <cell r="L189">
            <v>120.28370750000001</v>
          </cell>
          <cell r="M189">
            <v>1373.1600583274978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4003.3691541608318</v>
          </cell>
          <cell r="H190">
            <v>4003.3691541608318</v>
          </cell>
          <cell r="I190">
            <v>54.607666666666667</v>
          </cell>
          <cell r="J190">
            <v>54.607666666666667</v>
          </cell>
          <cell r="K190">
            <v>670.28370749999999</v>
          </cell>
          <cell r="L190">
            <v>670.28370749999999</v>
          </cell>
          <cell r="M190">
            <v>4728.2605283274988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982.78462840775069</v>
          </cell>
          <cell r="H191">
            <v>0.98278462840775072</v>
          </cell>
          <cell r="I191">
            <v>7.7268183094636331</v>
          </cell>
          <cell r="J191">
            <v>7.7268183094636334E-3</v>
          </cell>
          <cell r="K191">
            <v>37.055589721988206</v>
          </cell>
          <cell r="L191">
            <v>3.7055589721988205E-2</v>
          </cell>
          <cell r="M191">
            <v>1027.5670364392024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1707.6941508705884</v>
          </cell>
          <cell r="H192">
            <v>1.7076941508705883</v>
          </cell>
          <cell r="I192">
            <v>5.0954074074074072</v>
          </cell>
          <cell r="J192">
            <v>5.095407407407407E-3</v>
          </cell>
          <cell r="K192">
            <v>42.751102777777774</v>
          </cell>
          <cell r="L192">
            <v>4.2751102777777772E-2</v>
          </cell>
          <cell r="M192">
            <v>1755.5406610557736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3468.5254912836604</v>
          </cell>
          <cell r="H193">
            <v>3468.5254912836604</v>
          </cell>
          <cell r="I193">
            <v>55.857481481481486</v>
          </cell>
          <cell r="J193">
            <v>55.857481481481486</v>
          </cell>
          <cell r="K193">
            <v>176.80220555555553</v>
          </cell>
          <cell r="L193">
            <v>176.80220555555553</v>
          </cell>
          <cell r="M193">
            <v>3701.1851783206976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10977.956002331004</v>
          </cell>
          <cell r="H194">
            <v>10.977956002331004</v>
          </cell>
          <cell r="I194">
            <v>3.5518648018648022</v>
          </cell>
          <cell r="J194">
            <v>3.5518648018648021E-3</v>
          </cell>
          <cell r="K194">
            <v>32.048499999999997</v>
          </cell>
          <cell r="L194">
            <v>3.2048499999999994E-2</v>
          </cell>
          <cell r="M194">
            <v>11013.556367132869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569.62152258064521</v>
          </cell>
          <cell r="H195">
            <v>0.56962152258064525</v>
          </cell>
          <cell r="I195">
            <v>5.8838709677419354</v>
          </cell>
          <cell r="J195">
            <v>5.8838709677419354E-3</v>
          </cell>
          <cell r="K195">
            <v>42.57</v>
          </cell>
          <cell r="L195">
            <v>4.2570000000000004E-2</v>
          </cell>
          <cell r="M195">
            <v>618.07539354838718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4044.5599246451611</v>
          </cell>
          <cell r="H196">
            <v>4.0445599246451609</v>
          </cell>
          <cell r="I196">
            <v>3.6480000000000001</v>
          </cell>
          <cell r="J196">
            <v>3.6480000000000002E-3</v>
          </cell>
          <cell r="K196">
            <v>290.39339999999999</v>
          </cell>
          <cell r="L196">
            <v>0.29039339999999997</v>
          </cell>
          <cell r="M196">
            <v>4338.6013246451612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2695.2065758740782</v>
          </cell>
          <cell r="H197">
            <v>2.6952065758740784</v>
          </cell>
          <cell r="I197">
            <v>0.54978597942429819</v>
          </cell>
          <cell r="J197">
            <v>5.4978597942429818E-4</v>
          </cell>
          <cell r="K197">
            <v>221.6744510569853</v>
          </cell>
          <cell r="L197">
            <v>0.2216744510569853</v>
          </cell>
          <cell r="M197">
            <v>2917.4308129104875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1058.162288734128</v>
          </cell>
          <cell r="H198">
            <v>1.058162288734128</v>
          </cell>
          <cell r="I198">
            <v>1.2185090666666667</v>
          </cell>
          <cell r="J198">
            <v>1.2185090666666668E-3</v>
          </cell>
          <cell r="K198">
            <v>275.59399999999999</v>
          </cell>
          <cell r="L198">
            <v>0.27559400000000001</v>
          </cell>
          <cell r="M198">
            <v>1334.9747978007947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750.92038162857784</v>
          </cell>
          <cell r="H199">
            <v>0.75092038162857788</v>
          </cell>
          <cell r="I199">
            <v>12.404654488080272</v>
          </cell>
          <cell r="J199">
            <v>1.2404654488080272E-2</v>
          </cell>
          <cell r="K199">
            <v>18.260000000000002</v>
          </cell>
          <cell r="L199">
            <v>1.8260000000000002E-2</v>
          </cell>
          <cell r="M199">
            <v>781.5850361166581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1361.9488232727274</v>
          </cell>
          <cell r="H200">
            <v>1.3619488232727275</v>
          </cell>
          <cell r="I200">
            <v>9.3652525252525276</v>
          </cell>
          <cell r="J200">
            <v>9.3652525252525282E-3</v>
          </cell>
          <cell r="K200">
            <v>27.920591999999999</v>
          </cell>
          <cell r="L200">
            <v>2.7920591999999998E-2</v>
          </cell>
          <cell r="M200">
            <v>1399.2346677979799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24.515078818909096</v>
          </cell>
          <cell r="H201">
            <v>24.515078818909096</v>
          </cell>
          <cell r="I201">
            <v>0.1685745454545455</v>
          </cell>
          <cell r="J201">
            <v>0.1685745454545455</v>
          </cell>
          <cell r="K201">
            <v>13.317570656000001</v>
          </cell>
          <cell r="L201">
            <v>13.317570656000001</v>
          </cell>
          <cell r="M201">
            <v>38.001224020363644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3327.3225139703568</v>
          </cell>
          <cell r="H202">
            <v>3.3273225139703566</v>
          </cell>
          <cell r="I202">
            <v>5.6816326530612251</v>
          </cell>
          <cell r="J202">
            <v>5.6816326530612247E-3</v>
          </cell>
          <cell r="K202">
            <v>14.96</v>
          </cell>
          <cell r="L202">
            <v>1.4960000000000001E-2</v>
          </cell>
          <cell r="M202">
            <v>3347.9641466234179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121.5000142025187</v>
          </cell>
          <cell r="H203">
            <v>121.5000142025187</v>
          </cell>
          <cell r="I203">
            <v>1.2596665105117837</v>
          </cell>
          <cell r="J203">
            <v>1.2596665105117837</v>
          </cell>
          <cell r="K203">
            <v>23.417596924625574</v>
          </cell>
          <cell r="L203">
            <v>23.417596924625574</v>
          </cell>
          <cell r="M203">
            <v>146.17727763765606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1403.7475860877573</v>
          </cell>
          <cell r="H204">
            <v>1.4037475860877573</v>
          </cell>
          <cell r="I204">
            <v>0</v>
          </cell>
          <cell r="J204">
            <v>0</v>
          </cell>
          <cell r="K204">
            <v>128.315</v>
          </cell>
          <cell r="L204">
            <v>0.12831499999999998</v>
          </cell>
          <cell r="M204">
            <v>1532.0625860877574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1396.995352236042</v>
          </cell>
          <cell r="H205">
            <v>1.3969953522360419</v>
          </cell>
          <cell r="I205">
            <v>0</v>
          </cell>
          <cell r="J205">
            <v>0</v>
          </cell>
          <cell r="K205">
            <v>88</v>
          </cell>
          <cell r="L205">
            <v>8.7999999999999995E-2</v>
          </cell>
          <cell r="M205">
            <v>1484.995352236042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1634.2326913768927</v>
          </cell>
          <cell r="H206">
            <v>1.6342326913768928</v>
          </cell>
          <cell r="I206">
            <v>6.3830225208333333</v>
          </cell>
          <cell r="J206">
            <v>6.3830225208333334E-3</v>
          </cell>
          <cell r="K206">
            <v>69.375624999999999</v>
          </cell>
          <cell r="L206">
            <v>6.9375624999999996E-2</v>
          </cell>
          <cell r="M206">
            <v>1709.9913388977259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1415.7547439775913</v>
          </cell>
          <cell r="H207">
            <v>1.4157547439775913</v>
          </cell>
          <cell r="I207">
            <v>0</v>
          </cell>
          <cell r="J207">
            <v>0</v>
          </cell>
          <cell r="K207">
            <v>82.5</v>
          </cell>
          <cell r="L207">
            <v>8.2500000000000004E-2</v>
          </cell>
          <cell r="M207">
            <v>1498.2547439775913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1808.0477272590847</v>
          </cell>
          <cell r="H208">
            <v>1.8080477272590847</v>
          </cell>
          <cell r="I208">
            <v>27.488359788359791</v>
          </cell>
          <cell r="J208">
            <v>2.7488359788359791E-2</v>
          </cell>
          <cell r="K208">
            <v>145.31</v>
          </cell>
          <cell r="L208">
            <v>0.14530999999999999</v>
          </cell>
          <cell r="M208">
            <v>1980.8460870474444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2800.607521810859</v>
          </cell>
          <cell r="H209">
            <v>2.8006075218108588</v>
          </cell>
          <cell r="I209">
            <v>15.872697885000001</v>
          </cell>
          <cell r="J209">
            <v>1.5872697885000002E-2</v>
          </cell>
          <cell r="K209">
            <v>3.7625500000000001</v>
          </cell>
          <cell r="L209">
            <v>3.7625499999999999E-3</v>
          </cell>
          <cell r="M209">
            <v>2820.2427696958589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1808.0477272590847</v>
          </cell>
          <cell r="H210">
            <v>1.8080477272590847</v>
          </cell>
          <cell r="I210">
            <v>27.488359788359791</v>
          </cell>
          <cell r="J210">
            <v>2.7488359788359791E-2</v>
          </cell>
          <cell r="K210">
            <v>145.31</v>
          </cell>
          <cell r="L210">
            <v>0.14530999999999999</v>
          </cell>
          <cell r="M210">
            <v>1980.8460870474444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85.909462318117079</v>
          </cell>
          <cell r="H211">
            <v>85.909462318117079</v>
          </cell>
          <cell r="I211">
            <v>0.37241147533333341</v>
          </cell>
          <cell r="J211">
            <v>0.37241147533333341</v>
          </cell>
          <cell r="K211">
            <v>17.983651323</v>
          </cell>
          <cell r="L211">
            <v>17.983651323</v>
          </cell>
          <cell r="M211">
            <v>104.26552511645042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8.3008029981184333</v>
          </cell>
          <cell r="H212">
            <v>8.3008029981184333</v>
          </cell>
          <cell r="I212">
            <v>3.301773091726852E-2</v>
          </cell>
          <cell r="J212">
            <v>3.301773091726852E-2</v>
          </cell>
          <cell r="K212">
            <v>4.1334667083227785</v>
          </cell>
          <cell r="L212">
            <v>4.1334667083227785</v>
          </cell>
          <cell r="M212">
            <v>12.467287437358481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2717.6186992156863</v>
          </cell>
          <cell r="H213">
            <v>2.7176186992156861</v>
          </cell>
          <cell r="I213">
            <v>1.9313483295368261</v>
          </cell>
          <cell r="J213">
            <v>1.931348329536826E-3</v>
          </cell>
          <cell r="K213">
            <v>89.678875000000005</v>
          </cell>
          <cell r="L213">
            <v>8.9678875000000005E-2</v>
          </cell>
          <cell r="M213">
            <v>2809.2289225452232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675.72619319791841</v>
          </cell>
          <cell r="H214">
            <v>0.67572619319791838</v>
          </cell>
          <cell r="I214">
            <v>12.69877257683215</v>
          </cell>
          <cell r="J214">
            <v>1.269877257683215E-2</v>
          </cell>
          <cell r="K214">
            <v>137.4063829787234</v>
          </cell>
          <cell r="L214">
            <v>0.1374063829787234</v>
          </cell>
          <cell r="M214">
            <v>825.831348753474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987.28265690928288</v>
          </cell>
          <cell r="H215">
            <v>0.98728265690928285</v>
          </cell>
          <cell r="I215">
            <v>4.9167838724800745</v>
          </cell>
          <cell r="J215">
            <v>4.9167838724800744E-3</v>
          </cell>
          <cell r="K215">
            <v>21.75632911392405</v>
          </cell>
          <cell r="L215">
            <v>2.1756329113924049E-2</v>
          </cell>
          <cell r="M215">
            <v>1013.955769895687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978.56760913043502</v>
          </cell>
          <cell r="H216">
            <v>0.97856760913043506</v>
          </cell>
          <cell r="I216">
            <v>4.8637681159420287</v>
          </cell>
          <cell r="J216">
            <v>4.8637681159420286E-3</v>
          </cell>
          <cell r="K216">
            <v>45.434782608695649</v>
          </cell>
          <cell r="L216">
            <v>4.5434782608695649E-2</v>
          </cell>
          <cell r="M216">
            <v>1028.8661598550727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15.126388283074538</v>
          </cell>
          <cell r="H217">
            <v>15.126388283074538</v>
          </cell>
          <cell r="I217">
            <v>7.4693581780538296E-2</v>
          </cell>
          <cell r="J217">
            <v>7.4693581780538296E-2</v>
          </cell>
          <cell r="K217">
            <v>3.3157484472049692</v>
          </cell>
          <cell r="L217">
            <v>3.3157484472049692</v>
          </cell>
          <cell r="M217">
            <v>18.516830312060044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2350.6046504901965</v>
          </cell>
          <cell r="H218">
            <v>2.3506046504901965</v>
          </cell>
          <cell r="I218">
            <v>52.447368421052637</v>
          </cell>
          <cell r="J218">
            <v>5.2447368421052638E-2</v>
          </cell>
          <cell r="K218">
            <v>86.350000000000009</v>
          </cell>
          <cell r="L218">
            <v>8.635000000000001E-2</v>
          </cell>
          <cell r="M218">
            <v>2489.4020189112489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749.66243422946525</v>
          </cell>
          <cell r="H219">
            <v>0.74966243422946521</v>
          </cell>
          <cell r="I219">
            <v>1.4186666666666667</v>
          </cell>
          <cell r="J219">
            <v>1.4186666666666668E-3</v>
          </cell>
          <cell r="K219">
            <v>275</v>
          </cell>
          <cell r="L219">
            <v>0.27500000000000002</v>
          </cell>
          <cell r="M219">
            <v>1026.0811008961318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3973.6721299999999</v>
          </cell>
          <cell r="H220">
            <v>3.9736721299999997</v>
          </cell>
          <cell r="I220">
            <v>0</v>
          </cell>
          <cell r="J220">
            <v>0</v>
          </cell>
          <cell r="K220">
            <v>137.5</v>
          </cell>
          <cell r="L220">
            <v>0.13750000000000001</v>
          </cell>
          <cell r="M220">
            <v>4111.1721299999999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4413.7337936507929</v>
          </cell>
          <cell r="H221">
            <v>4.4137337936507928</v>
          </cell>
          <cell r="I221">
            <v>14.235714285714286</v>
          </cell>
          <cell r="J221">
            <v>1.4235714285714286E-2</v>
          </cell>
          <cell r="K221">
            <v>392.81</v>
          </cell>
          <cell r="L221">
            <v>0.39280999999999999</v>
          </cell>
          <cell r="M221">
            <v>4820.7795079365078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979.14538888888899</v>
          </cell>
          <cell r="H222">
            <v>0.97914538888888902</v>
          </cell>
          <cell r="I222">
            <v>16.608333333333334</v>
          </cell>
          <cell r="J222">
            <v>1.6608333333333333E-2</v>
          </cell>
          <cell r="K222">
            <v>183.15</v>
          </cell>
          <cell r="L222">
            <v>0.18315000000000001</v>
          </cell>
          <cell r="M222">
            <v>1178.9037222222223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1731.8418296320849</v>
          </cell>
          <cell r="H223">
            <v>1.731841829632085</v>
          </cell>
          <cell r="I223">
            <v>1.8892940006629102</v>
          </cell>
          <cell r="J223">
            <v>1.8892940006629102E-3</v>
          </cell>
          <cell r="K223">
            <v>27.335000000000001</v>
          </cell>
          <cell r="L223">
            <v>2.7335000000000002E-2</v>
          </cell>
          <cell r="M223">
            <v>1761.0661236327478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1505.2450779014309</v>
          </cell>
          <cell r="H224">
            <v>1.505245077901431</v>
          </cell>
          <cell r="I224">
            <v>1.027027027027027</v>
          </cell>
          <cell r="J224">
            <v>1.0270270270270269E-3</v>
          </cell>
          <cell r="K224">
            <v>14.859404504504505</v>
          </cell>
          <cell r="L224">
            <v>1.4859404504504506E-2</v>
          </cell>
          <cell r="M224">
            <v>1521.1315094329625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69.315425344514921</v>
          </cell>
          <cell r="H225">
            <v>69.315425344514921</v>
          </cell>
          <cell r="I225">
            <v>1.1081826843261717</v>
          </cell>
          <cell r="J225">
            <v>1.1081826843261717</v>
          </cell>
          <cell r="K225">
            <v>5.2326587499999997</v>
          </cell>
          <cell r="L225">
            <v>5.2326587499999997</v>
          </cell>
          <cell r="M225">
            <v>75.656266778841086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308.51855024836107</v>
          </cell>
          <cell r="H226">
            <v>308.51855024836107</v>
          </cell>
          <cell r="I226">
            <v>43.063600953556943</v>
          </cell>
          <cell r="J226">
            <v>43.063600953556943</v>
          </cell>
          <cell r="K226">
            <v>51.460736250000004</v>
          </cell>
          <cell r="L226">
            <v>51.460736250000004</v>
          </cell>
          <cell r="M226">
            <v>403.04288745191803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4844.88</v>
          </cell>
          <cell r="H227">
            <v>4.8448799999999999</v>
          </cell>
          <cell r="I227">
            <v>120</v>
          </cell>
          <cell r="J227">
            <v>0.12</v>
          </cell>
          <cell r="K227">
            <v>4400</v>
          </cell>
          <cell r="L227">
            <v>4.4000000000000004</v>
          </cell>
          <cell r="M227">
            <v>9364.880000000001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1068.6410957563899</v>
          </cell>
          <cell r="H228">
            <v>1.0686410957563899</v>
          </cell>
          <cell r="I228">
            <v>6.2370062370062374E-2</v>
          </cell>
          <cell r="J228">
            <v>6.2370062370062376E-5</v>
          </cell>
          <cell r="K228">
            <v>11.416902286902289</v>
          </cell>
          <cell r="L228">
            <v>1.141690228690229E-2</v>
          </cell>
          <cell r="M228">
            <v>1080.1203681056622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3237.7401181263244</v>
          </cell>
          <cell r="H229">
            <v>3.2377401181263243</v>
          </cell>
          <cell r="I229">
            <v>26.122268078378987</v>
          </cell>
          <cell r="J229">
            <v>2.6122268078378988E-2</v>
          </cell>
          <cell r="K229">
            <v>243.15640819641339</v>
          </cell>
          <cell r="L229">
            <v>0.2431564081964134</v>
          </cell>
          <cell r="M229">
            <v>3507.0187944011168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472.24611942538667</v>
          </cell>
          <cell r="H230">
            <v>472.24611942538667</v>
          </cell>
          <cell r="I230">
            <v>4.7464893412162166</v>
          </cell>
          <cell r="J230">
            <v>4.7464893412162166</v>
          </cell>
          <cell r="K230">
            <v>15.522932432432434</v>
          </cell>
          <cell r="L230">
            <v>15.522932432432434</v>
          </cell>
          <cell r="M230">
            <v>492.51554119903528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6867.1869482862185</v>
          </cell>
          <cell r="H231">
            <v>6.8671869482862187</v>
          </cell>
          <cell r="I231">
            <v>3.1627977511111114</v>
          </cell>
          <cell r="J231">
            <v>3.1627977511111114E-3</v>
          </cell>
          <cell r="K231">
            <v>32.012695000000001</v>
          </cell>
          <cell r="L231">
            <v>3.2012695000000001E-2</v>
          </cell>
          <cell r="M231">
            <v>6902.3624410373295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3809.7185837333332</v>
          </cell>
          <cell r="H232">
            <v>3.8097185837333329</v>
          </cell>
          <cell r="I232">
            <v>0.43180607555555556</v>
          </cell>
          <cell r="J232">
            <v>4.3180607555555554E-4</v>
          </cell>
          <cell r="K232">
            <v>198.1563940888889</v>
          </cell>
          <cell r="L232">
            <v>0.19815639408888891</v>
          </cell>
          <cell r="M232">
            <v>4008.3067838977777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10250.048982600001</v>
          </cell>
          <cell r="H233">
            <v>10.250048982600001</v>
          </cell>
          <cell r="I233">
            <v>31.140625</v>
          </cell>
          <cell r="J233">
            <v>3.1140625000000002E-2</v>
          </cell>
          <cell r="K233">
            <v>114.56500000000001</v>
          </cell>
          <cell r="L233">
            <v>0.11456500000000001</v>
          </cell>
          <cell r="M233">
            <v>10395.754607600002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6516.6210625180011</v>
          </cell>
          <cell r="H234">
            <v>6.5166210625180012</v>
          </cell>
          <cell r="I234">
            <v>35.790468750000002</v>
          </cell>
          <cell r="J234">
            <v>3.5790468750000005E-2</v>
          </cell>
          <cell r="K234">
            <v>599.26295000000005</v>
          </cell>
          <cell r="L234">
            <v>0.59926295000000007</v>
          </cell>
          <cell r="M234">
            <v>7151.6744812680017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3419.6805896805895</v>
          </cell>
          <cell r="H235">
            <v>3.4196805896805893</v>
          </cell>
          <cell r="I235">
            <v>1.4250614250614248E-2</v>
          </cell>
          <cell r="J235">
            <v>1.4250614250614247E-5</v>
          </cell>
          <cell r="K235">
            <v>40.534999999999997</v>
          </cell>
          <cell r="L235">
            <v>4.0534999999999995E-2</v>
          </cell>
          <cell r="M235">
            <v>3460.22984029484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630.99601708288583</v>
          </cell>
          <cell r="H236">
            <v>630.99601708288583</v>
          </cell>
          <cell r="I236">
            <v>7.5106954611111121</v>
          </cell>
          <cell r="J236">
            <v>7.5106954611111121</v>
          </cell>
          <cell r="K236">
            <v>47.340040000000002</v>
          </cell>
          <cell r="L236">
            <v>47.340040000000002</v>
          </cell>
          <cell r="M236">
            <v>685.84675254399701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1734.6422777777773</v>
          </cell>
          <cell r="H237">
            <v>1.7346422777777772</v>
          </cell>
          <cell r="I237">
            <v>9.8518518518518519E-2</v>
          </cell>
          <cell r="J237">
            <v>9.8518518518518521E-5</v>
          </cell>
          <cell r="K237">
            <v>25.41</v>
          </cell>
          <cell r="L237">
            <v>2.5409999999999999E-2</v>
          </cell>
          <cell r="M237">
            <v>1760.150796296296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81.400000000000006</v>
          </cell>
          <cell r="L238">
            <v>8.14E-2</v>
          </cell>
          <cell r="M238">
            <v>4834.7148936170197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611.35168529030875</v>
          </cell>
          <cell r="H239">
            <v>611.35168529030875</v>
          </cell>
          <cell r="I239">
            <v>4.4645076913218382</v>
          </cell>
          <cell r="J239">
            <v>4.4645076913218382</v>
          </cell>
          <cell r="K239">
            <v>16.907772636206897</v>
          </cell>
          <cell r="L239">
            <v>16.907772636206897</v>
          </cell>
          <cell r="M239">
            <v>632.72396561783751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93.041466748649299</v>
          </cell>
          <cell r="H240">
            <v>93.041466748649299</v>
          </cell>
          <cell r="I240">
            <v>1.4021319345172414</v>
          </cell>
          <cell r="J240">
            <v>1.4021319345172414</v>
          </cell>
          <cell r="K240">
            <v>3.8310650333620684</v>
          </cell>
          <cell r="L240">
            <v>3.8310650333620684</v>
          </cell>
          <cell r="M240">
            <v>98.274663716528607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3966.0039999999999</v>
          </cell>
          <cell r="H241">
            <v>3.9660039999999999</v>
          </cell>
          <cell r="I241">
            <v>62.538922155688617</v>
          </cell>
          <cell r="J241">
            <v>6.2538922155688612E-2</v>
          </cell>
          <cell r="K241">
            <v>410.40999999999997</v>
          </cell>
          <cell r="L241">
            <v>0.41040999999999994</v>
          </cell>
          <cell r="M241">
            <v>4438.9529221556886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882.3746381239722</v>
          </cell>
          <cell r="H242">
            <v>0.88237463812397221</v>
          </cell>
          <cell r="I242">
            <v>0.18021968965295213</v>
          </cell>
          <cell r="J242">
            <v>1.8021968965295211E-4</v>
          </cell>
          <cell r="K242">
            <v>12.237686881720432</v>
          </cell>
          <cell r="L242">
            <v>1.2237686881720432E-2</v>
          </cell>
          <cell r="M242">
            <v>894.79254469534555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316.05123341740369</v>
          </cell>
          <cell r="H243">
            <v>316.05123341740369</v>
          </cell>
          <cell r="I243">
            <v>3.7752807014727199</v>
          </cell>
          <cell r="J243">
            <v>3.7752807014727199</v>
          </cell>
          <cell r="K243">
            <v>9.453822510806777</v>
          </cell>
          <cell r="L243">
            <v>9.453822510806777</v>
          </cell>
          <cell r="M243">
            <v>329.28033662968318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1541.0208962982297</v>
          </cell>
          <cell r="H244">
            <v>1.5410208962982297</v>
          </cell>
          <cell r="I244">
            <v>1.6171431424000002</v>
          </cell>
          <cell r="J244">
            <v>1.6171431424000001E-3</v>
          </cell>
          <cell r="K244">
            <v>25.154021199999999</v>
          </cell>
          <cell r="L244">
            <v>2.5154021199999998E-2</v>
          </cell>
          <cell r="M244">
            <v>1567.7920606406296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897.1905642554525</v>
          </cell>
          <cell r="H245">
            <v>0.89719056425545252</v>
          </cell>
          <cell r="I245">
            <v>3.950947197400001</v>
          </cell>
          <cell r="J245">
            <v>3.9509471974000007E-3</v>
          </cell>
          <cell r="K245">
            <v>207.6426917631</v>
          </cell>
          <cell r="L245">
            <v>0.20764269176309999</v>
          </cell>
          <cell r="M245">
            <v>1108.7842032159524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483.35716927663572</v>
          </cell>
          <cell r="H246">
            <v>483.35716927663572</v>
          </cell>
          <cell r="I246">
            <v>1.1852841592200003</v>
          </cell>
          <cell r="J246">
            <v>1.1852841592200003</v>
          </cell>
          <cell r="K246">
            <v>89.792807528929998</v>
          </cell>
          <cell r="L246">
            <v>89.792807528929998</v>
          </cell>
          <cell r="M246">
            <v>574.33526096478568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1138.3163039215688</v>
          </cell>
          <cell r="H247">
            <v>1.1383163039215687</v>
          </cell>
          <cell r="I247">
            <v>6.0610396853352118</v>
          </cell>
          <cell r="J247">
            <v>6.061039685335212E-3</v>
          </cell>
          <cell r="K247">
            <v>33.659999999999997</v>
          </cell>
          <cell r="L247">
            <v>3.3659999999999995E-2</v>
          </cell>
          <cell r="M247">
            <v>1178.037343606904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>
            <v>1063.0648445038291</v>
          </cell>
          <cell r="H248">
            <v>1.0630648445038291</v>
          </cell>
          <cell r="I248">
            <v>0.54801200922255211</v>
          </cell>
          <cell r="J248">
            <v>5.4801200922255215E-4</v>
          </cell>
          <cell r="K248">
            <v>15.198386149584486</v>
          </cell>
          <cell r="L248">
            <v>1.5198386149584487E-2</v>
          </cell>
          <cell r="M248">
            <v>1078.811242662636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422.62852617369174</v>
          </cell>
          <cell r="H249">
            <v>422.62852617369174</v>
          </cell>
          <cell r="I249">
            <v>4.7012385105570766</v>
          </cell>
          <cell r="J249">
            <v>4.7012385105570766</v>
          </cell>
          <cell r="K249">
            <v>18.836546796416574</v>
          </cell>
          <cell r="L249">
            <v>18.836546796416574</v>
          </cell>
          <cell r="M249">
            <v>446.1663114806654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404.97623203305784</v>
          </cell>
          <cell r="H250">
            <v>0.40497623203305783</v>
          </cell>
          <cell r="I250">
            <v>8.8815388429752069</v>
          </cell>
          <cell r="J250">
            <v>8.8815388429752066E-3</v>
          </cell>
          <cell r="K250">
            <v>48.842272727272729</v>
          </cell>
          <cell r="L250">
            <v>4.8842272727272727E-2</v>
          </cell>
          <cell r="M250">
            <v>462.70004360330574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1975.7180685794262</v>
          </cell>
          <cell r="H251">
            <v>1.9757180685794262</v>
          </cell>
          <cell r="I251">
            <v>2.3875190384061249E-2</v>
          </cell>
          <cell r="J251">
            <v>2.3875190384061249E-5</v>
          </cell>
          <cell r="K251">
            <v>22.605</v>
          </cell>
          <cell r="L251">
            <v>2.2605E-2</v>
          </cell>
          <cell r="M251">
            <v>1998.3469437698104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1065.9055771208455</v>
          </cell>
          <cell r="H252">
            <v>1.0659055771208454</v>
          </cell>
          <cell r="I252">
            <v>3.1737502218666669</v>
          </cell>
          <cell r="J252">
            <v>3.1737502218666669E-3</v>
          </cell>
          <cell r="K252">
            <v>57.453127600000002</v>
          </cell>
          <cell r="L252">
            <v>5.7453127600000001E-2</v>
          </cell>
          <cell r="M252">
            <v>1126.5324549427121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2365.2180169917101</v>
          </cell>
          <cell r="H253">
            <v>2.3652180169917103</v>
          </cell>
          <cell r="I253">
            <v>2.3980769230769225E-3</v>
          </cell>
          <cell r="J253">
            <v>2.3980769230769227E-6</v>
          </cell>
          <cell r="K253">
            <v>22.898710999999999</v>
          </cell>
          <cell r="L253">
            <v>2.2898710999999999E-2</v>
          </cell>
          <cell r="M253">
            <v>2388.1191260686328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3012.4011944444446</v>
          </cell>
          <cell r="H254">
            <v>3.0124011944444447</v>
          </cell>
          <cell r="I254">
            <v>0</v>
          </cell>
          <cell r="J254">
            <v>0</v>
          </cell>
          <cell r="K254">
            <v>171.875</v>
          </cell>
          <cell r="L254">
            <v>0.171875</v>
          </cell>
          <cell r="M254">
            <v>3184.2761944444446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3517.6750650887575</v>
          </cell>
          <cell r="H255">
            <v>3.5176750650887576</v>
          </cell>
          <cell r="I255">
            <v>5.5769230769230758E-2</v>
          </cell>
          <cell r="J255">
            <v>5.5769230769230759E-5</v>
          </cell>
          <cell r="K255">
            <v>26.4</v>
          </cell>
          <cell r="L255">
            <v>2.64E-2</v>
          </cell>
          <cell r="M255">
            <v>3544.1308343195269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2096.6666666666665</v>
          </cell>
          <cell r="H256">
            <v>2.0966666666666667</v>
          </cell>
          <cell r="I256">
            <v>46.666666666666671</v>
          </cell>
          <cell r="J256">
            <v>4.6666666666666669E-2</v>
          </cell>
          <cell r="K256">
            <v>140.80000000000001</v>
          </cell>
          <cell r="L256">
            <v>0.14080000000000001</v>
          </cell>
          <cell r="M256">
            <v>2284.1333333333332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2100.338709677419</v>
          </cell>
          <cell r="H257">
            <v>2.1003387096774189</v>
          </cell>
          <cell r="I257">
            <v>0</v>
          </cell>
          <cell r="J257">
            <v>0</v>
          </cell>
          <cell r="K257">
            <v>35.475000000000001</v>
          </cell>
          <cell r="L257">
            <v>3.5475E-2</v>
          </cell>
          <cell r="M257">
            <v>2135.813709677419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5845.5780737250006</v>
          </cell>
          <cell r="H258">
            <v>5.8455780737250009</v>
          </cell>
          <cell r="I258">
            <v>0</v>
          </cell>
          <cell r="J258">
            <v>0</v>
          </cell>
          <cell r="K258">
            <v>57.86</v>
          </cell>
          <cell r="L258">
            <v>5.7860000000000002E-2</v>
          </cell>
          <cell r="M258">
            <v>5903.4380737250003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10357.994989300003</v>
          </cell>
          <cell r="H259">
            <v>10.357994989300003</v>
          </cell>
          <cell r="I259">
            <v>0</v>
          </cell>
          <cell r="J259">
            <v>0</v>
          </cell>
          <cell r="K259">
            <v>57.86</v>
          </cell>
          <cell r="L259">
            <v>5.7860000000000002E-2</v>
          </cell>
          <cell r="M259">
            <v>10415.854989300004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1408.8590909090908</v>
          </cell>
          <cell r="H260">
            <v>1.4088590909090908</v>
          </cell>
          <cell r="I260">
            <v>0</v>
          </cell>
          <cell r="J260">
            <v>0</v>
          </cell>
          <cell r="K260">
            <v>49.995000000000005</v>
          </cell>
          <cell r="L260">
            <v>4.9995000000000005E-2</v>
          </cell>
          <cell r="M260">
            <v>1458.8540909090907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119.35</v>
          </cell>
          <cell r="L261">
            <v>0.11935</v>
          </cell>
          <cell r="M261">
            <v>2186.3859062500001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3561.4657210401888</v>
          </cell>
          <cell r="H262">
            <v>3.561465721040189</v>
          </cell>
          <cell r="I262">
            <v>0.45276595744680853</v>
          </cell>
          <cell r="J262">
            <v>4.5276595744680851E-4</v>
          </cell>
          <cell r="K262">
            <v>116.98499999999999</v>
          </cell>
          <cell r="L262">
            <v>0.11698499999999999</v>
          </cell>
          <cell r="M262">
            <v>3678.9034869976358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2237.7278385000004</v>
          </cell>
          <cell r="H263">
            <v>2.2377278385000006</v>
          </cell>
          <cell r="I263">
            <v>0</v>
          </cell>
          <cell r="J263">
            <v>0</v>
          </cell>
          <cell r="K263">
            <v>113.35499999999999</v>
          </cell>
          <cell r="L263">
            <v>0.11335499999999998</v>
          </cell>
          <cell r="M263">
            <v>2351.0828385000004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1919.2188803006061</v>
          </cell>
          <cell r="H264">
            <v>1.9192188803006061</v>
          </cell>
          <cell r="I264">
            <v>0</v>
          </cell>
          <cell r="J264">
            <v>0</v>
          </cell>
          <cell r="K264">
            <v>206.24520000000001</v>
          </cell>
          <cell r="L264">
            <v>0.20624520000000002</v>
          </cell>
          <cell r="M264">
            <v>2125.4640803006059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1011.874675</v>
          </cell>
          <cell r="H265">
            <v>1.0118746750000001</v>
          </cell>
          <cell r="I265">
            <v>3.9894640000000003</v>
          </cell>
          <cell r="J265">
            <v>3.9894640000000007E-3</v>
          </cell>
          <cell r="K265">
            <v>115.4945</v>
          </cell>
          <cell r="L265">
            <v>0.1154945</v>
          </cell>
          <cell r="M265">
            <v>1131.358639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442.62590133245817</v>
          </cell>
          <cell r="H266">
            <v>0.44262590133245816</v>
          </cell>
          <cell r="I266">
            <v>9.9517558254020333</v>
          </cell>
          <cell r="J266">
            <v>9.9517558254020328E-3</v>
          </cell>
          <cell r="K266">
            <v>36.08</v>
          </cell>
          <cell r="L266">
            <v>3.6080000000000001E-2</v>
          </cell>
          <cell r="M266">
            <v>488.65765715786017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1157.9088198672525</v>
          </cell>
          <cell r="H267">
            <v>1.1579088198672525</v>
          </cell>
          <cell r="I267">
            <v>5.8313461538461526</v>
          </cell>
          <cell r="J267">
            <v>5.8313461538461522E-3</v>
          </cell>
          <cell r="K267">
            <v>42.261492307692308</v>
          </cell>
          <cell r="L267">
            <v>4.2261492307692307E-2</v>
          </cell>
          <cell r="M267">
            <v>1206.0016583287911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485.77869573213593</v>
          </cell>
          <cell r="H268">
            <v>485.77869573213593</v>
          </cell>
          <cell r="I268">
            <v>16.77410960576923</v>
          </cell>
          <cell r="J268">
            <v>16.77410960576923</v>
          </cell>
          <cell r="K268">
            <v>39.691096923076927</v>
          </cell>
          <cell r="L268">
            <v>39.691096923076927</v>
          </cell>
          <cell r="M268">
            <v>542.24390226098205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3966.0039999999999</v>
          </cell>
          <cell r="H269">
            <v>3.9660039999999999</v>
          </cell>
          <cell r="I269">
            <v>79.08323353293413</v>
          </cell>
          <cell r="J269">
            <v>7.908323353293413E-2</v>
          </cell>
          <cell r="K269">
            <v>518.65</v>
          </cell>
          <cell r="L269">
            <v>0.51864999999999994</v>
          </cell>
          <cell r="M269">
            <v>4563.7372335329337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1016.1559430464395</v>
          </cell>
          <cell r="H270">
            <v>1.0161559430464395</v>
          </cell>
          <cell r="I270">
            <v>0.22060059880239519</v>
          </cell>
          <cell r="J270">
            <v>2.206005988023952E-4</v>
          </cell>
          <cell r="K270">
            <v>15.911760526315788</v>
          </cell>
          <cell r="L270">
            <v>1.591176052631579E-2</v>
          </cell>
          <cell r="M270">
            <v>1032.2883041715577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422.62852617369174</v>
          </cell>
          <cell r="H271">
            <v>422.62852617369174</v>
          </cell>
          <cell r="I271">
            <v>4.7012385105570766</v>
          </cell>
          <cell r="J271">
            <v>4.7012385105570766</v>
          </cell>
          <cell r="K271">
            <v>18.836546796416574</v>
          </cell>
          <cell r="L271">
            <v>18.836546796416574</v>
          </cell>
          <cell r="M271">
            <v>446.1663114806654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1975.7180685794262</v>
          </cell>
          <cell r="H272">
            <v>1.9757180685794262</v>
          </cell>
          <cell r="I272">
            <v>2.3875190384061249E-2</v>
          </cell>
          <cell r="J272">
            <v>2.3875190384061249E-5</v>
          </cell>
          <cell r="K272">
            <v>22.640266743506359</v>
          </cell>
          <cell r="L272">
            <v>2.264026674350636E-2</v>
          </cell>
          <cell r="M272">
            <v>1998.3822105133167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368.78730156456498</v>
          </cell>
          <cell r="H273">
            <v>368.78730156456498</v>
          </cell>
          <cell r="I273">
            <v>4.707159809501686</v>
          </cell>
          <cell r="J273">
            <v>4.707159809501686</v>
          </cell>
          <cell r="K273">
            <v>29.723521034482758</v>
          </cell>
          <cell r="L273">
            <v>29.723521034482758</v>
          </cell>
          <cell r="M273">
            <v>403.2179824085494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6637.5228971193419</v>
          </cell>
          <cell r="H274">
            <v>6.6375228971193421</v>
          </cell>
          <cell r="I274">
            <v>15.56</v>
          </cell>
          <cell r="J274">
            <v>1.5560000000000001E-2</v>
          </cell>
          <cell r="K274">
            <v>110</v>
          </cell>
          <cell r="L274">
            <v>0.11</v>
          </cell>
          <cell r="M274">
            <v>6763.0828971193423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1792.9135673076923</v>
          </cell>
          <cell r="H275">
            <v>1.7929135673076924</v>
          </cell>
          <cell r="I275">
            <v>0.10230769230769231</v>
          </cell>
          <cell r="J275">
            <v>1.023076923076923E-4</v>
          </cell>
          <cell r="K275">
            <v>26.4</v>
          </cell>
          <cell r="L275">
            <v>2.64E-2</v>
          </cell>
          <cell r="M275">
            <v>1819.4158750000001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599.0007388450648</v>
          </cell>
          <cell r="H276">
            <v>599.0007388450648</v>
          </cell>
          <cell r="I276">
            <v>26.017235273505104</v>
          </cell>
          <cell r="J276">
            <v>26.017235273505104</v>
          </cell>
          <cell r="K276">
            <v>37.070223098591555</v>
          </cell>
          <cell r="L276">
            <v>37.070223098591555</v>
          </cell>
          <cell r="M276">
            <v>662.08819721716145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1934.9904857142856</v>
          </cell>
          <cell r="H277">
            <v>1.9349904857142857</v>
          </cell>
          <cell r="I277">
            <v>0</v>
          </cell>
          <cell r="J277">
            <v>0</v>
          </cell>
          <cell r="K277">
            <v>56.1</v>
          </cell>
          <cell r="L277">
            <v>5.6100000000000004E-2</v>
          </cell>
          <cell r="M277">
            <v>1991.0904857142855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3966.0039999999999</v>
          </cell>
          <cell r="H278">
            <v>3.9660039999999999</v>
          </cell>
          <cell r="I278">
            <v>36.582167664670656</v>
          </cell>
          <cell r="J278">
            <v>3.6582167664670658E-2</v>
          </cell>
          <cell r="K278">
            <v>229.13000000000002</v>
          </cell>
          <cell r="L278">
            <v>0.22913000000000003</v>
          </cell>
          <cell r="M278">
            <v>4231.7161676646701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1496.9181156186614</v>
          </cell>
          <cell r="H279">
            <v>1.4969181156186615</v>
          </cell>
          <cell r="I279">
            <v>0.11130476977080322</v>
          </cell>
          <cell r="J279">
            <v>1.1130476977080323E-4</v>
          </cell>
          <cell r="K279">
            <v>11.807150101419879</v>
          </cell>
          <cell r="L279">
            <v>1.1807150101419878E-2</v>
          </cell>
          <cell r="M279">
            <v>1508.8365704898522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582.33737026910808</v>
          </cell>
          <cell r="H280">
            <v>582.33737026910808</v>
          </cell>
          <cell r="I280">
            <v>4.6420619004345678</v>
          </cell>
          <cell r="J280">
            <v>4.6420619004345678</v>
          </cell>
          <cell r="K280">
            <v>18.505257281553398</v>
          </cell>
          <cell r="L280">
            <v>18.505257281553398</v>
          </cell>
          <cell r="M280">
            <v>605.48468945109607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1938.1937525902667</v>
          </cell>
          <cell r="H281">
            <v>1.9381937525902668</v>
          </cell>
          <cell r="I281">
            <v>0</v>
          </cell>
          <cell r="J281">
            <v>0</v>
          </cell>
          <cell r="K281">
            <v>56.1</v>
          </cell>
          <cell r="L281">
            <v>5.6100000000000004E-2</v>
          </cell>
          <cell r="M281">
            <v>1994.2937525902666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1956.2157306122447</v>
          </cell>
          <cell r="H282">
            <v>1.9562157306122447</v>
          </cell>
          <cell r="I282">
            <v>0</v>
          </cell>
          <cell r="J282">
            <v>0</v>
          </cell>
          <cell r="K282">
            <v>56.1</v>
          </cell>
          <cell r="L282">
            <v>5.6100000000000004E-2</v>
          </cell>
          <cell r="M282">
            <v>2012.3157306122446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1786.5994986274511</v>
          </cell>
          <cell r="H283">
            <v>1.7865994986274512</v>
          </cell>
          <cell r="I283">
            <v>0</v>
          </cell>
          <cell r="J283">
            <v>0</v>
          </cell>
          <cell r="K283">
            <v>55</v>
          </cell>
          <cell r="L283">
            <v>5.5E-2</v>
          </cell>
          <cell r="M283">
            <v>1841.5994986274511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2783.574247941177</v>
          </cell>
          <cell r="H284">
            <v>2783.574247941177</v>
          </cell>
          <cell r="I284">
            <v>245.786</v>
          </cell>
          <cell r="J284">
            <v>245.786</v>
          </cell>
          <cell r="K284">
            <v>137.5</v>
          </cell>
          <cell r="L284">
            <v>137.5</v>
          </cell>
          <cell r="M284">
            <v>3166.860247941177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7.0921985815602842</v>
          </cell>
          <cell r="J285">
            <v>7.0921985815602844E-3</v>
          </cell>
          <cell r="K285">
            <v>81.400000000000006</v>
          </cell>
          <cell r="L285">
            <v>8.14E-2</v>
          </cell>
          <cell r="M285">
            <v>4842.1364539007081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680.8341205194331</v>
          </cell>
          <cell r="H286">
            <v>680.8341205194331</v>
          </cell>
          <cell r="I286">
            <v>13.042988228525708</v>
          </cell>
          <cell r="J286">
            <v>13.042988228525708</v>
          </cell>
          <cell r="K286">
            <v>48.000946551724141</v>
          </cell>
          <cell r="L286">
            <v>48.000946551724141</v>
          </cell>
          <cell r="M286">
            <v>741.87805529968296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1239.5504245639513</v>
          </cell>
          <cell r="H287">
            <v>1.2395504245639513</v>
          </cell>
          <cell r="I287">
            <v>4.6947918823703709</v>
          </cell>
          <cell r="J287">
            <v>4.6947918823703706E-3</v>
          </cell>
          <cell r="K287">
            <v>17.619985166666666</v>
          </cell>
          <cell r="L287">
            <v>1.7619985166666664E-2</v>
          </cell>
          <cell r="M287">
            <v>1261.8652016129884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1765.0699338774984</v>
          </cell>
          <cell r="H288">
            <v>1.7650699338774984</v>
          </cell>
          <cell r="I288">
            <v>2.7884615384615379E-2</v>
          </cell>
          <cell r="J288">
            <v>2.7884615384615379E-5</v>
          </cell>
          <cell r="K288">
            <v>26.438500000000001</v>
          </cell>
          <cell r="L288">
            <v>2.64385E-2</v>
          </cell>
          <cell r="M288">
            <v>1791.5363184928831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91.3</v>
          </cell>
          <cell r="L289">
            <v>9.1299999999999992E-2</v>
          </cell>
          <cell r="M289">
            <v>2088.5687037037037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1234.1136755369635</v>
          </cell>
          <cell r="H290">
            <v>1.2341136755369635</v>
          </cell>
          <cell r="I290">
            <v>0.48838136296296303</v>
          </cell>
          <cell r="J290">
            <v>4.8838136296296304E-4</v>
          </cell>
          <cell r="K290">
            <v>25.194949999999999</v>
          </cell>
          <cell r="L290">
            <v>2.5194949999999997E-2</v>
          </cell>
          <cell r="M290">
            <v>1259.7970068999264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892.64978605769227</v>
          </cell>
          <cell r="H291">
            <v>0.8926497860576923</v>
          </cell>
          <cell r="I291">
            <v>0</v>
          </cell>
          <cell r="J291">
            <v>0</v>
          </cell>
          <cell r="K291">
            <v>51.5625</v>
          </cell>
          <cell r="L291">
            <v>5.1562499999999997E-2</v>
          </cell>
          <cell r="M291">
            <v>944.21228605769227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892.64978605769227</v>
          </cell>
          <cell r="H292">
            <v>0.8926497860576923</v>
          </cell>
          <cell r="I292">
            <v>2.9949999999999997</v>
          </cell>
          <cell r="J292">
            <v>2.9949999999999998E-3</v>
          </cell>
          <cell r="K292">
            <v>65.3125</v>
          </cell>
          <cell r="L292">
            <v>6.5312499999999996E-2</v>
          </cell>
          <cell r="M292">
            <v>960.95728605769227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192.10372509795215</v>
          </cell>
          <cell r="H293">
            <v>192.10372509795215</v>
          </cell>
          <cell r="I293">
            <v>6.6704344326923071</v>
          </cell>
          <cell r="J293">
            <v>6.6704344326923071</v>
          </cell>
          <cell r="K293">
            <v>23.553645641025643</v>
          </cell>
          <cell r="L293">
            <v>23.553645641025643</v>
          </cell>
          <cell r="M293">
            <v>222.32780517167009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337.63880071731893</v>
          </cell>
          <cell r="H294">
            <v>337.63880071731893</v>
          </cell>
          <cell r="I294">
            <v>4.5242273478260859</v>
          </cell>
          <cell r="J294">
            <v>4.5242273478260859</v>
          </cell>
          <cell r="K294">
            <v>19.349318840579709</v>
          </cell>
          <cell r="L294">
            <v>19.349318840579709</v>
          </cell>
          <cell r="M294">
            <v>361.51234690572471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1663.8319946958231</v>
          </cell>
          <cell r="H295">
            <v>1663.8319946958231</v>
          </cell>
          <cell r="I295">
            <v>12.923748997754492</v>
          </cell>
          <cell r="J295">
            <v>12.923748997754492</v>
          </cell>
          <cell r="K295">
            <v>42.028597600000005</v>
          </cell>
          <cell r="L295">
            <v>42.028597600000005</v>
          </cell>
          <cell r="M295">
            <v>1718.7843412935777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72.008954364173704</v>
          </cell>
          <cell r="H296">
            <v>72.008954364173704</v>
          </cell>
          <cell r="I296">
            <v>0.30470029800000009</v>
          </cell>
          <cell r="J296">
            <v>0.30470029800000009</v>
          </cell>
          <cell r="K296">
            <v>23.888896537000001</v>
          </cell>
          <cell r="L296">
            <v>23.888896537000001</v>
          </cell>
          <cell r="M296">
            <v>96.202551199173712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1532.8908333333334</v>
          </cell>
          <cell r="H297">
            <v>1.5328908333333333</v>
          </cell>
          <cell r="I297">
            <v>1.7932166666666665</v>
          </cell>
          <cell r="J297">
            <v>1.7932166666666664E-3</v>
          </cell>
          <cell r="K297">
            <v>91.3</v>
          </cell>
          <cell r="L297">
            <v>9.1299999999999992E-2</v>
          </cell>
          <cell r="M297">
            <v>1625.98405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875.53991825240166</v>
          </cell>
          <cell r="H298">
            <v>875.53991825240166</v>
          </cell>
          <cell r="I298">
            <v>13.466450312500001</v>
          </cell>
          <cell r="J298">
            <v>13.466450312500001</v>
          </cell>
          <cell r="K298">
            <v>42.606299999999997</v>
          </cell>
          <cell r="L298">
            <v>42.606299999999997</v>
          </cell>
          <cell r="M298">
            <v>931.6126685649017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266.57057864523489</v>
          </cell>
          <cell r="H299">
            <v>266.57057864523489</v>
          </cell>
          <cell r="I299">
            <v>1.5791181527777778</v>
          </cell>
          <cell r="J299">
            <v>1.5791181527777778</v>
          </cell>
          <cell r="K299">
            <v>31.860355999999996</v>
          </cell>
          <cell r="L299">
            <v>31.860355999999996</v>
          </cell>
          <cell r="M299">
            <v>300.01005279801268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306.65593701387297</v>
          </cell>
          <cell r="H300">
            <v>306.65593701387297</v>
          </cell>
          <cell r="I300">
            <v>2.5732091648391813</v>
          </cell>
          <cell r="J300">
            <v>2.5732091648391813</v>
          </cell>
          <cell r="K300">
            <v>8.4430950292397657</v>
          </cell>
          <cell r="L300">
            <v>8.4430950292397657</v>
          </cell>
          <cell r="M300">
            <v>317.67224120795191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2578.0355943747281</v>
          </cell>
          <cell r="H301">
            <v>2578.0355943747281</v>
          </cell>
          <cell r="I301">
            <v>0</v>
          </cell>
          <cell r="J301">
            <v>0</v>
          </cell>
          <cell r="K301">
            <v>168.63</v>
          </cell>
          <cell r="L301">
            <v>168.63</v>
          </cell>
          <cell r="M301">
            <v>2746.6655943747282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1536.5920771442482</v>
          </cell>
          <cell r="H302">
            <v>1.5365920771442481</v>
          </cell>
          <cell r="I302">
            <v>5.5894719720979769</v>
          </cell>
          <cell r="J302">
            <v>5.5894719720979771E-3</v>
          </cell>
          <cell r="K302">
            <v>70.286485623003202</v>
          </cell>
          <cell r="L302">
            <v>7.02864856230032E-2</v>
          </cell>
          <cell r="M302">
            <v>1612.4680347393494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1536.5920771442482</v>
          </cell>
          <cell r="H303">
            <v>1.5365920771442481</v>
          </cell>
          <cell r="I303">
            <v>12.412138638764644</v>
          </cell>
          <cell r="J303">
            <v>1.2412138638764643E-2</v>
          </cell>
          <cell r="K303">
            <v>81.286485623003202</v>
          </cell>
          <cell r="L303">
            <v>8.1286485623003196E-2</v>
          </cell>
          <cell r="M303">
            <v>1630.2907014060161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11.2</v>
          </cell>
          <cell r="J304">
            <v>1.12E-2</v>
          </cell>
          <cell r="K304">
            <v>440</v>
          </cell>
          <cell r="L304">
            <v>0.44</v>
          </cell>
          <cell r="M304">
            <v>1211.4833333333336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2054.0305555555556</v>
          </cell>
          <cell r="H305">
            <v>2.0540305555555554</v>
          </cell>
          <cell r="I305">
            <v>18.238</v>
          </cell>
          <cell r="J305">
            <v>1.8238000000000001E-2</v>
          </cell>
          <cell r="K305">
            <v>357.5</v>
          </cell>
          <cell r="L305">
            <v>0.35749999999999998</v>
          </cell>
          <cell r="M305">
            <v>2429.7685555555554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1857.0811819526627</v>
          </cell>
          <cell r="H306">
            <v>1.8570811819526627</v>
          </cell>
          <cell r="I306">
            <v>0.10230769230769231</v>
          </cell>
          <cell r="J306">
            <v>1.023076923076923E-4</v>
          </cell>
          <cell r="K306">
            <v>26.4</v>
          </cell>
          <cell r="L306">
            <v>2.64E-2</v>
          </cell>
          <cell r="M306">
            <v>1883.5834896449705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1874.8326612426038</v>
          </cell>
          <cell r="H307">
            <v>1.8748326612426038</v>
          </cell>
          <cell r="I307">
            <v>0.10230769230769231</v>
          </cell>
          <cell r="J307">
            <v>1.023076923076923E-4</v>
          </cell>
          <cell r="K307">
            <v>26.4</v>
          </cell>
          <cell r="L307">
            <v>2.64E-2</v>
          </cell>
          <cell r="M307">
            <v>1901.3349689349116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4637.1111111111113</v>
          </cell>
          <cell r="H308">
            <v>4.6371111111111114</v>
          </cell>
          <cell r="I308">
            <v>3.2953125000000001</v>
          </cell>
          <cell r="J308">
            <v>3.2953125000000001E-3</v>
          </cell>
          <cell r="K308">
            <v>85.8</v>
          </cell>
          <cell r="L308">
            <v>8.5800000000000001E-2</v>
          </cell>
          <cell r="M308">
            <v>4726.2064236111119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119.56915613538951</v>
          </cell>
          <cell r="H309">
            <v>119.56915613538951</v>
          </cell>
          <cell r="I309">
            <v>0.2126477452699318</v>
          </cell>
          <cell r="J309">
            <v>0.2126477452699318</v>
          </cell>
          <cell r="K309">
            <v>40.112065916580889</v>
          </cell>
          <cell r="L309">
            <v>40.112065916580889</v>
          </cell>
          <cell r="M309">
            <v>159.89386979724031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1811.4551714217214</v>
          </cell>
          <cell r="H310">
            <v>1.8114551714217213</v>
          </cell>
          <cell r="I310">
            <v>0.10203788060417167</v>
          </cell>
          <cell r="J310">
            <v>1.0203788060417167E-4</v>
          </cell>
          <cell r="K310">
            <v>26.344999999999999</v>
          </cell>
          <cell r="L310">
            <v>2.6345E-2</v>
          </cell>
          <cell r="M310">
            <v>1837.9022093023257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4154.141339001666</v>
          </cell>
          <cell r="H311">
            <v>4.1541413390016659</v>
          </cell>
          <cell r="I311">
            <v>7.3150415833333327</v>
          </cell>
          <cell r="J311">
            <v>7.3150415833333326E-3</v>
          </cell>
          <cell r="K311">
            <v>34.561083333333329</v>
          </cell>
          <cell r="L311">
            <v>3.4561083333333326E-2</v>
          </cell>
          <cell r="M311">
            <v>4196.0174639183324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>
            <v>2016.3346469012715</v>
          </cell>
          <cell r="H312">
            <v>2.0163346469012717</v>
          </cell>
          <cell r="I312">
            <v>2.8680339998556272</v>
          </cell>
          <cell r="J312">
            <v>2.8680339998556274E-3</v>
          </cell>
          <cell r="K312">
            <v>195.42320784908205</v>
          </cell>
          <cell r="L312">
            <v>0.19542320784908204</v>
          </cell>
          <cell r="M312">
            <v>2214.6258887502095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2237.9252893708931</v>
          </cell>
          <cell r="H313">
            <v>2.2379252893708932</v>
          </cell>
          <cell r="I313">
            <v>7.1559602443555033</v>
          </cell>
          <cell r="J313">
            <v>7.1559602443555031E-3</v>
          </cell>
          <cell r="K313">
            <v>183.23279122541604</v>
          </cell>
          <cell r="L313">
            <v>0.18323279122541603</v>
          </cell>
          <cell r="M313">
            <v>2428.3140408406643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1635.1089760583477</v>
          </cell>
          <cell r="H314">
            <v>1.6351089760583477</v>
          </cell>
          <cell r="I314">
            <v>3.2383516981132079</v>
          </cell>
          <cell r="J314">
            <v>3.2383516981132079E-3</v>
          </cell>
          <cell r="K314">
            <v>151.03899371069181</v>
          </cell>
          <cell r="L314">
            <v>0.15103899371069182</v>
          </cell>
          <cell r="M314">
            <v>1789.3863214671528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2155.1414463087249</v>
          </cell>
          <cell r="H315">
            <v>2.1551414463087251</v>
          </cell>
          <cell r="I315">
            <v>40.668900624999999</v>
          </cell>
          <cell r="J315">
            <v>4.0668900624999997E-2</v>
          </cell>
          <cell r="K315">
            <v>277.77749999999997</v>
          </cell>
          <cell r="L315">
            <v>0.27777749999999996</v>
          </cell>
          <cell r="M315">
            <v>2473.5878469337249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4400.6668798490009</v>
          </cell>
          <cell r="H316">
            <v>4400.6668798490009</v>
          </cell>
          <cell r="I316">
            <v>18.7934745745283</v>
          </cell>
          <cell r="J316">
            <v>18.7934745745283</v>
          </cell>
          <cell r="K316">
            <v>338.92141509433958</v>
          </cell>
          <cell r="L316">
            <v>338.92141509433958</v>
          </cell>
          <cell r="M316">
            <v>4758.3817695178686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1303.5859943314028</v>
          </cell>
          <cell r="H317">
            <v>1.3035859943314028</v>
          </cell>
          <cell r="I317">
            <v>8.2409125425269387</v>
          </cell>
          <cell r="J317">
            <v>8.2409125425269396E-3</v>
          </cell>
          <cell r="K317">
            <v>91.284729989655176</v>
          </cell>
          <cell r="L317">
            <v>9.1284729989655172E-2</v>
          </cell>
          <cell r="M317">
            <v>1403.1116368635851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1861.3735409168876</v>
          </cell>
          <cell r="H318">
            <v>1861.3735409168876</v>
          </cell>
          <cell r="I318">
            <v>25.718617649023376</v>
          </cell>
          <cell r="J318">
            <v>25.718617649023376</v>
          </cell>
          <cell r="K318">
            <v>69.729209523809516</v>
          </cell>
          <cell r="L318">
            <v>69.729209523809516</v>
          </cell>
          <cell r="M318">
            <v>1956.8213680897204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80.061607359698115</v>
          </cell>
          <cell r="H319">
            <v>80.061607359698115</v>
          </cell>
          <cell r="I319">
            <v>7.3006222101252032</v>
          </cell>
          <cell r="J319">
            <v>7.3006222101252032</v>
          </cell>
          <cell r="K319">
            <v>3.0346408</v>
          </cell>
          <cell r="L319">
            <v>3.0346408</v>
          </cell>
          <cell r="M319">
            <v>90.396870369823318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1354.909685149026</v>
          </cell>
          <cell r="H320">
            <v>1354.909685149026</v>
          </cell>
          <cell r="I320">
            <v>15.139552896706585</v>
          </cell>
          <cell r="J320">
            <v>15.139552896706585</v>
          </cell>
          <cell r="K320">
            <v>107.82385862068966</v>
          </cell>
          <cell r="L320">
            <v>107.82385862068966</v>
          </cell>
          <cell r="M320">
            <v>1477.8730966664223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5842.7370967741936</v>
          </cell>
          <cell r="H321">
            <v>5.8427370967741936</v>
          </cell>
          <cell r="I321">
            <v>13.976642771804064</v>
          </cell>
          <cell r="J321">
            <v>1.3976642771804064E-2</v>
          </cell>
          <cell r="K321">
            <v>29.535</v>
          </cell>
          <cell r="L321">
            <v>2.9534999999999999E-2</v>
          </cell>
          <cell r="M321">
            <v>5886.2487395459975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1176.5127327254988</v>
          </cell>
          <cell r="H322">
            <v>1.1765127327254989</v>
          </cell>
          <cell r="I322">
            <v>1.3561824561403508</v>
          </cell>
          <cell r="J322">
            <v>1.3561824561403508E-3</v>
          </cell>
          <cell r="K322">
            <v>24.846491228070175</v>
          </cell>
          <cell r="L322">
            <v>2.4846491228070176E-2</v>
          </cell>
          <cell r="M322">
            <v>1202.7154064097094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1708.5548628527356</v>
          </cell>
          <cell r="H323">
            <v>1708.5548628527356</v>
          </cell>
          <cell r="I323">
            <v>1.8986554385964911</v>
          </cell>
          <cell r="J323">
            <v>1.8986554385964911</v>
          </cell>
          <cell r="K323">
            <v>119.08908771929825</v>
          </cell>
          <cell r="L323">
            <v>119.08908771929825</v>
          </cell>
          <cell r="M323">
            <v>1829.5426060106304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>
            <v>1185.3148768021285</v>
          </cell>
          <cell r="H324">
            <v>1.1853148768021284</v>
          </cell>
          <cell r="I324">
            <v>0.15964800000000001</v>
          </cell>
          <cell r="J324">
            <v>1.59648E-4</v>
          </cell>
          <cell r="K324">
            <v>88.33</v>
          </cell>
          <cell r="L324">
            <v>8.8329999999999992E-2</v>
          </cell>
          <cell r="M324">
            <v>1273.8045248021285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>
            <v>1185.3148768021285</v>
          </cell>
          <cell r="H325">
            <v>1.1853148768021284</v>
          </cell>
          <cell r="I325">
            <v>4.1130479999999991</v>
          </cell>
          <cell r="J325">
            <v>4.1130479999999994E-3</v>
          </cell>
          <cell r="K325">
            <v>115.83</v>
          </cell>
          <cell r="L325">
            <v>0.11583</v>
          </cell>
          <cell r="M325">
            <v>1305.2579248021284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2031.4427908136402</v>
          </cell>
          <cell r="H326">
            <v>2.0314427908136401</v>
          </cell>
          <cell r="I326">
            <v>2.7513572000000002</v>
          </cell>
          <cell r="J326">
            <v>2.7513572000000003E-3</v>
          </cell>
          <cell r="K326">
            <v>190.79866666666666</v>
          </cell>
          <cell r="L326">
            <v>0.19079866666666667</v>
          </cell>
          <cell r="M326">
            <v>2224.9928146803068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1852.4260355029587</v>
          </cell>
          <cell r="H327">
            <v>1.8524260355029587</v>
          </cell>
          <cell r="I327">
            <v>14.358974358974361</v>
          </cell>
          <cell r="J327">
            <v>1.4358974358974361E-2</v>
          </cell>
          <cell r="K327">
            <v>140.80000000000001</v>
          </cell>
          <cell r="L327">
            <v>0.14080000000000001</v>
          </cell>
          <cell r="M327">
            <v>2007.585009861933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2069.2959708631579</v>
          </cell>
          <cell r="H328">
            <v>2069.2959708631579</v>
          </cell>
          <cell r="I328">
            <v>0.23397955932115522</v>
          </cell>
          <cell r="J328">
            <v>0.23397955932115522</v>
          </cell>
          <cell r="K328">
            <v>226.76927202102635</v>
          </cell>
          <cell r="L328">
            <v>226.76927202102635</v>
          </cell>
          <cell r="M328">
            <v>2296.2992224435052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1993.1493711304981</v>
          </cell>
          <cell r="H329">
            <v>1.9931493711304982</v>
          </cell>
          <cell r="I329">
            <v>14.004115412430316</v>
          </cell>
          <cell r="J329">
            <v>1.4004115412430317E-2</v>
          </cell>
          <cell r="K329">
            <v>101.64454419139977</v>
          </cell>
          <cell r="L329">
            <v>0.10164454419139977</v>
          </cell>
          <cell r="M329">
            <v>2108.7980307343282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2863.4943250546112</v>
          </cell>
          <cell r="H330">
            <v>2.863494325054611</v>
          </cell>
          <cell r="I330">
            <v>16.15133216217863</v>
          </cell>
          <cell r="J330">
            <v>1.6151332162178629E-2</v>
          </cell>
          <cell r="K330">
            <v>99.698598854590642</v>
          </cell>
          <cell r="L330">
            <v>9.9698598854590648E-2</v>
          </cell>
          <cell r="M330">
            <v>2979.3442560713806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521.40945060483875</v>
          </cell>
          <cell r="H331">
            <v>0.52140945060483879</v>
          </cell>
          <cell r="I331">
            <v>6.9375</v>
          </cell>
          <cell r="J331">
            <v>6.9375000000000001E-3</v>
          </cell>
          <cell r="K331">
            <v>27.72</v>
          </cell>
          <cell r="L331">
            <v>2.7719999999999998E-2</v>
          </cell>
          <cell r="M331">
            <v>556.06695060483878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812.17249677151835</v>
          </cell>
          <cell r="H332">
            <v>0.81217249677151837</v>
          </cell>
          <cell r="I332">
            <v>0.55444108761329303</v>
          </cell>
          <cell r="J332">
            <v>5.5444108761329306E-4</v>
          </cell>
          <cell r="K332">
            <v>13.270366767371602</v>
          </cell>
          <cell r="L332">
            <v>1.3270366767371602E-2</v>
          </cell>
          <cell r="M332">
            <v>825.99730462650325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168.67758998812451</v>
          </cell>
          <cell r="H333">
            <v>168.67758998812451</v>
          </cell>
          <cell r="I333">
            <v>2.7508871975806453</v>
          </cell>
          <cell r="J333">
            <v>2.7508871975806453</v>
          </cell>
          <cell r="K333">
            <v>7.5047327016129035</v>
          </cell>
          <cell r="L333">
            <v>7.5047327016129035</v>
          </cell>
          <cell r="M333">
            <v>178.93320988731807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1273.4996380398497</v>
          </cell>
          <cell r="H334">
            <v>1273.4996380398497</v>
          </cell>
          <cell r="I334">
            <v>14.47997551723825</v>
          </cell>
          <cell r="J334">
            <v>14.47997551723825</v>
          </cell>
          <cell r="K334">
            <v>54.44601333333334</v>
          </cell>
          <cell r="L334">
            <v>54.44601333333334</v>
          </cell>
          <cell r="M334">
            <v>1342.4256268904214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11.351909760623199</v>
          </cell>
          <cell r="H335">
            <v>11.351909760623199</v>
          </cell>
          <cell r="I335">
            <v>9.8960279805128212E-2</v>
          </cell>
          <cell r="J335">
            <v>9.8960279805128212E-2</v>
          </cell>
          <cell r="K335">
            <v>4.7981784653846162</v>
          </cell>
          <cell r="L335">
            <v>4.7981784653846162</v>
          </cell>
          <cell r="M335">
            <v>16.249048505812944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3784.8197387800365</v>
          </cell>
          <cell r="H336">
            <v>3.7848197387800364</v>
          </cell>
          <cell r="I336">
            <v>44.257327837869468</v>
          </cell>
          <cell r="J336">
            <v>4.4257327837869467E-2</v>
          </cell>
          <cell r="K336">
            <v>378.66075437002485</v>
          </cell>
          <cell r="L336">
            <v>0.37866075437002483</v>
          </cell>
          <cell r="M336">
            <v>4207.7378209879307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3300.1120235294125</v>
          </cell>
          <cell r="H337">
            <v>3.3001120235294126</v>
          </cell>
          <cell r="I337">
            <v>3.4932213333333335</v>
          </cell>
          <cell r="J337">
            <v>3.4932213333333335E-3</v>
          </cell>
          <cell r="K337">
            <v>416.38299999999998</v>
          </cell>
          <cell r="L337">
            <v>0.416383</v>
          </cell>
          <cell r="M337">
            <v>3719.9882448627454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31.536261902090761</v>
          </cell>
          <cell r="H338">
            <v>31.536261902090761</v>
          </cell>
          <cell r="I338">
            <v>0.15150146759990971</v>
          </cell>
          <cell r="J338">
            <v>0.15150146759990971</v>
          </cell>
          <cell r="K338">
            <v>13.029478268232108</v>
          </cell>
          <cell r="L338">
            <v>13.029478268232108</v>
          </cell>
          <cell r="M338">
            <v>44.717241637922783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184.90101127432129</v>
          </cell>
          <cell r="H339">
            <v>184.90101127432129</v>
          </cell>
          <cell r="I339">
            <v>2.4620857609757993</v>
          </cell>
          <cell r="J339">
            <v>2.4620857609757993</v>
          </cell>
          <cell r="K339">
            <v>37.355500109699761</v>
          </cell>
          <cell r="L339">
            <v>37.355500109699761</v>
          </cell>
          <cell r="M339">
            <v>224.71859714499686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2517.0096957742462</v>
          </cell>
          <cell r="H340">
            <v>2.517009695774246</v>
          </cell>
          <cell r="I340">
            <v>12.018008459770115</v>
          </cell>
          <cell r="J340">
            <v>1.2018008459770115E-2</v>
          </cell>
          <cell r="K340">
            <v>286.54924137931033</v>
          </cell>
          <cell r="L340">
            <v>0.28654924137931032</v>
          </cell>
          <cell r="M340">
            <v>2815.5769456133266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558.01876342296919</v>
          </cell>
          <cell r="H341">
            <v>0.55801876342296919</v>
          </cell>
          <cell r="I341">
            <v>11.793556671521943</v>
          </cell>
          <cell r="J341">
            <v>1.1793556671521942E-2</v>
          </cell>
          <cell r="K341">
            <v>1090.6028528753502</v>
          </cell>
          <cell r="L341">
            <v>1.0906028528753502</v>
          </cell>
          <cell r="M341">
            <v>1660.4151729698415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6.2778018071194559</v>
          </cell>
          <cell r="H342">
            <v>6.2778018071194559</v>
          </cell>
          <cell r="I342">
            <v>0.12155990844297025</v>
          </cell>
          <cell r="J342">
            <v>0.12155990844297025</v>
          </cell>
          <cell r="K342">
            <v>4.1657132385000004</v>
          </cell>
          <cell r="L342">
            <v>4.1657132385000004</v>
          </cell>
          <cell r="M342">
            <v>10.565074954062426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20.509340268657919</v>
          </cell>
          <cell r="H343">
            <v>20.509340268657919</v>
          </cell>
          <cell r="I343">
            <v>0.30202144690450872</v>
          </cell>
          <cell r="J343">
            <v>0.30202144690450872</v>
          </cell>
          <cell r="K343">
            <v>6.805713238500001</v>
          </cell>
          <cell r="L343">
            <v>6.805713238500001</v>
          </cell>
          <cell r="M343">
            <v>27.617074954062428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933.82975356800398</v>
          </cell>
          <cell r="H344">
            <v>0.93382975356800402</v>
          </cell>
          <cell r="I344">
            <v>9.9434189123726338</v>
          </cell>
          <cell r="J344">
            <v>9.943418912372633E-3</v>
          </cell>
          <cell r="K344">
            <v>10.505000000000001</v>
          </cell>
          <cell r="L344">
            <v>1.0505E-2</v>
          </cell>
          <cell r="M344">
            <v>954.27817248037661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1033.7808345199094</v>
          </cell>
          <cell r="H345">
            <v>1.0337808345199093</v>
          </cell>
          <cell r="I345">
            <v>20.07085762938393</v>
          </cell>
          <cell r="J345">
            <v>2.0070857629383931E-2</v>
          </cell>
          <cell r="K345">
            <v>52.325539750000004</v>
          </cell>
          <cell r="L345">
            <v>5.2325539750000004E-2</v>
          </cell>
          <cell r="M345">
            <v>1106.1772318992932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1890.6416335679614</v>
          </cell>
          <cell r="H346">
            <v>1.8906416335679614</v>
          </cell>
          <cell r="I346">
            <v>2.6043824938396627</v>
          </cell>
          <cell r="J346">
            <v>2.6043824938396629E-3</v>
          </cell>
          <cell r="K346">
            <v>176.35299000000001</v>
          </cell>
          <cell r="L346">
            <v>0.17635299000000002</v>
          </cell>
          <cell r="M346">
            <v>2069.599006061801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466.86294375000006</v>
          </cell>
          <cell r="H347">
            <v>0.46686294375000004</v>
          </cell>
          <cell r="I347">
            <v>0.15870746666666669</v>
          </cell>
          <cell r="J347">
            <v>1.5870746666666669E-4</v>
          </cell>
          <cell r="K347">
            <v>69.016750000000002</v>
          </cell>
          <cell r="L347">
            <v>6.9016750000000002E-2</v>
          </cell>
          <cell r="M347">
            <v>536.03840121666667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632.96900976562506</v>
          </cell>
          <cell r="H348">
            <v>0.63296900976562509</v>
          </cell>
          <cell r="I348">
            <v>0.68078824999999998</v>
          </cell>
          <cell r="J348">
            <v>6.8078824999999996E-4</v>
          </cell>
          <cell r="K348">
            <v>92.203203125000002</v>
          </cell>
          <cell r="L348">
            <v>9.2203203125000008E-2</v>
          </cell>
          <cell r="M348">
            <v>725.853001140625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22.134689178805864</v>
          </cell>
          <cell r="H350">
            <v>22.134689178805864</v>
          </cell>
          <cell r="I350">
            <v>9.4790278884965898E-2</v>
          </cell>
          <cell r="J350">
            <v>9.4790278884965898E-2</v>
          </cell>
          <cell r="K350">
            <v>9.6907329582904467</v>
          </cell>
          <cell r="L350">
            <v>9.6907329582904467</v>
          </cell>
          <cell r="M350">
            <v>31.920212415981275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116.98499999999999</v>
          </cell>
          <cell r="L351">
            <v>0.11698499999999999</v>
          </cell>
          <cell r="M351">
            <v>4870.6285759999992</v>
          </cell>
        </row>
        <row r="352">
          <cell r="A352" t="str">
            <v>96270</v>
          </cell>
          <cell r="B352" t="str">
            <v/>
          </cell>
          <cell r="C352" t="str">
            <v/>
          </cell>
          <cell r="D352" t="str">
            <v/>
          </cell>
          <cell r="E352" t="str">
            <v>Und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908000051</v>
          </cell>
          <cell r="B353" t="str">
            <v/>
          </cell>
          <cell r="C353" t="str">
            <v/>
          </cell>
          <cell r="D353" t="str">
            <v/>
          </cell>
          <cell r="E353" t="str">
            <v>Kilo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A354" t="str">
            <v>901000142</v>
          </cell>
          <cell r="B354" t="str">
            <v/>
          </cell>
          <cell r="C354" t="str">
            <v/>
          </cell>
          <cell r="D354" t="str">
            <v/>
          </cell>
          <cell r="E354" t="str">
            <v>Kilo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 t="str">
            <v>901000147</v>
          </cell>
          <cell r="B355" t="str">
            <v/>
          </cell>
          <cell r="C355" t="str">
            <v/>
          </cell>
          <cell r="D355" t="str">
            <v/>
          </cell>
          <cell r="E355" t="str">
            <v>Kilo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20400102</v>
          </cell>
          <cell r="B356" t="str">
            <v/>
          </cell>
          <cell r="C356" t="str">
            <v/>
          </cell>
          <cell r="D356" t="str">
            <v/>
          </cell>
          <cell r="E356" t="str">
            <v>Kilo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A357" t="str">
            <v>90100304</v>
          </cell>
          <cell r="B357" t="str">
            <v/>
          </cell>
          <cell r="C357" t="str">
            <v/>
          </cell>
          <cell r="D357" t="str">
            <v/>
          </cell>
          <cell r="E357" t="str">
            <v>Kilo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A358" t="str">
            <v>906000124</v>
          </cell>
          <cell r="B358" t="str">
            <v/>
          </cell>
          <cell r="C358" t="str">
            <v/>
          </cell>
          <cell r="D358" t="str">
            <v/>
          </cell>
          <cell r="E358" t="str">
            <v>Kilo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A359" t="str">
            <v>907000202</v>
          </cell>
          <cell r="B359" t="str">
            <v/>
          </cell>
          <cell r="C359" t="str">
            <v/>
          </cell>
          <cell r="D359" t="str">
            <v/>
          </cell>
          <cell r="E359" t="str">
            <v>Kilo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 t="str">
            <v>906000050</v>
          </cell>
          <cell r="B360" t="str">
            <v/>
          </cell>
          <cell r="C360" t="str">
            <v/>
          </cell>
          <cell r="D360" t="str">
            <v/>
          </cell>
          <cell r="E360" t="str">
            <v>Und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904000018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907000255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DBFD-60B3-4062-A3B2-73282F4CF119}">
  <dimension ref="A1:M45"/>
  <sheetViews>
    <sheetView zoomScaleNormal="100" workbookViewId="0">
      <selection activeCell="B3" sqref="B3:F3"/>
    </sheetView>
  </sheetViews>
  <sheetFormatPr baseColWidth="10" defaultColWidth="11.44140625" defaultRowHeight="13.2" x14ac:dyDescent="0.25"/>
  <cols>
    <col min="1" max="1" width="16.33203125" style="3" customWidth="1"/>
    <col min="2" max="2" width="24.6640625" style="3" customWidth="1"/>
    <col min="3" max="3" width="40.5546875" style="3" customWidth="1"/>
    <col min="4" max="4" width="17.6640625" style="3" customWidth="1"/>
    <col min="5" max="5" width="11.44140625" style="3"/>
    <col min="6" max="6" width="13.33203125" style="3" customWidth="1"/>
    <col min="7" max="7" width="12.5546875" style="3" customWidth="1"/>
    <col min="8" max="8" width="15.5546875" style="3" customWidth="1"/>
    <col min="9" max="9" width="16" style="3" customWidth="1"/>
    <col min="10" max="16384" width="11.44140625" style="3"/>
  </cols>
  <sheetData>
    <row r="1" spans="1:9" ht="17.399999999999999" x14ac:dyDescent="0.3">
      <c r="A1" s="325"/>
      <c r="B1" s="222"/>
      <c r="C1" s="350" t="s">
        <v>22</v>
      </c>
      <c r="D1" s="350"/>
      <c r="E1" s="350"/>
      <c r="F1" s="350"/>
      <c r="G1" s="350"/>
      <c r="H1" s="1" t="s">
        <v>21</v>
      </c>
      <c r="I1" s="2"/>
    </row>
    <row r="2" spans="1:9" ht="17.399999999999999" x14ac:dyDescent="0.3">
      <c r="A2" s="326"/>
      <c r="B2" s="223"/>
      <c r="C2" s="351" t="s">
        <v>0</v>
      </c>
      <c r="D2" s="351"/>
      <c r="E2" s="351"/>
      <c r="F2" s="351"/>
      <c r="G2" s="351"/>
      <c r="H2" s="4" t="s">
        <v>20</v>
      </c>
      <c r="I2" s="5"/>
    </row>
    <row r="3" spans="1:9" ht="49.95" customHeight="1" x14ac:dyDescent="0.25">
      <c r="A3" s="326"/>
      <c r="B3" s="224"/>
      <c r="C3" s="352" t="s">
        <v>187</v>
      </c>
      <c r="D3" s="353"/>
      <c r="E3" s="353"/>
      <c r="F3" s="353"/>
      <c r="G3" s="354"/>
      <c r="H3" s="355" t="s">
        <v>19</v>
      </c>
      <c r="I3" s="347"/>
    </row>
    <row r="4" spans="1:9" x14ac:dyDescent="0.25">
      <c r="A4" s="326"/>
      <c r="B4" s="223"/>
      <c r="C4" s="39" t="s">
        <v>18</v>
      </c>
      <c r="D4" s="346" t="s">
        <v>25</v>
      </c>
      <c r="E4" s="346"/>
      <c r="F4" s="346"/>
      <c r="G4" s="346"/>
      <c r="H4" s="355"/>
      <c r="I4" s="347"/>
    </row>
    <row r="5" spans="1:9" ht="15" customHeight="1" thickBot="1" x14ac:dyDescent="0.3">
      <c r="A5" s="327"/>
      <c r="B5" s="225"/>
      <c r="C5" s="40" t="s">
        <v>17</v>
      </c>
      <c r="D5" s="349" t="s">
        <v>33</v>
      </c>
      <c r="E5" s="349"/>
      <c r="F5" s="349"/>
      <c r="G5" s="349"/>
      <c r="H5" s="356"/>
      <c r="I5" s="348"/>
    </row>
    <row r="6" spans="1:9" ht="15" customHeight="1" x14ac:dyDescent="0.25">
      <c r="A6" s="34"/>
      <c r="B6" s="34"/>
      <c r="C6" s="35"/>
      <c r="D6" s="36"/>
      <c r="E6" s="36"/>
      <c r="F6" s="36"/>
      <c r="G6" s="36"/>
      <c r="H6" s="37"/>
      <c r="I6" s="38"/>
    </row>
    <row r="7" spans="1:9" ht="21" customHeight="1" thickBot="1" x14ac:dyDescent="0.35">
      <c r="A7" s="361" t="s">
        <v>23</v>
      </c>
      <c r="B7" s="361"/>
      <c r="C7" s="361"/>
      <c r="D7" s="368" t="s">
        <v>63</v>
      </c>
      <c r="E7" s="368"/>
      <c r="F7" s="368"/>
      <c r="G7" s="369" t="s">
        <v>24</v>
      </c>
      <c r="H7" s="369"/>
      <c r="I7" s="44" t="s">
        <v>63</v>
      </c>
    </row>
    <row r="8" spans="1:9" ht="26.4" x14ac:dyDescent="0.25">
      <c r="A8" s="378" t="s">
        <v>1</v>
      </c>
      <c r="B8" s="357" t="s">
        <v>188</v>
      </c>
      <c r="C8" s="359" t="s">
        <v>2</v>
      </c>
      <c r="D8" s="359" t="s">
        <v>3</v>
      </c>
      <c r="E8" s="359" t="s">
        <v>4</v>
      </c>
      <c r="F8" s="359"/>
      <c r="G8" s="359" t="s">
        <v>16</v>
      </c>
      <c r="H8" s="359"/>
      <c r="I8" s="6" t="s">
        <v>5</v>
      </c>
    </row>
    <row r="9" spans="1:9" ht="27" thickBot="1" x14ac:dyDescent="0.3">
      <c r="A9" s="379"/>
      <c r="B9" s="358"/>
      <c r="C9" s="360"/>
      <c r="D9" s="360"/>
      <c r="E9" s="7" t="s">
        <v>6</v>
      </c>
      <c r="F9" s="8" t="s">
        <v>7</v>
      </c>
      <c r="G9" s="7" t="s">
        <v>6</v>
      </c>
      <c r="H9" s="8" t="s">
        <v>7</v>
      </c>
      <c r="I9" s="43" t="s">
        <v>8</v>
      </c>
    </row>
    <row r="10" spans="1:9" x14ac:dyDescent="0.25">
      <c r="A10" s="67" t="s">
        <v>34</v>
      </c>
      <c r="B10" s="67"/>
      <c r="C10" s="68" t="s">
        <v>35</v>
      </c>
      <c r="D10" s="41" t="s">
        <v>36</v>
      </c>
      <c r="E10" s="41">
        <v>2250</v>
      </c>
      <c r="F10" s="41" t="s">
        <v>26</v>
      </c>
      <c r="G10" s="27"/>
      <c r="H10" s="41"/>
      <c r="I10" s="42"/>
    </row>
    <row r="11" spans="1:9" x14ac:dyDescent="0.25">
      <c r="A11" s="67" t="s">
        <v>160</v>
      </c>
      <c r="B11" s="67"/>
      <c r="C11" s="68" t="s">
        <v>161</v>
      </c>
      <c r="D11" s="41" t="s">
        <v>37</v>
      </c>
      <c r="E11" s="41">
        <v>200</v>
      </c>
      <c r="F11" s="41" t="s">
        <v>26</v>
      </c>
      <c r="G11" s="27"/>
      <c r="H11" s="41"/>
      <c r="I11" s="42"/>
    </row>
    <row r="12" spans="1:9" x14ac:dyDescent="0.25">
      <c r="A12" s="67" t="s">
        <v>38</v>
      </c>
      <c r="B12" s="67"/>
      <c r="C12" s="68" t="s">
        <v>39</v>
      </c>
      <c r="D12" s="41" t="s">
        <v>42</v>
      </c>
      <c r="E12" s="41">
        <v>50</v>
      </c>
      <c r="F12" s="41" t="s">
        <v>26</v>
      </c>
      <c r="G12" s="27"/>
      <c r="H12" s="41"/>
      <c r="I12" s="42"/>
    </row>
    <row r="13" spans="1:9" x14ac:dyDescent="0.25">
      <c r="A13" s="67" t="s">
        <v>40</v>
      </c>
      <c r="B13" s="67"/>
      <c r="C13" s="68" t="s">
        <v>41</v>
      </c>
      <c r="D13" s="41" t="s">
        <v>42</v>
      </c>
      <c r="E13" s="41">
        <v>20</v>
      </c>
      <c r="F13" s="41" t="s">
        <v>26</v>
      </c>
      <c r="G13" s="27"/>
      <c r="H13" s="41"/>
      <c r="I13" s="42"/>
    </row>
    <row r="14" spans="1:9" x14ac:dyDescent="0.25">
      <c r="A14" s="69">
        <v>512255</v>
      </c>
      <c r="B14" s="226"/>
      <c r="C14" s="70" t="s">
        <v>43</v>
      </c>
      <c r="D14" s="41" t="s">
        <v>44</v>
      </c>
      <c r="E14" s="41">
        <v>600</v>
      </c>
      <c r="F14" s="41" t="s">
        <v>26</v>
      </c>
      <c r="G14" s="27"/>
      <c r="H14" s="41"/>
      <c r="I14" s="42"/>
    </row>
    <row r="15" spans="1:9" x14ac:dyDescent="0.25">
      <c r="A15" s="49"/>
      <c r="B15" s="49"/>
      <c r="C15"/>
      <c r="D15" s="41"/>
      <c r="E15" s="41"/>
      <c r="F15" s="41"/>
      <c r="G15" s="27"/>
      <c r="H15" s="41"/>
      <c r="I15" s="42"/>
    </row>
    <row r="16" spans="1:9" x14ac:dyDescent="0.25">
      <c r="A16" s="63" t="s">
        <v>54</v>
      </c>
      <c r="B16" s="63"/>
      <c r="C16" s="64" t="s">
        <v>55</v>
      </c>
      <c r="D16" s="41" t="s">
        <v>30</v>
      </c>
      <c r="E16" s="41">
        <v>1000</v>
      </c>
      <c r="F16" s="41" t="s">
        <v>26</v>
      </c>
      <c r="G16" s="27"/>
      <c r="H16" s="41"/>
      <c r="I16" s="42"/>
    </row>
    <row r="17" spans="1:13" x14ac:dyDescent="0.25">
      <c r="A17" s="63" t="s">
        <v>56</v>
      </c>
      <c r="B17" s="63"/>
      <c r="C17" s="64" t="s">
        <v>57</v>
      </c>
      <c r="D17" s="41" t="s">
        <v>58</v>
      </c>
      <c r="E17" s="41">
        <v>2000</v>
      </c>
      <c r="F17" s="41" t="s">
        <v>26</v>
      </c>
      <c r="G17" s="27"/>
      <c r="H17" s="41"/>
      <c r="I17" s="42"/>
    </row>
    <row r="18" spans="1:13" x14ac:dyDescent="0.25">
      <c r="A18" s="49"/>
      <c r="B18" s="49"/>
      <c r="C18"/>
      <c r="D18" s="41"/>
      <c r="E18" s="41"/>
      <c r="F18" s="41"/>
      <c r="G18" s="27"/>
      <c r="H18" s="41"/>
      <c r="I18" s="42"/>
    </row>
    <row r="19" spans="1:13" ht="13.5" customHeight="1" x14ac:dyDescent="0.25">
      <c r="A19" s="65" t="s">
        <v>45</v>
      </c>
      <c r="B19" s="65"/>
      <c r="C19" s="66" t="s">
        <v>46</v>
      </c>
      <c r="D19" s="45" t="s">
        <v>47</v>
      </c>
      <c r="E19" s="46">
        <v>7500</v>
      </c>
      <c r="F19" s="47" t="s">
        <v>26</v>
      </c>
      <c r="G19" s="9"/>
      <c r="H19" s="10"/>
      <c r="I19" s="11"/>
    </row>
    <row r="20" spans="1:13" ht="13.5" customHeight="1" x14ac:dyDescent="0.25">
      <c r="A20" s="53"/>
      <c r="B20" s="53"/>
      <c r="C20" s="54"/>
      <c r="D20" s="45"/>
      <c r="E20" s="46"/>
      <c r="F20" s="47"/>
      <c r="G20" s="9"/>
      <c r="H20" s="10"/>
      <c r="I20" s="11"/>
    </row>
    <row r="21" spans="1:13" ht="13.5" customHeight="1" x14ac:dyDescent="0.25">
      <c r="A21" s="53"/>
      <c r="B21" s="53"/>
      <c r="C21" s="54"/>
      <c r="D21" s="45"/>
      <c r="E21" s="46"/>
      <c r="F21" s="47"/>
      <c r="G21" s="9"/>
      <c r="H21" s="10"/>
      <c r="I21" s="11"/>
    </row>
    <row r="22" spans="1:13" ht="13.5" customHeight="1" x14ac:dyDescent="0.25">
      <c r="A22" s="51">
        <v>1950702</v>
      </c>
      <c r="B22" s="227"/>
      <c r="C22" s="52" t="s">
        <v>48</v>
      </c>
      <c r="D22" s="55" t="s">
        <v>49</v>
      </c>
      <c r="E22" s="56">
        <v>2</v>
      </c>
      <c r="F22" s="56" t="s">
        <v>27</v>
      </c>
      <c r="G22" s="9"/>
      <c r="H22" s="10"/>
      <c r="I22" s="11"/>
    </row>
    <row r="23" spans="1:13" x14ac:dyDescent="0.25">
      <c r="A23" s="51">
        <v>1950708</v>
      </c>
      <c r="B23" s="227"/>
      <c r="C23" s="52" t="s">
        <v>50</v>
      </c>
      <c r="D23" s="55" t="s">
        <v>49</v>
      </c>
      <c r="E23" s="56">
        <v>1</v>
      </c>
      <c r="F23" s="56" t="s">
        <v>27</v>
      </c>
      <c r="G23" s="9"/>
      <c r="H23" s="10"/>
      <c r="I23" s="11"/>
    </row>
    <row r="24" spans="1:13" x14ac:dyDescent="0.25">
      <c r="A24" s="57">
        <v>702123</v>
      </c>
      <c r="B24" s="57"/>
      <c r="C24" s="58" t="s">
        <v>51</v>
      </c>
      <c r="D24" s="55" t="s">
        <v>32</v>
      </c>
      <c r="E24" s="56">
        <v>1</v>
      </c>
      <c r="F24" s="56" t="s">
        <v>27</v>
      </c>
      <c r="G24" s="9"/>
      <c r="H24" s="10"/>
      <c r="I24" s="11"/>
    </row>
    <row r="25" spans="1:13" ht="14.4" x14ac:dyDescent="0.3">
      <c r="A25" s="59">
        <v>60100010</v>
      </c>
      <c r="B25" s="228"/>
      <c r="C25" s="60" t="s">
        <v>52</v>
      </c>
      <c r="D25" s="61" t="s">
        <v>32</v>
      </c>
      <c r="E25" s="56">
        <v>1</v>
      </c>
      <c r="F25" s="62" t="s">
        <v>27</v>
      </c>
      <c r="G25" s="9"/>
      <c r="H25" s="10"/>
      <c r="I25" s="12"/>
    </row>
    <row r="26" spans="1:13" x14ac:dyDescent="0.25">
      <c r="A26" s="13"/>
      <c r="B26" s="229"/>
      <c r="C26" s="14"/>
      <c r="D26" s="48"/>
      <c r="E26" s="15"/>
      <c r="F26" s="15"/>
      <c r="G26" s="15"/>
      <c r="H26" s="15"/>
      <c r="I26" s="12"/>
    </row>
    <row r="27" spans="1:13" ht="13.8" thickBot="1" x14ac:dyDescent="0.3">
      <c r="A27" s="16"/>
      <c r="B27" s="230"/>
      <c r="E27" s="17"/>
      <c r="F27" s="18"/>
      <c r="I27" s="19"/>
      <c r="L27" s="20"/>
    </row>
    <row r="28" spans="1:13" ht="13.8" thickBot="1" x14ac:dyDescent="0.3">
      <c r="A28" s="21"/>
      <c r="B28" s="231"/>
      <c r="C28" s="22"/>
      <c r="D28" s="23" t="s">
        <v>6</v>
      </c>
      <c r="E28" s="24" t="s">
        <v>15</v>
      </c>
      <c r="F28" s="25"/>
      <c r="G28" s="22"/>
      <c r="H28" s="22"/>
      <c r="I28" s="26"/>
      <c r="L28" s="20"/>
    </row>
    <row r="29" spans="1:13" x14ac:dyDescent="0.25">
      <c r="A29" s="370" t="s">
        <v>10</v>
      </c>
      <c r="B29" s="371"/>
      <c r="C29" s="372"/>
      <c r="D29" s="27">
        <v>13600</v>
      </c>
      <c r="E29" s="28" t="s">
        <v>26</v>
      </c>
      <c r="F29" s="373"/>
      <c r="G29" s="373"/>
      <c r="H29" s="374"/>
      <c r="I29" s="375"/>
      <c r="L29" s="20"/>
    </row>
    <row r="30" spans="1:13" x14ac:dyDescent="0.25">
      <c r="A30" s="362" t="s">
        <v>9</v>
      </c>
      <c r="B30" s="363"/>
      <c r="C30" s="364"/>
      <c r="D30" s="29">
        <v>4</v>
      </c>
      <c r="E30" s="10" t="s">
        <v>28</v>
      </c>
      <c r="F30" s="365"/>
      <c r="G30" s="365"/>
      <c r="H30" s="376"/>
      <c r="I30" s="377"/>
      <c r="L30" s="20"/>
    </row>
    <row r="31" spans="1:13" x14ac:dyDescent="0.25">
      <c r="A31" s="362" t="s">
        <v>14</v>
      </c>
      <c r="B31" s="363"/>
      <c r="C31" s="364"/>
      <c r="D31" s="9">
        <f>D29/D32</f>
        <v>1</v>
      </c>
      <c r="E31" s="10" t="s">
        <v>27</v>
      </c>
      <c r="F31" s="365"/>
      <c r="G31" s="365"/>
      <c r="H31" s="376"/>
      <c r="I31" s="377"/>
      <c r="L31" s="20"/>
    </row>
    <row r="32" spans="1:13" x14ac:dyDescent="0.25">
      <c r="A32" s="362" t="s">
        <v>13</v>
      </c>
      <c r="B32" s="363"/>
      <c r="C32" s="364"/>
      <c r="D32" s="9">
        <v>13600</v>
      </c>
      <c r="E32" s="10" t="s">
        <v>26</v>
      </c>
      <c r="F32" s="366"/>
      <c r="G32" s="367"/>
      <c r="H32" s="376"/>
      <c r="I32" s="377"/>
      <c r="L32" s="20"/>
      <c r="M32" s="30"/>
    </row>
    <row r="33" spans="1:12" ht="13.8" thickBot="1" x14ac:dyDescent="0.3">
      <c r="A33" s="331" t="s">
        <v>12</v>
      </c>
      <c r="B33" s="332"/>
      <c r="C33" s="333"/>
      <c r="D33" s="31">
        <f>SUM(E10:E23)-D29</f>
        <v>23</v>
      </c>
      <c r="E33" s="32" t="s">
        <v>26</v>
      </c>
      <c r="F33" s="334"/>
      <c r="G33" s="334"/>
      <c r="H33" s="335"/>
      <c r="I33" s="336"/>
      <c r="L33" s="20"/>
    </row>
    <row r="34" spans="1:12" ht="13.8" thickBot="1" x14ac:dyDescent="0.3">
      <c r="A34" s="343" t="s">
        <v>11</v>
      </c>
      <c r="B34" s="344"/>
      <c r="C34" s="344"/>
      <c r="D34" s="344"/>
      <c r="E34" s="344"/>
      <c r="F34" s="344"/>
      <c r="G34" s="344"/>
      <c r="H34" s="344"/>
      <c r="I34" s="345"/>
    </row>
    <row r="35" spans="1:12" ht="13.8" x14ac:dyDescent="0.25">
      <c r="A35" s="337" t="s">
        <v>53</v>
      </c>
      <c r="B35" s="338"/>
      <c r="C35" s="338"/>
      <c r="D35" s="338"/>
      <c r="E35" s="338"/>
      <c r="F35" s="338"/>
      <c r="G35" s="338"/>
      <c r="H35" s="338"/>
      <c r="I35" s="339"/>
    </row>
    <row r="36" spans="1:12" ht="13.8" x14ac:dyDescent="0.25">
      <c r="A36" s="337" t="s">
        <v>59</v>
      </c>
      <c r="B36" s="338"/>
      <c r="C36" s="338"/>
      <c r="D36" s="338"/>
      <c r="E36" s="338"/>
      <c r="F36" s="338"/>
      <c r="G36" s="338"/>
      <c r="H36" s="338"/>
      <c r="I36" s="339"/>
    </row>
    <row r="37" spans="1:12" ht="13.8" x14ac:dyDescent="0.25">
      <c r="A37" s="337" t="s">
        <v>60</v>
      </c>
      <c r="B37" s="338"/>
      <c r="C37" s="338"/>
      <c r="D37" s="338"/>
      <c r="E37" s="338"/>
      <c r="F37" s="338"/>
      <c r="G37" s="338"/>
      <c r="H37" s="338"/>
      <c r="I37" s="339"/>
    </row>
    <row r="38" spans="1:12" ht="13.8" x14ac:dyDescent="0.25">
      <c r="A38" s="337" t="s">
        <v>61</v>
      </c>
      <c r="B38" s="338"/>
      <c r="C38" s="338"/>
      <c r="D38" s="338"/>
      <c r="E38" s="338"/>
      <c r="F38" s="338"/>
      <c r="G38" s="338"/>
      <c r="H38" s="338"/>
      <c r="I38" s="339"/>
    </row>
    <row r="39" spans="1:12" ht="13.8" x14ac:dyDescent="0.25">
      <c r="A39" s="337"/>
      <c r="B39" s="338"/>
      <c r="C39" s="338"/>
      <c r="D39" s="338"/>
      <c r="E39" s="338"/>
      <c r="F39" s="338"/>
      <c r="G39" s="338"/>
      <c r="H39" s="338"/>
      <c r="I39" s="339"/>
    </row>
    <row r="40" spans="1:12" ht="13.8" x14ac:dyDescent="0.25">
      <c r="A40" s="337"/>
      <c r="B40" s="338"/>
      <c r="C40" s="338"/>
      <c r="D40" s="338"/>
      <c r="E40" s="338"/>
      <c r="F40" s="338"/>
      <c r="G40" s="338"/>
      <c r="H40" s="338"/>
      <c r="I40" s="339"/>
    </row>
    <row r="41" spans="1:12" ht="16.5" customHeight="1" x14ac:dyDescent="0.25">
      <c r="A41" s="340"/>
      <c r="B41" s="341"/>
      <c r="C41" s="341"/>
      <c r="D41" s="341"/>
      <c r="E41" s="341"/>
      <c r="F41" s="341"/>
      <c r="G41" s="341"/>
      <c r="H41" s="341"/>
      <c r="I41" s="342"/>
    </row>
    <row r="42" spans="1:12" ht="16.5" customHeight="1" x14ac:dyDescent="0.25">
      <c r="A42" s="340"/>
      <c r="B42" s="341"/>
      <c r="C42" s="341"/>
      <c r="D42" s="341"/>
      <c r="E42" s="341"/>
      <c r="F42" s="341"/>
      <c r="G42" s="341"/>
      <c r="H42" s="341"/>
      <c r="I42" s="342"/>
    </row>
    <row r="43" spans="1:12" ht="16.5" customHeight="1" thickBot="1" x14ac:dyDescent="0.3">
      <c r="A43" s="328"/>
      <c r="B43" s="329"/>
      <c r="C43" s="329"/>
      <c r="D43" s="329"/>
      <c r="E43" s="329"/>
      <c r="F43" s="329"/>
      <c r="G43" s="329"/>
      <c r="H43" s="329"/>
      <c r="I43" s="330"/>
    </row>
    <row r="45" spans="1:12" x14ac:dyDescent="0.25">
      <c r="A45" s="33"/>
      <c r="B45" s="33"/>
      <c r="C45" s="33"/>
    </row>
  </sheetData>
  <mergeCells count="42">
    <mergeCell ref="A32:C32"/>
    <mergeCell ref="A30:C30"/>
    <mergeCell ref="F30:G30"/>
    <mergeCell ref="F32:G32"/>
    <mergeCell ref="D7:F7"/>
    <mergeCell ref="G7:H7"/>
    <mergeCell ref="G8:H8"/>
    <mergeCell ref="A29:C29"/>
    <mergeCell ref="F29:G29"/>
    <mergeCell ref="H29:I29"/>
    <mergeCell ref="H32:I32"/>
    <mergeCell ref="A8:A9"/>
    <mergeCell ref="H30:I30"/>
    <mergeCell ref="A31:C31"/>
    <mergeCell ref="F31:G31"/>
    <mergeCell ref="H31:I31"/>
    <mergeCell ref="B8:B9"/>
    <mergeCell ref="C8:C9"/>
    <mergeCell ref="D8:D9"/>
    <mergeCell ref="E8:F8"/>
    <mergeCell ref="A7:C7"/>
    <mergeCell ref="D5:G5"/>
    <mergeCell ref="C1:G1"/>
    <mergeCell ref="C2:G2"/>
    <mergeCell ref="C3:G3"/>
    <mergeCell ref="H3:H5"/>
    <mergeCell ref="A1:A5"/>
    <mergeCell ref="A43:I43"/>
    <mergeCell ref="A33:C33"/>
    <mergeCell ref="F33:G33"/>
    <mergeCell ref="H33:I33"/>
    <mergeCell ref="A35:I35"/>
    <mergeCell ref="A41:I41"/>
    <mergeCell ref="A42:I42"/>
    <mergeCell ref="A34:I34"/>
    <mergeCell ref="A36:I36"/>
    <mergeCell ref="A40:I40"/>
    <mergeCell ref="A37:I37"/>
    <mergeCell ref="A38:I38"/>
    <mergeCell ref="A39:I39"/>
    <mergeCell ref="D4:G4"/>
    <mergeCell ref="I3:I5"/>
  </mergeCells>
  <pageMargins left="0.15748031496063" right="0" top="0.98425196850393704" bottom="0.98425196850393704" header="0" footer="0"/>
  <pageSetup scale="7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F175-CF89-42FF-B906-73197F12737A}">
  <dimension ref="A1:Q91"/>
  <sheetViews>
    <sheetView topLeftCell="A43" workbookViewId="0">
      <selection activeCell="D60" sqref="D60"/>
    </sheetView>
  </sheetViews>
  <sheetFormatPr baseColWidth="10" defaultColWidth="8.44140625" defaultRowHeight="13.2" x14ac:dyDescent="0.25"/>
  <cols>
    <col min="1" max="1" width="10" style="126" bestFit="1" customWidth="1"/>
    <col min="2" max="2" width="44.33203125" style="126" bestFit="1" customWidth="1"/>
    <col min="3" max="3" width="10.44140625" style="126" bestFit="1" customWidth="1"/>
    <col min="4" max="4" width="10.44140625" style="126" customWidth="1"/>
    <col min="5" max="5" width="9.6640625" style="126" bestFit="1" customWidth="1"/>
    <col min="6" max="6" width="9.5546875" style="126" bestFit="1" customWidth="1"/>
    <col min="7" max="7" width="9.5546875" style="207" bestFit="1" customWidth="1"/>
    <col min="8" max="8" width="10.44140625" style="198" bestFit="1" customWidth="1"/>
    <col min="9" max="9" width="4.5546875" style="198" customWidth="1"/>
    <col min="10" max="10" width="1.6640625" style="125" customWidth="1"/>
    <col min="11" max="11" width="7" style="126" bestFit="1" customWidth="1"/>
    <col min="12" max="12" width="6.33203125" style="126" customWidth="1"/>
    <col min="13" max="13" width="20.44140625" style="126" customWidth="1"/>
    <col min="14" max="14" width="6.44140625" style="126" bestFit="1" customWidth="1"/>
    <col min="15" max="16" width="8.44140625" style="126"/>
    <col min="17" max="17" width="3.33203125" style="126" customWidth="1"/>
    <col min="18" max="16384" width="8.44140625" style="126"/>
  </cols>
  <sheetData>
    <row r="1" spans="1:10" ht="27.75" customHeight="1" x14ac:dyDescent="0.25">
      <c r="A1" s="121"/>
      <c r="B1" s="121"/>
      <c r="C1" s="121"/>
      <c r="D1" s="121"/>
      <c r="E1" s="122" t="s">
        <v>108</v>
      </c>
      <c r="F1" s="123" t="s">
        <v>109</v>
      </c>
      <c r="G1" s="123" t="s">
        <v>110</v>
      </c>
      <c r="H1" s="123" t="s">
        <v>111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28706.691146666664</v>
      </c>
      <c r="F2" s="127">
        <f>IFERROR(H53,"")</f>
        <v>24406.1</v>
      </c>
      <c r="G2" s="127">
        <f>IFERROR(H54,"")</f>
        <v>63.461333333333336</v>
      </c>
      <c r="H2" s="127">
        <f>IFERROR(H56,"")</f>
        <v>322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380"/>
      <c r="B4" s="380"/>
      <c r="C4" s="380"/>
      <c r="D4" s="380"/>
      <c r="E4" s="380"/>
      <c r="F4" s="380"/>
      <c r="G4" s="380"/>
      <c r="H4" s="380"/>
      <c r="I4" s="130"/>
    </row>
    <row r="5" spans="1:10" ht="19.5" customHeight="1" thickBot="1" x14ac:dyDescent="0.3">
      <c r="A5" s="381" t="s">
        <v>112</v>
      </c>
      <c r="B5" s="382"/>
      <c r="C5" s="382"/>
      <c r="D5" s="382"/>
      <c r="E5" s="382"/>
      <c r="F5" s="382"/>
      <c r="G5" s="382"/>
      <c r="H5" s="383"/>
      <c r="I5" s="131"/>
    </row>
    <row r="6" spans="1:10" ht="18" thickBot="1" x14ac:dyDescent="0.3">
      <c r="A6" s="131"/>
      <c r="B6" s="131"/>
      <c r="C6" s="131"/>
      <c r="D6" s="131"/>
      <c r="E6" s="131"/>
      <c r="F6" s="384" t="s">
        <v>113</v>
      </c>
      <c r="G6" s="384"/>
      <c r="H6" s="132">
        <f ca="1">TODAY()</f>
        <v>46155</v>
      </c>
      <c r="I6" s="132"/>
    </row>
    <row r="7" spans="1:10" ht="40.200000000000003" thickBot="1" x14ac:dyDescent="0.3">
      <c r="A7" s="133" t="s">
        <v>114</v>
      </c>
      <c r="B7" s="134" t="s">
        <v>115</v>
      </c>
      <c r="C7" s="134" t="s">
        <v>114</v>
      </c>
      <c r="D7" s="135" t="s">
        <v>116</v>
      </c>
      <c r="E7" s="135" t="s">
        <v>117</v>
      </c>
      <c r="F7" s="135" t="s">
        <v>118</v>
      </c>
      <c r="G7" s="135" t="s">
        <v>119</v>
      </c>
      <c r="H7" s="136" t="s">
        <v>120</v>
      </c>
      <c r="I7" s="137"/>
    </row>
    <row r="8" spans="1:10" ht="13.8" x14ac:dyDescent="0.3">
      <c r="A8" s="138">
        <v>2850</v>
      </c>
      <c r="B8" s="126" t="s">
        <v>35</v>
      </c>
      <c r="C8" s="139">
        <f>+A8</f>
        <v>2850</v>
      </c>
      <c r="D8" s="140" t="s">
        <v>159</v>
      </c>
      <c r="E8" s="140">
        <v>0.63</v>
      </c>
      <c r="F8" s="140">
        <f>IFERROR(C8*E8,"")</f>
        <v>1795.5</v>
      </c>
      <c r="G8" s="141">
        <f t="shared" ref="G8:G14" si="0">IFERROR(F8/$F$66,"")</f>
        <v>7.1279181093317975E-2</v>
      </c>
      <c r="H8" s="142" t="s">
        <v>34</v>
      </c>
      <c r="I8" s="142"/>
      <c r="J8" s="143"/>
    </row>
    <row r="9" spans="1:10" ht="13.8" x14ac:dyDescent="0.3">
      <c r="A9" s="138">
        <v>200</v>
      </c>
      <c r="B9" s="126" t="s">
        <v>161</v>
      </c>
      <c r="C9" s="139">
        <f t="shared" ref="C9:C14" si="1">+A9</f>
        <v>200</v>
      </c>
      <c r="D9" s="140" t="s">
        <v>159</v>
      </c>
      <c r="E9" s="140">
        <v>18.5</v>
      </c>
      <c r="F9" s="140">
        <f t="shared" ref="F9:F14" si="2">IFERROR(C9*E9,"")</f>
        <v>3700</v>
      </c>
      <c r="G9" s="141">
        <f t="shared" si="0"/>
        <v>0.14688553051811556</v>
      </c>
      <c r="H9" s="142" t="s">
        <v>160</v>
      </c>
      <c r="I9" s="142"/>
      <c r="J9" s="143"/>
    </row>
    <row r="10" spans="1:10" ht="13.8" x14ac:dyDescent="0.3">
      <c r="A10" s="138">
        <v>50</v>
      </c>
      <c r="B10" s="126" t="str">
        <f>IFERROR(VLOOKUP(H10,'[1]Consolidado MP Planta'!$A$2:$M$823,3,0),"")</f>
        <v>SAL REFINADA (PAQ:500g)</v>
      </c>
      <c r="C10" s="139">
        <f t="shared" si="1"/>
        <v>50</v>
      </c>
      <c r="D10" s="140" t="str">
        <f>IFERROR(VLOOKUP(H10,'[1]Consolidado MP Planta'!$A$2:$M$823,13,0),"")</f>
        <v>Gramos</v>
      </c>
      <c r="E10" s="140">
        <v>0.44</v>
      </c>
      <c r="F10" s="140">
        <f t="shared" si="2"/>
        <v>22</v>
      </c>
      <c r="G10" s="141">
        <f t="shared" si="0"/>
        <v>8.7337342470230879E-4</v>
      </c>
      <c r="H10" s="142" t="s">
        <v>38</v>
      </c>
      <c r="I10" s="142"/>
      <c r="J10" s="143"/>
    </row>
    <row r="11" spans="1:10" ht="13.8" x14ac:dyDescent="0.3">
      <c r="A11" s="138">
        <v>20</v>
      </c>
      <c r="B11" s="126" t="str">
        <f>IFERROR(VLOOKUP(H11,'[1]Consolidado MP Planta'!$A$2:$M$823,3,0),"")</f>
        <v>PRESERVANTE 1047S (PAQ=5 KILO)</v>
      </c>
      <c r="C11" s="139">
        <f t="shared" si="1"/>
        <v>20</v>
      </c>
      <c r="D11" s="140" t="str">
        <f>IFERROR(VLOOKUP(H11,'[1]Consolidado MP Planta'!$A$2:$M$823,13,0),"")</f>
        <v>Gramos</v>
      </c>
      <c r="E11" s="140">
        <v>7.88</v>
      </c>
      <c r="F11" s="140">
        <f t="shared" si="2"/>
        <v>157.6</v>
      </c>
      <c r="G11" s="141">
        <f t="shared" si="0"/>
        <v>6.2565296242310846E-3</v>
      </c>
      <c r="H11" s="142" t="s">
        <v>40</v>
      </c>
      <c r="I11" s="142"/>
      <c r="J11" s="143"/>
    </row>
    <row r="12" spans="1:10" ht="13.8" x14ac:dyDescent="0.3">
      <c r="A12" s="138">
        <v>600</v>
      </c>
      <c r="B12" s="126" t="s">
        <v>43</v>
      </c>
      <c r="C12" s="139">
        <f t="shared" si="1"/>
        <v>600</v>
      </c>
      <c r="D12" s="140" t="s">
        <v>159</v>
      </c>
      <c r="E12" s="140">
        <v>3.15</v>
      </c>
      <c r="F12" s="140">
        <f t="shared" si="2"/>
        <v>1890</v>
      </c>
      <c r="G12" s="141">
        <f t="shared" si="0"/>
        <v>7.503071694033471E-2</v>
      </c>
      <c r="H12" s="142" t="s">
        <v>158</v>
      </c>
      <c r="I12" s="142"/>
      <c r="J12" s="143"/>
    </row>
    <row r="13" spans="1:10" ht="13.8" x14ac:dyDescent="0.3">
      <c r="A13" s="138">
        <v>2000</v>
      </c>
      <c r="B13" s="126" t="str">
        <f>IFERROR(VLOOKUP(H13,'[1]Consolidado MP Planta'!$A$2:$M$823,3,0),"")</f>
        <v>COBERTURA CHOCOLATE LECHE (PAQ:5 K)</v>
      </c>
      <c r="C13" s="139">
        <f t="shared" si="1"/>
        <v>2000</v>
      </c>
      <c r="D13" s="140" t="str">
        <f>IFERROR(VLOOKUP(H13,'[1]Consolidado MP Planta'!$A$2:$M$823,13,0),"")</f>
        <v>Gramos</v>
      </c>
      <c r="E13" s="140">
        <f>IFERROR(VLOOKUP(H13,'[1]Consolidado MP Planta'!$A$2:$M$823,12,0),"")</f>
        <v>4.468</v>
      </c>
      <c r="F13" s="140">
        <f t="shared" si="2"/>
        <v>8936</v>
      </c>
      <c r="G13" s="141">
        <f t="shared" si="0"/>
        <v>0.35474840559726506</v>
      </c>
      <c r="H13" s="142" t="s">
        <v>56</v>
      </c>
      <c r="I13" s="142"/>
      <c r="J13" s="143"/>
    </row>
    <row r="14" spans="1:10" ht="13.8" x14ac:dyDescent="0.3">
      <c r="A14" s="138">
        <v>7500</v>
      </c>
      <c r="B14" s="126" t="str">
        <f>IFERROR(VLOOKUP(H14,'[1]Consolidado MP Planta'!$A$2:$M$823,3,0),"")</f>
        <v>AZUCAR BLANCO INDUSTRIAL (SACO:50 K)</v>
      </c>
      <c r="C14" s="139">
        <f t="shared" si="1"/>
        <v>7500</v>
      </c>
      <c r="D14" s="140" t="str">
        <f>IFERROR(VLOOKUP(H14,'[1]Consolidado MP Planta'!$A$2:$M$823,13,0),"")</f>
        <v>Gramos</v>
      </c>
      <c r="E14" s="140">
        <v>0.43</v>
      </c>
      <c r="F14" s="140">
        <f t="shared" si="2"/>
        <v>3225</v>
      </c>
      <c r="G14" s="141">
        <f t="shared" si="0"/>
        <v>0.12802860430295207</v>
      </c>
      <c r="H14" s="142" t="s">
        <v>45</v>
      </c>
      <c r="I14" s="142"/>
      <c r="J14" s="143"/>
    </row>
    <row r="15" spans="1:10" ht="14.4" thickBot="1" x14ac:dyDescent="0.35">
      <c r="A15" s="138"/>
      <c r="B15" s="126" t="str">
        <f>IFERROR(VLOOKUP(H15,'[2]ARTICULOS MP PLANTA'!$A$2:$G$589,2,0),"")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40.200000000000003" thickBot="1" x14ac:dyDescent="0.3">
      <c r="A16" s="133" t="s">
        <v>114</v>
      </c>
      <c r="B16" s="134" t="s">
        <v>121</v>
      </c>
      <c r="C16" s="134" t="s">
        <v>114</v>
      </c>
      <c r="D16" s="135" t="s">
        <v>116</v>
      </c>
      <c r="E16" s="135" t="s">
        <v>117</v>
      </c>
      <c r="F16" s="135" t="s">
        <v>118</v>
      </c>
      <c r="G16" s="135" t="s">
        <v>119</v>
      </c>
      <c r="H16" s="136" t="s">
        <v>120</v>
      </c>
      <c r="I16" s="137"/>
      <c r="J16" s="143"/>
    </row>
    <row r="17" spans="1:12" ht="13.8" x14ac:dyDescent="0.3">
      <c r="A17" s="138">
        <v>1000</v>
      </c>
      <c r="B17" s="126" t="s">
        <v>55</v>
      </c>
      <c r="C17" s="139">
        <f>+A17</f>
        <v>1000</v>
      </c>
      <c r="D17" s="139" t="s">
        <v>159</v>
      </c>
      <c r="E17" s="140">
        <v>4.68</v>
      </c>
      <c r="F17" s="140">
        <f>IFERROR(E17*C17,"")</f>
        <v>4680</v>
      </c>
      <c r="G17" s="141">
        <f t="shared" ref="G17:G24" si="3">IFERROR(F17/$F$66,"")</f>
        <v>0.18579034670940023</v>
      </c>
      <c r="H17" s="142" t="s">
        <v>54</v>
      </c>
      <c r="I17" s="142"/>
      <c r="J17" s="143"/>
    </row>
    <row r="18" spans="1:12" ht="13.8" hidden="1" x14ac:dyDescent="0.3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</row>
    <row r="19" spans="1:12" ht="13.8" hidden="1" x14ac:dyDescent="0.3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8" hidden="1" x14ac:dyDescent="0.3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8" hidden="1" x14ac:dyDescent="0.3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8" hidden="1" x14ac:dyDescent="0.3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8" hidden="1" x14ac:dyDescent="0.3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8" hidden="1" x14ac:dyDescent="0.3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4" thickBot="1" x14ac:dyDescent="0.35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40.200000000000003" thickBot="1" x14ac:dyDescent="0.3">
      <c r="A26" s="133" t="s">
        <v>114</v>
      </c>
      <c r="B26" s="134" t="s">
        <v>92</v>
      </c>
      <c r="C26" s="134" t="s">
        <v>114</v>
      </c>
      <c r="D26" s="135" t="s">
        <v>116</v>
      </c>
      <c r="E26" s="135" t="s">
        <v>117</v>
      </c>
      <c r="F26" s="135" t="s">
        <v>118</v>
      </c>
      <c r="G26" s="135" t="s">
        <v>119</v>
      </c>
      <c r="H26" s="136" t="s">
        <v>120</v>
      </c>
      <c r="I26" s="137"/>
    </row>
    <row r="27" spans="1:12" ht="13.8" x14ac:dyDescent="0.3">
      <c r="A27" s="138">
        <v>2</v>
      </c>
      <c r="B27" s="85" t="str">
        <f>IFERROR(VLOOKUP(H27,'[1]Consolidado MP Planta'!$A$2:$M$823,3,0),"")</f>
        <v>BOLSA 12x18 TRANSP KILO</v>
      </c>
      <c r="C27" s="139">
        <f t="shared" ref="C27:C32" si="6">+A27</f>
        <v>2</v>
      </c>
      <c r="D27" s="140" t="str">
        <f>IFERROR(VLOOKUP(H27,'[1]Consolidado MP Planta'!$A$2:$M$823,13,0),"")</f>
        <v>Und</v>
      </c>
      <c r="E27" s="140">
        <f>IFERROR(VLOOKUP(H27,'[1]Consolidado MP Planta'!$A$2:$M$823,12,0),"")</f>
        <v>11.2</v>
      </c>
      <c r="F27" s="140">
        <f t="shared" ref="F27:F32" si="7">IFERROR(C27*E27,"")</f>
        <v>22.4</v>
      </c>
      <c r="G27" s="141">
        <f t="shared" ref="G27:G32" si="8">IFERROR(F27/$F$66,"")</f>
        <v>8.8925294151507802E-4</v>
      </c>
      <c r="H27" s="144" t="s">
        <v>163</v>
      </c>
      <c r="I27" s="144"/>
      <c r="J27" s="143"/>
      <c r="K27" s="385"/>
      <c r="L27" s="385"/>
    </row>
    <row r="28" spans="1:12" ht="13.8" x14ac:dyDescent="0.3">
      <c r="A28" s="138">
        <v>1</v>
      </c>
      <c r="B28" s="85" t="str">
        <f>IFERROR(VLOOKUP(H28,'[1]Consolidado MP Planta'!$A$2:$M$823,3,0),"")</f>
        <v>BOLSA 17x25 TRANSP KILO</v>
      </c>
      <c r="C28" s="139">
        <f t="shared" si="6"/>
        <v>1</v>
      </c>
      <c r="D28" s="140" t="str">
        <f>IFERROR(VLOOKUP(H28,'[1]Consolidado MP Planta'!$A$2:$M$823,13,0),"")</f>
        <v>Und</v>
      </c>
      <c r="E28" s="140">
        <f>IFERROR(VLOOKUP(H28,'[1]Consolidado MP Planta'!$A$2:$M$823,12,0),"")</f>
        <v>33.333333333333336</v>
      </c>
      <c r="F28" s="140">
        <f t="shared" si="7"/>
        <v>33.333333333333336</v>
      </c>
      <c r="G28" s="141">
        <f t="shared" si="8"/>
        <v>1.323293067730771E-3</v>
      </c>
      <c r="H28" s="144" t="s">
        <v>164</v>
      </c>
      <c r="I28" s="144"/>
      <c r="J28" s="143"/>
      <c r="K28" s="385"/>
      <c r="L28" s="385"/>
    </row>
    <row r="29" spans="1:12" ht="13.8" x14ac:dyDescent="0.3">
      <c r="A29" s="138">
        <v>1</v>
      </c>
      <c r="B29" s="85" t="str">
        <f>IFERROR(VLOOKUP(H29,'[1]Consolidado MP Planta'!$A$2:$M$823,3,0),"")</f>
        <v>ETIQUETA BLANCA 2 5/8X1 15/16 (UND)</v>
      </c>
      <c r="C29" s="139">
        <f t="shared" si="6"/>
        <v>1</v>
      </c>
      <c r="D29" s="140" t="str">
        <f>IFERROR(VLOOKUP(H29,'[1]Consolidado MP Planta'!$A$2:$M$823,13,0),"")</f>
        <v>Und</v>
      </c>
      <c r="E29" s="140">
        <f>IFERROR(VLOOKUP(H29,'[1]Consolidado MP Planta'!$A$2:$M$823,12,0),"")</f>
        <v>2.1280000000000001</v>
      </c>
      <c r="F29" s="140">
        <f t="shared" si="7"/>
        <v>2.1280000000000001</v>
      </c>
      <c r="G29" s="141">
        <f t="shared" si="8"/>
        <v>8.4479029443932415E-5</v>
      </c>
      <c r="H29" s="144" t="s">
        <v>166</v>
      </c>
      <c r="I29" s="144"/>
      <c r="J29" s="143"/>
      <c r="K29" s="385"/>
      <c r="L29" s="385"/>
    </row>
    <row r="30" spans="1:12" ht="13.8" x14ac:dyDescent="0.3">
      <c r="A30" s="138">
        <v>1</v>
      </c>
      <c r="B30" s="85" t="str">
        <f>IFERROR(VLOOKUP(H30,'[1]Consolidado MP Planta'!$A$2:$M$823,3,0),"")</f>
        <v>ETIQUETA ROJA LETRA ALERJENO (UND)</v>
      </c>
      <c r="C30" s="139">
        <f t="shared" si="6"/>
        <v>1</v>
      </c>
      <c r="D30" s="140" t="str">
        <f>IFERROR(VLOOKUP(H30,'[1]Consolidado MP Planta'!$A$2:$M$823,13,0),"")</f>
        <v>Und</v>
      </c>
      <c r="E30" s="140">
        <f>IFERROR(VLOOKUP(H30,'[1]Consolidado MP Planta'!$A$2:$M$823,12,0),"")</f>
        <v>3.6</v>
      </c>
      <c r="F30" s="140">
        <f t="shared" si="7"/>
        <v>3.6</v>
      </c>
      <c r="G30" s="141">
        <f t="shared" si="8"/>
        <v>1.4291565131492327E-4</v>
      </c>
      <c r="H30" s="144" t="s">
        <v>165</v>
      </c>
      <c r="I30" s="144"/>
      <c r="J30" s="143"/>
      <c r="K30" s="385"/>
      <c r="L30" s="385"/>
    </row>
    <row r="31" spans="1:12" ht="13.8" hidden="1" x14ac:dyDescent="0.3">
      <c r="A31" s="138"/>
      <c r="B31" s="85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4"/>
      <c r="I31" s="144"/>
      <c r="J31" s="143"/>
      <c r="K31" s="145"/>
      <c r="L31" s="146"/>
    </row>
    <row r="32" spans="1:12" ht="13.8" hidden="1" x14ac:dyDescent="0.3">
      <c r="A32" s="138"/>
      <c r="B32" s="85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4"/>
      <c r="I32" s="144"/>
      <c r="J32" s="143"/>
    </row>
    <row r="33" spans="1:13" ht="14.4" thickBot="1" x14ac:dyDescent="0.35">
      <c r="A33" s="138"/>
      <c r="B33" s="85"/>
      <c r="C33" s="139"/>
      <c r="D33" s="140"/>
      <c r="E33" s="140"/>
      <c r="F33" s="140"/>
      <c r="G33" s="141"/>
      <c r="H33" s="144"/>
      <c r="I33" s="144"/>
      <c r="J33" s="143"/>
    </row>
    <row r="34" spans="1:13" ht="40.200000000000003" thickBot="1" x14ac:dyDescent="0.3">
      <c r="A34" s="133" t="s">
        <v>114</v>
      </c>
      <c r="B34" s="134" t="s">
        <v>122</v>
      </c>
      <c r="C34" s="134" t="s">
        <v>114</v>
      </c>
      <c r="D34" s="135" t="s">
        <v>116</v>
      </c>
      <c r="E34" s="135" t="s">
        <v>117</v>
      </c>
      <c r="F34" s="135" t="s">
        <v>118</v>
      </c>
      <c r="G34" s="135" t="s">
        <v>119</v>
      </c>
      <c r="H34" s="136" t="s">
        <v>120</v>
      </c>
      <c r="I34" s="144"/>
      <c r="J34" s="143"/>
    </row>
    <row r="35" spans="1:13" ht="13.8" x14ac:dyDescent="0.3">
      <c r="A35" s="138">
        <f>+A17</f>
        <v>1000</v>
      </c>
      <c r="B35" s="85" t="s">
        <v>55</v>
      </c>
      <c r="C35" s="139">
        <f>+A35</f>
        <v>1000</v>
      </c>
      <c r="D35" s="140" t="s">
        <v>159</v>
      </c>
      <c r="E35" s="140">
        <v>2E-3</v>
      </c>
      <c r="F35" s="140">
        <f>IFERROR(E35*C35,"")</f>
        <v>2</v>
      </c>
      <c r="G35" s="141">
        <f t="shared" ref="G35:G41" si="9">IFERROR(F35/$F$66,"")</f>
        <v>7.939758406384625E-5</v>
      </c>
      <c r="H35" s="144" t="s">
        <v>54</v>
      </c>
      <c r="I35" s="144"/>
      <c r="J35" s="143"/>
    </row>
    <row r="36" spans="1:13" ht="13.8" hidden="1" x14ac:dyDescent="0.3">
      <c r="A36" s="138">
        <f t="shared" ref="A36:A41" si="10">+A18</f>
        <v>0</v>
      </c>
      <c r="B36" s="85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4"/>
      <c r="I36" s="144"/>
      <c r="J36" s="143"/>
    </row>
    <row r="37" spans="1:13" ht="13.8" hidden="1" x14ac:dyDescent="0.3">
      <c r="A37" s="138">
        <f t="shared" si="10"/>
        <v>0</v>
      </c>
      <c r="B37" s="85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4"/>
      <c r="I37" s="144"/>
      <c r="J37" s="143"/>
    </row>
    <row r="38" spans="1:13" ht="13.8" hidden="1" x14ac:dyDescent="0.3">
      <c r="A38" s="138">
        <f t="shared" si="10"/>
        <v>0</v>
      </c>
      <c r="B38" s="85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4"/>
      <c r="I38" s="144"/>
      <c r="J38" s="143"/>
    </row>
    <row r="39" spans="1:13" ht="13.8" hidden="1" x14ac:dyDescent="0.3">
      <c r="A39" s="138">
        <f t="shared" si="10"/>
        <v>0</v>
      </c>
      <c r="B39" s="85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4"/>
      <c r="I39" s="144"/>
      <c r="J39" s="143"/>
    </row>
    <row r="40" spans="1:13" ht="13.8" hidden="1" x14ac:dyDescent="0.3">
      <c r="A40" s="138">
        <f t="shared" si="10"/>
        <v>0</v>
      </c>
      <c r="B40" s="85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4"/>
      <c r="I40" s="144"/>
      <c r="J40" s="143"/>
    </row>
    <row r="41" spans="1:13" ht="13.8" hidden="1" x14ac:dyDescent="0.3">
      <c r="A41" s="138">
        <f t="shared" si="10"/>
        <v>0</v>
      </c>
      <c r="B41" s="85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4"/>
      <c r="I41" s="144"/>
      <c r="J41" s="143"/>
    </row>
    <row r="42" spans="1:13" ht="14.4" thickBot="1" x14ac:dyDescent="0.35">
      <c r="A42" s="138"/>
      <c r="B42" s="85"/>
      <c r="C42" s="139"/>
      <c r="D42" s="140"/>
      <c r="E42" s="140"/>
      <c r="F42" s="140"/>
      <c r="G42" s="141"/>
      <c r="H42" s="144"/>
      <c r="I42" s="144"/>
      <c r="J42" s="143"/>
    </row>
    <row r="43" spans="1:13" ht="40.200000000000003" thickBot="1" x14ac:dyDescent="0.3">
      <c r="A43" s="133" t="s">
        <v>114</v>
      </c>
      <c r="B43" s="134" t="s">
        <v>123</v>
      </c>
      <c r="C43" s="134" t="s">
        <v>114</v>
      </c>
      <c r="D43" s="135" t="s">
        <v>116</v>
      </c>
      <c r="E43" s="135" t="s">
        <v>117</v>
      </c>
      <c r="F43" s="135" t="s">
        <v>118</v>
      </c>
      <c r="G43" s="135" t="s">
        <v>119</v>
      </c>
      <c r="H43" s="136" t="s">
        <v>120</v>
      </c>
      <c r="I43" s="137"/>
      <c r="J43" s="143"/>
    </row>
    <row r="44" spans="1:13" ht="13.8" x14ac:dyDescent="0.3">
      <c r="A44" s="138">
        <f>+A35</f>
        <v>1000</v>
      </c>
      <c r="B44" s="85" t="s">
        <v>55</v>
      </c>
      <c r="C44" s="139">
        <f>+A44</f>
        <v>1000</v>
      </c>
      <c r="D44" s="140" t="s">
        <v>162</v>
      </c>
      <c r="E44" s="140">
        <v>0.09</v>
      </c>
      <c r="F44" s="140">
        <f>IFERROR(E44*C44,"")</f>
        <v>90</v>
      </c>
      <c r="G44" s="141">
        <f>IFERROR(F44/$F$66,"")</f>
        <v>3.5728912828730812E-3</v>
      </c>
      <c r="H44" s="144" t="s">
        <v>54</v>
      </c>
      <c r="I44" s="137"/>
      <c r="J44" s="143"/>
    </row>
    <row r="45" spans="1:13" ht="13.8" hidden="1" x14ac:dyDescent="0.3">
      <c r="A45" s="138">
        <f t="shared" ref="A45:A50" si="13">+A36</f>
        <v>0</v>
      </c>
      <c r="B45" s="85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4"/>
      <c r="I45" s="137"/>
      <c r="J45" s="143"/>
      <c r="M45" s="147"/>
    </row>
    <row r="46" spans="1:13" ht="13.8" hidden="1" x14ac:dyDescent="0.3">
      <c r="A46" s="138">
        <f t="shared" si="13"/>
        <v>0</v>
      </c>
      <c r="B46" s="85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4"/>
      <c r="I46" s="137"/>
      <c r="J46" s="143"/>
    </row>
    <row r="47" spans="1:13" ht="13.8" hidden="1" x14ac:dyDescent="0.3">
      <c r="A47" s="138">
        <f t="shared" si="13"/>
        <v>0</v>
      </c>
      <c r="B47" s="85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4"/>
      <c r="I47" s="137"/>
      <c r="J47" s="143"/>
    </row>
    <row r="48" spans="1:13" ht="13.8" hidden="1" x14ac:dyDescent="0.3">
      <c r="A48" s="138">
        <f t="shared" si="13"/>
        <v>0</v>
      </c>
      <c r="B48" s="85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4"/>
      <c r="I48" s="137"/>
      <c r="J48" s="143"/>
    </row>
    <row r="49" spans="1:17" ht="13.8" hidden="1" x14ac:dyDescent="0.3">
      <c r="A49" s="138">
        <f t="shared" si="13"/>
        <v>0</v>
      </c>
      <c r="B49" s="85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4"/>
      <c r="I49" s="137"/>
      <c r="J49" s="143"/>
    </row>
    <row r="50" spans="1:17" ht="13.8" hidden="1" x14ac:dyDescent="0.3">
      <c r="A50" s="138">
        <f t="shared" si="13"/>
        <v>0</v>
      </c>
      <c r="B50" s="85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85"/>
      <c r="I50" s="137"/>
      <c r="J50" s="143"/>
    </row>
    <row r="51" spans="1:17" ht="13.8" x14ac:dyDescent="0.3">
      <c r="A51" s="138">
        <v>1</v>
      </c>
      <c r="B51" s="85" t="s">
        <v>124</v>
      </c>
      <c r="C51" s="139">
        <f>+A51</f>
        <v>1</v>
      </c>
      <c r="D51" s="139" t="s">
        <v>125</v>
      </c>
      <c r="E51" s="140">
        <f>+F65</f>
        <v>232</v>
      </c>
      <c r="F51" s="140">
        <f>IFERROR(C51*E51,"")</f>
        <v>232</v>
      </c>
      <c r="G51" s="141">
        <f>IFERROR(F51/$F$66,"")</f>
        <v>9.2101197514061657E-3</v>
      </c>
      <c r="H51" s="148"/>
      <c r="I51" s="148"/>
      <c r="J51" s="143"/>
    </row>
    <row r="52" spans="1:17" ht="14.4" thickBot="1" x14ac:dyDescent="0.35">
      <c r="A52" s="138"/>
      <c r="B52" s="85"/>
      <c r="C52" s="139"/>
      <c r="D52" s="139"/>
      <c r="E52" s="140"/>
      <c r="F52" s="140"/>
      <c r="G52" s="141"/>
      <c r="H52" s="148"/>
      <c r="I52" s="148"/>
      <c r="J52" s="143"/>
    </row>
    <row r="53" spans="1:17" ht="13.8" thickBot="1" x14ac:dyDescent="0.3">
      <c r="A53" s="149"/>
      <c r="B53" s="386" t="s">
        <v>126</v>
      </c>
      <c r="C53" s="386"/>
      <c r="D53" s="386"/>
      <c r="E53" s="386"/>
      <c r="F53" s="151">
        <f>SUM(F8:F14,F17:F24)</f>
        <v>24406.1</v>
      </c>
      <c r="G53" s="141">
        <f>+F53/$F$66</f>
        <v>0.96889268821031893</v>
      </c>
      <c r="H53" s="152">
        <f>+F53/$D$60</f>
        <v>24406.1</v>
      </c>
      <c r="I53" s="152"/>
      <c r="J53" s="153"/>
      <c r="K53" s="154"/>
      <c r="L53" s="154"/>
      <c r="M53" s="154"/>
      <c r="N53" s="154"/>
      <c r="O53" s="154"/>
      <c r="P53" s="154"/>
      <c r="Q53" s="155"/>
    </row>
    <row r="54" spans="1:17" x14ac:dyDescent="0.25">
      <c r="A54" s="149"/>
      <c r="B54" s="386" t="s">
        <v>127</v>
      </c>
      <c r="C54" s="386"/>
      <c r="D54" s="386"/>
      <c r="E54" s="386"/>
      <c r="F54" s="151">
        <f>SUM(F27:F32,F35:F41)</f>
        <v>63.461333333333336</v>
      </c>
      <c r="G54" s="141">
        <f>+F54/$F$66</f>
        <v>2.5193382740685507E-3</v>
      </c>
      <c r="H54" s="152">
        <f>+F54/$D$60</f>
        <v>63.461333333333336</v>
      </c>
      <c r="I54" s="152"/>
      <c r="J54" s="156"/>
      <c r="K54" s="387" t="s">
        <v>128</v>
      </c>
      <c r="L54" s="388"/>
      <c r="M54" s="388"/>
      <c r="N54" s="388"/>
      <c r="O54" s="157">
        <f>+F55</f>
        <v>24469.561333333331</v>
      </c>
      <c r="P54" s="157"/>
      <c r="Q54" s="158"/>
    </row>
    <row r="55" spans="1:17" x14ac:dyDescent="0.25">
      <c r="A55" s="149"/>
      <c r="B55" s="386" t="s">
        <v>129</v>
      </c>
      <c r="C55" s="386"/>
      <c r="D55" s="386"/>
      <c r="E55" s="386"/>
      <c r="F55" s="151">
        <f>+F53+F54</f>
        <v>24469.561333333331</v>
      </c>
      <c r="G55" s="141">
        <f>+F55/$F$66</f>
        <v>0.97141202648438751</v>
      </c>
      <c r="H55" s="152">
        <f>+F55/$D$60</f>
        <v>24469.561333333331</v>
      </c>
      <c r="I55" s="152"/>
      <c r="J55" s="159"/>
      <c r="K55" s="160"/>
      <c r="M55" s="161" t="s">
        <v>130</v>
      </c>
      <c r="N55" s="162"/>
      <c r="O55" s="157">
        <f>+H56</f>
        <v>322</v>
      </c>
      <c r="P55" s="157"/>
      <c r="Q55" s="158"/>
    </row>
    <row r="56" spans="1:17" ht="13.8" thickBot="1" x14ac:dyDescent="0.3">
      <c r="A56" s="149"/>
      <c r="B56" s="150"/>
      <c r="C56" s="386" t="s">
        <v>131</v>
      </c>
      <c r="D56" s="386"/>
      <c r="E56" s="386"/>
      <c r="F56" s="151">
        <f>SUM(F44:F51)</f>
        <v>322</v>
      </c>
      <c r="G56" s="141">
        <f>+F56/$F$66</f>
        <v>1.2783011034279246E-2</v>
      </c>
      <c r="H56" s="152">
        <f>+F56/$D$60</f>
        <v>322</v>
      </c>
      <c r="I56" s="152"/>
      <c r="J56" s="159"/>
      <c r="K56" s="160"/>
      <c r="L56" s="160"/>
      <c r="M56" s="160" t="s">
        <v>132</v>
      </c>
      <c r="N56" s="163"/>
      <c r="O56" s="157">
        <f>O54*N56</f>
        <v>0</v>
      </c>
      <c r="P56" s="157"/>
      <c r="Q56" s="158"/>
    </row>
    <row r="57" spans="1:17" ht="13.8" thickBot="1" x14ac:dyDescent="0.25">
      <c r="A57" s="149"/>
      <c r="B57" s="164"/>
      <c r="C57" s="164"/>
      <c r="D57" s="164"/>
      <c r="E57" s="164"/>
      <c r="F57" s="165"/>
      <c r="G57" s="141"/>
      <c r="H57" s="166"/>
      <c r="I57" s="152"/>
      <c r="J57" s="159"/>
      <c r="K57" s="167"/>
      <c r="M57" s="168" t="s">
        <v>133</v>
      </c>
      <c r="N57" s="169"/>
      <c r="O57" s="170">
        <f>SUM(O54:O56)</f>
        <v>24791.561333333331</v>
      </c>
      <c r="P57" s="171"/>
      <c r="Q57" s="158"/>
    </row>
    <row r="58" spans="1:17" x14ac:dyDescent="0.25">
      <c r="B58" s="390" t="s">
        <v>134</v>
      </c>
      <c r="C58" s="390"/>
      <c r="D58" s="172">
        <v>14200</v>
      </c>
      <c r="E58" s="173"/>
      <c r="G58" s="141"/>
      <c r="H58" s="166"/>
      <c r="I58" s="174"/>
      <c r="J58" s="159"/>
      <c r="K58" s="167"/>
      <c r="L58" s="160"/>
      <c r="M58" s="160" t="s">
        <v>135</v>
      </c>
      <c r="N58" s="175">
        <v>0.16</v>
      </c>
      <c r="O58" s="157">
        <f>+O54*N58</f>
        <v>3915.129813333333</v>
      </c>
      <c r="P58" s="157"/>
      <c r="Q58" s="158"/>
    </row>
    <row r="59" spans="1:17" x14ac:dyDescent="0.25">
      <c r="B59" s="390" t="s">
        <v>136</v>
      </c>
      <c r="C59" s="390"/>
      <c r="D59" s="176">
        <v>14200</v>
      </c>
      <c r="E59" s="173"/>
      <c r="G59" s="141"/>
      <c r="H59" s="166"/>
      <c r="I59" s="174"/>
      <c r="J59" s="159"/>
      <c r="K59" s="167"/>
      <c r="L59" s="160"/>
      <c r="M59" s="391" t="s">
        <v>133</v>
      </c>
      <c r="N59" s="391"/>
      <c r="O59" s="157">
        <f>SUM(O57:O58)</f>
        <v>28706.691146666664</v>
      </c>
      <c r="P59" s="157"/>
      <c r="Q59" s="158"/>
    </row>
    <row r="60" spans="1:17" ht="13.8" thickBot="1" x14ac:dyDescent="0.3">
      <c r="B60" s="392" t="s">
        <v>137</v>
      </c>
      <c r="C60" s="392"/>
      <c r="D60" s="172">
        <f>+D58/D59</f>
        <v>1</v>
      </c>
      <c r="E60" s="173"/>
      <c r="F60" s="177"/>
      <c r="G60" s="141"/>
      <c r="H60" s="166"/>
      <c r="I60" s="174"/>
      <c r="J60" s="159"/>
      <c r="K60" s="167"/>
      <c r="L60" s="391"/>
      <c r="M60" s="391"/>
      <c r="N60" s="175"/>
      <c r="O60" s="157">
        <f>+O59*N60</f>
        <v>0</v>
      </c>
      <c r="P60" s="157"/>
      <c r="Q60" s="158"/>
    </row>
    <row r="61" spans="1:17" ht="13.8" thickBot="1" x14ac:dyDescent="0.25">
      <c r="B61" s="392" t="s">
        <v>138</v>
      </c>
      <c r="C61" s="392"/>
      <c r="D61" s="178"/>
      <c r="E61" s="173"/>
      <c r="F61" s="177"/>
      <c r="G61" s="141"/>
      <c r="H61" s="166"/>
      <c r="I61" s="174"/>
      <c r="J61" s="159"/>
      <c r="K61" s="393" t="s">
        <v>139</v>
      </c>
      <c r="L61" s="394"/>
      <c r="M61" s="394"/>
      <c r="N61" s="395"/>
      <c r="O61" s="170">
        <f>SUM(O59:O60)</f>
        <v>28706.691146666664</v>
      </c>
      <c r="P61" s="179" t="s">
        <v>140</v>
      </c>
      <c r="Q61" s="158"/>
    </row>
    <row r="62" spans="1:17" ht="13.8" thickBot="1" x14ac:dyDescent="0.25">
      <c r="C62" s="149" t="s">
        <v>141</v>
      </c>
      <c r="D62" s="180"/>
      <c r="E62" s="124" t="s">
        <v>142</v>
      </c>
      <c r="F62" s="181" t="s">
        <v>143</v>
      </c>
      <c r="G62" s="141"/>
      <c r="H62" s="166"/>
      <c r="I62" s="174"/>
      <c r="J62" s="182"/>
      <c r="K62" s="183"/>
      <c r="L62" s="401" t="s">
        <v>144</v>
      </c>
      <c r="M62" s="401"/>
      <c r="N62" s="401"/>
      <c r="O62" s="184">
        <f>+O61/D60</f>
        <v>28706.691146666664</v>
      </c>
      <c r="P62" s="185">
        <f>+O62/D59</f>
        <v>2.0215979680751173</v>
      </c>
      <c r="Q62" s="186"/>
    </row>
    <row r="63" spans="1:17" ht="13.8" thickBot="1" x14ac:dyDescent="0.25">
      <c r="B63" s="402" t="s">
        <v>129</v>
      </c>
      <c r="C63" s="402"/>
      <c r="D63" s="402"/>
      <c r="E63" s="187">
        <f>+F63/F63</f>
        <v>1</v>
      </c>
      <c r="F63" s="188">
        <f>SUM(F55)</f>
        <v>24469.561333333331</v>
      </c>
      <c r="G63" s="141">
        <f>+F63/$F$66</f>
        <v>0.97141202648438751</v>
      </c>
      <c r="H63" s="166"/>
      <c r="I63" s="174"/>
      <c r="K63" s="403"/>
      <c r="L63" s="404"/>
      <c r="M63" s="404"/>
      <c r="N63" s="404"/>
      <c r="O63" s="189"/>
      <c r="P63" s="190"/>
    </row>
    <row r="64" spans="1:17" ht="13.8" thickBot="1" x14ac:dyDescent="0.3">
      <c r="B64" s="405" t="s">
        <v>145</v>
      </c>
      <c r="C64" s="405"/>
      <c r="D64" s="405"/>
      <c r="E64" s="191">
        <v>0.02</v>
      </c>
      <c r="F64" s="188">
        <f>+F53*E64</f>
        <v>488.12199999999996</v>
      </c>
      <c r="G64" s="141">
        <f>+F64/$F$66</f>
        <v>1.9377853764206379E-2</v>
      </c>
      <c r="H64" s="152"/>
      <c r="I64" s="174"/>
      <c r="J64" s="192"/>
      <c r="O64" s="193"/>
      <c r="P64" s="150"/>
    </row>
    <row r="65" spans="2:13" ht="13.8" thickBot="1" x14ac:dyDescent="0.3">
      <c r="B65" s="406" t="s">
        <v>146</v>
      </c>
      <c r="C65" s="407"/>
      <c r="D65" s="194">
        <v>4</v>
      </c>
      <c r="E65" s="195">
        <v>58</v>
      </c>
      <c r="F65" s="188">
        <f>+E65*D65</f>
        <v>232</v>
      </c>
      <c r="G65" s="141">
        <f>+F65/$F$66</f>
        <v>9.2101197514061657E-3</v>
      </c>
      <c r="H65" s="152"/>
      <c r="I65" s="152"/>
      <c r="J65" s="143"/>
    </row>
    <row r="66" spans="2:13" ht="13.8" thickBot="1" x14ac:dyDescent="0.3">
      <c r="B66" s="408" t="s">
        <v>147</v>
      </c>
      <c r="C66" s="409"/>
      <c r="D66" s="409"/>
      <c r="E66" s="410"/>
      <c r="F66" s="165">
        <f>SUM(F63:F65)</f>
        <v>25189.683333333331</v>
      </c>
      <c r="G66" s="141">
        <f>+F66/$F$66</f>
        <v>1</v>
      </c>
      <c r="H66" s="389"/>
      <c r="I66" s="152"/>
      <c r="J66" s="143"/>
      <c r="M66" s="126" t="s">
        <v>148</v>
      </c>
    </row>
    <row r="67" spans="2:13" x14ac:dyDescent="0.25">
      <c r="C67" s="147"/>
      <c r="D67" s="147"/>
      <c r="E67" s="197"/>
      <c r="F67" s="188"/>
      <c r="G67" s="141"/>
      <c r="H67" s="389"/>
      <c r="I67" s="196"/>
      <c r="J67" s="126"/>
      <c r="M67" s="126" t="s">
        <v>149</v>
      </c>
    </row>
    <row r="68" spans="2:13" ht="13.8" thickBot="1" x14ac:dyDescent="0.3">
      <c r="B68" s="396" t="s">
        <v>150</v>
      </c>
      <c r="C68" s="396"/>
      <c r="D68" s="396"/>
      <c r="E68" s="396"/>
      <c r="F68" s="396"/>
      <c r="G68" s="141"/>
      <c r="H68" s="199"/>
      <c r="I68" s="196"/>
      <c r="J68" s="126"/>
    </row>
    <row r="69" spans="2:13" ht="13.8" thickBot="1" x14ac:dyDescent="0.3">
      <c r="B69" s="200" t="s">
        <v>151</v>
      </c>
      <c r="C69" s="201">
        <f>+F53</f>
        <v>24406.1</v>
      </c>
      <c r="D69" s="201">
        <f>+D58</f>
        <v>14200</v>
      </c>
      <c r="E69" s="202">
        <f>+C69/D69</f>
        <v>1.7187394366197182</v>
      </c>
      <c r="F69" s="141"/>
      <c r="G69" s="199"/>
      <c r="H69" s="143"/>
      <c r="I69" s="199"/>
      <c r="J69" s="126"/>
    </row>
    <row r="70" spans="2:13" x14ac:dyDescent="0.25">
      <c r="B70" s="203"/>
      <c r="C70" s="204"/>
      <c r="D70" s="205"/>
      <c r="E70" s="188"/>
      <c r="F70" s="141"/>
      <c r="G70" s="199"/>
      <c r="H70" s="143"/>
      <c r="I70" s="143"/>
      <c r="J70" s="126"/>
    </row>
    <row r="71" spans="2:13" x14ac:dyDescent="0.25">
      <c r="B71" s="200" t="s">
        <v>152</v>
      </c>
      <c r="C71" s="201">
        <f>SUM(F63:F64)</f>
        <v>24957.683333333331</v>
      </c>
      <c r="D71" s="201">
        <f>+D58</f>
        <v>14200</v>
      </c>
      <c r="E71" s="206">
        <f>+C71/D71</f>
        <v>1.7575833333333331</v>
      </c>
      <c r="F71" s="141"/>
      <c r="G71" s="199"/>
      <c r="H71" s="143"/>
      <c r="I71" s="143"/>
      <c r="J71" s="126"/>
    </row>
    <row r="72" spans="2:13" x14ac:dyDescent="0.25">
      <c r="B72" s="200"/>
      <c r="C72" s="201"/>
      <c r="D72" s="201"/>
      <c r="E72" s="206"/>
      <c r="F72" s="141"/>
      <c r="G72" s="199"/>
      <c r="H72" s="143"/>
      <c r="I72" s="143"/>
      <c r="J72" s="126"/>
    </row>
    <row r="73" spans="2:13" ht="13.8" thickBot="1" x14ac:dyDescent="0.3">
      <c r="B73" s="200" t="s">
        <v>153</v>
      </c>
      <c r="C73" s="201">
        <f>+F65</f>
        <v>232</v>
      </c>
      <c r="D73" s="201">
        <f>+D58</f>
        <v>14200</v>
      </c>
      <c r="E73" s="206">
        <f>+C73/D73</f>
        <v>1.6338028169014085E-2</v>
      </c>
      <c r="F73" s="141"/>
      <c r="G73" s="199"/>
      <c r="H73" s="143"/>
      <c r="I73" s="143"/>
      <c r="J73" s="126"/>
    </row>
    <row r="74" spans="2:13" ht="13.8" thickBot="1" x14ac:dyDescent="0.3">
      <c r="B74" s="200" t="s">
        <v>154</v>
      </c>
      <c r="C74" s="201">
        <f>+F56</f>
        <v>322</v>
      </c>
      <c r="D74" s="201">
        <f>+D73</f>
        <v>14200</v>
      </c>
      <c r="E74" s="202">
        <f>+C74/D74</f>
        <v>2.2676056338028168E-2</v>
      </c>
      <c r="F74" s="141"/>
      <c r="G74" s="199"/>
      <c r="H74" s="143"/>
      <c r="I74" s="143"/>
      <c r="J74" s="126"/>
    </row>
    <row r="75" spans="2:13" ht="13.8" thickBot="1" x14ac:dyDescent="0.3">
      <c r="B75" s="164"/>
      <c r="C75" s="165"/>
      <c r="D75" s="165"/>
      <c r="E75" s="206"/>
      <c r="F75" s="141"/>
      <c r="G75" s="199"/>
      <c r="H75" s="143"/>
      <c r="I75" s="143"/>
      <c r="J75" s="126"/>
    </row>
    <row r="76" spans="2:13" ht="13.8" thickBot="1" x14ac:dyDescent="0.3">
      <c r="B76" s="200" t="s">
        <v>155</v>
      </c>
      <c r="C76" s="201">
        <f>+F54</f>
        <v>63.461333333333336</v>
      </c>
      <c r="D76" s="201">
        <f>+D74</f>
        <v>14200</v>
      </c>
      <c r="E76" s="202">
        <f>+C76/D76</f>
        <v>4.4691079812206576E-3</v>
      </c>
      <c r="F76" s="141"/>
      <c r="G76" s="199"/>
      <c r="H76" s="143"/>
      <c r="I76" s="143"/>
      <c r="J76" s="143"/>
    </row>
    <row r="77" spans="2:13" ht="13.8" thickBot="1" x14ac:dyDescent="0.3">
      <c r="B77" s="164"/>
      <c r="C77" s="165"/>
      <c r="D77" s="165"/>
      <c r="E77" s="206"/>
      <c r="F77" s="141"/>
      <c r="G77" s="199"/>
      <c r="H77" s="143"/>
      <c r="I77" s="143"/>
    </row>
    <row r="78" spans="2:13" ht="13.8" thickBot="1" x14ac:dyDescent="0.3">
      <c r="B78" s="397" t="s">
        <v>156</v>
      </c>
      <c r="C78" s="398"/>
      <c r="D78" s="399"/>
      <c r="E78" s="202">
        <f>+E69+E74</f>
        <v>1.7414154929577463</v>
      </c>
      <c r="G78" s="141"/>
      <c r="H78" s="199"/>
      <c r="I78" s="143"/>
      <c r="J78" s="206"/>
    </row>
    <row r="79" spans="2:13" x14ac:dyDescent="0.25">
      <c r="I79" s="199"/>
      <c r="J79" s="126"/>
    </row>
    <row r="80" spans="2:13" ht="13.8" thickBot="1" x14ac:dyDescent="0.3">
      <c r="B80" s="396" t="s">
        <v>157</v>
      </c>
      <c r="C80" s="396"/>
      <c r="D80" s="396"/>
      <c r="E80" s="396"/>
      <c r="F80" s="396"/>
      <c r="G80" s="141"/>
      <c r="H80" s="199"/>
      <c r="J80" s="126"/>
    </row>
    <row r="81" spans="1:10" ht="13.8" thickBot="1" x14ac:dyDescent="0.3">
      <c r="B81" s="200" t="s">
        <v>151</v>
      </c>
      <c r="C81" s="201">
        <f>+C69</f>
        <v>24406.1</v>
      </c>
      <c r="D81" s="201">
        <f>+D60</f>
        <v>1</v>
      </c>
      <c r="E81" s="202">
        <f>+C81/D81</f>
        <v>24406.1</v>
      </c>
      <c r="F81" s="141"/>
      <c r="G81" s="199"/>
      <c r="H81" s="143"/>
      <c r="I81" s="199"/>
      <c r="J81" s="126"/>
    </row>
    <row r="82" spans="1:10" x14ac:dyDescent="0.25">
      <c r="B82" s="203"/>
      <c r="C82" s="204"/>
      <c r="D82" s="205"/>
      <c r="E82" s="188"/>
      <c r="F82" s="141"/>
      <c r="G82" s="199"/>
      <c r="H82" s="143"/>
      <c r="I82" s="143"/>
      <c r="J82" s="126"/>
    </row>
    <row r="83" spans="1:10" x14ac:dyDescent="0.25">
      <c r="B83" s="200" t="s">
        <v>152</v>
      </c>
      <c r="C83" s="201">
        <f>+C71</f>
        <v>24957.683333333331</v>
      </c>
      <c r="D83" s="201">
        <f>+D60</f>
        <v>1</v>
      </c>
      <c r="E83" s="206">
        <f>+C83/D83</f>
        <v>24957.683333333331</v>
      </c>
      <c r="F83" s="141"/>
      <c r="G83" s="199"/>
      <c r="H83" s="143"/>
      <c r="I83" s="143"/>
      <c r="J83" s="126"/>
    </row>
    <row r="84" spans="1:10" x14ac:dyDescent="0.25">
      <c r="B84" s="200"/>
      <c r="C84" s="201"/>
      <c r="D84" s="201"/>
      <c r="E84" s="206"/>
      <c r="F84" s="141"/>
      <c r="G84" s="199"/>
      <c r="H84" s="143"/>
      <c r="I84" s="143"/>
      <c r="J84" s="126"/>
    </row>
    <row r="85" spans="1:10" ht="13.8" thickBot="1" x14ac:dyDescent="0.3">
      <c r="B85" s="200" t="s">
        <v>154</v>
      </c>
      <c r="C85" s="201">
        <f>+C73</f>
        <v>232</v>
      </c>
      <c r="D85" s="201">
        <f>+D60</f>
        <v>1</v>
      </c>
      <c r="E85" s="206">
        <f>+C85/D85</f>
        <v>232</v>
      </c>
      <c r="F85" s="208"/>
      <c r="G85" s="198"/>
      <c r="H85" s="125"/>
      <c r="I85" s="143"/>
    </row>
    <row r="86" spans="1:10" ht="13.8" thickBot="1" x14ac:dyDescent="0.3">
      <c r="B86" s="200" t="s">
        <v>154</v>
      </c>
      <c r="C86" s="201">
        <f>+C74</f>
        <v>322</v>
      </c>
      <c r="D86" s="201">
        <f>+D85</f>
        <v>1</v>
      </c>
      <c r="E86" s="202">
        <f>+C86/D86</f>
        <v>322</v>
      </c>
      <c r="F86" s="207"/>
      <c r="G86" s="198"/>
      <c r="H86" s="125"/>
      <c r="I86" s="125"/>
    </row>
    <row r="87" spans="1:10" x14ac:dyDescent="0.25">
      <c r="I87" s="125"/>
    </row>
    <row r="88" spans="1:10" x14ac:dyDescent="0.25">
      <c r="A88" s="400"/>
      <c r="B88" s="400"/>
      <c r="C88" s="209"/>
      <c r="D88" s="209"/>
      <c r="E88" s="210"/>
      <c r="G88" s="211"/>
    </row>
    <row r="89" spans="1:10" x14ac:dyDescent="0.25">
      <c r="A89" s="85"/>
      <c r="B89" s="212"/>
      <c r="C89" s="213"/>
      <c r="D89" s="213"/>
      <c r="E89" s="214"/>
      <c r="G89" s="211"/>
    </row>
    <row r="90" spans="1:10" x14ac:dyDescent="0.25">
      <c r="A90" s="85"/>
      <c r="B90" s="212"/>
      <c r="C90" s="215"/>
      <c r="D90" s="215"/>
      <c r="E90" s="85"/>
      <c r="G90" s="211"/>
    </row>
    <row r="91" spans="1:10" x14ac:dyDescent="0.25">
      <c r="A91" s="85"/>
      <c r="B91" s="212"/>
      <c r="C91" s="216"/>
      <c r="D91" s="216"/>
      <c r="E91" s="85"/>
      <c r="G91" s="21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040E-3C00-4F48-9408-CF67F57AC4DD}">
  <dimension ref="A1:H34"/>
  <sheetViews>
    <sheetView workbookViewId="0">
      <selection activeCell="B3" sqref="B3:F3"/>
    </sheetView>
  </sheetViews>
  <sheetFormatPr baseColWidth="10" defaultRowHeight="13.2" x14ac:dyDescent="0.25"/>
  <cols>
    <col min="1" max="1" width="16" customWidth="1"/>
    <col min="2" max="2" width="42.5546875" customWidth="1"/>
    <col min="3" max="3" width="23.44140625" customWidth="1"/>
  </cols>
  <sheetData>
    <row r="1" spans="1:8" ht="17.399999999999999" x14ac:dyDescent="0.3">
      <c r="A1" s="325"/>
      <c r="B1" s="350" t="s">
        <v>22</v>
      </c>
      <c r="C1" s="350"/>
      <c r="D1" s="350"/>
      <c r="E1" s="350"/>
      <c r="F1" s="350"/>
      <c r="G1" s="1" t="s">
        <v>21</v>
      </c>
      <c r="H1" s="2"/>
    </row>
    <row r="2" spans="1:8" ht="17.399999999999999" x14ac:dyDescent="0.3">
      <c r="A2" s="326"/>
      <c r="B2" s="351" t="s">
        <v>0</v>
      </c>
      <c r="C2" s="351"/>
      <c r="D2" s="351"/>
      <c r="E2" s="351"/>
      <c r="F2" s="351"/>
      <c r="G2" s="4" t="s">
        <v>20</v>
      </c>
      <c r="H2" s="5"/>
    </row>
    <row r="3" spans="1:8" ht="15.6" x14ac:dyDescent="0.25">
      <c r="A3" s="326"/>
      <c r="B3" s="411" t="s">
        <v>186</v>
      </c>
      <c r="C3" s="411"/>
      <c r="D3" s="411"/>
      <c r="E3" s="411"/>
      <c r="F3" s="411"/>
      <c r="G3" s="355" t="s">
        <v>19</v>
      </c>
      <c r="H3" s="347"/>
    </row>
    <row r="4" spans="1:8" x14ac:dyDescent="0.25">
      <c r="A4" s="326"/>
      <c r="B4" s="39" t="s">
        <v>18</v>
      </c>
      <c r="C4" s="346" t="s">
        <v>25</v>
      </c>
      <c r="D4" s="346"/>
      <c r="E4" s="346"/>
      <c r="F4" s="346"/>
      <c r="G4" s="355"/>
      <c r="H4" s="347"/>
    </row>
    <row r="5" spans="1:8" ht="13.8" thickBot="1" x14ac:dyDescent="0.3">
      <c r="A5" s="327"/>
      <c r="B5" s="40" t="s">
        <v>17</v>
      </c>
      <c r="C5" s="349" t="s">
        <v>33</v>
      </c>
      <c r="D5" s="349"/>
      <c r="E5" s="349"/>
      <c r="F5" s="349"/>
      <c r="G5" s="356"/>
      <c r="H5" s="348"/>
    </row>
    <row r="6" spans="1:8" x14ac:dyDescent="0.25">
      <c r="A6" s="34"/>
      <c r="B6" s="35"/>
      <c r="C6" s="36"/>
      <c r="D6" s="36"/>
      <c r="E6" s="36"/>
      <c r="F6" s="36"/>
      <c r="G6" s="37"/>
      <c r="H6" s="38"/>
    </row>
    <row r="7" spans="1:8" ht="18" thickBot="1" x14ac:dyDescent="0.35">
      <c r="A7" s="361" t="s">
        <v>23</v>
      </c>
      <c r="B7" s="361"/>
      <c r="C7" s="368" t="s">
        <v>62</v>
      </c>
      <c r="D7" s="368"/>
      <c r="E7" s="368"/>
      <c r="F7" s="369" t="s">
        <v>24</v>
      </c>
      <c r="G7" s="369"/>
      <c r="H7" s="44" t="s">
        <v>62</v>
      </c>
    </row>
    <row r="8" spans="1:8" ht="26.4" x14ac:dyDescent="0.25">
      <c r="A8" s="378" t="s">
        <v>1</v>
      </c>
      <c r="B8" s="359" t="s">
        <v>2</v>
      </c>
      <c r="C8" s="359" t="s">
        <v>3</v>
      </c>
      <c r="D8" s="359" t="s">
        <v>4</v>
      </c>
      <c r="E8" s="359"/>
      <c r="F8" s="359" t="s">
        <v>16</v>
      </c>
      <c r="G8" s="359"/>
      <c r="H8" s="6" t="s">
        <v>5</v>
      </c>
    </row>
    <row r="9" spans="1:8" ht="27" thickBot="1" x14ac:dyDescent="0.3">
      <c r="A9" s="379"/>
      <c r="B9" s="360"/>
      <c r="C9" s="360"/>
      <c r="D9" s="7" t="s">
        <v>6</v>
      </c>
      <c r="E9" s="8" t="s">
        <v>7</v>
      </c>
      <c r="F9" s="7" t="s">
        <v>6</v>
      </c>
      <c r="G9" s="8" t="s">
        <v>7</v>
      </c>
      <c r="H9" s="43" t="s">
        <v>8</v>
      </c>
    </row>
    <row r="10" spans="1:8" x14ac:dyDescent="0.25">
      <c r="A10" s="50">
        <v>904000144</v>
      </c>
      <c r="B10" s="71" t="s">
        <v>64</v>
      </c>
      <c r="C10" s="41" t="s">
        <v>30</v>
      </c>
      <c r="D10" s="41">
        <v>13600</v>
      </c>
      <c r="E10" s="41" t="s">
        <v>26</v>
      </c>
      <c r="F10" s="27"/>
      <c r="G10" s="41"/>
      <c r="H10" s="42"/>
    </row>
    <row r="11" spans="1:8" x14ac:dyDescent="0.25">
      <c r="A11" s="49" t="s">
        <v>69</v>
      </c>
      <c r="B11" t="s">
        <v>70</v>
      </c>
      <c r="C11" s="41" t="s">
        <v>30</v>
      </c>
      <c r="D11" s="41">
        <v>1600</v>
      </c>
      <c r="E11" s="41" t="s">
        <v>26</v>
      </c>
      <c r="F11" s="27"/>
      <c r="G11" s="41"/>
      <c r="H11" s="42"/>
    </row>
    <row r="12" spans="1:8" x14ac:dyDescent="0.25">
      <c r="A12" s="49" t="s">
        <v>71</v>
      </c>
      <c r="B12" t="s">
        <v>72</v>
      </c>
      <c r="C12" s="41" t="s">
        <v>73</v>
      </c>
      <c r="D12" s="41">
        <v>1400</v>
      </c>
      <c r="E12" s="41" t="s">
        <v>26</v>
      </c>
      <c r="F12" s="27"/>
      <c r="G12" s="41"/>
      <c r="H12" s="42"/>
    </row>
    <row r="13" spans="1:8" x14ac:dyDescent="0.25">
      <c r="A13" s="10" t="s">
        <v>170</v>
      </c>
      <c r="B13" s="48" t="s">
        <v>171</v>
      </c>
      <c r="C13" s="61" t="s">
        <v>65</v>
      </c>
      <c r="D13" s="41">
        <v>600</v>
      </c>
      <c r="E13" s="41" t="s">
        <v>26</v>
      </c>
      <c r="F13" s="27"/>
      <c r="G13" s="41"/>
      <c r="H13" s="42"/>
    </row>
    <row r="14" spans="1:8" x14ac:dyDescent="0.25">
      <c r="A14" s="72">
        <v>118000004</v>
      </c>
      <c r="B14" s="52" t="s">
        <v>66</v>
      </c>
      <c r="C14" s="61" t="s">
        <v>67</v>
      </c>
      <c r="D14" s="41">
        <v>300</v>
      </c>
      <c r="E14" s="41" t="s">
        <v>26</v>
      </c>
      <c r="F14" s="27"/>
      <c r="G14" s="41"/>
      <c r="H14" s="42"/>
    </row>
    <row r="15" spans="1:8" x14ac:dyDescent="0.25">
      <c r="A15" s="72" t="s">
        <v>168</v>
      </c>
      <c r="B15" s="52" t="s">
        <v>169</v>
      </c>
      <c r="C15" s="56" t="s">
        <v>68</v>
      </c>
      <c r="D15" s="41">
        <v>1200</v>
      </c>
      <c r="E15" s="41" t="s">
        <v>26</v>
      </c>
      <c r="F15" s="27"/>
      <c r="G15" s="41"/>
      <c r="H15" s="42"/>
    </row>
    <row r="16" spans="1:8" ht="14.4" x14ac:dyDescent="0.3">
      <c r="A16" s="219" t="s">
        <v>172</v>
      </c>
      <c r="B16" s="218" t="s">
        <v>173</v>
      </c>
      <c r="C16" s="10" t="s">
        <v>68</v>
      </c>
      <c r="D16" s="41">
        <v>400</v>
      </c>
      <c r="E16" s="41" t="s">
        <v>26</v>
      </c>
      <c r="F16" s="27"/>
      <c r="G16" s="41"/>
      <c r="H16" s="42"/>
    </row>
    <row r="17" spans="1:8" ht="14.4" x14ac:dyDescent="0.3">
      <c r="A17" s="219" t="s">
        <v>74</v>
      </c>
      <c r="B17" s="218" t="s">
        <v>75</v>
      </c>
      <c r="C17" s="10" t="s">
        <v>76</v>
      </c>
      <c r="D17" s="41">
        <v>2000</v>
      </c>
      <c r="E17" s="41" t="s">
        <v>77</v>
      </c>
      <c r="F17" s="27"/>
      <c r="G17" s="41"/>
      <c r="H17" s="42"/>
    </row>
    <row r="18" spans="1:8" ht="13.8" thickBot="1" x14ac:dyDescent="0.3">
      <c r="A18" s="16"/>
      <c r="B18" s="3"/>
      <c r="C18" s="3"/>
      <c r="D18" s="17"/>
      <c r="E18" s="18"/>
      <c r="F18" s="3"/>
      <c r="G18" s="3"/>
      <c r="H18" s="19"/>
    </row>
    <row r="19" spans="1:8" ht="13.8" thickBot="1" x14ac:dyDescent="0.3">
      <c r="A19" s="21"/>
      <c r="B19" s="22"/>
      <c r="C19" s="23" t="s">
        <v>6</v>
      </c>
      <c r="D19" s="24" t="s">
        <v>15</v>
      </c>
      <c r="E19" s="25"/>
      <c r="F19" s="22"/>
      <c r="G19" s="22"/>
      <c r="H19" s="26"/>
    </row>
    <row r="20" spans="1:8" x14ac:dyDescent="0.25">
      <c r="A20" s="370" t="s">
        <v>10</v>
      </c>
      <c r="B20" s="372"/>
      <c r="C20" s="27">
        <v>20000</v>
      </c>
      <c r="D20" s="28" t="s">
        <v>26</v>
      </c>
      <c r="E20" s="373"/>
      <c r="F20" s="373"/>
      <c r="G20" s="374"/>
      <c r="H20" s="375"/>
    </row>
    <row r="21" spans="1:8" x14ac:dyDescent="0.25">
      <c r="A21" s="362" t="s">
        <v>9</v>
      </c>
      <c r="B21" s="364"/>
      <c r="C21" s="29" t="s">
        <v>31</v>
      </c>
      <c r="D21" s="10" t="s">
        <v>28</v>
      </c>
      <c r="E21" s="365"/>
      <c r="F21" s="365"/>
      <c r="G21" s="376"/>
      <c r="H21" s="377"/>
    </row>
    <row r="22" spans="1:8" x14ac:dyDescent="0.25">
      <c r="A22" s="362" t="s">
        <v>14</v>
      </c>
      <c r="B22" s="364"/>
      <c r="C22" s="73">
        <v>10</v>
      </c>
      <c r="D22" s="10" t="s">
        <v>27</v>
      </c>
      <c r="E22" s="365"/>
      <c r="F22" s="365"/>
      <c r="G22" s="376"/>
      <c r="H22" s="377"/>
    </row>
    <row r="23" spans="1:8" x14ac:dyDescent="0.25">
      <c r="A23" s="362" t="s">
        <v>13</v>
      </c>
      <c r="B23" s="364"/>
      <c r="C23" s="9">
        <v>2000</v>
      </c>
      <c r="D23" s="10" t="s">
        <v>26</v>
      </c>
      <c r="E23" s="366"/>
      <c r="F23" s="367"/>
      <c r="G23" s="376"/>
      <c r="H23" s="377"/>
    </row>
    <row r="24" spans="1:8" ht="13.8" thickBot="1" x14ac:dyDescent="0.3">
      <c r="A24" s="331" t="s">
        <v>12</v>
      </c>
      <c r="B24" s="333"/>
      <c r="C24" s="31">
        <f>SUM(D10:D17)-C20</f>
        <v>1100</v>
      </c>
      <c r="D24" s="32" t="s">
        <v>26</v>
      </c>
      <c r="E24" s="334"/>
      <c r="F24" s="334"/>
      <c r="G24" s="335"/>
      <c r="H24" s="336"/>
    </row>
    <row r="25" spans="1:8" ht="13.8" thickBot="1" x14ac:dyDescent="0.3">
      <c r="A25" s="343" t="s">
        <v>11</v>
      </c>
      <c r="B25" s="344"/>
      <c r="C25" s="344"/>
      <c r="D25" s="344"/>
      <c r="E25" s="344"/>
      <c r="F25" s="344"/>
      <c r="G25" s="344"/>
      <c r="H25" s="345"/>
    </row>
    <row r="26" spans="1:8" ht="13.8" x14ac:dyDescent="0.25">
      <c r="A26" s="337" t="s">
        <v>78</v>
      </c>
      <c r="B26" s="338"/>
      <c r="C26" s="338"/>
      <c r="D26" s="338"/>
      <c r="E26" s="338"/>
      <c r="F26" s="338"/>
      <c r="G26" s="338"/>
      <c r="H26" s="339"/>
    </row>
    <row r="27" spans="1:8" ht="13.8" x14ac:dyDescent="0.25">
      <c r="A27" s="337" t="s">
        <v>79</v>
      </c>
      <c r="B27" s="338"/>
      <c r="C27" s="338"/>
      <c r="D27" s="338"/>
      <c r="E27" s="338"/>
      <c r="F27" s="338"/>
      <c r="G27" s="338"/>
      <c r="H27" s="339"/>
    </row>
    <row r="28" spans="1:8" ht="13.8" x14ac:dyDescent="0.25">
      <c r="A28" s="337" t="s">
        <v>80</v>
      </c>
      <c r="B28" s="338"/>
      <c r="C28" s="338"/>
      <c r="D28" s="338"/>
      <c r="E28" s="338"/>
      <c r="F28" s="338"/>
      <c r="G28" s="338"/>
      <c r="H28" s="339"/>
    </row>
    <row r="29" spans="1:8" ht="13.8" x14ac:dyDescent="0.25">
      <c r="A29" s="337" t="s">
        <v>81</v>
      </c>
      <c r="B29" s="338"/>
      <c r="C29" s="338"/>
      <c r="D29" s="338"/>
      <c r="E29" s="338"/>
      <c r="F29" s="338"/>
      <c r="G29" s="338"/>
      <c r="H29" s="339"/>
    </row>
    <row r="30" spans="1:8" ht="13.8" x14ac:dyDescent="0.25">
      <c r="A30" s="337" t="s">
        <v>82</v>
      </c>
      <c r="B30" s="338"/>
      <c r="C30" s="338"/>
      <c r="D30" s="338"/>
      <c r="E30" s="338"/>
      <c r="F30" s="338"/>
      <c r="G30" s="338"/>
      <c r="H30" s="339"/>
    </row>
    <row r="31" spans="1:8" ht="13.8" x14ac:dyDescent="0.25">
      <c r="A31" s="337"/>
      <c r="B31" s="338"/>
      <c r="C31" s="338"/>
      <c r="D31" s="338"/>
      <c r="E31" s="338"/>
      <c r="F31" s="338"/>
      <c r="G31" s="338"/>
      <c r="H31" s="339"/>
    </row>
    <row r="32" spans="1:8" ht="13.8" x14ac:dyDescent="0.25">
      <c r="A32" s="340"/>
      <c r="B32" s="341"/>
      <c r="C32" s="341"/>
      <c r="D32" s="341"/>
      <c r="E32" s="341"/>
      <c r="F32" s="341"/>
      <c r="G32" s="341"/>
      <c r="H32" s="342"/>
    </row>
    <row r="33" spans="1:8" ht="13.8" x14ac:dyDescent="0.25">
      <c r="A33" s="340"/>
      <c r="B33" s="341"/>
      <c r="C33" s="341"/>
      <c r="D33" s="341"/>
      <c r="E33" s="341"/>
      <c r="F33" s="341"/>
      <c r="G33" s="341"/>
      <c r="H33" s="342"/>
    </row>
    <row r="34" spans="1:8" ht="14.4" thickBot="1" x14ac:dyDescent="0.3">
      <c r="A34" s="328"/>
      <c r="B34" s="329"/>
      <c r="C34" s="329"/>
      <c r="D34" s="329"/>
      <c r="E34" s="329"/>
      <c r="F34" s="329"/>
      <c r="G34" s="329"/>
      <c r="H34" s="330"/>
    </row>
  </sheetData>
  <mergeCells count="41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20:B20"/>
    <mergeCell ref="E20:F20"/>
    <mergeCell ref="G20:H20"/>
    <mergeCell ref="A21:B21"/>
    <mergeCell ref="E21:F21"/>
    <mergeCell ref="G21:H21"/>
    <mergeCell ref="A27:H27"/>
    <mergeCell ref="A22:B22"/>
    <mergeCell ref="E22:F22"/>
    <mergeCell ref="G22:H22"/>
    <mergeCell ref="A23:B23"/>
    <mergeCell ref="E23:F23"/>
    <mergeCell ref="G23:H23"/>
    <mergeCell ref="A24:B24"/>
    <mergeCell ref="E24:F24"/>
    <mergeCell ref="G24:H24"/>
    <mergeCell ref="A25:H25"/>
    <mergeCell ref="A26:H26"/>
    <mergeCell ref="A34:H34"/>
    <mergeCell ref="A28:H28"/>
    <mergeCell ref="A29:H29"/>
    <mergeCell ref="A30:H30"/>
    <mergeCell ref="A31:H31"/>
    <mergeCell ref="A32:H32"/>
    <mergeCell ref="A33:H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DE4D-B995-4AD8-9CE6-28DDFB0BCBAB}">
  <dimension ref="A1:Q91"/>
  <sheetViews>
    <sheetView topLeftCell="A52" workbookViewId="0">
      <selection activeCell="D60" sqref="D60"/>
    </sheetView>
  </sheetViews>
  <sheetFormatPr baseColWidth="10" defaultColWidth="8.44140625" defaultRowHeight="13.2" x14ac:dyDescent="0.25"/>
  <cols>
    <col min="1" max="1" width="10" style="126" bestFit="1" customWidth="1"/>
    <col min="2" max="2" width="44.33203125" style="126" bestFit="1" customWidth="1"/>
    <col min="3" max="3" width="10.44140625" style="126" bestFit="1" customWidth="1"/>
    <col min="4" max="4" width="10.44140625" style="126" customWidth="1"/>
    <col min="5" max="5" width="9.6640625" style="126" bestFit="1" customWidth="1"/>
    <col min="6" max="6" width="9.5546875" style="126" bestFit="1" customWidth="1"/>
    <col min="7" max="7" width="9.5546875" style="207" bestFit="1" customWidth="1"/>
    <col min="8" max="8" width="10.44140625" style="198" bestFit="1" customWidth="1"/>
    <col min="9" max="9" width="4.5546875" style="198" customWidth="1"/>
    <col min="10" max="10" width="1.6640625" style="125" customWidth="1"/>
    <col min="11" max="11" width="7" style="126" bestFit="1" customWidth="1"/>
    <col min="12" max="12" width="6.33203125" style="126" customWidth="1"/>
    <col min="13" max="13" width="20.44140625" style="126" customWidth="1"/>
    <col min="14" max="14" width="6.44140625" style="126" bestFit="1" customWidth="1"/>
    <col min="15" max="16" width="8.44140625" style="126"/>
    <col min="17" max="17" width="3.33203125" style="126" customWidth="1"/>
    <col min="18" max="16384" width="8.44140625" style="126"/>
  </cols>
  <sheetData>
    <row r="1" spans="1:10" ht="27.75" customHeight="1" x14ac:dyDescent="0.25">
      <c r="A1" s="121"/>
      <c r="B1" s="121"/>
      <c r="C1" s="121"/>
      <c r="D1" s="121"/>
      <c r="E1" s="122" t="s">
        <v>108</v>
      </c>
      <c r="F1" s="123" t="s">
        <v>109</v>
      </c>
      <c r="G1" s="123" t="s">
        <v>110</v>
      </c>
      <c r="H1" s="123" t="s">
        <v>111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61093.891146666661</v>
      </c>
      <c r="F2" s="127">
        <f>IFERROR(H53,"")</f>
        <v>52301.1</v>
      </c>
      <c r="G2" s="127">
        <f>IFERROR(H54,"")</f>
        <v>63.461333333333336</v>
      </c>
      <c r="H2" s="127">
        <f>IFERROR(H56,"")</f>
        <v>351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380"/>
      <c r="B4" s="380"/>
      <c r="C4" s="380"/>
      <c r="D4" s="380"/>
      <c r="E4" s="380"/>
      <c r="F4" s="380"/>
      <c r="G4" s="380"/>
      <c r="H4" s="380"/>
      <c r="I4" s="130"/>
    </row>
    <row r="5" spans="1:10" ht="19.5" customHeight="1" thickBot="1" x14ac:dyDescent="0.3">
      <c r="A5" s="381" t="s">
        <v>112</v>
      </c>
      <c r="B5" s="382"/>
      <c r="C5" s="382"/>
      <c r="D5" s="382"/>
      <c r="E5" s="382"/>
      <c r="F5" s="382"/>
      <c r="G5" s="382"/>
      <c r="H5" s="383"/>
      <c r="I5" s="131"/>
    </row>
    <row r="6" spans="1:10" ht="18" thickBot="1" x14ac:dyDescent="0.3">
      <c r="A6" s="131"/>
      <c r="B6" s="131"/>
      <c r="C6" s="131"/>
      <c r="D6" s="131"/>
      <c r="E6" s="131"/>
      <c r="F6" s="384" t="s">
        <v>113</v>
      </c>
      <c r="G6" s="384"/>
      <c r="H6" s="132">
        <f ca="1">TODAY()</f>
        <v>46155</v>
      </c>
      <c r="I6" s="132"/>
    </row>
    <row r="7" spans="1:10" ht="40.200000000000003" thickBot="1" x14ac:dyDescent="0.3">
      <c r="A7" s="133" t="s">
        <v>114</v>
      </c>
      <c r="B7" s="134" t="s">
        <v>115</v>
      </c>
      <c r="C7" s="134" t="s">
        <v>114</v>
      </c>
      <c r="D7" s="135" t="s">
        <v>116</v>
      </c>
      <c r="E7" s="135" t="s">
        <v>117</v>
      </c>
      <c r="F7" s="135" t="s">
        <v>118</v>
      </c>
      <c r="G7" s="135" t="s">
        <v>119</v>
      </c>
      <c r="H7" s="136" t="s">
        <v>120</v>
      </c>
      <c r="I7" s="137"/>
    </row>
    <row r="8" spans="1:10" ht="13.8" x14ac:dyDescent="0.3">
      <c r="A8" s="221">
        <v>1600</v>
      </c>
      <c r="B8" s="220" t="str">
        <f>IFERROR(VLOOKUP(H8,'[1]Consolidado MP Planta'!$A$2:$M$823,3,0),"")</f>
        <v>AGUA PLANTA</v>
      </c>
      <c r="C8" s="139">
        <f>+A8</f>
        <v>1600</v>
      </c>
      <c r="D8" s="140" t="str">
        <f>IFERROR(VLOOKUP(H8,'[1]Consolidado MP Planta'!$A$2:$M$823,13,0),"")</f>
        <v>Mililitros</v>
      </c>
      <c r="E8" s="140">
        <f>IFERROR(VLOOKUP(H8,'[1]Consolidado MP Planta'!$A$2:$M$823,12,0),"")</f>
        <v>0.1</v>
      </c>
      <c r="F8" s="140">
        <f>IFERROR(C8*E8,"")</f>
        <v>160</v>
      </c>
      <c r="G8" s="141">
        <f t="shared" ref="G8:G14" si="0">IFERROR(F8/$F$66,"")</f>
        <v>2.9940353202604188E-3</v>
      </c>
      <c r="H8" s="142" t="s">
        <v>69</v>
      </c>
      <c r="I8" s="142"/>
      <c r="J8" s="143"/>
    </row>
    <row r="9" spans="1:10" ht="13.8" x14ac:dyDescent="0.3">
      <c r="A9" s="221">
        <v>1400</v>
      </c>
      <c r="B9" s="220" t="str">
        <f>IFERROR(VLOOKUP(H9,'[1]Consolidado MP Planta'!$A$2:$M$823,3,0),"")</f>
        <v>ACEITE CAPULLO RBD (UND:17  L)</v>
      </c>
      <c r="C9" s="139">
        <f t="shared" ref="C9:C14" si="1">+A9</f>
        <v>1400</v>
      </c>
      <c r="D9" s="140" t="str">
        <f>IFERROR(VLOOKUP(H9,'[1]Consolidado MP Planta'!$A$2:$M$823,13,0),"")</f>
        <v>Mililitros</v>
      </c>
      <c r="E9" s="140">
        <v>1.37</v>
      </c>
      <c r="F9" s="140">
        <f t="shared" ref="F9:F14" si="2">IFERROR(C9*E9,"")</f>
        <v>1918.0000000000002</v>
      </c>
      <c r="G9" s="141">
        <f t="shared" si="0"/>
        <v>3.5890998401621778E-2</v>
      </c>
      <c r="H9" s="142" t="s">
        <v>71</v>
      </c>
      <c r="I9" s="142"/>
      <c r="J9" s="143"/>
    </row>
    <row r="10" spans="1:10" ht="13.8" x14ac:dyDescent="0.3">
      <c r="A10" s="221">
        <v>600</v>
      </c>
      <c r="B10" s="220" t="str">
        <f>IFERROR(VLOOKUP(H10,'[1]Consolidado MP Planta'!$A$2:$M$823,3,0),"")</f>
        <v/>
      </c>
      <c r="C10" s="139">
        <f t="shared" si="1"/>
        <v>600</v>
      </c>
      <c r="D10" s="140" t="str">
        <f>IFERROR(VLOOKUP(H10,'[1]Consolidado MP Planta'!$A$2:$M$823,13,0),"")</f>
        <v/>
      </c>
      <c r="E10" s="140">
        <v>1.4</v>
      </c>
      <c r="F10" s="140">
        <f t="shared" si="2"/>
        <v>840</v>
      </c>
      <c r="G10" s="141">
        <f t="shared" si="0"/>
        <v>1.5718685431367199E-2</v>
      </c>
      <c r="H10" s="142" t="s">
        <v>170</v>
      </c>
      <c r="I10" s="142"/>
      <c r="J10" s="143"/>
    </row>
    <row r="11" spans="1:10" ht="13.8" x14ac:dyDescent="0.3">
      <c r="A11" s="221">
        <v>300</v>
      </c>
      <c r="B11" s="220" t="str">
        <f>IFERROR(VLOOKUP(H11,'[1]Consolidado MP Planta'!$A$2:$M$823,3,0),"")</f>
        <v>VAINILLA OSCURA (UND: 3.78 L)</v>
      </c>
      <c r="C11" s="139">
        <f t="shared" si="1"/>
        <v>300</v>
      </c>
      <c r="D11" s="140" t="str">
        <f>IFERROR(VLOOKUP(H11,'[1]Consolidado MP Planta'!$A$2:$M$823,13,0),"")</f>
        <v>Mililitros</v>
      </c>
      <c r="E11" s="140">
        <v>1.23</v>
      </c>
      <c r="F11" s="140">
        <f t="shared" si="2"/>
        <v>369</v>
      </c>
      <c r="G11" s="141">
        <f t="shared" si="0"/>
        <v>6.9049939573505911E-3</v>
      </c>
      <c r="H11" s="142" t="s">
        <v>167</v>
      </c>
      <c r="I11" s="142"/>
      <c r="J11" s="143"/>
    </row>
    <row r="12" spans="1:10" ht="13.8" x14ac:dyDescent="0.3">
      <c r="A12" s="221">
        <v>1200</v>
      </c>
      <c r="B12" s="220" t="str">
        <f>IFERROR(VLOOKUP(H12,'[1]Consolidado MP Planta'!$A$2:$M$823,3,0),"")</f>
        <v>HUEVO ENTERO PASTERI INNOVO (CAJA:10 K)</v>
      </c>
      <c r="C12" s="139">
        <f t="shared" si="1"/>
        <v>1200</v>
      </c>
      <c r="D12" s="140" t="str">
        <f>IFERROR(VLOOKUP(H12,'[1]Consolidado MP Planta'!$A$2:$M$823,13,0),"")</f>
        <v>Gramos</v>
      </c>
      <c r="E12" s="140">
        <v>2.78</v>
      </c>
      <c r="F12" s="140">
        <f t="shared" si="2"/>
        <v>3335.9999999999995</v>
      </c>
      <c r="G12" s="141">
        <f t="shared" si="0"/>
        <v>6.242563642742973E-2</v>
      </c>
      <c r="H12" s="142" t="s">
        <v>168</v>
      </c>
      <c r="I12" s="142"/>
      <c r="J12" s="143"/>
    </row>
    <row r="13" spans="1:10" ht="13.8" x14ac:dyDescent="0.3">
      <c r="A13" s="221">
        <v>400</v>
      </c>
      <c r="B13" s="220" t="str">
        <f>IFERROR(VLOOKUP(H13,'[1]Consolidado MP Planta'!$A$2:$M$823,3,0),"")</f>
        <v>YEMA DE HUEVO (UND: 8.34 K)</v>
      </c>
      <c r="C13" s="139">
        <f t="shared" si="1"/>
        <v>400</v>
      </c>
      <c r="D13" s="140" t="s">
        <v>159</v>
      </c>
      <c r="E13" s="140">
        <v>2.73</v>
      </c>
      <c r="F13" s="140">
        <f t="shared" si="2"/>
        <v>1092</v>
      </c>
      <c r="G13" s="141">
        <f t="shared" si="0"/>
        <v>2.0434291060777359E-2</v>
      </c>
      <c r="H13" s="142" t="s">
        <v>172</v>
      </c>
      <c r="I13" s="142"/>
      <c r="J13" s="143"/>
    </row>
    <row r="14" spans="1:10" ht="13.8" x14ac:dyDescent="0.3">
      <c r="A14" s="221">
        <v>2000</v>
      </c>
      <c r="B14" s="220" t="str">
        <f>IFERROR(VLOOKUP(H14,'[1]Consolidado MP Planta'!$A$2:$M$823,3,0),"")</f>
        <v>NUEZ PECANA QUEBRADURA (CAJA:10 Kg)</v>
      </c>
      <c r="C14" s="139">
        <f t="shared" si="1"/>
        <v>2000</v>
      </c>
      <c r="D14" s="140" t="str">
        <f>IFERROR(VLOOKUP(H14,'[1]Consolidado MP Planta'!$A$2:$M$823,13,0),"")</f>
        <v>Gramos</v>
      </c>
      <c r="E14" s="140">
        <v>10.09</v>
      </c>
      <c r="F14" s="140">
        <f t="shared" si="2"/>
        <v>20180</v>
      </c>
      <c r="G14" s="141">
        <f t="shared" si="0"/>
        <v>0.37762270476784532</v>
      </c>
      <c r="H14" s="142" t="s">
        <v>74</v>
      </c>
      <c r="I14" s="142"/>
      <c r="J14" s="143"/>
    </row>
    <row r="15" spans="1:10" ht="14.4" thickBot="1" x14ac:dyDescent="0.35">
      <c r="A15" s="138"/>
      <c r="B15" s="126" t="str">
        <f>IFERROR(VLOOKUP(H15,'[2]ARTICULOS MP PLANTA'!$A$2:$G$589,2,0),"")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40.200000000000003" thickBot="1" x14ac:dyDescent="0.3">
      <c r="A16" s="133" t="s">
        <v>114</v>
      </c>
      <c r="B16" s="134" t="s">
        <v>121</v>
      </c>
      <c r="C16" s="134" t="s">
        <v>114</v>
      </c>
      <c r="D16" s="135" t="s">
        <v>116</v>
      </c>
      <c r="E16" s="135" t="s">
        <v>117</v>
      </c>
      <c r="F16" s="135" t="s">
        <v>118</v>
      </c>
      <c r="G16" s="135" t="s">
        <v>119</v>
      </c>
      <c r="H16" s="136" t="s">
        <v>120</v>
      </c>
      <c r="I16" s="137"/>
      <c r="J16" s="143"/>
    </row>
    <row r="17" spans="1:12" ht="13.8" x14ac:dyDescent="0.3">
      <c r="A17" s="221">
        <v>14200</v>
      </c>
      <c r="B17" s="220" t="s">
        <v>64</v>
      </c>
      <c r="C17" s="139">
        <f>+A17</f>
        <v>14200</v>
      </c>
      <c r="D17" s="139" t="s">
        <v>159</v>
      </c>
      <c r="E17" s="140">
        <f>+'COSTO PREMEZCLA '!E69</f>
        <v>1.7187394366197182</v>
      </c>
      <c r="F17" s="140">
        <f>IFERROR(E17*C17,"")</f>
        <v>24406.1</v>
      </c>
      <c r="G17" s="141">
        <f t="shared" ref="G17:G24" si="3">IFERROR(F17/$F$66,"")</f>
        <v>0.45670453393629878</v>
      </c>
      <c r="H17" s="142" t="s">
        <v>29</v>
      </c>
      <c r="I17" s="142"/>
      <c r="J17" s="143"/>
    </row>
    <row r="18" spans="1:12" ht="13.8" hidden="1" x14ac:dyDescent="0.3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</row>
    <row r="19" spans="1:12" ht="13.8" hidden="1" x14ac:dyDescent="0.3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8" hidden="1" x14ac:dyDescent="0.3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8" hidden="1" x14ac:dyDescent="0.3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8" hidden="1" x14ac:dyDescent="0.3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8" hidden="1" x14ac:dyDescent="0.3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8" hidden="1" x14ac:dyDescent="0.3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4" thickBot="1" x14ac:dyDescent="0.35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40.200000000000003" hidden="1" thickBot="1" x14ac:dyDescent="0.3">
      <c r="A26" s="133" t="s">
        <v>114</v>
      </c>
      <c r="B26" s="134" t="s">
        <v>92</v>
      </c>
      <c r="C26" s="134" t="s">
        <v>114</v>
      </c>
      <c r="D26" s="135" t="s">
        <v>116</v>
      </c>
      <c r="E26" s="135" t="s">
        <v>117</v>
      </c>
      <c r="F26" s="135" t="s">
        <v>118</v>
      </c>
      <c r="G26" s="135" t="s">
        <v>119</v>
      </c>
      <c r="H26" s="136" t="s">
        <v>120</v>
      </c>
      <c r="I26" s="137"/>
    </row>
    <row r="27" spans="1:12" ht="13.8" hidden="1" x14ac:dyDescent="0.3">
      <c r="A27" s="138">
        <v>0</v>
      </c>
      <c r="B27" s="85" t="str">
        <f>IFERROR(VLOOKUP(H27,'[1]Consolidado MP Planta'!$A$2:$M$823,3,0),"")</f>
        <v/>
      </c>
      <c r="C27" s="139">
        <f t="shared" ref="C27:C32" si="6">+A27</f>
        <v>0</v>
      </c>
      <c r="D27" s="140" t="str">
        <f>IFERROR(VLOOKUP(H27,'[1]Consolidado MP Planta'!$A$2:$M$823,13,0),"")</f>
        <v/>
      </c>
      <c r="E27" s="140" t="str">
        <f>IFERROR(VLOOKUP(H27,'[1]Consolidado MP Planta'!$A$2:$M$823,12,0),"")</f>
        <v/>
      </c>
      <c r="F27" s="140" t="str">
        <f t="shared" ref="F27:F32" si="7">IFERROR(C27*E27,"")</f>
        <v/>
      </c>
      <c r="G27" s="141" t="str">
        <f t="shared" ref="G27:G32" si="8">IFERROR(F27/$F$66,"")</f>
        <v/>
      </c>
      <c r="H27" s="144"/>
      <c r="I27" s="144"/>
      <c r="J27" s="143"/>
      <c r="K27" s="385"/>
      <c r="L27" s="385"/>
    </row>
    <row r="28" spans="1:12" ht="13.8" hidden="1" x14ac:dyDescent="0.3">
      <c r="A28" s="138"/>
      <c r="B28" s="85" t="str">
        <f>IFERROR(VLOOKUP(H28,'[1]Consolidado MP Planta'!$A$2:$M$823,3,0),"")</f>
        <v/>
      </c>
      <c r="C28" s="139">
        <f t="shared" si="6"/>
        <v>0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4"/>
      <c r="I28" s="144"/>
      <c r="J28" s="143"/>
      <c r="K28" s="385"/>
      <c r="L28" s="385"/>
    </row>
    <row r="29" spans="1:12" ht="13.8" hidden="1" x14ac:dyDescent="0.3">
      <c r="A29" s="138"/>
      <c r="B29" s="85" t="str">
        <f>IFERROR(VLOOKUP(H29,'[1]Consolidado MP Planta'!$A$2:$M$823,3,0),"")</f>
        <v/>
      </c>
      <c r="C29" s="139">
        <f t="shared" si="6"/>
        <v>0</v>
      </c>
      <c r="D29" s="140" t="str">
        <f>IFERROR(VLOOKUP(H29,'[1]Consolidado MP Planta'!$A$2:$M$823,13,0),"")</f>
        <v/>
      </c>
      <c r="E29" s="140" t="str">
        <f>IFERROR(VLOOKUP(H29,'[1]Consolidado MP Planta'!$A$2:$M$823,12,0),"")</f>
        <v/>
      </c>
      <c r="F29" s="140" t="str">
        <f t="shared" si="7"/>
        <v/>
      </c>
      <c r="G29" s="141" t="str">
        <f t="shared" si="8"/>
        <v/>
      </c>
      <c r="H29" s="144"/>
      <c r="I29" s="144"/>
      <c r="J29" s="143"/>
      <c r="K29" s="385"/>
      <c r="L29" s="385"/>
    </row>
    <row r="30" spans="1:12" ht="13.8" hidden="1" x14ac:dyDescent="0.3">
      <c r="A30" s="138"/>
      <c r="B30" s="85" t="str">
        <f>IFERROR(VLOOKUP(H30,'[1]Consolidado MP Planta'!$A$2:$M$823,3,0),"")</f>
        <v/>
      </c>
      <c r="C30" s="139">
        <f t="shared" si="6"/>
        <v>0</v>
      </c>
      <c r="D30" s="140" t="str">
        <f>IFERROR(VLOOKUP(H30,'[1]Consolidado MP Planta'!$A$2:$M$823,13,0),"")</f>
        <v/>
      </c>
      <c r="E30" s="140" t="str">
        <f>IFERROR(VLOOKUP(H30,'[1]Consolidado MP Planta'!$A$2:$M$823,12,0),"")</f>
        <v/>
      </c>
      <c r="F30" s="140" t="str">
        <f t="shared" si="7"/>
        <v/>
      </c>
      <c r="G30" s="141" t="str">
        <f t="shared" si="8"/>
        <v/>
      </c>
      <c r="H30" s="144"/>
      <c r="I30" s="144"/>
      <c r="J30" s="143"/>
      <c r="K30" s="385"/>
      <c r="L30" s="385"/>
    </row>
    <row r="31" spans="1:12" ht="13.8" hidden="1" x14ac:dyDescent="0.3">
      <c r="A31" s="138"/>
      <c r="B31" s="85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4"/>
      <c r="I31" s="144"/>
      <c r="J31" s="143"/>
      <c r="K31" s="145"/>
      <c r="L31" s="146"/>
    </row>
    <row r="32" spans="1:12" ht="13.8" hidden="1" x14ac:dyDescent="0.3">
      <c r="A32" s="138"/>
      <c r="B32" s="85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4"/>
      <c r="I32" s="144"/>
      <c r="J32" s="143"/>
    </row>
    <row r="33" spans="1:13" ht="14.4" hidden="1" thickBot="1" x14ac:dyDescent="0.35">
      <c r="A33" s="138"/>
      <c r="B33" s="85"/>
      <c r="C33" s="139"/>
      <c r="D33" s="140"/>
      <c r="E33" s="140"/>
      <c r="F33" s="140"/>
      <c r="G33" s="141"/>
      <c r="H33" s="144"/>
      <c r="I33" s="144"/>
      <c r="J33" s="143"/>
    </row>
    <row r="34" spans="1:13" ht="40.200000000000003" thickBot="1" x14ac:dyDescent="0.3">
      <c r="A34" s="133" t="s">
        <v>114</v>
      </c>
      <c r="B34" s="134" t="s">
        <v>122</v>
      </c>
      <c r="C34" s="134" t="s">
        <v>114</v>
      </c>
      <c r="D34" s="135" t="s">
        <v>116</v>
      </c>
      <c r="E34" s="135" t="s">
        <v>117</v>
      </c>
      <c r="F34" s="135" t="s">
        <v>118</v>
      </c>
      <c r="G34" s="135" t="s">
        <v>119</v>
      </c>
      <c r="H34" s="136" t="s">
        <v>120</v>
      </c>
      <c r="I34" s="144"/>
      <c r="J34" s="143"/>
    </row>
    <row r="35" spans="1:13" ht="13.8" x14ac:dyDescent="0.3">
      <c r="A35" s="138">
        <f>+A17</f>
        <v>14200</v>
      </c>
      <c r="B35" s="85" t="s">
        <v>64</v>
      </c>
      <c r="C35" s="139">
        <f>+A35</f>
        <v>14200</v>
      </c>
      <c r="D35" s="140" t="s">
        <v>159</v>
      </c>
      <c r="E35" s="140">
        <f>+'COSTO PREMEZCLA '!E76</f>
        <v>4.4691079812206576E-3</v>
      </c>
      <c r="F35" s="140">
        <f>IFERROR(E35*C35,"")</f>
        <v>63.461333333333336</v>
      </c>
      <c r="G35" s="141">
        <f t="shared" ref="G35:G41" si="9">IFERROR(F35/$F$66,"")</f>
        <v>1.1875342091926242E-3</v>
      </c>
      <c r="H35" s="144" t="s">
        <v>29</v>
      </c>
      <c r="I35" s="144"/>
      <c r="J35" s="143"/>
    </row>
    <row r="36" spans="1:13" ht="13.8" hidden="1" x14ac:dyDescent="0.3">
      <c r="A36" s="138">
        <f t="shared" ref="A36:A41" si="10">+A18</f>
        <v>0</v>
      </c>
      <c r="B36" s="85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4"/>
      <c r="I36" s="144"/>
      <c r="J36" s="143"/>
    </row>
    <row r="37" spans="1:13" ht="13.8" hidden="1" x14ac:dyDescent="0.3">
      <c r="A37" s="138">
        <f t="shared" si="10"/>
        <v>0</v>
      </c>
      <c r="B37" s="85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4"/>
      <c r="I37" s="144"/>
      <c r="J37" s="143"/>
    </row>
    <row r="38" spans="1:13" ht="13.8" hidden="1" x14ac:dyDescent="0.3">
      <c r="A38" s="138">
        <f t="shared" si="10"/>
        <v>0</v>
      </c>
      <c r="B38" s="85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4"/>
      <c r="I38" s="144"/>
      <c r="J38" s="143"/>
    </row>
    <row r="39" spans="1:13" ht="13.8" hidden="1" x14ac:dyDescent="0.3">
      <c r="A39" s="138">
        <f t="shared" si="10"/>
        <v>0</v>
      </c>
      <c r="B39" s="85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4"/>
      <c r="I39" s="144"/>
      <c r="J39" s="143"/>
    </row>
    <row r="40" spans="1:13" ht="13.8" hidden="1" x14ac:dyDescent="0.3">
      <c r="A40" s="138">
        <f t="shared" si="10"/>
        <v>0</v>
      </c>
      <c r="B40" s="85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4"/>
      <c r="I40" s="144"/>
      <c r="J40" s="143"/>
    </row>
    <row r="41" spans="1:13" ht="13.8" hidden="1" x14ac:dyDescent="0.3">
      <c r="A41" s="138">
        <f t="shared" si="10"/>
        <v>0</v>
      </c>
      <c r="B41" s="85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4"/>
      <c r="I41" s="144"/>
      <c r="J41" s="143"/>
    </row>
    <row r="42" spans="1:13" ht="14.4" thickBot="1" x14ac:dyDescent="0.35">
      <c r="A42" s="138"/>
      <c r="B42" s="85"/>
      <c r="C42" s="139"/>
      <c r="D42" s="140"/>
      <c r="E42" s="140"/>
      <c r="F42" s="140"/>
      <c r="G42" s="141"/>
      <c r="H42" s="144"/>
      <c r="I42" s="144"/>
      <c r="J42" s="143"/>
    </row>
    <row r="43" spans="1:13" ht="40.200000000000003" thickBot="1" x14ac:dyDescent="0.3">
      <c r="A43" s="133" t="s">
        <v>114</v>
      </c>
      <c r="B43" s="134" t="s">
        <v>123</v>
      </c>
      <c r="C43" s="134" t="s">
        <v>114</v>
      </c>
      <c r="D43" s="135" t="s">
        <v>116</v>
      </c>
      <c r="E43" s="135" t="s">
        <v>117</v>
      </c>
      <c r="F43" s="135" t="s">
        <v>118</v>
      </c>
      <c r="G43" s="135" t="s">
        <v>119</v>
      </c>
      <c r="H43" s="136" t="s">
        <v>120</v>
      </c>
      <c r="I43" s="137"/>
      <c r="J43" s="143"/>
    </row>
    <row r="44" spans="1:13" ht="13.8" x14ac:dyDescent="0.3">
      <c r="A44" s="138">
        <f>+A35</f>
        <v>14200</v>
      </c>
      <c r="B44" s="85" t="s">
        <v>64</v>
      </c>
      <c r="C44" s="139">
        <f>+A44</f>
        <v>14200</v>
      </c>
      <c r="D44" s="140" t="s">
        <v>159</v>
      </c>
      <c r="E44" s="140">
        <f>+'COSTO PREMEZCLA '!E74</f>
        <v>2.2676056338028168E-2</v>
      </c>
      <c r="F44" s="140">
        <f>IFERROR(E44*C44,"")</f>
        <v>322</v>
      </c>
      <c r="G44" s="141">
        <f>IFERROR(F44/$F$66,"")</f>
        <v>6.0254960820240932E-3</v>
      </c>
      <c r="H44" s="144" t="s">
        <v>29</v>
      </c>
      <c r="I44" s="137"/>
      <c r="J44" s="143"/>
    </row>
    <row r="45" spans="1:13" ht="13.8" hidden="1" x14ac:dyDescent="0.3">
      <c r="A45" s="138">
        <f t="shared" ref="A45:A50" si="13">+A36</f>
        <v>0</v>
      </c>
      <c r="B45" s="85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4"/>
      <c r="I45" s="137"/>
      <c r="J45" s="143"/>
      <c r="M45" s="147"/>
    </row>
    <row r="46" spans="1:13" ht="13.8" hidden="1" x14ac:dyDescent="0.3">
      <c r="A46" s="138">
        <f t="shared" si="13"/>
        <v>0</v>
      </c>
      <c r="B46" s="85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4"/>
      <c r="I46" s="137"/>
      <c r="J46" s="143"/>
    </row>
    <row r="47" spans="1:13" ht="13.8" hidden="1" x14ac:dyDescent="0.3">
      <c r="A47" s="138">
        <f t="shared" si="13"/>
        <v>0</v>
      </c>
      <c r="B47" s="85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4"/>
      <c r="I47" s="137"/>
      <c r="J47" s="143"/>
    </row>
    <row r="48" spans="1:13" ht="13.8" hidden="1" x14ac:dyDescent="0.3">
      <c r="A48" s="138">
        <f t="shared" si="13"/>
        <v>0</v>
      </c>
      <c r="B48" s="85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4"/>
      <c r="I48" s="137"/>
      <c r="J48" s="143"/>
    </row>
    <row r="49" spans="1:17" ht="13.8" hidden="1" x14ac:dyDescent="0.3">
      <c r="A49" s="138">
        <f t="shared" si="13"/>
        <v>0</v>
      </c>
      <c r="B49" s="85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4"/>
      <c r="I49" s="137"/>
      <c r="J49" s="143"/>
    </row>
    <row r="50" spans="1:17" ht="13.8" hidden="1" x14ac:dyDescent="0.3">
      <c r="A50" s="138">
        <f t="shared" si="13"/>
        <v>0</v>
      </c>
      <c r="B50" s="85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85"/>
      <c r="I50" s="137"/>
      <c r="J50" s="143"/>
    </row>
    <row r="51" spans="1:17" ht="13.8" x14ac:dyDescent="0.3">
      <c r="A51" s="138">
        <v>1</v>
      </c>
      <c r="B51" s="85" t="s">
        <v>124</v>
      </c>
      <c r="C51" s="139">
        <f>+A51</f>
        <v>1</v>
      </c>
      <c r="D51" s="139" t="s">
        <v>125</v>
      </c>
      <c r="E51" s="140">
        <f>+F65</f>
        <v>29</v>
      </c>
      <c r="F51" s="140">
        <f>IFERROR(C51*E51,"")</f>
        <v>29</v>
      </c>
      <c r="G51" s="141">
        <f>IFERROR(F51/$F$66,"")</f>
        <v>5.4266890179720099E-4</v>
      </c>
      <c r="H51" s="148"/>
      <c r="I51" s="148"/>
      <c r="J51" s="143"/>
    </row>
    <row r="52" spans="1:17" ht="14.4" thickBot="1" x14ac:dyDescent="0.35">
      <c r="A52" s="138"/>
      <c r="B52" s="85"/>
      <c r="C52" s="139"/>
      <c r="D52" s="139"/>
      <c r="E52" s="140"/>
      <c r="F52" s="140"/>
      <c r="G52" s="141"/>
      <c r="H52" s="148"/>
      <c r="I52" s="148"/>
      <c r="J52" s="143"/>
    </row>
    <row r="53" spans="1:17" ht="13.8" thickBot="1" x14ac:dyDescent="0.3">
      <c r="A53" s="149"/>
      <c r="B53" s="386" t="s">
        <v>126</v>
      </c>
      <c r="C53" s="386"/>
      <c r="D53" s="386"/>
      <c r="E53" s="386"/>
      <c r="F53" s="151">
        <f>SUM(F8:F14,F17:F24)</f>
        <v>52301.1</v>
      </c>
      <c r="G53" s="141">
        <f>+F53/$F$66</f>
        <v>0.97869587930295121</v>
      </c>
      <c r="H53" s="152">
        <f>+F53/$D$60</f>
        <v>52301.1</v>
      </c>
      <c r="I53" s="152"/>
      <c r="J53" s="153"/>
      <c r="K53" s="154"/>
      <c r="L53" s="154"/>
      <c r="M53" s="154"/>
      <c r="N53" s="154"/>
      <c r="O53" s="154"/>
      <c r="P53" s="154"/>
      <c r="Q53" s="155"/>
    </row>
    <row r="54" spans="1:17" x14ac:dyDescent="0.25">
      <c r="A54" s="149"/>
      <c r="B54" s="386" t="s">
        <v>127</v>
      </c>
      <c r="C54" s="386"/>
      <c r="D54" s="386"/>
      <c r="E54" s="386"/>
      <c r="F54" s="151">
        <f>SUM(F27:F32,F35:F41)</f>
        <v>63.461333333333336</v>
      </c>
      <c r="G54" s="141">
        <f>+F54/$F$66</f>
        <v>1.1875342091926242E-3</v>
      </c>
      <c r="H54" s="152">
        <f>+F54/$D$60</f>
        <v>63.461333333333336</v>
      </c>
      <c r="I54" s="152"/>
      <c r="J54" s="156"/>
      <c r="K54" s="387" t="s">
        <v>128</v>
      </c>
      <c r="L54" s="388"/>
      <c r="M54" s="388"/>
      <c r="N54" s="388"/>
      <c r="O54" s="157">
        <f>+F55</f>
        <v>52364.561333333331</v>
      </c>
      <c r="P54" s="157"/>
      <c r="Q54" s="158"/>
    </row>
    <row r="55" spans="1:17" x14ac:dyDescent="0.25">
      <c r="A55" s="149"/>
      <c r="B55" s="386" t="s">
        <v>129</v>
      </c>
      <c r="C55" s="386"/>
      <c r="D55" s="386"/>
      <c r="E55" s="386"/>
      <c r="F55" s="151">
        <f>+F53+F54</f>
        <v>52364.561333333331</v>
      </c>
      <c r="G55" s="141">
        <f>+F55/$F$66</f>
        <v>0.97988341351214381</v>
      </c>
      <c r="H55" s="152">
        <f>+F55/$D$60</f>
        <v>52364.561333333331</v>
      </c>
      <c r="I55" s="152"/>
      <c r="J55" s="159"/>
      <c r="K55" s="160"/>
      <c r="M55" s="161" t="s">
        <v>130</v>
      </c>
      <c r="N55" s="162"/>
      <c r="O55" s="157">
        <f>+H56</f>
        <v>351</v>
      </c>
      <c r="P55" s="157"/>
      <c r="Q55" s="158"/>
    </row>
    <row r="56" spans="1:17" ht="13.8" thickBot="1" x14ac:dyDescent="0.3">
      <c r="A56" s="149"/>
      <c r="B56" s="150"/>
      <c r="C56" s="386" t="s">
        <v>131</v>
      </c>
      <c r="D56" s="386"/>
      <c r="E56" s="386"/>
      <c r="F56" s="151">
        <f>SUM(F44:F51)</f>
        <v>351</v>
      </c>
      <c r="G56" s="141">
        <f>+F56/$F$66</f>
        <v>6.568164983821294E-3</v>
      </c>
      <c r="H56" s="152">
        <f>+F56/$D$60</f>
        <v>351</v>
      </c>
      <c r="I56" s="152"/>
      <c r="J56" s="159"/>
      <c r="K56" s="160"/>
      <c r="L56" s="160"/>
      <c r="M56" s="160" t="s">
        <v>132</v>
      </c>
      <c r="N56" s="163"/>
      <c r="O56" s="157">
        <f>O54*N56</f>
        <v>0</v>
      </c>
      <c r="P56" s="157"/>
      <c r="Q56" s="158"/>
    </row>
    <row r="57" spans="1:17" ht="13.8" thickBot="1" x14ac:dyDescent="0.25">
      <c r="A57" s="149"/>
      <c r="B57" s="164"/>
      <c r="C57" s="164"/>
      <c r="D57" s="164"/>
      <c r="E57" s="164"/>
      <c r="F57" s="165"/>
      <c r="G57" s="141"/>
      <c r="H57" s="166"/>
      <c r="I57" s="152"/>
      <c r="J57" s="159"/>
      <c r="K57" s="167"/>
      <c r="M57" s="168" t="s">
        <v>133</v>
      </c>
      <c r="N57" s="169"/>
      <c r="O57" s="170">
        <f>SUM(O54:O56)</f>
        <v>52715.561333333331</v>
      </c>
      <c r="P57" s="171"/>
      <c r="Q57" s="158"/>
    </row>
    <row r="58" spans="1:17" x14ac:dyDescent="0.25">
      <c r="B58" s="390" t="s">
        <v>134</v>
      </c>
      <c r="C58" s="390"/>
      <c r="D58" s="172">
        <v>20600</v>
      </c>
      <c r="E58" s="173"/>
      <c r="G58" s="141"/>
      <c r="H58" s="166"/>
      <c r="I58" s="174"/>
      <c r="J58" s="159"/>
      <c r="K58" s="167"/>
      <c r="L58" s="160"/>
      <c r="M58" s="160" t="s">
        <v>135</v>
      </c>
      <c r="N58" s="175">
        <v>0.16</v>
      </c>
      <c r="O58" s="157">
        <f>+O54*N58</f>
        <v>8378.3298133333337</v>
      </c>
      <c r="P58" s="157"/>
      <c r="Q58" s="158"/>
    </row>
    <row r="59" spans="1:17" x14ac:dyDescent="0.25">
      <c r="B59" s="390" t="s">
        <v>136</v>
      </c>
      <c r="C59" s="390"/>
      <c r="D59" s="176">
        <v>20600</v>
      </c>
      <c r="E59" s="173"/>
      <c r="G59" s="141"/>
      <c r="H59" s="166"/>
      <c r="I59" s="174"/>
      <c r="J59" s="159"/>
      <c r="K59" s="167"/>
      <c r="L59" s="160"/>
      <c r="M59" s="391" t="s">
        <v>133</v>
      </c>
      <c r="N59" s="391"/>
      <c r="O59" s="157">
        <f>SUM(O57:O58)</f>
        <v>61093.891146666661</v>
      </c>
      <c r="P59" s="157"/>
      <c r="Q59" s="158"/>
    </row>
    <row r="60" spans="1:17" ht="13.8" thickBot="1" x14ac:dyDescent="0.3">
      <c r="B60" s="392" t="s">
        <v>137</v>
      </c>
      <c r="C60" s="392"/>
      <c r="D60" s="172">
        <f>+D58/D59</f>
        <v>1</v>
      </c>
      <c r="E60" s="173"/>
      <c r="F60" s="177"/>
      <c r="G60" s="141"/>
      <c r="H60" s="166"/>
      <c r="I60" s="174"/>
      <c r="J60" s="159"/>
      <c r="K60" s="167"/>
      <c r="L60" s="391"/>
      <c r="M60" s="391"/>
      <c r="N60" s="175"/>
      <c r="O60" s="157">
        <f>+O59*N60</f>
        <v>0</v>
      </c>
      <c r="P60" s="157"/>
      <c r="Q60" s="158"/>
    </row>
    <row r="61" spans="1:17" ht="13.8" thickBot="1" x14ac:dyDescent="0.25">
      <c r="B61" s="392" t="s">
        <v>138</v>
      </c>
      <c r="C61" s="392"/>
      <c r="D61" s="178"/>
      <c r="E61" s="173"/>
      <c r="F61" s="177"/>
      <c r="G61" s="141"/>
      <c r="H61" s="166"/>
      <c r="I61" s="174"/>
      <c r="J61" s="159"/>
      <c r="K61" s="393" t="s">
        <v>139</v>
      </c>
      <c r="L61" s="394"/>
      <c r="M61" s="394"/>
      <c r="N61" s="395"/>
      <c r="O61" s="170">
        <f>SUM(O59:O60)</f>
        <v>61093.891146666661</v>
      </c>
      <c r="P61" s="179" t="s">
        <v>140</v>
      </c>
      <c r="Q61" s="158"/>
    </row>
    <row r="62" spans="1:17" ht="13.8" thickBot="1" x14ac:dyDescent="0.25">
      <c r="C62" s="149" t="s">
        <v>141</v>
      </c>
      <c r="D62" s="180"/>
      <c r="E62" s="124" t="s">
        <v>142</v>
      </c>
      <c r="F62" s="181" t="s">
        <v>143</v>
      </c>
      <c r="G62" s="141"/>
      <c r="H62" s="166"/>
      <c r="I62" s="174"/>
      <c r="J62" s="182"/>
      <c r="K62" s="183"/>
      <c r="L62" s="401" t="s">
        <v>144</v>
      </c>
      <c r="M62" s="401"/>
      <c r="N62" s="401"/>
      <c r="O62" s="184">
        <f>+O61/D60</f>
        <v>61093.891146666661</v>
      </c>
      <c r="P62" s="185">
        <f>+O62/D59</f>
        <v>2.9657228711974106</v>
      </c>
      <c r="Q62" s="186"/>
    </row>
    <row r="63" spans="1:17" ht="13.8" thickBot="1" x14ac:dyDescent="0.25">
      <c r="B63" s="402" t="s">
        <v>129</v>
      </c>
      <c r="C63" s="402"/>
      <c r="D63" s="402"/>
      <c r="E63" s="187">
        <f>+F63/F63</f>
        <v>1</v>
      </c>
      <c r="F63" s="188">
        <f>SUM(F55)</f>
        <v>52364.561333333331</v>
      </c>
      <c r="G63" s="141">
        <f>+F63/$F$66</f>
        <v>0.97988341351214381</v>
      </c>
      <c r="H63" s="166"/>
      <c r="I63" s="174"/>
      <c r="K63" s="403"/>
      <c r="L63" s="404"/>
      <c r="M63" s="404"/>
      <c r="N63" s="404"/>
      <c r="O63" s="189"/>
      <c r="P63" s="190"/>
    </row>
    <row r="64" spans="1:17" ht="13.8" thickBot="1" x14ac:dyDescent="0.3">
      <c r="B64" s="405" t="s">
        <v>145</v>
      </c>
      <c r="C64" s="405"/>
      <c r="D64" s="405"/>
      <c r="E64" s="191">
        <v>0.02</v>
      </c>
      <c r="F64" s="188">
        <f>+F53*E64</f>
        <v>1046.0219999999999</v>
      </c>
      <c r="G64" s="141">
        <f>+F64/$F$66</f>
        <v>1.9573917586059024E-2</v>
      </c>
      <c r="H64" s="152"/>
      <c r="I64" s="174"/>
      <c r="J64" s="192"/>
      <c r="O64" s="193"/>
      <c r="P64" s="150"/>
    </row>
    <row r="65" spans="2:13" ht="13.8" thickBot="1" x14ac:dyDescent="0.3">
      <c r="B65" s="406" t="s">
        <v>146</v>
      </c>
      <c r="C65" s="407"/>
      <c r="D65" s="194">
        <v>0.5</v>
      </c>
      <c r="E65" s="195">
        <v>58</v>
      </c>
      <c r="F65" s="188">
        <f>+E65*D65</f>
        <v>29</v>
      </c>
      <c r="G65" s="141">
        <f>+F65/$F$66</f>
        <v>5.4266890179720099E-4</v>
      </c>
      <c r="H65" s="152"/>
      <c r="I65" s="152"/>
      <c r="J65" s="143"/>
    </row>
    <row r="66" spans="2:13" ht="13.8" thickBot="1" x14ac:dyDescent="0.3">
      <c r="B66" s="408" t="s">
        <v>147</v>
      </c>
      <c r="C66" s="409"/>
      <c r="D66" s="409"/>
      <c r="E66" s="410"/>
      <c r="F66" s="165">
        <f>SUM(F63:F65)</f>
        <v>53439.583333333328</v>
      </c>
      <c r="G66" s="141">
        <f>+F66/$F$66</f>
        <v>1</v>
      </c>
      <c r="H66" s="389"/>
      <c r="I66" s="152"/>
      <c r="J66" s="143"/>
      <c r="M66" s="126" t="s">
        <v>148</v>
      </c>
    </row>
    <row r="67" spans="2:13" x14ac:dyDescent="0.25">
      <c r="C67" s="147"/>
      <c r="D67" s="147"/>
      <c r="E67" s="197"/>
      <c r="F67" s="188"/>
      <c r="G67" s="141"/>
      <c r="H67" s="389"/>
      <c r="I67" s="196"/>
      <c r="J67" s="126"/>
      <c r="M67" s="126" t="s">
        <v>149</v>
      </c>
    </row>
    <row r="68" spans="2:13" ht="13.8" thickBot="1" x14ac:dyDescent="0.3">
      <c r="B68" s="396" t="s">
        <v>150</v>
      </c>
      <c r="C68" s="396"/>
      <c r="D68" s="396"/>
      <c r="E68" s="396"/>
      <c r="F68" s="396"/>
      <c r="G68" s="141"/>
      <c r="H68" s="199"/>
      <c r="I68" s="196"/>
      <c r="J68" s="126"/>
    </row>
    <row r="69" spans="2:13" ht="13.8" thickBot="1" x14ac:dyDescent="0.3">
      <c r="B69" s="200" t="s">
        <v>151</v>
      </c>
      <c r="C69" s="201">
        <f>+F53</f>
        <v>52301.1</v>
      </c>
      <c r="D69" s="201">
        <f>+D58</f>
        <v>20600</v>
      </c>
      <c r="E69" s="202">
        <f>+C69/D69</f>
        <v>2.5388883495145631</v>
      </c>
      <c r="F69" s="141"/>
      <c r="G69" s="199"/>
      <c r="H69" s="143"/>
      <c r="I69" s="199"/>
      <c r="J69" s="126"/>
    </row>
    <row r="70" spans="2:13" x14ac:dyDescent="0.25">
      <c r="B70" s="203"/>
      <c r="C70" s="204"/>
      <c r="D70" s="205"/>
      <c r="E70" s="188"/>
      <c r="F70" s="141"/>
      <c r="G70" s="199"/>
      <c r="H70" s="143"/>
      <c r="I70" s="143"/>
      <c r="J70" s="126"/>
    </row>
    <row r="71" spans="2:13" x14ac:dyDescent="0.25">
      <c r="B71" s="200" t="s">
        <v>152</v>
      </c>
      <c r="C71" s="201">
        <f>SUM(F63:F64)</f>
        <v>53410.583333333328</v>
      </c>
      <c r="D71" s="201">
        <f>+D58</f>
        <v>20600</v>
      </c>
      <c r="E71" s="206">
        <f>+C71/D71</f>
        <v>2.5927467637540449</v>
      </c>
      <c r="F71" s="141"/>
      <c r="G71" s="199"/>
      <c r="H71" s="143"/>
      <c r="I71" s="143"/>
      <c r="J71" s="126"/>
    </row>
    <row r="72" spans="2:13" x14ac:dyDescent="0.25">
      <c r="B72" s="200"/>
      <c r="C72" s="201"/>
      <c r="D72" s="201"/>
      <c r="E72" s="206"/>
      <c r="F72" s="141"/>
      <c r="G72" s="199"/>
      <c r="H72" s="143"/>
      <c r="I72" s="143"/>
      <c r="J72" s="126"/>
    </row>
    <row r="73" spans="2:13" ht="13.8" thickBot="1" x14ac:dyDescent="0.3">
      <c r="B73" s="200" t="s">
        <v>153</v>
      </c>
      <c r="C73" s="201">
        <f>+F65</f>
        <v>29</v>
      </c>
      <c r="D73" s="201">
        <f>+D58</f>
        <v>20600</v>
      </c>
      <c r="E73" s="206">
        <f>+C73/D73</f>
        <v>1.4077669902912622E-3</v>
      </c>
      <c r="F73" s="141"/>
      <c r="G73" s="199"/>
      <c r="H73" s="143"/>
      <c r="I73" s="143"/>
      <c r="J73" s="126"/>
    </row>
    <row r="74" spans="2:13" ht="13.8" thickBot="1" x14ac:dyDescent="0.3">
      <c r="B74" s="200" t="s">
        <v>154</v>
      </c>
      <c r="C74" s="201">
        <f>+F56</f>
        <v>351</v>
      </c>
      <c r="D74" s="201">
        <f>+D73</f>
        <v>20600</v>
      </c>
      <c r="E74" s="202">
        <f>+C74/D74</f>
        <v>1.7038834951456312E-2</v>
      </c>
      <c r="F74" s="141"/>
      <c r="G74" s="199"/>
      <c r="H74" s="143"/>
      <c r="I74" s="143"/>
      <c r="J74" s="126"/>
    </row>
    <row r="75" spans="2:13" ht="13.8" thickBot="1" x14ac:dyDescent="0.3">
      <c r="B75" s="164"/>
      <c r="C75" s="165"/>
      <c r="D75" s="165"/>
      <c r="E75" s="206"/>
      <c r="F75" s="141"/>
      <c r="G75" s="199"/>
      <c r="H75" s="143"/>
      <c r="I75" s="143"/>
      <c r="J75" s="126"/>
    </row>
    <row r="76" spans="2:13" ht="13.8" thickBot="1" x14ac:dyDescent="0.3">
      <c r="B76" s="200" t="s">
        <v>155</v>
      </c>
      <c r="C76" s="201">
        <f>+F54</f>
        <v>63.461333333333336</v>
      </c>
      <c r="D76" s="201">
        <f>+D74</f>
        <v>20600</v>
      </c>
      <c r="E76" s="202">
        <f>+C76/D76</f>
        <v>3.0806472491909384E-3</v>
      </c>
      <c r="F76" s="141"/>
      <c r="G76" s="199"/>
      <c r="H76" s="143"/>
      <c r="I76" s="143"/>
      <c r="J76" s="143"/>
    </row>
    <row r="77" spans="2:13" ht="13.8" thickBot="1" x14ac:dyDescent="0.3">
      <c r="B77" s="164"/>
      <c r="C77" s="165"/>
      <c r="D77" s="165"/>
      <c r="E77" s="206"/>
      <c r="F77" s="141"/>
      <c r="G77" s="199"/>
      <c r="H77" s="143"/>
      <c r="I77" s="143"/>
    </row>
    <row r="78" spans="2:13" ht="13.8" thickBot="1" x14ac:dyDescent="0.3">
      <c r="B78" s="397" t="s">
        <v>156</v>
      </c>
      <c r="C78" s="398"/>
      <c r="D78" s="399"/>
      <c r="E78" s="202">
        <f>+E69+E74</f>
        <v>2.5559271844660194</v>
      </c>
      <c r="G78" s="141"/>
      <c r="H78" s="199"/>
      <c r="I78" s="143"/>
      <c r="J78" s="206"/>
    </row>
    <row r="79" spans="2:13" x14ac:dyDescent="0.25">
      <c r="I79" s="199"/>
      <c r="J79" s="126"/>
    </row>
    <row r="80" spans="2:13" ht="13.8" thickBot="1" x14ac:dyDescent="0.3">
      <c r="B80" s="396" t="s">
        <v>157</v>
      </c>
      <c r="C80" s="396"/>
      <c r="D80" s="396"/>
      <c r="E80" s="396"/>
      <c r="F80" s="396"/>
      <c r="G80" s="141"/>
      <c r="H80" s="199"/>
      <c r="J80" s="126"/>
    </row>
    <row r="81" spans="1:10" ht="13.8" thickBot="1" x14ac:dyDescent="0.3">
      <c r="B81" s="200" t="s">
        <v>151</v>
      </c>
      <c r="C81" s="201">
        <f>+C69</f>
        <v>52301.1</v>
      </c>
      <c r="D81" s="201">
        <f>+D60</f>
        <v>1</v>
      </c>
      <c r="E81" s="202">
        <f>+C81/D81</f>
        <v>52301.1</v>
      </c>
      <c r="F81" s="141"/>
      <c r="G81" s="199"/>
      <c r="H81" s="143"/>
      <c r="I81" s="199"/>
      <c r="J81" s="126"/>
    </row>
    <row r="82" spans="1:10" x14ac:dyDescent="0.25">
      <c r="B82" s="203"/>
      <c r="C82" s="204"/>
      <c r="D82" s="205"/>
      <c r="E82" s="188"/>
      <c r="F82" s="141"/>
      <c r="G82" s="199"/>
      <c r="H82" s="143"/>
      <c r="I82" s="143"/>
      <c r="J82" s="126"/>
    </row>
    <row r="83" spans="1:10" x14ac:dyDescent="0.25">
      <c r="B83" s="200" t="s">
        <v>152</v>
      </c>
      <c r="C83" s="201">
        <f>+C71</f>
        <v>53410.583333333328</v>
      </c>
      <c r="D83" s="201">
        <f>+D60</f>
        <v>1</v>
      </c>
      <c r="E83" s="206">
        <f>+C83/D83</f>
        <v>53410.583333333328</v>
      </c>
      <c r="F83" s="141"/>
      <c r="G83" s="199"/>
      <c r="H83" s="143"/>
      <c r="I83" s="143"/>
      <c r="J83" s="126"/>
    </row>
    <row r="84" spans="1:10" x14ac:dyDescent="0.25">
      <c r="B84" s="200"/>
      <c r="C84" s="201"/>
      <c r="D84" s="201"/>
      <c r="E84" s="206"/>
      <c r="F84" s="141"/>
      <c r="G84" s="199"/>
      <c r="H84" s="143"/>
      <c r="I84" s="143"/>
      <c r="J84" s="126"/>
    </row>
    <row r="85" spans="1:10" ht="13.8" thickBot="1" x14ac:dyDescent="0.3">
      <c r="B85" s="200" t="s">
        <v>154</v>
      </c>
      <c r="C85" s="201">
        <f>+C73</f>
        <v>29</v>
      </c>
      <c r="D85" s="201">
        <f>+D60</f>
        <v>1</v>
      </c>
      <c r="E85" s="206">
        <f>+C85/D85</f>
        <v>29</v>
      </c>
      <c r="F85" s="208"/>
      <c r="G85" s="198"/>
      <c r="H85" s="125"/>
      <c r="I85" s="143"/>
    </row>
    <row r="86" spans="1:10" ht="13.8" thickBot="1" x14ac:dyDescent="0.3">
      <c r="B86" s="200" t="s">
        <v>154</v>
      </c>
      <c r="C86" s="201">
        <f>+C74</f>
        <v>351</v>
      </c>
      <c r="D86" s="201">
        <f>+D85</f>
        <v>1</v>
      </c>
      <c r="E86" s="202">
        <f>+C86/D86</f>
        <v>351</v>
      </c>
      <c r="F86" s="207"/>
      <c r="G86" s="198"/>
      <c r="H86" s="125"/>
      <c r="I86" s="125"/>
    </row>
    <row r="87" spans="1:10" x14ac:dyDescent="0.25">
      <c r="I87" s="125"/>
    </row>
    <row r="88" spans="1:10" x14ac:dyDescent="0.25">
      <c r="A88" s="400"/>
      <c r="B88" s="400"/>
      <c r="C88" s="209"/>
      <c r="D88" s="209"/>
      <c r="E88" s="210"/>
      <c r="G88" s="211"/>
    </row>
    <row r="89" spans="1:10" x14ac:dyDescent="0.25">
      <c r="A89" s="85"/>
      <c r="B89" s="212"/>
      <c r="C89" s="213"/>
      <c r="D89" s="213"/>
      <c r="E89" s="214"/>
      <c r="G89" s="211"/>
    </row>
    <row r="90" spans="1:10" x14ac:dyDescent="0.25">
      <c r="A90" s="85"/>
      <c r="B90" s="212"/>
      <c r="C90" s="215"/>
      <c r="D90" s="215"/>
      <c r="E90" s="85"/>
      <c r="G90" s="211"/>
    </row>
    <row r="91" spans="1:10" x14ac:dyDescent="0.25">
      <c r="A91" s="85"/>
      <c r="B91" s="212"/>
      <c r="C91" s="216"/>
      <c r="D91" s="216"/>
      <c r="E91" s="85"/>
      <c r="G91" s="21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8809-97F8-456B-9520-6A770897586F}">
  <dimension ref="A1:Q91"/>
  <sheetViews>
    <sheetView topLeftCell="A4" workbookViewId="0">
      <selection activeCell="E51" sqref="E51"/>
    </sheetView>
  </sheetViews>
  <sheetFormatPr baseColWidth="10" defaultColWidth="8.44140625" defaultRowHeight="13.2" x14ac:dyDescent="0.25"/>
  <cols>
    <col min="1" max="1" width="10.5546875" style="126" bestFit="1" customWidth="1"/>
    <col min="2" max="2" width="44.33203125" style="126" bestFit="1" customWidth="1"/>
    <col min="3" max="3" width="10.44140625" style="126" bestFit="1" customWidth="1"/>
    <col min="4" max="4" width="10.44140625" style="126" customWidth="1"/>
    <col min="5" max="5" width="9.6640625" style="126" bestFit="1" customWidth="1"/>
    <col min="6" max="6" width="9.5546875" style="126" bestFit="1" customWidth="1"/>
    <col min="7" max="7" width="9.5546875" style="207" bestFit="1" customWidth="1"/>
    <col min="8" max="8" width="10.44140625" style="198" bestFit="1" customWidth="1"/>
    <col min="9" max="9" width="4.5546875" style="198" customWidth="1"/>
    <col min="10" max="10" width="1.6640625" style="125" customWidth="1"/>
    <col min="11" max="11" width="7" style="126" bestFit="1" customWidth="1"/>
    <col min="12" max="12" width="6.33203125" style="126" customWidth="1"/>
    <col min="13" max="13" width="20.44140625" style="126" customWidth="1"/>
    <col min="14" max="14" width="6.44140625" style="126" bestFit="1" customWidth="1"/>
    <col min="15" max="15" width="9.6640625" style="126" customWidth="1"/>
    <col min="16" max="16" width="8.44140625" style="126"/>
    <col min="17" max="17" width="3.33203125" style="126" customWidth="1"/>
    <col min="18" max="16384" width="8.44140625" style="126"/>
  </cols>
  <sheetData>
    <row r="1" spans="1:10" ht="27.75" customHeight="1" x14ac:dyDescent="0.25">
      <c r="A1" s="121"/>
      <c r="B1" s="121"/>
      <c r="C1" s="121"/>
      <c r="D1" s="121"/>
      <c r="E1" s="122" t="s">
        <v>108</v>
      </c>
      <c r="F1" s="123" t="s">
        <v>109</v>
      </c>
      <c r="G1" s="123" t="s">
        <v>110</v>
      </c>
      <c r="H1" s="123" t="s">
        <v>111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6034.802239482201</v>
      </c>
      <c r="F2" s="127">
        <f>IFERROR(H53,"")</f>
        <v>5147.4766990291264</v>
      </c>
      <c r="G2" s="127">
        <f>IFERROR(H54,"")</f>
        <v>44.501294498381874</v>
      </c>
      <c r="H2" s="127">
        <f>IFERROR(H56,"")</f>
        <v>121.07766990291262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380"/>
      <c r="B4" s="380"/>
      <c r="C4" s="380"/>
      <c r="D4" s="380"/>
      <c r="E4" s="380"/>
      <c r="F4" s="380"/>
      <c r="G4" s="380"/>
      <c r="H4" s="380"/>
      <c r="I4" s="130"/>
    </row>
    <row r="5" spans="1:10" ht="19.5" customHeight="1" thickBot="1" x14ac:dyDescent="0.3">
      <c r="A5" s="381" t="s">
        <v>112</v>
      </c>
      <c r="B5" s="382"/>
      <c r="C5" s="382"/>
      <c r="D5" s="382"/>
      <c r="E5" s="382"/>
      <c r="F5" s="382"/>
      <c r="G5" s="382"/>
      <c r="H5" s="383"/>
      <c r="I5" s="131"/>
    </row>
    <row r="6" spans="1:10" ht="18" thickBot="1" x14ac:dyDescent="0.3">
      <c r="A6" s="131"/>
      <c r="B6" s="131"/>
      <c r="C6" s="131"/>
      <c r="D6" s="131"/>
      <c r="E6" s="131"/>
      <c r="F6" s="384" t="s">
        <v>113</v>
      </c>
      <c r="G6" s="384"/>
      <c r="H6" s="132">
        <f ca="1">TODAY()</f>
        <v>46155</v>
      </c>
      <c r="I6" s="132"/>
    </row>
    <row r="7" spans="1:10" ht="40.200000000000003" thickBot="1" x14ac:dyDescent="0.3">
      <c r="A7" s="133" t="s">
        <v>114</v>
      </c>
      <c r="B7" s="134" t="s">
        <v>115</v>
      </c>
      <c r="C7" s="134" t="s">
        <v>114</v>
      </c>
      <c r="D7" s="135" t="s">
        <v>116</v>
      </c>
      <c r="E7" s="135" t="s">
        <v>117</v>
      </c>
      <c r="F7" s="135" t="s">
        <v>118</v>
      </c>
      <c r="G7" s="135" t="s">
        <v>119</v>
      </c>
      <c r="H7" s="136" t="s">
        <v>120</v>
      </c>
      <c r="I7" s="137"/>
    </row>
    <row r="8" spans="1:10" ht="13.8" x14ac:dyDescent="0.3">
      <c r="A8" s="138">
        <v>400</v>
      </c>
      <c r="B8" s="126" t="str">
        <f>IFERROR(VLOOKUP(H8,'[1]Consolidado MP Planta'!$A$2:$M$823,3,0),"")</f>
        <v/>
      </c>
      <c r="C8" s="139">
        <f>+A8</f>
        <v>400</v>
      </c>
      <c r="D8" s="140" t="str">
        <f>IFERROR(VLOOKUP(H8,'[1]Consolidado MP Planta'!$A$2:$M$823,13,0),"")</f>
        <v/>
      </c>
      <c r="E8" s="140">
        <v>1.4</v>
      </c>
      <c r="F8" s="140">
        <f>IFERROR(C8*E8,"")</f>
        <v>560</v>
      </c>
      <c r="G8" s="141">
        <f t="shared" ref="G8:G14" si="0">IFERROR(F8/$F$66,"")</f>
        <v>1.0405193996718272E-2</v>
      </c>
      <c r="H8" s="142" t="s">
        <v>170</v>
      </c>
      <c r="I8" s="142"/>
      <c r="J8" s="143"/>
    </row>
    <row r="9" spans="1:10" ht="13.8" x14ac:dyDescent="0.3">
      <c r="A9" s="138">
        <v>100</v>
      </c>
      <c r="B9" s="126" t="str">
        <f>IFERROR(VLOOKUP(H9,'[1]Consolidado MP Planta'!$A$2:$M$823,3,0),"")</f>
        <v>ACEITE CAPULLO RBD (UND:17  L)</v>
      </c>
      <c r="C9" s="139">
        <f t="shared" ref="C9:C14" si="1">+A9</f>
        <v>100</v>
      </c>
      <c r="D9" s="140" t="str">
        <f>IFERROR(VLOOKUP(H9,'[1]Consolidado MP Planta'!$A$2:$M$823,13,0),"")</f>
        <v>Mililitros</v>
      </c>
      <c r="E9" s="140">
        <v>1.37</v>
      </c>
      <c r="F9" s="140">
        <f t="shared" ref="F9:F14" si="2">IFERROR(C9*E9,"")</f>
        <v>137</v>
      </c>
      <c r="G9" s="141">
        <f t="shared" si="0"/>
        <v>2.5455563884828631E-3</v>
      </c>
      <c r="H9" s="142" t="s">
        <v>71</v>
      </c>
      <c r="I9" s="142"/>
      <c r="J9" s="143"/>
    </row>
    <row r="10" spans="1:10" ht="13.8" hidden="1" x14ac:dyDescent="0.3">
      <c r="A10" s="138"/>
      <c r="B10" s="126" t="str">
        <f>IFERROR(VLOOKUP(H10,'[1]Consolidado MP Planta'!$A$2:$M$823,3,0),"")</f>
        <v/>
      </c>
      <c r="C10" s="139">
        <f t="shared" si="1"/>
        <v>0</v>
      </c>
      <c r="D10" s="140" t="str">
        <f>IFERROR(VLOOKUP(H10,'[1]Consolidado MP Planta'!$A$2:$M$823,13,0),"")</f>
        <v/>
      </c>
      <c r="E10" s="140" t="str">
        <f>IFERROR(VLOOKUP(H10,'[1]Consolidado MP Planta'!$A$2:$M$823,12,0),"")</f>
        <v/>
      </c>
      <c r="F10" s="140" t="str">
        <f t="shared" si="2"/>
        <v/>
      </c>
      <c r="G10" s="141" t="str">
        <f t="shared" si="0"/>
        <v/>
      </c>
      <c r="H10" s="142"/>
      <c r="I10" s="142"/>
      <c r="J10" s="143"/>
    </row>
    <row r="11" spans="1:10" ht="13.8" hidden="1" x14ac:dyDescent="0.3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0" ht="13.8" hidden="1" x14ac:dyDescent="0.3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8" hidden="1" x14ac:dyDescent="0.3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8" hidden="1" x14ac:dyDescent="0.3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4" thickBot="1" x14ac:dyDescent="0.35">
      <c r="A15" s="138"/>
      <c r="B15" s="126" t="str">
        <f>IFERROR(VLOOKUP(H15,'[2]ARTICULOS MP PLANTA'!$A$2:$G$589,2,0),"")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40.200000000000003" thickBot="1" x14ac:dyDescent="0.3">
      <c r="A16" s="133" t="s">
        <v>114</v>
      </c>
      <c r="B16" s="134" t="s">
        <v>121</v>
      </c>
      <c r="C16" s="134" t="s">
        <v>114</v>
      </c>
      <c r="D16" s="135" t="s">
        <v>116</v>
      </c>
      <c r="E16" s="135" t="s">
        <v>117</v>
      </c>
      <c r="F16" s="135" t="s">
        <v>118</v>
      </c>
      <c r="G16" s="135" t="s">
        <v>119</v>
      </c>
      <c r="H16" s="136" t="s">
        <v>120</v>
      </c>
      <c r="I16" s="137"/>
      <c r="J16" s="143"/>
    </row>
    <row r="17" spans="1:12" ht="13.8" x14ac:dyDescent="0.3">
      <c r="A17" s="217">
        <v>20000</v>
      </c>
      <c r="B17" s="126" t="s">
        <v>86</v>
      </c>
      <c r="C17" s="139">
        <f>+A17</f>
        <v>20000</v>
      </c>
      <c r="D17" s="139" t="s">
        <v>159</v>
      </c>
      <c r="E17" s="140">
        <f>+'COSTO BATIDO'!E69</f>
        <v>2.5388883495145631</v>
      </c>
      <c r="F17" s="140">
        <f>IFERROR(E17*C17,"")</f>
        <v>50777.76699029126</v>
      </c>
      <c r="G17" s="141">
        <f t="shared" ref="G17:G24" si="3">IFERROR(F17/$F$66,"")</f>
        <v>0.94348663616810335</v>
      </c>
      <c r="H17" s="142" t="s">
        <v>29</v>
      </c>
      <c r="I17" s="142"/>
      <c r="J17" s="143"/>
    </row>
    <row r="18" spans="1:12" ht="13.8" hidden="1" x14ac:dyDescent="0.3">
      <c r="A18" s="138"/>
      <c r="B18" s="126" t="str">
        <f>IFERROR(VLOOKUP(H18,[1]SEMIELABORADOS!$A$2:$M$6000,2,0),"")</f>
        <v/>
      </c>
      <c r="C18" s="139">
        <f t="shared" ref="C18:C24" si="4">+A18</f>
        <v>0</v>
      </c>
      <c r="D18" s="139" t="str">
        <f>IFERROR(VLOOKUP(H18,[1]SEMIELABORADOS!$A$2:$M$6000,6,0),"")</f>
        <v/>
      </c>
      <c r="E18" s="140" t="str">
        <f>IFERROR(VLOOKUP(H18,[1]SEMIELABORADOS!$A$2:$H$65536,8,0),"")</f>
        <v/>
      </c>
      <c r="F18" s="140" t="str">
        <f t="shared" ref="F18:F24" si="5">IFERROR(E18*C18,"")</f>
        <v/>
      </c>
      <c r="G18" s="141" t="str">
        <f t="shared" si="3"/>
        <v/>
      </c>
      <c r="H18" s="142"/>
      <c r="I18" s="142"/>
      <c r="J18" s="143"/>
    </row>
    <row r="19" spans="1:12" ht="13.8" hidden="1" x14ac:dyDescent="0.3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8" hidden="1" x14ac:dyDescent="0.3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8" hidden="1" x14ac:dyDescent="0.3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8" hidden="1" x14ac:dyDescent="0.3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8" hidden="1" x14ac:dyDescent="0.3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8" hidden="1" x14ac:dyDescent="0.3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4" thickBot="1" x14ac:dyDescent="0.35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40.200000000000003" thickBot="1" x14ac:dyDescent="0.3">
      <c r="A26" s="133" t="s">
        <v>114</v>
      </c>
      <c r="B26" s="134" t="s">
        <v>92</v>
      </c>
      <c r="C26" s="134" t="s">
        <v>114</v>
      </c>
      <c r="D26" s="135" t="s">
        <v>116</v>
      </c>
      <c r="E26" s="135" t="s">
        <v>117</v>
      </c>
      <c r="F26" s="135" t="s">
        <v>118</v>
      </c>
      <c r="G26" s="135" t="s">
        <v>119</v>
      </c>
      <c r="H26" s="136" t="s">
        <v>120</v>
      </c>
      <c r="I26" s="137"/>
    </row>
    <row r="27" spans="1:12" ht="13.8" x14ac:dyDescent="0.3">
      <c r="A27" s="138">
        <v>5</v>
      </c>
      <c r="B27" s="85" t="str">
        <f>IFERROR(VLOOKUP(H27,'[1]Consolidado MP Planta'!$A$2:$M$823,3,0),"")</f>
        <v>BOLSA TRANSPARENTE 56X96X1.80 KILO</v>
      </c>
      <c r="C27" s="139">
        <f t="shared" ref="C27:C32" si="6">+A27</f>
        <v>5</v>
      </c>
      <c r="D27" s="140" t="str">
        <f>IFERROR(VLOOKUP(H27,'[1]Consolidado MP Planta'!$A$2:$M$823,13,0),"")</f>
        <v>Und</v>
      </c>
      <c r="E27" s="140">
        <f>IFERROR(VLOOKUP(H27,'[1]Consolidado MP Planta'!$A$2:$M$823,12,0),"")</f>
        <v>50</v>
      </c>
      <c r="F27" s="140">
        <f t="shared" ref="F27:F32" si="7">IFERROR(C27*E27,"")</f>
        <v>250</v>
      </c>
      <c r="G27" s="141">
        <f t="shared" ref="G27:G32" si="8">IFERROR(F27/$F$66,"")</f>
        <v>4.6451758913920857E-3</v>
      </c>
      <c r="H27" s="144" t="s">
        <v>174</v>
      </c>
      <c r="I27" s="144"/>
      <c r="J27" s="143"/>
      <c r="K27" s="385"/>
      <c r="L27" s="385"/>
    </row>
    <row r="28" spans="1:12" ht="13.8" x14ac:dyDescent="0.3">
      <c r="A28" s="138">
        <v>5</v>
      </c>
      <c r="B28" s="85" t="str">
        <f>IFERROR(VLOOKUP(H28,'[1]Consolidado MP Planta'!$A$2:$M$823,3,0),"")</f>
        <v/>
      </c>
      <c r="C28" s="139">
        <f t="shared" si="6"/>
        <v>5</v>
      </c>
      <c r="D28" s="140" t="str">
        <f>IFERROR(VLOOKUP(H28,'[1]Consolidado MP Planta'!$A$2:$M$823,13,0),"")</f>
        <v/>
      </c>
      <c r="E28" s="140" t="str">
        <f>IFERROR(VLOOKUP(H28,'[1]Consolidado MP Planta'!$A$2:$M$823,12,0),"")</f>
        <v/>
      </c>
      <c r="F28" s="140" t="str">
        <f t="shared" si="7"/>
        <v/>
      </c>
      <c r="G28" s="141" t="str">
        <f t="shared" si="8"/>
        <v/>
      </c>
      <c r="H28" s="144" t="s">
        <v>175</v>
      </c>
      <c r="I28" s="144"/>
      <c r="J28" s="143"/>
      <c r="K28" s="385"/>
      <c r="L28" s="385"/>
    </row>
    <row r="29" spans="1:12" ht="13.8" x14ac:dyDescent="0.3">
      <c r="A29" s="138">
        <v>3</v>
      </c>
      <c r="B29" s="85" t="str">
        <f>IFERROR(VLOOKUP(H29,'[1]Consolidado MP Planta'!$A$2:$M$823,3,0),"")</f>
        <v>PAPEL MANTEQUILLA (CAJA= 1000 UND)</v>
      </c>
      <c r="C29" s="139">
        <f t="shared" si="6"/>
        <v>3</v>
      </c>
      <c r="D29" s="140" t="str">
        <f>IFERROR(VLOOKUP(H29,'[1]Consolidado MP Planta'!$A$2:$M$823,13,0),"")</f>
        <v>Und</v>
      </c>
      <c r="E29" s="140">
        <v>43.5</v>
      </c>
      <c r="F29" s="140">
        <f t="shared" si="7"/>
        <v>130.5</v>
      </c>
      <c r="G29" s="141">
        <f t="shared" si="8"/>
        <v>2.424781815306669E-3</v>
      </c>
      <c r="H29" s="144" t="s">
        <v>176</v>
      </c>
      <c r="I29" s="144"/>
      <c r="J29" s="143"/>
      <c r="K29" s="385"/>
      <c r="L29" s="385"/>
    </row>
    <row r="30" spans="1:12" ht="13.8" x14ac:dyDescent="0.3">
      <c r="A30" s="138">
        <v>5</v>
      </c>
      <c r="B30" s="85" t="str">
        <f>IFERROR(VLOOKUP(H30,'[1]Consolidado MP Planta'!$A$2:$M$823,3,0),"")</f>
        <v>ETIQ.BLANCA 1 1/4 * 3/4 (UND)</v>
      </c>
      <c r="C30" s="139">
        <f t="shared" si="6"/>
        <v>5</v>
      </c>
      <c r="D30" s="140" t="str">
        <f>IFERROR(VLOOKUP(H30,'[1]Consolidado MP Planta'!$A$2:$M$823,13,0),"")</f>
        <v>Und</v>
      </c>
      <c r="E30" s="140">
        <f>IFERROR(VLOOKUP(H30,'[1]Consolidado MP Planta'!$A$2:$M$823,12,0),"")</f>
        <v>0.57999999999999996</v>
      </c>
      <c r="F30" s="140">
        <f t="shared" si="7"/>
        <v>2.9</v>
      </c>
      <c r="G30" s="141">
        <f t="shared" si="8"/>
        <v>5.3884040340148195E-5</v>
      </c>
      <c r="H30" s="144" t="s">
        <v>177</v>
      </c>
      <c r="I30" s="144"/>
      <c r="J30" s="143"/>
      <c r="K30" s="385"/>
      <c r="L30" s="385"/>
    </row>
    <row r="31" spans="1:12" ht="13.8" hidden="1" x14ac:dyDescent="0.3">
      <c r="A31" s="138"/>
      <c r="B31" s="85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4"/>
      <c r="I31" s="144"/>
      <c r="J31" s="143"/>
      <c r="K31" s="145"/>
      <c r="L31" s="146"/>
    </row>
    <row r="32" spans="1:12" ht="13.8" hidden="1" x14ac:dyDescent="0.3">
      <c r="A32" s="138"/>
      <c r="B32" s="85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4"/>
      <c r="I32" s="144"/>
      <c r="J32" s="143"/>
    </row>
    <row r="33" spans="1:13" ht="14.4" thickBot="1" x14ac:dyDescent="0.35">
      <c r="A33" s="138"/>
      <c r="B33" s="85"/>
      <c r="C33" s="139"/>
      <c r="D33" s="140"/>
      <c r="E33" s="140"/>
      <c r="F33" s="140"/>
      <c r="G33" s="141"/>
      <c r="H33" s="144"/>
      <c r="I33" s="144"/>
      <c r="J33" s="143"/>
    </row>
    <row r="34" spans="1:13" ht="40.200000000000003" thickBot="1" x14ac:dyDescent="0.3">
      <c r="A34" s="133" t="s">
        <v>114</v>
      </c>
      <c r="B34" s="134" t="s">
        <v>122</v>
      </c>
      <c r="C34" s="134" t="s">
        <v>114</v>
      </c>
      <c r="D34" s="135" t="s">
        <v>116</v>
      </c>
      <c r="E34" s="135" t="s">
        <v>117</v>
      </c>
      <c r="F34" s="135" t="s">
        <v>118</v>
      </c>
      <c r="G34" s="135" t="s">
        <v>119</v>
      </c>
      <c r="H34" s="136" t="s">
        <v>120</v>
      </c>
      <c r="I34" s="144"/>
      <c r="J34" s="143"/>
    </row>
    <row r="35" spans="1:13" ht="13.8" x14ac:dyDescent="0.3">
      <c r="A35" s="138">
        <f>+A17</f>
        <v>20000</v>
      </c>
      <c r="B35" s="85" t="s">
        <v>86</v>
      </c>
      <c r="C35" s="139">
        <f>+A35</f>
        <v>20000</v>
      </c>
      <c r="D35" s="140" t="s">
        <v>159</v>
      </c>
      <c r="E35" s="140">
        <f>+'COSTO BATIDO'!E76</f>
        <v>3.0806472491909384E-3</v>
      </c>
      <c r="F35" s="140">
        <f>IFERROR(E35*C35,"")</f>
        <v>61.612944983818771</v>
      </c>
      <c r="G35" s="141">
        <f t="shared" ref="G35:G41" si="9">IFERROR(F35/$F$66,"")</f>
        <v>1.1448118665460076E-3</v>
      </c>
      <c r="H35" s="144" t="s">
        <v>29</v>
      </c>
      <c r="I35" s="144"/>
      <c r="J35" s="143"/>
    </row>
    <row r="36" spans="1:13" ht="13.8" hidden="1" x14ac:dyDescent="0.3">
      <c r="A36" s="138">
        <f t="shared" ref="A36:A41" si="10">+A18</f>
        <v>0</v>
      </c>
      <c r="B36" s="85" t="str">
        <f>IFERROR(VLOOKUP(H36,[1]SEMIELABORADOS!$A$2:$M$6000,2,0),"")</f>
        <v/>
      </c>
      <c r="C36" s="139">
        <f t="shared" ref="C36:C41" si="11">+A36</f>
        <v>0</v>
      </c>
      <c r="D36" s="140" t="str">
        <f>IFERROR(VLOOKUP(H36,[1]SEMIELABORADOS!$A$2:$M$6000,6,0),"")</f>
        <v/>
      </c>
      <c r="E36" s="140" t="str">
        <f>IFERROR(VLOOKUP(H36,[1]SEMIELABORADOS!$A$2:$M$65536,10,0),"")</f>
        <v/>
      </c>
      <c r="F36" s="140" t="str">
        <f t="shared" ref="F36:F41" si="12">IFERROR(E36*C36,"")</f>
        <v/>
      </c>
      <c r="G36" s="141" t="str">
        <f t="shared" si="9"/>
        <v/>
      </c>
      <c r="H36" s="144"/>
      <c r="I36" s="144"/>
      <c r="J36" s="143"/>
    </row>
    <row r="37" spans="1:13" ht="13.8" hidden="1" x14ac:dyDescent="0.3">
      <c r="A37" s="138">
        <f t="shared" si="10"/>
        <v>0</v>
      </c>
      <c r="B37" s="85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4"/>
      <c r="I37" s="144"/>
      <c r="J37" s="143"/>
    </row>
    <row r="38" spans="1:13" ht="13.8" hidden="1" x14ac:dyDescent="0.3">
      <c r="A38" s="138">
        <f t="shared" si="10"/>
        <v>0</v>
      </c>
      <c r="B38" s="85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4"/>
      <c r="I38" s="144"/>
      <c r="J38" s="143"/>
    </row>
    <row r="39" spans="1:13" ht="13.8" hidden="1" x14ac:dyDescent="0.3">
      <c r="A39" s="138">
        <f t="shared" si="10"/>
        <v>0</v>
      </c>
      <c r="B39" s="85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4"/>
      <c r="I39" s="144"/>
      <c r="J39" s="143"/>
    </row>
    <row r="40" spans="1:13" ht="13.8" hidden="1" x14ac:dyDescent="0.3">
      <c r="A40" s="138">
        <f t="shared" si="10"/>
        <v>0</v>
      </c>
      <c r="B40" s="85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4"/>
      <c r="I40" s="144"/>
      <c r="J40" s="143"/>
    </row>
    <row r="41" spans="1:13" ht="13.8" hidden="1" x14ac:dyDescent="0.3">
      <c r="A41" s="138">
        <f t="shared" si="10"/>
        <v>0</v>
      </c>
      <c r="B41" s="85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4"/>
      <c r="I41" s="144"/>
      <c r="J41" s="143"/>
    </row>
    <row r="42" spans="1:13" ht="14.4" thickBot="1" x14ac:dyDescent="0.35">
      <c r="A42" s="138"/>
      <c r="B42" s="85"/>
      <c r="C42" s="139"/>
      <c r="D42" s="140"/>
      <c r="E42" s="140"/>
      <c r="F42" s="140"/>
      <c r="G42" s="141"/>
      <c r="H42" s="144"/>
      <c r="I42" s="144"/>
      <c r="J42" s="143"/>
    </row>
    <row r="43" spans="1:13" ht="40.200000000000003" thickBot="1" x14ac:dyDescent="0.3">
      <c r="A43" s="133" t="s">
        <v>114</v>
      </c>
      <c r="B43" s="134" t="s">
        <v>123</v>
      </c>
      <c r="C43" s="134" t="s">
        <v>114</v>
      </c>
      <c r="D43" s="135" t="s">
        <v>116</v>
      </c>
      <c r="E43" s="135" t="s">
        <v>117</v>
      </c>
      <c r="F43" s="135" t="s">
        <v>118</v>
      </c>
      <c r="G43" s="135" t="s">
        <v>119</v>
      </c>
      <c r="H43" s="136" t="s">
        <v>120</v>
      </c>
      <c r="I43" s="137"/>
      <c r="J43" s="143"/>
    </row>
    <row r="44" spans="1:13" ht="13.8" x14ac:dyDescent="0.3">
      <c r="A44" s="138">
        <f>+A35</f>
        <v>20000</v>
      </c>
      <c r="B44" s="85" t="s">
        <v>86</v>
      </c>
      <c r="C44" s="139">
        <f>+A44</f>
        <v>20000</v>
      </c>
      <c r="D44" s="140" t="s">
        <v>159</v>
      </c>
      <c r="E44" s="140">
        <f>+'COSTO BATIDO'!E74</f>
        <v>1.7038834951456312E-2</v>
      </c>
      <c r="F44" s="140">
        <f>IFERROR(E44*C44,"")</f>
        <v>340.77669902912623</v>
      </c>
      <c r="G44" s="141">
        <f>IFERROR(F44/$F$66,"")</f>
        <v>6.3318708267130963E-3</v>
      </c>
      <c r="H44" s="144" t="s">
        <v>29</v>
      </c>
      <c r="I44" s="137"/>
      <c r="J44" s="143"/>
    </row>
    <row r="45" spans="1:13" ht="13.8" hidden="1" x14ac:dyDescent="0.3">
      <c r="A45" s="138">
        <f t="shared" ref="A45:A50" si="13">+A36</f>
        <v>0</v>
      </c>
      <c r="B45" s="85" t="str">
        <f>IFERROR(VLOOKUP(H45,[1]SEMIELABORADOS!$A$2:$M$6000,2,0),"")</f>
        <v/>
      </c>
      <c r="C45" s="139">
        <f t="shared" ref="C45:C50" si="14">+A45</f>
        <v>0</v>
      </c>
      <c r="D45" s="140" t="str">
        <f>IFERROR(VLOOKUP(H45,[1]SEMIELABORADOS!$A$2:$M$6000,6,0),"")</f>
        <v/>
      </c>
      <c r="E45" s="140" t="str">
        <f>IFERROR(VLOOKUP(H45,[1]SEMIELABORADOS!$A$2:$M$65536,12,0),"")</f>
        <v/>
      </c>
      <c r="F45" s="140" t="str">
        <f t="shared" ref="F45:F50" si="15">IFERROR(E45*C45,"")</f>
        <v/>
      </c>
      <c r="G45" s="141" t="str">
        <f t="shared" ref="G45:G50" si="16">IFERROR(F45/$F$66,"")</f>
        <v/>
      </c>
      <c r="H45" s="144"/>
      <c r="I45" s="137"/>
      <c r="J45" s="143"/>
      <c r="M45" s="147"/>
    </row>
    <row r="46" spans="1:13" ht="13.8" hidden="1" x14ac:dyDescent="0.3">
      <c r="A46" s="138">
        <f t="shared" si="13"/>
        <v>0</v>
      </c>
      <c r="B46" s="85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4"/>
      <c r="I46" s="137"/>
      <c r="J46" s="143"/>
    </row>
    <row r="47" spans="1:13" ht="13.8" hidden="1" x14ac:dyDescent="0.3">
      <c r="A47" s="138">
        <f t="shared" si="13"/>
        <v>0</v>
      </c>
      <c r="B47" s="85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4"/>
      <c r="I47" s="137"/>
      <c r="J47" s="143"/>
    </row>
    <row r="48" spans="1:13" ht="13.8" hidden="1" x14ac:dyDescent="0.3">
      <c r="A48" s="138">
        <f t="shared" si="13"/>
        <v>0</v>
      </c>
      <c r="B48" s="85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4"/>
      <c r="I48" s="137"/>
      <c r="J48" s="143"/>
    </row>
    <row r="49" spans="1:17" ht="13.8" hidden="1" x14ac:dyDescent="0.3">
      <c r="A49" s="138">
        <f t="shared" si="13"/>
        <v>0</v>
      </c>
      <c r="B49" s="85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4"/>
      <c r="I49" s="137"/>
      <c r="J49" s="143"/>
    </row>
    <row r="50" spans="1:17" ht="13.8" hidden="1" x14ac:dyDescent="0.3">
      <c r="A50" s="138">
        <f t="shared" si="13"/>
        <v>0</v>
      </c>
      <c r="B50" s="85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85"/>
      <c r="I50" s="137"/>
      <c r="J50" s="143"/>
    </row>
    <row r="51" spans="1:17" ht="13.8" x14ac:dyDescent="0.3">
      <c r="A51" s="138">
        <v>1</v>
      </c>
      <c r="B51" s="85" t="s">
        <v>124</v>
      </c>
      <c r="C51" s="139">
        <f>+A51</f>
        <v>1</v>
      </c>
      <c r="D51" s="139" t="s">
        <v>125</v>
      </c>
      <c r="E51" s="140">
        <f>+F65</f>
        <v>870</v>
      </c>
      <c r="F51" s="140">
        <f>IFERROR(C51*E51,"")</f>
        <v>870</v>
      </c>
      <c r="G51" s="141">
        <f>IFERROR(F51/$F$66,"")</f>
        <v>1.6165212102044458E-2</v>
      </c>
      <c r="H51" s="148"/>
      <c r="I51" s="148"/>
      <c r="J51" s="143"/>
    </row>
    <row r="52" spans="1:17" ht="14.4" thickBot="1" x14ac:dyDescent="0.35">
      <c r="A52" s="138"/>
      <c r="B52" s="85"/>
      <c r="C52" s="139"/>
      <c r="D52" s="139"/>
      <c r="E52" s="140"/>
      <c r="F52" s="140"/>
      <c r="G52" s="141"/>
      <c r="H52" s="148"/>
      <c r="I52" s="148"/>
      <c r="J52" s="143"/>
    </row>
    <row r="53" spans="1:17" ht="13.8" thickBot="1" x14ac:dyDescent="0.3">
      <c r="A53" s="149"/>
      <c r="B53" s="386" t="s">
        <v>126</v>
      </c>
      <c r="C53" s="386"/>
      <c r="D53" s="386"/>
      <c r="E53" s="386"/>
      <c r="F53" s="151">
        <f>SUM(F8:F14,F17:F24)</f>
        <v>51474.76699029126</v>
      </c>
      <c r="G53" s="141">
        <f>+F53/$F$66</f>
        <v>0.95643738655330446</v>
      </c>
      <c r="H53" s="152">
        <f>+F53/$D$60</f>
        <v>5147.4766990291264</v>
      </c>
      <c r="I53" s="152"/>
      <c r="J53" s="153"/>
      <c r="K53" s="154"/>
      <c r="L53" s="154"/>
      <c r="M53" s="154"/>
      <c r="N53" s="154"/>
      <c r="O53" s="154"/>
      <c r="P53" s="154"/>
      <c r="Q53" s="155"/>
    </row>
    <row r="54" spans="1:17" x14ac:dyDescent="0.25">
      <c r="A54" s="149"/>
      <c r="B54" s="386" t="s">
        <v>127</v>
      </c>
      <c r="C54" s="386"/>
      <c r="D54" s="386"/>
      <c r="E54" s="386"/>
      <c r="F54" s="151">
        <f>SUM(F27:F32,F35:F41)</f>
        <v>445.01294498381873</v>
      </c>
      <c r="G54" s="141">
        <f>+F54/$F$66</f>
        <v>8.2686536135849094E-3</v>
      </c>
      <c r="H54" s="152">
        <f>+F54/$D$60</f>
        <v>44.501294498381874</v>
      </c>
      <c r="I54" s="152"/>
      <c r="J54" s="156"/>
      <c r="K54" s="387" t="s">
        <v>128</v>
      </c>
      <c r="L54" s="388"/>
      <c r="M54" s="388"/>
      <c r="N54" s="388"/>
      <c r="O54" s="157">
        <f>+F55</f>
        <v>51919.779935275081</v>
      </c>
      <c r="P54" s="157"/>
      <c r="Q54" s="158"/>
    </row>
    <row r="55" spans="1:17" x14ac:dyDescent="0.25">
      <c r="A55" s="149"/>
      <c r="B55" s="386" t="s">
        <v>129</v>
      </c>
      <c r="C55" s="386"/>
      <c r="D55" s="386"/>
      <c r="E55" s="386"/>
      <c r="F55" s="151">
        <f>+F53+F54</f>
        <v>51919.779935275081</v>
      </c>
      <c r="G55" s="141">
        <f>+F55/$F$66</f>
        <v>0.96470604016688943</v>
      </c>
      <c r="H55" s="152">
        <f>+F55/$D$60</f>
        <v>5191.9779935275083</v>
      </c>
      <c r="I55" s="152"/>
      <c r="J55" s="159"/>
      <c r="K55" s="160"/>
      <c r="M55" s="161" t="s">
        <v>130</v>
      </c>
      <c r="N55" s="162"/>
      <c r="O55" s="157">
        <f>+H56</f>
        <v>121.07766990291262</v>
      </c>
      <c r="P55" s="157"/>
      <c r="Q55" s="158"/>
    </row>
    <row r="56" spans="1:17" ht="13.8" thickBot="1" x14ac:dyDescent="0.3">
      <c r="A56" s="149"/>
      <c r="B56" s="150"/>
      <c r="C56" s="386" t="s">
        <v>131</v>
      </c>
      <c r="D56" s="386"/>
      <c r="E56" s="386"/>
      <c r="F56" s="151">
        <f>SUM(F44:F51)</f>
        <v>1210.7766990291261</v>
      </c>
      <c r="G56" s="141">
        <f>+F56/$F$66</f>
        <v>2.2497082928757552E-2</v>
      </c>
      <c r="H56" s="152">
        <f>+F56/$D$60</f>
        <v>121.07766990291262</v>
      </c>
      <c r="I56" s="152"/>
      <c r="J56" s="159"/>
      <c r="K56" s="160"/>
      <c r="L56" s="160"/>
      <c r="M56" s="160" t="s">
        <v>132</v>
      </c>
      <c r="N56" s="163"/>
      <c r="O56" s="157">
        <f>O54*N56</f>
        <v>0</v>
      </c>
      <c r="P56" s="157"/>
      <c r="Q56" s="158"/>
    </row>
    <row r="57" spans="1:17" ht="13.8" thickBot="1" x14ac:dyDescent="0.25">
      <c r="A57" s="149"/>
      <c r="B57" s="164"/>
      <c r="C57" s="164"/>
      <c r="D57" s="164"/>
      <c r="E57" s="164"/>
      <c r="F57" s="165"/>
      <c r="G57" s="141"/>
      <c r="H57" s="166"/>
      <c r="I57" s="152"/>
      <c r="J57" s="159"/>
      <c r="K57" s="167"/>
      <c r="M57" s="168" t="s">
        <v>133</v>
      </c>
      <c r="N57" s="169"/>
      <c r="O57" s="170">
        <f>SUM(O54:O56)</f>
        <v>52040.857605177996</v>
      </c>
      <c r="P57" s="171"/>
      <c r="Q57" s="158"/>
    </row>
    <row r="58" spans="1:17" x14ac:dyDescent="0.25">
      <c r="B58" s="390" t="s">
        <v>134</v>
      </c>
      <c r="C58" s="390"/>
      <c r="D58" s="172">
        <v>20000</v>
      </c>
      <c r="E58" s="173"/>
      <c r="G58" s="141"/>
      <c r="H58" s="166"/>
      <c r="I58" s="174"/>
      <c r="J58" s="159"/>
      <c r="K58" s="167"/>
      <c r="L58" s="160"/>
      <c r="M58" s="160" t="s">
        <v>135</v>
      </c>
      <c r="N58" s="175">
        <v>0.16</v>
      </c>
      <c r="O58" s="157">
        <f>+O54*N58</f>
        <v>8307.1647896440136</v>
      </c>
      <c r="P58" s="157"/>
      <c r="Q58" s="158"/>
    </row>
    <row r="59" spans="1:17" x14ac:dyDescent="0.25">
      <c r="B59" s="390" t="s">
        <v>136</v>
      </c>
      <c r="C59" s="390"/>
      <c r="D59" s="176">
        <v>2000</v>
      </c>
      <c r="E59" s="173"/>
      <c r="G59" s="141"/>
      <c r="H59" s="166"/>
      <c r="I59" s="174"/>
      <c r="J59" s="159"/>
      <c r="K59" s="167"/>
      <c r="L59" s="160"/>
      <c r="M59" s="391" t="s">
        <v>133</v>
      </c>
      <c r="N59" s="391"/>
      <c r="O59" s="157">
        <f>SUM(O57:O58)</f>
        <v>60348.022394822008</v>
      </c>
      <c r="P59" s="157"/>
      <c r="Q59" s="158"/>
    </row>
    <row r="60" spans="1:17" ht="13.8" thickBot="1" x14ac:dyDescent="0.3">
      <c r="B60" s="392" t="s">
        <v>137</v>
      </c>
      <c r="C60" s="392"/>
      <c r="D60" s="172">
        <f>+D58/D59</f>
        <v>10</v>
      </c>
      <c r="E60" s="173"/>
      <c r="F60" s="177"/>
      <c r="G60" s="141"/>
      <c r="H60" s="166"/>
      <c r="I60" s="174"/>
      <c r="J60" s="159"/>
      <c r="K60" s="167"/>
      <c r="L60" s="391"/>
      <c r="M60" s="391"/>
      <c r="N60" s="175"/>
      <c r="O60" s="157">
        <f>+O59*N60</f>
        <v>0</v>
      </c>
      <c r="P60" s="157"/>
      <c r="Q60" s="158"/>
    </row>
    <row r="61" spans="1:17" ht="13.8" thickBot="1" x14ac:dyDescent="0.25">
      <c r="B61" s="392" t="s">
        <v>138</v>
      </c>
      <c r="C61" s="392"/>
      <c r="D61" s="178"/>
      <c r="E61" s="173"/>
      <c r="F61" s="177"/>
      <c r="G61" s="141"/>
      <c r="H61" s="166"/>
      <c r="I61" s="174"/>
      <c r="J61" s="159"/>
      <c r="K61" s="393" t="s">
        <v>139</v>
      </c>
      <c r="L61" s="394"/>
      <c r="M61" s="394"/>
      <c r="N61" s="395"/>
      <c r="O61" s="170">
        <f>SUM(O59:O60)</f>
        <v>60348.022394822008</v>
      </c>
      <c r="P61" s="179" t="s">
        <v>140</v>
      </c>
      <c r="Q61" s="158"/>
    </row>
    <row r="62" spans="1:17" ht="13.8" thickBot="1" x14ac:dyDescent="0.25">
      <c r="C62" s="149" t="s">
        <v>141</v>
      </c>
      <c r="D62" s="180"/>
      <c r="E62" s="124" t="s">
        <v>142</v>
      </c>
      <c r="F62" s="181" t="s">
        <v>143</v>
      </c>
      <c r="G62" s="141"/>
      <c r="H62" s="166"/>
      <c r="I62" s="174"/>
      <c r="J62" s="182"/>
      <c r="K62" s="183"/>
      <c r="L62" s="401" t="s">
        <v>144</v>
      </c>
      <c r="M62" s="401"/>
      <c r="N62" s="401"/>
      <c r="O62" s="184">
        <f>+O61/D60</f>
        <v>6034.802239482201</v>
      </c>
      <c r="P62" s="185">
        <f>+O62/D59</f>
        <v>3.0174011197411006</v>
      </c>
      <c r="Q62" s="186"/>
    </row>
    <row r="63" spans="1:17" ht="13.8" thickBot="1" x14ac:dyDescent="0.25">
      <c r="B63" s="402" t="s">
        <v>129</v>
      </c>
      <c r="C63" s="402"/>
      <c r="D63" s="402"/>
      <c r="E63" s="187">
        <f>+F63/F63</f>
        <v>1</v>
      </c>
      <c r="F63" s="188">
        <f>SUM(F55)</f>
        <v>51919.779935275081</v>
      </c>
      <c r="G63" s="141">
        <f>+F63/$F$66</f>
        <v>0.96470604016688943</v>
      </c>
      <c r="H63" s="166"/>
      <c r="I63" s="174"/>
      <c r="K63" s="403"/>
      <c r="L63" s="404"/>
      <c r="M63" s="404"/>
      <c r="N63" s="404"/>
      <c r="O63" s="189"/>
      <c r="P63" s="190"/>
    </row>
    <row r="64" spans="1:17" ht="13.8" thickBot="1" x14ac:dyDescent="0.3">
      <c r="B64" s="405" t="s">
        <v>145</v>
      </c>
      <c r="C64" s="405"/>
      <c r="D64" s="405"/>
      <c r="E64" s="191">
        <v>0.02</v>
      </c>
      <c r="F64" s="188">
        <f>+F53*E64</f>
        <v>1029.4953398058253</v>
      </c>
      <c r="G64" s="141">
        <f>+F64/$F$66</f>
        <v>1.9128747731066091E-2</v>
      </c>
      <c r="H64" s="152"/>
      <c r="I64" s="174"/>
      <c r="J64" s="192"/>
      <c r="O64" s="193"/>
      <c r="P64" s="150"/>
    </row>
    <row r="65" spans="2:13" ht="13.8" thickBot="1" x14ac:dyDescent="0.3">
      <c r="B65" s="406" t="s">
        <v>146</v>
      </c>
      <c r="C65" s="407"/>
      <c r="D65" s="194">
        <v>15</v>
      </c>
      <c r="E65" s="195">
        <v>58</v>
      </c>
      <c r="F65" s="188">
        <f>+E65*D65</f>
        <v>870</v>
      </c>
      <c r="G65" s="141">
        <f>+F65/$F$66</f>
        <v>1.6165212102044458E-2</v>
      </c>
      <c r="H65" s="152"/>
      <c r="I65" s="152"/>
      <c r="J65" s="143"/>
    </row>
    <row r="66" spans="2:13" ht="13.8" thickBot="1" x14ac:dyDescent="0.3">
      <c r="B66" s="408" t="s">
        <v>147</v>
      </c>
      <c r="C66" s="409"/>
      <c r="D66" s="409"/>
      <c r="E66" s="410"/>
      <c r="F66" s="165">
        <f>SUM(F63:F65)</f>
        <v>53819.275275080909</v>
      </c>
      <c r="G66" s="141">
        <f>+F66/$F$66</f>
        <v>1</v>
      </c>
      <c r="H66" s="389"/>
      <c r="I66" s="152"/>
      <c r="J66" s="143"/>
      <c r="M66" s="126" t="s">
        <v>148</v>
      </c>
    </row>
    <row r="67" spans="2:13" x14ac:dyDescent="0.25">
      <c r="C67" s="147"/>
      <c r="D67" s="147"/>
      <c r="E67" s="197"/>
      <c r="F67" s="188"/>
      <c r="G67" s="141"/>
      <c r="H67" s="389"/>
      <c r="I67" s="196"/>
      <c r="J67" s="126"/>
      <c r="M67" s="126" t="s">
        <v>149</v>
      </c>
    </row>
    <row r="68" spans="2:13" ht="13.8" thickBot="1" x14ac:dyDescent="0.3">
      <c r="B68" s="396" t="s">
        <v>150</v>
      </c>
      <c r="C68" s="396"/>
      <c r="D68" s="396"/>
      <c r="E68" s="396"/>
      <c r="F68" s="396"/>
      <c r="G68" s="141"/>
      <c r="H68" s="199"/>
      <c r="I68" s="196"/>
      <c r="J68" s="126"/>
    </row>
    <row r="69" spans="2:13" ht="13.8" thickBot="1" x14ac:dyDescent="0.3">
      <c r="B69" s="200" t="s">
        <v>151</v>
      </c>
      <c r="C69" s="201">
        <f>+F53</f>
        <v>51474.76699029126</v>
      </c>
      <c r="D69" s="201">
        <f>+D58</f>
        <v>20000</v>
      </c>
      <c r="E69" s="202">
        <f>+C69/D69</f>
        <v>2.5737383495145632</v>
      </c>
      <c r="F69" s="141"/>
      <c r="G69" s="199"/>
      <c r="H69" s="143"/>
      <c r="I69" s="199"/>
      <c r="J69" s="126"/>
    </row>
    <row r="70" spans="2:13" x14ac:dyDescent="0.25">
      <c r="B70" s="203"/>
      <c r="C70" s="204"/>
      <c r="D70" s="205"/>
      <c r="E70" s="188"/>
      <c r="F70" s="141"/>
      <c r="G70" s="199"/>
      <c r="H70" s="143"/>
      <c r="I70" s="143"/>
      <c r="J70" s="126"/>
    </row>
    <row r="71" spans="2:13" x14ac:dyDescent="0.25">
      <c r="B71" s="200" t="s">
        <v>152</v>
      </c>
      <c r="C71" s="201">
        <f>SUM(F63:F64)</f>
        <v>52949.275275080909</v>
      </c>
      <c r="D71" s="201">
        <f>+D58</f>
        <v>20000</v>
      </c>
      <c r="E71" s="206">
        <f>+C71/D71</f>
        <v>2.6474637637540455</v>
      </c>
      <c r="F71" s="141"/>
      <c r="G71" s="199"/>
      <c r="H71" s="143"/>
      <c r="I71" s="143"/>
      <c r="J71" s="126"/>
    </row>
    <row r="72" spans="2:13" x14ac:dyDescent="0.25">
      <c r="B72" s="200"/>
      <c r="C72" s="201"/>
      <c r="D72" s="201"/>
      <c r="E72" s="206"/>
      <c r="F72" s="141"/>
      <c r="G72" s="199"/>
      <c r="H72" s="143"/>
      <c r="I72" s="143"/>
      <c r="J72" s="126"/>
    </row>
    <row r="73" spans="2:13" ht="13.8" thickBot="1" x14ac:dyDescent="0.3">
      <c r="B73" s="200" t="s">
        <v>153</v>
      </c>
      <c r="C73" s="201">
        <f>+F65</f>
        <v>870</v>
      </c>
      <c r="D73" s="201">
        <f>+D58</f>
        <v>20000</v>
      </c>
      <c r="E73" s="206">
        <f>+C73/D73</f>
        <v>4.3499999999999997E-2</v>
      </c>
      <c r="F73" s="141"/>
      <c r="G73" s="199"/>
      <c r="H73" s="143"/>
      <c r="I73" s="143"/>
      <c r="J73" s="126"/>
    </row>
    <row r="74" spans="2:13" ht="13.8" thickBot="1" x14ac:dyDescent="0.3">
      <c r="B74" s="200" t="s">
        <v>154</v>
      </c>
      <c r="C74" s="201">
        <f>+F56</f>
        <v>1210.7766990291261</v>
      </c>
      <c r="D74" s="201">
        <f>+D73</f>
        <v>20000</v>
      </c>
      <c r="E74" s="202">
        <f>+C74/D74</f>
        <v>6.0538834951456309E-2</v>
      </c>
      <c r="F74" s="141"/>
      <c r="G74" s="199"/>
      <c r="H74" s="143"/>
      <c r="I74" s="143"/>
      <c r="J74" s="126"/>
    </row>
    <row r="75" spans="2:13" ht="13.8" thickBot="1" x14ac:dyDescent="0.3">
      <c r="B75" s="164"/>
      <c r="C75" s="165"/>
      <c r="D75" s="165"/>
      <c r="E75" s="206"/>
      <c r="F75" s="141"/>
      <c r="G75" s="199"/>
      <c r="H75" s="143"/>
      <c r="I75" s="143"/>
      <c r="J75" s="126"/>
    </row>
    <row r="76" spans="2:13" ht="13.8" thickBot="1" x14ac:dyDescent="0.3">
      <c r="B76" s="200" t="s">
        <v>155</v>
      </c>
      <c r="C76" s="201">
        <f>+F54</f>
        <v>445.01294498381873</v>
      </c>
      <c r="D76" s="201">
        <f>+D74</f>
        <v>20000</v>
      </c>
      <c r="E76" s="202">
        <f>+C76/D76</f>
        <v>2.2250647249190937E-2</v>
      </c>
      <c r="F76" s="141"/>
      <c r="G76" s="199"/>
      <c r="H76" s="143"/>
      <c r="I76" s="143"/>
      <c r="J76" s="143"/>
    </row>
    <row r="77" spans="2:13" ht="13.8" thickBot="1" x14ac:dyDescent="0.3">
      <c r="B77" s="164"/>
      <c r="C77" s="165"/>
      <c r="D77" s="165"/>
      <c r="E77" s="206"/>
      <c r="F77" s="141"/>
      <c r="G77" s="199"/>
      <c r="H77" s="143"/>
      <c r="I77" s="143"/>
    </row>
    <row r="78" spans="2:13" ht="13.8" thickBot="1" x14ac:dyDescent="0.3">
      <c r="B78" s="397" t="s">
        <v>156</v>
      </c>
      <c r="C78" s="398"/>
      <c r="D78" s="399"/>
      <c r="E78" s="202">
        <f>+E69+E74</f>
        <v>2.6342771844660193</v>
      </c>
      <c r="G78" s="141"/>
      <c r="H78" s="199"/>
      <c r="I78" s="143"/>
      <c r="J78" s="206"/>
    </row>
    <row r="79" spans="2:13" x14ac:dyDescent="0.25">
      <c r="I79" s="199"/>
      <c r="J79" s="126"/>
    </row>
    <row r="80" spans="2:13" ht="13.8" thickBot="1" x14ac:dyDescent="0.3">
      <c r="B80" s="396" t="s">
        <v>157</v>
      </c>
      <c r="C80" s="396"/>
      <c r="D80" s="396"/>
      <c r="E80" s="396"/>
      <c r="F80" s="396"/>
      <c r="G80" s="141"/>
      <c r="H80" s="199"/>
      <c r="J80" s="126"/>
    </row>
    <row r="81" spans="1:10" ht="13.8" thickBot="1" x14ac:dyDescent="0.3">
      <c r="B81" s="200" t="s">
        <v>151</v>
      </c>
      <c r="C81" s="201">
        <f>+C69</f>
        <v>51474.76699029126</v>
      </c>
      <c r="D81" s="201">
        <f>+D60</f>
        <v>10</v>
      </c>
      <c r="E81" s="202">
        <f>+C81/D81</f>
        <v>5147.4766990291264</v>
      </c>
      <c r="F81" s="141"/>
      <c r="G81" s="199"/>
      <c r="H81" s="143"/>
      <c r="I81" s="199"/>
      <c r="J81" s="126"/>
    </row>
    <row r="82" spans="1:10" x14ac:dyDescent="0.25">
      <c r="B82" s="203"/>
      <c r="C82" s="204"/>
      <c r="D82" s="205"/>
      <c r="E82" s="188"/>
      <c r="F82" s="141"/>
      <c r="G82" s="199"/>
      <c r="H82" s="143"/>
      <c r="I82" s="143"/>
      <c r="J82" s="126"/>
    </row>
    <row r="83" spans="1:10" x14ac:dyDescent="0.25">
      <c r="B83" s="200" t="s">
        <v>152</v>
      </c>
      <c r="C83" s="201">
        <f>+C71</f>
        <v>52949.275275080909</v>
      </c>
      <c r="D83" s="201">
        <f>+D60</f>
        <v>10</v>
      </c>
      <c r="E83" s="206">
        <f>+C83/D83</f>
        <v>5294.9275275080909</v>
      </c>
      <c r="F83" s="141"/>
      <c r="G83" s="199"/>
      <c r="H83" s="143"/>
      <c r="I83" s="143"/>
      <c r="J83" s="126"/>
    </row>
    <row r="84" spans="1:10" x14ac:dyDescent="0.25">
      <c r="B84" s="200"/>
      <c r="C84" s="201"/>
      <c r="D84" s="201"/>
      <c r="E84" s="206"/>
      <c r="F84" s="141"/>
      <c r="G84" s="199"/>
      <c r="H84" s="143"/>
      <c r="I84" s="143"/>
      <c r="J84" s="126"/>
    </row>
    <row r="85" spans="1:10" ht="13.8" thickBot="1" x14ac:dyDescent="0.3">
      <c r="B85" s="200" t="s">
        <v>154</v>
      </c>
      <c r="C85" s="201">
        <f>+C73</f>
        <v>870</v>
      </c>
      <c r="D85" s="201">
        <f>+D60</f>
        <v>10</v>
      </c>
      <c r="E85" s="206">
        <f>+C85/D85</f>
        <v>87</v>
      </c>
      <c r="F85" s="208"/>
      <c r="G85" s="198"/>
      <c r="H85" s="125"/>
      <c r="I85" s="143"/>
    </row>
    <row r="86" spans="1:10" ht="13.8" thickBot="1" x14ac:dyDescent="0.3">
      <c r="B86" s="200" t="s">
        <v>154</v>
      </c>
      <c r="C86" s="201">
        <f>+C74</f>
        <v>1210.7766990291261</v>
      </c>
      <c r="D86" s="201">
        <f>+D85</f>
        <v>10</v>
      </c>
      <c r="E86" s="202">
        <f>+C86/D86</f>
        <v>121.07766990291262</v>
      </c>
      <c r="F86" s="207"/>
      <c r="G86" s="198"/>
      <c r="H86" s="125"/>
      <c r="I86" s="125"/>
    </row>
    <row r="87" spans="1:10" x14ac:dyDescent="0.25">
      <c r="I87" s="125"/>
    </row>
    <row r="88" spans="1:10" x14ac:dyDescent="0.25">
      <c r="A88" s="400"/>
      <c r="B88" s="400"/>
      <c r="C88" s="209"/>
      <c r="D88" s="209"/>
      <c r="E88" s="210"/>
      <c r="G88" s="211"/>
    </row>
    <row r="89" spans="1:10" x14ac:dyDescent="0.25">
      <c r="A89" s="85"/>
      <c r="B89" s="212"/>
      <c r="C89" s="213"/>
      <c r="D89" s="213"/>
      <c r="E89" s="214"/>
      <c r="G89" s="211"/>
    </row>
    <row r="90" spans="1:10" x14ac:dyDescent="0.25">
      <c r="A90" s="85"/>
      <c r="B90" s="212"/>
      <c r="C90" s="215"/>
      <c r="D90" s="215"/>
      <c r="E90" s="85"/>
      <c r="G90" s="211"/>
    </row>
    <row r="91" spans="1:10" x14ac:dyDescent="0.25">
      <c r="A91" s="85"/>
      <c r="B91" s="212"/>
      <c r="C91" s="216"/>
      <c r="D91" s="216"/>
      <c r="E91" s="85"/>
      <c r="G91" s="21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86E7-A2C3-4EA5-B009-09997BE6EB94}">
  <dimension ref="A1:H31"/>
  <sheetViews>
    <sheetView workbookViewId="0">
      <selection activeCell="B14" sqref="B14"/>
    </sheetView>
  </sheetViews>
  <sheetFormatPr baseColWidth="10" defaultRowHeight="13.2" x14ac:dyDescent="0.25"/>
  <cols>
    <col min="1" max="1" width="18.33203125" customWidth="1"/>
    <col min="2" max="2" width="36.6640625" customWidth="1"/>
    <col min="8" max="8" width="16.44140625" customWidth="1"/>
  </cols>
  <sheetData>
    <row r="1" spans="1:8" ht="15" x14ac:dyDescent="0.25">
      <c r="A1" s="459"/>
      <c r="B1" s="461" t="s">
        <v>22</v>
      </c>
      <c r="C1" s="462"/>
      <c r="D1" s="462"/>
      <c r="E1" s="462"/>
      <c r="F1" s="463"/>
      <c r="G1" s="75" t="s">
        <v>21</v>
      </c>
      <c r="H1" s="76"/>
    </row>
    <row r="2" spans="1:8" ht="15.6" thickBot="1" x14ac:dyDescent="0.3">
      <c r="A2" s="460"/>
      <c r="B2" s="464" t="s">
        <v>0</v>
      </c>
      <c r="C2" s="465"/>
      <c r="D2" s="465"/>
      <c r="E2" s="465"/>
      <c r="F2" s="466"/>
      <c r="G2" s="77" t="s">
        <v>20</v>
      </c>
      <c r="H2" s="78"/>
    </row>
    <row r="3" spans="1:8" ht="18" thickBot="1" x14ac:dyDescent="0.35">
      <c r="A3" s="460"/>
      <c r="B3" s="467" t="s">
        <v>103</v>
      </c>
      <c r="C3" s="468"/>
      <c r="D3" s="468"/>
      <c r="E3" s="468"/>
      <c r="F3" s="469"/>
      <c r="G3" s="470" t="s">
        <v>19</v>
      </c>
      <c r="H3" s="453"/>
    </row>
    <row r="4" spans="1:8" x14ac:dyDescent="0.25">
      <c r="A4" s="460"/>
      <c r="B4" s="98" t="s">
        <v>18</v>
      </c>
      <c r="C4" s="455" t="s">
        <v>85</v>
      </c>
      <c r="D4" s="456"/>
      <c r="E4" s="456"/>
      <c r="F4" s="456"/>
      <c r="G4" s="471"/>
      <c r="H4" s="454"/>
    </row>
    <row r="5" spans="1:8" x14ac:dyDescent="0.25">
      <c r="A5" s="460"/>
      <c r="B5" s="99" t="s">
        <v>17</v>
      </c>
      <c r="C5" s="457" t="s">
        <v>87</v>
      </c>
      <c r="D5" s="458"/>
      <c r="E5" s="458"/>
      <c r="F5" s="458"/>
      <c r="G5" s="471"/>
      <c r="H5" s="454"/>
    </row>
    <row r="6" spans="1:8" ht="18" thickBot="1" x14ac:dyDescent="0.35">
      <c r="A6" s="444" t="s">
        <v>23</v>
      </c>
      <c r="B6" s="444"/>
      <c r="C6" s="445" t="s">
        <v>88</v>
      </c>
      <c r="D6" s="445"/>
      <c r="E6" s="445"/>
      <c r="F6" s="446" t="s">
        <v>24</v>
      </c>
      <c r="G6" s="446"/>
      <c r="H6" s="100" t="s">
        <v>88</v>
      </c>
    </row>
    <row r="7" spans="1:8" ht="25.2" x14ac:dyDescent="0.25">
      <c r="A7" s="447" t="s">
        <v>1</v>
      </c>
      <c r="B7" s="449" t="s">
        <v>2</v>
      </c>
      <c r="C7" s="449" t="s">
        <v>3</v>
      </c>
      <c r="D7" s="451" t="s">
        <v>4</v>
      </c>
      <c r="E7" s="452"/>
      <c r="F7" s="451" t="s">
        <v>16</v>
      </c>
      <c r="G7" s="452"/>
      <c r="H7" s="79" t="s">
        <v>5</v>
      </c>
    </row>
    <row r="8" spans="1:8" ht="26.4" thickBot="1" x14ac:dyDescent="0.3">
      <c r="A8" s="448"/>
      <c r="B8" s="450"/>
      <c r="C8" s="450"/>
      <c r="D8" s="80" t="s">
        <v>6</v>
      </c>
      <c r="E8" s="81" t="s">
        <v>7</v>
      </c>
      <c r="F8" s="80" t="s">
        <v>6</v>
      </c>
      <c r="G8" s="81" t="s">
        <v>7</v>
      </c>
      <c r="H8" s="82" t="s">
        <v>8</v>
      </c>
    </row>
    <row r="9" spans="1:8" ht="15.6" x14ac:dyDescent="0.3">
      <c r="A9" s="101"/>
      <c r="B9" s="102" t="s">
        <v>89</v>
      </c>
      <c r="C9" s="103"/>
      <c r="D9" s="104"/>
      <c r="E9" s="104"/>
      <c r="F9" s="56"/>
      <c r="G9" s="105"/>
      <c r="H9" s="105"/>
    </row>
    <row r="10" spans="1:8" ht="15.6" x14ac:dyDescent="0.3">
      <c r="A10" s="120" t="s">
        <v>29</v>
      </c>
      <c r="B10" s="97" t="s">
        <v>104</v>
      </c>
      <c r="C10" s="105" t="s">
        <v>90</v>
      </c>
      <c r="D10" s="105">
        <v>3</v>
      </c>
      <c r="E10" s="105" t="s">
        <v>27</v>
      </c>
      <c r="F10" s="105"/>
      <c r="G10" s="105" t="s">
        <v>105</v>
      </c>
      <c r="H10" s="105" t="s">
        <v>91</v>
      </c>
    </row>
    <row r="11" spans="1:8" ht="15.6" x14ac:dyDescent="0.3">
      <c r="A11" s="106"/>
      <c r="B11" s="85"/>
      <c r="C11" s="107"/>
      <c r="D11" s="105"/>
      <c r="E11" s="105"/>
      <c r="F11" s="105"/>
      <c r="G11" s="105"/>
      <c r="H11" s="105"/>
    </row>
    <row r="12" spans="1:8" ht="15.6" x14ac:dyDescent="0.3">
      <c r="A12" s="108"/>
      <c r="B12" s="109" t="s">
        <v>92</v>
      </c>
      <c r="C12" s="107"/>
      <c r="D12" s="105"/>
      <c r="E12" s="105"/>
      <c r="F12" s="110"/>
      <c r="G12" s="105"/>
      <c r="H12" s="111"/>
    </row>
    <row r="13" spans="1:8" ht="15.6" x14ac:dyDescent="0.3">
      <c r="A13" s="83">
        <v>1950837</v>
      </c>
      <c r="B13" s="84" t="s">
        <v>93</v>
      </c>
      <c r="C13" s="105" t="s">
        <v>94</v>
      </c>
      <c r="D13" s="105">
        <v>10</v>
      </c>
      <c r="E13" s="105" t="s">
        <v>27</v>
      </c>
      <c r="F13" s="110"/>
      <c r="G13" s="105"/>
      <c r="H13" s="111"/>
    </row>
    <row r="14" spans="1:8" ht="15.6" x14ac:dyDescent="0.3">
      <c r="A14" s="83">
        <v>1950409</v>
      </c>
      <c r="B14" s="84" t="s">
        <v>95</v>
      </c>
      <c r="C14" s="105" t="s">
        <v>94</v>
      </c>
      <c r="D14" s="105">
        <v>10</v>
      </c>
      <c r="E14" s="105" t="s">
        <v>27</v>
      </c>
      <c r="F14" s="110"/>
      <c r="G14" s="105"/>
      <c r="H14" s="111"/>
    </row>
    <row r="15" spans="1:8" ht="15.6" x14ac:dyDescent="0.3">
      <c r="A15" s="83">
        <v>702012</v>
      </c>
      <c r="B15" s="84" t="s">
        <v>96</v>
      </c>
      <c r="C15" s="105" t="s">
        <v>32</v>
      </c>
      <c r="D15" s="105">
        <v>10</v>
      </c>
      <c r="E15" s="105" t="s">
        <v>27</v>
      </c>
      <c r="F15" s="110"/>
      <c r="G15" s="105"/>
      <c r="H15" s="111"/>
    </row>
    <row r="16" spans="1:8" ht="15.6" x14ac:dyDescent="0.3">
      <c r="A16" s="83">
        <v>702069</v>
      </c>
      <c r="B16" s="84" t="s">
        <v>97</v>
      </c>
      <c r="C16" s="105" t="s">
        <v>32</v>
      </c>
      <c r="D16" s="119">
        <v>10</v>
      </c>
      <c r="E16" s="112" t="s">
        <v>27</v>
      </c>
      <c r="F16" s="56"/>
      <c r="G16" s="56"/>
      <c r="H16" s="113"/>
    </row>
    <row r="17" spans="1:8" ht="14.4" thickBot="1" x14ac:dyDescent="0.3">
      <c r="A17" s="114"/>
      <c r="B17" s="115"/>
      <c r="C17" s="115"/>
      <c r="D17" s="116"/>
      <c r="E17" s="117"/>
      <c r="F17" s="116"/>
      <c r="G17" s="116"/>
      <c r="H17" s="118"/>
    </row>
    <row r="18" spans="1:8" ht="13.8" thickBot="1" x14ac:dyDescent="0.3">
      <c r="A18" s="86"/>
      <c r="B18" s="87"/>
      <c r="C18" s="87"/>
      <c r="D18" s="74"/>
      <c r="E18" s="88"/>
      <c r="F18" s="87"/>
      <c r="G18" s="87"/>
      <c r="H18" s="89"/>
    </row>
    <row r="19" spans="1:8" ht="13.8" thickBot="1" x14ac:dyDescent="0.3">
      <c r="A19" s="90"/>
      <c r="B19" s="91"/>
      <c r="C19" s="92" t="s">
        <v>6</v>
      </c>
      <c r="D19" s="92" t="s">
        <v>15</v>
      </c>
      <c r="E19" s="93"/>
      <c r="F19" s="91"/>
      <c r="G19" s="91"/>
      <c r="H19" s="94"/>
    </row>
    <row r="20" spans="1:8" x14ac:dyDescent="0.25">
      <c r="A20" s="438" t="s">
        <v>10</v>
      </c>
      <c r="B20" s="439"/>
      <c r="C20" s="41">
        <v>3900</v>
      </c>
      <c r="D20" s="95" t="s">
        <v>26</v>
      </c>
      <c r="E20" s="440" t="s">
        <v>98</v>
      </c>
      <c r="F20" s="441"/>
      <c r="G20" s="442"/>
      <c r="H20" s="443"/>
    </row>
    <row r="21" spans="1:8" x14ac:dyDescent="0.25">
      <c r="A21" s="430" t="s">
        <v>9</v>
      </c>
      <c r="B21" s="431"/>
      <c r="C21" s="29">
        <v>20</v>
      </c>
      <c r="D21" s="61" t="s">
        <v>28</v>
      </c>
      <c r="E21" s="432" t="s">
        <v>83</v>
      </c>
      <c r="F21" s="433"/>
      <c r="G21" s="434"/>
      <c r="H21" s="435"/>
    </row>
    <row r="22" spans="1:8" x14ac:dyDescent="0.25">
      <c r="A22" s="430" t="s">
        <v>14</v>
      </c>
      <c r="B22" s="431"/>
      <c r="C22" s="10">
        <f>C20/C23</f>
        <v>10</v>
      </c>
      <c r="D22" s="61" t="s">
        <v>99</v>
      </c>
      <c r="E22" s="432" t="s">
        <v>100</v>
      </c>
      <c r="F22" s="433"/>
      <c r="G22" s="434"/>
      <c r="H22" s="435"/>
    </row>
    <row r="23" spans="1:8" ht="13.5" customHeight="1" x14ac:dyDescent="0.25">
      <c r="A23" s="430" t="s">
        <v>13</v>
      </c>
      <c r="B23" s="431"/>
      <c r="C23" s="10">
        <v>390</v>
      </c>
      <c r="D23" s="61" t="s">
        <v>26</v>
      </c>
      <c r="E23" s="436" t="s">
        <v>84</v>
      </c>
      <c r="F23" s="437"/>
      <c r="G23" s="434"/>
      <c r="H23" s="435"/>
    </row>
    <row r="24" spans="1:8" ht="13.8" thickBot="1" x14ac:dyDescent="0.3">
      <c r="A24" s="418" t="s">
        <v>12</v>
      </c>
      <c r="B24" s="419"/>
      <c r="C24" s="32">
        <v>0</v>
      </c>
      <c r="D24" s="96" t="s">
        <v>26</v>
      </c>
      <c r="E24" s="420"/>
      <c r="F24" s="421"/>
      <c r="G24" s="422"/>
      <c r="H24" s="423"/>
    </row>
    <row r="25" spans="1:8" ht="13.8" thickBot="1" x14ac:dyDescent="0.3">
      <c r="A25" s="424" t="s">
        <v>11</v>
      </c>
      <c r="B25" s="425"/>
      <c r="C25" s="425"/>
      <c r="D25" s="425"/>
      <c r="E25" s="425"/>
      <c r="F25" s="425"/>
      <c r="G25" s="425"/>
      <c r="H25" s="425"/>
    </row>
    <row r="26" spans="1:8" ht="13.8" x14ac:dyDescent="0.25">
      <c r="A26" s="426" t="s">
        <v>106</v>
      </c>
      <c r="B26" s="427"/>
      <c r="C26" s="427"/>
      <c r="D26" s="427"/>
      <c r="E26" s="427"/>
      <c r="F26" s="427"/>
      <c r="G26" s="427"/>
      <c r="H26" s="427"/>
    </row>
    <row r="27" spans="1:8" ht="13.8" x14ac:dyDescent="0.25">
      <c r="A27" s="428" t="s">
        <v>101</v>
      </c>
      <c r="B27" s="429"/>
      <c r="C27" s="429"/>
      <c r="D27" s="429"/>
      <c r="E27" s="429"/>
      <c r="F27" s="429"/>
      <c r="G27" s="429"/>
      <c r="H27" s="429"/>
    </row>
    <row r="28" spans="1:8" ht="14.4" thickBot="1" x14ac:dyDescent="0.3">
      <c r="A28" s="412" t="s">
        <v>107</v>
      </c>
      <c r="B28" s="413"/>
      <c r="C28" s="413"/>
      <c r="D28" s="413"/>
      <c r="E28" s="413"/>
      <c r="F28" s="413"/>
      <c r="G28" s="413"/>
      <c r="H28" s="413"/>
    </row>
    <row r="29" spans="1:8" ht="13.8" thickBot="1" x14ac:dyDescent="0.3">
      <c r="A29" s="414" t="s">
        <v>102</v>
      </c>
      <c r="B29" s="415"/>
      <c r="C29" s="415"/>
      <c r="D29" s="415"/>
      <c r="E29" s="415"/>
      <c r="F29" s="415"/>
      <c r="G29" s="415"/>
      <c r="H29" s="415"/>
    </row>
    <row r="30" spans="1:8" ht="13.8" thickBot="1" x14ac:dyDescent="0.3">
      <c r="A30" s="416"/>
      <c r="B30" s="416"/>
      <c r="C30" s="416"/>
      <c r="D30" s="416"/>
      <c r="E30" s="416"/>
      <c r="F30" s="416"/>
      <c r="G30" s="416"/>
      <c r="H30" s="416"/>
    </row>
    <row r="31" spans="1:8" x14ac:dyDescent="0.25">
      <c r="A31" s="417"/>
      <c r="B31" s="417"/>
      <c r="C31" s="417"/>
      <c r="D31" s="417"/>
      <c r="E31" s="417"/>
      <c r="F31" s="417"/>
      <c r="G31" s="417"/>
      <c r="H31" s="417"/>
    </row>
  </sheetData>
  <mergeCells count="38">
    <mergeCell ref="H3:H5"/>
    <mergeCell ref="C4:F4"/>
    <mergeCell ref="C5:F5"/>
    <mergeCell ref="A1:A5"/>
    <mergeCell ref="B1:F1"/>
    <mergeCell ref="B2:F2"/>
    <mergeCell ref="B3:F3"/>
    <mergeCell ref="G3:G5"/>
    <mergeCell ref="A6:B6"/>
    <mergeCell ref="C6:E6"/>
    <mergeCell ref="F6:G6"/>
    <mergeCell ref="A7:A8"/>
    <mergeCell ref="B7:B8"/>
    <mergeCell ref="C7:C8"/>
    <mergeCell ref="D7:E7"/>
    <mergeCell ref="F7:G7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23:B23"/>
    <mergeCell ref="E23:F23"/>
    <mergeCell ref="G23:H23"/>
    <mergeCell ref="A28:H28"/>
    <mergeCell ref="A29:H29"/>
    <mergeCell ref="A30:H30"/>
    <mergeCell ref="A31:H31"/>
    <mergeCell ref="A24:B24"/>
    <mergeCell ref="E24:F24"/>
    <mergeCell ref="G24:H24"/>
    <mergeCell ref="A25:H25"/>
    <mergeCell ref="A26:H26"/>
    <mergeCell ref="A27:H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926A-56E0-4A1B-8262-D6D4EDBCB30B}">
  <sheetPr>
    <pageSetUpPr fitToPage="1"/>
  </sheetPr>
  <dimension ref="A1:J51"/>
  <sheetViews>
    <sheetView tabSelected="1" topLeftCell="A13" zoomScale="80" zoomScaleNormal="80" workbookViewId="0">
      <selection activeCell="C1" sqref="C1:G1"/>
    </sheetView>
  </sheetViews>
  <sheetFormatPr baseColWidth="10" defaultRowHeight="13.2" x14ac:dyDescent="0.25"/>
  <cols>
    <col min="1" max="1" width="16.88671875" bestFit="1" customWidth="1"/>
    <col min="2" max="2" width="15.88671875" bestFit="1" customWidth="1"/>
    <col min="3" max="3" width="56.109375" customWidth="1"/>
    <col min="4" max="4" width="19.5546875" customWidth="1"/>
    <col min="5" max="5" width="15.5546875" customWidth="1"/>
    <col min="6" max="6" width="17.5546875" customWidth="1"/>
    <col min="7" max="7" width="15" customWidth="1"/>
    <col min="8" max="8" width="23.44140625" customWidth="1"/>
    <col min="9" max="9" width="24.109375" bestFit="1" customWidth="1"/>
  </cols>
  <sheetData>
    <row r="1" spans="1:10" ht="21" x14ac:dyDescent="0.35">
      <c r="A1" s="531"/>
      <c r="B1" s="532"/>
      <c r="C1" s="537" t="s">
        <v>22</v>
      </c>
      <c r="D1" s="537"/>
      <c r="E1" s="537"/>
      <c r="F1" s="537"/>
      <c r="G1" s="537"/>
      <c r="H1" s="232" t="s">
        <v>21</v>
      </c>
      <c r="I1" s="233" t="s">
        <v>209</v>
      </c>
    </row>
    <row r="2" spans="1:10" ht="18" customHeight="1" x14ac:dyDescent="0.35">
      <c r="A2" s="533"/>
      <c r="B2" s="534"/>
      <c r="C2" s="538" t="s">
        <v>0</v>
      </c>
      <c r="D2" s="539"/>
      <c r="E2" s="539"/>
      <c r="F2" s="539"/>
      <c r="G2" s="540"/>
      <c r="H2" s="234" t="s">
        <v>20</v>
      </c>
      <c r="I2" s="235" t="s">
        <v>219</v>
      </c>
    </row>
    <row r="3" spans="1:10" ht="28.5" customHeight="1" x14ac:dyDescent="0.25">
      <c r="A3" s="533"/>
      <c r="B3" s="534"/>
      <c r="C3" s="541" t="s">
        <v>215</v>
      </c>
      <c r="D3" s="541"/>
      <c r="E3" s="541"/>
      <c r="F3" s="541"/>
      <c r="G3" s="541"/>
      <c r="H3" s="542" t="s">
        <v>19</v>
      </c>
      <c r="I3" s="522">
        <v>45615</v>
      </c>
    </row>
    <row r="4" spans="1:10" ht="18" customHeight="1" x14ac:dyDescent="0.35">
      <c r="A4" s="533"/>
      <c r="B4" s="534"/>
      <c r="C4" s="236" t="s">
        <v>18</v>
      </c>
      <c r="D4" s="525" t="s">
        <v>196</v>
      </c>
      <c r="E4" s="526"/>
      <c r="F4" s="526"/>
      <c r="G4" s="527"/>
      <c r="H4" s="543"/>
      <c r="I4" s="523"/>
    </row>
    <row r="5" spans="1:10" ht="21.6" thickBot="1" x14ac:dyDescent="0.4">
      <c r="A5" s="535"/>
      <c r="B5" s="536"/>
      <c r="C5" s="237" t="s">
        <v>17</v>
      </c>
      <c r="D5" s="528" t="s">
        <v>87</v>
      </c>
      <c r="E5" s="529"/>
      <c r="F5" s="529"/>
      <c r="G5" s="530"/>
      <c r="H5" s="544"/>
      <c r="I5" s="524"/>
    </row>
    <row r="6" spans="1:10" ht="21.6" thickBot="1" x14ac:dyDescent="0.45">
      <c r="A6" s="513" t="s">
        <v>23</v>
      </c>
      <c r="B6" s="513"/>
      <c r="C6" s="513"/>
      <c r="D6" s="514" t="s">
        <v>88</v>
      </c>
      <c r="E6" s="514"/>
      <c r="F6" s="514"/>
      <c r="G6" s="515" t="s">
        <v>24</v>
      </c>
      <c r="H6" s="515"/>
      <c r="I6" s="238" t="s">
        <v>88</v>
      </c>
    </row>
    <row r="7" spans="1:10" ht="40.799999999999997" x14ac:dyDescent="0.25">
      <c r="A7" s="516" t="s">
        <v>1</v>
      </c>
      <c r="B7" s="518" t="s">
        <v>197</v>
      </c>
      <c r="C7" s="520" t="s">
        <v>2</v>
      </c>
      <c r="D7" s="520" t="s">
        <v>3</v>
      </c>
      <c r="E7" s="520" t="s">
        <v>4</v>
      </c>
      <c r="F7" s="520"/>
      <c r="G7" s="520" t="s">
        <v>16</v>
      </c>
      <c r="H7" s="520"/>
      <c r="I7" s="239" t="s">
        <v>5</v>
      </c>
    </row>
    <row r="8" spans="1:10" ht="46.5" customHeight="1" thickBot="1" x14ac:dyDescent="0.4">
      <c r="A8" s="517"/>
      <c r="B8" s="519"/>
      <c r="C8" s="521"/>
      <c r="D8" s="521"/>
      <c r="E8" s="240" t="s">
        <v>6</v>
      </c>
      <c r="F8" s="241" t="s">
        <v>7</v>
      </c>
      <c r="G8" s="240" t="s">
        <v>6</v>
      </c>
      <c r="H8" s="241" t="s">
        <v>7</v>
      </c>
      <c r="I8" s="242" t="s">
        <v>8</v>
      </c>
    </row>
    <row r="9" spans="1:10" ht="18.45" customHeight="1" x14ac:dyDescent="0.4">
      <c r="A9" s="255"/>
      <c r="B9" s="256"/>
      <c r="C9" s="257" t="s">
        <v>198</v>
      </c>
      <c r="D9" s="258"/>
      <c r="E9" s="259"/>
      <c r="F9" s="260"/>
      <c r="G9" s="259"/>
      <c r="H9" s="260"/>
      <c r="I9" s="261"/>
    </row>
    <row r="10" spans="1:10" ht="35.25" customHeight="1" x14ac:dyDescent="0.35">
      <c r="A10" s="262" t="s">
        <v>189</v>
      </c>
      <c r="B10" s="262" t="s">
        <v>190</v>
      </c>
      <c r="C10" s="263" t="s">
        <v>214</v>
      </c>
      <c r="D10" s="264" t="s">
        <v>30</v>
      </c>
      <c r="E10" s="265">
        <v>1</v>
      </c>
      <c r="F10" s="266" t="s">
        <v>27</v>
      </c>
      <c r="G10" s="267"/>
      <c r="H10" s="268"/>
      <c r="I10" s="261"/>
      <c r="J10">
        <f>+E10/$D$38</f>
        <v>0.25</v>
      </c>
    </row>
    <row r="11" spans="1:10" ht="20.399999999999999" x14ac:dyDescent="0.35">
      <c r="A11" s="243" t="s">
        <v>191</v>
      </c>
      <c r="B11" s="244" t="s">
        <v>192</v>
      </c>
      <c r="C11" s="245" t="s">
        <v>199</v>
      </c>
      <c r="D11" s="269" t="s">
        <v>30</v>
      </c>
      <c r="E11" s="270">
        <v>600</v>
      </c>
      <c r="F11" s="271" t="s">
        <v>26</v>
      </c>
      <c r="G11" s="267"/>
      <c r="H11" s="268" t="s">
        <v>200</v>
      </c>
      <c r="I11" s="261"/>
      <c r="J11">
        <f t="shared" ref="J11:J12" si="0">+E11/$D$38</f>
        <v>150</v>
      </c>
    </row>
    <row r="12" spans="1:10" ht="20.399999999999999" x14ac:dyDescent="0.35">
      <c r="A12" s="246" t="s">
        <v>182</v>
      </c>
      <c r="B12" s="247" t="s">
        <v>195</v>
      </c>
      <c r="C12" s="248" t="s">
        <v>201</v>
      </c>
      <c r="D12" s="249"/>
      <c r="E12" s="249">
        <v>8</v>
      </c>
      <c r="F12" s="249" t="s">
        <v>27</v>
      </c>
      <c r="G12" s="249"/>
      <c r="H12" s="268"/>
      <c r="I12" s="261"/>
      <c r="J12">
        <f t="shared" si="0"/>
        <v>2</v>
      </c>
    </row>
    <row r="13" spans="1:10" ht="20.399999999999999" x14ac:dyDescent="0.35">
      <c r="A13" s="246"/>
      <c r="B13" s="247"/>
      <c r="C13" s="248" t="s">
        <v>202</v>
      </c>
      <c r="D13" s="249"/>
      <c r="E13" s="249"/>
      <c r="F13" s="249"/>
      <c r="G13" s="249"/>
      <c r="H13" s="268"/>
      <c r="I13" s="261"/>
    </row>
    <row r="14" spans="1:10" ht="20.399999999999999" x14ac:dyDescent="0.35">
      <c r="A14" s="249"/>
      <c r="B14" s="249"/>
      <c r="C14" s="245"/>
      <c r="D14" s="265"/>
      <c r="E14" s="272"/>
      <c r="F14" s="266"/>
      <c r="G14" s="249"/>
      <c r="H14" s="268"/>
      <c r="I14" s="261"/>
    </row>
    <row r="15" spans="1:10" ht="21" x14ac:dyDescent="0.4">
      <c r="A15" s="250"/>
      <c r="B15" s="249"/>
      <c r="C15" s="251"/>
      <c r="D15" s="273">
        <v>2</v>
      </c>
      <c r="E15" s="273"/>
      <c r="F15" s="273"/>
      <c r="G15" s="259"/>
      <c r="H15" s="268"/>
      <c r="I15" s="261"/>
    </row>
    <row r="16" spans="1:10" ht="21" x14ac:dyDescent="0.4">
      <c r="A16" s="274"/>
      <c r="B16" s="275"/>
      <c r="C16" s="276" t="s">
        <v>203</v>
      </c>
      <c r="D16" s="272"/>
      <c r="E16" s="277"/>
      <c r="F16" s="266"/>
      <c r="G16" s="259"/>
      <c r="H16" s="260"/>
      <c r="I16" s="261"/>
    </row>
    <row r="17" spans="1:9" ht="21" x14ac:dyDescent="0.4">
      <c r="A17" s="278"/>
      <c r="B17" s="279"/>
      <c r="C17" s="280"/>
      <c r="D17" s="281"/>
      <c r="E17" s="282"/>
      <c r="F17" s="283"/>
      <c r="G17" s="259"/>
      <c r="H17" s="260"/>
      <c r="I17" s="261"/>
    </row>
    <row r="18" spans="1:9" ht="21" x14ac:dyDescent="0.4">
      <c r="A18" s="278"/>
      <c r="B18" s="279"/>
      <c r="C18" s="280"/>
      <c r="D18" s="281"/>
      <c r="E18" s="282"/>
      <c r="F18" s="283"/>
      <c r="G18" s="259"/>
      <c r="H18" s="260"/>
      <c r="I18" s="261"/>
    </row>
    <row r="19" spans="1:9" ht="41.4" x14ac:dyDescent="0.4">
      <c r="A19" s="278"/>
      <c r="B19" s="319" t="s">
        <v>190</v>
      </c>
      <c r="C19" s="320" t="s">
        <v>214</v>
      </c>
      <c r="D19" s="321" t="s">
        <v>30</v>
      </c>
      <c r="E19" s="322" t="s">
        <v>216</v>
      </c>
      <c r="F19" s="323" t="s">
        <v>27</v>
      </c>
      <c r="G19" s="259"/>
      <c r="H19" s="324" t="s">
        <v>12</v>
      </c>
      <c r="I19" s="261"/>
    </row>
    <row r="20" spans="1:9" ht="21" x14ac:dyDescent="0.4">
      <c r="A20" s="278"/>
      <c r="B20" s="279"/>
      <c r="C20" s="280"/>
      <c r="D20" s="281"/>
      <c r="E20" s="285"/>
      <c r="F20" s="284"/>
      <c r="G20" s="259"/>
      <c r="H20" s="260"/>
      <c r="I20" s="261"/>
    </row>
    <row r="21" spans="1:9" ht="21" x14ac:dyDescent="0.4">
      <c r="A21" s="249"/>
      <c r="B21" s="249"/>
      <c r="C21" s="251"/>
      <c r="D21" s="286"/>
      <c r="E21" s="288"/>
      <c r="F21" s="289"/>
      <c r="G21" s="259"/>
      <c r="H21" s="260"/>
      <c r="I21" s="261"/>
    </row>
    <row r="22" spans="1:9" ht="21" x14ac:dyDescent="0.4">
      <c r="A22" s="290"/>
      <c r="B22" s="291"/>
      <c r="C22" s="292" t="s">
        <v>204</v>
      </c>
      <c r="D22" s="293"/>
      <c r="E22" s="294"/>
      <c r="F22" s="260"/>
      <c r="G22" s="259"/>
      <c r="H22" s="252"/>
      <c r="I22" s="261"/>
    </row>
    <row r="23" spans="1:9" ht="21" x14ac:dyDescent="0.4">
      <c r="A23" s="295">
        <v>1950837</v>
      </c>
      <c r="B23" s="295" t="s">
        <v>212</v>
      </c>
      <c r="C23" s="296" t="s">
        <v>93</v>
      </c>
      <c r="D23" s="249" t="s">
        <v>205</v>
      </c>
      <c r="E23" s="288">
        <v>4</v>
      </c>
      <c r="F23" s="289" t="s">
        <v>27</v>
      </c>
      <c r="G23" s="297"/>
      <c r="H23" s="260"/>
      <c r="I23" s="261"/>
    </row>
    <row r="24" spans="1:9" ht="21" x14ac:dyDescent="0.4">
      <c r="A24" s="298">
        <v>1950409</v>
      </c>
      <c r="B24" s="298" t="s">
        <v>213</v>
      </c>
      <c r="C24" s="299" t="s">
        <v>95</v>
      </c>
      <c r="D24" s="249" t="s">
        <v>205</v>
      </c>
      <c r="E24" s="288">
        <v>4</v>
      </c>
      <c r="F24" s="289" t="s">
        <v>27</v>
      </c>
      <c r="G24" s="297"/>
      <c r="H24" s="260"/>
      <c r="I24" s="261"/>
    </row>
    <row r="25" spans="1:9" ht="21" x14ac:dyDescent="0.4">
      <c r="A25" s="249">
        <v>702012</v>
      </c>
      <c r="B25" s="249" t="s">
        <v>193</v>
      </c>
      <c r="C25" s="251" t="s">
        <v>206</v>
      </c>
      <c r="D25" s="286" t="s">
        <v>207</v>
      </c>
      <c r="E25" s="288">
        <v>4</v>
      </c>
      <c r="F25" s="249" t="s">
        <v>27</v>
      </c>
      <c r="G25" s="297"/>
      <c r="H25" s="260"/>
      <c r="I25" s="261"/>
    </row>
    <row r="26" spans="1:9" ht="21" x14ac:dyDescent="0.4">
      <c r="A26" s="253">
        <v>702069</v>
      </c>
      <c r="B26" s="253" t="s">
        <v>194</v>
      </c>
      <c r="C26" s="254" t="s">
        <v>97</v>
      </c>
      <c r="D26" s="249" t="s">
        <v>207</v>
      </c>
      <c r="E26" s="288">
        <v>8</v>
      </c>
      <c r="F26" s="289" t="s">
        <v>27</v>
      </c>
      <c r="G26" s="259"/>
      <c r="H26" s="260"/>
      <c r="I26" s="261"/>
    </row>
    <row r="27" spans="1:9" ht="21" x14ac:dyDescent="0.4">
      <c r="A27" s="253"/>
      <c r="B27" s="253"/>
      <c r="C27" s="254"/>
      <c r="D27" s="249"/>
      <c r="E27" s="288"/>
      <c r="F27" s="289"/>
      <c r="G27" s="259"/>
      <c r="H27" s="260"/>
      <c r="I27" s="261"/>
    </row>
    <row r="28" spans="1:9" ht="21" x14ac:dyDescent="0.4">
      <c r="A28" s="253"/>
      <c r="B28" s="253"/>
      <c r="C28" s="254"/>
      <c r="D28" s="249"/>
      <c r="E28" s="288"/>
      <c r="F28" s="289"/>
      <c r="G28" s="300"/>
      <c r="H28" s="260"/>
      <c r="I28" s="261"/>
    </row>
    <row r="29" spans="1:9" ht="21" x14ac:dyDescent="0.4">
      <c r="A29" s="253"/>
      <c r="B29" s="253"/>
      <c r="C29" s="254"/>
      <c r="D29" s="249"/>
      <c r="E29" s="288"/>
      <c r="F29" s="289"/>
      <c r="G29" s="265"/>
      <c r="H29" s="260"/>
      <c r="I29" s="261"/>
    </row>
    <row r="30" spans="1:9" ht="21" x14ac:dyDescent="0.4">
      <c r="A30" s="301"/>
      <c r="B30" s="301"/>
      <c r="C30" s="248"/>
      <c r="D30" s="249"/>
      <c r="E30" s="289"/>
      <c r="F30" s="289"/>
      <c r="G30" s="265"/>
      <c r="H30" s="260"/>
      <c r="I30" s="261"/>
    </row>
    <row r="31" spans="1:9" ht="21" x14ac:dyDescent="0.4">
      <c r="A31" s="295"/>
      <c r="B31" s="249"/>
      <c r="C31" s="296"/>
      <c r="D31" s="286"/>
      <c r="E31" s="288"/>
      <c r="F31" s="249"/>
      <c r="G31" s="265"/>
      <c r="H31" s="260"/>
      <c r="I31" s="261"/>
    </row>
    <row r="32" spans="1:9" ht="21" x14ac:dyDescent="0.4">
      <c r="A32" s="253"/>
      <c r="B32" s="253"/>
      <c r="C32" s="254"/>
      <c r="D32" s="249"/>
      <c r="E32" s="288"/>
      <c r="F32" s="249"/>
      <c r="G32" s="265"/>
      <c r="H32" s="260"/>
      <c r="I32" s="261"/>
    </row>
    <row r="33" spans="1:9" ht="20.399999999999999" x14ac:dyDescent="0.35">
      <c r="A33" s="274"/>
      <c r="B33" s="275"/>
      <c r="C33" s="302"/>
      <c r="D33" s="272"/>
      <c r="E33" s="272"/>
      <c r="F33" s="266"/>
      <c r="G33" s="272"/>
      <c r="H33" s="272"/>
      <c r="I33" s="261"/>
    </row>
    <row r="34" spans="1:9" ht="21" thickBot="1" x14ac:dyDescent="0.4">
      <c r="A34" s="303"/>
      <c r="B34" s="304"/>
      <c r="C34" s="305"/>
      <c r="D34" s="305"/>
      <c r="E34" s="306"/>
      <c r="F34" s="307"/>
      <c r="G34" s="305"/>
      <c r="H34" s="305"/>
      <c r="I34" s="308"/>
    </row>
    <row r="35" spans="1:9" ht="21.6" thickBot="1" x14ac:dyDescent="0.45">
      <c r="A35" s="309"/>
      <c r="B35" s="310"/>
      <c r="C35" s="311"/>
      <c r="D35" s="312" t="s">
        <v>6</v>
      </c>
      <c r="E35" s="313" t="s">
        <v>15</v>
      </c>
      <c r="F35" s="314"/>
      <c r="G35" s="311"/>
      <c r="H35" s="311"/>
      <c r="I35" s="315"/>
    </row>
    <row r="36" spans="1:9" ht="21" x14ac:dyDescent="0.4">
      <c r="A36" s="507" t="s">
        <v>10</v>
      </c>
      <c r="B36" s="508"/>
      <c r="C36" s="509"/>
      <c r="D36" s="287">
        <v>2500</v>
      </c>
      <c r="E36" s="316" t="s">
        <v>26</v>
      </c>
      <c r="F36" s="510" t="s">
        <v>98</v>
      </c>
      <c r="G36" s="510"/>
      <c r="H36" s="511"/>
      <c r="I36" s="512"/>
    </row>
    <row r="37" spans="1:9" ht="21" x14ac:dyDescent="0.4">
      <c r="A37" s="490" t="s">
        <v>9</v>
      </c>
      <c r="B37" s="491"/>
      <c r="C37" s="492"/>
      <c r="D37" s="288">
        <v>20</v>
      </c>
      <c r="E37" s="249" t="s">
        <v>28</v>
      </c>
      <c r="F37" s="493" t="s">
        <v>83</v>
      </c>
      <c r="G37" s="493"/>
      <c r="H37" s="494"/>
      <c r="I37" s="495"/>
    </row>
    <row r="38" spans="1:9" ht="21" x14ac:dyDescent="0.4">
      <c r="A38" s="490" t="s">
        <v>14</v>
      </c>
      <c r="B38" s="491"/>
      <c r="C38" s="492"/>
      <c r="D38" s="288">
        <v>4</v>
      </c>
      <c r="E38" s="249" t="s">
        <v>99</v>
      </c>
      <c r="F38" s="493" t="s">
        <v>100</v>
      </c>
      <c r="G38" s="493"/>
      <c r="H38" s="494"/>
      <c r="I38" s="495"/>
    </row>
    <row r="39" spans="1:9" ht="21" x14ac:dyDescent="0.4">
      <c r="A39" s="490" t="s">
        <v>13</v>
      </c>
      <c r="B39" s="491"/>
      <c r="C39" s="492"/>
      <c r="D39" s="288">
        <v>625</v>
      </c>
      <c r="E39" s="249" t="s">
        <v>26</v>
      </c>
      <c r="F39" s="496" t="s">
        <v>84</v>
      </c>
      <c r="G39" s="497"/>
      <c r="H39" s="498"/>
      <c r="I39" s="499"/>
    </row>
    <row r="40" spans="1:9" ht="21.6" thickBot="1" x14ac:dyDescent="0.45">
      <c r="A40" s="500" t="s">
        <v>12</v>
      </c>
      <c r="B40" s="501"/>
      <c r="C40" s="502"/>
      <c r="D40" s="317">
        <v>0</v>
      </c>
      <c r="E40" s="318" t="s">
        <v>26</v>
      </c>
      <c r="F40" s="503"/>
      <c r="G40" s="503"/>
      <c r="H40" s="494"/>
      <c r="I40" s="495"/>
    </row>
    <row r="41" spans="1:9" ht="21" x14ac:dyDescent="0.4">
      <c r="A41" s="504" t="s">
        <v>11</v>
      </c>
      <c r="B41" s="505"/>
      <c r="C41" s="505"/>
      <c r="D41" s="505"/>
      <c r="E41" s="505"/>
      <c r="F41" s="505"/>
      <c r="G41" s="505"/>
      <c r="H41" s="505"/>
      <c r="I41" s="506"/>
    </row>
    <row r="42" spans="1:9" ht="20.399999999999999" x14ac:dyDescent="0.35">
      <c r="A42" s="477" t="s">
        <v>210</v>
      </c>
      <c r="B42" s="477"/>
      <c r="C42" s="477"/>
      <c r="D42" s="477"/>
      <c r="E42" s="477"/>
      <c r="F42" s="477"/>
      <c r="G42" s="477"/>
      <c r="H42" s="477"/>
      <c r="I42" s="477"/>
    </row>
    <row r="43" spans="1:9" ht="20.399999999999999" x14ac:dyDescent="0.35">
      <c r="A43" s="477" t="s">
        <v>101</v>
      </c>
      <c r="B43" s="477"/>
      <c r="C43" s="477"/>
      <c r="D43" s="477"/>
      <c r="E43" s="477"/>
      <c r="F43" s="477"/>
      <c r="G43" s="477"/>
      <c r="H43" s="477"/>
      <c r="I43" s="477"/>
    </row>
    <row r="44" spans="1:9" ht="20.399999999999999" x14ac:dyDescent="0.35">
      <c r="A44" s="477" t="s">
        <v>107</v>
      </c>
      <c r="B44" s="477"/>
      <c r="C44" s="477"/>
      <c r="D44" s="477"/>
      <c r="E44" s="477"/>
      <c r="F44" s="477"/>
      <c r="G44" s="477"/>
      <c r="H44" s="477"/>
      <c r="I44" s="477"/>
    </row>
    <row r="45" spans="1:9" ht="20.399999999999999" x14ac:dyDescent="0.35">
      <c r="A45" s="478"/>
      <c r="B45" s="479"/>
      <c r="C45" s="479"/>
      <c r="D45" s="479"/>
      <c r="E45" s="479"/>
      <c r="F45" s="479"/>
      <c r="G45" s="479"/>
      <c r="H45" s="479"/>
      <c r="I45" s="480"/>
    </row>
    <row r="46" spans="1:9" ht="21.6" thickBot="1" x14ac:dyDescent="0.45">
      <c r="A46" s="481"/>
      <c r="B46" s="482"/>
      <c r="C46" s="482"/>
      <c r="D46" s="482"/>
      <c r="E46" s="482"/>
      <c r="F46" s="482"/>
      <c r="G46" s="482"/>
      <c r="H46" s="482"/>
      <c r="I46" s="483"/>
    </row>
    <row r="47" spans="1:9" ht="21" x14ac:dyDescent="0.4">
      <c r="A47" s="472" t="s">
        <v>208</v>
      </c>
      <c r="B47" s="473"/>
      <c r="C47" s="473"/>
      <c r="D47" s="473"/>
      <c r="E47" s="473"/>
      <c r="F47" s="473"/>
      <c r="G47" s="473"/>
      <c r="H47" s="473"/>
      <c r="I47" s="473"/>
    </row>
    <row r="48" spans="1:9" ht="20.399999999999999" x14ac:dyDescent="0.35">
      <c r="A48" s="474" t="s">
        <v>211</v>
      </c>
      <c r="B48" s="475"/>
      <c r="C48" s="475"/>
      <c r="D48" s="475"/>
      <c r="E48" s="475"/>
      <c r="F48" s="475"/>
      <c r="G48" s="475"/>
      <c r="H48" s="475"/>
      <c r="I48" s="476"/>
    </row>
    <row r="49" spans="1:9" ht="20.25" customHeight="1" x14ac:dyDescent="0.35">
      <c r="A49" s="474" t="s">
        <v>218</v>
      </c>
      <c r="B49" s="475"/>
      <c r="C49" s="475"/>
      <c r="D49" s="475"/>
      <c r="E49" s="475"/>
      <c r="F49" s="475"/>
      <c r="G49" s="475"/>
      <c r="H49" s="475"/>
      <c r="I49" s="476"/>
    </row>
    <row r="50" spans="1:9" ht="20.25" customHeight="1" x14ac:dyDescent="0.35">
      <c r="A50" s="484" t="s">
        <v>217</v>
      </c>
      <c r="B50" s="485"/>
      <c r="C50" s="485"/>
      <c r="D50" s="485"/>
      <c r="E50" s="485"/>
      <c r="F50" s="485"/>
      <c r="G50" s="485"/>
      <c r="H50" s="485"/>
      <c r="I50" s="486"/>
    </row>
    <row r="51" spans="1:9" ht="20.399999999999999" x14ac:dyDescent="0.35">
      <c r="A51" s="487"/>
      <c r="B51" s="488"/>
      <c r="C51" s="488"/>
      <c r="D51" s="488"/>
      <c r="E51" s="488"/>
      <c r="F51" s="488"/>
      <c r="G51" s="488"/>
      <c r="H51" s="488"/>
      <c r="I51" s="489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50:I50"/>
    <mergeCell ref="A51:I51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47:I47"/>
    <mergeCell ref="A48:I48"/>
    <mergeCell ref="A49:I49"/>
    <mergeCell ref="A44:I44"/>
    <mergeCell ref="A45:I45"/>
    <mergeCell ref="A46:I46"/>
  </mergeCells>
  <pageMargins left="0.25" right="0.25" top="0.75" bottom="0.75" header="0.3" footer="0.3"/>
  <pageSetup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73A9-E129-4C99-923A-C33B4870B109}">
  <dimension ref="A1:Q91"/>
  <sheetViews>
    <sheetView topLeftCell="A43" workbookViewId="0">
      <selection activeCell="O66" sqref="O66"/>
    </sheetView>
  </sheetViews>
  <sheetFormatPr baseColWidth="10" defaultColWidth="8.44140625" defaultRowHeight="13.2" x14ac:dyDescent="0.25"/>
  <cols>
    <col min="1" max="1" width="10" style="126" bestFit="1" customWidth="1"/>
    <col min="2" max="2" width="44.33203125" style="126" bestFit="1" customWidth="1"/>
    <col min="3" max="3" width="10.44140625" style="126" bestFit="1" customWidth="1"/>
    <col min="4" max="4" width="10.44140625" style="126" customWidth="1"/>
    <col min="5" max="5" width="9.6640625" style="126" bestFit="1" customWidth="1"/>
    <col min="6" max="6" width="9.5546875" style="126" bestFit="1" customWidth="1"/>
    <col min="7" max="7" width="9.5546875" style="207" bestFit="1" customWidth="1"/>
    <col min="8" max="8" width="10.44140625" style="198" bestFit="1" customWidth="1"/>
    <col min="9" max="9" width="4.5546875" style="198" customWidth="1"/>
    <col min="10" max="10" width="1.6640625" style="125" customWidth="1"/>
    <col min="11" max="11" width="7" style="126" bestFit="1" customWidth="1"/>
    <col min="12" max="12" width="6.33203125" style="126" customWidth="1"/>
    <col min="13" max="13" width="20.44140625" style="126" customWidth="1"/>
    <col min="14" max="14" width="6.44140625" style="126" bestFit="1" customWidth="1"/>
    <col min="15" max="15" width="9.5546875" style="126" customWidth="1"/>
    <col min="16" max="16" width="8.44140625" style="126"/>
    <col min="17" max="17" width="3.33203125" style="126" customWidth="1"/>
    <col min="18" max="16384" width="8.44140625" style="126"/>
  </cols>
  <sheetData>
    <row r="1" spans="1:10" ht="27.75" customHeight="1" x14ac:dyDescent="0.25">
      <c r="A1" s="121"/>
      <c r="B1" s="121"/>
      <c r="C1" s="121"/>
      <c r="D1" s="121"/>
      <c r="E1" s="122" t="s">
        <v>108</v>
      </c>
      <c r="F1" s="123" t="s">
        <v>109</v>
      </c>
      <c r="G1" s="123" t="s">
        <v>110</v>
      </c>
      <c r="H1" s="123" t="s">
        <v>111</v>
      </c>
      <c r="I1" s="124"/>
    </row>
    <row r="2" spans="1:10" ht="30.75" customHeight="1" x14ac:dyDescent="0.25">
      <c r="A2" s="121"/>
      <c r="B2" s="121"/>
      <c r="C2" s="121"/>
      <c r="D2" s="121"/>
      <c r="E2" s="127">
        <f>IFERROR(O62,"")</f>
        <v>2540.5939158576052</v>
      </c>
      <c r="F2" s="127">
        <f>IFERROR(H53,"")</f>
        <v>1762.1291747572816</v>
      </c>
      <c r="G2" s="127">
        <f>IFERROR(H54,"")</f>
        <v>119.40532362459547</v>
      </c>
      <c r="H2" s="127">
        <f>IFERROR(H56,"")</f>
        <v>332.26941747572818</v>
      </c>
      <c r="I2" s="128"/>
    </row>
    <row r="3" spans="1:10" ht="15" customHeight="1" x14ac:dyDescent="0.25">
      <c r="A3" s="121"/>
      <c r="B3" s="121"/>
      <c r="C3" s="121"/>
      <c r="D3" s="121"/>
      <c r="E3" s="121"/>
      <c r="F3" s="129"/>
      <c r="G3" s="129"/>
      <c r="H3" s="129"/>
      <c r="I3" s="129"/>
    </row>
    <row r="4" spans="1:10" ht="24.75" customHeight="1" thickBot="1" x14ac:dyDescent="0.3">
      <c r="A4" s="380"/>
      <c r="B4" s="380"/>
      <c r="C4" s="380"/>
      <c r="D4" s="380"/>
      <c r="E4" s="380"/>
      <c r="F4" s="380"/>
      <c r="G4" s="380"/>
      <c r="H4" s="380"/>
      <c r="I4" s="130"/>
    </row>
    <row r="5" spans="1:10" ht="19.5" customHeight="1" thickBot="1" x14ac:dyDescent="0.3">
      <c r="A5" s="381" t="s">
        <v>112</v>
      </c>
      <c r="B5" s="382"/>
      <c r="C5" s="382"/>
      <c r="D5" s="382"/>
      <c r="E5" s="382"/>
      <c r="F5" s="382"/>
      <c r="G5" s="382"/>
      <c r="H5" s="383"/>
      <c r="I5" s="131"/>
    </row>
    <row r="6" spans="1:10" ht="18" thickBot="1" x14ac:dyDescent="0.3">
      <c r="A6" s="131"/>
      <c r="B6" s="131"/>
      <c r="C6" s="131"/>
      <c r="D6" s="131"/>
      <c r="E6" s="131"/>
      <c r="F6" s="384" t="s">
        <v>113</v>
      </c>
      <c r="G6" s="384"/>
      <c r="H6" s="132">
        <f ca="1">TODAY()</f>
        <v>46155</v>
      </c>
      <c r="I6" s="132"/>
    </row>
    <row r="7" spans="1:10" ht="40.200000000000003" thickBot="1" x14ac:dyDescent="0.3">
      <c r="A7" s="133" t="s">
        <v>114</v>
      </c>
      <c r="B7" s="134" t="s">
        <v>115</v>
      </c>
      <c r="C7" s="134" t="s">
        <v>114</v>
      </c>
      <c r="D7" s="135" t="s">
        <v>116</v>
      </c>
      <c r="E7" s="135" t="s">
        <v>117</v>
      </c>
      <c r="F7" s="135" t="s">
        <v>118</v>
      </c>
      <c r="G7" s="135" t="s">
        <v>119</v>
      </c>
      <c r="H7" s="136" t="s">
        <v>120</v>
      </c>
      <c r="I7" s="137"/>
    </row>
    <row r="8" spans="1:10" ht="13.8" x14ac:dyDescent="0.3">
      <c r="A8" s="138">
        <v>8</v>
      </c>
      <c r="B8" s="126" t="str">
        <f>IFERROR(VLOOKUP(H8,'[1]Consolidado MP Planta'!$A$2:$M$823,3,0),"")</f>
        <v>STICK DORADO (CAJA:100 UND)</v>
      </c>
      <c r="C8" s="139">
        <f>+A8</f>
        <v>8</v>
      </c>
      <c r="D8" s="140" t="str">
        <f>IFERROR(VLOOKUP(H8,'[1]Consolidado MP Planta'!$A$2:$M$823,13,0),"")</f>
        <v>Und</v>
      </c>
      <c r="E8" s="140">
        <v>58.38</v>
      </c>
      <c r="F8" s="140">
        <f>IFERROR(C8*E8,"")</f>
        <v>467.04</v>
      </c>
      <c r="G8" s="141">
        <f t="shared" ref="G8:G14" si="0">IFERROR(F8/$F$66,"")</f>
        <v>5.2909739256802153E-2</v>
      </c>
      <c r="H8" s="142" t="s">
        <v>182</v>
      </c>
      <c r="I8" s="142"/>
      <c r="J8" s="143"/>
    </row>
    <row r="9" spans="1:10" ht="13.8" hidden="1" x14ac:dyDescent="0.3">
      <c r="A9" s="138"/>
      <c r="B9" s="126" t="str">
        <f>IFERROR(VLOOKUP(H9,'[1]Consolidado MP Planta'!$A$2:$M$823,3,0),"")</f>
        <v/>
      </c>
      <c r="C9" s="139">
        <f t="shared" ref="C9:C14" si="1">+A9</f>
        <v>0</v>
      </c>
      <c r="D9" s="140" t="str">
        <f>IFERROR(VLOOKUP(H9,'[1]Consolidado MP Planta'!$A$2:$M$823,13,0),"")</f>
        <v/>
      </c>
      <c r="E9" s="140" t="str">
        <f>IFERROR(VLOOKUP(H9,'[1]Consolidado MP Planta'!$A$2:$M$823,12,0),"")</f>
        <v/>
      </c>
      <c r="F9" s="140" t="str">
        <f t="shared" ref="F9:F14" si="2">IFERROR(C9*E9,"")</f>
        <v/>
      </c>
      <c r="G9" s="141" t="str">
        <f t="shared" si="0"/>
        <v/>
      </c>
      <c r="H9" s="142"/>
      <c r="I9" s="142"/>
      <c r="J9" s="143"/>
    </row>
    <row r="10" spans="1:10" ht="13.8" hidden="1" x14ac:dyDescent="0.3">
      <c r="A10" s="138"/>
      <c r="B10" s="126" t="str">
        <f>IFERROR(VLOOKUP(H10,'[1]Consolidado MP Planta'!$A$2:$M$823,3,0),"")</f>
        <v/>
      </c>
      <c r="C10" s="139">
        <f t="shared" si="1"/>
        <v>0</v>
      </c>
      <c r="D10" s="140" t="str">
        <f>IFERROR(VLOOKUP(H10,'[1]Consolidado MP Planta'!$A$2:$M$823,13,0),"")</f>
        <v/>
      </c>
      <c r="E10" s="140" t="str">
        <f>IFERROR(VLOOKUP(H10,'[1]Consolidado MP Planta'!$A$2:$M$823,12,0),"")</f>
        <v/>
      </c>
      <c r="F10" s="140" t="str">
        <f t="shared" si="2"/>
        <v/>
      </c>
      <c r="G10" s="141" t="str">
        <f t="shared" si="0"/>
        <v/>
      </c>
      <c r="H10" s="142"/>
      <c r="I10" s="142"/>
      <c r="J10" s="143"/>
    </row>
    <row r="11" spans="1:10" ht="13.8" hidden="1" x14ac:dyDescent="0.3">
      <c r="A11" s="138"/>
      <c r="B11" s="126" t="str">
        <f>IFERROR(VLOOKUP(H11,'[1]Consolidado MP Planta'!$A$2:$M$823,3,0),"")</f>
        <v/>
      </c>
      <c r="C11" s="139">
        <f t="shared" si="1"/>
        <v>0</v>
      </c>
      <c r="D11" s="140" t="str">
        <f>IFERROR(VLOOKUP(H11,'[1]Consolidado MP Planta'!$A$2:$M$823,13,0),"")</f>
        <v/>
      </c>
      <c r="E11" s="140" t="str">
        <f>IFERROR(VLOOKUP(H11,'[1]Consolidado MP Planta'!$A$2:$M$823,12,0),"")</f>
        <v/>
      </c>
      <c r="F11" s="140" t="str">
        <f t="shared" si="2"/>
        <v/>
      </c>
      <c r="G11" s="141" t="str">
        <f t="shared" si="0"/>
        <v/>
      </c>
      <c r="H11" s="142"/>
      <c r="I11" s="142"/>
      <c r="J11" s="143"/>
    </row>
    <row r="12" spans="1:10" ht="13.8" hidden="1" x14ac:dyDescent="0.3">
      <c r="A12" s="138"/>
      <c r="B12" s="126" t="str">
        <f>IFERROR(VLOOKUP(H12,'[1]Consolidado MP Planta'!$A$2:$M$823,3,0),"")</f>
        <v/>
      </c>
      <c r="C12" s="139">
        <f t="shared" si="1"/>
        <v>0</v>
      </c>
      <c r="D12" s="140" t="str">
        <f>IFERROR(VLOOKUP(H12,'[1]Consolidado MP Planta'!$A$2:$M$823,13,0),"")</f>
        <v/>
      </c>
      <c r="E12" s="140" t="str">
        <f>IFERROR(VLOOKUP(H12,'[1]Consolidado MP Planta'!$A$2:$M$823,12,0),"")</f>
        <v/>
      </c>
      <c r="F12" s="140" t="str">
        <f t="shared" si="2"/>
        <v/>
      </c>
      <c r="G12" s="141" t="str">
        <f t="shared" si="0"/>
        <v/>
      </c>
      <c r="H12" s="142"/>
      <c r="I12" s="142"/>
      <c r="J12" s="143"/>
    </row>
    <row r="13" spans="1:10" ht="13.8" hidden="1" x14ac:dyDescent="0.3">
      <c r="A13" s="138"/>
      <c r="B13" s="126" t="str">
        <f>IFERROR(VLOOKUP(H13,'[1]Consolidado MP Planta'!$A$2:$M$823,3,0),"")</f>
        <v/>
      </c>
      <c r="C13" s="139">
        <f t="shared" si="1"/>
        <v>0</v>
      </c>
      <c r="D13" s="140" t="str">
        <f>IFERROR(VLOOKUP(H13,'[1]Consolidado MP Planta'!$A$2:$M$823,13,0),"")</f>
        <v/>
      </c>
      <c r="E13" s="140" t="str">
        <f>IFERROR(VLOOKUP(H13,'[1]Consolidado MP Planta'!$A$2:$M$823,12,0),"")</f>
        <v/>
      </c>
      <c r="F13" s="140" t="str">
        <f t="shared" si="2"/>
        <v/>
      </c>
      <c r="G13" s="141" t="str">
        <f t="shared" si="0"/>
        <v/>
      </c>
      <c r="H13" s="142"/>
      <c r="I13" s="142"/>
      <c r="J13" s="143"/>
    </row>
    <row r="14" spans="1:10" ht="13.8" hidden="1" x14ac:dyDescent="0.3">
      <c r="A14" s="138"/>
      <c r="B14" s="126" t="str">
        <f>IFERROR(VLOOKUP(H14,'[1]Consolidado MP Planta'!$A$2:$M$823,3,0),"")</f>
        <v/>
      </c>
      <c r="C14" s="139">
        <f t="shared" si="1"/>
        <v>0</v>
      </c>
      <c r="D14" s="140" t="str">
        <f>IFERROR(VLOOKUP(H14,'[1]Consolidado MP Planta'!$A$2:$M$823,13,0),"")</f>
        <v/>
      </c>
      <c r="E14" s="140" t="str">
        <f>IFERROR(VLOOKUP(H14,'[1]Consolidado MP Planta'!$A$2:$M$823,12,0),"")</f>
        <v/>
      </c>
      <c r="F14" s="140" t="str">
        <f t="shared" si="2"/>
        <v/>
      </c>
      <c r="G14" s="141" t="str">
        <f t="shared" si="0"/>
        <v/>
      </c>
      <c r="H14" s="142"/>
      <c r="I14" s="142"/>
      <c r="J14" s="143"/>
    </row>
    <row r="15" spans="1:10" ht="14.4" thickBot="1" x14ac:dyDescent="0.35">
      <c r="A15" s="138"/>
      <c r="B15" s="126" t="str">
        <f>IFERROR(VLOOKUP(H15,'[2]ARTICULOS MP PLANTA'!$A$2:$G$589,2,0),"")</f>
        <v/>
      </c>
      <c r="C15" s="139"/>
      <c r="D15" s="140"/>
      <c r="E15" s="140"/>
      <c r="F15" s="140"/>
      <c r="G15" s="141"/>
      <c r="H15" s="142"/>
      <c r="I15" s="142"/>
      <c r="J15" s="143"/>
    </row>
    <row r="16" spans="1:10" ht="40.200000000000003" thickBot="1" x14ac:dyDescent="0.3">
      <c r="A16" s="133" t="s">
        <v>114</v>
      </c>
      <c r="B16" s="134" t="s">
        <v>121</v>
      </c>
      <c r="C16" s="134" t="s">
        <v>114</v>
      </c>
      <c r="D16" s="135" t="s">
        <v>116</v>
      </c>
      <c r="E16" s="135" t="s">
        <v>117</v>
      </c>
      <c r="F16" s="135" t="s">
        <v>118</v>
      </c>
      <c r="G16" s="135" t="s">
        <v>119</v>
      </c>
      <c r="H16" s="136" t="s">
        <v>120</v>
      </c>
      <c r="I16" s="137"/>
      <c r="J16" s="143"/>
    </row>
    <row r="17" spans="1:12" ht="13.8" x14ac:dyDescent="0.3">
      <c r="A17" s="138">
        <v>1</v>
      </c>
      <c r="B17" s="126" t="s">
        <v>104</v>
      </c>
      <c r="C17" s="139">
        <f>+A17</f>
        <v>1</v>
      </c>
      <c r="D17" s="139" t="s">
        <v>179</v>
      </c>
      <c r="E17" s="140">
        <f>+'COSTO ROSQUETE'!H53</f>
        <v>5147.4766990291264</v>
      </c>
      <c r="F17" s="140">
        <f>IFERROR(E17*C17,"")</f>
        <v>5147.4766990291264</v>
      </c>
      <c r="G17" s="141">
        <f t="shared" ref="G17:G24" si="3">IFERROR(F17/$F$66,"")</f>
        <v>0.58314416318965334</v>
      </c>
      <c r="H17" s="142"/>
      <c r="I17" s="142"/>
      <c r="J17" s="143"/>
    </row>
    <row r="18" spans="1:12" ht="13.8" x14ac:dyDescent="0.3">
      <c r="A18" s="138">
        <v>600</v>
      </c>
      <c r="B18" s="126" t="s">
        <v>178</v>
      </c>
      <c r="C18" s="139">
        <f t="shared" ref="C18:C24" si="4">+A18</f>
        <v>600</v>
      </c>
      <c r="D18" s="139" t="s">
        <v>181</v>
      </c>
      <c r="E18" s="140">
        <v>2.39</v>
      </c>
      <c r="F18" s="140">
        <f t="shared" ref="F18:F24" si="5">IFERROR(E18*C18,"")</f>
        <v>1434</v>
      </c>
      <c r="G18" s="141">
        <f t="shared" si="3"/>
        <v>0.1624541069164403</v>
      </c>
      <c r="H18" s="142"/>
      <c r="I18" s="142"/>
      <c r="J18" s="143"/>
    </row>
    <row r="19" spans="1:12" ht="13.8" hidden="1" x14ac:dyDescent="0.3">
      <c r="A19" s="138"/>
      <c r="B19" s="126" t="str">
        <f>IFERROR(VLOOKUP(H19,[1]SEMIELABORADOS!$A$2:$M$6000,2,0),"")</f>
        <v/>
      </c>
      <c r="C19" s="139">
        <f>+A19</f>
        <v>0</v>
      </c>
      <c r="D19" s="139" t="str">
        <f>IFERROR(VLOOKUP(H19,[1]SEMIELABORADOS!$A$2:$M$6000,6,0),"")</f>
        <v/>
      </c>
      <c r="E19" s="140" t="str">
        <f>IFERROR(VLOOKUP(H19,[1]SEMIELABORADOS!$A$2:$H$65536,8,0),"")</f>
        <v/>
      </c>
      <c r="F19" s="140" t="str">
        <f>IFERROR(E19*C19,"")</f>
        <v/>
      </c>
      <c r="G19" s="141" t="str">
        <f t="shared" si="3"/>
        <v/>
      </c>
      <c r="H19" s="142"/>
      <c r="I19" s="142"/>
      <c r="J19" s="143"/>
    </row>
    <row r="20" spans="1:12" ht="13.8" hidden="1" x14ac:dyDescent="0.3">
      <c r="A20" s="138"/>
      <c r="B20" s="126" t="str">
        <f>IFERROR(VLOOKUP(H20,[1]SEMIELABORADOS!$A$2:$M$6000,2,0),"")</f>
        <v/>
      </c>
      <c r="C20" s="139">
        <f>+A20</f>
        <v>0</v>
      </c>
      <c r="D20" s="139" t="str">
        <f>IFERROR(VLOOKUP(H20,[1]SEMIELABORADOS!$A$2:$M$6000,6,0),"")</f>
        <v/>
      </c>
      <c r="E20" s="140" t="str">
        <f>IFERROR(VLOOKUP(H20,[1]SEMIELABORADOS!$A$2:$H$65536,8,0),"")</f>
        <v/>
      </c>
      <c r="F20" s="140" t="str">
        <f>IFERROR(E20*C20,"")</f>
        <v/>
      </c>
      <c r="G20" s="141" t="str">
        <f t="shared" si="3"/>
        <v/>
      </c>
      <c r="H20" s="142"/>
      <c r="I20" s="142"/>
      <c r="J20" s="143"/>
    </row>
    <row r="21" spans="1:12" ht="13.8" hidden="1" x14ac:dyDescent="0.3">
      <c r="A21" s="138"/>
      <c r="B21" s="126" t="str">
        <f>IFERROR(VLOOKUP(H21,[1]SEMIELABORADOS!$A$2:$M$6000,2,0),"")</f>
        <v/>
      </c>
      <c r="C21" s="139">
        <f>+A21</f>
        <v>0</v>
      </c>
      <c r="D21" s="139" t="str">
        <f>IFERROR(VLOOKUP(H21,[1]SEMIELABORADOS!$A$2:$M$6000,6,0),"")</f>
        <v/>
      </c>
      <c r="E21" s="140" t="str">
        <f>IFERROR(VLOOKUP(H21,[1]SEMIELABORADOS!$A$2:$H$65536,8,0),"")</f>
        <v/>
      </c>
      <c r="F21" s="140" t="str">
        <f>IFERROR(E21*C21,"")</f>
        <v/>
      </c>
      <c r="G21" s="141" t="str">
        <f t="shared" si="3"/>
        <v/>
      </c>
      <c r="H21" s="142"/>
      <c r="I21" s="142"/>
      <c r="J21" s="143"/>
    </row>
    <row r="22" spans="1:12" ht="13.8" hidden="1" x14ac:dyDescent="0.3">
      <c r="A22" s="138"/>
      <c r="B22" s="126" t="str">
        <f>IFERROR(VLOOKUP(H22,[1]SEMIELABORADOS!$A$2:$M$6000,2,0),"")</f>
        <v/>
      </c>
      <c r="C22" s="139">
        <f t="shared" si="4"/>
        <v>0</v>
      </c>
      <c r="D22" s="139" t="str">
        <f>IFERROR(VLOOKUP(H22,[1]SEMIELABORADOS!$A$2:$M$6000,6,0),"")</f>
        <v/>
      </c>
      <c r="E22" s="140" t="str">
        <f>IFERROR(VLOOKUP(H22,[1]SEMIELABORADOS!$A$2:$H$65536,8,0),"")</f>
        <v/>
      </c>
      <c r="F22" s="140" t="str">
        <f t="shared" si="5"/>
        <v/>
      </c>
      <c r="G22" s="141" t="str">
        <f t="shared" si="3"/>
        <v/>
      </c>
      <c r="H22" s="142"/>
      <c r="I22" s="142"/>
      <c r="J22" s="143"/>
    </row>
    <row r="23" spans="1:12" ht="13.8" hidden="1" x14ac:dyDescent="0.3">
      <c r="A23" s="138"/>
      <c r="B23" s="126" t="str">
        <f>IFERROR(VLOOKUP(H23,[1]SEMIELABORADOS!$A$2:$M$6000,2,0),"")</f>
        <v/>
      </c>
      <c r="C23" s="139">
        <f t="shared" si="4"/>
        <v>0</v>
      </c>
      <c r="D23" s="139" t="str">
        <f>IFERROR(VLOOKUP(H23,[1]SEMIELABORADOS!$A$2:$M$6000,6,0),"")</f>
        <v/>
      </c>
      <c r="E23" s="140" t="str">
        <f>IFERROR(VLOOKUP(H23,[1]SEMIELABORADOS!$A$2:$H$65536,8,0),"")</f>
        <v/>
      </c>
      <c r="F23" s="140" t="str">
        <f t="shared" si="5"/>
        <v/>
      </c>
      <c r="G23" s="141" t="str">
        <f t="shared" si="3"/>
        <v/>
      </c>
      <c r="H23" s="142"/>
      <c r="I23" s="142"/>
      <c r="J23" s="143"/>
    </row>
    <row r="24" spans="1:12" ht="13.8" hidden="1" x14ac:dyDescent="0.3">
      <c r="A24" s="138"/>
      <c r="B24" s="126" t="str">
        <f>IFERROR(VLOOKUP(H24,[1]SEMIELABORADOS!$A$2:$M$6000,2,0),"")</f>
        <v/>
      </c>
      <c r="C24" s="139">
        <f t="shared" si="4"/>
        <v>0</v>
      </c>
      <c r="D24" s="139" t="str">
        <f>IFERROR(VLOOKUP(H24,[1]SEMIELABORADOS!$A$2:$M$6000,6,0),"")</f>
        <v/>
      </c>
      <c r="E24" s="140" t="str">
        <f>IFERROR(VLOOKUP(H24,[1]SEMIELABORADOS!$A$2:$H$65536,8,0),"")</f>
        <v/>
      </c>
      <c r="F24" s="140" t="str">
        <f t="shared" si="5"/>
        <v/>
      </c>
      <c r="G24" s="141" t="str">
        <f t="shared" si="3"/>
        <v/>
      </c>
      <c r="H24" s="142"/>
      <c r="I24" s="142"/>
      <c r="J24" s="143"/>
    </row>
    <row r="25" spans="1:12" ht="14.4" thickBot="1" x14ac:dyDescent="0.35">
      <c r="A25" s="138"/>
      <c r="C25" s="139"/>
      <c r="D25" s="139"/>
      <c r="E25" s="140"/>
      <c r="F25" s="140"/>
      <c r="G25" s="141"/>
      <c r="H25" s="142"/>
      <c r="I25" s="142"/>
      <c r="J25" s="143"/>
    </row>
    <row r="26" spans="1:12" ht="40.200000000000003" thickBot="1" x14ac:dyDescent="0.3">
      <c r="A26" s="133" t="s">
        <v>114</v>
      </c>
      <c r="B26" s="134" t="s">
        <v>92</v>
      </c>
      <c r="C26" s="134" t="s">
        <v>114</v>
      </c>
      <c r="D26" s="135" t="s">
        <v>116</v>
      </c>
      <c r="E26" s="135" t="s">
        <v>117</v>
      </c>
      <c r="F26" s="135" t="s">
        <v>118</v>
      </c>
      <c r="G26" s="135" t="s">
        <v>119</v>
      </c>
      <c r="H26" s="136" t="s">
        <v>120</v>
      </c>
      <c r="I26" s="137"/>
    </row>
    <row r="27" spans="1:12" ht="13.8" x14ac:dyDescent="0.3">
      <c r="A27" s="138">
        <v>4</v>
      </c>
      <c r="B27" s="85" t="str">
        <f>IFERROR(VLOOKUP(H27,'[1]Consolidado MP Planta'!$A$2:$M$823,3,0),"")</f>
        <v>FONDO P/CAJA BLANCA (PAQ:100 UND)</v>
      </c>
      <c r="C27" s="139">
        <f t="shared" ref="C27:C32" si="6">+A27</f>
        <v>4</v>
      </c>
      <c r="D27" s="140" t="str">
        <f>IFERROR(VLOOKUP(H27,'[1]Consolidado MP Planta'!$A$2:$M$823,13,0),"")</f>
        <v>Und</v>
      </c>
      <c r="E27" s="140">
        <f>IFERROR(VLOOKUP(H27,'[1]Consolidado MP Planta'!$A$2:$M$823,12,0),"")</f>
        <v>53</v>
      </c>
      <c r="F27" s="140">
        <f t="shared" ref="F27:F32" si="7">IFERROR(C27*E27,"")</f>
        <v>212</v>
      </c>
      <c r="G27" s="141">
        <f t="shared" ref="G27:G32" si="8">IFERROR(F27/$F$66,"")</f>
        <v>2.4016925150826599E-2</v>
      </c>
      <c r="H27" s="144" t="s">
        <v>183</v>
      </c>
      <c r="I27" s="144"/>
      <c r="J27" s="143"/>
      <c r="K27" s="385"/>
      <c r="L27" s="385"/>
    </row>
    <row r="28" spans="1:12" ht="13.8" x14ac:dyDescent="0.3">
      <c r="A28" s="138">
        <v>4</v>
      </c>
      <c r="B28" s="85" t="str">
        <f>IFERROR(VLOOKUP(H28,'[1]Consolidado MP Planta'!$A$2:$M$823,3,0),"")</f>
        <v>TAPA P/FONDO CAJA BLANCA (PAQ:100 UND)</v>
      </c>
      <c r="C28" s="139">
        <f t="shared" si="6"/>
        <v>4</v>
      </c>
      <c r="D28" s="140" t="str">
        <f>IFERROR(VLOOKUP(H28,'[1]Consolidado MP Planta'!$A$2:$M$823,13,0),"")</f>
        <v>Und</v>
      </c>
      <c r="E28" s="140">
        <f>IFERROR(VLOOKUP(H28,'[1]Consolidado MP Planta'!$A$2:$M$823,12,0),"")</f>
        <v>53</v>
      </c>
      <c r="F28" s="140">
        <f t="shared" si="7"/>
        <v>212</v>
      </c>
      <c r="G28" s="141">
        <f t="shared" si="8"/>
        <v>2.4016925150826599E-2</v>
      </c>
      <c r="H28" s="144" t="s">
        <v>184</v>
      </c>
      <c r="I28" s="144"/>
      <c r="J28" s="143"/>
      <c r="K28" s="385"/>
      <c r="L28" s="385"/>
    </row>
    <row r="29" spans="1:12" ht="13.8" x14ac:dyDescent="0.3">
      <c r="A29" s="138">
        <v>4</v>
      </c>
      <c r="B29" s="85" t="str">
        <f>IFERROR(VLOOKUP(H29,'[1]Consolidado MP Planta'!$A$2:$M$823,3,0),"")</f>
        <v>ETIQ.FECHA VENCIMIENTO VERDE (ROLLO)</v>
      </c>
      <c r="C29" s="139">
        <f t="shared" si="6"/>
        <v>4</v>
      </c>
      <c r="D29" s="140" t="str">
        <f>IFERROR(VLOOKUP(H29,'[1]Consolidado MP Planta'!$A$2:$M$823,13,0),"")</f>
        <v>Und</v>
      </c>
      <c r="E29" s="140">
        <f>IFERROR(VLOOKUP(H29,'[1]Consolidado MP Planta'!$A$2:$M$823,12,0),"")</f>
        <v>0.2</v>
      </c>
      <c r="F29" s="140">
        <f t="shared" si="7"/>
        <v>0.8</v>
      </c>
      <c r="G29" s="141">
        <f t="shared" si="8"/>
        <v>9.0629906229534342E-5</v>
      </c>
      <c r="H29" s="144" t="s">
        <v>185</v>
      </c>
      <c r="I29" s="144"/>
      <c r="J29" s="143"/>
      <c r="K29" s="385"/>
      <c r="L29" s="385"/>
    </row>
    <row r="30" spans="1:12" ht="13.8" x14ac:dyDescent="0.3">
      <c r="A30" s="138">
        <v>4</v>
      </c>
      <c r="B30" s="85" t="str">
        <f>IFERROR(VLOOKUP(H30,'[1]Consolidado MP Planta'!$A$2:$M$823,3,0),"")</f>
        <v>ETIQ.BLANCA 1 1/4 * 3/4 (UND)</v>
      </c>
      <c r="C30" s="139">
        <f t="shared" si="6"/>
        <v>4</v>
      </c>
      <c r="D30" s="140" t="str">
        <f>IFERROR(VLOOKUP(H30,'[1]Consolidado MP Planta'!$A$2:$M$823,13,0),"")</f>
        <v>Und</v>
      </c>
      <c r="E30" s="140">
        <f>IFERROR(VLOOKUP(H30,'[1]Consolidado MP Planta'!$A$2:$M$823,12,0),"")</f>
        <v>0.57999999999999996</v>
      </c>
      <c r="F30" s="140">
        <f t="shared" si="7"/>
        <v>2.3199999999999998</v>
      </c>
      <c r="G30" s="141">
        <f t="shared" si="8"/>
        <v>2.6282672806564957E-4</v>
      </c>
      <c r="H30" s="144" t="s">
        <v>177</v>
      </c>
      <c r="I30" s="144"/>
      <c r="J30" s="143"/>
      <c r="K30" s="385"/>
      <c r="L30" s="385"/>
    </row>
    <row r="31" spans="1:12" ht="13.8" hidden="1" x14ac:dyDescent="0.3">
      <c r="A31" s="138"/>
      <c r="B31" s="85" t="str">
        <f>IFERROR(VLOOKUP(H31,'[1]Consolidado MP Planta'!$A$2:$M$823,3,0),"")</f>
        <v/>
      </c>
      <c r="C31" s="139">
        <f t="shared" si="6"/>
        <v>0</v>
      </c>
      <c r="D31" s="140" t="str">
        <f>IFERROR(VLOOKUP(H31,'[1]Consolidado MP Planta'!$A$2:$M$823,13,0),"")</f>
        <v/>
      </c>
      <c r="E31" s="140" t="str">
        <f>IFERROR(VLOOKUP(H31,'[1]Consolidado MP Planta'!$A$2:$M$823,12,0),"")</f>
        <v/>
      </c>
      <c r="F31" s="140" t="str">
        <f t="shared" si="7"/>
        <v/>
      </c>
      <c r="G31" s="141" t="str">
        <f t="shared" si="8"/>
        <v/>
      </c>
      <c r="H31" s="144"/>
      <c r="I31" s="144"/>
      <c r="J31" s="143"/>
      <c r="K31" s="145"/>
      <c r="L31" s="146"/>
    </row>
    <row r="32" spans="1:12" ht="13.8" hidden="1" x14ac:dyDescent="0.3">
      <c r="A32" s="138"/>
      <c r="B32" s="85" t="str">
        <f>IFERROR(VLOOKUP(H32,'[1]Consolidado MP Planta'!$A$2:$M$823,3,0),"")</f>
        <v/>
      </c>
      <c r="C32" s="139">
        <f t="shared" si="6"/>
        <v>0</v>
      </c>
      <c r="D32" s="140" t="str">
        <f>IFERROR(VLOOKUP(H32,'[1]Consolidado MP Planta'!$A$2:$M$823,13,0),"")</f>
        <v/>
      </c>
      <c r="E32" s="140" t="str">
        <f>IFERROR(VLOOKUP(H32,'[1]Consolidado MP Planta'!$A$2:$M$823,12,0),"")</f>
        <v/>
      </c>
      <c r="F32" s="140" t="str">
        <f t="shared" si="7"/>
        <v/>
      </c>
      <c r="G32" s="141" t="str">
        <f t="shared" si="8"/>
        <v/>
      </c>
      <c r="H32" s="144"/>
      <c r="I32" s="144"/>
      <c r="J32" s="143"/>
    </row>
    <row r="33" spans="1:13" ht="14.4" thickBot="1" x14ac:dyDescent="0.35">
      <c r="A33" s="138"/>
      <c r="B33" s="85"/>
      <c r="C33" s="139"/>
      <c r="D33" s="140"/>
      <c r="E33" s="140"/>
      <c r="F33" s="140"/>
      <c r="G33" s="141"/>
      <c r="H33" s="144"/>
      <c r="I33" s="144"/>
      <c r="J33" s="143"/>
    </row>
    <row r="34" spans="1:13" ht="40.200000000000003" thickBot="1" x14ac:dyDescent="0.3">
      <c r="A34" s="133" t="s">
        <v>114</v>
      </c>
      <c r="B34" s="134" t="s">
        <v>122</v>
      </c>
      <c r="C34" s="134" t="s">
        <v>114</v>
      </c>
      <c r="D34" s="135" t="s">
        <v>116</v>
      </c>
      <c r="E34" s="135" t="s">
        <v>117</v>
      </c>
      <c r="F34" s="135" t="s">
        <v>118</v>
      </c>
      <c r="G34" s="135" t="s">
        <v>119</v>
      </c>
      <c r="H34" s="136" t="s">
        <v>120</v>
      </c>
      <c r="I34" s="144"/>
      <c r="J34" s="143"/>
    </row>
    <row r="35" spans="1:13" ht="13.8" x14ac:dyDescent="0.3">
      <c r="A35" s="138">
        <f>+A17</f>
        <v>1</v>
      </c>
      <c r="B35" s="85" t="s">
        <v>104</v>
      </c>
      <c r="C35" s="139">
        <f>+A35</f>
        <v>1</v>
      </c>
      <c r="D35" s="140" t="s">
        <v>180</v>
      </c>
      <c r="E35" s="140">
        <f>+'COSTO ROSQUETE'!H54</f>
        <v>44.501294498381874</v>
      </c>
      <c r="F35" s="140">
        <f>IFERROR(E35*C35,"")</f>
        <v>44.501294498381874</v>
      </c>
      <c r="G35" s="141">
        <f t="shared" ref="G35:G41" si="9">IFERROR(F35/$F$66,"")</f>
        <v>5.0414351843515526E-3</v>
      </c>
      <c r="H35" s="144"/>
      <c r="I35" s="144"/>
      <c r="J35" s="143"/>
    </row>
    <row r="36" spans="1:13" ht="13.8" x14ac:dyDescent="0.3">
      <c r="A36" s="138">
        <f t="shared" ref="A36:A41" si="10">+A18</f>
        <v>600</v>
      </c>
      <c r="B36" s="85" t="s">
        <v>178</v>
      </c>
      <c r="C36" s="139">
        <f t="shared" ref="C36:C41" si="11">+A36</f>
        <v>600</v>
      </c>
      <c r="D36" s="140" t="s">
        <v>181</v>
      </c>
      <c r="E36" s="140">
        <v>0.01</v>
      </c>
      <c r="F36" s="140">
        <f t="shared" ref="F36:F41" si="12">IFERROR(E36*C36,"")</f>
        <v>6</v>
      </c>
      <c r="G36" s="141">
        <f t="shared" si="9"/>
        <v>6.7972429672150754E-4</v>
      </c>
      <c r="H36" s="144"/>
      <c r="I36" s="144"/>
      <c r="J36" s="143"/>
    </row>
    <row r="37" spans="1:13" ht="13.8" hidden="1" x14ac:dyDescent="0.3">
      <c r="A37" s="138">
        <f t="shared" si="10"/>
        <v>0</v>
      </c>
      <c r="B37" s="85" t="str">
        <f>IFERROR(VLOOKUP(H37,[1]SEMIELABORADOS!$A$2:$M$6000,2,0),"")</f>
        <v/>
      </c>
      <c r="C37" s="139">
        <f t="shared" si="11"/>
        <v>0</v>
      </c>
      <c r="D37" s="140" t="str">
        <f>IFERROR(VLOOKUP(H37,[1]SEMIELABORADOS!$A$2:$M$6000,6,0),"")</f>
        <v/>
      </c>
      <c r="E37" s="140" t="str">
        <f>IFERROR(VLOOKUP(H37,[1]SEMIELABORADOS!$A$2:$M$65536,10,0),"")</f>
        <v/>
      </c>
      <c r="F37" s="140" t="str">
        <f t="shared" si="12"/>
        <v/>
      </c>
      <c r="G37" s="141" t="str">
        <f t="shared" si="9"/>
        <v/>
      </c>
      <c r="H37" s="144"/>
      <c r="I37" s="144"/>
      <c r="J37" s="143"/>
    </row>
    <row r="38" spans="1:13" ht="13.8" hidden="1" x14ac:dyDescent="0.3">
      <c r="A38" s="138">
        <f t="shared" si="10"/>
        <v>0</v>
      </c>
      <c r="B38" s="85" t="str">
        <f>IFERROR(VLOOKUP(H38,[1]SEMIELABORADOS!$A$2:$M$6000,2,0),"")</f>
        <v/>
      </c>
      <c r="C38" s="139">
        <f>+A38</f>
        <v>0</v>
      </c>
      <c r="D38" s="140" t="str">
        <f>IFERROR(VLOOKUP(H38,[1]SEMIELABORADOS!$A$2:$M$6000,6,0),"")</f>
        <v/>
      </c>
      <c r="E38" s="140" t="str">
        <f>IFERROR(VLOOKUP(H38,[1]SEMIELABORADOS!$A$2:$M$65536,10,0),"")</f>
        <v/>
      </c>
      <c r="F38" s="140" t="str">
        <f>IFERROR(E38*C38,"")</f>
        <v/>
      </c>
      <c r="G38" s="141" t="str">
        <f t="shared" si="9"/>
        <v/>
      </c>
      <c r="H38" s="144"/>
      <c r="I38" s="144"/>
      <c r="J38" s="143"/>
    </row>
    <row r="39" spans="1:13" ht="13.8" hidden="1" x14ac:dyDescent="0.3">
      <c r="A39" s="138">
        <f t="shared" si="10"/>
        <v>0</v>
      </c>
      <c r="B39" s="85" t="str">
        <f>IFERROR(VLOOKUP(H39,[1]SEMIELABORADOS!$A$2:$M$6000,2,0),"")</f>
        <v/>
      </c>
      <c r="C39" s="139">
        <f>+A39</f>
        <v>0</v>
      </c>
      <c r="D39" s="140" t="str">
        <f>IFERROR(VLOOKUP(H39,[1]SEMIELABORADOS!$A$2:$M$6000,6,0),"")</f>
        <v/>
      </c>
      <c r="E39" s="140" t="str">
        <f>IFERROR(VLOOKUP(H39,[1]SEMIELABORADOS!$A$2:$M$65536,10,0),"")</f>
        <v/>
      </c>
      <c r="F39" s="140" t="str">
        <f>IFERROR(E39*C39,"")</f>
        <v/>
      </c>
      <c r="G39" s="141" t="str">
        <f t="shared" si="9"/>
        <v/>
      </c>
      <c r="H39" s="144"/>
      <c r="I39" s="144"/>
      <c r="J39" s="143"/>
    </row>
    <row r="40" spans="1:13" ht="13.8" hidden="1" x14ac:dyDescent="0.3">
      <c r="A40" s="138">
        <f t="shared" si="10"/>
        <v>0</v>
      </c>
      <c r="B40" s="85" t="str">
        <f>IFERROR(VLOOKUP(H40,[1]SEMIELABORADOS!$A$2:$M$6000,2,0),"")</f>
        <v/>
      </c>
      <c r="C40" s="139">
        <f t="shared" si="11"/>
        <v>0</v>
      </c>
      <c r="D40" s="140" t="str">
        <f>IFERROR(VLOOKUP(H40,[1]SEMIELABORADOS!$A$2:$M$6000,6,0),"")</f>
        <v/>
      </c>
      <c r="E40" s="140" t="str">
        <f>IFERROR(VLOOKUP(H40,[1]SEMIELABORADOS!$A$2:$M$65536,10,0),"")</f>
        <v/>
      </c>
      <c r="F40" s="140" t="str">
        <f t="shared" si="12"/>
        <v/>
      </c>
      <c r="G40" s="141" t="str">
        <f t="shared" si="9"/>
        <v/>
      </c>
      <c r="H40" s="144"/>
      <c r="I40" s="144"/>
      <c r="J40" s="143"/>
    </row>
    <row r="41" spans="1:13" ht="13.8" hidden="1" x14ac:dyDescent="0.3">
      <c r="A41" s="138">
        <f t="shared" si="10"/>
        <v>0</v>
      </c>
      <c r="B41" s="85" t="str">
        <f>IFERROR(VLOOKUP(H41,[1]SEMIELABORADOS!$A$2:$M$6000,2,0),"")</f>
        <v/>
      </c>
      <c r="C41" s="139">
        <f t="shared" si="11"/>
        <v>0</v>
      </c>
      <c r="D41" s="140" t="str">
        <f>IFERROR(VLOOKUP(H41,[1]SEMIELABORADOS!$A$2:$M$6000,6,0),"")</f>
        <v/>
      </c>
      <c r="E41" s="140" t="str">
        <f>IFERROR(VLOOKUP(H41,[1]SEMIELABORADOS!$A$2:$M$65536,10,0),"")</f>
        <v/>
      </c>
      <c r="F41" s="140" t="str">
        <f t="shared" si="12"/>
        <v/>
      </c>
      <c r="G41" s="141" t="str">
        <f t="shared" si="9"/>
        <v/>
      </c>
      <c r="H41" s="144"/>
      <c r="I41" s="144"/>
      <c r="J41" s="143"/>
    </row>
    <row r="42" spans="1:13" ht="14.4" thickBot="1" x14ac:dyDescent="0.35">
      <c r="A42" s="138"/>
      <c r="B42" s="85"/>
      <c r="C42" s="139"/>
      <c r="D42" s="140"/>
      <c r="E42" s="140"/>
      <c r="F42" s="140"/>
      <c r="G42" s="141"/>
      <c r="H42" s="144"/>
      <c r="I42" s="144"/>
      <c r="J42" s="143"/>
    </row>
    <row r="43" spans="1:13" ht="40.200000000000003" thickBot="1" x14ac:dyDescent="0.3">
      <c r="A43" s="133" t="s">
        <v>114</v>
      </c>
      <c r="B43" s="134" t="s">
        <v>123</v>
      </c>
      <c r="C43" s="134" t="s">
        <v>114</v>
      </c>
      <c r="D43" s="135" t="s">
        <v>116</v>
      </c>
      <c r="E43" s="135" t="s">
        <v>117</v>
      </c>
      <c r="F43" s="135" t="s">
        <v>118</v>
      </c>
      <c r="G43" s="135" t="s">
        <v>119</v>
      </c>
      <c r="H43" s="136" t="s">
        <v>120</v>
      </c>
      <c r="I43" s="137"/>
      <c r="J43" s="143"/>
    </row>
    <row r="44" spans="1:13" ht="13.8" x14ac:dyDescent="0.3">
      <c r="A44" s="138">
        <f>+A35</f>
        <v>1</v>
      </c>
      <c r="B44" s="85" t="s">
        <v>104</v>
      </c>
      <c r="C44" s="139">
        <f>+A44</f>
        <v>1</v>
      </c>
      <c r="D44" s="140" t="s">
        <v>180</v>
      </c>
      <c r="E44" s="140">
        <f>+'COSTO ROSQUETE'!H56</f>
        <v>121.07766990291262</v>
      </c>
      <c r="F44" s="140">
        <f>IFERROR(E44*C44,"")</f>
        <v>121.07766990291262</v>
      </c>
      <c r="G44" s="141">
        <f>IFERROR(F44/$F$66,"")</f>
        <v>1.3716572337239354E-2</v>
      </c>
      <c r="H44" s="144"/>
      <c r="I44" s="137"/>
      <c r="J44" s="143"/>
    </row>
    <row r="45" spans="1:13" ht="13.8" x14ac:dyDescent="0.3">
      <c r="A45" s="138">
        <f t="shared" ref="A45:A50" si="13">+A36</f>
        <v>600</v>
      </c>
      <c r="B45" s="85" t="s">
        <v>178</v>
      </c>
      <c r="C45" s="139">
        <f t="shared" ref="C45:C50" si="14">+A45</f>
        <v>600</v>
      </c>
      <c r="D45" s="140" t="s">
        <v>181</v>
      </c>
      <c r="E45" s="140">
        <v>0.08</v>
      </c>
      <c r="F45" s="140">
        <f t="shared" ref="F45:F50" si="15">IFERROR(E45*C45,"")</f>
        <v>48</v>
      </c>
      <c r="G45" s="141">
        <f t="shared" ref="G45:G50" si="16">IFERROR(F45/$F$66,"")</f>
        <v>5.4377943737720603E-3</v>
      </c>
      <c r="H45" s="144"/>
      <c r="I45" s="137"/>
      <c r="J45" s="143"/>
      <c r="M45" s="147"/>
    </row>
    <row r="46" spans="1:13" ht="13.8" hidden="1" x14ac:dyDescent="0.3">
      <c r="A46" s="138">
        <f t="shared" si="13"/>
        <v>0</v>
      </c>
      <c r="B46" s="85" t="str">
        <f>IFERROR(VLOOKUP(H46,[1]SEMIELABORADOS!$A$2:$M$6000,2,0),"")</f>
        <v/>
      </c>
      <c r="C46" s="139">
        <f t="shared" si="14"/>
        <v>0</v>
      </c>
      <c r="D46" s="140" t="str">
        <f>IFERROR(VLOOKUP(H46,[1]SEMIELABORADOS!$A$2:$M$6000,6,0),"")</f>
        <v/>
      </c>
      <c r="E46" s="140" t="str">
        <f>IFERROR(VLOOKUP(H46,[1]SEMIELABORADOS!$A$2:$M$65536,12,0),"")</f>
        <v/>
      </c>
      <c r="F46" s="140" t="str">
        <f t="shared" si="15"/>
        <v/>
      </c>
      <c r="G46" s="141" t="str">
        <f t="shared" si="16"/>
        <v/>
      </c>
      <c r="H46" s="144"/>
      <c r="I46" s="137"/>
      <c r="J46" s="143"/>
    </row>
    <row r="47" spans="1:13" ht="13.8" hidden="1" x14ac:dyDescent="0.3">
      <c r="A47" s="138">
        <f t="shared" si="13"/>
        <v>0</v>
      </c>
      <c r="B47" s="85" t="str">
        <f>IFERROR(VLOOKUP(H47,[1]SEMIELABORADOS!$A$2:$M$6000,2,0),"")</f>
        <v/>
      </c>
      <c r="C47" s="139">
        <f t="shared" si="14"/>
        <v>0</v>
      </c>
      <c r="D47" s="140" t="str">
        <f>IFERROR(VLOOKUP(H47,[1]SEMIELABORADOS!$A$2:$M$6000,6,0),"")</f>
        <v/>
      </c>
      <c r="E47" s="140" t="str">
        <f>IFERROR(VLOOKUP(H47,[1]SEMIELABORADOS!$A$2:$M$65536,12,0),"")</f>
        <v/>
      </c>
      <c r="F47" s="140" t="str">
        <f t="shared" si="15"/>
        <v/>
      </c>
      <c r="G47" s="141" t="str">
        <f t="shared" si="16"/>
        <v/>
      </c>
      <c r="H47" s="144"/>
      <c r="I47" s="137"/>
      <c r="J47" s="143"/>
    </row>
    <row r="48" spans="1:13" ht="13.8" hidden="1" x14ac:dyDescent="0.3">
      <c r="A48" s="138">
        <f t="shared" si="13"/>
        <v>0</v>
      </c>
      <c r="B48" s="85" t="str">
        <f>IFERROR(VLOOKUP(H48,[1]SEMIELABORADOS!$A$2:$M$6000,2,0),"")</f>
        <v/>
      </c>
      <c r="C48" s="139">
        <f t="shared" si="14"/>
        <v>0</v>
      </c>
      <c r="D48" s="140" t="str">
        <f>IFERROR(VLOOKUP(H48,[1]SEMIELABORADOS!$A$2:$M$6000,6,0),"")</f>
        <v/>
      </c>
      <c r="E48" s="140" t="str">
        <f>IFERROR(VLOOKUP(H48,[1]SEMIELABORADOS!$A$2:$M$65536,12,0),"")</f>
        <v/>
      </c>
      <c r="F48" s="140" t="str">
        <f t="shared" si="15"/>
        <v/>
      </c>
      <c r="G48" s="141" t="str">
        <f t="shared" si="16"/>
        <v/>
      </c>
      <c r="H48" s="144"/>
      <c r="I48" s="137"/>
      <c r="J48" s="143"/>
    </row>
    <row r="49" spans="1:17" ht="13.8" hidden="1" x14ac:dyDescent="0.3">
      <c r="A49" s="138">
        <f t="shared" si="13"/>
        <v>0</v>
      </c>
      <c r="B49" s="85" t="str">
        <f>IFERROR(VLOOKUP(H49,[1]SEMIELABORADOS!$A$2:$M$6000,2,0),"")</f>
        <v/>
      </c>
      <c r="C49" s="139">
        <f t="shared" si="14"/>
        <v>0</v>
      </c>
      <c r="D49" s="140" t="str">
        <f>IFERROR(VLOOKUP(H49,[1]SEMIELABORADOS!$A$2:$M$6000,6,0),"")</f>
        <v/>
      </c>
      <c r="E49" s="140" t="str">
        <f>IFERROR(VLOOKUP(H49,[1]SEMIELABORADOS!$A$2:$M$65536,12,0),"")</f>
        <v/>
      </c>
      <c r="F49" s="140" t="str">
        <f t="shared" si="15"/>
        <v/>
      </c>
      <c r="G49" s="141" t="str">
        <f t="shared" si="16"/>
        <v/>
      </c>
      <c r="H49" s="144"/>
      <c r="I49" s="137"/>
      <c r="J49" s="143"/>
    </row>
    <row r="50" spans="1:17" ht="13.8" hidden="1" x14ac:dyDescent="0.3">
      <c r="A50" s="138">
        <f t="shared" si="13"/>
        <v>0</v>
      </c>
      <c r="B50" s="85" t="str">
        <f>IFERROR(VLOOKUP(H50,[1]SEMIELABORADOS!$A$2:$M$6000,2,0),"")</f>
        <v/>
      </c>
      <c r="C50" s="139">
        <f t="shared" si="14"/>
        <v>0</v>
      </c>
      <c r="D50" s="140" t="str">
        <f>IFERROR(VLOOKUP(H50,[1]SEMIELABORADOS!$A$2:$M$6000,6,0),"")</f>
        <v/>
      </c>
      <c r="E50" s="140" t="str">
        <f>IFERROR(VLOOKUP(H50,[1]SEMIELABORADOS!$A$2:$M$65536,12,0),"")</f>
        <v/>
      </c>
      <c r="F50" s="140" t="str">
        <f t="shared" si="15"/>
        <v/>
      </c>
      <c r="G50" s="141" t="str">
        <f t="shared" si="16"/>
        <v/>
      </c>
      <c r="H50" s="85"/>
      <c r="I50" s="137"/>
      <c r="J50" s="143"/>
    </row>
    <row r="51" spans="1:17" ht="13.8" x14ac:dyDescent="0.3">
      <c r="A51" s="138">
        <v>1</v>
      </c>
      <c r="B51" s="85" t="s">
        <v>124</v>
      </c>
      <c r="C51" s="139">
        <f>+A51</f>
        <v>1</v>
      </c>
      <c r="D51" s="139" t="s">
        <v>125</v>
      </c>
      <c r="E51" s="140">
        <f>+F65</f>
        <v>1160</v>
      </c>
      <c r="F51" s="140">
        <f>IFERROR(C51*E51,"")</f>
        <v>1160</v>
      </c>
      <c r="G51" s="141">
        <f>IFERROR(F51/$F$66,"")</f>
        <v>0.1314133640328248</v>
      </c>
      <c r="H51" s="148"/>
      <c r="I51" s="148"/>
      <c r="J51" s="143"/>
    </row>
    <row r="52" spans="1:17" ht="14.4" thickBot="1" x14ac:dyDescent="0.35">
      <c r="A52" s="138"/>
      <c r="B52" s="85"/>
      <c r="C52" s="139"/>
      <c r="D52" s="139"/>
      <c r="E52" s="140"/>
      <c r="F52" s="140"/>
      <c r="G52" s="141"/>
      <c r="H52" s="148"/>
      <c r="I52" s="148"/>
      <c r="J52" s="143"/>
    </row>
    <row r="53" spans="1:17" ht="13.8" thickBot="1" x14ac:dyDescent="0.3">
      <c r="A53" s="149"/>
      <c r="B53" s="386" t="s">
        <v>126</v>
      </c>
      <c r="C53" s="386"/>
      <c r="D53" s="386"/>
      <c r="E53" s="386"/>
      <c r="F53" s="151">
        <f>SUM(F8:F14,F17:F24)</f>
        <v>7048.5166990291264</v>
      </c>
      <c r="G53" s="141">
        <f>+F53/$F$66</f>
        <v>0.79850800936289579</v>
      </c>
      <c r="H53" s="152">
        <f>+F53/$D$60</f>
        <v>1762.1291747572816</v>
      </c>
      <c r="I53" s="152"/>
      <c r="J53" s="153"/>
      <c r="K53" s="154"/>
      <c r="L53" s="154"/>
      <c r="M53" s="154"/>
      <c r="N53" s="154"/>
      <c r="O53" s="154"/>
      <c r="P53" s="154"/>
      <c r="Q53" s="155"/>
    </row>
    <row r="54" spans="1:17" x14ac:dyDescent="0.25">
      <c r="A54" s="149"/>
      <c r="B54" s="386" t="s">
        <v>127</v>
      </c>
      <c r="C54" s="386"/>
      <c r="D54" s="386"/>
      <c r="E54" s="386"/>
      <c r="F54" s="151">
        <f>SUM(F27:F32,F35:F41)</f>
        <v>477.62129449838187</v>
      </c>
      <c r="G54" s="141">
        <f>+F54/$F$66</f>
        <v>5.4108466417021446E-2</v>
      </c>
      <c r="H54" s="152">
        <f>+F54/$D$60</f>
        <v>119.40532362459547</v>
      </c>
      <c r="I54" s="152"/>
      <c r="J54" s="156"/>
      <c r="K54" s="387" t="s">
        <v>128</v>
      </c>
      <c r="L54" s="388"/>
      <c r="M54" s="388"/>
      <c r="N54" s="388"/>
      <c r="O54" s="157">
        <f>+F55</f>
        <v>7526.1379935275081</v>
      </c>
      <c r="P54" s="157"/>
      <c r="Q54" s="158"/>
    </row>
    <row r="55" spans="1:17" x14ac:dyDescent="0.25">
      <c r="A55" s="149"/>
      <c r="B55" s="386" t="s">
        <v>129</v>
      </c>
      <c r="C55" s="386"/>
      <c r="D55" s="386"/>
      <c r="E55" s="386"/>
      <c r="F55" s="151">
        <f>+F53+F54</f>
        <v>7526.1379935275081</v>
      </c>
      <c r="G55" s="141">
        <f>+F55/$F$66</f>
        <v>0.85261647577991728</v>
      </c>
      <c r="H55" s="152">
        <f>+F55/$D$60</f>
        <v>1881.534498381877</v>
      </c>
      <c r="I55" s="152"/>
      <c r="J55" s="159"/>
      <c r="K55" s="160"/>
      <c r="M55" s="161" t="s">
        <v>130</v>
      </c>
      <c r="N55" s="162"/>
      <c r="O55" s="157">
        <f>+F56</f>
        <v>1329.0776699029127</v>
      </c>
      <c r="P55" s="157"/>
      <c r="Q55" s="158"/>
    </row>
    <row r="56" spans="1:17" ht="13.8" thickBot="1" x14ac:dyDescent="0.3">
      <c r="A56" s="149"/>
      <c r="B56" s="150"/>
      <c r="C56" s="386" t="s">
        <v>131</v>
      </c>
      <c r="D56" s="386"/>
      <c r="E56" s="386"/>
      <c r="F56" s="151">
        <f>SUM(F44:F51)</f>
        <v>1329.0776699029127</v>
      </c>
      <c r="G56" s="141">
        <f>+F56/$F$66</f>
        <v>0.15056773074383623</v>
      </c>
      <c r="H56" s="152">
        <f>+F56/$D$60</f>
        <v>332.26941747572818</v>
      </c>
      <c r="I56" s="152"/>
      <c r="J56" s="159"/>
      <c r="K56" s="160"/>
      <c r="L56" s="160"/>
      <c r="M56" s="160" t="s">
        <v>132</v>
      </c>
      <c r="N56" s="163"/>
      <c r="O56" s="157">
        <f>O54*N56</f>
        <v>0</v>
      </c>
      <c r="P56" s="157"/>
      <c r="Q56" s="158"/>
    </row>
    <row r="57" spans="1:17" ht="13.8" thickBot="1" x14ac:dyDescent="0.25">
      <c r="A57" s="149"/>
      <c r="B57" s="164"/>
      <c r="C57" s="164"/>
      <c r="D57" s="164"/>
      <c r="E57" s="164"/>
      <c r="F57" s="165"/>
      <c r="G57" s="141"/>
      <c r="H57" s="166"/>
      <c r="I57" s="152"/>
      <c r="J57" s="159"/>
      <c r="K57" s="167"/>
      <c r="M57" s="168" t="s">
        <v>133</v>
      </c>
      <c r="N57" s="169"/>
      <c r="O57" s="170">
        <f>SUM(O54:O56)</f>
        <v>8855.215663430421</v>
      </c>
      <c r="P57" s="171"/>
      <c r="Q57" s="158"/>
    </row>
    <row r="58" spans="1:17" x14ac:dyDescent="0.25">
      <c r="B58" s="390" t="s">
        <v>134</v>
      </c>
      <c r="C58" s="390"/>
      <c r="D58" s="172">
        <v>2040</v>
      </c>
      <c r="E58" s="173"/>
      <c r="F58" s="126">
        <f>+F56/58</f>
        <v>22.915132239705393</v>
      </c>
      <c r="G58" s="141"/>
      <c r="H58" s="166"/>
      <c r="I58" s="174"/>
      <c r="J58" s="159"/>
      <c r="K58" s="167"/>
      <c r="L58" s="160"/>
      <c r="M58" s="160" t="s">
        <v>135</v>
      </c>
      <c r="N58" s="175"/>
      <c r="O58" s="157">
        <v>1307.1600000000001</v>
      </c>
      <c r="P58" s="157"/>
      <c r="Q58" s="158"/>
    </row>
    <row r="59" spans="1:17" x14ac:dyDescent="0.25">
      <c r="B59" s="390" t="s">
        <v>136</v>
      </c>
      <c r="C59" s="390"/>
      <c r="D59" s="176">
        <v>510</v>
      </c>
      <c r="E59" s="173"/>
      <c r="F59" s="126">
        <f>+F58*57</f>
        <v>1306.1625376632073</v>
      </c>
      <c r="G59" s="141"/>
      <c r="H59" s="166"/>
      <c r="I59" s="174"/>
      <c r="J59" s="159"/>
      <c r="K59" s="167"/>
      <c r="L59" s="160"/>
      <c r="M59" s="391" t="s">
        <v>133</v>
      </c>
      <c r="N59" s="391"/>
      <c r="O59" s="157">
        <f>SUM(O57:O58)</f>
        <v>10162.375663430421</v>
      </c>
      <c r="P59" s="157"/>
      <c r="Q59" s="158"/>
    </row>
    <row r="60" spans="1:17" ht="13.8" thickBot="1" x14ac:dyDescent="0.3">
      <c r="B60" s="392" t="s">
        <v>137</v>
      </c>
      <c r="C60" s="392"/>
      <c r="D60" s="172">
        <f>+D58/D59</f>
        <v>4</v>
      </c>
      <c r="E60" s="173"/>
      <c r="F60" s="177"/>
      <c r="G60" s="141"/>
      <c r="H60" s="166"/>
      <c r="I60" s="174"/>
      <c r="J60" s="159"/>
      <c r="K60" s="167"/>
      <c r="L60" s="391"/>
      <c r="M60" s="391"/>
      <c r="N60" s="175"/>
      <c r="O60" s="157">
        <f>+O59*N60</f>
        <v>0</v>
      </c>
      <c r="P60" s="157"/>
      <c r="Q60" s="158"/>
    </row>
    <row r="61" spans="1:17" ht="13.8" thickBot="1" x14ac:dyDescent="0.25">
      <c r="B61" s="392" t="s">
        <v>138</v>
      </c>
      <c r="C61" s="392"/>
      <c r="D61" s="178"/>
      <c r="E61" s="173"/>
      <c r="F61" s="177"/>
      <c r="G61" s="141"/>
      <c r="H61" s="166"/>
      <c r="I61" s="174"/>
      <c r="J61" s="159"/>
      <c r="K61" s="393" t="s">
        <v>139</v>
      </c>
      <c r="L61" s="394"/>
      <c r="M61" s="394"/>
      <c r="N61" s="395"/>
      <c r="O61" s="170">
        <f>SUM(O59:O60)</f>
        <v>10162.375663430421</v>
      </c>
      <c r="P61" s="179" t="s">
        <v>140</v>
      </c>
      <c r="Q61" s="158"/>
    </row>
    <row r="62" spans="1:17" ht="13.8" thickBot="1" x14ac:dyDescent="0.25">
      <c r="C62" s="149" t="s">
        <v>141</v>
      </c>
      <c r="D62" s="180"/>
      <c r="E62" s="124" t="s">
        <v>142</v>
      </c>
      <c r="F62" s="181" t="s">
        <v>143</v>
      </c>
      <c r="G62" s="141"/>
      <c r="H62" s="166"/>
      <c r="I62" s="174"/>
      <c r="J62" s="182"/>
      <c r="K62" s="183"/>
      <c r="L62" s="401" t="s">
        <v>144</v>
      </c>
      <c r="M62" s="401"/>
      <c r="N62" s="401"/>
      <c r="O62" s="184">
        <f>+O61/D60</f>
        <v>2540.5939158576052</v>
      </c>
      <c r="P62" s="185">
        <f>+O62/D59</f>
        <v>4.9815566977600101</v>
      </c>
      <c r="Q62" s="186"/>
    </row>
    <row r="63" spans="1:17" ht="13.8" thickBot="1" x14ac:dyDescent="0.25">
      <c r="B63" s="402" t="s">
        <v>129</v>
      </c>
      <c r="C63" s="402"/>
      <c r="D63" s="402"/>
      <c r="E63" s="187">
        <f>+F63/F63</f>
        <v>1</v>
      </c>
      <c r="F63" s="188">
        <f>SUM(F55)</f>
        <v>7526.1379935275081</v>
      </c>
      <c r="G63" s="141">
        <f>+F63/$F$66</f>
        <v>0.85261647577991728</v>
      </c>
      <c r="H63" s="166"/>
      <c r="I63" s="174"/>
      <c r="K63" s="403"/>
      <c r="L63" s="404"/>
      <c r="M63" s="404"/>
      <c r="N63" s="404"/>
      <c r="O63" s="189"/>
      <c r="P63" s="190"/>
    </row>
    <row r="64" spans="1:17" ht="13.8" thickBot="1" x14ac:dyDescent="0.3">
      <c r="B64" s="405" t="s">
        <v>145</v>
      </c>
      <c r="C64" s="405"/>
      <c r="D64" s="405"/>
      <c r="E64" s="191">
        <v>0.02</v>
      </c>
      <c r="F64" s="188">
        <f>+F53*E64</f>
        <v>140.97033398058252</v>
      </c>
      <c r="G64" s="141">
        <f>+F64/$F$66</f>
        <v>1.5970160187257915E-2</v>
      </c>
      <c r="H64" s="152"/>
      <c r="I64" s="174"/>
      <c r="J64" s="192"/>
      <c r="O64" s="193">
        <f>+O62/6</f>
        <v>423.43231930960087</v>
      </c>
      <c r="P64" s="150"/>
    </row>
    <row r="65" spans="2:15" ht="13.8" thickBot="1" x14ac:dyDescent="0.3">
      <c r="B65" s="406" t="s">
        <v>146</v>
      </c>
      <c r="C65" s="407"/>
      <c r="D65" s="194">
        <v>20</v>
      </c>
      <c r="E65" s="195">
        <v>58</v>
      </c>
      <c r="F65" s="188">
        <f>+E65*D65</f>
        <v>1160</v>
      </c>
      <c r="G65" s="141">
        <f>+F65/$F$66</f>
        <v>0.1314133640328248</v>
      </c>
      <c r="H65" s="152"/>
      <c r="I65" s="152"/>
      <c r="J65" s="143"/>
      <c r="O65" s="126">
        <f>+O64/2</f>
        <v>211.71615965480044</v>
      </c>
    </row>
    <row r="66" spans="2:15" ht="13.8" thickBot="1" x14ac:dyDescent="0.3">
      <c r="B66" s="408" t="s">
        <v>147</v>
      </c>
      <c r="C66" s="409"/>
      <c r="D66" s="409"/>
      <c r="E66" s="410"/>
      <c r="F66" s="165">
        <f>SUM(F63:F65)</f>
        <v>8827.108327508091</v>
      </c>
      <c r="G66" s="141">
        <f>+F66/$F$66</f>
        <v>1</v>
      </c>
      <c r="H66" s="389"/>
      <c r="I66" s="152"/>
      <c r="J66" s="143"/>
      <c r="M66" s="126" t="s">
        <v>148</v>
      </c>
    </row>
    <row r="67" spans="2:15" x14ac:dyDescent="0.25">
      <c r="C67" s="147"/>
      <c r="D67" s="147"/>
      <c r="E67" s="197"/>
      <c r="F67" s="188"/>
      <c r="G67" s="141"/>
      <c r="H67" s="389"/>
      <c r="I67" s="196"/>
      <c r="J67" s="126"/>
      <c r="M67" s="126" t="s">
        <v>149</v>
      </c>
    </row>
    <row r="68" spans="2:15" ht="13.8" thickBot="1" x14ac:dyDescent="0.3">
      <c r="B68" s="396" t="s">
        <v>150</v>
      </c>
      <c r="C68" s="396"/>
      <c r="D68" s="396"/>
      <c r="E68" s="396"/>
      <c r="F68" s="396"/>
      <c r="G68" s="141"/>
      <c r="H68" s="199"/>
      <c r="I68" s="196"/>
      <c r="J68" s="126"/>
    </row>
    <row r="69" spans="2:15" ht="13.8" thickBot="1" x14ac:dyDescent="0.3">
      <c r="B69" s="200" t="s">
        <v>151</v>
      </c>
      <c r="C69" s="201">
        <f>+F53</f>
        <v>7048.5166990291264</v>
      </c>
      <c r="D69" s="201">
        <f>+D58</f>
        <v>2040</v>
      </c>
      <c r="E69" s="202">
        <f>+C69/D69</f>
        <v>3.4551552446221208</v>
      </c>
      <c r="F69" s="141"/>
      <c r="G69" s="199"/>
      <c r="H69" s="143"/>
      <c r="I69" s="199"/>
      <c r="J69" s="126"/>
    </row>
    <row r="70" spans="2:15" x14ac:dyDescent="0.25">
      <c r="B70" s="203"/>
      <c r="C70" s="204"/>
      <c r="D70" s="205"/>
      <c r="E70" s="188"/>
      <c r="F70" s="141"/>
      <c r="G70" s="199"/>
      <c r="H70" s="143"/>
      <c r="I70" s="143"/>
      <c r="J70" s="126"/>
    </row>
    <row r="71" spans="2:15" x14ac:dyDescent="0.25">
      <c r="B71" s="200" t="s">
        <v>152</v>
      </c>
      <c r="C71" s="201">
        <f>SUM(F63:F64)</f>
        <v>7667.108327508091</v>
      </c>
      <c r="D71" s="201">
        <f>+D58</f>
        <v>2040</v>
      </c>
      <c r="E71" s="206">
        <f>+C71/D71</f>
        <v>3.7583864350529859</v>
      </c>
      <c r="F71" s="141"/>
      <c r="G71" s="199"/>
      <c r="H71" s="143"/>
      <c r="I71" s="143"/>
      <c r="J71" s="126"/>
    </row>
    <row r="72" spans="2:15" x14ac:dyDescent="0.25">
      <c r="B72" s="200"/>
      <c r="C72" s="201"/>
      <c r="D72" s="201"/>
      <c r="E72" s="206"/>
      <c r="F72" s="141"/>
      <c r="G72" s="199"/>
      <c r="H72" s="143"/>
      <c r="I72" s="143"/>
      <c r="J72" s="126"/>
    </row>
    <row r="73" spans="2:15" ht="13.8" thickBot="1" x14ac:dyDescent="0.3">
      <c r="B73" s="200" t="s">
        <v>153</v>
      </c>
      <c r="C73" s="201">
        <f>+F65</f>
        <v>1160</v>
      </c>
      <c r="D73" s="201">
        <f>+D58</f>
        <v>2040</v>
      </c>
      <c r="E73" s="206">
        <f>+C73/D73</f>
        <v>0.56862745098039214</v>
      </c>
      <c r="F73" s="141"/>
      <c r="G73" s="199"/>
      <c r="H73" s="143"/>
      <c r="I73" s="143"/>
      <c r="J73" s="126"/>
    </row>
    <row r="74" spans="2:15" ht="13.8" thickBot="1" x14ac:dyDescent="0.3">
      <c r="B74" s="200" t="s">
        <v>154</v>
      </c>
      <c r="C74" s="201">
        <f>+F56</f>
        <v>1329.0776699029127</v>
      </c>
      <c r="D74" s="201">
        <f>+D73</f>
        <v>2040</v>
      </c>
      <c r="E74" s="202">
        <f>+C74/D74</f>
        <v>0.65150866171711408</v>
      </c>
      <c r="F74" s="141"/>
      <c r="G74" s="199"/>
      <c r="H74" s="143"/>
      <c r="I74" s="143"/>
      <c r="J74" s="126"/>
    </row>
    <row r="75" spans="2:15" ht="13.8" thickBot="1" x14ac:dyDescent="0.3">
      <c r="B75" s="164"/>
      <c r="C75" s="165"/>
      <c r="D75" s="165"/>
      <c r="E75" s="206"/>
      <c r="F75" s="141"/>
      <c r="G75" s="199"/>
      <c r="H75" s="143"/>
      <c r="I75" s="143"/>
      <c r="J75" s="126"/>
    </row>
    <row r="76" spans="2:15" ht="13.8" thickBot="1" x14ac:dyDescent="0.3">
      <c r="B76" s="200" t="s">
        <v>155</v>
      </c>
      <c r="C76" s="201">
        <f>+F54</f>
        <v>477.62129449838187</v>
      </c>
      <c r="D76" s="201">
        <f>+D74</f>
        <v>2040</v>
      </c>
      <c r="E76" s="202">
        <f>+C76/D76</f>
        <v>0.23412808553842249</v>
      </c>
      <c r="F76" s="141"/>
      <c r="G76" s="199"/>
      <c r="H76" s="143"/>
      <c r="I76" s="143"/>
      <c r="J76" s="143"/>
    </row>
    <row r="77" spans="2:15" ht="13.8" thickBot="1" x14ac:dyDescent="0.3">
      <c r="B77" s="164"/>
      <c r="C77" s="165"/>
      <c r="D77" s="165"/>
      <c r="E77" s="206"/>
      <c r="F77" s="141"/>
      <c r="G77" s="199"/>
      <c r="H77" s="143"/>
      <c r="I77" s="143"/>
    </row>
    <row r="78" spans="2:15" ht="13.8" thickBot="1" x14ac:dyDescent="0.3">
      <c r="B78" s="397" t="s">
        <v>156</v>
      </c>
      <c r="C78" s="398"/>
      <c r="D78" s="399"/>
      <c r="E78" s="202">
        <f>+E69+E74</f>
        <v>4.1066639063392349</v>
      </c>
      <c r="G78" s="141"/>
      <c r="H78" s="199"/>
      <c r="I78" s="143"/>
      <c r="J78" s="206"/>
    </row>
    <row r="79" spans="2:15" x14ac:dyDescent="0.25">
      <c r="I79" s="199"/>
      <c r="J79" s="126"/>
    </row>
    <row r="80" spans="2:15" ht="13.8" thickBot="1" x14ac:dyDescent="0.3">
      <c r="B80" s="396" t="s">
        <v>157</v>
      </c>
      <c r="C80" s="396"/>
      <c r="D80" s="396"/>
      <c r="E80" s="396"/>
      <c r="F80" s="396"/>
      <c r="G80" s="141"/>
      <c r="H80" s="199"/>
      <c r="J80" s="126"/>
    </row>
    <row r="81" spans="1:10" ht="13.8" thickBot="1" x14ac:dyDescent="0.3">
      <c r="B81" s="200" t="s">
        <v>151</v>
      </c>
      <c r="C81" s="201">
        <f>+C69</f>
        <v>7048.5166990291264</v>
      </c>
      <c r="D81" s="201">
        <f>+D60</f>
        <v>4</v>
      </c>
      <c r="E81" s="202">
        <f>+C81/D81</f>
        <v>1762.1291747572816</v>
      </c>
      <c r="F81" s="141"/>
      <c r="G81" s="199"/>
      <c r="H81" s="143"/>
      <c r="I81" s="199"/>
      <c r="J81" s="126"/>
    </row>
    <row r="82" spans="1:10" x14ac:dyDescent="0.25">
      <c r="B82" s="203"/>
      <c r="C82" s="204"/>
      <c r="D82" s="205"/>
      <c r="E82" s="188"/>
      <c r="F82" s="141"/>
      <c r="G82" s="199"/>
      <c r="H82" s="143"/>
      <c r="I82" s="143"/>
      <c r="J82" s="126"/>
    </row>
    <row r="83" spans="1:10" x14ac:dyDescent="0.25">
      <c r="B83" s="200" t="s">
        <v>152</v>
      </c>
      <c r="C83" s="201">
        <f>+C71</f>
        <v>7667.108327508091</v>
      </c>
      <c r="D83" s="201">
        <f>+D60</f>
        <v>4</v>
      </c>
      <c r="E83" s="206">
        <f>+C83/D83</f>
        <v>1916.7770818770227</v>
      </c>
      <c r="F83" s="141"/>
      <c r="G83" s="199"/>
      <c r="H83" s="143"/>
      <c r="I83" s="143"/>
      <c r="J83" s="126"/>
    </row>
    <row r="84" spans="1:10" x14ac:dyDescent="0.25">
      <c r="B84" s="200"/>
      <c r="C84" s="201"/>
      <c r="D84" s="201"/>
      <c r="E84" s="206"/>
      <c r="F84" s="141"/>
      <c r="G84" s="199"/>
      <c r="H84" s="143"/>
      <c r="I84" s="143"/>
      <c r="J84" s="126"/>
    </row>
    <row r="85" spans="1:10" ht="13.8" thickBot="1" x14ac:dyDescent="0.3">
      <c r="B85" s="200" t="s">
        <v>154</v>
      </c>
      <c r="C85" s="201">
        <f>+C73</f>
        <v>1160</v>
      </c>
      <c r="D85" s="201">
        <f>+D60</f>
        <v>4</v>
      </c>
      <c r="E85" s="206">
        <f>+C85/D85</f>
        <v>290</v>
      </c>
      <c r="F85" s="208"/>
      <c r="G85" s="198"/>
      <c r="H85" s="125"/>
      <c r="I85" s="143"/>
    </row>
    <row r="86" spans="1:10" ht="13.8" thickBot="1" x14ac:dyDescent="0.3">
      <c r="B86" s="200" t="s">
        <v>154</v>
      </c>
      <c r="C86" s="201">
        <f>+C74</f>
        <v>1329.0776699029127</v>
      </c>
      <c r="D86" s="201">
        <f>+D85</f>
        <v>4</v>
      </c>
      <c r="E86" s="202">
        <f>+C86/D86</f>
        <v>332.26941747572818</v>
      </c>
      <c r="F86" s="207"/>
      <c r="G86" s="198"/>
      <c r="H86" s="125"/>
      <c r="I86" s="125"/>
    </row>
    <row r="87" spans="1:10" x14ac:dyDescent="0.25">
      <c r="I87" s="125"/>
    </row>
    <row r="88" spans="1:10" x14ac:dyDescent="0.25">
      <c r="A88" s="400"/>
      <c r="B88" s="400"/>
      <c r="C88" s="209"/>
      <c r="D88" s="209"/>
      <c r="E88" s="210"/>
      <c r="G88" s="211"/>
    </row>
    <row r="89" spans="1:10" x14ac:dyDescent="0.25">
      <c r="A89" s="85"/>
      <c r="B89" s="212"/>
      <c r="C89" s="213"/>
      <c r="D89" s="213"/>
      <c r="E89" s="214"/>
      <c r="G89" s="211"/>
    </row>
    <row r="90" spans="1:10" x14ac:dyDescent="0.25">
      <c r="A90" s="85"/>
      <c r="B90" s="212"/>
      <c r="C90" s="215"/>
      <c r="D90" s="215"/>
      <c r="E90" s="85"/>
      <c r="G90" s="211"/>
    </row>
    <row r="91" spans="1:10" x14ac:dyDescent="0.25">
      <c r="A91" s="85"/>
      <c r="B91" s="212"/>
      <c r="C91" s="216"/>
      <c r="D91" s="216"/>
      <c r="E91" s="85"/>
      <c r="G91" s="21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8E082F-3F5D-4A11-851D-077BA54A49A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E5DB58B-6E9D-48A0-B940-C59034ECCC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59B3D-17BD-41DF-8DB5-607EBE401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Premezcla</vt:lpstr>
      <vt:lpstr>COSTO PREMEZCLA </vt:lpstr>
      <vt:lpstr>Batido</vt:lpstr>
      <vt:lpstr>COSTO BATIDO</vt:lpstr>
      <vt:lpstr>COSTO ROSQUETE</vt:lpstr>
      <vt:lpstr>Empaque</vt:lpstr>
      <vt:lpstr>Hoja1</vt:lpstr>
      <vt:lpstr>Costo Empaque </vt:lpstr>
      <vt:lpstr>Hoja1!Área_de_impresión</vt:lpstr>
      <vt:lpstr>Premezcla!Área_de_impresión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2026-01-27T15:55:42Z</cp:lastPrinted>
  <dcterms:created xsi:type="dcterms:W3CDTF">2009-03-11T22:07:15Z</dcterms:created>
  <dcterms:modified xsi:type="dcterms:W3CDTF">2026-05-13T14:42:28Z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
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3" documentId="8_{A4E4CA8B-7ACE-4275-8560-D3C71C500E67}" xr6:coauthVersionLast="47" xr6:coauthVersionMax="47" xr10:uidLastSave="{5A1E8E94-5FAF-45A0-B87F-A2115647DF73}"/>
  <bookViews>
    <workbookView xWindow="-120" yWindow="-120" windowWidth="20730" windowHeight="11040" xr2:uid="{825D2311-C345-472D-B590-0E463750B8D4}"/>
  </bookViews>
  <sheets>
    <sheet name="Hoja1" sheetId="12" r:id="rId1"/>
  </sheets>
  <definedNames>
    <definedName name="_xlnm.Print_Area" localSheetId="0">Hoja1!$A$1:$I$60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2" l="1"/>
  <c r="K34" i="12" l="1"/>
  <c r="D48" i="12"/>
</calcChain>
</file>

<file path=xl/sharedStrings.xml><?xml version="1.0" encoding="utf-8"?>
<sst xmlns="http://schemas.openxmlformats.org/spreadsheetml/2006/main" count="140" uniqueCount="108">
  <si>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</si>
  <si>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</si>
  <si>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</si>
  <si>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</si>
  <si>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</si>
  <si>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</si>
  <si>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</si>
  <si>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</si>
  <si>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</si>
  <si>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</si>
  <si>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</si>
  <si>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</si>
  <si>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</si>
  <si>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</si>
  <si>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</si>
  <si>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</si>
  <si>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</si>
  <si>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</si>
  <si>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</si>
  <si>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</si>
  <si>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</si>
  <si>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</si>
  <si>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</si>
  <si>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</si>
  <si>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</si>
  <si>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</si>
  <si>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</si>
  <si>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</si>
  <si>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LECHES PASTEURIZADA CON AGUA</t>
  </si>
  <si>
    <t>RELLENO DE MANTEQUILLA Y QUESO LIMON</t>
  </si>
  <si>
    <t>AMAPOLA</t>
  </si>
  <si>
    <t>2.- Ditribuir en dos capas de: relleno de mantequilla y queso limon, galleta con chocolate.</t>
  </si>
  <si>
    <t>ud</t>
  </si>
  <si>
    <t>ETIQ.FECHA VENCIMIENTO BLANCO (ROLLO)</t>
  </si>
  <si>
    <t>ETIPLAST</t>
  </si>
  <si>
    <t>min</t>
  </si>
  <si>
    <t>FAS</t>
  </si>
  <si>
    <t>910000003</t>
  </si>
  <si>
    <t>GALLETA VAINILLA BAÑO CHOCO BLANCO KILO</t>
  </si>
  <si>
    <t>AREA QUE PRODUCE:</t>
  </si>
  <si>
    <t xml:space="preserve">AREA QUE EMPACA: </t>
  </si>
  <si>
    <t>Decoración</t>
  </si>
  <si>
    <t>910000018</t>
  </si>
  <si>
    <t xml:space="preserve">CREMA CHANTILLY BEIDGE </t>
  </si>
  <si>
    <t>GALLETA MARIA CON CHOCOLATE BLANCO</t>
  </si>
  <si>
    <t>119000026</t>
  </si>
  <si>
    <t>GANACHE AMARILLO</t>
  </si>
  <si>
    <t>905000105</t>
  </si>
  <si>
    <t>SE00254</t>
  </si>
  <si>
    <t>SE00255</t>
  </si>
  <si>
    <t>SE00077</t>
  </si>
  <si>
    <t>SE00069</t>
  </si>
  <si>
    <t>SE00481</t>
  </si>
  <si>
    <t>MP10357</t>
  </si>
  <si>
    <t>10900060</t>
  </si>
  <si>
    <t>MP10109</t>
  </si>
  <si>
    <t>EM10004</t>
  </si>
  <si>
    <t>MP10007</t>
  </si>
  <si>
    <t>MANJAR LECHE CONDENSADA (PAQ: 6 K)</t>
  </si>
  <si>
    <t>NESTLÉ</t>
  </si>
  <si>
    <t>1952912</t>
  </si>
  <si>
    <t>EM10079</t>
  </si>
  <si>
    <t>CONTENEDOR TRIANGU ALTO (CAJA:200 UND)</t>
  </si>
  <si>
    <t>Uds</t>
  </si>
  <si>
    <t>702077</t>
  </si>
  <si>
    <t>EM10119</t>
  </si>
  <si>
    <t>ETIQ. GENERICA PEQUEÑA V-274 (UND)</t>
  </si>
  <si>
    <t>702007</t>
  </si>
  <si>
    <t>CEMUSA</t>
  </si>
  <si>
    <t>EM10002</t>
  </si>
  <si>
    <t>ETIQ.BLANCA 1 1/4 * 3/4</t>
  </si>
  <si>
    <t>Ud</t>
  </si>
  <si>
    <t xml:space="preserve">702174		</t>
  </si>
  <si>
    <t>EM10135</t>
  </si>
  <si>
    <t>ETIQUETA SELLO SEGURIDAD (ROLLO:1000)</t>
  </si>
  <si>
    <t>MP10011</t>
  </si>
  <si>
    <t>4.- Cortar , Tapar, etiquetar, fechar con nombre, día juliano, fecha de vencimiento y Sticker V-272 Spoon.</t>
  </si>
  <si>
    <t>1.- Partir cada rosquete  en 3 partes, humedecer cada capa con mezcla de tres leches.</t>
  </si>
  <si>
    <t xml:space="preserve">3.- Encremar la torta con crema chantilly Beidge, decorar con galleta con chocolate blanco en el borde, ganache amarillo en el centro tipo espiral. Espolvorear amapola en el centro y colocar 1 cereza en el centro de la porcion  y 1 stick acorde a la fotografia. </t>
  </si>
  <si>
    <t>Figuras</t>
  </si>
  <si>
    <t>Javier Tong, Chef</t>
  </si>
  <si>
    <t>Esteban Cartin, Gte Manufactura</t>
  </si>
  <si>
    <t># Código Netsuite</t>
  </si>
  <si>
    <t>Ensamble</t>
  </si>
  <si>
    <t/>
  </si>
  <si>
    <t>STICK DORADO</t>
  </si>
  <si>
    <t>CHOCOLATE S</t>
  </si>
  <si>
    <t>1/2 UND</t>
  </si>
  <si>
    <t>UNIVERSAL A</t>
  </si>
  <si>
    <t>CEREZA ROJA C/TALLO</t>
  </si>
  <si>
    <t>MAYCA</t>
  </si>
  <si>
    <t>Empaque</t>
  </si>
  <si>
    <t>CONTROL DE CAMBIOS</t>
  </si>
  <si>
    <t>ESP-RE-FIS-011</t>
  </si>
  <si>
    <t xml:space="preserve">2, Se actualiza dato crema de limon </t>
  </si>
  <si>
    <t>60 GRAMOS X CAPA</t>
  </si>
  <si>
    <t>130 GRAMOS X CAPA</t>
  </si>
  <si>
    <t>3/4 TAZA</t>
  </si>
  <si>
    <t>35GRAMOS X CAPA</t>
  </si>
  <si>
    <t>6 ud</t>
  </si>
  <si>
    <t xml:space="preserve">3, Se actualizan datos receta </t>
  </si>
  <si>
    <t>SE00450</t>
  </si>
  <si>
    <t>Rosquete Vainilla Dawn 300g</t>
  </si>
  <si>
    <t>PTI00200 Porcion de Torta Pie de Limon</t>
  </si>
  <si>
    <t xml:space="preserve">4, Se actualiza peso total y peso porción </t>
  </si>
  <si>
    <t>1/8 TAZA</t>
  </si>
  <si>
    <t>5, Se actualiza taza de medida de galleta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</si>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</sst>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0.0000"/>
  </numFmts>
  <fonts count="18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6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3" fillId="0" borderId="0"/>
  </cellStyleXfs>
  <cellXfs count="180">
    <xf numFmtId="0" fontId="0" fillId="0" borderId="0" xfId="0"/>
    <xf numFmtId="0" fontId="9" fillId="2" borderId="1" xfId="11" applyFont="1" applyFill="1" applyBorder="1" applyAlignment="1">
      <alignment horizontal="right"/>
    </xf>
    <xf numFmtId="0" fontId="2" fillId="2" borderId="4" xfId="11" applyFont="1" applyFill="1" applyBorder="1" applyAlignment="1">
      <alignment horizontal="center"/>
    </xf>
    <xf numFmtId="0" fontId="9" fillId="2" borderId="2" xfId="11" applyFont="1" applyFill="1" applyBorder="1" applyAlignment="1">
      <alignment horizontal="right"/>
    </xf>
    <xf numFmtId="49" fontId="2" fillId="2" borderId="3" xfId="11" applyNumberFormat="1" applyFont="1" applyFill="1" applyBorder="1" applyAlignment="1">
      <alignment horizontal="center"/>
    </xf>
    <xf numFmtId="0" fontId="2" fillId="2" borderId="6" xfId="11" applyFont="1" applyFill="1" applyBorder="1" applyAlignment="1">
      <alignment horizontal="right"/>
    </xf>
    <xf numFmtId="0" fontId="2" fillId="2" borderId="2" xfId="11" applyFont="1" applyFill="1" applyBorder="1" applyAlignment="1">
      <alignment horizontal="right"/>
    </xf>
    <xf numFmtId="14" fontId="10" fillId="2" borderId="0" xfId="12" applyNumberFormat="1" applyFont="1" applyFill="1" applyAlignment="1">
      <alignment horizontal="center" vertical="center" wrapText="1"/>
    </xf>
    <xf numFmtId="0" fontId="9" fillId="3" borderId="4" xfId="9" applyFont="1" applyFill="1" applyBorder="1" applyAlignment="1">
      <alignment horizontal="center" vertical="center" wrapText="1"/>
    </xf>
    <xf numFmtId="1" fontId="9" fillId="3" borderId="11" xfId="9" applyNumberFormat="1" applyFont="1" applyFill="1" applyBorder="1" applyAlignment="1">
      <alignment horizontal="center"/>
    </xf>
    <xf numFmtId="1" fontId="9" fillId="3" borderId="11" xfId="9" applyNumberFormat="1" applyFont="1" applyFill="1" applyBorder="1" applyAlignment="1">
      <alignment horizontal="center" wrapText="1"/>
    </xf>
    <xf numFmtId="0" fontId="9" fillId="3" borderId="16" xfId="9" applyFont="1" applyFill="1" applyBorder="1" applyAlignment="1">
      <alignment horizontal="center"/>
    </xf>
    <xf numFmtId="1" fontId="0" fillId="0" borderId="0" xfId="0" applyNumberFormat="1"/>
    <xf numFmtId="0" fontId="2" fillId="2" borderId="25" xfId="11" applyFont="1" applyFill="1" applyBorder="1" applyAlignment="1">
      <alignment horizontal="left"/>
    </xf>
    <xf numFmtId="0" fontId="2" fillId="2" borderId="24" xfId="11" applyFont="1" applyFill="1" applyBorder="1" applyAlignment="1">
      <alignment horizontal="left"/>
    </xf>
    <xf numFmtId="0" fontId="2" fillId="2" borderId="18" xfId="11" applyFont="1" applyFill="1" applyBorder="1" applyAlignment="1">
      <alignment horizontal="left"/>
    </xf>
    <xf numFmtId="0" fontId="5" fillId="2" borderId="0" xfId="12" applyFont="1" applyFill="1" applyAlignment="1">
      <alignment horizontal="right"/>
    </xf>
    <xf numFmtId="0" fontId="10" fillId="2" borderId="33" xfId="12" applyFont="1" applyFill="1" applyBorder="1" applyAlignment="1">
      <alignment horizontal="center"/>
    </xf>
    <xf numFmtId="0" fontId="5" fillId="2" borderId="0" xfId="12" applyFont="1" applyFill="1"/>
    <xf numFmtId="0" fontId="9" fillId="3" borderId="27" xfId="9" applyFont="1" applyFill="1" applyBorder="1" applyAlignment="1">
      <alignment horizontal="center" vertical="center"/>
    </xf>
    <xf numFmtId="0" fontId="9" fillId="3" borderId="15" xfId="9" applyFont="1" applyFill="1" applyBorder="1" applyAlignment="1">
      <alignment horizontal="center" vertical="center"/>
    </xf>
    <xf numFmtId="0" fontId="9" fillId="3" borderId="27" xfId="9" applyFont="1" applyFill="1" applyBorder="1" applyAlignment="1">
      <alignment horizontal="center" vertical="center" wrapText="1"/>
    </xf>
    <xf numFmtId="0" fontId="9" fillId="3" borderId="15" xfId="9" applyFont="1" applyFill="1" applyBorder="1" applyAlignment="1">
      <alignment horizontal="center" vertical="center" wrapText="1"/>
    </xf>
    <xf numFmtId="0" fontId="9" fillId="3" borderId="1" xfId="9" applyFont="1" applyFill="1" applyBorder="1" applyAlignment="1">
      <alignment horizontal="center" vertical="center"/>
    </xf>
    <xf numFmtId="0" fontId="9" fillId="3" borderId="11" xfId="9" applyFont="1" applyFill="1" applyBorder="1" applyAlignment="1">
      <alignment horizontal="center" vertical="center"/>
    </xf>
    <xf numFmtId="14" fontId="2" fillId="2" borderId="14" xfId="11" applyNumberFormat="1" applyFont="1" applyFill="1" applyBorder="1" applyAlignment="1">
      <alignment horizontal="center" vertical="center" wrapText="1"/>
    </xf>
    <xf numFmtId="14" fontId="2" fillId="2" borderId="34" xfId="11" applyNumberFormat="1" applyFont="1" applyFill="1" applyBorder="1" applyAlignment="1">
      <alignment horizontal="center" vertical="center" wrapText="1"/>
    </xf>
    <xf numFmtId="14" fontId="2" fillId="2" borderId="42" xfId="11" applyNumberFormat="1" applyFont="1" applyFill="1" applyBorder="1" applyAlignment="1">
      <alignment horizontal="center" vertical="center" wrapText="1"/>
    </xf>
    <xf numFmtId="0" fontId="2" fillId="2" borderId="35" xfId="11" applyFont="1" applyFill="1" applyBorder="1" applyAlignment="1">
      <alignment horizontal="left"/>
    </xf>
    <xf numFmtId="0" fontId="2" fillId="2" borderId="36" xfId="11" applyFont="1" applyFill="1" applyBorder="1" applyAlignment="1">
      <alignment horizontal="left"/>
    </xf>
    <xf numFmtId="0" fontId="2" fillId="2" borderId="28" xfId="11" applyFont="1" applyFill="1" applyBorder="1" applyAlignment="1">
      <alignment horizontal="left"/>
    </xf>
    <xf numFmtId="0" fontId="2" fillId="2" borderId="21" xfId="11" applyFont="1" applyFill="1" applyBorder="1" applyAlignment="1">
      <alignment horizontal="center"/>
    </xf>
    <xf numFmtId="0" fontId="2" fillId="2" borderId="20" xfId="11" applyFont="1" applyFill="1" applyBorder="1" applyAlignment="1">
      <alignment horizontal="center"/>
    </xf>
    <xf numFmtId="0" fontId="2" fillId="2" borderId="22" xfId="11" applyFont="1" applyFill="1" applyBorder="1" applyAlignment="1">
      <alignment horizontal="center"/>
    </xf>
    <xf numFmtId="0" fontId="2" fillId="2" borderId="0" xfId="11" applyFont="1" applyFill="1" applyAlignment="1">
      <alignment horizontal="center"/>
    </xf>
    <xf numFmtId="0" fontId="2" fillId="2" borderId="29" xfId="11" applyFont="1" applyFill="1" applyBorder="1" applyAlignment="1">
      <alignment horizontal="center"/>
    </xf>
    <xf numFmtId="0" fontId="2" fillId="2" borderId="30" xfId="11" applyFont="1" applyFill="1" applyBorder="1" applyAlignment="1">
      <alignment horizontal="center"/>
    </xf>
    <xf numFmtId="0" fontId="8" fillId="2" borderId="1" xfId="11" applyFont="1" applyFill="1" applyBorder="1" applyAlignment="1">
      <alignment horizontal="center"/>
    </xf>
    <xf numFmtId="0" fontId="8" fillId="2" borderId="13" xfId="11" applyFont="1" applyFill="1" applyBorder="1" applyAlignment="1">
      <alignment horizontal="center"/>
    </xf>
    <xf numFmtId="0" fontId="9" fillId="2" borderId="19" xfId="11" applyFont="1" applyFill="1" applyBorder="1" applyAlignment="1">
      <alignment horizontal="right" vertical="top" wrapText="1"/>
    </xf>
    <xf numFmtId="0" fontId="9" fillId="2" borderId="32" xfId="11" applyFont="1" applyFill="1" applyBorder="1" applyAlignment="1">
      <alignment horizontal="right" vertical="top" wrapText="1"/>
    </xf>
    <xf numFmtId="0" fontId="9" fillId="2" borderId="41" xfId="11" applyFont="1" applyFill="1" applyBorder="1" applyAlignment="1">
      <alignment horizontal="right" vertical="top" wrapText="1"/>
    </xf>
    <xf numFmtId="0" fontId="11" fillId="0" borderId="12" xfId="9" applyFont="1" applyBorder="1" applyAlignment="1">
      <alignment horizontal="center" vertical="center"/>
    </xf>
    <xf numFmtId="0" fontId="11" fillId="0" borderId="18" xfId="9" applyFont="1" applyBorder="1" applyAlignment="1">
      <alignment horizontal="center" vertical="center"/>
    </xf>
    <xf numFmtId="0" fontId="12" fillId="0" borderId="2" xfId="9" applyFont="1" applyBorder="1" applyAlignment="1">
      <alignment vertical="center"/>
    </xf>
    <xf numFmtId="0" fontId="11" fillId="0" borderId="2" xfId="9" applyFont="1" applyBorder="1" applyAlignment="1">
      <alignment horizontal="center" vertical="center"/>
    </xf>
    <xf numFmtId="1" fontId="11" fillId="0" borderId="2" xfId="9" applyNumberFormat="1" applyFont="1" applyBorder="1" applyAlignment="1">
      <alignment horizontal="center"/>
    </xf>
    <xf numFmtId="1" fontId="11" fillId="0" borderId="2" xfId="9" applyNumberFormat="1" applyFont="1" applyBorder="1" applyAlignment="1">
      <alignment horizontal="center" wrapText="1"/>
    </xf>
    <xf numFmtId="0" fontId="13" fillId="0" borderId="3" xfId="9" applyFont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16" fontId="13" fillId="0" borderId="2" xfId="9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 wrapText="1"/>
    </xf>
    <xf numFmtId="49" fontId="13" fillId="0" borderId="2" xfId="9" applyNumberFormat="1" applyFont="1" applyBorder="1"/>
    <xf numFmtId="1" fontId="13" fillId="0" borderId="2" xfId="9" applyNumberFormat="1" applyFont="1" applyBorder="1" applyAlignment="1">
      <alignment horizontal="center"/>
    </xf>
    <xf numFmtId="1" fontId="13" fillId="0" borderId="2" xfId="9" applyNumberFormat="1" applyFont="1" applyBorder="1" applyAlignment="1">
      <alignment horizontal="center" wrapText="1"/>
    </xf>
    <xf numFmtId="1" fontId="13" fillId="0" borderId="6" xfId="9" applyNumberFormat="1" applyFont="1" applyBorder="1" applyAlignment="1">
      <alignment horizontal="center" vertical="center"/>
    </xf>
    <xf numFmtId="2" fontId="13" fillId="0" borderId="6" xfId="9" applyNumberFormat="1" applyFont="1" applyBorder="1" applyAlignment="1">
      <alignment horizontal="center"/>
    </xf>
    <xf numFmtId="2" fontId="13" fillId="0" borderId="2" xfId="9" applyNumberFormat="1" applyFont="1" applyBorder="1" applyAlignment="1">
      <alignment horizontal="center"/>
    </xf>
    <xf numFmtId="0" fontId="14" fillId="0" borderId="2" xfId="10" applyFont="1" applyBorder="1" applyAlignment="1">
      <alignment horizontal="center"/>
    </xf>
    <xf numFmtId="0" fontId="13" fillId="0" borderId="2" xfId="10" applyFont="1" applyBorder="1" applyAlignment="1">
      <alignment horizontal="left"/>
    </xf>
    <xf numFmtId="0" fontId="14" fillId="5" borderId="2" xfId="10" applyFont="1" applyFill="1" applyBorder="1" applyAlignment="1">
      <alignment horizontal="center"/>
    </xf>
    <xf numFmtId="0" fontId="13" fillId="5" borderId="2" xfId="10" applyFont="1" applyFill="1" applyBorder="1" applyAlignment="1">
      <alignment horizontal="left"/>
    </xf>
    <xf numFmtId="16" fontId="13" fillId="5" borderId="2" xfId="9" applyNumberFormat="1" applyFont="1" applyFill="1" applyBorder="1" applyAlignment="1">
      <alignment horizontal="center"/>
    </xf>
    <xf numFmtId="1" fontId="13" fillId="5" borderId="2" xfId="9" applyNumberFormat="1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5" fillId="0" borderId="2" xfId="0" applyFont="1" applyBorder="1"/>
    <xf numFmtId="0" fontId="13" fillId="0" borderId="2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/>
    </xf>
    <xf numFmtId="168" fontId="13" fillId="0" borderId="6" xfId="0" applyNumberFormat="1" applyFont="1" applyBorder="1" applyAlignment="1">
      <alignment horizontal="center" wrapText="1"/>
    </xf>
    <xf numFmtId="0" fontId="13" fillId="0" borderId="2" xfId="10" applyFont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1" fontId="13" fillId="5" borderId="2" xfId="0" applyNumberFormat="1" applyFont="1" applyFill="1" applyBorder="1" applyAlignment="1">
      <alignment horizontal="center"/>
    </xf>
    <xf numFmtId="1" fontId="13" fillId="5" borderId="2" xfId="0" applyNumberFormat="1" applyFont="1" applyFill="1" applyBorder="1" applyAlignment="1">
      <alignment horizontal="center" wrapText="1"/>
    </xf>
    <xf numFmtId="0" fontId="16" fillId="5" borderId="2" xfId="15" applyFont="1" applyFill="1" applyBorder="1" applyAlignment="1">
      <alignment horizontal="center" vertical="center"/>
    </xf>
    <xf numFmtId="0" fontId="11" fillId="5" borderId="2" xfId="0" applyFont="1" applyFill="1" applyBorder="1"/>
    <xf numFmtId="2" fontId="13" fillId="0" borderId="2" xfId="0" applyNumberFormat="1" applyFont="1" applyBorder="1" applyAlignment="1">
      <alignment horizontal="center"/>
    </xf>
    <xf numFmtId="0" fontId="13" fillId="5" borderId="2" xfId="0" applyFont="1" applyFill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6" xfId="9" applyFont="1" applyBorder="1" applyAlignment="1">
      <alignment horizontal="center"/>
    </xf>
    <xf numFmtId="49" fontId="13" fillId="0" borderId="12" xfId="9" applyNumberFormat="1" applyFont="1" applyBorder="1" applyAlignment="1">
      <alignment horizontal="center"/>
    </xf>
    <xf numFmtId="49" fontId="13" fillId="0" borderId="18" xfId="9" applyNumberFormat="1" applyFont="1" applyBorder="1" applyAlignment="1">
      <alignment horizontal="center"/>
    </xf>
    <xf numFmtId="0" fontId="11" fillId="5" borderId="2" xfId="9" applyFont="1" applyFill="1" applyBorder="1" applyAlignment="1">
      <alignment horizontal="left"/>
    </xf>
    <xf numFmtId="0" fontId="13" fillId="0" borderId="2" xfId="9" applyFont="1" applyBorder="1" applyAlignment="1">
      <alignment horizontal="center"/>
    </xf>
    <xf numFmtId="167" fontId="13" fillId="0" borderId="2" xfId="9" applyNumberFormat="1" applyFont="1" applyBorder="1" applyAlignment="1">
      <alignment horizontal="center"/>
    </xf>
    <xf numFmtId="49" fontId="13" fillId="0" borderId="5" xfId="9" applyNumberFormat="1" applyFont="1" applyBorder="1" applyAlignment="1">
      <alignment horizontal="center"/>
    </xf>
    <xf numFmtId="49" fontId="13" fillId="0" borderId="6" xfId="9" applyNumberFormat="1" applyFont="1" applyBorder="1"/>
    <xf numFmtId="0" fontId="13" fillId="0" borderId="24" xfId="0" applyFont="1" applyBorder="1" applyAlignment="1">
      <alignment horizontal="center"/>
    </xf>
    <xf numFmtId="16" fontId="13" fillId="0" borderId="2" xfId="0" applyNumberFormat="1" applyFont="1" applyBorder="1" applyAlignment="1">
      <alignment horizontal="center"/>
    </xf>
    <xf numFmtId="1" fontId="13" fillId="0" borderId="2" xfId="16" applyNumberFormat="1" applyFont="1" applyBorder="1" applyAlignment="1">
      <alignment horizontal="center"/>
    </xf>
    <xf numFmtId="1" fontId="13" fillId="0" borderId="2" xfId="16" applyNumberFormat="1" applyFont="1" applyBorder="1" applyAlignment="1">
      <alignment horizontal="center" wrapText="1"/>
    </xf>
    <xf numFmtId="49" fontId="11" fillId="0" borderId="17" xfId="9" applyNumberFormat="1" applyFont="1" applyBorder="1" applyAlignment="1">
      <alignment horizontal="center"/>
    </xf>
    <xf numFmtId="49" fontId="11" fillId="0" borderId="24" xfId="9" applyNumberFormat="1" applyFont="1" applyBorder="1" applyAlignment="1">
      <alignment horizontal="center"/>
    </xf>
    <xf numFmtId="0" fontId="12" fillId="5" borderId="2" xfId="9" applyFont="1" applyFill="1" applyBorder="1" applyAlignment="1">
      <alignment vertical="center"/>
    </xf>
    <xf numFmtId="0" fontId="11" fillId="0" borderId="18" xfId="9" applyFont="1" applyBorder="1" applyAlignment="1">
      <alignment horizontal="center"/>
    </xf>
    <xf numFmtId="0" fontId="13" fillId="0" borderId="5" xfId="9" applyFont="1" applyBorder="1" applyAlignment="1">
      <alignment horizontal="left"/>
    </xf>
    <xf numFmtId="49" fontId="13" fillId="0" borderId="2" xfId="9" applyNumberFormat="1" applyFont="1" applyBorder="1" applyAlignment="1">
      <alignment horizontal="center"/>
    </xf>
    <xf numFmtId="49" fontId="13" fillId="0" borderId="18" xfId="9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12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3" fillId="0" borderId="15" xfId="9" applyFont="1" applyBorder="1" applyAlignment="1">
      <alignment horizontal="center"/>
    </xf>
    <xf numFmtId="0" fontId="13" fillId="0" borderId="23" xfId="9" applyFont="1" applyBorder="1" applyAlignment="1">
      <alignment horizontal="center"/>
    </xf>
    <xf numFmtId="0" fontId="13" fillId="0" borderId="11" xfId="9" applyFont="1" applyBorder="1"/>
    <xf numFmtId="0" fontId="13" fillId="0" borderId="11" xfId="9" applyFont="1" applyBorder="1" applyAlignment="1">
      <alignment horizontal="center"/>
    </xf>
    <xf numFmtId="1" fontId="13" fillId="0" borderId="11" xfId="9" applyNumberFormat="1" applyFont="1" applyBorder="1" applyAlignment="1">
      <alignment horizontal="center"/>
    </xf>
    <xf numFmtId="1" fontId="13" fillId="0" borderId="11" xfId="9" applyNumberFormat="1" applyFont="1" applyBorder="1" applyAlignment="1">
      <alignment horizontal="center" wrapText="1"/>
    </xf>
    <xf numFmtId="12" fontId="13" fillId="0" borderId="2" xfId="9" applyNumberFormat="1" applyFont="1" applyBorder="1" applyAlignment="1">
      <alignment horizontal="center"/>
    </xf>
    <xf numFmtId="0" fontId="13" fillId="0" borderId="12" xfId="0" applyFont="1" applyBorder="1" applyAlignment="1">
      <alignment horizontal="right"/>
    </xf>
    <xf numFmtId="0" fontId="13" fillId="0" borderId="2" xfId="0" applyFont="1" applyBorder="1" applyAlignment="1">
      <alignment horizontal="center" wrapText="1"/>
    </xf>
    <xf numFmtId="49" fontId="16" fillId="2" borderId="22" xfId="9" applyNumberFormat="1" applyFont="1" applyFill="1" applyBorder="1" applyAlignment="1">
      <alignment horizontal="center" vertical="center"/>
    </xf>
    <xf numFmtId="49" fontId="16" fillId="2" borderId="0" xfId="9" applyNumberFormat="1" applyFont="1" applyFill="1" applyAlignment="1">
      <alignment horizontal="center" vertical="center"/>
    </xf>
    <xf numFmtId="0" fontId="13" fillId="2" borderId="0" xfId="9" applyFont="1" applyFill="1"/>
    <xf numFmtId="1" fontId="13" fillId="2" borderId="0" xfId="9" applyNumberFormat="1" applyFont="1" applyFill="1" applyAlignment="1">
      <alignment horizontal="center"/>
    </xf>
    <xf numFmtId="166" fontId="13" fillId="2" borderId="0" xfId="9" applyNumberFormat="1" applyFont="1" applyFill="1" applyAlignment="1">
      <alignment horizontal="center" wrapText="1"/>
    </xf>
    <xf numFmtId="0" fontId="13" fillId="2" borderId="43" xfId="9" applyFont="1" applyFill="1" applyBorder="1" applyAlignment="1">
      <alignment horizontal="center"/>
    </xf>
    <xf numFmtId="0" fontId="13" fillId="3" borderId="7" xfId="9" applyFont="1" applyFill="1" applyBorder="1" applyAlignment="1">
      <alignment horizontal="center"/>
    </xf>
    <xf numFmtId="0" fontId="13" fillId="3" borderId="8" xfId="9" applyFont="1" applyFill="1" applyBorder="1" applyAlignment="1">
      <alignment horizontal="center"/>
    </xf>
    <xf numFmtId="0" fontId="13" fillId="3" borderId="8" xfId="9" applyFont="1" applyFill="1" applyBorder="1"/>
    <xf numFmtId="0" fontId="11" fillId="3" borderId="8" xfId="9" applyFont="1" applyFill="1" applyBorder="1" applyAlignment="1">
      <alignment horizontal="center"/>
    </xf>
    <xf numFmtId="1" fontId="11" fillId="3" borderId="8" xfId="9" applyNumberFormat="1" applyFont="1" applyFill="1" applyBorder="1" applyAlignment="1">
      <alignment horizontal="center"/>
    </xf>
    <xf numFmtId="166" fontId="13" fillId="3" borderId="8" xfId="9" applyNumberFormat="1" applyFont="1" applyFill="1" applyBorder="1" applyAlignment="1">
      <alignment horizontal="center" wrapText="1"/>
    </xf>
    <xf numFmtId="0" fontId="13" fillId="3" borderId="9" xfId="9" applyFont="1" applyFill="1" applyBorder="1" applyAlignment="1">
      <alignment horizontal="center"/>
    </xf>
    <xf numFmtId="0" fontId="11" fillId="0" borderId="29" xfId="9" applyFont="1" applyBorder="1" applyAlignment="1">
      <alignment horizontal="right"/>
    </xf>
    <xf numFmtId="0" fontId="11" fillId="0" borderId="30" xfId="9" applyFont="1" applyBorder="1" applyAlignment="1">
      <alignment horizontal="right"/>
    </xf>
    <xf numFmtId="0" fontId="11" fillId="0" borderId="5" xfId="9" applyFont="1" applyBorder="1" applyAlignment="1">
      <alignment horizontal="right"/>
    </xf>
    <xf numFmtId="1" fontId="13" fillId="0" borderId="6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66" fontId="13" fillId="0" borderId="6" xfId="9" applyNumberFormat="1" applyFont="1" applyBorder="1" applyAlignment="1">
      <alignment horizontal="right"/>
    </xf>
    <xf numFmtId="0" fontId="13" fillId="2" borderId="10" xfId="9" applyFont="1" applyFill="1" applyBorder="1" applyAlignment="1">
      <alignment horizontal="center"/>
    </xf>
    <xf numFmtId="0" fontId="13" fillId="2" borderId="31" xfId="9" applyFont="1" applyFill="1" applyBorder="1" applyAlignment="1">
      <alignment horizontal="center"/>
    </xf>
    <xf numFmtId="0" fontId="11" fillId="0" borderId="17" xfId="9" applyFont="1" applyBorder="1" applyAlignment="1">
      <alignment horizontal="right"/>
    </xf>
    <xf numFmtId="0" fontId="11" fillId="0" borderId="24" xfId="9" applyFont="1" applyBorder="1" applyAlignment="1">
      <alignment horizontal="right"/>
    </xf>
    <xf numFmtId="0" fontId="11" fillId="0" borderId="18" xfId="9" applyFont="1" applyBorder="1" applyAlignment="1">
      <alignment horizontal="right"/>
    </xf>
    <xf numFmtId="0" fontId="11" fillId="0" borderId="2" xfId="0" applyFont="1" applyBorder="1" applyAlignment="1">
      <alignment horizontal="center"/>
    </xf>
    <xf numFmtId="0" fontId="13" fillId="0" borderId="2" xfId="9" applyFont="1" applyBorder="1" applyAlignment="1">
      <alignment horizontal="right"/>
    </xf>
    <xf numFmtId="166" fontId="13" fillId="0" borderId="25" xfId="9" applyNumberFormat="1" applyFont="1" applyBorder="1" applyAlignment="1">
      <alignment horizontal="center"/>
    </xf>
    <xf numFmtId="166" fontId="13" fillId="0" borderId="26" xfId="9" applyNumberFormat="1" applyFont="1" applyBorder="1" applyAlignment="1">
      <alignment horizontal="center"/>
    </xf>
    <xf numFmtId="166" fontId="13" fillId="0" borderId="25" xfId="9" applyNumberFormat="1" applyFont="1" applyBorder="1" applyAlignment="1">
      <alignment horizontal="right" wrapText="1"/>
    </xf>
    <xf numFmtId="166" fontId="13" fillId="0" borderId="18" xfId="9" applyNumberFormat="1" applyFont="1" applyBorder="1" applyAlignment="1">
      <alignment horizontal="right" wrapText="1"/>
    </xf>
    <xf numFmtId="0" fontId="11" fillId="0" borderId="37" xfId="9" applyFont="1" applyBorder="1" applyAlignment="1">
      <alignment horizontal="right"/>
    </xf>
    <xf numFmtId="0" fontId="11" fillId="0" borderId="38" xfId="9" applyFont="1" applyBorder="1" applyAlignment="1">
      <alignment horizontal="right"/>
    </xf>
    <xf numFmtId="0" fontId="11" fillId="0" borderId="23" xfId="9" applyFont="1" applyBorder="1" applyAlignment="1">
      <alignment horizontal="right"/>
    </xf>
    <xf numFmtId="1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40" xfId="9" applyFont="1" applyBorder="1" applyAlignment="1">
      <alignment horizontal="right"/>
    </xf>
    <xf numFmtId="0" fontId="13" fillId="0" borderId="23" xfId="9" applyFont="1" applyBorder="1" applyAlignment="1">
      <alignment horizontal="right"/>
    </xf>
    <xf numFmtId="166" fontId="13" fillId="0" borderId="40" xfId="9" applyNumberFormat="1" applyFont="1" applyBorder="1" applyAlignment="1">
      <alignment horizontal="center"/>
    </xf>
    <xf numFmtId="166" fontId="13" fillId="0" borderId="39" xfId="9" applyNumberFormat="1" applyFont="1" applyBorder="1" applyAlignment="1">
      <alignment horizontal="center"/>
    </xf>
    <xf numFmtId="0" fontId="13" fillId="0" borderId="29" xfId="9" applyFont="1" applyBorder="1" applyAlignment="1">
      <alignment horizontal="left"/>
    </xf>
    <xf numFmtId="0" fontId="13" fillId="0" borderId="30" xfId="9" applyFont="1" applyBorder="1" applyAlignment="1">
      <alignment horizontal="left"/>
    </xf>
    <xf numFmtId="0" fontId="13" fillId="0" borderId="31" xfId="9" applyFont="1" applyBorder="1" applyAlignment="1">
      <alignment horizontal="left"/>
    </xf>
    <xf numFmtId="0" fontId="13" fillId="0" borderId="29" xfId="9" applyFont="1" applyBorder="1" applyAlignment="1">
      <alignment horizontal="left" wrapText="1"/>
    </xf>
    <xf numFmtId="0" fontId="13" fillId="0" borderId="30" xfId="9" applyFont="1" applyBorder="1" applyAlignment="1">
      <alignment horizontal="left" wrapText="1"/>
    </xf>
    <xf numFmtId="0" fontId="13" fillId="0" borderId="31" xfId="9" applyFont="1" applyBorder="1" applyAlignment="1">
      <alignment horizontal="left" wrapText="1"/>
    </xf>
    <xf numFmtId="0" fontId="13" fillId="0" borderId="37" xfId="9" applyFont="1" applyBorder="1" applyAlignment="1">
      <alignment horizontal="left"/>
    </xf>
    <xf numFmtId="0" fontId="13" fillId="0" borderId="38" xfId="9" applyFont="1" applyBorder="1" applyAlignment="1">
      <alignment horizontal="left"/>
    </xf>
    <xf numFmtId="0" fontId="13" fillId="0" borderId="39" xfId="9" applyFont="1" applyBorder="1" applyAlignment="1">
      <alignment horizontal="left"/>
    </xf>
    <xf numFmtId="0" fontId="13" fillId="0" borderId="37" xfId="0" applyFont="1" applyBorder="1" applyAlignment="1">
      <alignment horizontal="left" wrapText="1"/>
    </xf>
    <xf numFmtId="0" fontId="13" fillId="0" borderId="38" xfId="0" applyFont="1" applyBorder="1" applyAlignment="1">
      <alignment horizontal="left" wrapText="1"/>
    </xf>
    <xf numFmtId="0" fontId="13" fillId="0" borderId="39" xfId="0" applyFont="1" applyBorder="1" applyAlignment="1">
      <alignment horizontal="left" wrapText="1"/>
    </xf>
    <xf numFmtId="0" fontId="11" fillId="6" borderId="44" xfId="11" applyFont="1" applyFill="1" applyBorder="1" applyAlignment="1">
      <alignment horizontal="center"/>
    </xf>
    <xf numFmtId="0" fontId="11" fillId="6" borderId="20" xfId="11" applyFont="1" applyFill="1" applyBorder="1" applyAlignment="1">
      <alignment horizontal="center"/>
    </xf>
    <xf numFmtId="0" fontId="13" fillId="2" borderId="25" xfId="11" applyFont="1" applyFill="1" applyBorder="1" applyAlignment="1">
      <alignment horizontal="left"/>
    </xf>
    <xf numFmtId="0" fontId="13" fillId="2" borderId="24" xfId="11" applyFont="1" applyFill="1" applyBorder="1" applyAlignment="1">
      <alignment horizontal="left"/>
    </xf>
    <xf numFmtId="0" fontId="13" fillId="2" borderId="18" xfId="11" applyFont="1" applyFill="1" applyBorder="1" applyAlignment="1">
      <alignment horizontal="left"/>
    </xf>
    <xf numFmtId="0" fontId="13" fillId="0" borderId="45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0" fontId="11" fillId="3" borderId="7" xfId="9" applyFont="1" applyFill="1" applyBorder="1" applyAlignment="1">
      <alignment horizontal="center"/>
    </xf>
    <xf numFmtId="0" fontId="11" fillId="3" borderId="8" xfId="9" applyFont="1" applyFill="1" applyBorder="1" applyAlignment="1">
      <alignment horizontal="center"/>
    </xf>
    <xf numFmtId="0" fontId="11" fillId="3" borderId="9" xfId="9" applyFont="1" applyFill="1" applyBorder="1" applyAlignment="1">
      <alignment horizontal="center"/>
    </xf>
    <xf numFmtId="1" fontId="13" fillId="0" borderId="0" xfId="0" applyNumberFormat="1" applyFont="1" applyAlignment="1">
      <alignment horizontal="center"/>
    </xf>
    <xf numFmtId="0" fontId="17" fillId="4" borderId="8" xfId="11" applyFont="1" applyFill="1" applyBorder="1" applyAlignment="1">
      <alignment horizontal="center" vertical="center" wrapText="1"/>
    </xf>
    <xf numFmtId="0" fontId="17" fillId="4" borderId="9" xfId="11" applyFont="1" applyFill="1" applyBorder="1" applyAlignment="1">
      <alignment horizontal="center" vertical="center" wrapText="1"/>
    </xf>
  </cellXfs>
  <cellStyles count="17">
    <cellStyle name="Millares [0] 2" xfId="1" xr:uid="{1F4CDB62-29DB-42FE-A004-A12E050CDC49}"/>
    <cellStyle name="Millares [0] 2 2" xfId="2" xr:uid="{73302E8C-AE62-4C2A-BDBA-D497ACE9D328}"/>
    <cellStyle name="Millares [0] 2 2 2" xfId="3" xr:uid="{D840ADAF-BD72-4167-8C94-5AB848984A9A}"/>
    <cellStyle name="Millares [0] 2 3" xfId="4" xr:uid="{BD2289AC-80A6-4080-A019-4EDF28A1427D}"/>
    <cellStyle name="Millares 2" xfId="5" xr:uid="{D49FEDD7-B5C3-422A-A839-DF4F8DE4CCFA}"/>
    <cellStyle name="Millares 2 2" xfId="6" xr:uid="{A374A426-0CC7-400D-A878-484618C2CEEE}"/>
    <cellStyle name="Millares 3" xfId="7" xr:uid="{B86F947D-BEDF-40BB-B077-35D7B3514FB0}"/>
    <cellStyle name="Millares 3 2" xfId="8" xr:uid="{0BD9752D-3461-416B-B2BA-5E670AAB6E46}"/>
    <cellStyle name="Normal" xfId="0" builtinId="0"/>
    <cellStyle name="Normal 2" xfId="9" xr:uid="{2B2F57E6-FE44-4997-BA7A-B57581B6D830}"/>
    <cellStyle name="Normal 3 2" xfId="16" xr:uid="{6765C3FF-867E-48B2-89B9-DBEA19066419}"/>
    <cellStyle name="Normal 5" xfId="10" xr:uid="{F7C7D569-3770-4CA2-BBB3-710283873020}"/>
    <cellStyle name="Normal_CRITERIOS DE EVALUACION PT DE GB" xfId="11" xr:uid="{6B276F91-818D-4987-84D7-7335CFE425F3}"/>
    <cellStyle name="Normal_CRITERIOS DE EVALUACION PT DE GB 2" xfId="12" xr:uid="{7D283B61-385B-457A-A0CE-9629B999493D}"/>
    <cellStyle name="Normal_Torta Mini Chocofresa" xfId="15" xr:uid="{ABAB92F1-4134-400A-802E-DE80156CE789}"/>
    <cellStyle name="Porcentaje 2" xfId="13" xr:uid="{99BD8BE2-D731-4ED6-A9CB-0994DE46CF1C}"/>
    <cellStyle name="Porcentaje 2 2" xfId="14" xr:uid="{59705E6B-81DE-415F-9831-D69E3D34C2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230188</xdr:colOff>
      <xdr:row>0</xdr:row>
      <xdr:rowOff>64821</xdr:rowOff>
    </xdr:from>
    <xdr:to>
      <xdr:col>1</xdr:col>
      <xdr:colOff>1012031</xdr:colOff>
      <xdr:row>4</xdr:row>
      <xdr:rowOff>43067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5A7751A1-199A-49A9-851F-A58DD0E8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88" y="64821"/>
          <a:ext cx="1901031" cy="8950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4F00-FF44-42E2-A9EA-476F913B56A7}">
  <sheetPr>
    <pageSetUpPr fitToPage="1"/>
  </sheetPr>
  <dimension ref="A1:K6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68.42578125" customWidth="1"/>
    <col min="4" max="4" width="24.42578125" customWidth="1"/>
    <col min="5" max="5" width="11.5703125" bestFit="1" customWidth="1"/>
    <col min="7" max="7" width="32.140625" customWidth="1"/>
    <col min="8" max="8" width="17" customWidth="1"/>
    <col min="9" max="9" width="23.42578125" bestFit="1" customWidth="1"/>
  </cols>
  <sheetData>
    <row r="1" spans="1:9" ht="15.75" x14ac:dyDescent="0.25">
      <c r="A1" s="31"/>
      <c r="B1" s="32"/>
      <c r="C1" s="37" t="s">
        <v>24</v>
      </c>
      <c r="D1" s="37"/>
      <c r="E1" s="37"/>
      <c r="F1" s="37"/>
      <c r="G1" s="37"/>
      <c r="H1" s="1" t="s">
        <v>0</v>
      </c>
      <c r="I1" s="2" t="s">
        <v>93</v>
      </c>
    </row>
    <row r="2" spans="1:9" ht="16.5" thickBot="1" x14ac:dyDescent="0.3">
      <c r="A2" s="33"/>
      <c r="B2" s="34"/>
      <c r="C2" s="38" t="s">
        <v>1</v>
      </c>
      <c r="D2" s="38"/>
      <c r="E2" s="38"/>
      <c r="F2" s="38"/>
      <c r="G2" s="38"/>
      <c r="H2" s="3" t="s">
        <v>2</v>
      </c>
      <c r="I2" s="4" t="s">
        <v>107</v>
      </c>
    </row>
    <row r="3" spans="1:9" ht="26.25" thickBot="1" x14ac:dyDescent="0.25">
      <c r="A3" s="33"/>
      <c r="B3" s="34"/>
      <c r="C3" s="178" t="s">
        <v>103</v>
      </c>
      <c r="D3" s="178"/>
      <c r="E3" s="178"/>
      <c r="F3" s="178"/>
      <c r="G3" s="179"/>
      <c r="H3" s="39" t="s">
        <v>3</v>
      </c>
      <c r="I3" s="25">
        <v>45609</v>
      </c>
    </row>
    <row r="4" spans="1:9" ht="13.5" x14ac:dyDescent="0.25">
      <c r="A4" s="33"/>
      <c r="B4" s="34"/>
      <c r="C4" s="5" t="s">
        <v>4</v>
      </c>
      <c r="D4" s="28" t="s">
        <v>80</v>
      </c>
      <c r="E4" s="29"/>
      <c r="F4" s="29"/>
      <c r="G4" s="30"/>
      <c r="H4" s="40"/>
      <c r="I4" s="26"/>
    </row>
    <row r="5" spans="1:9" ht="14.25" thickBot="1" x14ac:dyDescent="0.3">
      <c r="A5" s="35"/>
      <c r="B5" s="36"/>
      <c r="C5" s="6" t="s">
        <v>5</v>
      </c>
      <c r="D5" s="13" t="s">
        <v>81</v>
      </c>
      <c r="E5" s="14"/>
      <c r="F5" s="14"/>
      <c r="G5" s="15"/>
      <c r="H5" s="41"/>
      <c r="I5" s="27"/>
    </row>
    <row r="6" spans="1:9" ht="18.75" thickBot="1" x14ac:dyDescent="0.3">
      <c r="A6" s="16" t="s">
        <v>39</v>
      </c>
      <c r="B6" s="16"/>
      <c r="C6" s="16"/>
      <c r="D6" s="17" t="s">
        <v>79</v>
      </c>
      <c r="E6" s="17"/>
      <c r="F6" s="17"/>
      <c r="G6" s="18" t="s">
        <v>40</v>
      </c>
      <c r="H6" s="18"/>
      <c r="I6" s="7" t="s">
        <v>79</v>
      </c>
    </row>
    <row r="7" spans="1:9" x14ac:dyDescent="0.2">
      <c r="A7" s="19" t="s">
        <v>6</v>
      </c>
      <c r="B7" s="21" t="s">
        <v>82</v>
      </c>
      <c r="C7" s="23" t="s">
        <v>7</v>
      </c>
      <c r="D7" s="23" t="s">
        <v>8</v>
      </c>
      <c r="E7" s="23" t="s">
        <v>9</v>
      </c>
      <c r="F7" s="23"/>
      <c r="G7" s="23" t="s">
        <v>10</v>
      </c>
      <c r="H7" s="23"/>
      <c r="I7" s="8" t="s">
        <v>11</v>
      </c>
    </row>
    <row r="8" spans="1:9" ht="26.25" thickBot="1" x14ac:dyDescent="0.25">
      <c r="A8" s="20"/>
      <c r="B8" s="22"/>
      <c r="C8" s="24"/>
      <c r="D8" s="24"/>
      <c r="E8" s="9" t="s">
        <v>12</v>
      </c>
      <c r="F8" s="10" t="s">
        <v>13</v>
      </c>
      <c r="G8" s="9" t="s">
        <v>12</v>
      </c>
      <c r="H8" s="10" t="s">
        <v>13</v>
      </c>
      <c r="I8" s="11" t="s">
        <v>14</v>
      </c>
    </row>
    <row r="9" spans="1:9" ht="20.25" x14ac:dyDescent="0.3">
      <c r="A9" s="42"/>
      <c r="B9" s="43"/>
      <c r="C9" s="44" t="s">
        <v>83</v>
      </c>
      <c r="D9" s="45"/>
      <c r="E9" s="46"/>
      <c r="F9" s="47"/>
      <c r="G9" s="46"/>
      <c r="H9" s="47"/>
      <c r="I9" s="48"/>
    </row>
    <row r="10" spans="1:9" ht="20.25" x14ac:dyDescent="0.3">
      <c r="A10" s="49"/>
      <c r="B10" s="50" t="s">
        <v>101</v>
      </c>
      <c r="C10" s="51" t="s">
        <v>102</v>
      </c>
      <c r="D10" s="52" t="s">
        <v>36</v>
      </c>
      <c r="E10" s="53">
        <v>375</v>
      </c>
      <c r="F10" s="54" t="s">
        <v>27</v>
      </c>
      <c r="G10" s="53"/>
      <c r="H10" s="50"/>
      <c r="I10" s="48"/>
    </row>
    <row r="11" spans="1:9" ht="20.25" x14ac:dyDescent="0.3">
      <c r="A11" s="50" t="s">
        <v>37</v>
      </c>
      <c r="B11" s="50" t="s">
        <v>48</v>
      </c>
      <c r="C11" s="55" t="s">
        <v>28</v>
      </c>
      <c r="D11" s="52" t="s">
        <v>36</v>
      </c>
      <c r="E11" s="56">
        <v>180</v>
      </c>
      <c r="F11" s="57" t="s">
        <v>27</v>
      </c>
      <c r="G11" s="58" t="s">
        <v>95</v>
      </c>
      <c r="H11" s="51"/>
      <c r="I11" s="48"/>
    </row>
    <row r="12" spans="1:9" ht="20.25" x14ac:dyDescent="0.3">
      <c r="A12" s="50">
        <v>902000032</v>
      </c>
      <c r="B12" s="50" t="s">
        <v>49</v>
      </c>
      <c r="C12" s="55" t="s">
        <v>29</v>
      </c>
      <c r="D12" s="52" t="s">
        <v>36</v>
      </c>
      <c r="E12" s="56">
        <v>250</v>
      </c>
      <c r="F12" s="57" t="s">
        <v>27</v>
      </c>
      <c r="G12" s="59" t="s">
        <v>96</v>
      </c>
      <c r="H12" s="60" t="s">
        <v>97</v>
      </c>
      <c r="I12" s="48"/>
    </row>
    <row r="13" spans="1:9" ht="20.25" x14ac:dyDescent="0.3">
      <c r="A13" s="61">
        <v>911000005</v>
      </c>
      <c r="B13" s="61" t="s">
        <v>50</v>
      </c>
      <c r="C13" s="62" t="s">
        <v>38</v>
      </c>
      <c r="D13" s="52" t="s">
        <v>36</v>
      </c>
      <c r="E13" s="56">
        <v>70</v>
      </c>
      <c r="F13" s="57" t="s">
        <v>27</v>
      </c>
      <c r="G13" s="53" t="s">
        <v>98</v>
      </c>
      <c r="H13" s="50" t="s">
        <v>105</v>
      </c>
      <c r="I13" s="48"/>
    </row>
    <row r="14" spans="1:9" ht="20.25" x14ac:dyDescent="0.3">
      <c r="A14" s="63"/>
      <c r="B14" s="63"/>
      <c r="C14" s="64"/>
      <c r="D14" s="65"/>
      <c r="E14" s="66"/>
      <c r="F14" s="57"/>
      <c r="G14" s="59"/>
      <c r="H14" s="59"/>
      <c r="I14" s="48"/>
    </row>
    <row r="15" spans="1:9" ht="20.25" x14ac:dyDescent="0.3">
      <c r="A15" s="67"/>
      <c r="B15" s="68"/>
      <c r="C15" s="69"/>
      <c r="D15" s="70"/>
      <c r="E15" s="50"/>
      <c r="F15" s="71"/>
      <c r="G15" s="72"/>
      <c r="H15" s="73"/>
      <c r="I15" s="48"/>
    </row>
    <row r="16" spans="1:9" ht="20.25" x14ac:dyDescent="0.3">
      <c r="A16" s="50"/>
      <c r="B16" s="50"/>
      <c r="C16" s="51"/>
      <c r="D16" s="74"/>
      <c r="E16" s="75"/>
      <c r="F16" s="76"/>
      <c r="G16" s="72"/>
      <c r="H16" s="73"/>
      <c r="I16" s="48"/>
    </row>
    <row r="17" spans="1:9" ht="20.25" x14ac:dyDescent="0.3">
      <c r="A17" s="77"/>
      <c r="B17" s="77"/>
      <c r="C17" s="78"/>
      <c r="D17" s="74"/>
      <c r="E17" s="75"/>
      <c r="F17" s="76"/>
      <c r="G17" s="72"/>
      <c r="H17" s="73"/>
      <c r="I17" s="48"/>
    </row>
    <row r="18" spans="1:9" ht="20.25" x14ac:dyDescent="0.3">
      <c r="A18" s="79"/>
      <c r="B18" s="50"/>
      <c r="C18" s="80"/>
      <c r="D18" s="74"/>
      <c r="E18" s="75"/>
      <c r="F18" s="76"/>
      <c r="G18" s="72"/>
      <c r="H18" s="73"/>
      <c r="I18" s="48"/>
    </row>
    <row r="19" spans="1:9" ht="20.25" x14ac:dyDescent="0.3">
      <c r="A19" s="50"/>
      <c r="B19" s="50"/>
      <c r="C19" s="51"/>
      <c r="D19" s="74"/>
      <c r="E19" s="75"/>
      <c r="F19" s="76"/>
      <c r="G19" s="72"/>
      <c r="H19" s="73"/>
      <c r="I19" s="48"/>
    </row>
    <row r="20" spans="1:9" ht="20.25" x14ac:dyDescent="0.3">
      <c r="A20" s="81"/>
      <c r="B20" s="81"/>
      <c r="C20" s="82"/>
      <c r="D20" s="74"/>
      <c r="E20" s="75"/>
      <c r="F20" s="76"/>
      <c r="G20" s="72"/>
      <c r="H20" s="73"/>
      <c r="I20" s="48"/>
    </row>
    <row r="21" spans="1:9" ht="20.25" x14ac:dyDescent="0.3">
      <c r="A21" s="50"/>
      <c r="B21" s="50"/>
      <c r="C21" s="51"/>
      <c r="D21" s="52"/>
      <c r="E21" s="56"/>
      <c r="F21" s="57"/>
      <c r="G21" s="59"/>
      <c r="H21" s="73"/>
      <c r="I21" s="48"/>
    </row>
    <row r="22" spans="1:9" ht="20.25" x14ac:dyDescent="0.3">
      <c r="A22" s="50"/>
      <c r="B22" s="50"/>
      <c r="C22" s="80"/>
      <c r="D22" s="56"/>
      <c r="E22" s="56"/>
      <c r="F22" s="57"/>
      <c r="G22" s="46"/>
      <c r="H22" s="83"/>
      <c r="I22" s="48"/>
    </row>
    <row r="23" spans="1:9" ht="20.25" x14ac:dyDescent="0.3">
      <c r="A23" s="84"/>
      <c r="B23" s="85"/>
      <c r="C23" s="86" t="s">
        <v>41</v>
      </c>
      <c r="D23" s="87" t="s">
        <v>84</v>
      </c>
      <c r="E23" s="88"/>
      <c r="F23" s="57"/>
      <c r="G23" s="46"/>
      <c r="H23" s="83"/>
      <c r="I23" s="48"/>
    </row>
    <row r="24" spans="1:9" ht="20.25" x14ac:dyDescent="0.3">
      <c r="A24" s="84" t="s">
        <v>42</v>
      </c>
      <c r="B24" s="89" t="s">
        <v>51</v>
      </c>
      <c r="C24" s="90" t="s">
        <v>43</v>
      </c>
      <c r="D24" s="87" t="s">
        <v>36</v>
      </c>
      <c r="E24" s="66">
        <v>200</v>
      </c>
      <c r="F24" s="57" t="s">
        <v>27</v>
      </c>
      <c r="G24" s="59"/>
      <c r="H24" s="59"/>
      <c r="I24" s="48"/>
    </row>
    <row r="25" spans="1:9" ht="20.25" x14ac:dyDescent="0.3">
      <c r="A25" s="61">
        <v>911000005</v>
      </c>
      <c r="B25" s="61" t="s">
        <v>50</v>
      </c>
      <c r="C25" s="55" t="s">
        <v>44</v>
      </c>
      <c r="D25" s="52" t="s">
        <v>36</v>
      </c>
      <c r="E25" s="56">
        <v>35</v>
      </c>
      <c r="F25" s="57" t="s">
        <v>27</v>
      </c>
      <c r="G25" s="53"/>
      <c r="H25" s="59" t="s">
        <v>105</v>
      </c>
      <c r="I25" s="48"/>
    </row>
    <row r="26" spans="1:9" ht="20.25" x14ac:dyDescent="0.3">
      <c r="A26" s="84" t="s">
        <v>47</v>
      </c>
      <c r="B26" s="85" t="s">
        <v>52</v>
      </c>
      <c r="C26" s="51" t="s">
        <v>46</v>
      </c>
      <c r="D26" s="52" t="s">
        <v>36</v>
      </c>
      <c r="E26" s="56">
        <v>60</v>
      </c>
      <c r="F26" s="57" t="s">
        <v>27</v>
      </c>
      <c r="G26" s="59"/>
      <c r="H26" s="59"/>
      <c r="I26" s="48"/>
    </row>
    <row r="27" spans="1:9" ht="20.25" x14ac:dyDescent="0.3">
      <c r="A27" s="177">
        <v>10700013</v>
      </c>
      <c r="B27" s="81" t="s">
        <v>75</v>
      </c>
      <c r="C27" s="82" t="s">
        <v>85</v>
      </c>
      <c r="D27" s="52" t="s">
        <v>86</v>
      </c>
      <c r="E27" s="56">
        <v>3</v>
      </c>
      <c r="F27" s="57" t="s">
        <v>32</v>
      </c>
      <c r="G27" s="59"/>
      <c r="H27" s="59" t="s">
        <v>87</v>
      </c>
      <c r="I27" s="48"/>
    </row>
    <row r="28" spans="1:9" ht="20.25" x14ac:dyDescent="0.3">
      <c r="A28" s="84" t="s">
        <v>45</v>
      </c>
      <c r="B28" s="85" t="s">
        <v>53</v>
      </c>
      <c r="C28" s="55" t="s">
        <v>30</v>
      </c>
      <c r="D28" s="52" t="s">
        <v>88</v>
      </c>
      <c r="E28" s="88">
        <v>0.2</v>
      </c>
      <c r="F28" s="57" t="s">
        <v>27</v>
      </c>
      <c r="G28" s="59"/>
      <c r="H28" s="59"/>
      <c r="I28" s="48"/>
    </row>
    <row r="29" spans="1:9" ht="20.25" x14ac:dyDescent="0.3">
      <c r="A29" s="91" t="s">
        <v>54</v>
      </c>
      <c r="B29" s="91" t="s">
        <v>55</v>
      </c>
      <c r="C29" s="82" t="s">
        <v>89</v>
      </c>
      <c r="D29" s="52" t="s">
        <v>90</v>
      </c>
      <c r="E29" s="56">
        <v>26</v>
      </c>
      <c r="F29" s="57" t="s">
        <v>27</v>
      </c>
      <c r="G29" s="46"/>
      <c r="H29" s="83" t="s">
        <v>99</v>
      </c>
      <c r="I29" s="48"/>
    </row>
    <row r="30" spans="1:9" ht="20.25" x14ac:dyDescent="0.3">
      <c r="A30" s="50"/>
      <c r="B30" s="50"/>
      <c r="C30" s="80"/>
      <c r="D30" s="92" t="s">
        <v>84</v>
      </c>
      <c r="E30" s="93"/>
      <c r="F30" s="94"/>
      <c r="G30" s="46"/>
      <c r="H30" s="83"/>
      <c r="I30" s="48"/>
    </row>
    <row r="31" spans="1:9" ht="20.25" x14ac:dyDescent="0.3">
      <c r="A31" s="95"/>
      <c r="B31" s="96"/>
      <c r="C31" s="97" t="s">
        <v>91</v>
      </c>
      <c r="D31" s="98" t="s">
        <v>84</v>
      </c>
      <c r="E31" s="46"/>
      <c r="F31" s="47"/>
      <c r="G31" s="46"/>
      <c r="H31" s="83"/>
      <c r="I31" s="48"/>
    </row>
    <row r="32" spans="1:9" ht="20.25" x14ac:dyDescent="0.3">
      <c r="A32" s="87">
        <v>11400066</v>
      </c>
      <c r="B32" s="87" t="s">
        <v>57</v>
      </c>
      <c r="C32" s="99" t="s">
        <v>58</v>
      </c>
      <c r="D32" s="87" t="s">
        <v>59</v>
      </c>
      <c r="E32" s="56">
        <v>30</v>
      </c>
      <c r="F32" s="57" t="s">
        <v>27</v>
      </c>
      <c r="G32" s="72"/>
      <c r="H32" s="83"/>
      <c r="I32" s="48"/>
    </row>
    <row r="33" spans="1:11" ht="20.25" x14ac:dyDescent="0.3">
      <c r="A33" s="100" t="s">
        <v>60</v>
      </c>
      <c r="B33" s="100" t="s">
        <v>61</v>
      </c>
      <c r="C33" s="101" t="s">
        <v>62</v>
      </c>
      <c r="D33" s="87"/>
      <c r="E33" s="56">
        <v>6</v>
      </c>
      <c r="F33" s="57" t="s">
        <v>63</v>
      </c>
      <c r="G33" s="60"/>
      <c r="H33" s="83"/>
      <c r="I33" s="48"/>
    </row>
    <row r="34" spans="1:11" ht="20.25" x14ac:dyDescent="0.3">
      <c r="A34" s="100" t="s">
        <v>64</v>
      </c>
      <c r="B34" s="100" t="s">
        <v>65</v>
      </c>
      <c r="C34" s="101" t="s">
        <v>66</v>
      </c>
      <c r="D34" s="87" t="s">
        <v>34</v>
      </c>
      <c r="E34" s="56">
        <v>6</v>
      </c>
      <c r="F34" s="57" t="s">
        <v>63</v>
      </c>
      <c r="G34" s="46"/>
      <c r="H34" s="83"/>
      <c r="I34" s="48"/>
      <c r="K34" s="12">
        <f>SUM(E10:E32)</f>
        <v>1229.2</v>
      </c>
    </row>
    <row r="35" spans="1:11" ht="20.25" x14ac:dyDescent="0.3">
      <c r="A35" s="100" t="s">
        <v>67</v>
      </c>
      <c r="B35" s="81" t="s">
        <v>56</v>
      </c>
      <c r="C35" s="102" t="s">
        <v>33</v>
      </c>
      <c r="D35" s="87" t="s">
        <v>34</v>
      </c>
      <c r="E35" s="56">
        <v>6</v>
      </c>
      <c r="F35" s="57" t="s">
        <v>63</v>
      </c>
      <c r="G35" s="46"/>
      <c r="H35" s="83"/>
      <c r="I35" s="48"/>
    </row>
    <row r="36" spans="1:11" ht="20.25" x14ac:dyDescent="0.3">
      <c r="A36" s="103">
        <v>702069</v>
      </c>
      <c r="B36" s="104" t="s">
        <v>69</v>
      </c>
      <c r="C36" s="105" t="s">
        <v>70</v>
      </c>
      <c r="D36" s="50" t="s">
        <v>68</v>
      </c>
      <c r="E36" s="53">
        <v>6</v>
      </c>
      <c r="F36" s="54" t="s">
        <v>63</v>
      </c>
      <c r="G36" s="46"/>
      <c r="H36" s="83"/>
      <c r="I36" s="48"/>
    </row>
    <row r="37" spans="1:11" ht="21" thickBot="1" x14ac:dyDescent="0.35">
      <c r="A37" s="106" t="s">
        <v>72</v>
      </c>
      <c r="B37" s="107" t="s">
        <v>73</v>
      </c>
      <c r="C37" s="108" t="s">
        <v>74</v>
      </c>
      <c r="D37" s="109" t="s">
        <v>34</v>
      </c>
      <c r="E37" s="110">
        <v>6</v>
      </c>
      <c r="F37" s="111" t="s">
        <v>71</v>
      </c>
      <c r="G37" s="112"/>
      <c r="H37" s="83"/>
      <c r="I37" s="48"/>
    </row>
    <row r="38" spans="1:11" ht="21" thickBot="1" x14ac:dyDescent="0.35">
      <c r="A38" s="106"/>
      <c r="B38" s="107"/>
      <c r="C38" s="108"/>
      <c r="D38" s="109"/>
      <c r="E38" s="110"/>
      <c r="F38" s="111"/>
      <c r="G38" s="56"/>
      <c r="H38" s="83"/>
      <c r="I38" s="48"/>
    </row>
    <row r="39" spans="1:11" ht="20.25" x14ac:dyDescent="0.3">
      <c r="A39" s="113"/>
      <c r="B39" s="50"/>
      <c r="C39" s="51"/>
      <c r="D39" s="51"/>
      <c r="E39" s="114"/>
      <c r="F39" s="114"/>
      <c r="G39" s="56"/>
      <c r="H39" s="83"/>
      <c r="I39" s="48"/>
    </row>
    <row r="40" spans="1:11" ht="20.25" x14ac:dyDescent="0.3">
      <c r="A40" s="50"/>
      <c r="B40" s="81"/>
      <c r="C40" s="51"/>
      <c r="D40" s="50"/>
      <c r="E40" s="53"/>
      <c r="F40" s="54"/>
      <c r="G40" s="56"/>
      <c r="H40" s="87"/>
      <c r="I40" s="48"/>
      <c r="K40">
        <f>D47*6</f>
        <v>918</v>
      </c>
    </row>
    <row r="41" spans="1:11" ht="20.25" x14ac:dyDescent="0.3">
      <c r="A41" s="84"/>
      <c r="B41" s="85"/>
      <c r="C41" s="55"/>
      <c r="D41" s="87"/>
      <c r="E41" s="87"/>
      <c r="F41" s="57"/>
      <c r="G41" s="87"/>
      <c r="H41" s="87"/>
      <c r="I41" s="48"/>
    </row>
    <row r="42" spans="1:11" ht="21" thickBot="1" x14ac:dyDescent="0.35">
      <c r="A42" s="115"/>
      <c r="B42" s="116"/>
      <c r="C42" s="117"/>
      <c r="D42" s="117"/>
      <c r="E42" s="118"/>
      <c r="F42" s="119"/>
      <c r="G42" s="117"/>
      <c r="H42" s="117"/>
      <c r="I42" s="120"/>
    </row>
    <row r="43" spans="1:11" ht="21" thickBot="1" x14ac:dyDescent="0.35">
      <c r="A43" s="121"/>
      <c r="B43" s="122"/>
      <c r="C43" s="123"/>
      <c r="D43" s="124" t="s">
        <v>12</v>
      </c>
      <c r="E43" s="125" t="s">
        <v>15</v>
      </c>
      <c r="F43" s="126"/>
      <c r="G43" s="123"/>
      <c r="H43" s="123"/>
      <c r="I43" s="127"/>
    </row>
    <row r="44" spans="1:11" ht="20.25" x14ac:dyDescent="0.3">
      <c r="A44" s="128" t="s">
        <v>16</v>
      </c>
      <c r="B44" s="129"/>
      <c r="C44" s="130"/>
      <c r="D44" s="131">
        <v>918</v>
      </c>
      <c r="E44" s="132" t="s">
        <v>27</v>
      </c>
      <c r="F44" s="133" t="s">
        <v>25</v>
      </c>
      <c r="G44" s="133"/>
      <c r="H44" s="134"/>
      <c r="I44" s="135"/>
    </row>
    <row r="45" spans="1:11" ht="20.25" x14ac:dyDescent="0.3">
      <c r="A45" s="136" t="s">
        <v>17</v>
      </c>
      <c r="B45" s="137"/>
      <c r="C45" s="138"/>
      <c r="D45" s="139">
        <v>10</v>
      </c>
      <c r="E45" s="50" t="s">
        <v>35</v>
      </c>
      <c r="F45" s="140" t="s">
        <v>18</v>
      </c>
      <c r="G45" s="140"/>
      <c r="H45" s="141"/>
      <c r="I45" s="142"/>
    </row>
    <row r="46" spans="1:11" ht="20.25" x14ac:dyDescent="0.3">
      <c r="A46" s="136" t="s">
        <v>19</v>
      </c>
      <c r="B46" s="137"/>
      <c r="C46" s="138"/>
      <c r="D46" s="50">
        <v>6</v>
      </c>
      <c r="E46" s="50" t="s">
        <v>32</v>
      </c>
      <c r="F46" s="140" t="s">
        <v>26</v>
      </c>
      <c r="G46" s="140"/>
      <c r="H46" s="141"/>
      <c r="I46" s="142"/>
    </row>
    <row r="47" spans="1:11" ht="20.25" x14ac:dyDescent="0.3">
      <c r="A47" s="136" t="s">
        <v>20</v>
      </c>
      <c r="B47" s="137"/>
      <c r="C47" s="138"/>
      <c r="D47" s="50">
        <v>153</v>
      </c>
      <c r="E47" s="50" t="s">
        <v>27</v>
      </c>
      <c r="F47" s="143" t="s">
        <v>21</v>
      </c>
      <c r="G47" s="144"/>
      <c r="H47" s="141"/>
      <c r="I47" s="142"/>
    </row>
    <row r="48" spans="1:11" ht="21" thickBot="1" x14ac:dyDescent="0.35">
      <c r="A48" s="145" t="s">
        <v>22</v>
      </c>
      <c r="B48" s="146"/>
      <c r="C48" s="147"/>
      <c r="D48" s="148">
        <f>SUM(E10:E32)-D44</f>
        <v>311.20000000000005</v>
      </c>
      <c r="E48" s="149" t="s">
        <v>27</v>
      </c>
      <c r="F48" s="150"/>
      <c r="G48" s="151"/>
      <c r="H48" s="152"/>
      <c r="I48" s="153"/>
    </row>
    <row r="49" spans="1:9" ht="21" thickBot="1" x14ac:dyDescent="0.35">
      <c r="A49" s="174" t="s">
        <v>23</v>
      </c>
      <c r="B49" s="175"/>
      <c r="C49" s="175"/>
      <c r="D49" s="175"/>
      <c r="E49" s="175"/>
      <c r="F49" s="175"/>
      <c r="G49" s="175"/>
      <c r="H49" s="175"/>
      <c r="I49" s="176"/>
    </row>
    <row r="50" spans="1:9" ht="20.25" x14ac:dyDescent="0.3">
      <c r="A50" s="154" t="s">
        <v>77</v>
      </c>
      <c r="B50" s="155"/>
      <c r="C50" s="155"/>
      <c r="D50" s="155"/>
      <c r="E50" s="155"/>
      <c r="F50" s="155"/>
      <c r="G50" s="155"/>
      <c r="H50" s="155"/>
      <c r="I50" s="156"/>
    </row>
    <row r="51" spans="1:9" ht="20.25" x14ac:dyDescent="0.3">
      <c r="A51" s="154" t="s">
        <v>31</v>
      </c>
      <c r="B51" s="155"/>
      <c r="C51" s="155"/>
      <c r="D51" s="155"/>
      <c r="E51" s="155"/>
      <c r="F51" s="155"/>
      <c r="G51" s="155"/>
      <c r="H51" s="155"/>
      <c r="I51" s="156"/>
    </row>
    <row r="52" spans="1:9" ht="48" customHeight="1" x14ac:dyDescent="0.3">
      <c r="A52" s="157" t="s">
        <v>78</v>
      </c>
      <c r="B52" s="158"/>
      <c r="C52" s="158"/>
      <c r="D52" s="158"/>
      <c r="E52" s="158"/>
      <c r="F52" s="158"/>
      <c r="G52" s="158"/>
      <c r="H52" s="158"/>
      <c r="I52" s="159"/>
    </row>
    <row r="53" spans="1:9" ht="21" thickBot="1" x14ac:dyDescent="0.35">
      <c r="A53" s="160" t="s">
        <v>76</v>
      </c>
      <c r="B53" s="161"/>
      <c r="C53" s="161"/>
      <c r="D53" s="161"/>
      <c r="E53" s="161"/>
      <c r="F53" s="161"/>
      <c r="G53" s="161"/>
      <c r="H53" s="161"/>
      <c r="I53" s="162"/>
    </row>
    <row r="54" spans="1:9" ht="21" thickBot="1" x14ac:dyDescent="0.35">
      <c r="A54" s="163"/>
      <c r="B54" s="164"/>
      <c r="C54" s="164"/>
      <c r="D54" s="164"/>
      <c r="E54" s="164"/>
      <c r="F54" s="164"/>
      <c r="G54" s="164"/>
      <c r="H54" s="164"/>
      <c r="I54" s="165"/>
    </row>
    <row r="55" spans="1:9" ht="21" thickBot="1" x14ac:dyDescent="0.35">
      <c r="A55" s="160"/>
      <c r="B55" s="161"/>
      <c r="C55" s="161"/>
      <c r="D55" s="161"/>
      <c r="E55" s="161"/>
      <c r="F55" s="161"/>
      <c r="G55" s="161"/>
      <c r="H55" s="161"/>
      <c r="I55" s="162"/>
    </row>
    <row r="56" spans="1:9" ht="20.25" x14ac:dyDescent="0.3">
      <c r="A56" s="166" t="s">
        <v>92</v>
      </c>
      <c r="B56" s="167"/>
      <c r="C56" s="167"/>
      <c r="D56" s="167"/>
      <c r="E56" s="167"/>
      <c r="F56" s="167"/>
      <c r="G56" s="167"/>
      <c r="H56" s="167"/>
      <c r="I56" s="167"/>
    </row>
    <row r="57" spans="1:9" ht="20.25" x14ac:dyDescent="0.3">
      <c r="A57" s="168" t="s">
        <v>94</v>
      </c>
      <c r="B57" s="169"/>
      <c r="C57" s="169"/>
      <c r="D57" s="169"/>
      <c r="E57" s="169"/>
      <c r="F57" s="169"/>
      <c r="G57" s="169"/>
      <c r="H57" s="169"/>
      <c r="I57" s="170"/>
    </row>
    <row r="58" spans="1:9" ht="20.25" x14ac:dyDescent="0.3">
      <c r="A58" s="168" t="s">
        <v>100</v>
      </c>
      <c r="B58" s="169"/>
      <c r="C58" s="169"/>
      <c r="D58" s="169"/>
      <c r="E58" s="169"/>
      <c r="F58" s="169"/>
      <c r="G58" s="169"/>
      <c r="H58" s="169"/>
      <c r="I58" s="170"/>
    </row>
    <row r="59" spans="1:9" ht="20.25" x14ac:dyDescent="0.3">
      <c r="A59" s="171" t="s">
        <v>104</v>
      </c>
      <c r="B59" s="171"/>
      <c r="C59" s="171"/>
      <c r="D59" s="171"/>
      <c r="E59" s="171"/>
      <c r="F59" s="171"/>
      <c r="G59" s="171"/>
      <c r="H59" s="171"/>
      <c r="I59" s="171"/>
    </row>
    <row r="60" spans="1:9" ht="20.25" x14ac:dyDescent="0.3">
      <c r="A60" s="172" t="s">
        <v>106</v>
      </c>
      <c r="B60" s="172"/>
      <c r="C60" s="172"/>
      <c r="D60" s="172"/>
      <c r="E60" s="172"/>
      <c r="F60" s="172"/>
      <c r="G60" s="172"/>
      <c r="H60" s="172"/>
      <c r="I60" s="172"/>
    </row>
    <row r="61" spans="1:9" ht="20.25" x14ac:dyDescent="0.3">
      <c r="A61" s="173"/>
      <c r="B61" s="173"/>
      <c r="C61" s="173"/>
      <c r="D61" s="173"/>
      <c r="E61" s="173"/>
      <c r="F61" s="173"/>
      <c r="G61" s="173"/>
      <c r="H61" s="173"/>
      <c r="I61" s="173"/>
    </row>
  </sheetData>
  <mergeCells count="45">
    <mergeCell ref="A59:I59"/>
    <mergeCell ref="A60:I60"/>
    <mergeCell ref="A61:I61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scal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276419-2F7D-475E-BA12-B427D16E3C41}"/>
</file>

<file path=customXml/itemProps2.xml><?xml version="1.0" encoding="utf-8"?>
<ds:datastoreItem xmlns:ds="http://schemas.openxmlformats.org/officeDocument/2006/customXml" ds:itemID="{8CA0D4AB-F0FA-4179-BB99-04B897C3291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27C70CC-C5C0-4970-B896-5FDDFCCE16C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8E43CA3-92D5-4610-8498-26C0EC004D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2025-10-07T22:44:47Z</cp:lastPrinted>
  <dcterms:created xsi:type="dcterms:W3CDTF">2012-05-10T22:32:20Z</dcterms:created>
  <dcterms:modified xsi:type="dcterms:W3CDTF">2025-10-07T22:44:49Z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222400.000000000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
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5" documentId="8_{F45F8BE9-46CC-42C5-A239-8C3083716520}" xr6:coauthVersionLast="47" xr6:coauthVersionMax="47" xr10:uidLastSave="{265F18F6-5748-4D73-813C-03A9A728B15D}"/>
  <bookViews>
    <workbookView xWindow="-120" yWindow="-120" windowWidth="20730" windowHeight="11040" tabRatio="876" firstSheet="6" activeTab="6" xr2:uid="{8E2A4C46-3C1D-4E3D-9E63-18AE9147CB0F}"/>
  </bookViews>
  <sheets>
    <sheet name="Batido Actual " sheetId="12" state="hidden" r:id="rId1"/>
    <sheet name="Costo actual Batido" sheetId="8" state="hidden" r:id="rId2"/>
    <sheet name="Premezcla Actual " sheetId="13" state="hidden" r:id="rId3"/>
    <sheet name="Costo actual Premezcla " sheetId="9" state="hidden" r:id="rId4"/>
    <sheet name="Costo Nuevo Batido" sheetId="10" state="hidden" r:id="rId5"/>
    <sheet name="Costo Nuevo batido 2" sheetId="15" state="hidden" r:id="rId6"/>
    <sheet name="Premezcla  Nueva" sheetId="7" r:id="rId7"/>
    <sheet name="Costo Nuevo Premezcla " sheetId="11" state="hidden" r:id="rId8"/>
    <sheet name="Costo Nueva premezcla 2" sheetId="14" state="hidden" r:id="rId9"/>
  </sheets>
  <definedNames>
    <definedName name="_xlnm.Print_Area" localSheetId="6">'Premezcla  Nueva'!$A$1:$I$41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5" l="1"/>
  <c r="L25" i="15" s="1"/>
  <c r="N21" i="15"/>
  <c r="L28" i="14"/>
  <c r="J41" i="14"/>
  <c r="J40" i="14"/>
  <c r="L25" i="14"/>
  <c r="L24" i="14"/>
  <c r="L22" i="14"/>
  <c r="L21" i="14"/>
  <c r="L29" i="14" s="1"/>
  <c r="N29" i="14" s="1"/>
  <c r="J10" i="7"/>
  <c r="J34" i="12"/>
  <c r="J33" i="12"/>
  <c r="K14" i="13"/>
  <c r="K13" i="13"/>
  <c r="K12" i="13"/>
  <c r="K11" i="13"/>
  <c r="J14" i="13"/>
  <c r="J13" i="13"/>
  <c r="J12" i="13"/>
  <c r="J11" i="13"/>
  <c r="J10" i="13"/>
  <c r="K10" i="13"/>
  <c r="K13" i="12"/>
  <c r="K12" i="12"/>
  <c r="K11" i="12"/>
  <c r="K10" i="12"/>
  <c r="J13" i="12"/>
  <c r="J12" i="12"/>
  <c r="J11" i="12"/>
  <c r="J10" i="12"/>
  <c r="L23" i="10"/>
  <c r="J15" i="7"/>
  <c r="L29" i="11"/>
  <c r="N29" i="11"/>
  <c r="L28" i="11"/>
  <c r="L25" i="11" l="1"/>
  <c r="L24" i="11"/>
  <c r="L22" i="11"/>
  <c r="L21" i="11"/>
  <c r="K15" i="7"/>
  <c r="K11" i="7"/>
  <c r="K10" i="7"/>
  <c r="J14" i="7"/>
  <c r="K14" i="7" s="1"/>
  <c r="J13" i="7"/>
  <c r="K13" i="7" s="1"/>
  <c r="J12" i="7"/>
  <c r="K12" i="7" s="1"/>
  <c r="J11" i="7"/>
  <c r="L25" i="10"/>
  <c r="N21" i="10"/>
</calcChain>
</file>

<file path=xl/sharedStrings.xml><?xml version="1.0" encoding="utf-8"?>
<sst xmlns="http://schemas.openxmlformats.org/spreadsheetml/2006/main" count="796" uniqueCount="190">
  <si>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</si>
  <si>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</si>
  <si>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</si>
  <si>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</si>
  <si>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</si>
  <si>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</si>
  <si>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</si>
  <si>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</si>
  <si>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</si>
  <si>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</si>
  <si>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</si>
  <si>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</si>
  <si>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</si>
  <si>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</si>
  <si>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</si>
  <si>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</si>
  <si>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</si>
  <si>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</si>
  <si>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</si>
  <si>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</si>
  <si>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</si>
  <si>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</si>
  <si>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</si>
  <si>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</si>
  <si>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</si>
  <si>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FAS</t>
  </si>
  <si>
    <t>g</t>
  </si>
  <si>
    <t>ud</t>
  </si>
  <si>
    <t>min</t>
  </si>
  <si>
    <t>Batidos</t>
  </si>
  <si>
    <t>1210482</t>
  </si>
  <si>
    <t>HUEVO LIQUIDO ESPECIAL INNOV (CAJA:10 K)</t>
  </si>
  <si>
    <t>INNOVO</t>
  </si>
  <si>
    <t>10415</t>
  </si>
  <si>
    <t>AGUA POTABLE (PLANTA)</t>
  </si>
  <si>
    <t>ACEITE CAPULLO RBD (UND:17 L)</t>
  </si>
  <si>
    <t>CAPULLO</t>
  </si>
  <si>
    <t>1.- Colocar todos los ingredientes en la batidora y batir con paleta.</t>
  </si>
  <si>
    <t>3.- Luego batir por 7 minutos a velocidad 2.</t>
  </si>
  <si>
    <t>4.- Pasar a dosificar.</t>
  </si>
  <si>
    <t>2.- Batir por 3 minutos en velocidad 1.</t>
  </si>
  <si>
    <t>PREMEZCLA EASY QUEQUE CHOCOLATE SP</t>
  </si>
  <si>
    <t>01</t>
  </si>
  <si>
    <t>907000284(SE00431) Batido Easy queque chocolate SP</t>
  </si>
  <si>
    <t>SE00432</t>
  </si>
  <si>
    <t>MP10005</t>
  </si>
  <si>
    <t>MP10002</t>
  </si>
  <si>
    <t>Javier Tong, Chef</t>
  </si>
  <si>
    <t>Esteban Cartin, Gte Manufactura</t>
  </si>
  <si>
    <t># Código Netsuite</t>
  </si>
  <si>
    <t>Ensamble</t>
  </si>
  <si>
    <t/>
  </si>
  <si>
    <t>Tiempo de Horneo:</t>
  </si>
  <si>
    <t>Horno:</t>
  </si>
  <si>
    <t>Temperatura de Horneo:</t>
  </si>
  <si>
    <t>Otros</t>
  </si>
  <si>
    <t>CONTROL DE CAMBIOS</t>
  </si>
  <si>
    <t>ESP-RE-BAF-014</t>
  </si>
  <si>
    <t>ESP-RE-PRES-035</t>
  </si>
  <si>
    <t>906000134(SE00432) Premezcla Easy Queque Chocolate SP</t>
  </si>
  <si>
    <t>Premezclas</t>
  </si>
  <si>
    <t>MP10489</t>
  </si>
  <si>
    <t>EASY QUEQUE CHOCOLATE SP</t>
  </si>
  <si>
    <t>PURATOS</t>
  </si>
  <si>
    <t>510301</t>
  </si>
  <si>
    <t>MP10074</t>
  </si>
  <si>
    <t>AZUCAR BLANCO INDUSTRIAL (SACO:50 K)</t>
  </si>
  <si>
    <t>LAYCA</t>
  </si>
  <si>
    <t>11200072</t>
  </si>
  <si>
    <t>MP10478</t>
  </si>
  <si>
    <t>HARINA SILVER CAKE (SACO: 25K)</t>
  </si>
  <si>
    <t>SILVERCAKE</t>
  </si>
  <si>
    <t>1212410</t>
  </si>
  <si>
    <t>MP10008</t>
  </si>
  <si>
    <t>PRESERVANTE 1047S (PAQ=5 KILO)</t>
  </si>
  <si>
    <t>MAYCA</t>
  </si>
  <si>
    <t>MP10304</t>
  </si>
  <si>
    <t>POLVO HORNEAR FLEISHMAN (PAQ:2.5 K)</t>
  </si>
  <si>
    <t>FLEISHMAN</t>
  </si>
  <si>
    <t>HUEVO EN POLVO</t>
  </si>
  <si>
    <t>EPMARKET</t>
  </si>
  <si>
    <t>Empaque</t>
  </si>
  <si>
    <t>1950708</t>
  </si>
  <si>
    <t>EM10013</t>
  </si>
  <si>
    <t>BOLSA 17x25 TRANSP KILO</t>
  </si>
  <si>
    <t>EM10258</t>
  </si>
  <si>
    <t>BOLSA TRANSP 20x30x2000</t>
  </si>
  <si>
    <t>EM10011</t>
  </si>
  <si>
    <t>ETIQUETA BLANCA 2 5/8X1 15/16 (UND)</t>
  </si>
  <si>
    <t>EM10037</t>
  </si>
  <si>
    <t>BOLSA 8x12 TRANSPARENTE KILO</t>
  </si>
  <si>
    <t>EM10133</t>
  </si>
  <si>
    <t>ETIQUETA ROJA LETRA ALERJENO (UND)</t>
  </si>
  <si>
    <t>tanda</t>
  </si>
  <si>
    <t>1.- En una bolsa 20x30 empacar el nucleo easy queque chocolate sp junto con el harina. Y en una bolsa 17x25 el azucar, y etiquetar ambas bolsas</t>
  </si>
  <si>
    <t>2.- En la otra bolsa 8x12 empacar el preservante, polvo de hornear. Colocar en la misma bolsa del harina.</t>
  </si>
  <si>
    <t>Revision #2: Se adiciona huevo en polvo.</t>
  </si>
  <si>
    <t>FILTROS :</t>
  </si>
  <si>
    <t>SUBSIDIARIA</t>
  </si>
  <si>
    <t>Empresa principal : Servicios de Pastelería S.A.</t>
  </si>
  <si>
    <t>ARTÍCULO</t>
  </si>
  <si>
    <t>SE00431 Batido Chocolate Easy SP</t>
  </si>
  <si>
    <t>UBICACIÓN</t>
  </si>
  <si>
    <t>Bodega Administrativa</t>
  </si>
  <si>
    <t>LISTA DE MATERIALES</t>
  </si>
  <si>
    <t>BOM SE00431</t>
  </si>
  <si>
    <t>CONTROL DE VISUALIZACIÓN</t>
  </si>
  <si>
    <t>Por revisión</t>
  </si>
  <si>
    <t>FECHA/FECHA EFECTIVA</t>
  </si>
  <si>
    <t>01/08/2023</t>
  </si>
  <si>
    <t>REVISIÓN DE LISTA DE MATERIALES</t>
  </si>
  <si>
    <t>REV V1 BOM SE00431</t>
  </si>
  <si>
    <t>POR RUTA DE FABRICACIÓN</t>
  </si>
  <si>
    <t>No</t>
  </si>
  <si>
    <t>RUTA DE FABRICACIÓN</t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</si>
  <si>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</si>
  <si>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</si>
  <si>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</si>
  <si>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</si>
  <si>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</si>
  <si>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</si>
  <si>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</si>
  <si>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</si>
  <si>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CRC1,132.39</t>
  </si>
  <si>
    <t>CRC1,132.39 KILOGRAMOS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</si>
  <si>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</si>
  <si>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</si>
  <si>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</si>
  <si>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</si>
  <si>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</si>
  <si>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</si>
  <si>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</si>
  <si>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</si>
  <si>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</si>
  <si>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</si>
  <si>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</si>
  <si>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Huevo Liquido Refrigerado</t>
  </si>
  <si>
    <t>181.64</t>
  </si>
  <si>
    <t>100%</t>
  </si>
  <si>
    <t>2.2672</t>
  </si>
  <si>
    <t>GRAMOS</t>
  </si>
  <si>
    <t>411.81</t>
  </si>
  <si>
    <t>Aceite Capullo Rbd</t>
  </si>
  <si>
    <t>167.35</t>
  </si>
  <si>
    <t>0.89294118</t>
  </si>
  <si>
    <t>MILILITROS</t>
  </si>
  <si>
    <t>149.43</t>
  </si>
  <si>
    <t>Premezcla Chocolate Easy Sp</t>
  </si>
  <si>
    <t>0.517</t>
  </si>
  <si>
    <t>1,104.7337032</t>
  </si>
  <si>
    <t>KILOGRAMOS</t>
  </si>
  <si>
    <t>571.15</t>
  </si>
  <si>
    <t>SE00432 Premezcla Chocolate Easy Sp</t>
  </si>
  <si>
    <t>BOM SE00432</t>
  </si>
  <si>
    <t>REV V1 BOM SE00432</t>
  </si>
  <si>
    <t>CRC1,104.74</t>
  </si>
  <si>
    <t>CRC1,104.74 KILOGRAMOS</t>
  </si>
  <si>
    <t>Núcleo Chocolate Easy Sp 20%</t>
  </si>
  <si>
    <t>201.58</t>
  </si>
  <si>
    <t>3.52</t>
  </si>
  <si>
    <t>709.56</t>
  </si>
  <si>
    <t>Azucar Blanco Industrial</t>
  </si>
  <si>
    <t>446.64</t>
  </si>
  <si>
    <t>0.43032</t>
  </si>
  <si>
    <t>192.20</t>
  </si>
  <si>
    <t>Harina Silver Cake</t>
  </si>
  <si>
    <t>339.39</t>
  </si>
  <si>
    <t>0.51548</t>
  </si>
  <si>
    <t>174.95</t>
  </si>
  <si>
    <t>Preservante 1047S</t>
  </si>
  <si>
    <t>1.98</t>
  </si>
  <si>
    <t>7.32166</t>
  </si>
  <si>
    <t>14.50</t>
  </si>
  <si>
    <t>Polvo Hornear</t>
  </si>
  <si>
    <t>9.88</t>
  </si>
  <si>
    <t>1.00588</t>
  </si>
  <si>
    <t>9.94</t>
  </si>
  <si>
    <t>Bolsa 17X25 Transparente</t>
  </si>
  <si>
    <t>1.9</t>
  </si>
  <si>
    <t>1.80</t>
  </si>
  <si>
    <t>3.42</t>
  </si>
  <si>
    <t>Etiqueta Blanca 2 5/8X1 15/16</t>
  </si>
  <si>
    <t>0.08</t>
  </si>
  <si>
    <t>2.128</t>
  </si>
  <si>
    <t>0.17</t>
  </si>
  <si>
    <t>Huevo en Polvo</t>
  </si>
  <si>
    <t>Decoración</t>
  </si>
  <si>
    <t>TC ¢ 506</t>
  </si>
  <si>
    <t>MP10769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</si>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</sst>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color indexed="8"/>
      <name val="Century Gothic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7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3" applyNumberFormat="0" applyFill="0" applyAlignment="0" applyProtection="0"/>
    <xf numFmtId="0" fontId="18" fillId="0" borderId="44" applyNumberFormat="0" applyFill="0" applyAlignment="0" applyProtection="0"/>
    <xf numFmtId="0" fontId="19" fillId="0" borderId="45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46" applyNumberFormat="0" applyAlignment="0" applyProtection="0"/>
    <xf numFmtId="0" fontId="24" fillId="10" borderId="47" applyNumberFormat="0" applyAlignment="0" applyProtection="0"/>
    <xf numFmtId="0" fontId="25" fillId="10" borderId="46" applyNumberFormat="0" applyAlignment="0" applyProtection="0"/>
    <xf numFmtId="0" fontId="26" fillId="0" borderId="48" applyNumberFormat="0" applyFill="0" applyAlignment="0" applyProtection="0"/>
    <xf numFmtId="0" fontId="27" fillId="11" borderId="49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1" applyNumberFormat="0" applyFill="0" applyAlignment="0" applyProtection="0"/>
    <xf numFmtId="0" fontId="3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50" applyNumberFormat="0" applyFont="0" applyAlignment="0" applyProtection="0"/>
  </cellStyleXfs>
  <cellXfs count="403">
    <xf numFmtId="0" fontId="0" fillId="0" borderId="0" xfId="0"/>
    <xf numFmtId="0" fontId="2" fillId="2" borderId="2" xfId="2" applyFont="1" applyFill="1" applyBorder="1" applyAlignment="1">
      <alignment horizontal="center"/>
    </xf>
    <xf numFmtId="14" fontId="7" fillId="2" borderId="0" xfId="2" applyNumberFormat="1" applyFont="1" applyFill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10" fillId="2" borderId="1" xfId="2" applyFont="1" applyFill="1" applyBorder="1" applyAlignment="1">
      <alignment horizontal="right"/>
    </xf>
    <xf numFmtId="0" fontId="10" fillId="2" borderId="3" xfId="2" applyFont="1" applyFill="1" applyBorder="1" applyAlignment="1">
      <alignment horizontal="right"/>
    </xf>
    <xf numFmtId="49" fontId="8" fillId="2" borderId="4" xfId="2" applyNumberFormat="1" applyFont="1" applyFill="1" applyBorder="1" applyAlignment="1">
      <alignment horizontal="center"/>
    </xf>
    <xf numFmtId="0" fontId="8" fillId="2" borderId="11" xfId="2" applyFont="1" applyFill="1" applyBorder="1" applyAlignment="1">
      <alignment horizontal="right"/>
    </xf>
    <xf numFmtId="0" fontId="8" fillId="2" borderId="3" xfId="2" applyFont="1" applyFill="1" applyBorder="1" applyAlignment="1">
      <alignment horizontal="right"/>
    </xf>
    <xf numFmtId="0" fontId="10" fillId="3" borderId="2" xfId="1" applyFont="1" applyFill="1" applyBorder="1" applyAlignment="1">
      <alignment horizontal="center" vertical="center" wrapText="1"/>
    </xf>
    <xf numFmtId="1" fontId="10" fillId="3" borderId="5" xfId="1" applyNumberFormat="1" applyFont="1" applyFill="1" applyBorder="1" applyAlignment="1">
      <alignment horizontal="center"/>
    </xf>
    <xf numFmtId="1" fontId="10" fillId="3" borderId="5" xfId="1" applyNumberFormat="1" applyFont="1" applyFill="1" applyBorder="1" applyAlignment="1">
      <alignment horizontal="center" wrapText="1"/>
    </xf>
    <xf numFmtId="0" fontId="10" fillId="3" borderId="14" xfId="1" applyFont="1" applyFill="1" applyBorder="1" applyAlignment="1">
      <alignment horizontal="center"/>
    </xf>
    <xf numFmtId="0" fontId="11" fillId="0" borderId="40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12" fillId="0" borderId="3" xfId="1" applyFont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1" fontId="11" fillId="0" borderId="3" xfId="1" applyNumberFormat="1" applyFont="1" applyBorder="1" applyAlignment="1">
      <alignment horizontal="center"/>
    </xf>
    <xf numFmtId="1" fontId="11" fillId="0" borderId="3" xfId="1" applyNumberFormat="1" applyFont="1" applyBorder="1" applyAlignment="1">
      <alignment horizontal="center" wrapText="1"/>
    </xf>
    <xf numFmtId="0" fontId="13" fillId="0" borderId="4" xfId="1" applyFont="1" applyBorder="1" applyAlignment="1">
      <alignment horizontal="center"/>
    </xf>
    <xf numFmtId="1" fontId="0" fillId="0" borderId="3" xfId="0" applyNumberFormat="1" applyBorder="1"/>
    <xf numFmtId="0" fontId="8" fillId="0" borderId="3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wrapText="1"/>
    </xf>
    <xf numFmtId="12" fontId="8" fillId="0" borderId="11" xfId="0" applyNumberFormat="1" applyFont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1" fontId="13" fillId="0" borderId="3" xfId="1" applyNumberFormat="1" applyFont="1" applyBorder="1" applyAlignment="1">
      <alignment horizontal="center"/>
    </xf>
    <xf numFmtId="0" fontId="8" fillId="0" borderId="3" xfId="0" quotePrefix="1" applyFont="1" applyBorder="1" applyAlignment="1">
      <alignment horizontal="center"/>
    </xf>
    <xf numFmtId="0" fontId="8" fillId="0" borderId="3" xfId="0" quotePrefix="1" applyFont="1" applyBorder="1"/>
    <xf numFmtId="49" fontId="14" fillId="2" borderId="6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8" fillId="2" borderId="0" xfId="1" applyFont="1" applyFill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7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8" fillId="3" borderId="9" xfId="1" applyFont="1" applyFill="1" applyBorder="1" applyAlignment="1">
      <alignment horizontal="center"/>
    </xf>
    <xf numFmtId="0" fontId="8" fillId="3" borderId="9" xfId="1" applyFont="1" applyFill="1" applyBorder="1"/>
    <xf numFmtId="0" fontId="10" fillId="3" borderId="9" xfId="1" applyFont="1" applyFill="1" applyBorder="1" applyAlignment="1">
      <alignment horizontal="center"/>
    </xf>
    <xf numFmtId="1" fontId="10" fillId="3" borderId="9" xfId="1" applyNumberFormat="1" applyFont="1" applyFill="1" applyBorder="1" applyAlignment="1">
      <alignment horizontal="center"/>
    </xf>
    <xf numFmtId="164" fontId="8" fillId="3" borderId="9" xfId="1" applyNumberFormat="1" applyFont="1" applyFill="1" applyBorder="1" applyAlignment="1">
      <alignment horizontal="center" wrapText="1"/>
    </xf>
    <xf numFmtId="0" fontId="8" fillId="3" borderId="10" xfId="1" applyFont="1" applyFill="1" applyBorder="1" applyAlignment="1">
      <alignment horizontal="center"/>
    </xf>
    <xf numFmtId="1" fontId="8" fillId="0" borderId="1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49" fontId="11" fillId="0" borderId="24" xfId="1" applyNumberFormat="1" applyFont="1" applyBorder="1" applyAlignment="1">
      <alignment horizontal="center"/>
    </xf>
    <xf numFmtId="49" fontId="11" fillId="0" borderId="17" xfId="1" applyNumberFormat="1" applyFont="1" applyBorder="1" applyAlignment="1">
      <alignment horizontal="center"/>
    </xf>
    <xf numFmtId="0" fontId="32" fillId="37" borderId="3" xfId="1" applyFont="1" applyFill="1" applyBorder="1" applyAlignment="1">
      <alignment vertical="center"/>
    </xf>
    <xf numFmtId="0" fontId="11" fillId="0" borderId="18" xfId="1" applyFont="1" applyBorder="1" applyAlignment="1">
      <alignment horizontal="center"/>
    </xf>
    <xf numFmtId="165" fontId="11" fillId="0" borderId="3" xfId="1" applyNumberFormat="1" applyFont="1" applyBorder="1" applyAlignment="1">
      <alignment horizontal="center"/>
    </xf>
    <xf numFmtId="49" fontId="13" fillId="0" borderId="40" xfId="0" applyNumberFormat="1" applyFont="1" applyBorder="1" applyAlignment="1">
      <alignment horizontal="center"/>
    </xf>
    <xf numFmtId="49" fontId="13" fillId="0" borderId="18" xfId="0" applyNumberFormat="1" applyFont="1" applyBorder="1" applyAlignment="1">
      <alignment horizontal="center"/>
    </xf>
    <xf numFmtId="49" fontId="33" fillId="0" borderId="3" xfId="0" applyNumberFormat="1" applyFont="1" applyBorder="1"/>
    <xf numFmtId="1" fontId="13" fillId="0" borderId="3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 wrapText="1"/>
    </xf>
    <xf numFmtId="166" fontId="10" fillId="37" borderId="3" xfId="4" applyNumberFormat="1" applyFont="1" applyFill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5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13" fillId="0" borderId="3" xfId="1" applyNumberFormat="1" applyFont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2" fillId="0" borderId="0" xfId="0" applyFont="1"/>
    <xf numFmtId="43" fontId="0" fillId="0" borderId="0" xfId="0" applyNumberFormat="1"/>
    <xf numFmtId="0" fontId="1" fillId="0" borderId="0" xfId="45"/>
    <xf numFmtId="43" fontId="0" fillId="0" borderId="0" xfId="4" applyFont="1"/>
    <xf numFmtId="0" fontId="30" fillId="0" borderId="0" xfId="45" applyFont="1"/>
    <xf numFmtId="0" fontId="0" fillId="0" borderId="18" xfId="0" applyBorder="1" applyAlignment="1">
      <alignment horizontal="center"/>
    </xf>
    <xf numFmtId="49" fontId="13" fillId="0" borderId="40" xfId="1" applyNumberFormat="1" applyFont="1" applyBorder="1" applyAlignment="1">
      <alignment horizontal="center"/>
    </xf>
    <xf numFmtId="49" fontId="13" fillId="0" borderId="18" xfId="1" applyNumberFormat="1" applyFont="1" applyBorder="1" applyAlignment="1">
      <alignment horizontal="center"/>
    </xf>
    <xf numFmtId="0" fontId="37" fillId="37" borderId="3" xfId="1" applyFont="1" applyFill="1" applyBorder="1" applyAlignment="1">
      <alignment horizontal="left"/>
    </xf>
    <xf numFmtId="0" fontId="8" fillId="37" borderId="3" xfId="1" applyFont="1" applyFill="1" applyBorder="1" applyAlignment="1">
      <alignment horizontal="center"/>
    </xf>
    <xf numFmtId="1" fontId="0" fillId="0" borderId="18" xfId="0" applyNumberFormat="1" applyBorder="1"/>
    <xf numFmtId="0" fontId="13" fillId="0" borderId="3" xfId="1" applyFont="1" applyBorder="1" applyAlignment="1">
      <alignment horizontal="center"/>
    </xf>
    <xf numFmtId="165" fontId="13" fillId="0" borderId="3" xfId="1" applyNumberFormat="1" applyFont="1" applyBorder="1" applyAlignment="1">
      <alignment horizontal="center"/>
    </xf>
    <xf numFmtId="1" fontId="13" fillId="0" borderId="3" xfId="1" applyNumberFormat="1" applyFont="1" applyBorder="1" applyAlignment="1">
      <alignment horizontal="center" wrapText="1"/>
    </xf>
    <xf numFmtId="0" fontId="38" fillId="37" borderId="40" xfId="0" applyFont="1" applyFill="1" applyBorder="1" applyAlignment="1">
      <alignment horizontal="center"/>
    </xf>
    <xf numFmtId="0" fontId="38" fillId="37" borderId="15" xfId="0" applyFont="1" applyFill="1" applyBorder="1" applyAlignment="1">
      <alignment horizontal="center"/>
    </xf>
    <xf numFmtId="0" fontId="38" fillId="37" borderId="11" xfId="0" applyFont="1" applyFill="1" applyBorder="1"/>
    <xf numFmtId="0" fontId="8" fillId="37" borderId="18" xfId="0" applyFont="1" applyFill="1" applyBorder="1" applyAlignment="1">
      <alignment horizontal="center"/>
    </xf>
    <xf numFmtId="1" fontId="8" fillId="37" borderId="11" xfId="0" applyNumberFormat="1" applyFont="1" applyFill="1" applyBorder="1" applyAlignment="1">
      <alignment horizontal="center"/>
    </xf>
    <xf numFmtId="1" fontId="8" fillId="37" borderId="11" xfId="0" applyNumberFormat="1" applyFont="1" applyFill="1" applyBorder="1" applyAlignment="1">
      <alignment horizontal="center" wrapText="1"/>
    </xf>
    <xf numFmtId="16" fontId="8" fillId="0" borderId="3" xfId="0" applyNumberFormat="1" applyFont="1" applyBorder="1" applyAlignment="1">
      <alignment horizontal="center"/>
    </xf>
    <xf numFmtId="0" fontId="40" fillId="2" borderId="1" xfId="2" applyFont="1" applyFill="1" applyBorder="1" applyAlignment="1">
      <alignment horizontal="right"/>
    </xf>
    <xf numFmtId="0" fontId="41" fillId="2" borderId="2" xfId="2" applyFont="1" applyFill="1" applyBorder="1" applyAlignment="1">
      <alignment horizontal="center"/>
    </xf>
    <xf numFmtId="0" fontId="40" fillId="2" borderId="3" xfId="2" applyFont="1" applyFill="1" applyBorder="1" applyAlignment="1">
      <alignment horizontal="right"/>
    </xf>
    <xf numFmtId="49" fontId="39" fillId="2" borderId="4" xfId="2" applyNumberFormat="1" applyFont="1" applyFill="1" applyBorder="1" applyAlignment="1">
      <alignment horizontal="center"/>
    </xf>
    <xf numFmtId="0" fontId="39" fillId="2" borderId="11" xfId="2" applyFont="1" applyFill="1" applyBorder="1" applyAlignment="1">
      <alignment horizontal="right"/>
    </xf>
    <xf numFmtId="0" fontId="39" fillId="2" borderId="3" xfId="2" applyFont="1" applyFill="1" applyBorder="1" applyAlignment="1">
      <alignment horizontal="right"/>
    </xf>
    <xf numFmtId="14" fontId="43" fillId="2" borderId="0" xfId="2" applyNumberFormat="1" applyFont="1" applyFill="1" applyAlignment="1">
      <alignment horizontal="center" vertical="center" wrapText="1"/>
    </xf>
    <xf numFmtId="0" fontId="40" fillId="3" borderId="2" xfId="1" applyFont="1" applyFill="1" applyBorder="1" applyAlignment="1">
      <alignment horizontal="center" vertical="center" wrapText="1"/>
    </xf>
    <xf numFmtId="1" fontId="40" fillId="3" borderId="5" xfId="1" applyNumberFormat="1" applyFont="1" applyFill="1" applyBorder="1" applyAlignment="1">
      <alignment horizontal="center"/>
    </xf>
    <xf numFmtId="1" fontId="40" fillId="3" borderId="5" xfId="1" applyNumberFormat="1" applyFont="1" applyFill="1" applyBorder="1" applyAlignment="1">
      <alignment horizontal="center" wrapText="1"/>
    </xf>
    <xf numFmtId="0" fontId="40" fillId="3" borderId="14" xfId="1" applyFont="1" applyFill="1" applyBorder="1" applyAlignment="1">
      <alignment horizontal="center"/>
    </xf>
    <xf numFmtId="0" fontId="44" fillId="0" borderId="40" xfId="1" applyFont="1" applyBorder="1" applyAlignment="1">
      <alignment horizontal="center" vertical="center"/>
    </xf>
    <xf numFmtId="0" fontId="44" fillId="0" borderId="18" xfId="1" applyFont="1" applyBorder="1" applyAlignment="1">
      <alignment horizontal="center" vertical="center"/>
    </xf>
    <xf numFmtId="0" fontId="45" fillId="0" borderId="3" xfId="1" applyFont="1" applyBorder="1" applyAlignment="1">
      <alignment vertical="center"/>
    </xf>
    <xf numFmtId="0" fontId="44" fillId="0" borderId="3" xfId="1" applyFont="1" applyBorder="1" applyAlignment="1">
      <alignment horizontal="center" vertical="center"/>
    </xf>
    <xf numFmtId="1" fontId="44" fillId="0" borderId="3" xfId="1" applyNumberFormat="1" applyFont="1" applyBorder="1" applyAlignment="1">
      <alignment horizontal="center"/>
    </xf>
    <xf numFmtId="1" fontId="44" fillId="0" borderId="3" xfId="1" applyNumberFormat="1" applyFont="1" applyBorder="1" applyAlignment="1">
      <alignment horizontal="center" wrapText="1"/>
    </xf>
    <xf numFmtId="0" fontId="46" fillId="0" borderId="4" xfId="1" applyFont="1" applyBorder="1" applyAlignment="1">
      <alignment horizontal="center"/>
    </xf>
    <xf numFmtId="1" fontId="41" fillId="0" borderId="3" xfId="0" applyNumberFormat="1" applyFont="1" applyBorder="1"/>
    <xf numFmtId="0" fontId="41" fillId="0" borderId="3" xfId="0" applyFont="1" applyBorder="1" applyAlignment="1">
      <alignment horizontal="center"/>
    </xf>
    <xf numFmtId="0" fontId="41" fillId="0" borderId="3" xfId="0" applyFont="1" applyBorder="1"/>
    <xf numFmtId="0" fontId="39" fillId="0" borderId="3" xfId="0" applyFont="1" applyBorder="1" applyAlignment="1">
      <alignment horizontal="center" vertical="center"/>
    </xf>
    <xf numFmtId="1" fontId="39" fillId="0" borderId="3" xfId="0" applyNumberFormat="1" applyFont="1" applyBorder="1" applyAlignment="1">
      <alignment horizontal="center" vertical="center"/>
    </xf>
    <xf numFmtId="1" fontId="39" fillId="0" borderId="3" xfId="0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wrapText="1"/>
    </xf>
    <xf numFmtId="12" fontId="39" fillId="0" borderId="11" xfId="0" applyNumberFormat="1" applyFont="1" applyBorder="1" applyAlignment="1">
      <alignment horizontal="center"/>
    </xf>
    <xf numFmtId="0" fontId="39" fillId="0" borderId="3" xfId="0" applyFont="1" applyBorder="1" applyAlignment="1">
      <alignment horizontal="left" vertical="center"/>
    </xf>
    <xf numFmtId="0" fontId="41" fillId="0" borderId="18" xfId="0" applyFont="1" applyBorder="1" applyAlignment="1">
      <alignment horizontal="center"/>
    </xf>
    <xf numFmtId="0" fontId="46" fillId="0" borderId="3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49" fontId="46" fillId="0" borderId="40" xfId="1" applyNumberFormat="1" applyFont="1" applyBorder="1" applyAlignment="1">
      <alignment horizontal="center"/>
    </xf>
    <xf numFmtId="49" fontId="46" fillId="0" borderId="18" xfId="1" applyNumberFormat="1" applyFont="1" applyBorder="1" applyAlignment="1">
      <alignment horizontal="center"/>
    </xf>
    <xf numFmtId="0" fontId="44" fillId="37" borderId="3" xfId="1" applyFont="1" applyFill="1" applyBorder="1" applyAlignment="1">
      <alignment horizontal="left"/>
    </xf>
    <xf numFmtId="0" fontId="39" fillId="37" borderId="3" xfId="1" applyFont="1" applyFill="1" applyBorder="1" applyAlignment="1">
      <alignment horizontal="center"/>
    </xf>
    <xf numFmtId="1" fontId="41" fillId="0" borderId="18" xfId="0" applyNumberFormat="1" applyFont="1" applyBorder="1"/>
    <xf numFmtId="0" fontId="46" fillId="0" borderId="3" xfId="1" applyFont="1" applyBorder="1" applyAlignment="1">
      <alignment horizontal="center"/>
    </xf>
    <xf numFmtId="165" fontId="46" fillId="0" borderId="3" xfId="1" applyNumberFormat="1" applyFont="1" applyBorder="1" applyAlignment="1">
      <alignment horizontal="center"/>
    </xf>
    <xf numFmtId="1" fontId="46" fillId="0" borderId="3" xfId="1" applyNumberFormat="1" applyFont="1" applyBorder="1" applyAlignment="1">
      <alignment horizontal="center" wrapText="1"/>
    </xf>
    <xf numFmtId="0" fontId="47" fillId="37" borderId="40" xfId="0" applyFont="1" applyFill="1" applyBorder="1" applyAlignment="1">
      <alignment horizontal="center"/>
    </xf>
    <xf numFmtId="0" fontId="47" fillId="37" borderId="15" xfId="0" applyFont="1" applyFill="1" applyBorder="1" applyAlignment="1">
      <alignment horizontal="center"/>
    </xf>
    <xf numFmtId="0" fontId="47" fillId="37" borderId="11" xfId="0" applyFont="1" applyFill="1" applyBorder="1"/>
    <xf numFmtId="0" fontId="39" fillId="37" borderId="18" xfId="0" applyFont="1" applyFill="1" applyBorder="1" applyAlignment="1">
      <alignment horizontal="center"/>
    </xf>
    <xf numFmtId="1" fontId="39" fillId="37" borderId="11" xfId="0" applyNumberFormat="1" applyFont="1" applyFill="1" applyBorder="1" applyAlignment="1">
      <alignment horizontal="center"/>
    </xf>
    <xf numFmtId="1" fontId="39" fillId="37" borderId="11" xfId="0" applyNumberFormat="1" applyFont="1" applyFill="1" applyBorder="1" applyAlignment="1">
      <alignment horizontal="center" wrapText="1"/>
    </xf>
    <xf numFmtId="16" fontId="39" fillId="0" borderId="3" xfId="0" applyNumberFormat="1" applyFont="1" applyBorder="1" applyAlignment="1">
      <alignment horizontal="center"/>
    </xf>
    <xf numFmtId="1" fontId="39" fillId="0" borderId="3" xfId="0" applyNumberFormat="1" applyFont="1" applyBorder="1" applyAlignment="1">
      <alignment horizontal="center"/>
    </xf>
    <xf numFmtId="1" fontId="39" fillId="0" borderId="3" xfId="0" applyNumberFormat="1" applyFont="1" applyBorder="1" applyAlignment="1">
      <alignment horizontal="center" wrapText="1"/>
    </xf>
    <xf numFmtId="49" fontId="44" fillId="0" borderId="24" xfId="1" applyNumberFormat="1" applyFont="1" applyBorder="1" applyAlignment="1">
      <alignment horizontal="center"/>
    </xf>
    <xf numFmtId="49" fontId="44" fillId="0" borderId="17" xfId="1" applyNumberFormat="1" applyFont="1" applyBorder="1" applyAlignment="1">
      <alignment horizontal="center"/>
    </xf>
    <xf numFmtId="0" fontId="45" fillId="37" borderId="3" xfId="1" applyFont="1" applyFill="1" applyBorder="1" applyAlignment="1">
      <alignment vertical="center"/>
    </xf>
    <xf numFmtId="0" fontId="44" fillId="0" borderId="18" xfId="1" applyFont="1" applyBorder="1" applyAlignment="1">
      <alignment horizontal="center"/>
    </xf>
    <xf numFmtId="165" fontId="44" fillId="0" borderId="3" xfId="1" applyNumberFormat="1" applyFont="1" applyBorder="1" applyAlignment="1">
      <alignment horizontal="center"/>
    </xf>
    <xf numFmtId="49" fontId="46" fillId="0" borderId="40" xfId="0" applyNumberFormat="1" applyFont="1" applyBorder="1" applyAlignment="1">
      <alignment horizontal="center"/>
    </xf>
    <xf numFmtId="49" fontId="46" fillId="0" borderId="18" xfId="0" applyNumberFormat="1" applyFont="1" applyBorder="1" applyAlignment="1">
      <alignment horizontal="center"/>
    </xf>
    <xf numFmtId="49" fontId="44" fillId="0" borderId="3" xfId="0" applyNumberFormat="1" applyFont="1" applyBorder="1"/>
    <xf numFmtId="1" fontId="46" fillId="0" borderId="3" xfId="0" applyNumberFormat="1" applyFont="1" applyBorder="1" applyAlignment="1">
      <alignment horizontal="center"/>
    </xf>
    <xf numFmtId="1" fontId="46" fillId="0" borderId="3" xfId="0" applyNumberFormat="1" applyFont="1" applyBorder="1" applyAlignment="1">
      <alignment horizontal="center" wrapText="1"/>
    </xf>
    <xf numFmtId="166" fontId="40" fillId="37" borderId="3" xfId="4" applyNumberFormat="1" applyFont="1" applyFill="1" applyBorder="1" applyAlignment="1">
      <alignment horizontal="center"/>
    </xf>
    <xf numFmtId="0" fontId="48" fillId="0" borderId="40" xfId="0" applyFont="1" applyBorder="1" applyAlignment="1">
      <alignment horizontal="center"/>
    </xf>
    <xf numFmtId="0" fontId="48" fillId="0" borderId="18" xfId="0" applyFont="1" applyBorder="1" applyAlignment="1">
      <alignment horizontal="center"/>
    </xf>
    <xf numFmtId="0" fontId="48" fillId="0" borderId="3" xfId="0" applyFont="1" applyBorder="1"/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left" vertical="center"/>
    </xf>
    <xf numFmtId="12" fontId="46" fillId="0" borderId="3" xfId="1" applyNumberFormat="1" applyFont="1" applyBorder="1" applyAlignment="1">
      <alignment horizontal="center"/>
    </xf>
    <xf numFmtId="1" fontId="46" fillId="0" borderId="3" xfId="1" applyNumberFormat="1" applyFont="1" applyBorder="1" applyAlignment="1">
      <alignment horizontal="center"/>
    </xf>
    <xf numFmtId="0" fontId="39" fillId="0" borderId="3" xfId="0" quotePrefix="1" applyFont="1" applyBorder="1" applyAlignment="1">
      <alignment horizontal="center"/>
    </xf>
    <xf numFmtId="0" fontId="39" fillId="0" borderId="3" xfId="0" quotePrefix="1" applyFont="1" applyBorder="1"/>
    <xf numFmtId="49" fontId="49" fillId="2" borderId="6" xfId="1" applyNumberFormat="1" applyFont="1" applyFill="1" applyBorder="1" applyAlignment="1">
      <alignment horizontal="center" vertical="center"/>
    </xf>
    <xf numFmtId="49" fontId="49" fillId="2" borderId="0" xfId="1" applyNumberFormat="1" applyFont="1" applyFill="1" applyAlignment="1">
      <alignment horizontal="center" vertical="center"/>
    </xf>
    <xf numFmtId="0" fontId="39" fillId="2" borderId="0" xfId="1" applyFont="1" applyFill="1"/>
    <xf numFmtId="1" fontId="39" fillId="2" borderId="0" xfId="1" applyNumberFormat="1" applyFont="1" applyFill="1" applyAlignment="1">
      <alignment horizontal="center"/>
    </xf>
    <xf numFmtId="164" fontId="39" fillId="2" borderId="0" xfId="1" applyNumberFormat="1" applyFont="1" applyFill="1" applyAlignment="1">
      <alignment horizontal="center" wrapText="1"/>
    </xf>
    <xf numFmtId="0" fontId="39" fillId="2" borderId="7" xfId="1" applyFont="1" applyFill="1" applyBorder="1" applyAlignment="1">
      <alignment horizontal="center"/>
    </xf>
    <xf numFmtId="0" fontId="39" fillId="3" borderId="8" xfId="1" applyFont="1" applyFill="1" applyBorder="1" applyAlignment="1">
      <alignment horizontal="center"/>
    </xf>
    <xf numFmtId="0" fontId="39" fillId="3" borderId="9" xfId="1" applyFont="1" applyFill="1" applyBorder="1" applyAlignment="1">
      <alignment horizontal="center"/>
    </xf>
    <xf numFmtId="0" fontId="39" fillId="3" borderId="9" xfId="1" applyFont="1" applyFill="1" applyBorder="1"/>
    <xf numFmtId="0" fontId="40" fillId="3" borderId="9" xfId="1" applyFont="1" applyFill="1" applyBorder="1" applyAlignment="1">
      <alignment horizontal="center"/>
    </xf>
    <xf numFmtId="1" fontId="40" fillId="3" borderId="9" xfId="1" applyNumberFormat="1" applyFont="1" applyFill="1" applyBorder="1" applyAlignment="1">
      <alignment horizontal="center"/>
    </xf>
    <xf numFmtId="164" fontId="39" fillId="3" borderId="9" xfId="1" applyNumberFormat="1" applyFont="1" applyFill="1" applyBorder="1" applyAlignment="1">
      <alignment horizontal="center" wrapText="1"/>
    </xf>
    <xf numFmtId="0" fontId="39" fillId="3" borderId="10" xfId="1" applyFont="1" applyFill="1" applyBorder="1" applyAlignment="1">
      <alignment horizontal="center"/>
    </xf>
    <xf numFmtId="1" fontId="39" fillId="0" borderId="11" xfId="0" applyNumberFormat="1" applyFont="1" applyBorder="1" applyAlignment="1">
      <alignment horizontal="center"/>
    </xf>
    <xf numFmtId="0" fontId="39" fillId="0" borderId="12" xfId="0" applyFont="1" applyBorder="1" applyAlignment="1">
      <alignment horizontal="center"/>
    </xf>
    <xf numFmtId="1" fontId="39" fillId="0" borderId="5" xfId="0" applyNumberFormat="1" applyFont="1" applyBorder="1" applyAlignment="1">
      <alignment horizontal="center"/>
    </xf>
    <xf numFmtId="0" fontId="39" fillId="0" borderId="5" xfId="0" applyFont="1" applyBorder="1" applyAlignment="1">
      <alignment horizontal="center"/>
    </xf>
    <xf numFmtId="1" fontId="0" fillId="0" borderId="0" xfId="0" applyNumberFormat="1"/>
    <xf numFmtId="14" fontId="8" fillId="2" borderId="35" xfId="2" applyNumberFormat="1" applyFont="1" applyFill="1" applyBorder="1" applyAlignment="1">
      <alignment horizontal="center" vertical="center" wrapText="1"/>
    </xf>
    <xf numFmtId="14" fontId="8" fillId="2" borderId="39" xfId="2" applyNumberFormat="1" applyFont="1" applyFill="1" applyBorder="1" applyAlignment="1">
      <alignment horizontal="center" vertical="center" wrapText="1"/>
    </xf>
    <xf numFmtId="14" fontId="8" fillId="2" borderId="13" xfId="2" applyNumberFormat="1" applyFont="1" applyFill="1" applyBorder="1" applyAlignment="1">
      <alignment horizontal="center" vertical="center" wrapText="1"/>
    </xf>
    <xf numFmtId="0" fontId="8" fillId="2" borderId="36" xfId="2" applyFont="1" applyFill="1" applyBorder="1" applyAlignment="1">
      <alignment horizontal="left"/>
    </xf>
    <xf numFmtId="0" fontId="8" fillId="2" borderId="37" xfId="2" applyFont="1" applyFill="1" applyBorder="1" applyAlignment="1">
      <alignment horizontal="left"/>
    </xf>
    <xf numFmtId="0" fontId="8" fillId="2" borderId="38" xfId="2" applyFont="1" applyFill="1" applyBorder="1" applyAlignment="1">
      <alignment horizontal="left"/>
    </xf>
    <xf numFmtId="0" fontId="8" fillId="2" borderId="16" xfId="2" applyFont="1" applyFill="1" applyBorder="1" applyAlignment="1">
      <alignment horizontal="left"/>
    </xf>
    <xf numFmtId="0" fontId="8" fillId="2" borderId="17" xfId="2" applyFont="1" applyFill="1" applyBorder="1" applyAlignment="1">
      <alignment horizontal="left"/>
    </xf>
    <xf numFmtId="0" fontId="8" fillId="2" borderId="18" xfId="2" applyFont="1" applyFill="1" applyBorder="1" applyAlignment="1">
      <alignment horizontal="left"/>
    </xf>
    <xf numFmtId="0" fontId="8" fillId="2" borderId="29" xfId="2" applyFont="1" applyFill="1" applyBorder="1" applyAlignment="1">
      <alignment horizontal="center"/>
    </xf>
    <xf numFmtId="0" fontId="8" fillId="2" borderId="32" xfId="2" applyFont="1" applyFill="1" applyBorder="1" applyAlignment="1">
      <alignment horizontal="center"/>
    </xf>
    <xf numFmtId="0" fontId="8" fillId="2" borderId="6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20" xfId="2" applyFont="1" applyFill="1" applyBorder="1" applyAlignment="1">
      <alignment horizontal="center"/>
    </xf>
    <xf numFmtId="0" fontId="8" fillId="2" borderId="2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2" borderId="28" xfId="2" applyFont="1" applyFill="1" applyBorder="1" applyAlignment="1">
      <alignment horizontal="center"/>
    </xf>
    <xf numFmtId="0" fontId="9" fillId="2" borderId="33" xfId="2" applyFont="1" applyFill="1" applyBorder="1" applyAlignment="1">
      <alignment horizontal="center"/>
    </xf>
    <xf numFmtId="0" fontId="9" fillId="2" borderId="27" xfId="2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 vertical="center" wrapText="1"/>
    </xf>
    <xf numFmtId="0" fontId="6" fillId="4" borderId="18" xfId="2" applyFont="1" applyFill="1" applyBorder="1" applyAlignment="1">
      <alignment horizontal="center" vertical="center" wrapText="1"/>
    </xf>
    <xf numFmtId="0" fontId="10" fillId="2" borderId="34" xfId="2" applyFont="1" applyFill="1" applyBorder="1" applyAlignment="1">
      <alignment horizontal="right" vertical="top" wrapText="1"/>
    </xf>
    <xf numFmtId="0" fontId="10" fillId="2" borderId="30" xfId="2" applyFont="1" applyFill="1" applyBorder="1" applyAlignment="1">
      <alignment horizontal="right" vertical="top" wrapText="1"/>
    </xf>
    <xf numFmtId="0" fontId="10" fillId="2" borderId="31" xfId="2" applyFont="1" applyFill="1" applyBorder="1" applyAlignment="1">
      <alignment horizontal="right" vertical="top" wrapText="1"/>
    </xf>
    <xf numFmtId="0" fontId="4" fillId="2" borderId="0" xfId="2" applyFont="1" applyFill="1" applyAlignment="1">
      <alignment horizontal="right"/>
    </xf>
    <xf numFmtId="0" fontId="7" fillId="2" borderId="19" xfId="2" applyFont="1" applyFill="1" applyBorder="1" applyAlignment="1">
      <alignment horizontal="center"/>
    </xf>
    <xf numFmtId="0" fontId="4" fillId="2" borderId="0" xfId="2" applyFont="1" applyFill="1"/>
    <xf numFmtId="0" fontId="10" fillId="3" borderId="23" xfId="1" applyFont="1" applyFill="1" applyBorder="1" applyAlignment="1">
      <alignment horizontal="center" vertical="center"/>
    </xf>
    <xf numFmtId="0" fontId="10" fillId="3" borderId="26" xfId="1" applyFont="1" applyFill="1" applyBorder="1" applyAlignment="1">
      <alignment horizontal="center" vertical="center"/>
    </xf>
    <xf numFmtId="0" fontId="10" fillId="3" borderId="23" xfId="1" applyFont="1" applyFill="1" applyBorder="1" applyAlignment="1">
      <alignment horizontal="center" vertical="center" wrapText="1"/>
    </xf>
    <xf numFmtId="0" fontId="10" fillId="3" borderId="26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0" fillId="0" borderId="20" xfId="1" applyFont="1" applyBorder="1" applyAlignment="1">
      <alignment horizontal="right"/>
    </xf>
    <xf numFmtId="0" fontId="10" fillId="0" borderId="21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8" fillId="0" borderId="11" xfId="1" applyNumberFormat="1" applyFont="1" applyBorder="1" applyAlignment="1">
      <alignment horizontal="right"/>
    </xf>
    <xf numFmtId="0" fontId="8" fillId="2" borderId="12" xfId="1" applyFont="1" applyFill="1" applyBorder="1" applyAlignment="1">
      <alignment horizontal="center"/>
    </xf>
    <xf numFmtId="0" fontId="8" fillId="2" borderId="22" xfId="1" applyFont="1" applyFill="1" applyBorder="1" applyAlignment="1">
      <alignment horizontal="center"/>
    </xf>
    <xf numFmtId="0" fontId="10" fillId="0" borderId="24" xfId="1" applyFont="1" applyBorder="1" applyAlignment="1">
      <alignment horizontal="right"/>
    </xf>
    <xf numFmtId="0" fontId="10" fillId="0" borderId="17" xfId="1" applyFont="1" applyBorder="1" applyAlignment="1">
      <alignment horizontal="right"/>
    </xf>
    <xf numFmtId="0" fontId="10" fillId="0" borderId="18" xfId="1" applyFont="1" applyBorder="1" applyAlignment="1">
      <alignment horizontal="right"/>
    </xf>
    <xf numFmtId="0" fontId="8" fillId="0" borderId="3" xfId="1" applyFont="1" applyBorder="1" applyAlignment="1">
      <alignment horizontal="right"/>
    </xf>
    <xf numFmtId="164" fontId="8" fillId="0" borderId="16" xfId="1" applyNumberFormat="1" applyFont="1" applyBorder="1" applyAlignment="1">
      <alignment horizontal="center"/>
    </xf>
    <xf numFmtId="164" fontId="8" fillId="0" borderId="25" xfId="1" applyNumberFormat="1" applyFont="1" applyBorder="1" applyAlignment="1">
      <alignment horizontal="center"/>
    </xf>
    <xf numFmtId="164" fontId="8" fillId="0" borderId="16" xfId="1" applyNumberFormat="1" applyFont="1" applyBorder="1" applyAlignment="1">
      <alignment horizontal="right" wrapText="1"/>
    </xf>
    <xf numFmtId="164" fontId="8" fillId="0" borderId="18" xfId="1" applyNumberFormat="1" applyFont="1" applyBorder="1" applyAlignment="1">
      <alignment horizontal="right" wrapText="1"/>
    </xf>
    <xf numFmtId="164" fontId="8" fillId="0" borderId="16" xfId="0" applyNumberFormat="1" applyFont="1" applyBorder="1" applyAlignment="1">
      <alignment horizontal="center" wrapText="1"/>
    </xf>
    <xf numFmtId="164" fontId="8" fillId="0" borderId="25" xfId="0" applyNumberFormat="1" applyFont="1" applyBorder="1" applyAlignment="1">
      <alignment horizontal="center" wrapText="1"/>
    </xf>
    <xf numFmtId="0" fontId="8" fillId="0" borderId="16" xfId="0" applyFont="1" applyBorder="1" applyAlignment="1">
      <alignment horizontal="left" wrapText="1"/>
    </xf>
    <xf numFmtId="0" fontId="8" fillId="0" borderId="17" xfId="0" applyFont="1" applyBorder="1" applyAlignment="1">
      <alignment horizontal="left" wrapText="1"/>
    </xf>
    <xf numFmtId="0" fontId="8" fillId="0" borderId="18" xfId="0" applyFont="1" applyBorder="1" applyAlignment="1">
      <alignment horizontal="left" wrapText="1"/>
    </xf>
    <xf numFmtId="0" fontId="10" fillId="0" borderId="26" xfId="1" applyFont="1" applyBorder="1" applyAlignment="1">
      <alignment horizontal="right"/>
    </xf>
    <xf numFmtId="0" fontId="10" fillId="0" borderId="27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0" fontId="8" fillId="0" borderId="5" xfId="1" applyFont="1" applyBorder="1" applyAlignment="1">
      <alignment horizontal="right"/>
    </xf>
    <xf numFmtId="0" fontId="10" fillId="3" borderId="8" xfId="1" applyFont="1" applyFill="1" applyBorder="1" applyAlignment="1">
      <alignment horizontal="left"/>
    </xf>
    <xf numFmtId="0" fontId="10" fillId="3" borderId="9" xfId="1" applyFont="1" applyFill="1" applyBorder="1" applyAlignment="1">
      <alignment horizontal="left"/>
    </xf>
    <xf numFmtId="0" fontId="10" fillId="3" borderId="10" xfId="1" applyFont="1" applyFill="1" applyBorder="1" applyAlignment="1">
      <alignment horizontal="left"/>
    </xf>
    <xf numFmtId="0" fontId="5" fillId="0" borderId="20" xfId="1" applyFont="1" applyBorder="1" applyAlignment="1">
      <alignment horizontal="left" wrapText="1"/>
    </xf>
    <xf numFmtId="0" fontId="5" fillId="0" borderId="21" xfId="1" applyFont="1" applyBorder="1" applyAlignment="1">
      <alignment horizontal="left" wrapText="1"/>
    </xf>
    <xf numFmtId="0" fontId="5" fillId="0" borderId="22" xfId="1" applyFont="1" applyBorder="1" applyAlignment="1">
      <alignment horizontal="left" wrapText="1"/>
    </xf>
    <xf numFmtId="0" fontId="10" fillId="5" borderId="41" xfId="2" applyFont="1" applyFill="1" applyBorder="1" applyAlignment="1">
      <alignment horizontal="center"/>
    </xf>
    <xf numFmtId="0" fontId="10" fillId="5" borderId="32" xfId="2" applyFont="1" applyFill="1" applyBorder="1" applyAlignment="1">
      <alignment horizontal="center"/>
    </xf>
    <xf numFmtId="0" fontId="8" fillId="2" borderId="42" xfId="2" applyFont="1" applyFill="1" applyBorder="1" applyAlignment="1">
      <alignment horizontal="left"/>
    </xf>
    <xf numFmtId="0" fontId="8" fillId="2" borderId="0" xfId="2" applyFont="1" applyFill="1" applyAlignment="1">
      <alignment horizontal="left"/>
    </xf>
    <xf numFmtId="14" fontId="39" fillId="2" borderId="35" xfId="2" applyNumberFormat="1" applyFont="1" applyFill="1" applyBorder="1" applyAlignment="1">
      <alignment horizontal="center" vertical="center" wrapText="1"/>
    </xf>
    <xf numFmtId="14" fontId="39" fillId="2" borderId="39" xfId="2" applyNumberFormat="1" applyFont="1" applyFill="1" applyBorder="1" applyAlignment="1">
      <alignment horizontal="center" vertical="center" wrapText="1"/>
    </xf>
    <xf numFmtId="14" fontId="39" fillId="2" borderId="13" xfId="2" applyNumberFormat="1" applyFont="1" applyFill="1" applyBorder="1" applyAlignment="1">
      <alignment horizontal="center" vertical="center" wrapText="1"/>
    </xf>
    <xf numFmtId="0" fontId="39" fillId="2" borderId="36" xfId="2" applyFont="1" applyFill="1" applyBorder="1" applyAlignment="1">
      <alignment horizontal="left"/>
    </xf>
    <xf numFmtId="0" fontId="39" fillId="2" borderId="37" xfId="2" applyFont="1" applyFill="1" applyBorder="1" applyAlignment="1">
      <alignment horizontal="left"/>
    </xf>
    <xf numFmtId="0" fontId="39" fillId="2" borderId="38" xfId="2" applyFont="1" applyFill="1" applyBorder="1" applyAlignment="1">
      <alignment horizontal="left"/>
    </xf>
    <xf numFmtId="0" fontId="39" fillId="2" borderId="16" xfId="2" applyFont="1" applyFill="1" applyBorder="1" applyAlignment="1">
      <alignment horizontal="left"/>
    </xf>
    <xf numFmtId="0" fontId="39" fillId="2" borderId="17" xfId="2" applyFont="1" applyFill="1" applyBorder="1" applyAlignment="1">
      <alignment horizontal="left"/>
    </xf>
    <xf numFmtId="0" fontId="39" fillId="2" borderId="18" xfId="2" applyFont="1" applyFill="1" applyBorder="1" applyAlignment="1">
      <alignment horizontal="left"/>
    </xf>
    <xf numFmtId="0" fontId="39" fillId="2" borderId="29" xfId="2" applyFont="1" applyFill="1" applyBorder="1" applyAlignment="1">
      <alignment horizontal="center"/>
    </xf>
    <xf numFmtId="0" fontId="39" fillId="2" borderId="32" xfId="2" applyFont="1" applyFill="1" applyBorder="1" applyAlignment="1">
      <alignment horizontal="center"/>
    </xf>
    <xf numFmtId="0" fontId="39" fillId="2" borderId="6" xfId="2" applyFont="1" applyFill="1" applyBorder="1" applyAlignment="1">
      <alignment horizontal="center"/>
    </xf>
    <xf numFmtId="0" fontId="39" fillId="2" borderId="0" xfId="2" applyFont="1" applyFill="1" applyAlignment="1">
      <alignment horizontal="center"/>
    </xf>
    <xf numFmtId="0" fontId="39" fillId="2" borderId="20" xfId="2" applyFont="1" applyFill="1" applyBorder="1" applyAlignment="1">
      <alignment horizontal="center"/>
    </xf>
    <xf numFmtId="0" fontId="39" fillId="2" borderId="21" xfId="2" applyFont="1" applyFill="1" applyBorder="1" applyAlignment="1">
      <alignment horizontal="center"/>
    </xf>
    <xf numFmtId="0" fontId="40" fillId="2" borderId="1" xfId="2" applyFont="1" applyFill="1" applyBorder="1" applyAlignment="1">
      <alignment horizontal="center"/>
    </xf>
    <xf numFmtId="0" fontId="40" fillId="2" borderId="28" xfId="2" applyFont="1" applyFill="1" applyBorder="1" applyAlignment="1">
      <alignment horizontal="center"/>
    </xf>
    <xf numFmtId="0" fontId="40" fillId="2" borderId="33" xfId="2" applyFont="1" applyFill="1" applyBorder="1" applyAlignment="1">
      <alignment horizontal="center"/>
    </xf>
    <xf numFmtId="0" fontId="40" fillId="2" borderId="27" xfId="2" applyFont="1" applyFill="1" applyBorder="1" applyAlignment="1">
      <alignment horizontal="center"/>
    </xf>
    <xf numFmtId="0" fontId="42" fillId="4" borderId="16" xfId="2" applyFont="1" applyFill="1" applyBorder="1" applyAlignment="1">
      <alignment horizontal="center" vertical="center" wrapText="1"/>
    </xf>
    <xf numFmtId="0" fontId="42" fillId="4" borderId="17" xfId="2" applyFont="1" applyFill="1" applyBorder="1" applyAlignment="1">
      <alignment horizontal="center" vertical="center" wrapText="1"/>
    </xf>
    <xf numFmtId="0" fontId="42" fillId="4" borderId="18" xfId="2" applyFont="1" applyFill="1" applyBorder="1" applyAlignment="1">
      <alignment horizontal="center" vertical="center" wrapText="1"/>
    </xf>
    <xf numFmtId="0" fontId="40" fillId="2" borderId="34" xfId="2" applyFont="1" applyFill="1" applyBorder="1" applyAlignment="1">
      <alignment horizontal="right" vertical="top" wrapText="1"/>
    </xf>
    <xf numFmtId="0" fontId="40" fillId="2" borderId="30" xfId="2" applyFont="1" applyFill="1" applyBorder="1" applyAlignment="1">
      <alignment horizontal="right" vertical="top" wrapText="1"/>
    </xf>
    <xf numFmtId="0" fontId="40" fillId="2" borderId="31" xfId="2" applyFont="1" applyFill="1" applyBorder="1" applyAlignment="1">
      <alignment horizontal="right" vertical="top" wrapText="1"/>
    </xf>
    <xf numFmtId="0" fontId="43" fillId="2" borderId="19" xfId="2" applyFont="1" applyFill="1" applyBorder="1" applyAlignment="1">
      <alignment horizontal="center"/>
    </xf>
    <xf numFmtId="0" fontId="40" fillId="3" borderId="23" xfId="1" applyFont="1" applyFill="1" applyBorder="1" applyAlignment="1">
      <alignment horizontal="center" vertical="center"/>
    </xf>
    <xf numFmtId="0" fontId="40" fillId="3" borderId="26" xfId="1" applyFont="1" applyFill="1" applyBorder="1" applyAlignment="1">
      <alignment horizontal="center" vertical="center"/>
    </xf>
    <xf numFmtId="0" fontId="40" fillId="3" borderId="23" xfId="1" applyFont="1" applyFill="1" applyBorder="1" applyAlignment="1">
      <alignment horizontal="center" vertical="center" wrapText="1"/>
    </xf>
    <xf numFmtId="0" fontId="40" fillId="3" borderId="26" xfId="1" applyFont="1" applyFill="1" applyBorder="1" applyAlignment="1">
      <alignment horizontal="center" vertical="center" wrapText="1"/>
    </xf>
    <xf numFmtId="0" fontId="40" fillId="3" borderId="1" xfId="1" applyFont="1" applyFill="1" applyBorder="1" applyAlignment="1">
      <alignment horizontal="center" vertical="center"/>
    </xf>
    <xf numFmtId="0" fontId="40" fillId="3" borderId="5" xfId="1" applyFont="1" applyFill="1" applyBorder="1" applyAlignment="1">
      <alignment horizontal="center" vertical="center"/>
    </xf>
    <xf numFmtId="0" fontId="40" fillId="0" borderId="20" xfId="1" applyFont="1" applyBorder="1" applyAlignment="1">
      <alignment horizontal="right"/>
    </xf>
    <xf numFmtId="0" fontId="40" fillId="0" borderId="21" xfId="1" applyFont="1" applyBorder="1" applyAlignment="1">
      <alignment horizontal="right"/>
    </xf>
    <xf numFmtId="0" fontId="40" fillId="0" borderId="15" xfId="1" applyFont="1" applyBorder="1" applyAlignment="1">
      <alignment horizontal="right"/>
    </xf>
    <xf numFmtId="164" fontId="39" fillId="0" borderId="11" xfId="1" applyNumberFormat="1" applyFont="1" applyBorder="1" applyAlignment="1">
      <alignment horizontal="right"/>
    </xf>
    <xf numFmtId="0" fontId="39" fillId="2" borderId="12" xfId="1" applyFont="1" applyFill="1" applyBorder="1" applyAlignment="1">
      <alignment horizontal="center"/>
    </xf>
    <xf numFmtId="0" fontId="39" fillId="2" borderId="22" xfId="1" applyFont="1" applyFill="1" applyBorder="1" applyAlignment="1">
      <alignment horizontal="center"/>
    </xf>
    <xf numFmtId="0" fontId="40" fillId="0" borderId="24" xfId="1" applyFont="1" applyBorder="1" applyAlignment="1">
      <alignment horizontal="right"/>
    </xf>
    <xf numFmtId="0" fontId="40" fillId="0" borderId="17" xfId="1" applyFont="1" applyBorder="1" applyAlignment="1">
      <alignment horizontal="right"/>
    </xf>
    <xf numFmtId="0" fontId="40" fillId="0" borderId="18" xfId="1" applyFont="1" applyBorder="1" applyAlignment="1">
      <alignment horizontal="right"/>
    </xf>
    <xf numFmtId="0" fontId="39" fillId="0" borderId="3" xfId="1" applyFont="1" applyBorder="1" applyAlignment="1">
      <alignment horizontal="right"/>
    </xf>
    <xf numFmtId="164" fontId="39" fillId="0" borderId="16" xfId="1" applyNumberFormat="1" applyFont="1" applyBorder="1" applyAlignment="1">
      <alignment horizontal="center"/>
    </xf>
    <xf numFmtId="164" fontId="39" fillId="0" borderId="25" xfId="1" applyNumberFormat="1" applyFont="1" applyBorder="1" applyAlignment="1">
      <alignment horizontal="center"/>
    </xf>
    <xf numFmtId="164" fontId="39" fillId="0" borderId="16" xfId="1" applyNumberFormat="1" applyFont="1" applyBorder="1" applyAlignment="1">
      <alignment horizontal="right" wrapText="1"/>
    </xf>
    <xf numFmtId="164" fontId="39" fillId="0" borderId="18" xfId="1" applyNumberFormat="1" applyFont="1" applyBorder="1" applyAlignment="1">
      <alignment horizontal="right" wrapText="1"/>
    </xf>
    <xf numFmtId="164" fontId="39" fillId="0" borderId="16" xfId="0" applyNumberFormat="1" applyFont="1" applyBorder="1" applyAlignment="1">
      <alignment horizontal="center" wrapText="1"/>
    </xf>
    <xf numFmtId="164" fontId="39" fillId="0" borderId="25" xfId="0" applyNumberFormat="1" applyFont="1" applyBorder="1" applyAlignment="1">
      <alignment horizontal="center" wrapText="1"/>
    </xf>
    <xf numFmtId="0" fontId="39" fillId="0" borderId="16" xfId="0" applyFont="1" applyBorder="1" applyAlignment="1">
      <alignment horizontal="left" wrapText="1"/>
    </xf>
    <xf numFmtId="0" fontId="39" fillId="0" borderId="17" xfId="0" applyFont="1" applyBorder="1" applyAlignment="1">
      <alignment horizontal="left" wrapText="1"/>
    </xf>
    <xf numFmtId="0" fontId="39" fillId="0" borderId="18" xfId="0" applyFont="1" applyBorder="1" applyAlignment="1">
      <alignment horizontal="left" wrapText="1"/>
    </xf>
    <xf numFmtId="0" fontId="40" fillId="0" borderId="26" xfId="1" applyFont="1" applyBorder="1" applyAlignment="1">
      <alignment horizontal="right"/>
    </xf>
    <xf numFmtId="0" fontId="40" fillId="0" borderId="27" xfId="1" applyFont="1" applyBorder="1" applyAlignment="1">
      <alignment horizontal="right"/>
    </xf>
    <xf numFmtId="0" fontId="40" fillId="0" borderId="5" xfId="1" applyFont="1" applyBorder="1" applyAlignment="1">
      <alignment horizontal="right"/>
    </xf>
    <xf numFmtId="0" fontId="39" fillId="0" borderId="5" xfId="1" applyFont="1" applyBorder="1" applyAlignment="1">
      <alignment horizontal="right"/>
    </xf>
    <xf numFmtId="0" fontId="40" fillId="3" borderId="8" xfId="1" applyFont="1" applyFill="1" applyBorder="1" applyAlignment="1">
      <alignment horizontal="left"/>
    </xf>
    <xf numFmtId="0" fontId="40" fillId="3" borderId="9" xfId="1" applyFont="1" applyFill="1" applyBorder="1" applyAlignment="1">
      <alignment horizontal="left"/>
    </xf>
    <xf numFmtId="0" fontId="40" fillId="3" borderId="10" xfId="1" applyFont="1" applyFill="1" applyBorder="1" applyAlignment="1">
      <alignment horizontal="left"/>
    </xf>
    <xf numFmtId="0" fontId="4" fillId="0" borderId="20" xfId="1" applyFont="1" applyBorder="1" applyAlignment="1">
      <alignment horizontal="left" wrapText="1"/>
    </xf>
    <xf numFmtId="0" fontId="4" fillId="0" borderId="21" xfId="1" applyFont="1" applyBorder="1" applyAlignment="1">
      <alignment horizontal="left" wrapText="1"/>
    </xf>
    <xf numFmtId="0" fontId="4" fillId="0" borderId="22" xfId="1" applyFont="1" applyBorder="1" applyAlignment="1">
      <alignment horizontal="left" wrapText="1"/>
    </xf>
    <xf numFmtId="0" fontId="39" fillId="0" borderId="24" xfId="0" applyFont="1" applyBorder="1" applyAlignment="1">
      <alignment horizontal="left"/>
    </xf>
    <xf numFmtId="0" fontId="39" fillId="0" borderId="17" xfId="0" applyFont="1" applyBorder="1" applyAlignment="1">
      <alignment horizontal="left"/>
    </xf>
    <xf numFmtId="0" fontId="39" fillId="0" borderId="25" xfId="0" applyFont="1" applyBorder="1" applyAlignment="1">
      <alignment horizontal="left"/>
    </xf>
    <xf numFmtId="0" fontId="39" fillId="0" borderId="24" xfId="0" applyFont="1" applyBorder="1" applyAlignment="1">
      <alignment horizontal="left" wrapText="1"/>
    </xf>
    <xf numFmtId="0" fontId="39" fillId="0" borderId="25" xfId="0" applyFont="1" applyBorder="1" applyAlignment="1">
      <alignment horizontal="left" wrapText="1"/>
    </xf>
    <xf numFmtId="0" fontId="40" fillId="5" borderId="41" xfId="2" applyFont="1" applyFill="1" applyBorder="1" applyAlignment="1">
      <alignment horizontal="center"/>
    </xf>
    <xf numFmtId="0" fontId="40" fillId="5" borderId="32" xfId="2" applyFont="1" applyFill="1" applyBorder="1" applyAlignment="1">
      <alignment horizontal="center"/>
    </xf>
    <xf numFmtId="0" fontId="50" fillId="4" borderId="16" xfId="2" applyFont="1" applyFill="1" applyBorder="1" applyAlignment="1">
      <alignment horizontal="center" vertical="center" wrapText="1"/>
    </xf>
    <xf numFmtId="0" fontId="50" fillId="4" borderId="17" xfId="2" applyFont="1" applyFill="1" applyBorder="1" applyAlignment="1">
      <alignment horizontal="center" vertical="center" wrapText="1"/>
    </xf>
    <xf numFmtId="0" fontId="50" fillId="4" borderId="18" xfId="2" applyFont="1" applyFill="1" applyBorder="1" applyAlignment="1">
      <alignment horizontal="center" vertical="center" wrapText="1"/>
    </xf>
    <xf numFmtId="0" fontId="51" fillId="2" borderId="19" xfId="2" applyFont="1" applyFill="1" applyBorder="1" applyAlignment="1">
      <alignment horizontal="center"/>
    </xf>
    <xf numFmtId="14" fontId="51" fillId="2" borderId="0" xfId="2" applyNumberFormat="1" applyFont="1" applyFill="1" applyAlignment="1">
      <alignment horizontal="center" vertical="center" wrapText="1"/>
    </xf>
    <xf numFmtId="0" fontId="52" fillId="0" borderId="40" xfId="1" applyFont="1" applyBorder="1" applyAlignment="1">
      <alignment horizontal="center" vertical="center"/>
    </xf>
    <xf numFmtId="0" fontId="52" fillId="0" borderId="18" xfId="1" applyFont="1" applyBorder="1" applyAlignment="1">
      <alignment horizontal="center" vertical="center"/>
    </xf>
    <xf numFmtId="0" fontId="53" fillId="0" borderId="3" xfId="1" applyFont="1" applyBorder="1" applyAlignment="1">
      <alignment vertical="center"/>
    </xf>
    <xf numFmtId="0" fontId="52" fillId="0" borderId="3" xfId="1" applyFont="1" applyBorder="1" applyAlignment="1">
      <alignment horizontal="center" vertical="center"/>
    </xf>
    <xf numFmtId="1" fontId="52" fillId="0" borderId="3" xfId="1" applyNumberFormat="1" applyFont="1" applyBorder="1" applyAlignment="1">
      <alignment horizontal="center"/>
    </xf>
    <xf numFmtId="1" fontId="52" fillId="0" borderId="3" xfId="1" applyNumberFormat="1" applyFont="1" applyBorder="1" applyAlignment="1">
      <alignment horizontal="center" wrapText="1"/>
    </xf>
    <xf numFmtId="0" fontId="54" fillId="0" borderId="4" xfId="1" applyFont="1" applyBorder="1" applyAlignment="1">
      <alignment horizontal="center"/>
    </xf>
    <xf numFmtId="1" fontId="54" fillId="0" borderId="3" xfId="0" applyNumberFormat="1" applyFont="1" applyBorder="1"/>
    <xf numFmtId="0" fontId="54" fillId="0" borderId="3" xfId="0" applyFont="1" applyBorder="1" applyAlignment="1">
      <alignment horizontal="center"/>
    </xf>
    <xf numFmtId="0" fontId="54" fillId="0" borderId="3" xfId="0" applyFont="1" applyBorder="1"/>
    <xf numFmtId="0" fontId="54" fillId="0" borderId="3" xfId="0" applyFont="1" applyBorder="1" applyAlignment="1">
      <alignment horizontal="center" vertical="center"/>
    </xf>
    <xf numFmtId="1" fontId="54" fillId="0" borderId="3" xfId="0" applyNumberFormat="1" applyFont="1" applyBorder="1" applyAlignment="1">
      <alignment horizontal="center" vertical="center"/>
    </xf>
    <xf numFmtId="1" fontId="54" fillId="0" borderId="3" xfId="0" applyNumberFormat="1" applyFont="1" applyBorder="1" applyAlignment="1">
      <alignment horizontal="center" vertical="center" wrapText="1"/>
    </xf>
    <xf numFmtId="0" fontId="54" fillId="0" borderId="11" xfId="0" applyFont="1" applyBorder="1" applyAlignment="1">
      <alignment horizontal="center" wrapText="1"/>
    </xf>
    <xf numFmtId="12" fontId="54" fillId="0" borderId="11" xfId="0" applyNumberFormat="1" applyFont="1" applyBorder="1" applyAlignment="1">
      <alignment horizontal="center"/>
    </xf>
    <xf numFmtId="0" fontId="54" fillId="0" borderId="3" xfId="0" applyFont="1" applyBorder="1" applyAlignment="1">
      <alignment horizontal="left" vertical="center"/>
    </xf>
    <xf numFmtId="49" fontId="52" fillId="0" borderId="24" xfId="1" applyNumberFormat="1" applyFont="1" applyBorder="1" applyAlignment="1">
      <alignment horizontal="center"/>
    </xf>
    <xf numFmtId="49" fontId="52" fillId="0" borderId="17" xfId="1" applyNumberFormat="1" applyFont="1" applyBorder="1" applyAlignment="1">
      <alignment horizontal="center"/>
    </xf>
    <xf numFmtId="0" fontId="53" fillId="37" borderId="3" xfId="1" applyFont="1" applyFill="1" applyBorder="1" applyAlignment="1">
      <alignment vertical="center"/>
    </xf>
    <xf numFmtId="0" fontId="52" fillId="0" borderId="18" xfId="1" applyFont="1" applyBorder="1" applyAlignment="1">
      <alignment horizontal="center"/>
    </xf>
    <xf numFmtId="165" fontId="52" fillId="0" borderId="3" xfId="1" applyNumberFormat="1" applyFont="1" applyBorder="1" applyAlignment="1">
      <alignment horizontal="center"/>
    </xf>
    <xf numFmtId="49" fontId="54" fillId="0" borderId="40" xfId="0" applyNumberFormat="1" applyFont="1" applyBorder="1" applyAlignment="1">
      <alignment horizontal="center"/>
    </xf>
    <xf numFmtId="49" fontId="54" fillId="0" borderId="18" xfId="0" applyNumberFormat="1" applyFont="1" applyBorder="1" applyAlignment="1">
      <alignment horizontal="center"/>
    </xf>
    <xf numFmtId="49" fontId="52" fillId="0" borderId="3" xfId="0" applyNumberFormat="1" applyFont="1" applyBorder="1"/>
    <xf numFmtId="1" fontId="54" fillId="0" borderId="3" xfId="0" applyNumberFormat="1" applyFont="1" applyBorder="1" applyAlignment="1">
      <alignment horizontal="center"/>
    </xf>
    <xf numFmtId="1" fontId="54" fillId="0" borderId="3" xfId="0" applyNumberFormat="1" applyFont="1" applyBorder="1" applyAlignment="1">
      <alignment horizontal="center" wrapText="1"/>
    </xf>
    <xf numFmtId="166" fontId="52" fillId="37" borderId="3" xfId="4" applyNumberFormat="1" applyFont="1" applyFill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5" fillId="0" borderId="18" xfId="0" applyFont="1" applyBorder="1" applyAlignment="1">
      <alignment horizontal="center"/>
    </xf>
    <xf numFmtId="0" fontId="55" fillId="0" borderId="3" xfId="0" applyFont="1" applyBorder="1"/>
    <xf numFmtId="12" fontId="54" fillId="0" borderId="3" xfId="1" applyNumberFormat="1" applyFont="1" applyBorder="1" applyAlignment="1">
      <alignment horizontal="center"/>
    </xf>
    <xf numFmtId="1" fontId="54" fillId="0" borderId="3" xfId="1" applyNumberFormat="1" applyFont="1" applyBorder="1" applyAlignment="1">
      <alignment horizontal="center"/>
    </xf>
    <xf numFmtId="0" fontId="54" fillId="0" borderId="3" xfId="0" quotePrefix="1" applyFont="1" applyBorder="1" applyAlignment="1">
      <alignment horizontal="center"/>
    </xf>
    <xf numFmtId="0" fontId="54" fillId="0" borderId="3" xfId="0" quotePrefix="1" applyFont="1" applyBorder="1"/>
    <xf numFmtId="49" fontId="55" fillId="2" borderId="6" xfId="1" applyNumberFormat="1" applyFont="1" applyFill="1" applyBorder="1" applyAlignment="1">
      <alignment horizontal="center" vertical="center"/>
    </xf>
    <xf numFmtId="49" fontId="55" fillId="2" borderId="0" xfId="1" applyNumberFormat="1" applyFont="1" applyFill="1" applyAlignment="1">
      <alignment horizontal="center" vertical="center"/>
    </xf>
    <xf numFmtId="0" fontId="54" fillId="2" borderId="0" xfId="1" applyFont="1" applyFill="1"/>
    <xf numFmtId="1" fontId="54" fillId="2" borderId="0" xfId="1" applyNumberFormat="1" applyFont="1" applyFill="1" applyAlignment="1">
      <alignment horizontal="center"/>
    </xf>
    <xf numFmtId="164" fontId="54" fillId="2" borderId="0" xfId="1" applyNumberFormat="1" applyFont="1" applyFill="1" applyAlignment="1">
      <alignment horizontal="center" wrapText="1"/>
    </xf>
    <xf numFmtId="0" fontId="54" fillId="2" borderId="7" xfId="1" applyFont="1" applyFill="1" applyBorder="1" applyAlignment="1">
      <alignment horizontal="center"/>
    </xf>
    <xf numFmtId="0" fontId="54" fillId="3" borderId="8" xfId="1" applyFont="1" applyFill="1" applyBorder="1" applyAlignment="1">
      <alignment horizontal="center"/>
    </xf>
    <xf numFmtId="0" fontId="54" fillId="3" borderId="9" xfId="1" applyFont="1" applyFill="1" applyBorder="1" applyAlignment="1">
      <alignment horizontal="center"/>
    </xf>
    <xf numFmtId="0" fontId="54" fillId="3" borderId="9" xfId="1" applyFont="1" applyFill="1" applyBorder="1"/>
    <xf numFmtId="0" fontId="52" fillId="3" borderId="9" xfId="1" applyFont="1" applyFill="1" applyBorder="1" applyAlignment="1">
      <alignment horizontal="center"/>
    </xf>
    <xf numFmtId="1" fontId="52" fillId="3" borderId="9" xfId="1" applyNumberFormat="1" applyFont="1" applyFill="1" applyBorder="1" applyAlignment="1">
      <alignment horizontal="center"/>
    </xf>
    <xf numFmtId="164" fontId="54" fillId="3" borderId="9" xfId="1" applyNumberFormat="1" applyFont="1" applyFill="1" applyBorder="1" applyAlignment="1">
      <alignment horizontal="center" wrapText="1"/>
    </xf>
    <xf numFmtId="0" fontId="54" fillId="3" borderId="10" xfId="1" applyFont="1" applyFill="1" applyBorder="1" applyAlignment="1">
      <alignment horizontal="center"/>
    </xf>
    <xf numFmtId="0" fontId="52" fillId="0" borderId="20" xfId="1" applyFont="1" applyBorder="1" applyAlignment="1">
      <alignment horizontal="right"/>
    </xf>
    <xf numFmtId="0" fontId="52" fillId="0" borderId="21" xfId="1" applyFont="1" applyBorder="1" applyAlignment="1">
      <alignment horizontal="right"/>
    </xf>
    <xf numFmtId="0" fontId="52" fillId="0" borderId="15" xfId="1" applyFont="1" applyBorder="1" applyAlignment="1">
      <alignment horizontal="right"/>
    </xf>
    <xf numFmtId="1" fontId="54" fillId="0" borderId="11" xfId="0" applyNumberFormat="1" applyFont="1" applyBorder="1" applyAlignment="1">
      <alignment horizontal="center"/>
    </xf>
    <xf numFmtId="0" fontId="54" fillId="0" borderId="12" xfId="0" applyFont="1" applyBorder="1" applyAlignment="1">
      <alignment horizontal="center"/>
    </xf>
    <xf numFmtId="164" fontId="54" fillId="0" borderId="11" xfId="1" applyNumberFormat="1" applyFont="1" applyBorder="1" applyAlignment="1">
      <alignment horizontal="right"/>
    </xf>
    <xf numFmtId="0" fontId="54" fillId="2" borderId="12" xfId="1" applyFont="1" applyFill="1" applyBorder="1" applyAlignment="1">
      <alignment horizontal="center"/>
    </xf>
    <xf numFmtId="0" fontId="54" fillId="2" borderId="22" xfId="1" applyFont="1" applyFill="1" applyBorder="1" applyAlignment="1">
      <alignment horizontal="center"/>
    </xf>
    <xf numFmtId="0" fontId="52" fillId="0" borderId="24" xfId="1" applyFont="1" applyBorder="1" applyAlignment="1">
      <alignment horizontal="right"/>
    </xf>
    <xf numFmtId="0" fontId="52" fillId="0" borderId="17" xfId="1" applyFont="1" applyBorder="1" applyAlignment="1">
      <alignment horizontal="right"/>
    </xf>
    <xf numFmtId="0" fontId="52" fillId="0" borderId="18" xfId="1" applyFont="1" applyBorder="1" applyAlignment="1">
      <alignment horizontal="right"/>
    </xf>
    <xf numFmtId="0" fontId="54" fillId="0" borderId="3" xfId="1" applyFont="1" applyBorder="1" applyAlignment="1">
      <alignment horizontal="right"/>
    </xf>
    <xf numFmtId="164" fontId="54" fillId="0" borderId="16" xfId="1" applyNumberFormat="1" applyFont="1" applyBorder="1" applyAlignment="1">
      <alignment horizontal="center"/>
    </xf>
    <xf numFmtId="164" fontId="54" fillId="0" borderId="25" xfId="1" applyNumberFormat="1" applyFont="1" applyBorder="1" applyAlignment="1">
      <alignment horizontal="center"/>
    </xf>
    <xf numFmtId="164" fontId="54" fillId="0" borderId="16" xfId="1" applyNumberFormat="1" applyFont="1" applyBorder="1" applyAlignment="1">
      <alignment horizontal="right" wrapText="1"/>
    </xf>
    <xf numFmtId="164" fontId="54" fillId="0" borderId="18" xfId="1" applyNumberFormat="1" applyFont="1" applyBorder="1" applyAlignment="1">
      <alignment horizontal="right" wrapText="1"/>
    </xf>
    <xf numFmtId="164" fontId="54" fillId="0" borderId="16" xfId="0" applyNumberFormat="1" applyFont="1" applyBorder="1" applyAlignment="1">
      <alignment horizontal="center" wrapText="1"/>
    </xf>
    <xf numFmtId="164" fontId="54" fillId="0" borderId="25" xfId="0" applyNumberFormat="1" applyFont="1" applyBorder="1" applyAlignment="1">
      <alignment horizontal="center" wrapText="1"/>
    </xf>
    <xf numFmtId="0" fontId="52" fillId="0" borderId="26" xfId="1" applyFont="1" applyBorder="1" applyAlignment="1">
      <alignment horizontal="right"/>
    </xf>
    <xf numFmtId="0" fontId="52" fillId="0" borderId="27" xfId="1" applyFont="1" applyBorder="1" applyAlignment="1">
      <alignment horizontal="right"/>
    </xf>
    <xf numFmtId="0" fontId="52" fillId="0" borderId="5" xfId="1" applyFont="1" applyBorder="1" applyAlignment="1">
      <alignment horizontal="right"/>
    </xf>
    <xf numFmtId="1" fontId="54" fillId="0" borderId="5" xfId="0" applyNumberFormat="1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54" fillId="0" borderId="5" xfId="1" applyFont="1" applyBorder="1" applyAlignment="1">
      <alignment horizontal="right"/>
    </xf>
    <xf numFmtId="0" fontId="52" fillId="0" borderId="20" xfId="1" applyFont="1" applyBorder="1" applyAlignment="1">
      <alignment horizontal="left" wrapText="1"/>
    </xf>
    <xf numFmtId="0" fontId="52" fillId="0" borderId="21" xfId="1" applyFont="1" applyBorder="1" applyAlignment="1">
      <alignment horizontal="left" wrapText="1"/>
    </xf>
    <xf numFmtId="0" fontId="52" fillId="0" borderId="22" xfId="1" applyFont="1" applyBorder="1" applyAlignment="1">
      <alignment horizontal="left" wrapText="1"/>
    </xf>
    <xf numFmtId="0" fontId="54" fillId="0" borderId="17" xfId="0" applyFont="1" applyBorder="1" applyAlignment="1">
      <alignment horizontal="left" wrapText="1"/>
    </xf>
    <xf numFmtId="0" fontId="54" fillId="0" borderId="16" xfId="0" applyFont="1" applyBorder="1" applyAlignment="1">
      <alignment horizontal="left" wrapText="1"/>
    </xf>
    <xf numFmtId="0" fontId="54" fillId="0" borderId="18" xfId="0" applyFont="1" applyBorder="1" applyAlignment="1">
      <alignment horizontal="left" wrapText="1"/>
    </xf>
    <xf numFmtId="0" fontId="54" fillId="2" borderId="42" xfId="2" applyFont="1" applyFill="1" applyBorder="1" applyAlignment="1">
      <alignment horizontal="left"/>
    </xf>
    <xf numFmtId="0" fontId="54" fillId="2" borderId="0" xfId="2" applyFont="1" applyFill="1" applyAlignment="1">
      <alignment horizontal="left"/>
    </xf>
    <xf numFmtId="0" fontId="54" fillId="0" borderId="52" xfId="0" applyFont="1" applyBorder="1" applyAlignment="1">
      <alignment horizontal="left" wrapText="1"/>
    </xf>
    <xf numFmtId="0" fontId="54" fillId="0" borderId="53" xfId="0" applyFont="1" applyBorder="1" applyAlignment="1">
      <alignment horizontal="left" wrapText="1"/>
    </xf>
    <xf numFmtId="0" fontId="54" fillId="0" borderId="34" xfId="0" applyFont="1" applyBorder="1" applyAlignment="1">
      <alignment horizontal="left" wrapText="1"/>
    </xf>
    <xf numFmtId="0" fontId="52" fillId="5" borderId="3" xfId="2" applyFont="1" applyFill="1" applyBorder="1" applyAlignment="1">
      <alignment horizontal="center"/>
    </xf>
    <xf numFmtId="0" fontId="54" fillId="2" borderId="3" xfId="2" applyFont="1" applyFill="1" applyBorder="1" applyAlignment="1">
      <alignment horizontal="left"/>
    </xf>
    <xf numFmtId="0" fontId="52" fillId="3" borderId="8" xfId="1" applyFont="1" applyFill="1" applyBorder="1" applyAlignment="1">
      <alignment horizontal="center"/>
    </xf>
    <xf numFmtId="0" fontId="52" fillId="3" borderId="9" xfId="1" applyFont="1" applyFill="1" applyBorder="1" applyAlignment="1">
      <alignment horizontal="center"/>
    </xf>
    <xf numFmtId="0" fontId="52" fillId="3" borderId="10" xfId="1" applyFont="1" applyFill="1" applyBorder="1" applyAlignment="1">
      <alignment horizontal="center"/>
    </xf>
  </cellXfs>
  <cellStyles count="47">
    <cellStyle name="20% - Énfasis1" xfId="22" builtinId="30" customBuiltin="1"/>
    <cellStyle name="20% - Énfasis2" xfId="26" builtinId="34" customBuiltin="1"/>
    <cellStyle name="20% - Énfasis3" xfId="30" builtinId="38" customBuiltin="1"/>
    <cellStyle name="20% - Énfasis4" xfId="34" builtinId="42" customBuiltin="1"/>
    <cellStyle name="20% - Énfasis5" xfId="38" builtinId="46" customBuiltin="1"/>
    <cellStyle name="20% - Énfasis6" xfId="42" builtinId="50" customBuiltin="1"/>
    <cellStyle name="40% - Énfasis1" xfId="23" builtinId="31" customBuiltin="1"/>
    <cellStyle name="40% - Énfasis2" xfId="27" builtinId="35" customBuiltin="1"/>
    <cellStyle name="40% - Énfasis3" xfId="31" builtinId="39" customBuiltin="1"/>
    <cellStyle name="40% - Énfasis4" xfId="35" builtinId="43" customBuiltin="1"/>
    <cellStyle name="40% - Énfasis5" xfId="39" builtinId="47" customBuiltin="1"/>
    <cellStyle name="40% - Énfasis6" xfId="43" builtinId="51" customBuiltin="1"/>
    <cellStyle name="60% - Énfasis1" xfId="24" builtinId="32" customBuiltin="1"/>
    <cellStyle name="60% - Énfasis2" xfId="28" builtinId="36" customBuiltin="1"/>
    <cellStyle name="60% - Énfasis3" xfId="32" builtinId="40" customBuiltin="1"/>
    <cellStyle name="60% - Énfasis4" xfId="36" builtinId="44" customBuiltin="1"/>
    <cellStyle name="60% - Énfasis5" xfId="40" builtinId="48" customBuiltin="1"/>
    <cellStyle name="60% - Énfasis6" xfId="44" builtinId="52" customBuiltin="1"/>
    <cellStyle name="Bueno" xfId="10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6" builtinId="16" customBuiltin="1"/>
    <cellStyle name="Encabezado 4" xfId="9" builtinId="19" customBuiltin="1"/>
    <cellStyle name="Énfasis1" xfId="21" builtinId="29" customBuiltin="1"/>
    <cellStyle name="Énfasis2" xfId="25" builtinId="33" customBuiltin="1"/>
    <cellStyle name="Énfasis3" xfId="29" builtinId="37" customBuiltin="1"/>
    <cellStyle name="Énfasis4" xfId="33" builtinId="41" customBuiltin="1"/>
    <cellStyle name="Énfasis5" xfId="37" builtinId="45" customBuiltin="1"/>
    <cellStyle name="Énfasis6" xfId="41" builtinId="49" customBuiltin="1"/>
    <cellStyle name="Entrada" xfId="13" builtinId="20" customBuiltin="1"/>
    <cellStyle name="Incorrecto" xfId="11" builtinId="27" customBuiltin="1"/>
    <cellStyle name="Millares" xfId="4" builtinId="3"/>
    <cellStyle name="Neutral" xfId="12" builtinId="28" customBuiltin="1"/>
    <cellStyle name="Normal" xfId="0" builtinId="0"/>
    <cellStyle name="Normal 2" xfId="1" xr:uid="{5664F098-5F58-4712-8123-0BBE2EA41B18}"/>
    <cellStyle name="Normal 3" xfId="45" xr:uid="{436D11F9-280C-4C31-AF99-EE1597D61E5F}"/>
    <cellStyle name="Normal_CRITERIOS DE EVALUACION PT DE GB 2" xfId="2" xr:uid="{B177BB2F-9C2A-4199-AAC3-214884D26813}"/>
    <cellStyle name="Notas 2" xfId="46" xr:uid="{1B3F0793-6686-486C-8B4D-5B55BE593220}"/>
    <cellStyle name="Porcentaje 2" xfId="3" xr:uid="{58A30E32-524E-4A07-90F6-2F622E5FDF51}"/>
    <cellStyle name="Salida" xfId="14" builtinId="21" customBuiltin="1"/>
    <cellStyle name="Texto de advertencia" xfId="18" builtinId="11" customBuiltin="1"/>
    <cellStyle name="Texto explicativo" xfId="19" builtinId="53" customBuiltin="1"/>
    <cellStyle name="Título" xfId="5" builtinId="15" customBuiltin="1"/>
    <cellStyle name="Título 2" xfId="7" builtinId="17" customBuiltin="1"/>
    <cellStyle name="Título 3" xfId="8" builtinId="18" customBuiltin="1"/>
    <cellStyle name="Total" xfId="20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104355</xdr:colOff>
      <xdr:row>0</xdr:row>
      <xdr:rowOff>73538</xdr:rowOff>
    </xdr:from>
    <xdr:to>
      <xdr:col>1</xdr:col>
      <xdr:colOff>1035843</xdr:colOff>
      <xdr:row>4</xdr:row>
      <xdr:rowOff>105975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F911279-4BCF-4249-97AE-C3DEA799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55" y="73538"/>
          <a:ext cx="2145926" cy="9730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10</xdr:col>
      <xdr:colOff>38830</xdr:colOff>
      <xdr:row>62</xdr:row>
      <xdr:rowOff>84234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D4143B-09B0-15DF-0398-5DE44C266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65520"/>
          <a:ext cx="8428450" cy="47781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10</xdr:col>
      <xdr:colOff>625621</xdr:colOff>
      <xdr:row>80</xdr:row>
      <xdr:rowOff>91666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4560D7-4918-675E-839A-A17AC5222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62360"/>
          <a:ext cx="9015241" cy="26062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0</xdr:rowOff>
    </xdr:from>
    <xdr:to>
      <xdr:col>10</xdr:col>
      <xdr:colOff>625621</xdr:colOff>
      <xdr:row>80</xdr:row>
      <xdr:rowOff>91666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EB854E7-111A-4AB1-80FA-AC607053F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62360"/>
          <a:ext cx="9015241" cy="2606266"/>
        </a:xfrm>
        <a:prstGeom prst="rect">
          <a:avLst/>
        </a:prstGeom>
      </xdr:spPr>
    </xdr:pic>
    <xdr:clientData/>
  </xdr:twoCellAnchor>
  <xdr:twoCellAnchor editAs="oneCell">
    <xdr:from>
      <xdr:col>0</xdr:col>
      <xdr:colOff>396240</xdr:colOff>
      <xdr:row>32</xdr:row>
      <xdr:rowOff>137160</xdr:rowOff>
    </xdr:from>
    <xdr:to>
      <xdr:col>7</xdr:col>
      <xdr:colOff>716829</xdr:colOff>
      <xdr:row>54</xdr:row>
      <xdr:rowOff>91756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C183539-4388-2349-4051-A8DC638A3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240" y="5867400"/>
          <a:ext cx="6332769" cy="36426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358A-CD0B-4B44-860A-B09165A6A5D6}">
  <dimension ref="A1:K57"/>
  <sheetViews>
    <sheetView zoomScale="85" zoomScaleNormal="85" workbookViewId="0">
      <selection activeCell="D28" sqref="D2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11" ht="15" x14ac:dyDescent="0.2">
      <c r="A1" s="185"/>
      <c r="B1" s="186"/>
      <c r="C1" s="191" t="s">
        <v>22</v>
      </c>
      <c r="D1" s="191"/>
      <c r="E1" s="191"/>
      <c r="F1" s="191"/>
      <c r="G1" s="191"/>
      <c r="H1" s="5" t="s">
        <v>21</v>
      </c>
      <c r="I1" s="1" t="s">
        <v>57</v>
      </c>
    </row>
    <row r="2" spans="1:11" ht="16.5" thickBot="1" x14ac:dyDescent="0.3">
      <c r="A2" s="187"/>
      <c r="B2" s="188"/>
      <c r="C2" s="192" t="s">
        <v>0</v>
      </c>
      <c r="D2" s="193"/>
      <c r="E2" s="193"/>
      <c r="F2" s="193"/>
      <c r="G2" s="194"/>
      <c r="H2" s="6" t="s">
        <v>20</v>
      </c>
      <c r="I2" s="7" t="s">
        <v>42</v>
      </c>
    </row>
    <row r="3" spans="1:11" ht="15.75" thickBot="1" x14ac:dyDescent="0.25">
      <c r="A3" s="187"/>
      <c r="B3" s="188"/>
      <c r="C3" s="195" t="s">
        <v>43</v>
      </c>
      <c r="D3" s="196"/>
      <c r="E3" s="196"/>
      <c r="F3" s="196"/>
      <c r="G3" s="197"/>
      <c r="H3" s="198" t="s">
        <v>19</v>
      </c>
      <c r="I3" s="176">
        <v>45618</v>
      </c>
    </row>
    <row r="4" spans="1:11" ht="13.5" x14ac:dyDescent="0.25">
      <c r="A4" s="187"/>
      <c r="B4" s="188"/>
      <c r="C4" s="8" t="s">
        <v>18</v>
      </c>
      <c r="D4" s="179" t="s">
        <v>47</v>
      </c>
      <c r="E4" s="180"/>
      <c r="F4" s="180"/>
      <c r="G4" s="181"/>
      <c r="H4" s="199"/>
      <c r="I4" s="177"/>
    </row>
    <row r="5" spans="1:11" ht="14.25" thickBot="1" x14ac:dyDescent="0.3">
      <c r="A5" s="189"/>
      <c r="B5" s="190"/>
      <c r="C5" s="9" t="s">
        <v>17</v>
      </c>
      <c r="D5" s="182" t="s">
        <v>48</v>
      </c>
      <c r="E5" s="183"/>
      <c r="F5" s="183"/>
      <c r="G5" s="184"/>
      <c r="H5" s="200"/>
      <c r="I5" s="178"/>
    </row>
    <row r="6" spans="1:11" ht="18.75" thickBot="1" x14ac:dyDescent="0.3">
      <c r="A6" s="201" t="s">
        <v>23</v>
      </c>
      <c r="B6" s="201"/>
      <c r="C6" s="201"/>
      <c r="D6" s="202" t="s">
        <v>29</v>
      </c>
      <c r="E6" s="202"/>
      <c r="F6" s="202"/>
      <c r="G6" s="203" t="s">
        <v>24</v>
      </c>
      <c r="H6" s="203"/>
      <c r="I6" s="2" t="s">
        <v>29</v>
      </c>
    </row>
    <row r="7" spans="1:11" x14ac:dyDescent="0.2">
      <c r="A7" s="204" t="s">
        <v>1</v>
      </c>
      <c r="B7" s="206" t="s">
        <v>49</v>
      </c>
      <c r="C7" s="208" t="s">
        <v>2</v>
      </c>
      <c r="D7" s="208" t="s">
        <v>3</v>
      </c>
      <c r="E7" s="208" t="s">
        <v>4</v>
      </c>
      <c r="F7" s="208"/>
      <c r="G7" s="208" t="s">
        <v>16</v>
      </c>
      <c r="H7" s="208"/>
      <c r="I7" s="10" t="s">
        <v>5</v>
      </c>
    </row>
    <row r="8" spans="1:11" ht="26.25" thickBot="1" x14ac:dyDescent="0.25">
      <c r="A8" s="205"/>
      <c r="B8" s="207"/>
      <c r="C8" s="209"/>
      <c r="D8" s="209"/>
      <c r="E8" s="11" t="s">
        <v>6</v>
      </c>
      <c r="F8" s="12" t="s">
        <v>7</v>
      </c>
      <c r="G8" s="11" t="s">
        <v>6</v>
      </c>
      <c r="H8" s="12" t="s">
        <v>7</v>
      </c>
      <c r="I8" s="13" t="s">
        <v>8</v>
      </c>
    </row>
    <row r="9" spans="1:11" ht="15" x14ac:dyDescent="0.25">
      <c r="A9" s="14"/>
      <c r="B9" s="15"/>
      <c r="C9" s="16" t="s">
        <v>50</v>
      </c>
      <c r="D9" s="17"/>
      <c r="E9" s="18"/>
      <c r="F9" s="19"/>
      <c r="G9" s="18"/>
      <c r="H9" s="19"/>
      <c r="I9" s="20"/>
    </row>
    <row r="10" spans="1:11" ht="15" x14ac:dyDescent="0.25">
      <c r="A10" s="21">
        <v>906000134</v>
      </c>
      <c r="B10" s="3" t="s">
        <v>44</v>
      </c>
      <c r="C10" s="4" t="s">
        <v>41</v>
      </c>
      <c r="D10" s="22" t="s">
        <v>25</v>
      </c>
      <c r="E10" s="23">
        <v>25300</v>
      </c>
      <c r="F10" s="24" t="s">
        <v>26</v>
      </c>
      <c r="G10" s="25"/>
      <c r="H10" s="26"/>
      <c r="I10" s="20"/>
      <c r="J10">
        <f>+E10/$D$39</f>
        <v>0.51632653061224487</v>
      </c>
      <c r="K10">
        <f>+J10*1000</f>
        <v>516.32653061224482</v>
      </c>
    </row>
    <row r="11" spans="1:11" ht="15" x14ac:dyDescent="0.25">
      <c r="A11" s="22" t="s">
        <v>30</v>
      </c>
      <c r="B11" s="22" t="s">
        <v>45</v>
      </c>
      <c r="C11" s="27" t="s">
        <v>31</v>
      </c>
      <c r="D11" s="22" t="s">
        <v>32</v>
      </c>
      <c r="E11" s="23">
        <v>8900</v>
      </c>
      <c r="F11" s="24" t="s">
        <v>26</v>
      </c>
      <c r="G11" s="25"/>
      <c r="H11" s="26"/>
      <c r="I11" s="20"/>
      <c r="J11">
        <f t="shared" ref="J11:J13" si="0">+E11/$D$39</f>
        <v>0.1816326530612245</v>
      </c>
      <c r="K11">
        <f t="shared" ref="K11:K13" si="1">+J11*1000</f>
        <v>181.63265306122452</v>
      </c>
    </row>
    <row r="12" spans="1:11" ht="15" x14ac:dyDescent="0.25">
      <c r="A12" s="22" t="s">
        <v>33</v>
      </c>
      <c r="B12" s="22"/>
      <c r="C12" s="27" t="s">
        <v>34</v>
      </c>
      <c r="D12" s="22" t="s">
        <v>25</v>
      </c>
      <c r="E12" s="23">
        <v>7200</v>
      </c>
      <c r="F12" s="24" t="s">
        <v>26</v>
      </c>
      <c r="G12" s="25"/>
      <c r="H12" s="26"/>
      <c r="I12" s="20"/>
      <c r="J12">
        <f t="shared" si="0"/>
        <v>0.14693877551020409</v>
      </c>
      <c r="K12">
        <f t="shared" si="1"/>
        <v>146.9387755102041</v>
      </c>
    </row>
    <row r="13" spans="1:11" ht="15" x14ac:dyDescent="0.25">
      <c r="A13" s="22">
        <v>10100050</v>
      </c>
      <c r="B13" s="22" t="s">
        <v>46</v>
      </c>
      <c r="C13" s="27" t="s">
        <v>35</v>
      </c>
      <c r="D13" s="22" t="s">
        <v>36</v>
      </c>
      <c r="E13" s="23">
        <v>8200</v>
      </c>
      <c r="F13" s="24" t="s">
        <v>26</v>
      </c>
      <c r="G13" s="25"/>
      <c r="H13" s="26"/>
      <c r="I13" s="20"/>
      <c r="J13">
        <f t="shared" si="0"/>
        <v>0.16734693877551021</v>
      </c>
      <c r="K13">
        <f t="shared" si="1"/>
        <v>167.34693877551021</v>
      </c>
    </row>
    <row r="14" spans="1:11" ht="15" x14ac:dyDescent="0.25">
      <c r="A14" s="22"/>
      <c r="B14" s="22"/>
      <c r="C14" s="27"/>
      <c r="D14" s="22"/>
      <c r="E14" s="23"/>
      <c r="F14" s="24"/>
      <c r="G14" s="25"/>
      <c r="H14" s="26"/>
      <c r="I14" s="20"/>
    </row>
    <row r="15" spans="1:11" ht="15" x14ac:dyDescent="0.25">
      <c r="A15" s="22"/>
      <c r="B15" s="22"/>
      <c r="C15" s="27"/>
      <c r="D15" s="22"/>
      <c r="E15" s="23"/>
      <c r="F15" s="24"/>
      <c r="G15" s="25"/>
      <c r="H15" s="26"/>
      <c r="I15" s="20"/>
    </row>
    <row r="16" spans="1:11" ht="15" x14ac:dyDescent="0.25">
      <c r="A16" s="22"/>
      <c r="B16" s="22"/>
      <c r="C16" s="27"/>
      <c r="D16" s="22"/>
      <c r="E16" s="23"/>
      <c r="F16" s="24"/>
      <c r="G16" s="25"/>
      <c r="H16" s="26"/>
      <c r="I16" s="20"/>
    </row>
    <row r="17" spans="1:9" ht="15" x14ac:dyDescent="0.25">
      <c r="A17" s="22"/>
      <c r="B17" s="22"/>
      <c r="C17" s="27"/>
      <c r="D17" s="22"/>
      <c r="E17" s="23"/>
      <c r="F17" s="24"/>
      <c r="G17" s="25"/>
      <c r="H17" s="26"/>
      <c r="I17" s="20"/>
    </row>
    <row r="18" spans="1:9" ht="15" x14ac:dyDescent="0.25">
      <c r="A18" s="22"/>
      <c r="B18" s="22"/>
      <c r="C18" s="27"/>
      <c r="D18" s="22"/>
      <c r="E18" s="23"/>
      <c r="F18" s="24"/>
      <c r="G18" s="25"/>
      <c r="H18" s="26"/>
      <c r="I18" s="20"/>
    </row>
    <row r="19" spans="1:9" ht="15" x14ac:dyDescent="0.25">
      <c r="A19" s="22"/>
      <c r="B19" s="22"/>
      <c r="C19" s="27"/>
      <c r="D19" s="22"/>
      <c r="E19" s="23"/>
      <c r="F19" s="24"/>
      <c r="G19" s="25"/>
      <c r="H19" s="26"/>
      <c r="I19" s="20"/>
    </row>
    <row r="20" spans="1:9" ht="15.75" x14ac:dyDescent="0.25">
      <c r="A20" s="75"/>
      <c r="B20" s="75"/>
      <c r="C20" s="4"/>
      <c r="D20" s="69"/>
      <c r="E20" s="69"/>
      <c r="F20" s="69"/>
      <c r="G20" s="28"/>
      <c r="H20" s="26"/>
      <c r="I20" s="20"/>
    </row>
    <row r="21" spans="1:9" ht="15.75" x14ac:dyDescent="0.25">
      <c r="A21" s="76"/>
      <c r="B21" s="77"/>
      <c r="C21" s="78" t="s">
        <v>186</v>
      </c>
      <c r="D21" s="69"/>
      <c r="E21" s="69"/>
      <c r="F21" s="69"/>
      <c r="G21" s="28"/>
      <c r="H21" s="26"/>
      <c r="I21" s="20"/>
    </row>
    <row r="22" spans="1:9" ht="15" x14ac:dyDescent="0.25">
      <c r="A22" s="21"/>
      <c r="B22" s="3"/>
      <c r="C22" s="4"/>
      <c r="D22" s="79"/>
      <c r="E22" s="79"/>
      <c r="F22" s="79"/>
      <c r="G22" s="18"/>
      <c r="H22" s="26"/>
      <c r="I22" s="20"/>
    </row>
    <row r="23" spans="1:9" ht="15" x14ac:dyDescent="0.25">
      <c r="A23" s="80"/>
      <c r="B23" s="75"/>
      <c r="C23" s="4"/>
      <c r="D23" s="79"/>
      <c r="E23" s="79"/>
      <c r="F23" s="79"/>
      <c r="G23" s="18"/>
      <c r="H23" s="26"/>
      <c r="I23" s="20"/>
    </row>
    <row r="24" spans="1:9" ht="15" x14ac:dyDescent="0.25">
      <c r="A24" s="80"/>
      <c r="B24" s="75"/>
      <c r="C24" s="4"/>
      <c r="D24" s="79"/>
      <c r="E24" s="79"/>
      <c r="F24" s="79"/>
      <c r="G24" s="18"/>
      <c r="H24" s="26"/>
      <c r="I24" s="20"/>
    </row>
    <row r="25" spans="1:9" ht="15.75" x14ac:dyDescent="0.25">
      <c r="A25" s="76"/>
      <c r="B25" s="77"/>
      <c r="C25" s="78"/>
      <c r="D25" s="81"/>
      <c r="E25" s="82"/>
      <c r="F25" s="83"/>
      <c r="G25" s="18"/>
      <c r="H25" s="26"/>
      <c r="I25" s="20"/>
    </row>
    <row r="26" spans="1:9" ht="15" x14ac:dyDescent="0.25">
      <c r="A26" s="84"/>
      <c r="B26" s="85"/>
      <c r="C26" s="86"/>
      <c r="D26" s="87"/>
      <c r="E26" s="88"/>
      <c r="F26" s="89"/>
      <c r="G26" s="18"/>
      <c r="H26" s="26"/>
      <c r="I26" s="20"/>
    </row>
    <row r="27" spans="1:9" ht="15" x14ac:dyDescent="0.25">
      <c r="A27" s="3"/>
      <c r="B27" s="3"/>
      <c r="C27" s="4"/>
      <c r="D27" s="90"/>
      <c r="E27" s="29"/>
      <c r="F27" s="30"/>
      <c r="G27" s="18"/>
      <c r="H27" s="26"/>
      <c r="I27" s="20"/>
    </row>
    <row r="28" spans="1:9" ht="15.75" x14ac:dyDescent="0.25">
      <c r="A28" s="52"/>
      <c r="B28" s="53"/>
      <c r="C28" s="54" t="s">
        <v>81</v>
      </c>
      <c r="D28" s="55"/>
      <c r="E28" s="56"/>
      <c r="F28" s="19"/>
      <c r="G28" s="18"/>
      <c r="H28" s="26"/>
      <c r="I28" s="20"/>
    </row>
    <row r="29" spans="1:9" ht="15" x14ac:dyDescent="0.25">
      <c r="A29" s="57"/>
      <c r="B29" s="58"/>
      <c r="C29" s="59"/>
      <c r="D29" s="31"/>
      <c r="E29" s="60"/>
      <c r="F29" s="61"/>
      <c r="G29" s="62"/>
      <c r="H29" s="26"/>
      <c r="I29" s="20"/>
    </row>
    <row r="30" spans="1:9" ht="15" x14ac:dyDescent="0.25">
      <c r="A30" s="57"/>
      <c r="B30" s="58"/>
      <c r="C30" s="59"/>
      <c r="D30" s="31"/>
      <c r="E30" s="60"/>
      <c r="F30" s="61"/>
      <c r="G30" s="62"/>
      <c r="H30" s="26"/>
      <c r="I30" s="20"/>
    </row>
    <row r="31" spans="1:9" ht="15" x14ac:dyDescent="0.25">
      <c r="A31" s="63"/>
      <c r="B31" s="64"/>
      <c r="C31" s="65"/>
      <c r="D31" s="31"/>
      <c r="E31" s="60"/>
      <c r="F31" s="61"/>
      <c r="G31" s="62"/>
      <c r="H31" s="26"/>
      <c r="I31" s="20"/>
    </row>
    <row r="32" spans="1:9" ht="15" x14ac:dyDescent="0.25">
      <c r="A32" s="66"/>
      <c r="B32" s="66"/>
      <c r="C32" s="67"/>
      <c r="D32" s="31"/>
      <c r="E32" s="60"/>
      <c r="F32" s="61"/>
      <c r="G32" s="18"/>
      <c r="H32" s="26"/>
      <c r="I32" s="20"/>
    </row>
    <row r="33" spans="1:10" ht="15" x14ac:dyDescent="0.25">
      <c r="A33" s="66"/>
      <c r="B33" s="66"/>
      <c r="C33" s="67"/>
      <c r="D33" s="31"/>
      <c r="E33" s="60"/>
      <c r="F33" s="61"/>
      <c r="G33" s="18"/>
      <c r="H33" s="26"/>
      <c r="I33" s="20"/>
      <c r="J33" s="175">
        <f>SUM(E10:E13)</f>
        <v>49600</v>
      </c>
    </row>
    <row r="34" spans="1:10" ht="15" x14ac:dyDescent="0.25">
      <c r="A34" s="66"/>
      <c r="B34" s="66"/>
      <c r="C34" s="67"/>
      <c r="D34" s="31"/>
      <c r="E34" s="60"/>
      <c r="F34" s="61"/>
      <c r="G34" s="68"/>
      <c r="H34" s="26"/>
      <c r="I34" s="20"/>
      <c r="J34" s="175">
        <f>+J33-600</f>
        <v>49000</v>
      </c>
    </row>
    <row r="35" spans="1:10" ht="15.75" x14ac:dyDescent="0.25">
      <c r="A35" s="66"/>
      <c r="B35" s="66"/>
      <c r="C35" s="67"/>
      <c r="D35" s="69"/>
      <c r="E35" s="60"/>
      <c r="F35" s="61"/>
      <c r="G35" s="32"/>
      <c r="H35" s="26"/>
      <c r="I35" s="20"/>
    </row>
    <row r="36" spans="1:10" ht="15" x14ac:dyDescent="0.25">
      <c r="A36" s="33"/>
      <c r="B36" s="33"/>
      <c r="C36" s="34"/>
      <c r="D36" s="31"/>
      <c r="E36" s="30"/>
      <c r="F36" s="30"/>
      <c r="G36" s="32"/>
      <c r="H36" s="19"/>
      <c r="I36" s="20"/>
    </row>
    <row r="37" spans="1:10" ht="14.25" thickBot="1" x14ac:dyDescent="0.3">
      <c r="A37" s="35"/>
      <c r="B37" s="36"/>
      <c r="C37" s="37" t="s">
        <v>51</v>
      </c>
      <c r="D37" s="37"/>
      <c r="E37" s="38"/>
      <c r="F37" s="39"/>
      <c r="G37" s="37"/>
      <c r="H37" s="37"/>
      <c r="I37" s="40"/>
    </row>
    <row r="38" spans="1:10" ht="14.25" thickBot="1" x14ac:dyDescent="0.3">
      <c r="A38" s="41"/>
      <c r="B38" s="42"/>
      <c r="C38" s="43" t="s">
        <v>51</v>
      </c>
      <c r="D38" s="44" t="s">
        <v>6</v>
      </c>
      <c r="E38" s="45" t="s">
        <v>15</v>
      </c>
      <c r="F38" s="46"/>
      <c r="G38" s="43"/>
      <c r="H38" s="43"/>
      <c r="I38" s="47"/>
    </row>
    <row r="39" spans="1:10" ht="13.5" x14ac:dyDescent="0.25">
      <c r="A39" s="210" t="s">
        <v>10</v>
      </c>
      <c r="B39" s="211"/>
      <c r="C39" s="212"/>
      <c r="D39" s="48">
        <v>49000</v>
      </c>
      <c r="E39" s="49" t="s">
        <v>26</v>
      </c>
      <c r="F39" s="213" t="s">
        <v>52</v>
      </c>
      <c r="G39" s="213"/>
      <c r="H39" s="214"/>
      <c r="I39" s="215"/>
    </row>
    <row r="40" spans="1:10" ht="13.5" x14ac:dyDescent="0.25">
      <c r="A40" s="216" t="s">
        <v>9</v>
      </c>
      <c r="B40" s="217"/>
      <c r="C40" s="218"/>
      <c r="D40" s="29">
        <v>11</v>
      </c>
      <c r="E40" s="28" t="s">
        <v>28</v>
      </c>
      <c r="F40" s="219" t="s">
        <v>53</v>
      </c>
      <c r="G40" s="219"/>
      <c r="H40" s="220"/>
      <c r="I40" s="221"/>
    </row>
    <row r="41" spans="1:10" ht="13.5" x14ac:dyDescent="0.25">
      <c r="A41" s="216" t="s">
        <v>14</v>
      </c>
      <c r="B41" s="217"/>
      <c r="C41" s="218"/>
      <c r="D41" s="29">
        <v>1</v>
      </c>
      <c r="E41" s="28" t="s">
        <v>27</v>
      </c>
      <c r="F41" s="219" t="s">
        <v>54</v>
      </c>
      <c r="G41" s="219"/>
      <c r="H41" s="220"/>
      <c r="I41" s="221"/>
    </row>
    <row r="42" spans="1:10" ht="13.5" x14ac:dyDescent="0.25">
      <c r="A42" s="216" t="s">
        <v>13</v>
      </c>
      <c r="B42" s="217"/>
      <c r="C42" s="218"/>
      <c r="D42" s="29">
        <v>49000</v>
      </c>
      <c r="E42" s="28" t="s">
        <v>26</v>
      </c>
      <c r="F42" s="222" t="s">
        <v>55</v>
      </c>
      <c r="G42" s="223"/>
      <c r="H42" s="224"/>
      <c r="I42" s="225"/>
    </row>
    <row r="43" spans="1:10" ht="14.25" thickBot="1" x14ac:dyDescent="0.3">
      <c r="A43" s="229" t="s">
        <v>12</v>
      </c>
      <c r="B43" s="230"/>
      <c r="C43" s="231"/>
      <c r="D43" s="50">
        <v>600</v>
      </c>
      <c r="E43" s="51" t="s">
        <v>26</v>
      </c>
      <c r="F43" s="232"/>
      <c r="G43" s="232"/>
      <c r="H43" s="220"/>
      <c r="I43" s="221"/>
    </row>
    <row r="44" spans="1:10" ht="13.5" thickBot="1" x14ac:dyDescent="0.25">
      <c r="A44" s="233" t="s">
        <v>11</v>
      </c>
      <c r="B44" s="234"/>
      <c r="C44" s="234"/>
      <c r="D44" s="234"/>
      <c r="E44" s="234"/>
      <c r="F44" s="234"/>
      <c r="G44" s="234"/>
      <c r="H44" s="234"/>
      <c r="I44" s="235"/>
    </row>
    <row r="45" spans="1:10" ht="15" x14ac:dyDescent="0.25">
      <c r="A45" s="236" t="s">
        <v>37</v>
      </c>
      <c r="B45" s="237"/>
      <c r="C45" s="237"/>
      <c r="D45" s="237"/>
      <c r="E45" s="237"/>
      <c r="F45" s="237"/>
      <c r="G45" s="237"/>
      <c r="H45" s="237"/>
      <c r="I45" s="238"/>
    </row>
    <row r="46" spans="1:10" ht="15" x14ac:dyDescent="0.25">
      <c r="A46" s="236" t="s">
        <v>40</v>
      </c>
      <c r="B46" s="237"/>
      <c r="C46" s="237"/>
      <c r="D46" s="237"/>
      <c r="E46" s="237"/>
      <c r="F46" s="237"/>
      <c r="G46" s="237"/>
      <c r="H46" s="237"/>
      <c r="I46" s="238"/>
    </row>
    <row r="47" spans="1:10" ht="15" x14ac:dyDescent="0.25">
      <c r="A47" s="236" t="s">
        <v>38</v>
      </c>
      <c r="B47" s="237"/>
      <c r="C47" s="237"/>
      <c r="D47" s="237"/>
      <c r="E47" s="237"/>
      <c r="F47" s="237"/>
      <c r="G47" s="237"/>
      <c r="H47" s="237"/>
      <c r="I47" s="238"/>
    </row>
    <row r="48" spans="1:10" ht="15" x14ac:dyDescent="0.25">
      <c r="A48" s="236" t="s">
        <v>39</v>
      </c>
      <c r="B48" s="237"/>
      <c r="C48" s="237"/>
      <c r="D48" s="237"/>
      <c r="E48" s="237"/>
      <c r="F48" s="237"/>
      <c r="G48" s="237"/>
      <c r="H48" s="237"/>
      <c r="I48" s="238"/>
    </row>
    <row r="49" spans="1:9" ht="15" x14ac:dyDescent="0.25">
      <c r="A49" s="236"/>
      <c r="B49" s="237"/>
      <c r="C49" s="237"/>
      <c r="D49" s="237"/>
      <c r="E49" s="237"/>
      <c r="F49" s="237"/>
      <c r="G49" s="237"/>
      <c r="H49" s="237"/>
      <c r="I49" s="238"/>
    </row>
    <row r="50" spans="1:9" ht="15" x14ac:dyDescent="0.25">
      <c r="A50" s="236"/>
      <c r="B50" s="237"/>
      <c r="C50" s="237"/>
      <c r="D50" s="237"/>
      <c r="E50" s="237"/>
      <c r="F50" s="237"/>
      <c r="G50" s="237"/>
      <c r="H50" s="237"/>
      <c r="I50" s="238"/>
    </row>
    <row r="51" spans="1:9" ht="13.5" x14ac:dyDescent="0.25">
      <c r="A51" s="226"/>
      <c r="B51" s="227"/>
      <c r="C51" s="227"/>
      <c r="D51" s="227"/>
      <c r="E51" s="227"/>
      <c r="F51" s="227"/>
      <c r="G51" s="227"/>
      <c r="H51" s="227"/>
      <c r="I51" s="228"/>
    </row>
    <row r="52" spans="1:9" ht="13.5" x14ac:dyDescent="0.25">
      <c r="A52" s="226"/>
      <c r="B52" s="227"/>
      <c r="C52" s="227"/>
      <c r="D52" s="227"/>
      <c r="E52" s="227"/>
      <c r="F52" s="227"/>
      <c r="G52" s="227"/>
      <c r="H52" s="227"/>
      <c r="I52" s="228"/>
    </row>
    <row r="53" spans="1:9" ht="13.5" x14ac:dyDescent="0.25">
      <c r="A53" s="226"/>
      <c r="B53" s="227"/>
      <c r="C53" s="227"/>
      <c r="D53" s="227"/>
      <c r="E53" s="227"/>
      <c r="F53" s="227"/>
      <c r="G53" s="227"/>
      <c r="H53" s="227"/>
      <c r="I53" s="228"/>
    </row>
    <row r="54" spans="1:9" ht="14.25" thickBot="1" x14ac:dyDescent="0.3">
      <c r="A54" s="226"/>
      <c r="B54" s="227"/>
      <c r="C54" s="227"/>
      <c r="D54" s="227"/>
      <c r="E54" s="227"/>
      <c r="F54" s="227"/>
      <c r="G54" s="227"/>
      <c r="H54" s="227"/>
      <c r="I54" s="228"/>
    </row>
    <row r="55" spans="1:9" x14ac:dyDescent="0.2">
      <c r="A55" s="239" t="s">
        <v>56</v>
      </c>
      <c r="B55" s="240"/>
      <c r="C55" s="240"/>
      <c r="D55" s="240"/>
      <c r="E55" s="240"/>
      <c r="F55" s="240"/>
      <c r="G55" s="240"/>
      <c r="H55" s="240"/>
      <c r="I55" s="240"/>
    </row>
    <row r="56" spans="1:9" ht="13.5" x14ac:dyDescent="0.25">
      <c r="A56" s="241"/>
      <c r="B56" s="242"/>
      <c r="C56" s="242"/>
      <c r="D56" s="242"/>
      <c r="E56" s="242"/>
      <c r="F56" s="242"/>
      <c r="G56" s="242"/>
      <c r="H56" s="242"/>
      <c r="I56" s="242"/>
    </row>
    <row r="57" spans="1:9" ht="13.5" x14ac:dyDescent="0.25">
      <c r="A57" s="241"/>
      <c r="B57" s="242"/>
      <c r="C57" s="242"/>
      <c r="D57" s="242"/>
      <c r="E57" s="242"/>
      <c r="F57" s="242"/>
      <c r="G57" s="242"/>
      <c r="H57" s="242"/>
      <c r="I57" s="242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C307A-C619-429E-A9B4-39034F0C14CA}">
  <dimension ref="A2:L23"/>
  <sheetViews>
    <sheetView topLeftCell="A7" workbookViewId="0">
      <selection activeCell="L21" sqref="L21:L23"/>
    </sheetView>
  </sheetViews>
  <sheetFormatPr baseColWidth="10" defaultRowHeight="12.75" x14ac:dyDescent="0.2"/>
  <cols>
    <col min="1" max="1" width="18.7109375" customWidth="1"/>
    <col min="3" max="3" width="25.85546875" bestFit="1" customWidth="1"/>
  </cols>
  <sheetData>
    <row r="2" spans="1:2" x14ac:dyDescent="0.2">
      <c r="A2" t="s">
        <v>97</v>
      </c>
    </row>
    <row r="3" spans="1:2" x14ac:dyDescent="0.2">
      <c r="A3" t="s">
        <v>98</v>
      </c>
      <c r="B3" t="s">
        <v>99</v>
      </c>
    </row>
    <row r="4" spans="1:2" x14ac:dyDescent="0.2">
      <c r="A4" t="s">
        <v>100</v>
      </c>
      <c r="B4" t="s">
        <v>101</v>
      </c>
    </row>
    <row r="5" spans="1:2" x14ac:dyDescent="0.2">
      <c r="A5" t="s">
        <v>102</v>
      </c>
      <c r="B5" t="s">
        <v>103</v>
      </c>
    </row>
    <row r="6" spans="1:2" x14ac:dyDescent="0.2">
      <c r="A6" t="s">
        <v>104</v>
      </c>
      <c r="B6" t="s">
        <v>105</v>
      </c>
    </row>
    <row r="7" spans="1:2" x14ac:dyDescent="0.2">
      <c r="A7" t="s">
        <v>106</v>
      </c>
      <c r="B7" t="s">
        <v>107</v>
      </c>
    </row>
    <row r="8" spans="1:2" x14ac:dyDescent="0.2">
      <c r="A8" t="s">
        <v>108</v>
      </c>
      <c r="B8" t="s">
        <v>109</v>
      </c>
    </row>
    <row r="9" spans="1:2" x14ac:dyDescent="0.2">
      <c r="A9" t="s">
        <v>110</v>
      </c>
      <c r="B9" t="s">
        <v>111</v>
      </c>
    </row>
    <row r="10" spans="1:2" x14ac:dyDescent="0.2">
      <c r="A10" t="s">
        <v>112</v>
      </c>
      <c r="B10" t="s">
        <v>113</v>
      </c>
    </row>
    <row r="11" spans="1:2" x14ac:dyDescent="0.2">
      <c r="A11" t="s">
        <v>114</v>
      </c>
      <c r="B11" t="s">
        <v>51</v>
      </c>
    </row>
    <row r="12" spans="1:2" x14ac:dyDescent="0.2">
      <c r="A12" t="s">
        <v>115</v>
      </c>
      <c r="B12" t="s">
        <v>116</v>
      </c>
    </row>
    <row r="13" spans="1:2" x14ac:dyDescent="0.2">
      <c r="A13" t="s">
        <v>117</v>
      </c>
      <c r="B13" t="s">
        <v>118</v>
      </c>
    </row>
    <row r="14" spans="1:2" x14ac:dyDescent="0.2">
      <c r="A14" t="s">
        <v>119</v>
      </c>
      <c r="B14" t="s">
        <v>120</v>
      </c>
    </row>
    <row r="17" spans="1:12" x14ac:dyDescent="0.2">
      <c r="A17" t="s">
        <v>121</v>
      </c>
      <c r="B17" t="s">
        <v>122</v>
      </c>
    </row>
    <row r="18" spans="1:12" x14ac:dyDescent="0.2">
      <c r="A18" t="s">
        <v>123</v>
      </c>
      <c r="B18" t="s">
        <v>124</v>
      </c>
    </row>
    <row r="20" spans="1:12" x14ac:dyDescent="0.2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  <c r="I20" t="s">
        <v>133</v>
      </c>
      <c r="J20" t="s">
        <v>134</v>
      </c>
      <c r="K20" t="s">
        <v>135</v>
      </c>
    </row>
    <row r="21" spans="1:12" x14ac:dyDescent="0.2">
      <c r="A21" t="s">
        <v>45</v>
      </c>
      <c r="B21" t="s">
        <v>116</v>
      </c>
      <c r="C21" t="s">
        <v>136</v>
      </c>
      <c r="D21" t="s">
        <v>137</v>
      </c>
      <c r="E21" t="s">
        <v>138</v>
      </c>
      <c r="F21" t="s">
        <v>137</v>
      </c>
      <c r="G21" t="s">
        <v>137</v>
      </c>
      <c r="H21" t="s">
        <v>137</v>
      </c>
      <c r="I21" t="s">
        <v>139</v>
      </c>
      <c r="J21" t="s">
        <v>140</v>
      </c>
      <c r="K21" s="70" t="s">
        <v>141</v>
      </c>
      <c r="L21">
        <v>411.81</v>
      </c>
    </row>
    <row r="22" spans="1:12" x14ac:dyDescent="0.2">
      <c r="A22" t="s">
        <v>46</v>
      </c>
      <c r="B22" t="s">
        <v>116</v>
      </c>
      <c r="C22" t="s">
        <v>142</v>
      </c>
      <c r="D22" t="s">
        <v>143</v>
      </c>
      <c r="E22" t="s">
        <v>138</v>
      </c>
      <c r="F22" t="s">
        <v>143</v>
      </c>
      <c r="G22" t="s">
        <v>143</v>
      </c>
      <c r="H22" t="s">
        <v>143</v>
      </c>
      <c r="I22" t="s">
        <v>144</v>
      </c>
      <c r="J22" t="s">
        <v>145</v>
      </c>
      <c r="K22" t="s">
        <v>146</v>
      </c>
      <c r="L22">
        <v>149.43</v>
      </c>
    </row>
    <row r="23" spans="1:12" x14ac:dyDescent="0.2">
      <c r="A23" t="s">
        <v>44</v>
      </c>
      <c r="B23" t="s">
        <v>116</v>
      </c>
      <c r="C23" t="s">
        <v>147</v>
      </c>
      <c r="D23" t="s">
        <v>148</v>
      </c>
      <c r="E23" t="s">
        <v>138</v>
      </c>
      <c r="F23" t="s">
        <v>148</v>
      </c>
      <c r="G23" t="s">
        <v>148</v>
      </c>
      <c r="H23" t="s">
        <v>148</v>
      </c>
      <c r="I23" t="s">
        <v>149</v>
      </c>
      <c r="J23" t="s">
        <v>150</v>
      </c>
      <c r="K23" t="s">
        <v>151</v>
      </c>
      <c r="L23">
        <v>571.15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BE8C-C5D0-4C0A-AAD1-561C006A6053}">
  <dimension ref="A1:K57"/>
  <sheetViews>
    <sheetView zoomScale="70" zoomScaleNormal="70" workbookViewId="0">
      <selection activeCell="E10" sqref="E10:E14"/>
    </sheetView>
  </sheetViews>
  <sheetFormatPr baseColWidth="10" defaultRowHeight="12.75" x14ac:dyDescent="0.2"/>
  <cols>
    <col min="1" max="1" width="13.85546875" bestFit="1" customWidth="1"/>
    <col min="2" max="2" width="13.5703125" bestFit="1" customWidth="1"/>
    <col min="3" max="3" width="58.28515625" bestFit="1" customWidth="1"/>
    <col min="4" max="4" width="34.42578125" bestFit="1" customWidth="1"/>
    <col min="8" max="8" width="47.5703125" bestFit="1" customWidth="1"/>
    <col min="9" max="9" width="25.85546875" bestFit="1" customWidth="1"/>
  </cols>
  <sheetData>
    <row r="1" spans="1:11" ht="18" x14ac:dyDescent="0.25">
      <c r="A1" s="252"/>
      <c r="B1" s="253"/>
      <c r="C1" s="258" t="s">
        <v>22</v>
      </c>
      <c r="D1" s="258"/>
      <c r="E1" s="258"/>
      <c r="F1" s="258"/>
      <c r="G1" s="258"/>
      <c r="H1" s="91" t="s">
        <v>21</v>
      </c>
      <c r="I1" s="92" t="s">
        <v>58</v>
      </c>
    </row>
    <row r="2" spans="1:11" ht="18" customHeight="1" thickBot="1" x14ac:dyDescent="0.3">
      <c r="A2" s="254"/>
      <c r="B2" s="255"/>
      <c r="C2" s="259" t="s">
        <v>0</v>
      </c>
      <c r="D2" s="260"/>
      <c r="E2" s="260"/>
      <c r="F2" s="260"/>
      <c r="G2" s="261"/>
      <c r="H2" s="93" t="s">
        <v>20</v>
      </c>
      <c r="I2" s="94" t="s">
        <v>42</v>
      </c>
    </row>
    <row r="3" spans="1:11" ht="31.5" customHeight="1" thickBot="1" x14ac:dyDescent="0.25">
      <c r="A3" s="254"/>
      <c r="B3" s="255"/>
      <c r="C3" s="262" t="s">
        <v>59</v>
      </c>
      <c r="D3" s="263"/>
      <c r="E3" s="263"/>
      <c r="F3" s="263"/>
      <c r="G3" s="264"/>
      <c r="H3" s="265" t="s">
        <v>19</v>
      </c>
      <c r="I3" s="243">
        <v>45618</v>
      </c>
    </row>
    <row r="4" spans="1:11" ht="18" customHeight="1" x14ac:dyDescent="0.25">
      <c r="A4" s="254"/>
      <c r="B4" s="255"/>
      <c r="C4" s="95" t="s">
        <v>18</v>
      </c>
      <c r="D4" s="246" t="s">
        <v>47</v>
      </c>
      <c r="E4" s="247"/>
      <c r="F4" s="247"/>
      <c r="G4" s="248"/>
      <c r="H4" s="266"/>
      <c r="I4" s="244"/>
    </row>
    <row r="5" spans="1:11" ht="18.75" thickBot="1" x14ac:dyDescent="0.3">
      <c r="A5" s="256"/>
      <c r="B5" s="257"/>
      <c r="C5" s="96" t="s">
        <v>17</v>
      </c>
      <c r="D5" s="249" t="s">
        <v>48</v>
      </c>
      <c r="E5" s="250"/>
      <c r="F5" s="250"/>
      <c r="G5" s="251"/>
      <c r="H5" s="267"/>
      <c r="I5" s="245"/>
    </row>
    <row r="6" spans="1:11" ht="18.75" thickBot="1" x14ac:dyDescent="0.3">
      <c r="A6" s="201" t="s">
        <v>23</v>
      </c>
      <c r="B6" s="201"/>
      <c r="C6" s="201"/>
      <c r="D6" s="268" t="s">
        <v>60</v>
      </c>
      <c r="E6" s="268"/>
      <c r="F6" s="268"/>
      <c r="G6" s="203" t="s">
        <v>24</v>
      </c>
      <c r="H6" s="203"/>
      <c r="I6" s="97" t="s">
        <v>60</v>
      </c>
    </row>
    <row r="7" spans="1:11" ht="36" x14ac:dyDescent="0.2">
      <c r="A7" s="269" t="s">
        <v>1</v>
      </c>
      <c r="B7" s="271" t="s">
        <v>49</v>
      </c>
      <c r="C7" s="273" t="s">
        <v>2</v>
      </c>
      <c r="D7" s="273" t="s">
        <v>3</v>
      </c>
      <c r="E7" s="273" t="s">
        <v>4</v>
      </c>
      <c r="F7" s="273"/>
      <c r="G7" s="273" t="s">
        <v>16</v>
      </c>
      <c r="H7" s="273"/>
      <c r="I7" s="98" t="s">
        <v>5</v>
      </c>
    </row>
    <row r="8" spans="1:11" ht="54.75" thickBot="1" x14ac:dyDescent="0.3">
      <c r="A8" s="270"/>
      <c r="B8" s="272"/>
      <c r="C8" s="274"/>
      <c r="D8" s="274"/>
      <c r="E8" s="99" t="s">
        <v>6</v>
      </c>
      <c r="F8" s="100" t="s">
        <v>7</v>
      </c>
      <c r="G8" s="99" t="s">
        <v>6</v>
      </c>
      <c r="H8" s="100" t="s">
        <v>7</v>
      </c>
      <c r="I8" s="101" t="s">
        <v>8</v>
      </c>
    </row>
    <row r="9" spans="1:11" ht="18.600000000000001" customHeight="1" x14ac:dyDescent="0.3">
      <c r="A9" s="102"/>
      <c r="B9" s="103"/>
      <c r="C9" s="104" t="s">
        <v>50</v>
      </c>
      <c r="D9" s="105"/>
      <c r="E9" s="106"/>
      <c r="F9" s="107"/>
      <c r="G9" s="106"/>
      <c r="H9" s="107"/>
      <c r="I9" s="108"/>
    </row>
    <row r="10" spans="1:11" ht="18" customHeight="1" x14ac:dyDescent="0.3">
      <c r="A10" s="109">
        <v>11200081</v>
      </c>
      <c r="B10" s="110" t="s">
        <v>61</v>
      </c>
      <c r="C10" s="111" t="s">
        <v>62</v>
      </c>
      <c r="D10" s="112" t="s">
        <v>63</v>
      </c>
      <c r="E10" s="113">
        <v>5100</v>
      </c>
      <c r="F10" s="114" t="s">
        <v>26</v>
      </c>
      <c r="G10" s="115"/>
      <c r="H10" s="116"/>
      <c r="I10" s="108"/>
      <c r="J10">
        <f>+E10/$D$39</f>
        <v>0.20158102766798419</v>
      </c>
      <c r="K10">
        <f>+J10*1000</f>
        <v>201.58102766798419</v>
      </c>
    </row>
    <row r="11" spans="1:11" ht="18.75" x14ac:dyDescent="0.3">
      <c r="A11" s="112" t="s">
        <v>64</v>
      </c>
      <c r="B11" s="112" t="s">
        <v>65</v>
      </c>
      <c r="C11" s="117" t="s">
        <v>66</v>
      </c>
      <c r="D11" s="112" t="s">
        <v>67</v>
      </c>
      <c r="E11" s="113">
        <v>11300</v>
      </c>
      <c r="F11" s="114" t="s">
        <v>26</v>
      </c>
      <c r="G11" s="115"/>
      <c r="H11" s="116"/>
      <c r="I11" s="108"/>
      <c r="J11">
        <f t="shared" ref="J11:J14" si="0">+E11/$D$39</f>
        <v>0.44664031620553357</v>
      </c>
      <c r="K11">
        <f>+J11*1000</f>
        <v>446.64031620553357</v>
      </c>
    </row>
    <row r="12" spans="1:11" ht="18.75" x14ac:dyDescent="0.3">
      <c r="A12" s="112" t="s">
        <v>68</v>
      </c>
      <c r="B12" s="112" t="s">
        <v>69</v>
      </c>
      <c r="C12" s="117" t="s">
        <v>70</v>
      </c>
      <c r="D12" s="112" t="s">
        <v>71</v>
      </c>
      <c r="E12" s="113">
        <v>8600</v>
      </c>
      <c r="F12" s="114" t="s">
        <v>26</v>
      </c>
      <c r="G12" s="115"/>
      <c r="H12" s="116"/>
      <c r="I12" s="108"/>
      <c r="J12">
        <f t="shared" si="0"/>
        <v>0.33992094861660077</v>
      </c>
      <c r="K12">
        <f t="shared" ref="K12:K14" si="1">+J12*1000</f>
        <v>339.92094861660075</v>
      </c>
    </row>
    <row r="13" spans="1:11" ht="18.75" x14ac:dyDescent="0.3">
      <c r="A13" s="112" t="s">
        <v>72</v>
      </c>
      <c r="B13" s="112" t="s">
        <v>73</v>
      </c>
      <c r="C13" s="117" t="s">
        <v>74</v>
      </c>
      <c r="D13" s="112" t="s">
        <v>75</v>
      </c>
      <c r="E13" s="113">
        <v>50</v>
      </c>
      <c r="F13" s="114" t="s">
        <v>26</v>
      </c>
      <c r="G13" s="115"/>
      <c r="H13" s="116"/>
      <c r="I13" s="108"/>
      <c r="J13">
        <f t="shared" si="0"/>
        <v>1.976284584980237E-3</v>
      </c>
      <c r="K13">
        <f t="shared" si="1"/>
        <v>1.9762845849802371</v>
      </c>
    </row>
    <row r="14" spans="1:11" ht="18.75" x14ac:dyDescent="0.3">
      <c r="A14" s="112">
        <v>10100046</v>
      </c>
      <c r="B14" s="112" t="s">
        <v>76</v>
      </c>
      <c r="C14" s="117" t="s">
        <v>77</v>
      </c>
      <c r="D14" s="112" t="s">
        <v>78</v>
      </c>
      <c r="E14" s="113">
        <v>250</v>
      </c>
      <c r="F14" s="114" t="s">
        <v>26</v>
      </c>
      <c r="G14" s="115"/>
      <c r="H14" s="116"/>
      <c r="I14" s="108"/>
      <c r="J14">
        <f t="shared" si="0"/>
        <v>9.881422924901186E-3</v>
      </c>
      <c r="K14">
        <f t="shared" si="1"/>
        <v>9.8814229249011856</v>
      </c>
    </row>
    <row r="15" spans="1:11" ht="18.75" x14ac:dyDescent="0.3">
      <c r="A15" s="112"/>
      <c r="B15" s="112"/>
      <c r="C15" s="117"/>
      <c r="D15" s="112"/>
      <c r="E15" s="113"/>
      <c r="F15" s="114"/>
      <c r="G15" s="115"/>
      <c r="H15" s="116"/>
      <c r="I15" s="108"/>
    </row>
    <row r="16" spans="1:11" ht="18.75" x14ac:dyDescent="0.3">
      <c r="A16" s="112"/>
      <c r="B16" s="112"/>
      <c r="C16" s="117"/>
      <c r="D16" s="112"/>
      <c r="E16" s="113"/>
      <c r="F16" s="114"/>
      <c r="G16" s="115"/>
      <c r="H16" s="116"/>
      <c r="I16" s="108"/>
    </row>
    <row r="17" spans="1:9" ht="18.75" x14ac:dyDescent="0.3">
      <c r="A17" s="112"/>
      <c r="B17" s="112"/>
      <c r="C17" s="117"/>
      <c r="D17" s="112"/>
      <c r="E17" s="113"/>
      <c r="F17" s="114"/>
      <c r="G17" s="115"/>
      <c r="H17" s="116"/>
      <c r="I17" s="108"/>
    </row>
    <row r="18" spans="1:9" ht="18.75" x14ac:dyDescent="0.3">
      <c r="A18" s="112"/>
      <c r="B18" s="112"/>
      <c r="C18" s="117"/>
      <c r="D18" s="112"/>
      <c r="E18" s="113"/>
      <c r="F18" s="114"/>
      <c r="G18" s="115"/>
      <c r="H18" s="116"/>
      <c r="I18" s="108"/>
    </row>
    <row r="19" spans="1:9" ht="18.75" x14ac:dyDescent="0.3">
      <c r="A19" s="112"/>
      <c r="B19" s="112"/>
      <c r="C19" s="117"/>
      <c r="D19" s="112"/>
      <c r="E19" s="113"/>
      <c r="F19" s="114"/>
      <c r="G19" s="115"/>
      <c r="H19" s="116"/>
      <c r="I19" s="108"/>
    </row>
    <row r="20" spans="1:9" ht="18.75" x14ac:dyDescent="0.3">
      <c r="A20" s="118"/>
      <c r="B20" s="118"/>
      <c r="C20" s="111"/>
      <c r="D20" s="119"/>
      <c r="E20" s="119"/>
      <c r="F20" s="119"/>
      <c r="G20" s="120"/>
      <c r="H20" s="116"/>
      <c r="I20" s="108"/>
    </row>
    <row r="21" spans="1:9" ht="18.75" x14ac:dyDescent="0.3">
      <c r="A21" s="121"/>
      <c r="B21" s="122"/>
      <c r="C21" s="123" t="s">
        <v>186</v>
      </c>
      <c r="D21" s="119"/>
      <c r="E21" s="119"/>
      <c r="F21" s="119"/>
      <c r="G21" s="120"/>
      <c r="H21" s="116"/>
      <c r="I21" s="108"/>
    </row>
    <row r="22" spans="1:9" ht="18.75" x14ac:dyDescent="0.3">
      <c r="A22" s="109"/>
      <c r="B22" s="110"/>
      <c r="C22" s="111"/>
      <c r="D22" s="124"/>
      <c r="E22" s="124"/>
      <c r="F22" s="124"/>
      <c r="G22" s="106"/>
      <c r="H22" s="116"/>
      <c r="I22" s="108"/>
    </row>
    <row r="23" spans="1:9" ht="18.75" x14ac:dyDescent="0.3">
      <c r="A23" s="125"/>
      <c r="B23" s="118"/>
      <c r="C23" s="111"/>
      <c r="D23" s="124"/>
      <c r="E23" s="124"/>
      <c r="F23" s="124"/>
      <c r="G23" s="106"/>
      <c r="H23" s="116"/>
      <c r="I23" s="108"/>
    </row>
    <row r="24" spans="1:9" ht="18.75" x14ac:dyDescent="0.3">
      <c r="A24" s="125"/>
      <c r="B24" s="118"/>
      <c r="C24" s="111"/>
      <c r="D24" s="124"/>
      <c r="E24" s="124"/>
      <c r="F24" s="124"/>
      <c r="G24" s="106"/>
      <c r="H24" s="116"/>
      <c r="I24" s="108"/>
    </row>
    <row r="25" spans="1:9" ht="18.75" x14ac:dyDescent="0.3">
      <c r="A25" s="121"/>
      <c r="B25" s="122"/>
      <c r="C25" s="123"/>
      <c r="D25" s="126"/>
      <c r="E25" s="127"/>
      <c r="F25" s="128"/>
      <c r="G25" s="106"/>
      <c r="H25" s="116"/>
      <c r="I25" s="108"/>
    </row>
    <row r="26" spans="1:9" ht="18.75" x14ac:dyDescent="0.3">
      <c r="A26" s="129"/>
      <c r="B26" s="130"/>
      <c r="C26" s="131"/>
      <c r="D26" s="132"/>
      <c r="E26" s="133"/>
      <c r="F26" s="134"/>
      <c r="G26" s="106"/>
      <c r="H26" s="116"/>
      <c r="I26" s="108"/>
    </row>
    <row r="27" spans="1:9" ht="18.75" x14ac:dyDescent="0.3">
      <c r="A27" s="110"/>
      <c r="B27" s="110"/>
      <c r="C27" s="111"/>
      <c r="D27" s="135"/>
      <c r="E27" s="136"/>
      <c r="F27" s="137"/>
      <c r="G27" s="106"/>
      <c r="H27" s="116"/>
      <c r="I27" s="108"/>
    </row>
    <row r="28" spans="1:9" ht="18.75" x14ac:dyDescent="0.3">
      <c r="A28" s="138"/>
      <c r="B28" s="139"/>
      <c r="C28" s="140" t="s">
        <v>81</v>
      </c>
      <c r="D28" s="141"/>
      <c r="E28" s="142"/>
      <c r="F28" s="107"/>
      <c r="G28" s="106"/>
      <c r="H28" s="116"/>
      <c r="I28" s="108"/>
    </row>
    <row r="29" spans="1:9" ht="18.75" x14ac:dyDescent="0.3">
      <c r="A29" s="143" t="s">
        <v>82</v>
      </c>
      <c r="B29" s="144" t="s">
        <v>83</v>
      </c>
      <c r="C29" s="145" t="s">
        <v>84</v>
      </c>
      <c r="D29" s="119"/>
      <c r="E29" s="146">
        <v>1</v>
      </c>
      <c r="F29" s="147" t="s">
        <v>27</v>
      </c>
      <c r="G29" s="148"/>
      <c r="H29" s="116"/>
      <c r="I29" s="108"/>
    </row>
    <row r="30" spans="1:9" ht="18.75" x14ac:dyDescent="0.3">
      <c r="A30" s="143">
        <v>503000042</v>
      </c>
      <c r="B30" s="144" t="s">
        <v>85</v>
      </c>
      <c r="C30" s="145" t="s">
        <v>86</v>
      </c>
      <c r="D30" s="119"/>
      <c r="E30" s="146">
        <v>1</v>
      </c>
      <c r="F30" s="147" t="s">
        <v>27</v>
      </c>
      <c r="G30" s="148"/>
      <c r="H30" s="116"/>
      <c r="I30" s="108"/>
    </row>
    <row r="31" spans="1:9" ht="18.75" x14ac:dyDescent="0.3">
      <c r="A31" s="149">
        <v>702123</v>
      </c>
      <c r="B31" s="150" t="s">
        <v>87</v>
      </c>
      <c r="C31" s="151" t="s">
        <v>88</v>
      </c>
      <c r="D31" s="119"/>
      <c r="E31" s="146">
        <v>2</v>
      </c>
      <c r="F31" s="147" t="s">
        <v>27</v>
      </c>
      <c r="G31" s="148"/>
      <c r="H31" s="116"/>
      <c r="I31" s="108"/>
    </row>
    <row r="32" spans="1:9" ht="18.75" x14ac:dyDescent="0.3">
      <c r="A32" s="152">
        <v>1950705</v>
      </c>
      <c r="B32" s="152" t="s">
        <v>89</v>
      </c>
      <c r="C32" s="153" t="s">
        <v>90</v>
      </c>
      <c r="D32" s="119"/>
      <c r="E32" s="146">
        <v>1</v>
      </c>
      <c r="F32" s="147" t="s">
        <v>27</v>
      </c>
      <c r="G32" s="106"/>
      <c r="H32" s="116"/>
      <c r="I32" s="108"/>
    </row>
    <row r="33" spans="1:9" ht="18.75" x14ac:dyDescent="0.3">
      <c r="A33" s="152">
        <v>60100010</v>
      </c>
      <c r="B33" s="152" t="s">
        <v>91</v>
      </c>
      <c r="C33" s="153" t="s">
        <v>92</v>
      </c>
      <c r="D33" s="119"/>
      <c r="E33" s="146">
        <v>1</v>
      </c>
      <c r="F33" s="147" t="s">
        <v>27</v>
      </c>
      <c r="G33" s="106"/>
      <c r="H33" s="116"/>
      <c r="I33" s="108"/>
    </row>
    <row r="34" spans="1:9" ht="18.75" x14ac:dyDescent="0.3">
      <c r="A34" s="152"/>
      <c r="B34" s="152"/>
      <c r="C34" s="153"/>
      <c r="D34" s="119"/>
      <c r="E34" s="146"/>
      <c r="F34" s="147"/>
      <c r="G34" s="154"/>
      <c r="H34" s="116"/>
      <c r="I34" s="108"/>
    </row>
    <row r="35" spans="1:9" ht="18.75" x14ac:dyDescent="0.3">
      <c r="A35" s="152"/>
      <c r="B35" s="152"/>
      <c r="C35" s="153"/>
      <c r="D35" s="119"/>
      <c r="E35" s="146"/>
      <c r="F35" s="147"/>
      <c r="G35" s="155"/>
      <c r="H35" s="116"/>
      <c r="I35" s="108"/>
    </row>
    <row r="36" spans="1:9" ht="18.75" x14ac:dyDescent="0.3">
      <c r="A36" s="156"/>
      <c r="B36" s="156"/>
      <c r="C36" s="157"/>
      <c r="D36" s="119"/>
      <c r="E36" s="137"/>
      <c r="F36" s="137"/>
      <c r="G36" s="155"/>
      <c r="H36" s="107"/>
      <c r="I36" s="108"/>
    </row>
    <row r="37" spans="1:9" ht="18.75" thickBot="1" x14ac:dyDescent="0.3">
      <c r="A37" s="158"/>
      <c r="B37" s="159"/>
      <c r="C37" s="160" t="s">
        <v>51</v>
      </c>
      <c r="D37" s="160"/>
      <c r="E37" s="161"/>
      <c r="F37" s="162"/>
      <c r="G37" s="160"/>
      <c r="H37" s="160"/>
      <c r="I37" s="163"/>
    </row>
    <row r="38" spans="1:9" ht="18.75" thickBot="1" x14ac:dyDescent="0.3">
      <c r="A38" s="164"/>
      <c r="B38" s="165"/>
      <c r="C38" s="166" t="s">
        <v>51</v>
      </c>
      <c r="D38" s="167" t="s">
        <v>6</v>
      </c>
      <c r="E38" s="168" t="s">
        <v>15</v>
      </c>
      <c r="F38" s="169"/>
      <c r="G38" s="166"/>
      <c r="H38" s="166"/>
      <c r="I38" s="170"/>
    </row>
    <row r="39" spans="1:9" ht="18" x14ac:dyDescent="0.25">
      <c r="A39" s="275" t="s">
        <v>10</v>
      </c>
      <c r="B39" s="276"/>
      <c r="C39" s="277"/>
      <c r="D39" s="171">
        <v>25300</v>
      </c>
      <c r="E39" s="172" t="s">
        <v>26</v>
      </c>
      <c r="F39" s="278" t="s">
        <v>52</v>
      </c>
      <c r="G39" s="278"/>
      <c r="H39" s="279"/>
      <c r="I39" s="280"/>
    </row>
    <row r="40" spans="1:9" ht="18" x14ac:dyDescent="0.25">
      <c r="A40" s="281" t="s">
        <v>9</v>
      </c>
      <c r="B40" s="282"/>
      <c r="C40" s="283"/>
      <c r="D40" s="136">
        <v>4</v>
      </c>
      <c r="E40" s="120" t="s">
        <v>28</v>
      </c>
      <c r="F40" s="284" t="s">
        <v>53</v>
      </c>
      <c r="G40" s="284"/>
      <c r="H40" s="285"/>
      <c r="I40" s="286"/>
    </row>
    <row r="41" spans="1:9" ht="18" x14ac:dyDescent="0.25">
      <c r="A41" s="281" t="s">
        <v>14</v>
      </c>
      <c r="B41" s="282"/>
      <c r="C41" s="283"/>
      <c r="D41" s="136">
        <v>1</v>
      </c>
      <c r="E41" s="120" t="s">
        <v>93</v>
      </c>
      <c r="F41" s="284" t="s">
        <v>54</v>
      </c>
      <c r="G41" s="284"/>
      <c r="H41" s="285"/>
      <c r="I41" s="286"/>
    </row>
    <row r="42" spans="1:9" ht="18" x14ac:dyDescent="0.25">
      <c r="A42" s="281" t="s">
        <v>13</v>
      </c>
      <c r="B42" s="282"/>
      <c r="C42" s="283"/>
      <c r="D42" s="136">
        <v>25300</v>
      </c>
      <c r="E42" s="120" t="s">
        <v>26</v>
      </c>
      <c r="F42" s="287" t="s">
        <v>55</v>
      </c>
      <c r="G42" s="288"/>
      <c r="H42" s="289"/>
      <c r="I42" s="290"/>
    </row>
    <row r="43" spans="1:9" ht="18.75" thickBot="1" x14ac:dyDescent="0.3">
      <c r="A43" s="294" t="s">
        <v>12</v>
      </c>
      <c r="B43" s="295"/>
      <c r="C43" s="296"/>
      <c r="D43" s="173">
        <v>0</v>
      </c>
      <c r="E43" s="174" t="s">
        <v>26</v>
      </c>
      <c r="F43" s="297"/>
      <c r="G43" s="297"/>
      <c r="H43" s="285"/>
      <c r="I43" s="286"/>
    </row>
    <row r="44" spans="1:9" ht="18.75" thickBot="1" x14ac:dyDescent="0.3">
      <c r="A44" s="298" t="s">
        <v>11</v>
      </c>
      <c r="B44" s="299"/>
      <c r="C44" s="299"/>
      <c r="D44" s="299"/>
      <c r="E44" s="299"/>
      <c r="F44" s="299"/>
      <c r="G44" s="299"/>
      <c r="H44" s="299"/>
      <c r="I44" s="300"/>
    </row>
    <row r="45" spans="1:9" ht="14.45" customHeight="1" x14ac:dyDescent="0.25">
      <c r="A45" s="301" t="s">
        <v>94</v>
      </c>
      <c r="B45" s="302"/>
      <c r="C45" s="302"/>
      <c r="D45" s="302"/>
      <c r="E45" s="302"/>
      <c r="F45" s="302"/>
      <c r="G45" s="302"/>
      <c r="H45" s="302"/>
      <c r="I45" s="303"/>
    </row>
    <row r="46" spans="1:9" ht="15.6" customHeight="1" x14ac:dyDescent="0.25">
      <c r="A46" s="301" t="s">
        <v>95</v>
      </c>
      <c r="B46" s="302"/>
      <c r="C46" s="302"/>
      <c r="D46" s="302"/>
      <c r="E46" s="302"/>
      <c r="F46" s="302"/>
      <c r="G46" s="302"/>
      <c r="H46" s="302"/>
      <c r="I46" s="303"/>
    </row>
    <row r="47" spans="1:9" ht="14.45" customHeight="1" x14ac:dyDescent="0.25">
      <c r="A47" s="301"/>
      <c r="B47" s="302"/>
      <c r="C47" s="302"/>
      <c r="D47" s="302"/>
      <c r="E47" s="302"/>
      <c r="F47" s="302"/>
      <c r="G47" s="302"/>
      <c r="H47" s="302"/>
      <c r="I47" s="303"/>
    </row>
    <row r="48" spans="1:9" ht="18" x14ac:dyDescent="0.25">
      <c r="A48" s="301"/>
      <c r="B48" s="302"/>
      <c r="C48" s="302"/>
      <c r="D48" s="302"/>
      <c r="E48" s="302"/>
      <c r="F48" s="302"/>
      <c r="G48" s="302"/>
      <c r="H48" s="302"/>
      <c r="I48" s="303"/>
    </row>
    <row r="49" spans="1:9" ht="18" x14ac:dyDescent="0.25">
      <c r="A49" s="304"/>
      <c r="B49" s="305"/>
      <c r="C49" s="305"/>
      <c r="D49" s="305"/>
      <c r="E49" s="305"/>
      <c r="F49" s="305"/>
      <c r="G49" s="305"/>
      <c r="H49" s="305"/>
      <c r="I49" s="306"/>
    </row>
    <row r="50" spans="1:9" ht="14.45" customHeight="1" x14ac:dyDescent="0.25">
      <c r="A50" s="307"/>
      <c r="B50" s="292"/>
      <c r="C50" s="292"/>
      <c r="D50" s="292"/>
      <c r="E50" s="292"/>
      <c r="F50" s="292"/>
      <c r="G50" s="292"/>
      <c r="H50" s="292"/>
      <c r="I50" s="308"/>
    </row>
    <row r="51" spans="1:9" ht="14.45" customHeight="1" x14ac:dyDescent="0.25">
      <c r="A51" s="291"/>
      <c r="B51" s="292"/>
      <c r="C51" s="292"/>
      <c r="D51" s="292"/>
      <c r="E51" s="292"/>
      <c r="F51" s="292"/>
      <c r="G51" s="292"/>
      <c r="H51" s="292"/>
      <c r="I51" s="293"/>
    </row>
    <row r="52" spans="1:9" ht="18" customHeight="1" x14ac:dyDescent="0.25">
      <c r="A52" s="291"/>
      <c r="B52" s="292"/>
      <c r="C52" s="292"/>
      <c r="D52" s="292"/>
      <c r="E52" s="292"/>
      <c r="F52" s="292"/>
      <c r="G52" s="292"/>
      <c r="H52" s="292"/>
      <c r="I52" s="293"/>
    </row>
    <row r="53" spans="1:9" ht="14.45" customHeight="1" x14ac:dyDescent="0.25">
      <c r="A53" s="291"/>
      <c r="B53" s="292"/>
      <c r="C53" s="292"/>
      <c r="D53" s="292"/>
      <c r="E53" s="292"/>
      <c r="F53" s="292"/>
      <c r="G53" s="292"/>
      <c r="H53" s="292"/>
      <c r="I53" s="293"/>
    </row>
    <row r="54" spans="1:9" ht="14.45" customHeight="1" thickBot="1" x14ac:dyDescent="0.3">
      <c r="A54" s="291"/>
      <c r="B54" s="292"/>
      <c r="C54" s="292"/>
      <c r="D54" s="292"/>
      <c r="E54" s="292"/>
      <c r="F54" s="292"/>
      <c r="G54" s="292"/>
      <c r="H54" s="292"/>
      <c r="I54" s="293"/>
    </row>
    <row r="55" spans="1:9" ht="14.45" customHeight="1" x14ac:dyDescent="0.25">
      <c r="A55" s="309" t="s">
        <v>56</v>
      </c>
      <c r="B55" s="310"/>
      <c r="C55" s="310"/>
      <c r="D55" s="310"/>
      <c r="E55" s="310"/>
      <c r="F55" s="310"/>
      <c r="G55" s="310"/>
      <c r="H55" s="310"/>
      <c r="I55" s="310"/>
    </row>
    <row r="56" spans="1:9" ht="13.5" x14ac:dyDescent="0.25">
      <c r="A56" s="241"/>
      <c r="B56" s="242"/>
      <c r="C56" s="242"/>
      <c r="D56" s="242"/>
      <c r="E56" s="242"/>
      <c r="F56" s="242"/>
      <c r="G56" s="242"/>
      <c r="H56" s="242"/>
      <c r="I56" s="242"/>
    </row>
    <row r="57" spans="1:9" ht="13.5" x14ac:dyDescent="0.25">
      <c r="A57" s="241"/>
      <c r="B57" s="242"/>
      <c r="C57" s="242"/>
      <c r="D57" s="242"/>
      <c r="E57" s="242"/>
      <c r="F57" s="242"/>
      <c r="G57" s="242"/>
      <c r="H57" s="242"/>
      <c r="I57" s="242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E36C-BB1E-45A9-995F-7C7F6D3C2ED2}">
  <dimension ref="A2:L27"/>
  <sheetViews>
    <sheetView topLeftCell="A5" workbookViewId="0">
      <selection activeCell="I24" sqref="I24"/>
    </sheetView>
  </sheetViews>
  <sheetFormatPr baseColWidth="10" defaultRowHeight="12.75" x14ac:dyDescent="0.2"/>
  <cols>
    <col min="3" max="3" width="18.28515625" customWidth="1"/>
    <col min="12" max="12" width="13.85546875" customWidth="1"/>
  </cols>
  <sheetData>
    <row r="2" spans="1:2" ht="15" x14ac:dyDescent="0.25">
      <c r="A2" s="72" t="s">
        <v>97</v>
      </c>
      <c r="B2" s="72"/>
    </row>
    <row r="3" spans="1:2" ht="15" x14ac:dyDescent="0.25">
      <c r="A3" s="72" t="s">
        <v>98</v>
      </c>
      <c r="B3" s="72" t="s">
        <v>99</v>
      </c>
    </row>
    <row r="4" spans="1:2" ht="15" x14ac:dyDescent="0.25">
      <c r="A4" s="72" t="s">
        <v>100</v>
      </c>
      <c r="B4" s="72" t="s">
        <v>152</v>
      </c>
    </row>
    <row r="5" spans="1:2" ht="15" x14ac:dyDescent="0.25">
      <c r="A5" s="72" t="s">
        <v>102</v>
      </c>
      <c r="B5" s="72" t="s">
        <v>103</v>
      </c>
    </row>
    <row r="6" spans="1:2" ht="15" x14ac:dyDescent="0.25">
      <c r="A6" s="72" t="s">
        <v>104</v>
      </c>
      <c r="B6" s="72" t="s">
        <v>153</v>
      </c>
    </row>
    <row r="7" spans="1:2" ht="15" x14ac:dyDescent="0.25">
      <c r="A7" s="72" t="s">
        <v>106</v>
      </c>
      <c r="B7" s="72" t="s">
        <v>107</v>
      </c>
    </row>
    <row r="8" spans="1:2" ht="15" x14ac:dyDescent="0.25">
      <c r="A8" s="72" t="s">
        <v>108</v>
      </c>
      <c r="B8" s="72" t="s">
        <v>109</v>
      </c>
    </row>
    <row r="9" spans="1:2" ht="15" x14ac:dyDescent="0.25">
      <c r="A9" s="72" t="s">
        <v>110</v>
      </c>
      <c r="B9" s="72" t="s">
        <v>154</v>
      </c>
    </row>
    <row r="10" spans="1:2" ht="15" x14ac:dyDescent="0.25">
      <c r="A10" s="72" t="s">
        <v>112</v>
      </c>
      <c r="B10" s="72" t="s">
        <v>113</v>
      </c>
    </row>
    <row r="11" spans="1:2" ht="15" x14ac:dyDescent="0.25">
      <c r="A11" s="72" t="s">
        <v>114</v>
      </c>
      <c r="B11" s="72" t="s">
        <v>51</v>
      </c>
    </row>
    <row r="12" spans="1:2" ht="15" x14ac:dyDescent="0.25">
      <c r="A12" s="72" t="s">
        <v>115</v>
      </c>
      <c r="B12" s="72" t="s">
        <v>116</v>
      </c>
    </row>
    <row r="13" spans="1:2" ht="15" x14ac:dyDescent="0.25">
      <c r="A13" s="72" t="s">
        <v>117</v>
      </c>
      <c r="B13" s="72" t="s">
        <v>118</v>
      </c>
    </row>
    <row r="14" spans="1:2" ht="15" x14ac:dyDescent="0.25">
      <c r="A14" s="72" t="s">
        <v>119</v>
      </c>
      <c r="B14" s="72" t="s">
        <v>120</v>
      </c>
    </row>
    <row r="17" spans="1:12" ht="15" x14ac:dyDescent="0.25">
      <c r="A17" s="72" t="s">
        <v>121</v>
      </c>
      <c r="B17" s="72" t="s">
        <v>122</v>
      </c>
      <c r="C17" s="72"/>
      <c r="D17" s="72"/>
      <c r="E17" s="72"/>
      <c r="F17" s="72"/>
      <c r="G17" s="72"/>
      <c r="H17" s="72"/>
      <c r="I17" s="72"/>
      <c r="J17" s="72"/>
      <c r="K17" s="72"/>
    </row>
    <row r="18" spans="1:12" ht="15" x14ac:dyDescent="0.25">
      <c r="A18" s="72" t="s">
        <v>155</v>
      </c>
      <c r="B18" s="72" t="s">
        <v>156</v>
      </c>
      <c r="C18" s="72"/>
      <c r="D18" s="72"/>
      <c r="E18" s="72"/>
      <c r="F18" s="72"/>
      <c r="G18" s="72"/>
      <c r="H18" s="72"/>
      <c r="I18" s="72"/>
      <c r="J18" s="72"/>
      <c r="K18" s="72"/>
    </row>
    <row r="20" spans="1:12" ht="15" x14ac:dyDescent="0.25">
      <c r="A20" s="72" t="s">
        <v>125</v>
      </c>
      <c r="B20" s="72" t="s">
        <v>126</v>
      </c>
      <c r="C20" s="72" t="s">
        <v>127</v>
      </c>
      <c r="D20" s="72" t="s">
        <v>128</v>
      </c>
      <c r="E20" s="72" t="s">
        <v>129</v>
      </c>
      <c r="F20" s="72" t="s">
        <v>130</v>
      </c>
      <c r="G20" s="72" t="s">
        <v>131</v>
      </c>
      <c r="H20" s="72" t="s">
        <v>132</v>
      </c>
      <c r="I20" s="72" t="s">
        <v>133</v>
      </c>
      <c r="J20" s="72" t="s">
        <v>134</v>
      </c>
      <c r="K20" s="72" t="s">
        <v>135</v>
      </c>
      <c r="L20" s="74" t="s">
        <v>135</v>
      </c>
    </row>
    <row r="21" spans="1:12" ht="15" x14ac:dyDescent="0.25">
      <c r="A21" s="72" t="s">
        <v>61</v>
      </c>
      <c r="B21" s="72" t="s">
        <v>116</v>
      </c>
      <c r="C21" s="72" t="s">
        <v>157</v>
      </c>
      <c r="D21" s="72" t="s">
        <v>158</v>
      </c>
      <c r="E21" s="72" t="s">
        <v>138</v>
      </c>
      <c r="F21" s="72" t="s">
        <v>158</v>
      </c>
      <c r="G21" s="72" t="s">
        <v>158</v>
      </c>
      <c r="H21" s="72" t="s">
        <v>158</v>
      </c>
      <c r="I21" s="72" t="s">
        <v>159</v>
      </c>
      <c r="J21" s="72" t="s">
        <v>140</v>
      </c>
      <c r="K21" s="72" t="s">
        <v>160</v>
      </c>
      <c r="L21">
        <v>709.56</v>
      </c>
    </row>
    <row r="22" spans="1:12" ht="15" x14ac:dyDescent="0.25">
      <c r="A22" s="72" t="s">
        <v>65</v>
      </c>
      <c r="B22" s="72" t="s">
        <v>116</v>
      </c>
      <c r="C22" s="72" t="s">
        <v>161</v>
      </c>
      <c r="D22" s="72" t="s">
        <v>162</v>
      </c>
      <c r="E22" s="72" t="s">
        <v>138</v>
      </c>
      <c r="F22" s="72" t="s">
        <v>162</v>
      </c>
      <c r="G22" s="72" t="s">
        <v>162</v>
      </c>
      <c r="H22" s="72" t="s">
        <v>162</v>
      </c>
      <c r="I22" s="72" t="s">
        <v>163</v>
      </c>
      <c r="J22" s="72" t="s">
        <v>140</v>
      </c>
      <c r="K22" s="72" t="s">
        <v>164</v>
      </c>
      <c r="L22">
        <v>192.2</v>
      </c>
    </row>
    <row r="23" spans="1:12" ht="15" x14ac:dyDescent="0.25">
      <c r="A23" s="72" t="s">
        <v>69</v>
      </c>
      <c r="B23" s="72" t="s">
        <v>116</v>
      </c>
      <c r="C23" s="72" t="s">
        <v>165</v>
      </c>
      <c r="D23" s="72" t="s">
        <v>166</v>
      </c>
      <c r="E23" s="72" t="s">
        <v>138</v>
      </c>
      <c r="F23" s="72" t="s">
        <v>166</v>
      </c>
      <c r="G23" s="72" t="s">
        <v>166</v>
      </c>
      <c r="H23" s="72" t="s">
        <v>166</v>
      </c>
      <c r="I23" s="72" t="s">
        <v>167</v>
      </c>
      <c r="J23" s="72" t="s">
        <v>140</v>
      </c>
      <c r="K23" s="72" t="s">
        <v>168</v>
      </c>
      <c r="L23">
        <v>174.95</v>
      </c>
    </row>
    <row r="24" spans="1:12" ht="15" x14ac:dyDescent="0.25">
      <c r="A24" s="72" t="s">
        <v>73</v>
      </c>
      <c r="B24" s="72" t="s">
        <v>116</v>
      </c>
      <c r="C24" s="72" t="s">
        <v>169</v>
      </c>
      <c r="D24" s="72" t="s">
        <v>170</v>
      </c>
      <c r="E24" s="72" t="s">
        <v>138</v>
      </c>
      <c r="F24" s="72" t="s">
        <v>170</v>
      </c>
      <c r="G24" s="72" t="s">
        <v>170</v>
      </c>
      <c r="H24" s="72" t="s">
        <v>170</v>
      </c>
      <c r="I24" s="72" t="s">
        <v>171</v>
      </c>
      <c r="J24" s="72" t="s">
        <v>140</v>
      </c>
      <c r="K24" s="72" t="s">
        <v>172</v>
      </c>
      <c r="L24">
        <v>14.5</v>
      </c>
    </row>
    <row r="25" spans="1:12" ht="15" x14ac:dyDescent="0.25">
      <c r="A25" s="72" t="s">
        <v>76</v>
      </c>
      <c r="B25" s="72" t="s">
        <v>116</v>
      </c>
      <c r="C25" s="72" t="s">
        <v>173</v>
      </c>
      <c r="D25" s="72" t="s">
        <v>174</v>
      </c>
      <c r="E25" s="72" t="s">
        <v>138</v>
      </c>
      <c r="F25" s="72" t="s">
        <v>174</v>
      </c>
      <c r="G25" s="72" t="s">
        <v>174</v>
      </c>
      <c r="H25" s="72" t="s">
        <v>174</v>
      </c>
      <c r="I25" s="72" t="s">
        <v>175</v>
      </c>
      <c r="J25" s="72" t="s">
        <v>140</v>
      </c>
      <c r="K25" s="72" t="s">
        <v>176</v>
      </c>
      <c r="L25">
        <v>9.94</v>
      </c>
    </row>
    <row r="26" spans="1:12" ht="15" x14ac:dyDescent="0.25">
      <c r="A26" s="72" t="s">
        <v>83</v>
      </c>
      <c r="B26" s="72" t="s">
        <v>116</v>
      </c>
      <c r="C26" s="72" t="s">
        <v>177</v>
      </c>
      <c r="D26" s="72" t="s">
        <v>178</v>
      </c>
      <c r="E26" s="72" t="s">
        <v>138</v>
      </c>
      <c r="F26" s="72" t="s">
        <v>178</v>
      </c>
      <c r="G26" s="72" t="s">
        <v>178</v>
      </c>
      <c r="H26" s="72" t="s">
        <v>178</v>
      </c>
      <c r="I26" s="72" t="s">
        <v>179</v>
      </c>
      <c r="J26" s="72" t="s">
        <v>140</v>
      </c>
      <c r="K26" s="72" t="s">
        <v>180</v>
      </c>
      <c r="L26">
        <v>3.42</v>
      </c>
    </row>
    <row r="27" spans="1:12" ht="15" x14ac:dyDescent="0.25">
      <c r="A27" s="72" t="s">
        <v>87</v>
      </c>
      <c r="B27" s="72" t="s">
        <v>116</v>
      </c>
      <c r="C27" s="72" t="s">
        <v>181</v>
      </c>
      <c r="D27" s="72" t="s">
        <v>182</v>
      </c>
      <c r="E27" s="72" t="s">
        <v>138</v>
      </c>
      <c r="F27" s="72" t="s">
        <v>182</v>
      </c>
      <c r="G27" s="72" t="s">
        <v>182</v>
      </c>
      <c r="H27" s="72" t="s">
        <v>182</v>
      </c>
      <c r="I27" s="72" t="s">
        <v>183</v>
      </c>
      <c r="J27" s="72" t="s">
        <v>134</v>
      </c>
      <c r="K27" s="72" t="s">
        <v>184</v>
      </c>
      <c r="L27">
        <v>0.17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6082-8A4C-4E79-975F-8C9E2AF4178E}">
  <dimension ref="A2:N25"/>
  <sheetViews>
    <sheetView workbookViewId="0">
      <selection sqref="A1:XFD1048576"/>
    </sheetView>
  </sheetViews>
  <sheetFormatPr baseColWidth="10" defaultRowHeight="12.75" x14ac:dyDescent="0.2"/>
  <cols>
    <col min="1" max="1" width="18.7109375" customWidth="1"/>
    <col min="3" max="3" width="24.7109375" customWidth="1"/>
  </cols>
  <sheetData>
    <row r="2" spans="1:2" x14ac:dyDescent="0.2">
      <c r="A2" t="s">
        <v>97</v>
      </c>
    </row>
    <row r="3" spans="1:2" x14ac:dyDescent="0.2">
      <c r="A3" t="s">
        <v>98</v>
      </c>
      <c r="B3" t="s">
        <v>99</v>
      </c>
    </row>
    <row r="4" spans="1:2" x14ac:dyDescent="0.2">
      <c r="A4" t="s">
        <v>100</v>
      </c>
      <c r="B4" t="s">
        <v>101</v>
      </c>
    </row>
    <row r="5" spans="1:2" x14ac:dyDescent="0.2">
      <c r="A5" t="s">
        <v>102</v>
      </c>
      <c r="B5" t="s">
        <v>103</v>
      </c>
    </row>
    <row r="6" spans="1:2" x14ac:dyDescent="0.2">
      <c r="A6" t="s">
        <v>104</v>
      </c>
      <c r="B6" t="s">
        <v>105</v>
      </c>
    </row>
    <row r="7" spans="1:2" x14ac:dyDescent="0.2">
      <c r="A7" t="s">
        <v>106</v>
      </c>
      <c r="B7" t="s">
        <v>107</v>
      </c>
    </row>
    <row r="8" spans="1:2" x14ac:dyDescent="0.2">
      <c r="A8" t="s">
        <v>108</v>
      </c>
      <c r="B8" t="s">
        <v>109</v>
      </c>
    </row>
    <row r="9" spans="1:2" x14ac:dyDescent="0.2">
      <c r="A9" t="s">
        <v>110</v>
      </c>
      <c r="B9" t="s">
        <v>111</v>
      </c>
    </row>
    <row r="10" spans="1:2" x14ac:dyDescent="0.2">
      <c r="A10" t="s">
        <v>112</v>
      </c>
      <c r="B10" t="s">
        <v>113</v>
      </c>
    </row>
    <row r="11" spans="1:2" x14ac:dyDescent="0.2">
      <c r="A11" t="s">
        <v>114</v>
      </c>
      <c r="B11" t="s">
        <v>51</v>
      </c>
    </row>
    <row r="12" spans="1:2" x14ac:dyDescent="0.2">
      <c r="A12" t="s">
        <v>115</v>
      </c>
      <c r="B12" t="s">
        <v>116</v>
      </c>
    </row>
    <row r="13" spans="1:2" x14ac:dyDescent="0.2">
      <c r="A13" t="s">
        <v>117</v>
      </c>
      <c r="B13" t="s">
        <v>118</v>
      </c>
    </row>
    <row r="14" spans="1:2" x14ac:dyDescent="0.2">
      <c r="A14" t="s">
        <v>119</v>
      </c>
      <c r="B14" t="s">
        <v>120</v>
      </c>
    </row>
    <row r="17" spans="1:14" x14ac:dyDescent="0.2">
      <c r="A17" t="s">
        <v>121</v>
      </c>
      <c r="B17" t="s">
        <v>122</v>
      </c>
    </row>
    <row r="18" spans="1:14" x14ac:dyDescent="0.2">
      <c r="A18" t="s">
        <v>123</v>
      </c>
      <c r="B18" t="s">
        <v>124</v>
      </c>
    </row>
    <row r="20" spans="1:14" x14ac:dyDescent="0.2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  <c r="I20" t="s">
        <v>133</v>
      </c>
      <c r="J20" t="s">
        <v>134</v>
      </c>
      <c r="K20" t="s">
        <v>135</v>
      </c>
      <c r="L20" t="s">
        <v>135</v>
      </c>
    </row>
    <row r="21" spans="1:14" x14ac:dyDescent="0.2">
      <c r="A21" t="s">
        <v>45</v>
      </c>
      <c r="B21" t="s">
        <v>116</v>
      </c>
      <c r="C21" t="s">
        <v>136</v>
      </c>
      <c r="D21" t="s">
        <v>137</v>
      </c>
      <c r="E21" t="s">
        <v>138</v>
      </c>
      <c r="F21">
        <v>90.81</v>
      </c>
      <c r="G21">
        <v>90.81</v>
      </c>
      <c r="H21">
        <v>90.81</v>
      </c>
      <c r="I21" t="s">
        <v>139</v>
      </c>
      <c r="J21" t="s">
        <v>140</v>
      </c>
      <c r="K21" s="70" t="s">
        <v>141</v>
      </c>
      <c r="L21">
        <v>205.8844</v>
      </c>
      <c r="N21">
        <f>90.81*2.2672</f>
        <v>205.884432</v>
      </c>
    </row>
    <row r="22" spans="1:14" x14ac:dyDescent="0.2">
      <c r="A22" t="s">
        <v>46</v>
      </c>
      <c r="B22" t="s">
        <v>116</v>
      </c>
      <c r="C22" t="s">
        <v>142</v>
      </c>
      <c r="D22" t="s">
        <v>143</v>
      </c>
      <c r="E22" t="s">
        <v>138</v>
      </c>
      <c r="F22" t="s">
        <v>143</v>
      </c>
      <c r="G22" t="s">
        <v>143</v>
      </c>
      <c r="H22" t="s">
        <v>143</v>
      </c>
      <c r="I22" t="s">
        <v>144</v>
      </c>
      <c r="J22" t="s">
        <v>145</v>
      </c>
      <c r="K22" t="s">
        <v>146</v>
      </c>
      <c r="L22">
        <v>149.43</v>
      </c>
    </row>
    <row r="23" spans="1:14" x14ac:dyDescent="0.2">
      <c r="A23" t="s">
        <v>44</v>
      </c>
      <c r="B23" t="s">
        <v>116</v>
      </c>
      <c r="C23" t="s">
        <v>147</v>
      </c>
      <c r="D23" t="s">
        <v>148</v>
      </c>
      <c r="E23" t="s">
        <v>138</v>
      </c>
      <c r="F23">
        <v>0.53</v>
      </c>
      <c r="G23">
        <v>0.53</v>
      </c>
      <c r="H23">
        <v>0.53</v>
      </c>
      <c r="I23">
        <v>1112</v>
      </c>
      <c r="J23" t="s">
        <v>150</v>
      </c>
      <c r="K23" t="s">
        <v>151</v>
      </c>
      <c r="L23">
        <f>0.53*I23</f>
        <v>589.36</v>
      </c>
    </row>
    <row r="25" spans="1:14" x14ac:dyDescent="0.2">
      <c r="L25">
        <f>SUM(L21:L24)</f>
        <v>944.67439999999999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2BA6-AFB6-440C-AE18-D82B3816CD5F}">
  <dimension ref="A2:N25"/>
  <sheetViews>
    <sheetView topLeftCell="A25" workbookViewId="0">
      <selection activeCell="I24" sqref="I24"/>
    </sheetView>
  </sheetViews>
  <sheetFormatPr baseColWidth="10" defaultRowHeight="12.75" x14ac:dyDescent="0.2"/>
  <cols>
    <col min="1" max="1" width="18.7109375" customWidth="1"/>
    <col min="3" max="3" width="24.7109375" customWidth="1"/>
  </cols>
  <sheetData>
    <row r="2" spans="1:2" x14ac:dyDescent="0.2">
      <c r="A2" t="s">
        <v>97</v>
      </c>
    </row>
    <row r="3" spans="1:2" x14ac:dyDescent="0.2">
      <c r="A3" t="s">
        <v>98</v>
      </c>
      <c r="B3" t="s">
        <v>99</v>
      </c>
    </row>
    <row r="4" spans="1:2" x14ac:dyDescent="0.2">
      <c r="A4" t="s">
        <v>100</v>
      </c>
      <c r="B4" t="s">
        <v>101</v>
      </c>
    </row>
    <row r="5" spans="1:2" x14ac:dyDescent="0.2">
      <c r="A5" t="s">
        <v>102</v>
      </c>
      <c r="B5" t="s">
        <v>103</v>
      </c>
    </row>
    <row r="6" spans="1:2" x14ac:dyDescent="0.2">
      <c r="A6" t="s">
        <v>104</v>
      </c>
      <c r="B6" t="s">
        <v>105</v>
      </c>
    </row>
    <row r="7" spans="1:2" x14ac:dyDescent="0.2">
      <c r="A7" t="s">
        <v>106</v>
      </c>
      <c r="B7" t="s">
        <v>107</v>
      </c>
    </row>
    <row r="8" spans="1:2" x14ac:dyDescent="0.2">
      <c r="A8" t="s">
        <v>108</v>
      </c>
      <c r="B8" t="s">
        <v>109</v>
      </c>
    </row>
    <row r="9" spans="1:2" x14ac:dyDescent="0.2">
      <c r="A9" t="s">
        <v>110</v>
      </c>
      <c r="B9" t="s">
        <v>111</v>
      </c>
    </row>
    <row r="10" spans="1:2" x14ac:dyDescent="0.2">
      <c r="A10" t="s">
        <v>112</v>
      </c>
      <c r="B10" t="s">
        <v>113</v>
      </c>
    </row>
    <row r="11" spans="1:2" x14ac:dyDescent="0.2">
      <c r="A11" t="s">
        <v>114</v>
      </c>
      <c r="B11" t="s">
        <v>51</v>
      </c>
    </row>
    <row r="12" spans="1:2" x14ac:dyDescent="0.2">
      <c r="A12" t="s">
        <v>115</v>
      </c>
      <c r="B12" t="s">
        <v>116</v>
      </c>
    </row>
    <row r="13" spans="1:2" x14ac:dyDescent="0.2">
      <c r="A13" t="s">
        <v>117</v>
      </c>
      <c r="B13" t="s">
        <v>118</v>
      </c>
    </row>
    <row r="14" spans="1:2" x14ac:dyDescent="0.2">
      <c r="A14" t="s">
        <v>119</v>
      </c>
      <c r="B14" t="s">
        <v>120</v>
      </c>
    </row>
    <row r="17" spans="1:14" x14ac:dyDescent="0.2">
      <c r="A17" t="s">
        <v>121</v>
      </c>
      <c r="B17" t="s">
        <v>122</v>
      </c>
    </row>
    <row r="18" spans="1:14" x14ac:dyDescent="0.2">
      <c r="A18" t="s">
        <v>123</v>
      </c>
      <c r="B18" t="s">
        <v>124</v>
      </c>
    </row>
    <row r="20" spans="1:14" x14ac:dyDescent="0.2">
      <c r="A20" t="s">
        <v>125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  <c r="I20" t="s">
        <v>133</v>
      </c>
      <c r="J20" t="s">
        <v>134</v>
      </c>
      <c r="K20" t="s">
        <v>135</v>
      </c>
      <c r="L20" t="s">
        <v>135</v>
      </c>
    </row>
    <row r="21" spans="1:14" x14ac:dyDescent="0.2">
      <c r="A21" t="s">
        <v>45</v>
      </c>
      <c r="B21" t="s">
        <v>116</v>
      </c>
      <c r="C21" t="s">
        <v>136</v>
      </c>
      <c r="D21" t="s">
        <v>137</v>
      </c>
      <c r="E21" t="s">
        <v>138</v>
      </c>
      <c r="F21">
        <v>90.81</v>
      </c>
      <c r="G21">
        <v>90.81</v>
      </c>
      <c r="H21">
        <v>90.81</v>
      </c>
      <c r="I21" t="s">
        <v>139</v>
      </c>
      <c r="J21" t="s">
        <v>140</v>
      </c>
      <c r="K21" s="70" t="s">
        <v>141</v>
      </c>
      <c r="L21">
        <v>205.8844</v>
      </c>
      <c r="N21">
        <f>90.81*2.2672</f>
        <v>205.884432</v>
      </c>
    </row>
    <row r="22" spans="1:14" x14ac:dyDescent="0.2">
      <c r="A22" t="s">
        <v>46</v>
      </c>
      <c r="B22" t="s">
        <v>116</v>
      </c>
      <c r="C22" t="s">
        <v>142</v>
      </c>
      <c r="D22" t="s">
        <v>143</v>
      </c>
      <c r="E22" t="s">
        <v>138</v>
      </c>
      <c r="F22" t="s">
        <v>143</v>
      </c>
      <c r="G22" t="s">
        <v>143</v>
      </c>
      <c r="H22" t="s">
        <v>143</v>
      </c>
      <c r="I22" t="s">
        <v>144</v>
      </c>
      <c r="J22" t="s">
        <v>145</v>
      </c>
      <c r="K22" t="s">
        <v>146</v>
      </c>
      <c r="L22">
        <v>149.43</v>
      </c>
    </row>
    <row r="23" spans="1:14" x14ac:dyDescent="0.2">
      <c r="A23" t="s">
        <v>44</v>
      </c>
      <c r="B23" t="s">
        <v>116</v>
      </c>
      <c r="C23" t="s">
        <v>147</v>
      </c>
      <c r="D23" t="s">
        <v>148</v>
      </c>
      <c r="E23" t="s">
        <v>138</v>
      </c>
      <c r="F23">
        <v>0.53</v>
      </c>
      <c r="G23">
        <v>0.53</v>
      </c>
      <c r="H23">
        <v>0.53</v>
      </c>
      <c r="I23">
        <v>1310.58</v>
      </c>
      <c r="J23" t="s">
        <v>150</v>
      </c>
      <c r="K23" t="s">
        <v>151</v>
      </c>
      <c r="L23">
        <f>0.53*I23</f>
        <v>694.60739999999998</v>
      </c>
    </row>
    <row r="25" spans="1:14" x14ac:dyDescent="0.2">
      <c r="L25">
        <f>SUM(L21:L24)</f>
        <v>1049.9218000000001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6686-1EFD-47EF-AB78-14C68B9ECE9F}">
  <sheetPr>
    <pageSetUpPr fitToPage="1"/>
  </sheetPr>
  <dimension ref="A1:K4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8.140625" customWidth="1"/>
    <col min="2" max="2" width="18.5703125" bestFit="1" customWidth="1"/>
    <col min="3" max="3" width="62.28515625" customWidth="1"/>
    <col min="4" max="4" width="21.42578125" customWidth="1"/>
    <col min="5" max="5" width="11.5703125" bestFit="1" customWidth="1"/>
    <col min="7" max="7" width="21.5703125" customWidth="1"/>
    <col min="8" max="8" width="15.85546875" customWidth="1"/>
    <col min="9" max="9" width="18.140625" bestFit="1" customWidth="1"/>
  </cols>
  <sheetData>
    <row r="1" spans="1:11" ht="15" x14ac:dyDescent="0.2">
      <c r="A1" s="185"/>
      <c r="B1" s="186"/>
      <c r="C1" s="191" t="s">
        <v>22</v>
      </c>
      <c r="D1" s="191"/>
      <c r="E1" s="191"/>
      <c r="F1" s="191"/>
      <c r="G1" s="191"/>
      <c r="H1" s="5" t="s">
        <v>21</v>
      </c>
      <c r="I1" s="1" t="s">
        <v>58</v>
      </c>
    </row>
    <row r="2" spans="1:11" ht="16.5" thickBot="1" x14ac:dyDescent="0.3">
      <c r="A2" s="187"/>
      <c r="B2" s="188"/>
      <c r="C2" s="192" t="s">
        <v>0</v>
      </c>
      <c r="D2" s="193"/>
      <c r="E2" s="193"/>
      <c r="F2" s="193"/>
      <c r="G2" s="194"/>
      <c r="H2" s="6" t="s">
        <v>20</v>
      </c>
      <c r="I2" s="7" t="s">
        <v>189</v>
      </c>
    </row>
    <row r="3" spans="1:11" ht="24" thickBot="1" x14ac:dyDescent="0.25">
      <c r="A3" s="187"/>
      <c r="B3" s="188"/>
      <c r="C3" s="311" t="s">
        <v>59</v>
      </c>
      <c r="D3" s="312"/>
      <c r="E3" s="312"/>
      <c r="F3" s="312"/>
      <c r="G3" s="313"/>
      <c r="H3" s="198" t="s">
        <v>19</v>
      </c>
      <c r="I3" s="176">
        <v>45618</v>
      </c>
    </row>
    <row r="4" spans="1:11" ht="18" customHeight="1" x14ac:dyDescent="0.25">
      <c r="A4" s="187"/>
      <c r="B4" s="188"/>
      <c r="C4" s="8" t="s">
        <v>18</v>
      </c>
      <c r="D4" s="179" t="s">
        <v>47</v>
      </c>
      <c r="E4" s="180"/>
      <c r="F4" s="180"/>
      <c r="G4" s="181"/>
      <c r="H4" s="199"/>
      <c r="I4" s="177"/>
    </row>
    <row r="5" spans="1:11" ht="14.25" thickBot="1" x14ac:dyDescent="0.3">
      <c r="A5" s="189"/>
      <c r="B5" s="190"/>
      <c r="C5" s="9" t="s">
        <v>17</v>
      </c>
      <c r="D5" s="182" t="s">
        <v>48</v>
      </c>
      <c r="E5" s="183"/>
      <c r="F5" s="183"/>
      <c r="G5" s="184"/>
      <c r="H5" s="200"/>
      <c r="I5" s="178"/>
    </row>
    <row r="6" spans="1:11" ht="18.75" thickBot="1" x14ac:dyDescent="0.3">
      <c r="A6" s="201" t="s">
        <v>23</v>
      </c>
      <c r="B6" s="201"/>
      <c r="C6" s="201"/>
      <c r="D6" s="314" t="s">
        <v>60</v>
      </c>
      <c r="E6" s="314"/>
      <c r="F6" s="314"/>
      <c r="G6" s="203" t="s">
        <v>24</v>
      </c>
      <c r="H6" s="203"/>
      <c r="I6" s="315" t="s">
        <v>60</v>
      </c>
    </row>
    <row r="7" spans="1:11" ht="27" customHeight="1" x14ac:dyDescent="0.2">
      <c r="A7" s="204" t="s">
        <v>1</v>
      </c>
      <c r="B7" s="206" t="s">
        <v>49</v>
      </c>
      <c r="C7" s="208" t="s">
        <v>2</v>
      </c>
      <c r="D7" s="208" t="s">
        <v>3</v>
      </c>
      <c r="E7" s="208" t="s">
        <v>4</v>
      </c>
      <c r="F7" s="208"/>
      <c r="G7" s="208" t="s">
        <v>16</v>
      </c>
      <c r="H7" s="208"/>
      <c r="I7" s="10" t="s">
        <v>5</v>
      </c>
    </row>
    <row r="8" spans="1:11" ht="26.25" thickBot="1" x14ac:dyDescent="0.25">
      <c r="A8" s="205"/>
      <c r="B8" s="207"/>
      <c r="C8" s="209"/>
      <c r="D8" s="209"/>
      <c r="E8" s="11" t="s">
        <v>6</v>
      </c>
      <c r="F8" s="12" t="s">
        <v>7</v>
      </c>
      <c r="G8" s="11" t="s">
        <v>6</v>
      </c>
      <c r="H8" s="12" t="s">
        <v>7</v>
      </c>
      <c r="I8" s="13" t="s">
        <v>8</v>
      </c>
    </row>
    <row r="9" spans="1:11" ht="20.25" x14ac:dyDescent="0.3">
      <c r="A9" s="316"/>
      <c r="B9" s="317"/>
      <c r="C9" s="318" t="s">
        <v>50</v>
      </c>
      <c r="D9" s="319"/>
      <c r="E9" s="320"/>
      <c r="F9" s="321"/>
      <c r="G9" s="320"/>
      <c r="H9" s="321"/>
      <c r="I9" s="322"/>
    </row>
    <row r="10" spans="1:11" ht="20.25" x14ac:dyDescent="0.3">
      <c r="A10" s="323">
        <v>11200081</v>
      </c>
      <c r="B10" s="324" t="s">
        <v>61</v>
      </c>
      <c r="C10" s="325" t="s">
        <v>62</v>
      </c>
      <c r="D10" s="326" t="s">
        <v>63</v>
      </c>
      <c r="E10" s="327">
        <v>5100</v>
      </c>
      <c r="F10" s="328" t="s">
        <v>26</v>
      </c>
      <c r="G10" s="329"/>
      <c r="H10" s="330"/>
      <c r="I10" s="322"/>
      <c r="J10">
        <f>+E10/$D$28</f>
        <v>0.19639556377079481</v>
      </c>
      <c r="K10">
        <f>+J10*1000</f>
        <v>196.39556377079481</v>
      </c>
    </row>
    <row r="11" spans="1:11" ht="20.25" x14ac:dyDescent="0.3">
      <c r="A11" s="326" t="s">
        <v>64</v>
      </c>
      <c r="B11" s="326" t="s">
        <v>65</v>
      </c>
      <c r="C11" s="331" t="s">
        <v>66</v>
      </c>
      <c r="D11" s="326" t="s">
        <v>67</v>
      </c>
      <c r="E11" s="327">
        <v>11300</v>
      </c>
      <c r="F11" s="328" t="s">
        <v>26</v>
      </c>
      <c r="G11" s="329"/>
      <c r="H11" s="330"/>
      <c r="I11" s="322"/>
      <c r="J11">
        <f t="shared" ref="J11:J14" si="0">+E11/$D$28</f>
        <v>0.43515095502156498</v>
      </c>
      <c r="K11">
        <f t="shared" ref="K11:K15" si="1">+J11*1000</f>
        <v>435.15095502156498</v>
      </c>
    </row>
    <row r="12" spans="1:11" ht="20.25" x14ac:dyDescent="0.3">
      <c r="A12" s="326" t="s">
        <v>68</v>
      </c>
      <c r="B12" s="326" t="s">
        <v>69</v>
      </c>
      <c r="C12" s="331" t="s">
        <v>70</v>
      </c>
      <c r="D12" s="326" t="s">
        <v>71</v>
      </c>
      <c r="E12" s="327">
        <v>8600</v>
      </c>
      <c r="F12" s="328" t="s">
        <v>26</v>
      </c>
      <c r="G12" s="329"/>
      <c r="H12" s="330"/>
      <c r="I12" s="322"/>
      <c r="J12">
        <f t="shared" si="0"/>
        <v>0.33117683302526185</v>
      </c>
      <c r="K12">
        <f t="shared" si="1"/>
        <v>331.17683302526183</v>
      </c>
    </row>
    <row r="13" spans="1:11" ht="20.25" x14ac:dyDescent="0.3">
      <c r="A13" s="326" t="s">
        <v>72</v>
      </c>
      <c r="B13" s="326" t="s">
        <v>73</v>
      </c>
      <c r="C13" s="331" t="s">
        <v>74</v>
      </c>
      <c r="D13" s="326" t="s">
        <v>75</v>
      </c>
      <c r="E13" s="327">
        <v>50</v>
      </c>
      <c r="F13" s="328" t="s">
        <v>26</v>
      </c>
      <c r="G13" s="329"/>
      <c r="H13" s="330"/>
      <c r="I13" s="322"/>
      <c r="J13">
        <f t="shared" si="0"/>
        <v>1.9254467036352433E-3</v>
      </c>
      <c r="K13">
        <f t="shared" si="1"/>
        <v>1.9254467036352434</v>
      </c>
    </row>
    <row r="14" spans="1:11" ht="20.25" x14ac:dyDescent="0.3">
      <c r="A14" s="326">
        <v>10100046</v>
      </c>
      <c r="B14" s="326" t="s">
        <v>76</v>
      </c>
      <c r="C14" s="331" t="s">
        <v>77</v>
      </c>
      <c r="D14" s="326" t="s">
        <v>78</v>
      </c>
      <c r="E14" s="327">
        <v>250</v>
      </c>
      <c r="F14" s="328" t="s">
        <v>26</v>
      </c>
      <c r="G14" s="329"/>
      <c r="H14" s="330"/>
      <c r="I14" s="322"/>
      <c r="J14">
        <f t="shared" si="0"/>
        <v>9.6272335181762161E-3</v>
      </c>
      <c r="K14">
        <f t="shared" si="1"/>
        <v>9.627233518176217</v>
      </c>
    </row>
    <row r="15" spans="1:11" ht="20.25" x14ac:dyDescent="0.3">
      <c r="A15" s="326"/>
      <c r="B15" s="326" t="s">
        <v>188</v>
      </c>
      <c r="C15" s="331" t="s">
        <v>79</v>
      </c>
      <c r="D15" s="326" t="s">
        <v>80</v>
      </c>
      <c r="E15" s="327">
        <v>668</v>
      </c>
      <c r="F15" s="328" t="s">
        <v>26</v>
      </c>
      <c r="G15" s="329"/>
      <c r="H15" s="330"/>
      <c r="I15" s="322"/>
      <c r="J15">
        <f>+E15/$D$28</f>
        <v>2.5723967960566852E-2</v>
      </c>
      <c r="K15">
        <f t="shared" si="1"/>
        <v>25.723967960566853</v>
      </c>
    </row>
    <row r="16" spans="1:11" ht="20.25" x14ac:dyDescent="0.3">
      <c r="A16" s="326"/>
      <c r="B16" s="326"/>
      <c r="C16" s="331"/>
      <c r="D16" s="326"/>
      <c r="E16" s="327"/>
      <c r="F16" s="328"/>
      <c r="G16" s="329"/>
      <c r="H16" s="330"/>
      <c r="I16" s="322"/>
    </row>
    <row r="17" spans="1:9" ht="20.25" x14ac:dyDescent="0.3">
      <c r="A17" s="332"/>
      <c r="B17" s="333"/>
      <c r="C17" s="334" t="s">
        <v>81</v>
      </c>
      <c r="D17" s="335"/>
      <c r="E17" s="336"/>
      <c r="F17" s="321"/>
      <c r="G17" s="320"/>
      <c r="H17" s="330"/>
      <c r="I17" s="322"/>
    </row>
    <row r="18" spans="1:9" ht="20.25" x14ac:dyDescent="0.3">
      <c r="A18" s="337" t="s">
        <v>82</v>
      </c>
      <c r="B18" s="338" t="s">
        <v>83</v>
      </c>
      <c r="C18" s="339" t="s">
        <v>84</v>
      </c>
      <c r="D18" s="324"/>
      <c r="E18" s="340">
        <v>1</v>
      </c>
      <c r="F18" s="341" t="s">
        <v>27</v>
      </c>
      <c r="G18" s="342"/>
      <c r="H18" s="330"/>
      <c r="I18" s="322"/>
    </row>
    <row r="19" spans="1:9" ht="20.25" x14ac:dyDescent="0.3">
      <c r="A19" s="337">
        <v>503000042</v>
      </c>
      <c r="B19" s="338" t="s">
        <v>85</v>
      </c>
      <c r="C19" s="339" t="s">
        <v>86</v>
      </c>
      <c r="D19" s="324"/>
      <c r="E19" s="340">
        <v>1</v>
      </c>
      <c r="F19" s="341" t="s">
        <v>27</v>
      </c>
      <c r="G19" s="342"/>
      <c r="H19" s="330"/>
      <c r="I19" s="322"/>
    </row>
    <row r="20" spans="1:9" ht="20.25" x14ac:dyDescent="0.3">
      <c r="A20" s="343">
        <v>702123</v>
      </c>
      <c r="B20" s="344" t="s">
        <v>87</v>
      </c>
      <c r="C20" s="345" t="s">
        <v>88</v>
      </c>
      <c r="D20" s="324"/>
      <c r="E20" s="340">
        <v>2</v>
      </c>
      <c r="F20" s="341" t="s">
        <v>27</v>
      </c>
      <c r="G20" s="342"/>
      <c r="H20" s="330"/>
      <c r="I20" s="322"/>
    </row>
    <row r="21" spans="1:9" ht="20.25" x14ac:dyDescent="0.3">
      <c r="A21" s="326">
        <v>1950705</v>
      </c>
      <c r="B21" s="326" t="s">
        <v>89</v>
      </c>
      <c r="C21" s="331" t="s">
        <v>90</v>
      </c>
      <c r="D21" s="324"/>
      <c r="E21" s="340">
        <v>1</v>
      </c>
      <c r="F21" s="341" t="s">
        <v>27</v>
      </c>
      <c r="G21" s="320"/>
      <c r="H21" s="330"/>
      <c r="I21" s="322"/>
    </row>
    <row r="22" spans="1:9" ht="20.25" x14ac:dyDescent="0.3">
      <c r="A22" s="326">
        <v>60100010</v>
      </c>
      <c r="B22" s="326" t="s">
        <v>91</v>
      </c>
      <c r="C22" s="331" t="s">
        <v>92</v>
      </c>
      <c r="D22" s="324"/>
      <c r="E22" s="340">
        <v>1</v>
      </c>
      <c r="F22" s="341" t="s">
        <v>27</v>
      </c>
      <c r="G22" s="320"/>
      <c r="H22" s="330"/>
      <c r="I22" s="322"/>
    </row>
    <row r="23" spans="1:9" ht="20.25" x14ac:dyDescent="0.3">
      <c r="A23" s="326"/>
      <c r="B23" s="326"/>
      <c r="C23" s="331"/>
      <c r="D23" s="324"/>
      <c r="E23" s="340"/>
      <c r="F23" s="341"/>
      <c r="G23" s="346"/>
      <c r="H23" s="330"/>
      <c r="I23" s="322"/>
    </row>
    <row r="24" spans="1:9" ht="20.25" x14ac:dyDescent="0.3">
      <c r="A24" s="326"/>
      <c r="B24" s="326"/>
      <c r="C24" s="331"/>
      <c r="D24" s="324"/>
      <c r="E24" s="340"/>
      <c r="F24" s="341"/>
      <c r="G24" s="347"/>
      <c r="H24" s="330"/>
      <c r="I24" s="322"/>
    </row>
    <row r="25" spans="1:9" ht="20.25" x14ac:dyDescent="0.3">
      <c r="A25" s="348"/>
      <c r="B25" s="348"/>
      <c r="C25" s="349"/>
      <c r="D25" s="324"/>
      <c r="E25" s="341"/>
      <c r="F25" s="341"/>
      <c r="G25" s="347"/>
      <c r="H25" s="321"/>
      <c r="I25" s="322"/>
    </row>
    <row r="26" spans="1:9" ht="21" thickBot="1" x14ac:dyDescent="0.35">
      <c r="A26" s="350"/>
      <c r="B26" s="351"/>
      <c r="C26" s="352" t="s">
        <v>51</v>
      </c>
      <c r="D26" s="352"/>
      <c r="E26" s="353"/>
      <c r="F26" s="354"/>
      <c r="G26" s="352"/>
      <c r="H26" s="352"/>
      <c r="I26" s="355"/>
    </row>
    <row r="27" spans="1:9" ht="21" thickBot="1" x14ac:dyDescent="0.35">
      <c r="A27" s="356"/>
      <c r="B27" s="357"/>
      <c r="C27" s="358" t="s">
        <v>51</v>
      </c>
      <c r="D27" s="359" t="s">
        <v>6</v>
      </c>
      <c r="E27" s="360" t="s">
        <v>15</v>
      </c>
      <c r="F27" s="361"/>
      <c r="G27" s="358"/>
      <c r="H27" s="358"/>
      <c r="I27" s="362"/>
    </row>
    <row r="28" spans="1:9" ht="20.25" x14ac:dyDescent="0.3">
      <c r="A28" s="363" t="s">
        <v>10</v>
      </c>
      <c r="B28" s="364"/>
      <c r="C28" s="365"/>
      <c r="D28" s="366">
        <v>25968</v>
      </c>
      <c r="E28" s="367" t="s">
        <v>26</v>
      </c>
      <c r="F28" s="368" t="s">
        <v>52</v>
      </c>
      <c r="G28" s="368"/>
      <c r="H28" s="369"/>
      <c r="I28" s="370"/>
    </row>
    <row r="29" spans="1:9" ht="20.25" x14ac:dyDescent="0.3">
      <c r="A29" s="371" t="s">
        <v>9</v>
      </c>
      <c r="B29" s="372"/>
      <c r="C29" s="373"/>
      <c r="D29" s="340">
        <v>4</v>
      </c>
      <c r="E29" s="324" t="s">
        <v>28</v>
      </c>
      <c r="F29" s="374" t="s">
        <v>53</v>
      </c>
      <c r="G29" s="374"/>
      <c r="H29" s="375"/>
      <c r="I29" s="376"/>
    </row>
    <row r="30" spans="1:9" ht="20.25" x14ac:dyDescent="0.3">
      <c r="A30" s="371" t="s">
        <v>14</v>
      </c>
      <c r="B30" s="372"/>
      <c r="C30" s="373"/>
      <c r="D30" s="340">
        <v>1</v>
      </c>
      <c r="E30" s="324" t="s">
        <v>93</v>
      </c>
      <c r="F30" s="374" t="s">
        <v>54</v>
      </c>
      <c r="G30" s="374"/>
      <c r="H30" s="375"/>
      <c r="I30" s="376"/>
    </row>
    <row r="31" spans="1:9" ht="20.25" x14ac:dyDescent="0.3">
      <c r="A31" s="371" t="s">
        <v>13</v>
      </c>
      <c r="B31" s="372"/>
      <c r="C31" s="373"/>
      <c r="D31" s="340">
        <v>25968</v>
      </c>
      <c r="E31" s="324" t="s">
        <v>26</v>
      </c>
      <c r="F31" s="377" t="s">
        <v>55</v>
      </c>
      <c r="G31" s="378"/>
      <c r="H31" s="379"/>
      <c r="I31" s="380"/>
    </row>
    <row r="32" spans="1:9" ht="21" thickBot="1" x14ac:dyDescent="0.35">
      <c r="A32" s="381" t="s">
        <v>12</v>
      </c>
      <c r="B32" s="382"/>
      <c r="C32" s="383"/>
      <c r="D32" s="384">
        <v>0</v>
      </c>
      <c r="E32" s="385" t="s">
        <v>26</v>
      </c>
      <c r="F32" s="386"/>
      <c r="G32" s="386"/>
      <c r="H32" s="375"/>
      <c r="I32" s="376"/>
    </row>
    <row r="33" spans="1:9" ht="23.25" customHeight="1" thickBot="1" x14ac:dyDescent="0.35">
      <c r="A33" s="400" t="s">
        <v>11</v>
      </c>
      <c r="B33" s="401"/>
      <c r="C33" s="401"/>
      <c r="D33" s="401"/>
      <c r="E33" s="401"/>
      <c r="F33" s="401"/>
      <c r="G33" s="401"/>
      <c r="H33" s="401"/>
      <c r="I33" s="402"/>
    </row>
    <row r="34" spans="1:9" ht="45.75" customHeight="1" x14ac:dyDescent="0.3">
      <c r="A34" s="387" t="s">
        <v>94</v>
      </c>
      <c r="B34" s="388"/>
      <c r="C34" s="388"/>
      <c r="D34" s="388"/>
      <c r="E34" s="388"/>
      <c r="F34" s="388"/>
      <c r="G34" s="388"/>
      <c r="H34" s="388"/>
      <c r="I34" s="389"/>
    </row>
    <row r="35" spans="1:9" ht="24" customHeight="1" x14ac:dyDescent="0.3">
      <c r="A35" s="387" t="s">
        <v>95</v>
      </c>
      <c r="B35" s="388"/>
      <c r="C35" s="388"/>
      <c r="D35" s="388"/>
      <c r="E35" s="388"/>
      <c r="F35" s="388"/>
      <c r="G35" s="388"/>
      <c r="H35" s="388"/>
      <c r="I35" s="389"/>
    </row>
    <row r="36" spans="1:9" ht="20.25" x14ac:dyDescent="0.3">
      <c r="A36" s="387"/>
      <c r="B36" s="388"/>
      <c r="C36" s="388"/>
      <c r="D36" s="388"/>
      <c r="E36" s="388"/>
      <c r="F36" s="388"/>
      <c r="G36" s="388"/>
      <c r="H36" s="388"/>
      <c r="I36" s="389"/>
    </row>
    <row r="37" spans="1:9" ht="20.25" x14ac:dyDescent="0.3">
      <c r="A37" s="391"/>
      <c r="B37" s="390"/>
      <c r="C37" s="390"/>
      <c r="D37" s="390"/>
      <c r="E37" s="390"/>
      <c r="F37" s="390"/>
      <c r="G37" s="390"/>
      <c r="H37" s="390"/>
      <c r="I37" s="392"/>
    </row>
    <row r="38" spans="1:9" ht="20.25" x14ac:dyDescent="0.3">
      <c r="A38" s="395"/>
      <c r="B38" s="396"/>
      <c r="C38" s="396"/>
      <c r="D38" s="396"/>
      <c r="E38" s="396"/>
      <c r="F38" s="396"/>
      <c r="G38" s="396"/>
      <c r="H38" s="396"/>
      <c r="I38" s="397"/>
    </row>
    <row r="39" spans="1:9" ht="20.25" x14ac:dyDescent="0.3">
      <c r="A39" s="398" t="s">
        <v>56</v>
      </c>
      <c r="B39" s="398"/>
      <c r="C39" s="398"/>
      <c r="D39" s="398"/>
      <c r="E39" s="398"/>
      <c r="F39" s="398"/>
      <c r="G39" s="398"/>
      <c r="H39" s="398"/>
      <c r="I39" s="398"/>
    </row>
    <row r="40" spans="1:9" ht="20.25" x14ac:dyDescent="0.3">
      <c r="A40" s="399" t="s">
        <v>96</v>
      </c>
      <c r="B40" s="399"/>
      <c r="C40" s="399"/>
      <c r="D40" s="399"/>
      <c r="E40" s="399"/>
      <c r="F40" s="399"/>
      <c r="G40" s="399"/>
      <c r="H40" s="399"/>
      <c r="I40" s="399"/>
    </row>
    <row r="41" spans="1:9" ht="20.25" x14ac:dyDescent="0.3">
      <c r="A41" s="393"/>
      <c r="B41" s="394"/>
      <c r="C41" s="394"/>
      <c r="D41" s="394"/>
      <c r="E41" s="394"/>
      <c r="F41" s="394"/>
      <c r="G41" s="394"/>
      <c r="H41" s="394"/>
      <c r="I41" s="394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8:C28"/>
    <mergeCell ref="F28:G28"/>
    <mergeCell ref="H28:I28"/>
    <mergeCell ref="A29:C29"/>
    <mergeCell ref="F29:G29"/>
    <mergeCell ref="H29:I29"/>
    <mergeCell ref="A30:C30"/>
    <mergeCell ref="F30:G30"/>
    <mergeCell ref="H30:I30"/>
    <mergeCell ref="A31:C31"/>
    <mergeCell ref="F31:G31"/>
    <mergeCell ref="H31:I31"/>
    <mergeCell ref="A32:C32"/>
    <mergeCell ref="F32:G32"/>
    <mergeCell ref="H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</mergeCells>
  <pageMargins left="0.7" right="0.7" top="0.75" bottom="0.75" header="0.3" footer="0.3"/>
  <pageSetup scale="4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14C2A-D23D-4ECC-B6A8-D5E53EFAB031}">
  <dimension ref="A2:N29"/>
  <sheetViews>
    <sheetView topLeftCell="A9" workbookViewId="0">
      <selection activeCell="K30" sqref="K30"/>
    </sheetView>
  </sheetViews>
  <sheetFormatPr baseColWidth="10" defaultRowHeight="12.75" x14ac:dyDescent="0.2"/>
  <cols>
    <col min="3" max="3" width="18.28515625" customWidth="1"/>
    <col min="12" max="12" width="13.85546875" customWidth="1"/>
  </cols>
  <sheetData>
    <row r="2" spans="1:2" ht="15" x14ac:dyDescent="0.25">
      <c r="A2" s="72" t="s">
        <v>97</v>
      </c>
      <c r="B2" s="72"/>
    </row>
    <row r="3" spans="1:2" ht="15" x14ac:dyDescent="0.25">
      <c r="A3" s="72" t="s">
        <v>98</v>
      </c>
      <c r="B3" s="72" t="s">
        <v>99</v>
      </c>
    </row>
    <row r="4" spans="1:2" ht="15" x14ac:dyDescent="0.25">
      <c r="A4" s="72" t="s">
        <v>100</v>
      </c>
      <c r="B4" s="72" t="s">
        <v>152</v>
      </c>
    </row>
    <row r="5" spans="1:2" ht="15" x14ac:dyDescent="0.25">
      <c r="A5" s="72" t="s">
        <v>102</v>
      </c>
      <c r="B5" s="72" t="s">
        <v>103</v>
      </c>
    </row>
    <row r="6" spans="1:2" ht="15" x14ac:dyDescent="0.25">
      <c r="A6" s="72" t="s">
        <v>104</v>
      </c>
      <c r="B6" s="72" t="s">
        <v>153</v>
      </c>
    </row>
    <row r="7" spans="1:2" ht="15" x14ac:dyDescent="0.25">
      <c r="A7" s="72" t="s">
        <v>106</v>
      </c>
      <c r="B7" s="72" t="s">
        <v>107</v>
      </c>
    </row>
    <row r="8" spans="1:2" ht="15" x14ac:dyDescent="0.25">
      <c r="A8" s="72" t="s">
        <v>108</v>
      </c>
      <c r="B8" s="72" t="s">
        <v>109</v>
      </c>
    </row>
    <row r="9" spans="1:2" ht="15" x14ac:dyDescent="0.25">
      <c r="A9" s="72" t="s">
        <v>110</v>
      </c>
      <c r="B9" s="72" t="s">
        <v>154</v>
      </c>
    </row>
    <row r="10" spans="1:2" ht="15" x14ac:dyDescent="0.25">
      <c r="A10" s="72" t="s">
        <v>112</v>
      </c>
      <c r="B10" s="72" t="s">
        <v>113</v>
      </c>
    </row>
    <row r="11" spans="1:2" ht="15" x14ac:dyDescent="0.25">
      <c r="A11" s="72" t="s">
        <v>114</v>
      </c>
      <c r="B11" s="72" t="s">
        <v>51</v>
      </c>
    </row>
    <row r="12" spans="1:2" ht="15" x14ac:dyDescent="0.25">
      <c r="A12" s="72" t="s">
        <v>115</v>
      </c>
      <c r="B12" s="72" t="s">
        <v>116</v>
      </c>
    </row>
    <row r="13" spans="1:2" ht="15" x14ac:dyDescent="0.25">
      <c r="A13" s="72" t="s">
        <v>117</v>
      </c>
      <c r="B13" s="72" t="s">
        <v>118</v>
      </c>
    </row>
    <row r="14" spans="1:2" ht="15" x14ac:dyDescent="0.25">
      <c r="A14" s="72" t="s">
        <v>119</v>
      </c>
      <c r="B14" s="72" t="s">
        <v>120</v>
      </c>
    </row>
    <row r="17" spans="1:14" ht="15" x14ac:dyDescent="0.25">
      <c r="A17" s="72" t="s">
        <v>121</v>
      </c>
      <c r="B17" s="72" t="s">
        <v>122</v>
      </c>
      <c r="C17" s="72"/>
      <c r="D17" s="72"/>
      <c r="E17" s="72"/>
      <c r="F17" s="72"/>
      <c r="G17" s="72"/>
      <c r="H17" s="72"/>
      <c r="I17" s="72"/>
      <c r="J17" s="72"/>
      <c r="K17" s="72"/>
    </row>
    <row r="18" spans="1:14" ht="15" x14ac:dyDescent="0.25">
      <c r="A18" s="72" t="s">
        <v>155</v>
      </c>
      <c r="B18" s="72" t="s">
        <v>156</v>
      </c>
      <c r="C18" s="72"/>
      <c r="D18" s="72"/>
      <c r="E18" s="72"/>
      <c r="F18" s="72"/>
      <c r="G18" s="72"/>
      <c r="H18" s="72"/>
      <c r="I18" s="72"/>
      <c r="J18" s="72"/>
      <c r="K18" s="72"/>
    </row>
    <row r="20" spans="1:14" ht="15" x14ac:dyDescent="0.25">
      <c r="A20" s="72" t="s">
        <v>125</v>
      </c>
      <c r="B20" s="72" t="s">
        <v>126</v>
      </c>
      <c r="C20" s="72" t="s">
        <v>127</v>
      </c>
      <c r="D20" s="72" t="s">
        <v>128</v>
      </c>
      <c r="E20" s="72" t="s">
        <v>129</v>
      </c>
      <c r="F20" s="72" t="s">
        <v>130</v>
      </c>
      <c r="G20" s="72" t="s">
        <v>131</v>
      </c>
      <c r="H20" s="72" t="s">
        <v>132</v>
      </c>
      <c r="I20" s="72" t="s">
        <v>133</v>
      </c>
      <c r="J20" s="72" t="s">
        <v>134</v>
      </c>
      <c r="K20" s="72" t="s">
        <v>135</v>
      </c>
      <c r="L20" s="74" t="s">
        <v>135</v>
      </c>
    </row>
    <row r="21" spans="1:14" ht="15" x14ac:dyDescent="0.25">
      <c r="A21" s="72" t="s">
        <v>61</v>
      </c>
      <c r="B21" s="72" t="s">
        <v>116</v>
      </c>
      <c r="C21" s="72" t="s">
        <v>157</v>
      </c>
      <c r="D21" s="72" t="s">
        <v>158</v>
      </c>
      <c r="E21" s="72" t="s">
        <v>138</v>
      </c>
      <c r="F21" s="72">
        <v>196.39</v>
      </c>
      <c r="G21" s="72">
        <v>196.39</v>
      </c>
      <c r="H21" s="72">
        <v>196.39</v>
      </c>
      <c r="I21" s="72" t="s">
        <v>159</v>
      </c>
      <c r="J21" s="72" t="s">
        <v>140</v>
      </c>
      <c r="K21" s="72" t="s">
        <v>160</v>
      </c>
      <c r="L21" s="73">
        <f>196.39*3.52</f>
        <v>691.29279999999994</v>
      </c>
    </row>
    <row r="22" spans="1:14" ht="15" x14ac:dyDescent="0.25">
      <c r="A22" s="72" t="s">
        <v>65</v>
      </c>
      <c r="B22" s="72" t="s">
        <v>116</v>
      </c>
      <c r="C22" s="72" t="s">
        <v>161</v>
      </c>
      <c r="D22" s="72" t="s">
        <v>162</v>
      </c>
      <c r="E22" s="72" t="s">
        <v>138</v>
      </c>
      <c r="F22" s="72">
        <v>435.15</v>
      </c>
      <c r="G22" s="72">
        <v>435.15</v>
      </c>
      <c r="H22" s="72">
        <v>435.15</v>
      </c>
      <c r="I22" s="72" t="s">
        <v>163</v>
      </c>
      <c r="J22" s="72" t="s">
        <v>140</v>
      </c>
      <c r="K22" s="72" t="s">
        <v>164</v>
      </c>
      <c r="L22">
        <f>435.15*0.43</f>
        <v>187.11449999999999</v>
      </c>
    </row>
    <row r="23" spans="1:14" ht="15" x14ac:dyDescent="0.25">
      <c r="A23" s="72" t="s">
        <v>69</v>
      </c>
      <c r="B23" s="72" t="s">
        <v>116</v>
      </c>
      <c r="C23" s="72" t="s">
        <v>165</v>
      </c>
      <c r="D23" s="72" t="s">
        <v>166</v>
      </c>
      <c r="E23" s="72" t="s">
        <v>138</v>
      </c>
      <c r="F23" s="72">
        <v>331.17</v>
      </c>
      <c r="G23" s="72">
        <v>331.17</v>
      </c>
      <c r="H23" s="72">
        <v>331.17</v>
      </c>
      <c r="I23" s="72" t="s">
        <v>167</v>
      </c>
      <c r="J23" s="72" t="s">
        <v>140</v>
      </c>
      <c r="K23" s="72" t="s">
        <v>168</v>
      </c>
      <c r="L23">
        <v>170.55</v>
      </c>
    </row>
    <row r="24" spans="1:14" ht="15" x14ac:dyDescent="0.25">
      <c r="A24" s="72" t="s">
        <v>73</v>
      </c>
      <c r="B24" s="72" t="s">
        <v>116</v>
      </c>
      <c r="C24" s="72" t="s">
        <v>169</v>
      </c>
      <c r="D24" s="72" t="s">
        <v>170</v>
      </c>
      <c r="E24" s="72" t="s">
        <v>138</v>
      </c>
      <c r="F24" s="72">
        <v>1.92</v>
      </c>
      <c r="G24" s="72">
        <v>1.92</v>
      </c>
      <c r="H24" s="72">
        <v>1.92</v>
      </c>
      <c r="I24" s="72" t="s">
        <v>171</v>
      </c>
      <c r="J24" s="72" t="s">
        <v>140</v>
      </c>
      <c r="K24" s="72" t="s">
        <v>172</v>
      </c>
      <c r="L24">
        <f>1.92*7.32</f>
        <v>14.054399999999999</v>
      </c>
    </row>
    <row r="25" spans="1:14" ht="15" x14ac:dyDescent="0.25">
      <c r="A25" s="72" t="s">
        <v>76</v>
      </c>
      <c r="B25" s="72" t="s">
        <v>116</v>
      </c>
      <c r="C25" s="72" t="s">
        <v>173</v>
      </c>
      <c r="D25" s="72" t="s">
        <v>174</v>
      </c>
      <c r="E25" s="72" t="s">
        <v>138</v>
      </c>
      <c r="F25" s="72">
        <v>9.6199999999999992</v>
      </c>
      <c r="G25" s="72">
        <v>9.6199999999999992</v>
      </c>
      <c r="H25" s="72">
        <v>9.6199999999999992</v>
      </c>
      <c r="I25" s="72" t="s">
        <v>175</v>
      </c>
      <c r="J25" s="72" t="s">
        <v>140</v>
      </c>
      <c r="K25" s="72" t="s">
        <v>176</v>
      </c>
      <c r="L25">
        <f>9.62*1.005</f>
        <v>9.668099999999999</v>
      </c>
    </row>
    <row r="26" spans="1:14" ht="15" x14ac:dyDescent="0.25">
      <c r="A26" s="72" t="s">
        <v>83</v>
      </c>
      <c r="B26" s="72" t="s">
        <v>116</v>
      </c>
      <c r="C26" s="72" t="s">
        <v>177</v>
      </c>
      <c r="D26" s="72" t="s">
        <v>178</v>
      </c>
      <c r="E26" s="72" t="s">
        <v>138</v>
      </c>
      <c r="F26" s="72" t="s">
        <v>178</v>
      </c>
      <c r="G26" s="72" t="s">
        <v>178</v>
      </c>
      <c r="H26" s="72" t="s">
        <v>178</v>
      </c>
      <c r="I26" s="72" t="s">
        <v>179</v>
      </c>
      <c r="J26" s="72" t="s">
        <v>140</v>
      </c>
      <c r="K26" s="72" t="s">
        <v>180</v>
      </c>
      <c r="L26">
        <v>3.42</v>
      </c>
    </row>
    <row r="27" spans="1:14" ht="15" x14ac:dyDescent="0.25">
      <c r="A27" s="72" t="s">
        <v>87</v>
      </c>
      <c r="B27" s="72" t="s">
        <v>116</v>
      </c>
      <c r="C27" s="72" t="s">
        <v>181</v>
      </c>
      <c r="D27" s="72" t="s">
        <v>182</v>
      </c>
      <c r="E27" s="72" t="s">
        <v>138</v>
      </c>
      <c r="F27" s="72" t="s">
        <v>182</v>
      </c>
      <c r="G27" s="72" t="s">
        <v>182</v>
      </c>
      <c r="H27" s="72" t="s">
        <v>182</v>
      </c>
      <c r="I27" s="72" t="s">
        <v>183</v>
      </c>
      <c r="J27" s="72" t="s">
        <v>134</v>
      </c>
      <c r="K27" s="72" t="s">
        <v>184</v>
      </c>
      <c r="L27">
        <v>0.17</v>
      </c>
    </row>
    <row r="28" spans="1:14" ht="15" x14ac:dyDescent="0.25">
      <c r="C28" s="72" t="s">
        <v>185</v>
      </c>
      <c r="F28" s="72">
        <v>25.72</v>
      </c>
      <c r="G28" s="72">
        <v>25.72</v>
      </c>
      <c r="H28" s="72">
        <v>25.72</v>
      </c>
      <c r="J28" s="72" t="s">
        <v>140</v>
      </c>
      <c r="K28" s="72">
        <v>1.4</v>
      </c>
      <c r="L28">
        <f>25.72*1.4</f>
        <v>36.007999999999996</v>
      </c>
    </row>
    <row r="29" spans="1:14" x14ac:dyDescent="0.2">
      <c r="L29" s="71">
        <f>SUM(L21:L28)</f>
        <v>1112.2778000000003</v>
      </c>
      <c r="N29">
        <f>+L29/1000</f>
        <v>1.1122778000000002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8AB3-3B96-484D-A68E-A2E969A9D2E5}">
  <dimension ref="A2:N41"/>
  <sheetViews>
    <sheetView topLeftCell="A19" workbookViewId="0">
      <selection activeCell="K32" sqref="K32"/>
    </sheetView>
  </sheetViews>
  <sheetFormatPr baseColWidth="10" defaultRowHeight="12.75" x14ac:dyDescent="0.2"/>
  <cols>
    <col min="3" max="3" width="18.28515625" customWidth="1"/>
    <col min="12" max="12" width="13.85546875" customWidth="1"/>
  </cols>
  <sheetData>
    <row r="2" spans="1:2" ht="15" x14ac:dyDescent="0.25">
      <c r="A2" s="72" t="s">
        <v>97</v>
      </c>
      <c r="B2" s="72"/>
    </row>
    <row r="3" spans="1:2" ht="15" x14ac:dyDescent="0.25">
      <c r="A3" s="72" t="s">
        <v>98</v>
      </c>
      <c r="B3" s="72" t="s">
        <v>99</v>
      </c>
    </row>
    <row r="4" spans="1:2" ht="15" x14ac:dyDescent="0.25">
      <c r="A4" s="72" t="s">
        <v>100</v>
      </c>
      <c r="B4" s="72" t="s">
        <v>152</v>
      </c>
    </row>
    <row r="5" spans="1:2" ht="15" x14ac:dyDescent="0.25">
      <c r="A5" s="72" t="s">
        <v>102</v>
      </c>
      <c r="B5" s="72" t="s">
        <v>103</v>
      </c>
    </row>
    <row r="6" spans="1:2" ht="15" x14ac:dyDescent="0.25">
      <c r="A6" s="72" t="s">
        <v>104</v>
      </c>
      <c r="B6" s="72" t="s">
        <v>153</v>
      </c>
    </row>
    <row r="7" spans="1:2" ht="15" x14ac:dyDescent="0.25">
      <c r="A7" s="72" t="s">
        <v>106</v>
      </c>
      <c r="B7" s="72" t="s">
        <v>107</v>
      </c>
    </row>
    <row r="8" spans="1:2" ht="15" x14ac:dyDescent="0.25">
      <c r="A8" s="72" t="s">
        <v>108</v>
      </c>
      <c r="B8" s="72" t="s">
        <v>109</v>
      </c>
    </row>
    <row r="9" spans="1:2" ht="15" x14ac:dyDescent="0.25">
      <c r="A9" s="72" t="s">
        <v>110</v>
      </c>
      <c r="B9" s="72" t="s">
        <v>154</v>
      </c>
    </row>
    <row r="10" spans="1:2" ht="15" x14ac:dyDescent="0.25">
      <c r="A10" s="72" t="s">
        <v>112</v>
      </c>
      <c r="B10" s="72" t="s">
        <v>113</v>
      </c>
    </row>
    <row r="11" spans="1:2" ht="15" x14ac:dyDescent="0.25">
      <c r="A11" s="72" t="s">
        <v>114</v>
      </c>
      <c r="B11" s="72" t="s">
        <v>51</v>
      </c>
    </row>
    <row r="12" spans="1:2" ht="15" x14ac:dyDescent="0.25">
      <c r="A12" s="72" t="s">
        <v>115</v>
      </c>
      <c r="B12" s="72" t="s">
        <v>116</v>
      </c>
    </row>
    <row r="13" spans="1:2" ht="15" x14ac:dyDescent="0.25">
      <c r="A13" s="72" t="s">
        <v>117</v>
      </c>
      <c r="B13" s="72" t="s">
        <v>118</v>
      </c>
    </row>
    <row r="14" spans="1:2" ht="15" x14ac:dyDescent="0.25">
      <c r="A14" s="72" t="s">
        <v>119</v>
      </c>
      <c r="B14" s="72" t="s">
        <v>120</v>
      </c>
    </row>
    <row r="17" spans="1:14" ht="15" x14ac:dyDescent="0.25">
      <c r="A17" s="72" t="s">
        <v>121</v>
      </c>
      <c r="B17" s="72" t="s">
        <v>122</v>
      </c>
      <c r="C17" s="72"/>
      <c r="D17" s="72"/>
      <c r="E17" s="72"/>
      <c r="F17" s="72"/>
      <c r="G17" s="72"/>
      <c r="H17" s="72"/>
      <c r="I17" s="72"/>
      <c r="J17" s="72"/>
      <c r="K17" s="72"/>
    </row>
    <row r="18" spans="1:14" ht="15" x14ac:dyDescent="0.25">
      <c r="A18" s="72" t="s">
        <v>155</v>
      </c>
      <c r="B18" s="72" t="s">
        <v>156</v>
      </c>
      <c r="C18" s="72"/>
      <c r="D18" s="72"/>
      <c r="E18" s="72"/>
      <c r="F18" s="72"/>
      <c r="G18" s="72"/>
      <c r="H18" s="72"/>
      <c r="I18" s="72"/>
      <c r="J18" s="72"/>
      <c r="K18" s="72"/>
    </row>
    <row r="20" spans="1:14" ht="15" x14ac:dyDescent="0.25">
      <c r="A20" s="72" t="s">
        <v>125</v>
      </c>
      <c r="B20" s="72" t="s">
        <v>126</v>
      </c>
      <c r="C20" s="72" t="s">
        <v>127</v>
      </c>
      <c r="D20" s="72" t="s">
        <v>128</v>
      </c>
      <c r="E20" s="72" t="s">
        <v>129</v>
      </c>
      <c r="F20" s="72" t="s">
        <v>130</v>
      </c>
      <c r="G20" s="72" t="s">
        <v>131</v>
      </c>
      <c r="H20" s="72" t="s">
        <v>132</v>
      </c>
      <c r="I20" s="72" t="s">
        <v>133</v>
      </c>
      <c r="J20" s="72" t="s">
        <v>134</v>
      </c>
      <c r="K20" s="72" t="s">
        <v>135</v>
      </c>
      <c r="L20" s="74" t="s">
        <v>135</v>
      </c>
    </row>
    <row r="21" spans="1:14" ht="15" x14ac:dyDescent="0.25">
      <c r="A21" s="72" t="s">
        <v>61</v>
      </c>
      <c r="B21" s="72" t="s">
        <v>116</v>
      </c>
      <c r="C21" s="72" t="s">
        <v>157</v>
      </c>
      <c r="D21" s="72" t="s">
        <v>158</v>
      </c>
      <c r="E21" s="72" t="s">
        <v>138</v>
      </c>
      <c r="F21" s="72">
        <v>196.39</v>
      </c>
      <c r="G21" s="72">
        <v>196.39</v>
      </c>
      <c r="H21" s="72">
        <v>196.39</v>
      </c>
      <c r="I21" s="72" t="s">
        <v>159</v>
      </c>
      <c r="J21" s="72" t="s">
        <v>140</v>
      </c>
      <c r="K21" s="72" t="s">
        <v>160</v>
      </c>
      <c r="L21" s="73">
        <f>196.39*3.52</f>
        <v>691.29279999999994</v>
      </c>
    </row>
    <row r="22" spans="1:14" ht="15" x14ac:dyDescent="0.25">
      <c r="A22" s="72" t="s">
        <v>65</v>
      </c>
      <c r="B22" s="72" t="s">
        <v>116</v>
      </c>
      <c r="C22" s="72" t="s">
        <v>161</v>
      </c>
      <c r="D22" s="72" t="s">
        <v>162</v>
      </c>
      <c r="E22" s="72" t="s">
        <v>138</v>
      </c>
      <c r="F22" s="72">
        <v>435.15</v>
      </c>
      <c r="G22" s="72">
        <v>435.15</v>
      </c>
      <c r="H22" s="72">
        <v>435.15</v>
      </c>
      <c r="I22" s="72" t="s">
        <v>163</v>
      </c>
      <c r="J22" s="72" t="s">
        <v>140</v>
      </c>
      <c r="K22" s="72" t="s">
        <v>164</v>
      </c>
      <c r="L22">
        <f>435.15*0.43</f>
        <v>187.11449999999999</v>
      </c>
    </row>
    <row r="23" spans="1:14" ht="15" x14ac:dyDescent="0.25">
      <c r="A23" s="72" t="s">
        <v>69</v>
      </c>
      <c r="B23" s="72" t="s">
        <v>116</v>
      </c>
      <c r="C23" s="72" t="s">
        <v>165</v>
      </c>
      <c r="D23" s="72" t="s">
        <v>166</v>
      </c>
      <c r="E23" s="72" t="s">
        <v>138</v>
      </c>
      <c r="F23" s="72">
        <v>331.17</v>
      </c>
      <c r="G23" s="72">
        <v>331.17</v>
      </c>
      <c r="H23" s="72">
        <v>331.17</v>
      </c>
      <c r="I23" s="72" t="s">
        <v>167</v>
      </c>
      <c r="J23" s="72" t="s">
        <v>140</v>
      </c>
      <c r="K23" s="72" t="s">
        <v>168</v>
      </c>
      <c r="L23">
        <v>170.55</v>
      </c>
    </row>
    <row r="24" spans="1:14" ht="15" x14ac:dyDescent="0.25">
      <c r="A24" s="72" t="s">
        <v>73</v>
      </c>
      <c r="B24" s="72" t="s">
        <v>116</v>
      </c>
      <c r="C24" s="72" t="s">
        <v>169</v>
      </c>
      <c r="D24" s="72" t="s">
        <v>170</v>
      </c>
      <c r="E24" s="72" t="s">
        <v>138</v>
      </c>
      <c r="F24" s="72">
        <v>1.92</v>
      </c>
      <c r="G24" s="72">
        <v>1.92</v>
      </c>
      <c r="H24" s="72">
        <v>1.92</v>
      </c>
      <c r="I24" s="72" t="s">
        <v>171</v>
      </c>
      <c r="J24" s="72" t="s">
        <v>140</v>
      </c>
      <c r="K24" s="72" t="s">
        <v>172</v>
      </c>
      <c r="L24">
        <f>1.92*7.32</f>
        <v>14.054399999999999</v>
      </c>
    </row>
    <row r="25" spans="1:14" ht="15" x14ac:dyDescent="0.25">
      <c r="A25" s="72" t="s">
        <v>76</v>
      </c>
      <c r="B25" s="72" t="s">
        <v>116</v>
      </c>
      <c r="C25" s="72" t="s">
        <v>173</v>
      </c>
      <c r="D25" s="72" t="s">
        <v>174</v>
      </c>
      <c r="E25" s="72" t="s">
        <v>138</v>
      </c>
      <c r="F25" s="72">
        <v>9.6199999999999992</v>
      </c>
      <c r="G25" s="72">
        <v>9.6199999999999992</v>
      </c>
      <c r="H25" s="72">
        <v>9.6199999999999992</v>
      </c>
      <c r="I25" s="72" t="s">
        <v>175</v>
      </c>
      <c r="J25" s="72" t="s">
        <v>140</v>
      </c>
      <c r="K25" s="72" t="s">
        <v>176</v>
      </c>
      <c r="L25">
        <f>9.62*1.005</f>
        <v>9.668099999999999</v>
      </c>
    </row>
    <row r="26" spans="1:14" ht="15" x14ac:dyDescent="0.25">
      <c r="A26" s="72" t="s">
        <v>83</v>
      </c>
      <c r="B26" s="72" t="s">
        <v>116</v>
      </c>
      <c r="C26" s="72" t="s">
        <v>177</v>
      </c>
      <c r="D26" s="72" t="s">
        <v>178</v>
      </c>
      <c r="E26" s="72" t="s">
        <v>138</v>
      </c>
      <c r="F26" s="72" t="s">
        <v>178</v>
      </c>
      <c r="G26" s="72" t="s">
        <v>178</v>
      </c>
      <c r="H26" s="72" t="s">
        <v>178</v>
      </c>
      <c r="I26" s="72" t="s">
        <v>179</v>
      </c>
      <c r="J26" s="72" t="s">
        <v>140</v>
      </c>
      <c r="K26" s="72" t="s">
        <v>180</v>
      </c>
      <c r="L26">
        <v>3.42</v>
      </c>
    </row>
    <row r="27" spans="1:14" ht="15" x14ac:dyDescent="0.25">
      <c r="A27" s="72" t="s">
        <v>87</v>
      </c>
      <c r="B27" s="72" t="s">
        <v>116</v>
      </c>
      <c r="C27" s="72" t="s">
        <v>181</v>
      </c>
      <c r="D27" s="72" t="s">
        <v>182</v>
      </c>
      <c r="E27" s="72" t="s">
        <v>138</v>
      </c>
      <c r="F27" s="72" t="s">
        <v>182</v>
      </c>
      <c r="G27" s="72" t="s">
        <v>182</v>
      </c>
      <c r="H27" s="72" t="s">
        <v>182</v>
      </c>
      <c r="I27" s="72" t="s">
        <v>183</v>
      </c>
      <c r="J27" s="72" t="s">
        <v>134</v>
      </c>
      <c r="K27" s="72" t="s">
        <v>184</v>
      </c>
      <c r="L27">
        <v>0.17</v>
      </c>
    </row>
    <row r="28" spans="1:14" ht="15" x14ac:dyDescent="0.25">
      <c r="C28" s="72" t="s">
        <v>185</v>
      </c>
      <c r="F28" s="72">
        <v>25.72</v>
      </c>
      <c r="G28" s="72">
        <v>25.72</v>
      </c>
      <c r="H28" s="72">
        <v>25.72</v>
      </c>
      <c r="J28" s="72" t="s">
        <v>140</v>
      </c>
      <c r="K28" s="72">
        <v>9.11</v>
      </c>
      <c r="L28">
        <f>25.72*9.11</f>
        <v>234.30919999999998</v>
      </c>
    </row>
    <row r="29" spans="1:14" x14ac:dyDescent="0.2">
      <c r="L29" s="71">
        <f>SUM(L21:L28)</f>
        <v>1310.5790000000002</v>
      </c>
      <c r="N29">
        <f>+L29/1000</f>
        <v>1.3105790000000002</v>
      </c>
    </row>
    <row r="37" spans="10:10" x14ac:dyDescent="0.2">
      <c r="J37" s="70" t="s">
        <v>187</v>
      </c>
    </row>
    <row r="40" spans="10:10" x14ac:dyDescent="0.2">
      <c r="J40">
        <f>360*506</f>
        <v>182160</v>
      </c>
    </row>
    <row r="41" spans="10:10" x14ac:dyDescent="0.2">
      <c r="J41">
        <f>+J40/20000</f>
        <v>9.1080000000000005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B8D3E1-2AC2-407A-9CC8-5F57F2EA2626}"/>
</file>

<file path=customXml/itemProps2.xml><?xml version="1.0" encoding="utf-8"?>
<ds:datastoreItem xmlns:ds="http://schemas.openxmlformats.org/officeDocument/2006/customXml" ds:itemID="{B474BF7C-60DC-42E1-9058-A561FEC8713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BB9EE92-CF22-494F-B02B-2507AC9CC11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24AC706-A6A5-46D1-B597-1338EE714E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Batido Actual </vt:lpstr>
      <vt:lpstr>Costo actual Batido</vt:lpstr>
      <vt:lpstr>Premezcla Actual </vt:lpstr>
      <vt:lpstr>Costo actual Premezcla </vt:lpstr>
      <vt:lpstr>Costo Nuevo Batido</vt:lpstr>
      <vt:lpstr>Costo Nuevo batido 2</vt:lpstr>
      <vt:lpstr>Premezcla  Nueva</vt:lpstr>
      <vt:lpstr>Costo Nuevo Premezcla </vt:lpstr>
      <vt:lpstr>Costo Nueva premezcla 2</vt:lpstr>
      <vt:lpstr>'Premezcla  Nueva'!Área_de_impresión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rsolis</dc:creator>
  <cp:lastModifiedBy>Allan Brenes</cp:lastModifiedBy>
  <cp:lastPrinted>2025-11-19T19:37:27Z</cp:lastPrinted>
  <dcterms:created xsi:type="dcterms:W3CDTF">2009-03-11T22:07:15Z</dcterms:created>
  <dcterms:modified xsi:type="dcterms:W3CDTF">2025-11-19T19:37:31Z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56800.0000000000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</Properties>
</file>
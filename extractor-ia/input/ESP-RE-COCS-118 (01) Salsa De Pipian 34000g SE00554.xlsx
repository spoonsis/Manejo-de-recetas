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8" documentId="8_{3DB0F7E2-37B8-4775-90E8-5DF7B36BE2C2}" xr6:coauthVersionLast="47" xr6:coauthVersionMax="47" xr10:uidLastSave="{79283A45-6FE1-4258-B363-5D1FC8AD1C1A}"/>
  <bookViews>
    <workbookView xWindow="-120" yWindow="-120" windowWidth="20730" windowHeight="11040" xr2:uid="{0E74A515-377F-48BD-8D83-79DCC85D6C65}"/>
  </bookViews>
  <sheets>
    <sheet name="REC" sheetId="1" r:id="rId1"/>
    <sheet name="costo " sheetId="2" state="hidden" r:id="rId2"/>
  </sheets>
  <externalReferences>
    <externalReference r:id="rId3"/>
    <externalReference r:id="rId4"/>
  </externalReferences>
  <definedNames>
    <definedName name="_xlnm.Print_Area" localSheetId="0">REC!$A$1:$I$47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2" l="1"/>
  <c r="C13" i="2"/>
  <c r="D13" i="2"/>
  <c r="E13" i="2"/>
  <c r="F13" i="2" s="1"/>
  <c r="C14" i="2"/>
  <c r="C15" i="2"/>
  <c r="B16" i="2"/>
  <c r="C16" i="2"/>
  <c r="D16" i="2"/>
  <c r="E16" i="2"/>
  <c r="B17" i="2"/>
  <c r="C17" i="2"/>
  <c r="D17" i="2"/>
  <c r="E17" i="2"/>
  <c r="D78" i="2"/>
  <c r="D79" i="2" s="1"/>
  <c r="D81" i="2" s="1"/>
  <c r="D76" i="2"/>
  <c r="D74" i="2"/>
  <c r="F70" i="2"/>
  <c r="C78" i="2" s="1"/>
  <c r="D65" i="2"/>
  <c r="D90" i="2" s="1"/>
  <c r="D91" i="2" s="1"/>
  <c r="C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6" i="2"/>
  <c r="D46" i="2"/>
  <c r="B46" i="2"/>
  <c r="A46" i="2"/>
  <c r="C46" i="2" s="1"/>
  <c r="E45" i="2"/>
  <c r="F45" i="2" s="1"/>
  <c r="D45" i="2"/>
  <c r="B45" i="2"/>
  <c r="A45" i="2"/>
  <c r="C45" i="2" s="1"/>
  <c r="E44" i="2"/>
  <c r="D44" i="2"/>
  <c r="B44" i="2"/>
  <c r="A44" i="2"/>
  <c r="A53" i="2" s="1"/>
  <c r="C53" i="2" s="1"/>
  <c r="E43" i="2"/>
  <c r="D43" i="2"/>
  <c r="B43" i="2"/>
  <c r="A43" i="2"/>
  <c r="A52" i="2" s="1"/>
  <c r="C52" i="2" s="1"/>
  <c r="E42" i="2"/>
  <c r="D42" i="2"/>
  <c r="B42" i="2"/>
  <c r="A42" i="2"/>
  <c r="C42" i="2" s="1"/>
  <c r="E41" i="2"/>
  <c r="D41" i="2"/>
  <c r="B41" i="2"/>
  <c r="A41" i="2"/>
  <c r="C41" i="2" s="1"/>
  <c r="E40" i="2"/>
  <c r="D40" i="2"/>
  <c r="B40" i="2"/>
  <c r="A40" i="2"/>
  <c r="A49" i="2" s="1"/>
  <c r="C49" i="2" s="1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29" i="2"/>
  <c r="F29" i="2" s="1"/>
  <c r="D29" i="2"/>
  <c r="C29" i="2"/>
  <c r="B29" i="2"/>
  <c r="E28" i="2"/>
  <c r="F28" i="2" s="1"/>
  <c r="D28" i="2"/>
  <c r="C28" i="2"/>
  <c r="B28" i="2"/>
  <c r="E27" i="2"/>
  <c r="F27" i="2" s="1"/>
  <c r="D27" i="2"/>
  <c r="C27" i="2"/>
  <c r="B27" i="2"/>
  <c r="E26" i="2"/>
  <c r="F26" i="2" s="1"/>
  <c r="D26" i="2"/>
  <c r="C26" i="2"/>
  <c r="B26" i="2"/>
  <c r="E25" i="2"/>
  <c r="F25" i="2" s="1"/>
  <c r="D25" i="2"/>
  <c r="C25" i="2"/>
  <c r="B25" i="2"/>
  <c r="E24" i="2"/>
  <c r="F24" i="2" s="1"/>
  <c r="D24" i="2"/>
  <c r="C24" i="2"/>
  <c r="B24" i="2"/>
  <c r="E23" i="2"/>
  <c r="F23" i="2" s="1"/>
  <c r="D23" i="2"/>
  <c r="C23" i="2"/>
  <c r="B23" i="2"/>
  <c r="E22" i="2"/>
  <c r="D22" i="2"/>
  <c r="C22" i="2"/>
  <c r="B22" i="2"/>
  <c r="B20" i="2"/>
  <c r="E19" i="2"/>
  <c r="D19" i="2"/>
  <c r="C19" i="2"/>
  <c r="B19" i="2"/>
  <c r="E18" i="2"/>
  <c r="D18" i="2"/>
  <c r="C18" i="2"/>
  <c r="B18" i="2"/>
  <c r="E12" i="2"/>
  <c r="D12" i="2"/>
  <c r="C12" i="2"/>
  <c r="B12" i="2"/>
  <c r="E11" i="2"/>
  <c r="D11" i="2"/>
  <c r="C11" i="2"/>
  <c r="B11" i="2"/>
  <c r="E10" i="2"/>
  <c r="F10" i="2" s="1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K32" i="1"/>
  <c r="F53" i="2" l="1"/>
  <c r="F52" i="2"/>
  <c r="F16" i="2"/>
  <c r="F17" i="2"/>
  <c r="F32" i="2"/>
  <c r="F15" i="2"/>
  <c r="F14" i="2"/>
  <c r="F22" i="2"/>
  <c r="F11" i="2"/>
  <c r="F8" i="2"/>
  <c r="F49" i="2"/>
  <c r="F12" i="2"/>
  <c r="F19" i="2"/>
  <c r="F33" i="2"/>
  <c r="F35" i="2"/>
  <c r="F37" i="2"/>
  <c r="F46" i="2"/>
  <c r="C44" i="2"/>
  <c r="F44" i="2" s="1"/>
  <c r="F18" i="2"/>
  <c r="F42" i="2"/>
  <c r="C40" i="2"/>
  <c r="F40" i="2" s="1"/>
  <c r="D86" i="2"/>
  <c r="F34" i="2"/>
  <c r="F36" i="2"/>
  <c r="C43" i="2"/>
  <c r="F43" i="2" s="1"/>
  <c r="D88" i="2"/>
  <c r="F41" i="2"/>
  <c r="C90" i="2"/>
  <c r="E90" i="2" s="1"/>
  <c r="E78" i="2"/>
  <c r="A51" i="2"/>
  <c r="C51" i="2" s="1"/>
  <c r="F51" i="2" s="1"/>
  <c r="A55" i="2"/>
  <c r="C55" i="2" s="1"/>
  <c r="F55" i="2" s="1"/>
  <c r="E56" i="2"/>
  <c r="F56" i="2" s="1"/>
  <c r="A50" i="2"/>
  <c r="C50" i="2" s="1"/>
  <c r="F50" i="2" s="1"/>
  <c r="A54" i="2"/>
  <c r="C54" i="2" s="1"/>
  <c r="F54" i="2" s="1"/>
  <c r="D36" i="1"/>
  <c r="D34" i="1"/>
  <c r="F58" i="2" l="1"/>
  <c r="F69" i="2" s="1"/>
  <c r="F61" i="2"/>
  <c r="F59" i="2"/>
  <c r="H58" i="2" l="1"/>
  <c r="F2" i="2" s="1"/>
  <c r="C74" i="2"/>
  <c r="H59" i="2"/>
  <c r="G2" i="2" s="1"/>
  <c r="C81" i="2"/>
  <c r="E81" i="2" s="1"/>
  <c r="F60" i="2"/>
  <c r="C79" i="2"/>
  <c r="H61" i="2"/>
  <c r="H2" i="2" s="1"/>
  <c r="E74" i="2" l="1"/>
  <c r="C86" i="2"/>
  <c r="E86" i="2" s="1"/>
  <c r="O59" i="2"/>
  <c r="H60" i="2"/>
  <c r="F68" i="2"/>
  <c r="E79" i="2"/>
  <c r="C91" i="2"/>
  <c r="E91" i="2" s="1"/>
  <c r="E83" i="2" l="1"/>
  <c r="C76" i="2"/>
  <c r="E68" i="2"/>
  <c r="F71" i="2"/>
  <c r="O61" i="2"/>
  <c r="O60" i="2"/>
  <c r="O63" i="2"/>
  <c r="G68" i="2" l="1"/>
  <c r="G15" i="2"/>
  <c r="G16" i="2"/>
  <c r="G13" i="2"/>
  <c r="G17" i="2"/>
  <c r="G14" i="2"/>
  <c r="O62" i="2"/>
  <c r="O64" i="2" s="1"/>
  <c r="O65" i="2" s="1"/>
  <c r="O66" i="2" s="1"/>
  <c r="O67" i="2" s="1"/>
  <c r="G71" i="2"/>
  <c r="G29" i="2"/>
  <c r="G49" i="2"/>
  <c r="G9" i="2"/>
  <c r="G35" i="2"/>
  <c r="G43" i="2"/>
  <c r="G45" i="2"/>
  <c r="G28" i="2"/>
  <c r="G36" i="2"/>
  <c r="G8" i="2"/>
  <c r="G70" i="2"/>
  <c r="G46" i="2"/>
  <c r="G19" i="2"/>
  <c r="G42" i="2"/>
  <c r="G24" i="2"/>
  <c r="G32" i="2"/>
  <c r="G22" i="2"/>
  <c r="G10" i="2"/>
  <c r="G40" i="2"/>
  <c r="G12" i="2"/>
  <c r="G37" i="2"/>
  <c r="G53" i="2"/>
  <c r="G23" i="2"/>
  <c r="G18" i="2"/>
  <c r="G25" i="2"/>
  <c r="G11" i="2"/>
  <c r="G58" i="2"/>
  <c r="G27" i="2"/>
  <c r="G44" i="2"/>
  <c r="G33" i="2"/>
  <c r="G52" i="2"/>
  <c r="G26" i="2"/>
  <c r="G34" i="2"/>
  <c r="G54" i="2"/>
  <c r="G55" i="2"/>
  <c r="G51" i="2"/>
  <c r="G50" i="2"/>
  <c r="G41" i="2"/>
  <c r="G56" i="2"/>
  <c r="G69" i="2"/>
  <c r="G59" i="2"/>
  <c r="G61" i="2"/>
  <c r="G60" i="2"/>
  <c r="C88" i="2"/>
  <c r="E88" i="2" s="1"/>
  <c r="E76" i="2"/>
  <c r="P67" i="2" l="1"/>
  <c r="E2" i="2"/>
</calcChain>
</file>

<file path=xl/sharedStrings.xml><?xml version="1.0" encoding="utf-8"?>
<sst xmlns="http://schemas.openxmlformats.org/spreadsheetml/2006/main" count="195" uniqueCount="139">
  <si>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</si>
  <si>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</si>
  <si>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</si>
  <si>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</si>
  <si>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</si>
  <si>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</si>
  <si>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</si>
  <si>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</si>
  <si>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</si>
  <si>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</si>
  <si>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</si>
  <si>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</si>
  <si>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</si>
  <si>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</si>
  <si>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</si>
  <si>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</si>
  <si>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</si>
  <si>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</si>
  <si>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</si>
  <si>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</si>
  <si>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</si>
  <si>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</si>
  <si>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</si>
  <si>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</si>
  <si>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</si>
  <si>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</si>
  <si>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</si>
  <si>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</si>
  <si>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ETIQUETA BLANCA 2 5/8X1 15/16 PRE BLANCA</t>
  </si>
  <si>
    <t>0702123</t>
  </si>
  <si>
    <t>EMPAQUE</t>
  </si>
  <si>
    <t>Enmanuel Madrigal, Chef</t>
  </si>
  <si>
    <t>101035</t>
  </si>
  <si>
    <t>CONTROL DE CAMBIOS</t>
  </si>
  <si>
    <t>101115</t>
  </si>
  <si>
    <t>1110372</t>
  </si>
  <si>
    <t>MANTEQUILLA MANI (2.27 Kg)</t>
  </si>
  <si>
    <t>106000006</t>
  </si>
  <si>
    <t>ENCURTIDO EN MOSTAZA (UND:960 G)</t>
  </si>
  <si>
    <t xml:space="preserve">TIO PELÓN </t>
  </si>
  <si>
    <t>10100125</t>
  </si>
  <si>
    <t>RED PACK</t>
  </si>
  <si>
    <t>10100050</t>
  </si>
  <si>
    <t>CAPULLO</t>
  </si>
  <si>
    <t>0910341</t>
  </si>
  <si>
    <t>LIZANO</t>
  </si>
  <si>
    <t>1212412</t>
  </si>
  <si>
    <t>ASAEL</t>
  </si>
  <si>
    <t>PLASTICO AUTOADHERIBLE 18X2000</t>
  </si>
  <si>
    <t>MAYCA</t>
  </si>
  <si>
    <t>cm</t>
  </si>
  <si>
    <t>ud</t>
  </si>
  <si>
    <t>17 unidades de 2000 g c/u</t>
  </si>
  <si>
    <t>1- Colocar en una olla caliente el aceite, añadir la cebolla  y el chile dulce y cristalizar</t>
  </si>
  <si>
    <t>3- Incorporar la salsa lizano, mover constantemente</t>
  </si>
  <si>
    <t>2- Agregar la pasta de tomate, junto con el azúcar y preservante, dejar cocinar por 5 min, mezclar bien</t>
  </si>
  <si>
    <t>4- Licuar el incurtido y agregar a la olla, mezclar y dejar hervir</t>
  </si>
  <si>
    <t>5- Por último agregar la mantequilla de maní y mezclar bien, dejar hervir y apagar la olla</t>
  </si>
  <si>
    <t>7- Pasar a empaque para chóque térmico</t>
  </si>
  <si>
    <t>6- Colocar en bandejas, cubrir con plástico, etiquetar con nombre</t>
  </si>
  <si>
    <t>512000002</t>
  </si>
  <si>
    <t>FAS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</si>
  <si>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</si>
  <si>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</si>
  <si>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</si>
  <si>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</si>
  <si>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</si>
  <si>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</si>
  <si>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</si>
  <si>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</si>
  <si>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</si>
  <si>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</si>
  <si>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</si>
  <si>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</si>
  <si>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</si>
  <si>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</si>
  <si>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</si>
  <si>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</si>
  <si>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</si>
  <si>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</si>
  <si>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</si>
  <si>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</si>
  <si>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</si>
  <si>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</si>
  <si>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</si>
  <si>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</si>
  <si>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</si>
  <si>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</si>
  <si>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</si>
  <si>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</si>
  <si>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</si>
  <si>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</si>
  <si>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</si>
  <si>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</si>
  <si>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</si>
  <si>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</si>
  <si>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</si>
  <si>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</si>
  <si>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</si>
  <si>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</si>
  <si>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</si>
  <si>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</si>
  <si>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</si>
  <si>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</si>
  <si>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</si>
  <si>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</si>
  <si>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</si>
  <si>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</si>
  <si>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</si>
  <si>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</si>
  <si>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90100132</t>
  </si>
  <si>
    <t xml:space="preserve">Gramos </t>
  </si>
  <si>
    <t>Esteban Cartin, Gte Manufactura</t>
  </si>
  <si>
    <t>MP10002</t>
  </si>
  <si>
    <t>MP10020</t>
  </si>
  <si>
    <t>MP10119</t>
  </si>
  <si>
    <t>MP10287</t>
  </si>
  <si>
    <t>SE00226</t>
  </si>
  <si>
    <t>MP10025</t>
  </si>
  <si>
    <t>MP10354</t>
  </si>
  <si>
    <t>MP10582</t>
  </si>
  <si>
    <t>EM10011</t>
  </si>
  <si>
    <t>EM10259</t>
  </si>
  <si>
    <t>Salsa De Pipian 34000g SE00554</t>
  </si>
  <si>
    <t>FRESQUITA</t>
  </si>
  <si>
    <t>ENCURTIDO EN MOSTAZA</t>
  </si>
  <si>
    <t>SALSA INGLESA LIZANO</t>
  </si>
  <si>
    <t>PRESERVANTE 1017S</t>
  </si>
  <si>
    <t>CHILE DULCE PICADO</t>
  </si>
  <si>
    <t>CEBOLLA PICADA</t>
  </si>
  <si>
    <t>ACEITE CAPULLO RBD</t>
  </si>
  <si>
    <t>PASTA TOMATE</t>
  </si>
  <si>
    <t>EMPAQUE AZUCAR REFINO</t>
  </si>
  <si>
    <t>MP10655</t>
  </si>
  <si>
    <t>MANTEQUILLA MANI</t>
  </si>
  <si>
    <t>SYSCO</t>
  </si>
  <si>
    <t>01</t>
  </si>
  <si>
    <t>ESP-RE-COCS-118</t>
  </si>
  <si>
    <t>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</si>
</sst>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_([$€-2]* #,##0.00_);_([$€-2]* \(#,##0.00\);_([$€-2]* &quot;-&quot;??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7" applyFont="1" applyFill="1" applyBorder="1" applyAlignment="1">
      <alignment horizontal="center" vertical="center"/>
    </xf>
    <xf numFmtId="43" fontId="8" fillId="0" borderId="0" xfId="7" applyFont="1" applyFill="1" applyBorder="1" applyAlignment="1">
      <alignment horizontal="center" vertical="center"/>
    </xf>
    <xf numFmtId="43" fontId="10" fillId="0" borderId="0" xfId="7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8" applyNumberFormat="1" applyFont="1" applyFill="1" applyAlignment="1">
      <alignment horizontal="center" vertical="center"/>
    </xf>
    <xf numFmtId="4" fontId="8" fillId="0" borderId="0" xfId="8" applyNumberFormat="1" applyFont="1" applyFill="1" applyAlignment="1">
      <alignment horizontal="center" vertical="center"/>
    </xf>
    <xf numFmtId="10" fontId="8" fillId="0" borderId="0" xfId="9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9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7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7" applyNumberFormat="1" applyFont="1" applyFill="1" applyAlignment="1">
      <alignment vertical="center"/>
    </xf>
    <xf numFmtId="43" fontId="16" fillId="0" borderId="0" xfId="7" applyFont="1" applyFill="1" applyAlignment="1">
      <alignment horizontal="center" vertical="center"/>
    </xf>
    <xf numFmtId="10" fontId="9" fillId="7" borderId="37" xfId="9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7" xfId="0" applyFont="1" applyFill="1" applyBorder="1" applyAlignment="1">
      <alignment vertical="center"/>
    </xf>
    <xf numFmtId="43" fontId="16" fillId="7" borderId="38" xfId="7" applyFont="1" applyFill="1" applyBorder="1" applyAlignment="1">
      <alignment horizontal="center" vertical="center"/>
    </xf>
    <xf numFmtId="43" fontId="18" fillId="0" borderId="0" xfId="7" applyFont="1" applyFill="1" applyBorder="1" applyAlignment="1">
      <alignment horizontal="right"/>
    </xf>
    <xf numFmtId="0" fontId="7" fillId="7" borderId="38" xfId="0" applyFont="1" applyFill="1" applyBorder="1" applyAlignment="1">
      <alignment vertical="center"/>
    </xf>
    <xf numFmtId="10" fontId="9" fillId="7" borderId="38" xfId="9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9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7" applyNumberFormat="1" applyFont="1" applyFill="1" applyAlignment="1">
      <alignment vertical="center"/>
    </xf>
    <xf numFmtId="4" fontId="16" fillId="0" borderId="0" xfId="8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9" xfId="7" applyFont="1" applyFill="1" applyBorder="1" applyAlignment="1">
      <alignment horizontal="right"/>
    </xf>
    <xf numFmtId="43" fontId="22" fillId="0" borderId="0" xfId="7" applyFont="1" applyFill="1" applyBorder="1" applyAlignment="1">
      <alignment horizontal="right"/>
    </xf>
    <xf numFmtId="43" fontId="8" fillId="0" borderId="17" xfId="7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8" applyNumberFormat="1" applyFont="1" applyFill="1" applyAlignment="1">
      <alignment horizontal="center" vertical="center"/>
    </xf>
    <xf numFmtId="10" fontId="24" fillId="0" borderId="0" xfId="9" applyNumberFormat="1" applyFont="1" applyFill="1" applyAlignment="1">
      <alignment horizontal="right"/>
    </xf>
    <xf numFmtId="170" fontId="8" fillId="7" borderId="17" xfId="7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7" applyFont="1" applyFill="1" applyBorder="1" applyAlignment="1">
      <alignment vertical="center"/>
    </xf>
    <xf numFmtId="167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4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7" applyNumberFormat="1" applyFont="1" applyFill="1" applyBorder="1" applyAlignment="1">
      <alignment horizontal="center"/>
    </xf>
    <xf numFmtId="2" fontId="21" fillId="0" borderId="0" xfId="7" applyNumberFormat="1" applyFont="1" applyFill="1" applyBorder="1" applyAlignment="1">
      <alignment horizontal="center"/>
    </xf>
    <xf numFmtId="0" fontId="7" fillId="7" borderId="40" xfId="0" applyFont="1" applyFill="1" applyBorder="1" applyAlignment="1">
      <alignment vertical="center"/>
    </xf>
    <xf numFmtId="10" fontId="7" fillId="0" borderId="0" xfId="9" applyNumberFormat="1" applyFont="1" applyFill="1" applyAlignment="1">
      <alignment vertical="center"/>
    </xf>
    <xf numFmtId="4" fontId="7" fillId="0" borderId="0" xfId="7" applyNumberFormat="1" applyFont="1" applyFill="1" applyAlignment="1">
      <alignment vertical="center"/>
    </xf>
    <xf numFmtId="43" fontId="22" fillId="7" borderId="8" xfId="7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7" applyNumberFormat="1" applyFont="1" applyFill="1" applyAlignment="1">
      <alignment vertical="center"/>
    </xf>
    <xf numFmtId="10" fontId="9" fillId="0" borderId="0" xfId="9" applyNumberFormat="1" applyFont="1" applyFill="1" applyBorder="1" applyAlignment="1">
      <alignment vertical="center"/>
    </xf>
    <xf numFmtId="167" fontId="29" fillId="0" borderId="0" xfId="0" applyNumberFormat="1" applyFont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43" fontId="30" fillId="0" borderId="0" xfId="7" applyFont="1" applyFill="1" applyAlignment="1">
      <alignment vertical="center"/>
    </xf>
    <xf numFmtId="9" fontId="7" fillId="0" borderId="0" xfId="7" applyNumberFormat="1" applyFont="1" applyFill="1" applyAlignment="1">
      <alignment vertical="center"/>
    </xf>
    <xf numFmtId="4" fontId="31" fillId="0" borderId="0" xfId="8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8" fillId="10" borderId="39" xfId="7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7" applyFont="1" applyFill="1" applyAlignment="1">
      <alignment vertical="center"/>
    </xf>
    <xf numFmtId="9" fontId="32" fillId="0" borderId="0" xfId="7" applyNumberFormat="1" applyFont="1" applyFill="1" applyAlignment="1">
      <alignment vertical="center"/>
    </xf>
    <xf numFmtId="4" fontId="8" fillId="0" borderId="0" xfId="7" applyNumberFormat="1" applyFont="1" applyFill="1" applyAlignment="1">
      <alignment horizontal="center" vertical="center"/>
    </xf>
    <xf numFmtId="10" fontId="25" fillId="0" borderId="0" xfId="9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7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7" applyFont="1" applyFill="1" applyBorder="1"/>
    <xf numFmtId="10" fontId="25" fillId="0" borderId="0" xfId="9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7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7" fontId="8" fillId="0" borderId="0" xfId="0" applyNumberFormat="1" applyFont="1"/>
    <xf numFmtId="2" fontId="14" fillId="11" borderId="0" xfId="0" applyNumberFormat="1" applyFont="1" applyFill="1" applyAlignment="1">
      <alignment horizontal="center"/>
    </xf>
    <xf numFmtId="0" fontId="7" fillId="11" borderId="0" xfId="0" applyFont="1" applyFill="1" applyAlignment="1">
      <alignment vertical="center"/>
    </xf>
    <xf numFmtId="4" fontId="14" fillId="11" borderId="0" xfId="8" applyNumberFormat="1" applyFont="1" applyFill="1" applyAlignment="1">
      <alignment horizontal="center" vertical="center"/>
    </xf>
    <xf numFmtId="4" fontId="8" fillId="11" borderId="0" xfId="8" applyNumberFormat="1" applyFont="1" applyFill="1" applyAlignment="1">
      <alignment horizontal="center" vertical="center"/>
    </xf>
    <xf numFmtId="10" fontId="8" fillId="11" borderId="0" xfId="9" applyNumberFormat="1" applyFont="1" applyFill="1" applyAlignment="1">
      <alignment vertical="center"/>
    </xf>
    <xf numFmtId="49" fontId="8" fillId="11" borderId="0" xfId="0" applyNumberFormat="1" applyFont="1" applyFill="1" applyAlignment="1">
      <alignment horizontal="center" vertical="center"/>
    </xf>
    <xf numFmtId="14" fontId="37" fillId="2" borderId="0" xfId="3" applyNumberFormat="1" applyFont="1" applyFill="1" applyAlignment="1">
      <alignment horizontal="center" vertical="center" wrapText="1"/>
    </xf>
    <xf numFmtId="0" fontId="38" fillId="0" borderId="17" xfId="0" applyFont="1" applyBorder="1" applyAlignment="1">
      <alignment horizontal="center" vertical="top"/>
    </xf>
    <xf numFmtId="0" fontId="38" fillId="0" borderId="17" xfId="0" applyFont="1" applyBorder="1" applyAlignment="1">
      <alignment vertical="top"/>
    </xf>
    <xf numFmtId="0" fontId="39" fillId="4" borderId="17" xfId="0" applyFont="1" applyFill="1" applyBorder="1" applyAlignment="1">
      <alignment horizontal="center" vertical="center"/>
    </xf>
    <xf numFmtId="1" fontId="39" fillId="4" borderId="17" xfId="0" applyNumberFormat="1" applyFont="1" applyFill="1" applyBorder="1" applyAlignment="1">
      <alignment horizontal="center"/>
    </xf>
    <xf numFmtId="1" fontId="39" fillId="4" borderId="17" xfId="0" applyNumberFormat="1" applyFont="1" applyFill="1" applyBorder="1" applyAlignment="1">
      <alignment horizontal="center" wrapText="1"/>
    </xf>
    <xf numFmtId="1" fontId="39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4" borderId="24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9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vertical="center"/>
    </xf>
    <xf numFmtId="16" fontId="39" fillId="0" borderId="17" xfId="1" applyNumberFormat="1" applyFont="1" applyBorder="1" applyAlignment="1">
      <alignment horizontal="center" vertical="center"/>
    </xf>
    <xf numFmtId="1" fontId="39" fillId="0" borderId="17" xfId="1" applyNumberFormat="1" applyFont="1" applyBorder="1" applyAlignment="1">
      <alignment horizontal="center" vertical="center"/>
    </xf>
    <xf numFmtId="1" fontId="39" fillId="0" borderId="17" xfId="1" applyNumberFormat="1" applyFont="1" applyBorder="1" applyAlignment="1">
      <alignment horizontal="center" vertical="center" wrapText="1"/>
    </xf>
    <xf numFmtId="0" fontId="39" fillId="0" borderId="25" xfId="1" applyFont="1" applyBorder="1" applyAlignment="1">
      <alignment horizontal="center" vertical="center"/>
    </xf>
    <xf numFmtId="49" fontId="39" fillId="0" borderId="17" xfId="1" applyNumberFormat="1" applyFont="1" applyBorder="1" applyAlignment="1">
      <alignment vertical="center"/>
    </xf>
    <xf numFmtId="49" fontId="39" fillId="0" borderId="25" xfId="1" applyNumberFormat="1" applyFont="1" applyBorder="1" applyAlignment="1">
      <alignment horizontal="center"/>
    </xf>
    <xf numFmtId="49" fontId="39" fillId="0" borderId="16" xfId="1" applyNumberFormat="1" applyFont="1" applyBorder="1" applyAlignment="1">
      <alignment horizontal="center"/>
    </xf>
    <xf numFmtId="49" fontId="39" fillId="0" borderId="17" xfId="1" applyNumberFormat="1" applyFont="1" applyBorder="1"/>
    <xf numFmtId="16" fontId="39" fillId="0" borderId="17" xfId="1" applyNumberFormat="1" applyFont="1" applyBorder="1" applyAlignment="1">
      <alignment horizontal="center"/>
    </xf>
    <xf numFmtId="1" fontId="39" fillId="0" borderId="17" xfId="1" applyNumberFormat="1" applyFont="1" applyBorder="1" applyAlignment="1">
      <alignment horizontal="center"/>
    </xf>
    <xf numFmtId="1" fontId="39" fillId="0" borderId="17" xfId="1" applyNumberFormat="1" applyFont="1" applyBorder="1" applyAlignment="1">
      <alignment horizontal="center" wrapText="1"/>
    </xf>
    <xf numFmtId="49" fontId="39" fillId="4" borderId="25" xfId="0" applyNumberFormat="1" applyFont="1" applyFill="1" applyBorder="1" applyAlignment="1">
      <alignment horizontal="right"/>
    </xf>
    <xf numFmtId="49" fontId="39" fillId="4" borderId="16" xfId="0" applyNumberFormat="1" applyFont="1" applyFill="1" applyBorder="1" applyAlignment="1">
      <alignment horizontal="right"/>
    </xf>
    <xf numFmtId="49" fontId="39" fillId="4" borderId="17" xfId="0" applyNumberFormat="1" applyFont="1" applyFill="1" applyBorder="1"/>
    <xf numFmtId="0" fontId="39" fillId="0" borderId="17" xfId="0" applyFont="1" applyBorder="1"/>
    <xf numFmtId="0" fontId="39" fillId="0" borderId="24" xfId="0" applyFont="1" applyBorder="1" applyAlignment="1">
      <alignment horizontal="center"/>
    </xf>
    <xf numFmtId="0" fontId="39" fillId="0" borderId="25" xfId="0" quotePrefix="1" applyFont="1" applyBorder="1" applyAlignment="1">
      <alignment horizontal="right"/>
    </xf>
    <xf numFmtId="0" fontId="39" fillId="0" borderId="16" xfId="0" quotePrefix="1" applyFont="1" applyBorder="1" applyAlignment="1">
      <alignment horizontal="right"/>
    </xf>
    <xf numFmtId="0" fontId="39" fillId="0" borderId="17" xfId="0" quotePrefix="1" applyFont="1" applyBorder="1"/>
    <xf numFmtId="1" fontId="39" fillId="0" borderId="17" xfId="0" applyNumberFormat="1" applyFont="1" applyBorder="1" applyAlignment="1">
      <alignment horizontal="center" wrapText="1"/>
    </xf>
    <xf numFmtId="49" fontId="38" fillId="2" borderId="23" xfId="0" applyNumberFormat="1" applyFont="1" applyFill="1" applyBorder="1" applyAlignment="1">
      <alignment horizontal="center" vertical="center"/>
    </xf>
    <xf numFmtId="49" fontId="38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1" fontId="39" fillId="2" borderId="0" xfId="0" applyNumberFormat="1" applyFont="1" applyFill="1" applyAlignment="1">
      <alignment horizontal="center"/>
    </xf>
    <xf numFmtId="165" fontId="39" fillId="2" borderId="0" xfId="0" applyNumberFormat="1" applyFont="1" applyFill="1" applyAlignment="1">
      <alignment horizontal="center" wrapText="1"/>
    </xf>
    <xf numFmtId="0" fontId="39" fillId="2" borderId="22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8" xfId="0" applyFont="1" applyFill="1" applyBorder="1"/>
    <xf numFmtId="0" fontId="40" fillId="3" borderId="8" xfId="0" applyFont="1" applyFill="1" applyBorder="1" applyAlignment="1">
      <alignment horizontal="center"/>
    </xf>
    <xf numFmtId="1" fontId="40" fillId="3" borderId="8" xfId="0" applyNumberFormat="1" applyFont="1" applyFill="1" applyBorder="1" applyAlignment="1">
      <alignment horizontal="center"/>
    </xf>
    <xf numFmtId="165" fontId="39" fillId="3" borderId="8" xfId="0" applyNumberFormat="1" applyFont="1" applyFill="1" applyBorder="1" applyAlignment="1">
      <alignment horizontal="center" wrapText="1"/>
    </xf>
    <xf numFmtId="0" fontId="39" fillId="3" borderId="7" xfId="0" applyFont="1" applyFill="1" applyBorder="1" applyAlignment="1">
      <alignment horizontal="center"/>
    </xf>
    <xf numFmtId="1" fontId="39" fillId="4" borderId="20" xfId="0" applyNumberFormat="1" applyFont="1" applyFill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40" fillId="4" borderId="17" xfId="0" applyFont="1" applyFill="1" applyBorder="1" applyAlignment="1">
      <alignment horizontal="center"/>
    </xf>
    <xf numFmtId="0" fontId="39" fillId="4" borderId="17" xfId="0" applyFont="1" applyFill="1" applyBorder="1" applyAlignment="1">
      <alignment horizontal="center"/>
    </xf>
    <xf numFmtId="1" fontId="39" fillId="4" borderId="12" xfId="0" applyNumberFormat="1" applyFont="1" applyFill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42" fillId="0" borderId="17" xfId="0" applyFont="1" applyBorder="1" applyAlignment="1">
      <alignment vertical="top"/>
    </xf>
    <xf numFmtId="0" fontId="39" fillId="0" borderId="17" xfId="1" applyFont="1" applyBorder="1" applyAlignment="1">
      <alignment horizontal="left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39" fillId="0" borderId="6" xfId="1" applyFont="1" applyBorder="1" applyAlignment="1">
      <alignment horizontal="left"/>
    </xf>
    <xf numFmtId="0" fontId="39" fillId="0" borderId="5" xfId="1" applyFont="1" applyBorder="1" applyAlignment="1">
      <alignment horizontal="left"/>
    </xf>
    <xf numFmtId="0" fontId="39" fillId="0" borderId="4" xfId="1" applyFont="1" applyBorder="1" applyAlignment="1">
      <alignment horizontal="left"/>
    </xf>
    <xf numFmtId="0" fontId="39" fillId="0" borderId="6" xfId="1" applyFont="1" applyBorder="1" applyAlignment="1">
      <alignment horizontal="left" wrapText="1"/>
    </xf>
    <xf numFmtId="0" fontId="39" fillId="0" borderId="5" xfId="1" applyFont="1" applyBorder="1" applyAlignment="1">
      <alignment horizontal="left" wrapText="1"/>
    </xf>
    <xf numFmtId="0" fontId="39" fillId="0" borderId="4" xfId="1" applyFont="1" applyBorder="1" applyAlignment="1">
      <alignment horizontal="left" wrapText="1"/>
    </xf>
    <xf numFmtId="165" fontId="39" fillId="0" borderId="15" xfId="0" applyNumberFormat="1" applyFont="1" applyBorder="1" applyAlignment="1">
      <alignment horizontal="center" wrapText="1"/>
    </xf>
    <xf numFmtId="165" fontId="39" fillId="0" borderId="33" xfId="0" applyNumberFormat="1" applyFont="1" applyBorder="1" applyAlignment="1">
      <alignment horizontal="center" wrapText="1"/>
    </xf>
    <xf numFmtId="165" fontId="39" fillId="0" borderId="14" xfId="0" applyNumberFormat="1" applyFont="1" applyBorder="1" applyAlignment="1">
      <alignment horizont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36" fillId="5" borderId="17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37" fillId="2" borderId="2" xfId="3" applyFont="1" applyFill="1" applyBorder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0" fillId="3" borderId="30" xfId="1" applyFont="1" applyFill="1" applyBorder="1" applyAlignment="1">
      <alignment horizontal="center" vertical="center"/>
    </xf>
    <xf numFmtId="0" fontId="40" fillId="3" borderId="31" xfId="1" applyFont="1" applyFill="1" applyBorder="1" applyAlignment="1">
      <alignment horizontal="center" vertical="center"/>
    </xf>
    <xf numFmtId="0" fontId="40" fillId="3" borderId="32" xfId="1" applyFont="1" applyFill="1" applyBorder="1" applyAlignment="1">
      <alignment horizontal="center" vertical="center"/>
    </xf>
    <xf numFmtId="0" fontId="40" fillId="0" borderId="6" xfId="0" applyFont="1" applyBorder="1" applyAlignment="1">
      <alignment horizontal="right"/>
    </xf>
    <xf numFmtId="0" fontId="40" fillId="0" borderId="5" xfId="0" applyFont="1" applyBorder="1" applyAlignment="1">
      <alignment horizontal="right"/>
    </xf>
    <xf numFmtId="0" fontId="40" fillId="0" borderId="21" xfId="0" applyFont="1" applyBorder="1" applyAlignment="1">
      <alignment horizontal="right"/>
    </xf>
    <xf numFmtId="165" fontId="39" fillId="0" borderId="20" xfId="0" applyNumberFormat="1" applyFont="1" applyBorder="1" applyAlignment="1">
      <alignment horizontal="right"/>
    </xf>
    <xf numFmtId="0" fontId="39" fillId="2" borderId="19" xfId="0" applyFont="1" applyFill="1" applyBorder="1" applyAlignment="1">
      <alignment horizontal="center"/>
    </xf>
    <xf numFmtId="0" fontId="39" fillId="2" borderId="4" xfId="0" applyFont="1" applyFill="1" applyBorder="1" applyAlignment="1">
      <alignment horizontal="center"/>
    </xf>
    <xf numFmtId="0" fontId="40" fillId="0" borderId="18" xfId="0" applyFont="1" applyBorder="1" applyAlignment="1">
      <alignment horizontal="right"/>
    </xf>
    <xf numFmtId="0" fontId="40" fillId="0" borderId="33" xfId="0" applyFont="1" applyBorder="1" applyAlignment="1">
      <alignment horizontal="right"/>
    </xf>
    <xf numFmtId="0" fontId="40" fillId="0" borderId="16" xfId="0" applyFont="1" applyBorder="1" applyAlignment="1">
      <alignment horizontal="right"/>
    </xf>
    <xf numFmtId="0" fontId="39" fillId="0" borderId="17" xfId="0" applyFont="1" applyBorder="1" applyAlignment="1">
      <alignment horizontal="right"/>
    </xf>
    <xf numFmtId="165" fontId="39" fillId="0" borderId="15" xfId="0" applyNumberFormat="1" applyFont="1" applyBorder="1" applyAlignment="1">
      <alignment horizontal="center"/>
    </xf>
    <xf numFmtId="165" fontId="39" fillId="0" borderId="14" xfId="0" applyNumberFormat="1" applyFont="1" applyBorder="1" applyAlignment="1">
      <alignment horizontal="center"/>
    </xf>
    <xf numFmtId="0" fontId="39" fillId="0" borderId="3" xfId="1" applyFont="1" applyBorder="1" applyAlignment="1">
      <alignment horizontal="left"/>
    </xf>
    <xf numFmtId="0" fontId="39" fillId="0" borderId="2" xfId="1" applyFont="1" applyBorder="1" applyAlignment="1">
      <alignment horizontal="left"/>
    </xf>
    <xf numFmtId="0" fontId="39" fillId="0" borderId="1" xfId="1" applyFont="1" applyBorder="1" applyAlignment="1">
      <alignment horizontal="left"/>
    </xf>
    <xf numFmtId="0" fontId="40" fillId="3" borderId="9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40" fillId="3" borderId="7" xfId="0" applyFont="1" applyFill="1" applyBorder="1" applyAlignment="1">
      <alignment horizontal="center"/>
    </xf>
    <xf numFmtId="0" fontId="40" fillId="0" borderId="13" xfId="0" applyFont="1" applyBorder="1" applyAlignment="1">
      <alignment horizontal="right"/>
    </xf>
    <xf numFmtId="0" fontId="40" fillId="0" borderId="41" xfId="0" applyFont="1" applyBorder="1" applyAlignment="1">
      <alignment horizontal="right"/>
    </xf>
    <xf numFmtId="0" fontId="40" fillId="0" borderId="12" xfId="0" applyFont="1" applyBorder="1" applyAlignment="1">
      <alignment horizontal="right"/>
    </xf>
    <xf numFmtId="0" fontId="39" fillId="0" borderId="12" xfId="0" applyFont="1" applyBorder="1" applyAlignment="1">
      <alignment horizontal="right"/>
    </xf>
    <xf numFmtId="165" fontId="39" fillId="0" borderId="11" xfId="0" applyNumberFormat="1" applyFont="1" applyBorder="1" applyAlignment="1">
      <alignment horizontal="center"/>
    </xf>
    <xf numFmtId="165" fontId="39" fillId="0" borderId="10" xfId="0" applyNumberFormat="1" applyFont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8" applyNumberFormat="1" applyFont="1" applyFill="1" applyAlignment="1">
      <alignment horizontal="center" vertical="center" wrapText="1"/>
    </xf>
  </cellXfs>
  <cellStyles count="10">
    <cellStyle name="Euro" xfId="6" xr:uid="{89DB03C0-8E7D-4CA1-A8DB-88CD75D469C8}"/>
    <cellStyle name="Millares" xfId="7" builtinId="3"/>
    <cellStyle name="Millares [0]" xfId="8" builtinId="6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" xfId="9" builtinId="5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182563</xdr:colOff>
      <xdr:row>0</xdr:row>
      <xdr:rowOff>90487</xdr:rowOff>
    </xdr:from>
    <xdr:to>
      <xdr:col>1</xdr:col>
      <xdr:colOff>864724</xdr:colOff>
      <xdr:row>3</xdr:row>
      <xdr:rowOff>107156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871C9D8C-7F1D-4F36-9942-4D07A14F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63" y="90487"/>
          <a:ext cx="1801349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49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6.28515625" style="1" customWidth="1"/>
    <col min="3" max="3" width="66.5703125" style="1" customWidth="1"/>
    <col min="4" max="4" width="18.85546875" style="1" customWidth="1"/>
    <col min="5" max="5" width="14.7109375" style="1" customWidth="1"/>
    <col min="6" max="6" width="13.140625" style="1" customWidth="1"/>
    <col min="7" max="7" width="12.5703125" style="1" customWidth="1"/>
    <col min="8" max="8" width="14.42578125" style="1" customWidth="1"/>
    <col min="9" max="9" width="18" style="1" customWidth="1"/>
    <col min="10" max="16384" width="11.42578125" style="1"/>
  </cols>
  <sheetData>
    <row r="1" spans="1:9" ht="18" x14ac:dyDescent="0.25">
      <c r="A1" s="176"/>
      <c r="B1" s="177"/>
      <c r="C1" s="197" t="s">
        <v>26</v>
      </c>
      <c r="D1" s="197"/>
      <c r="E1" s="197"/>
      <c r="F1" s="197"/>
      <c r="G1" s="197"/>
      <c r="H1" s="18" t="s">
        <v>25</v>
      </c>
      <c r="I1" s="17" t="s">
        <v>137</v>
      </c>
    </row>
    <row r="2" spans="1:9" ht="18" x14ac:dyDescent="0.25">
      <c r="A2" s="178"/>
      <c r="B2" s="179"/>
      <c r="C2" s="198" t="s">
        <v>24</v>
      </c>
      <c r="D2" s="198"/>
      <c r="E2" s="198"/>
      <c r="F2" s="198"/>
      <c r="G2" s="198"/>
      <c r="H2" s="16" t="s">
        <v>23</v>
      </c>
      <c r="I2" s="15" t="s">
        <v>136</v>
      </c>
    </row>
    <row r="3" spans="1:9" ht="25.5" customHeight="1" x14ac:dyDescent="0.2">
      <c r="A3" s="178"/>
      <c r="B3" s="179"/>
      <c r="C3" s="199" t="s">
        <v>123</v>
      </c>
      <c r="D3" s="199"/>
      <c r="E3" s="199"/>
      <c r="F3" s="199"/>
      <c r="G3" s="199"/>
      <c r="H3" s="200" t="s">
        <v>22</v>
      </c>
      <c r="I3" s="193">
        <v>45945</v>
      </c>
    </row>
    <row r="4" spans="1:9" ht="14.45" customHeight="1" x14ac:dyDescent="0.2">
      <c r="A4" s="178"/>
      <c r="B4" s="179"/>
      <c r="C4" s="14" t="s">
        <v>21</v>
      </c>
      <c r="D4" s="195" t="s">
        <v>31</v>
      </c>
      <c r="E4" s="195"/>
      <c r="F4" s="195"/>
      <c r="G4" s="195"/>
      <c r="H4" s="200"/>
      <c r="I4" s="193"/>
    </row>
    <row r="5" spans="1:9" ht="15" customHeight="1" thickBot="1" x14ac:dyDescent="0.25">
      <c r="A5" s="180"/>
      <c r="B5" s="181"/>
      <c r="C5" s="13" t="s">
        <v>20</v>
      </c>
      <c r="D5" s="196" t="s">
        <v>112</v>
      </c>
      <c r="E5" s="196"/>
      <c r="F5" s="196"/>
      <c r="G5" s="196"/>
      <c r="H5" s="201"/>
      <c r="I5" s="194"/>
    </row>
    <row r="6" spans="1:9" ht="0.75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202" t="s">
        <v>19</v>
      </c>
      <c r="B7" s="202"/>
      <c r="C7" s="202"/>
      <c r="D7" s="203" t="s">
        <v>138</v>
      </c>
      <c r="E7" s="203"/>
      <c r="F7" s="203"/>
      <c r="G7" s="204" t="s">
        <v>18</v>
      </c>
      <c r="H7" s="204"/>
      <c r="I7" s="122" t="s">
        <v>30</v>
      </c>
    </row>
    <row r="8" spans="1:9" ht="33" customHeight="1" x14ac:dyDescent="0.2">
      <c r="A8" s="234" t="s">
        <v>17</v>
      </c>
      <c r="B8" s="182"/>
      <c r="C8" s="232" t="s">
        <v>16</v>
      </c>
      <c r="D8" s="232" t="s">
        <v>15</v>
      </c>
      <c r="E8" s="232" t="s">
        <v>14</v>
      </c>
      <c r="F8" s="232"/>
      <c r="G8" s="232" t="s">
        <v>13</v>
      </c>
      <c r="H8" s="232"/>
      <c r="I8" s="7" t="s">
        <v>12</v>
      </c>
    </row>
    <row r="9" spans="1:9" ht="30.75" customHeight="1" thickBot="1" x14ac:dyDescent="0.25">
      <c r="A9" s="235"/>
      <c r="B9" s="183"/>
      <c r="C9" s="233"/>
      <c r="D9" s="233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23">
        <v>10100050</v>
      </c>
      <c r="B10" s="123" t="s">
        <v>113</v>
      </c>
      <c r="C10" s="124" t="s">
        <v>130</v>
      </c>
      <c r="D10" s="125" t="s">
        <v>43</v>
      </c>
      <c r="E10" s="126">
        <v>250</v>
      </c>
      <c r="F10" s="127" t="s">
        <v>1</v>
      </c>
      <c r="G10" s="128"/>
      <c r="H10" s="129"/>
      <c r="I10" s="130"/>
    </row>
    <row r="11" spans="1:9" ht="20.25" x14ac:dyDescent="0.3">
      <c r="A11" s="123">
        <v>101035</v>
      </c>
      <c r="B11" s="123" t="s">
        <v>114</v>
      </c>
      <c r="C11" s="124" t="s">
        <v>129</v>
      </c>
      <c r="D11" s="125" t="s">
        <v>124</v>
      </c>
      <c r="E11" s="126">
        <v>20000</v>
      </c>
      <c r="F11" s="127" t="s">
        <v>1</v>
      </c>
      <c r="G11" s="128"/>
      <c r="H11" s="129"/>
      <c r="I11" s="130"/>
    </row>
    <row r="12" spans="1:9" ht="20.25" x14ac:dyDescent="0.3">
      <c r="A12" s="123">
        <v>101115</v>
      </c>
      <c r="B12" s="123" t="s">
        <v>115</v>
      </c>
      <c r="C12" s="124" t="s">
        <v>128</v>
      </c>
      <c r="D12" s="125" t="s">
        <v>124</v>
      </c>
      <c r="E12" s="126">
        <v>4500</v>
      </c>
      <c r="F12" s="127" t="s">
        <v>1</v>
      </c>
      <c r="G12" s="128"/>
      <c r="H12" s="129"/>
      <c r="I12" s="130"/>
    </row>
    <row r="13" spans="1:9" ht="20.25" x14ac:dyDescent="0.3">
      <c r="A13" s="123">
        <v>10100125</v>
      </c>
      <c r="B13" s="123" t="s">
        <v>116</v>
      </c>
      <c r="C13" s="124" t="s">
        <v>131</v>
      </c>
      <c r="D13" s="125" t="s">
        <v>41</v>
      </c>
      <c r="E13" s="126">
        <v>1200</v>
      </c>
      <c r="F13" s="127" t="s">
        <v>1</v>
      </c>
      <c r="G13" s="128"/>
      <c r="H13" s="129"/>
      <c r="I13" s="130"/>
    </row>
    <row r="14" spans="1:9" ht="20.25" x14ac:dyDescent="0.3">
      <c r="A14" s="123">
        <v>90100132</v>
      </c>
      <c r="B14" s="123" t="s">
        <v>117</v>
      </c>
      <c r="C14" s="124" t="s">
        <v>132</v>
      </c>
      <c r="D14" s="125" t="s">
        <v>61</v>
      </c>
      <c r="E14" s="126">
        <v>980</v>
      </c>
      <c r="F14" s="127" t="s">
        <v>1</v>
      </c>
      <c r="G14" s="128"/>
      <c r="H14" s="129"/>
      <c r="I14" s="130"/>
    </row>
    <row r="15" spans="1:9" ht="20.25" x14ac:dyDescent="0.3">
      <c r="A15" s="123">
        <v>1212412</v>
      </c>
      <c r="B15" s="123" t="s">
        <v>118</v>
      </c>
      <c r="C15" s="124" t="s">
        <v>127</v>
      </c>
      <c r="D15" s="125" t="s">
        <v>47</v>
      </c>
      <c r="E15" s="126">
        <v>28</v>
      </c>
      <c r="F15" s="127" t="s">
        <v>1</v>
      </c>
      <c r="G15" s="128"/>
      <c r="H15" s="129"/>
      <c r="I15" s="130"/>
    </row>
    <row r="16" spans="1:9" ht="20.25" x14ac:dyDescent="0.3">
      <c r="A16" s="123">
        <v>910341</v>
      </c>
      <c r="B16" s="123" t="s">
        <v>119</v>
      </c>
      <c r="C16" s="124" t="s">
        <v>126</v>
      </c>
      <c r="D16" s="125" t="s">
        <v>45</v>
      </c>
      <c r="E16" s="126">
        <v>800</v>
      </c>
      <c r="F16" s="127" t="s">
        <v>1</v>
      </c>
      <c r="G16" s="128"/>
      <c r="H16" s="129"/>
      <c r="I16" s="130"/>
    </row>
    <row r="17" spans="1:12" ht="20.25" x14ac:dyDescent="0.3">
      <c r="A17" s="123"/>
      <c r="B17" s="131" t="s">
        <v>133</v>
      </c>
      <c r="C17" s="124" t="s">
        <v>125</v>
      </c>
      <c r="D17" s="132" t="s">
        <v>39</v>
      </c>
      <c r="E17" s="126">
        <v>3150</v>
      </c>
      <c r="F17" s="127" t="s">
        <v>1</v>
      </c>
      <c r="G17" s="128"/>
      <c r="H17" s="129"/>
      <c r="I17" s="130"/>
    </row>
    <row r="18" spans="1:12" ht="20.25" x14ac:dyDescent="0.3">
      <c r="A18" s="123">
        <v>1110372</v>
      </c>
      <c r="B18" s="123" t="s">
        <v>120</v>
      </c>
      <c r="C18" s="124" t="s">
        <v>134</v>
      </c>
      <c r="D18" s="132" t="s">
        <v>135</v>
      </c>
      <c r="E18" s="126">
        <v>3700</v>
      </c>
      <c r="F18" s="127" t="s">
        <v>1</v>
      </c>
      <c r="G18" s="128"/>
      <c r="H18" s="129"/>
      <c r="I18" s="130"/>
    </row>
    <row r="19" spans="1:12" ht="20.25" x14ac:dyDescent="0.3">
      <c r="A19" s="123"/>
      <c r="B19" s="123"/>
      <c r="C19" s="124"/>
      <c r="D19" s="125"/>
      <c r="E19" s="126"/>
      <c r="F19" s="127"/>
      <c r="G19" s="128"/>
      <c r="H19" s="129"/>
      <c r="I19" s="130"/>
    </row>
    <row r="20" spans="1:12" ht="20.25" x14ac:dyDescent="0.3">
      <c r="A20" s="123"/>
      <c r="B20" s="123"/>
      <c r="C20" s="124"/>
      <c r="D20" s="125"/>
      <c r="E20" s="126"/>
      <c r="F20" s="127"/>
      <c r="G20" s="128"/>
      <c r="H20" s="129"/>
      <c r="I20" s="130"/>
    </row>
    <row r="21" spans="1:12" ht="20.25" x14ac:dyDescent="0.3">
      <c r="A21" s="123"/>
      <c r="B21" s="123"/>
      <c r="C21" s="124"/>
      <c r="D21" s="125"/>
      <c r="E21" s="126"/>
      <c r="F21" s="127"/>
      <c r="G21" s="128"/>
      <c r="H21" s="129"/>
      <c r="I21" s="130"/>
    </row>
    <row r="22" spans="1:12" ht="20.25" x14ac:dyDescent="0.3">
      <c r="A22" s="123"/>
      <c r="B22" s="123"/>
      <c r="C22" s="124"/>
      <c r="D22" s="125"/>
      <c r="E22" s="126"/>
      <c r="F22" s="127"/>
      <c r="G22" s="128"/>
      <c r="H22" s="129"/>
      <c r="I22" s="130"/>
    </row>
    <row r="23" spans="1:12" ht="20.25" x14ac:dyDescent="0.3">
      <c r="A23" s="123"/>
      <c r="B23" s="123"/>
      <c r="C23" s="174" t="s">
        <v>30</v>
      </c>
      <c r="D23" s="125"/>
      <c r="E23" s="126"/>
      <c r="F23" s="127"/>
      <c r="G23" s="128"/>
      <c r="H23" s="129"/>
      <c r="I23" s="130"/>
    </row>
    <row r="24" spans="1:12" ht="20.25" x14ac:dyDescent="0.3">
      <c r="A24" s="133">
        <v>702123</v>
      </c>
      <c r="B24" s="123" t="s">
        <v>121</v>
      </c>
      <c r="C24" s="134" t="s">
        <v>28</v>
      </c>
      <c r="D24" s="135" t="s">
        <v>27</v>
      </c>
      <c r="E24" s="136">
        <v>1</v>
      </c>
      <c r="F24" s="137" t="s">
        <v>51</v>
      </c>
      <c r="G24" s="128"/>
      <c r="H24" s="129"/>
      <c r="I24" s="130"/>
    </row>
    <row r="25" spans="1:12" ht="20.25" x14ac:dyDescent="0.3">
      <c r="A25" s="138">
        <v>512000002</v>
      </c>
      <c r="B25" s="123" t="s">
        <v>122</v>
      </c>
      <c r="C25" s="139" t="s">
        <v>48</v>
      </c>
      <c r="D25" s="135" t="s">
        <v>49</v>
      </c>
      <c r="E25" s="136">
        <v>300</v>
      </c>
      <c r="F25" s="137" t="s">
        <v>50</v>
      </c>
      <c r="G25" s="128"/>
      <c r="H25" s="129"/>
      <c r="I25" s="130"/>
    </row>
    <row r="26" spans="1:12" ht="20.25" x14ac:dyDescent="0.3">
      <c r="A26" s="140"/>
      <c r="B26" s="141"/>
      <c r="C26" s="142"/>
      <c r="D26" s="143"/>
      <c r="E26" s="144"/>
      <c r="F26" s="145"/>
      <c r="G26" s="128"/>
      <c r="H26" s="129"/>
      <c r="I26" s="130"/>
    </row>
    <row r="27" spans="1:12" ht="20.25" x14ac:dyDescent="0.3">
      <c r="A27" s="140"/>
      <c r="B27" s="141"/>
      <c r="C27" s="142"/>
      <c r="D27" s="143"/>
      <c r="E27" s="144"/>
      <c r="F27" s="145"/>
      <c r="G27" s="128"/>
      <c r="H27" s="129"/>
      <c r="I27" s="130"/>
    </row>
    <row r="28" spans="1:12" ht="20.25" x14ac:dyDescent="0.3">
      <c r="A28" s="146"/>
      <c r="B28" s="147"/>
      <c r="C28" s="148"/>
      <c r="D28" s="149"/>
      <c r="E28" s="129"/>
      <c r="F28" s="129"/>
      <c r="G28" s="128"/>
      <c r="H28" s="129"/>
      <c r="I28" s="150"/>
    </row>
    <row r="29" spans="1:12" ht="20.25" x14ac:dyDescent="0.3">
      <c r="A29" s="151"/>
      <c r="B29" s="152"/>
      <c r="C29" s="153"/>
      <c r="D29" s="149"/>
      <c r="E29" s="154"/>
      <c r="F29" s="154"/>
      <c r="G29" s="154"/>
      <c r="H29" s="154"/>
      <c r="I29" s="150"/>
    </row>
    <row r="30" spans="1:12" ht="21" thickBot="1" x14ac:dyDescent="0.35">
      <c r="A30" s="155"/>
      <c r="B30" s="156"/>
      <c r="C30" s="157"/>
      <c r="D30" s="157"/>
      <c r="E30" s="158"/>
      <c r="F30" s="159"/>
      <c r="G30" s="157"/>
      <c r="H30" s="157"/>
      <c r="I30" s="160"/>
      <c r="L30" s="2"/>
    </row>
    <row r="31" spans="1:12" ht="21" thickBot="1" x14ac:dyDescent="0.35">
      <c r="A31" s="161"/>
      <c r="B31" s="162"/>
      <c r="C31" s="163"/>
      <c r="D31" s="164" t="s">
        <v>9</v>
      </c>
      <c r="E31" s="165" t="s">
        <v>8</v>
      </c>
      <c r="F31" s="166"/>
      <c r="G31" s="163"/>
      <c r="H31" s="163"/>
      <c r="I31" s="167"/>
      <c r="L31" s="2"/>
    </row>
    <row r="32" spans="1:12" ht="20.25" x14ac:dyDescent="0.3">
      <c r="A32" s="208" t="s">
        <v>7</v>
      </c>
      <c r="B32" s="209"/>
      <c r="C32" s="210"/>
      <c r="D32" s="168">
        <v>34000</v>
      </c>
      <c r="E32" s="169" t="s">
        <v>1</v>
      </c>
      <c r="F32" s="211"/>
      <c r="G32" s="211"/>
      <c r="H32" s="212"/>
      <c r="I32" s="213"/>
      <c r="K32" s="1">
        <f>30/34</f>
        <v>0.88235294117647056</v>
      </c>
      <c r="L32" s="2"/>
    </row>
    <row r="33" spans="1:13" ht="20.25" x14ac:dyDescent="0.3">
      <c r="A33" s="214" t="s">
        <v>6</v>
      </c>
      <c r="B33" s="215"/>
      <c r="C33" s="216"/>
      <c r="D33" s="170">
        <v>30</v>
      </c>
      <c r="E33" s="129" t="s">
        <v>5</v>
      </c>
      <c r="F33" s="217"/>
      <c r="G33" s="217"/>
      <c r="H33" s="218"/>
      <c r="I33" s="219"/>
      <c r="L33" s="2"/>
    </row>
    <row r="34" spans="1:13" ht="20.25" x14ac:dyDescent="0.3">
      <c r="A34" s="214" t="s">
        <v>4</v>
      </c>
      <c r="B34" s="215"/>
      <c r="C34" s="216"/>
      <c r="D34" s="171">
        <f>D32/D35</f>
        <v>1</v>
      </c>
      <c r="E34" s="129" t="s">
        <v>51</v>
      </c>
      <c r="F34" s="217"/>
      <c r="G34" s="217"/>
      <c r="H34" s="218"/>
      <c r="I34" s="219"/>
      <c r="L34" s="2"/>
    </row>
    <row r="35" spans="1:13" ht="20.25" x14ac:dyDescent="0.3">
      <c r="A35" s="214" t="s">
        <v>3</v>
      </c>
      <c r="B35" s="215"/>
      <c r="C35" s="216"/>
      <c r="D35" s="126">
        <v>34000</v>
      </c>
      <c r="E35" s="129" t="s">
        <v>1</v>
      </c>
      <c r="F35" s="190" t="s">
        <v>52</v>
      </c>
      <c r="G35" s="191"/>
      <c r="H35" s="191"/>
      <c r="I35" s="192"/>
      <c r="L35" s="2"/>
      <c r="M35" s="3"/>
    </row>
    <row r="36" spans="1:13" ht="21" thickBot="1" x14ac:dyDescent="0.35">
      <c r="A36" s="226" t="s">
        <v>2</v>
      </c>
      <c r="B36" s="227"/>
      <c r="C36" s="228"/>
      <c r="D36" s="172">
        <f>SUM(E11:E18)-D35</f>
        <v>358</v>
      </c>
      <c r="E36" s="173" t="s">
        <v>1</v>
      </c>
      <c r="F36" s="229"/>
      <c r="G36" s="229"/>
      <c r="H36" s="230"/>
      <c r="I36" s="231"/>
      <c r="L36" s="2"/>
    </row>
    <row r="37" spans="1:13" ht="21" thickBot="1" x14ac:dyDescent="0.35">
      <c r="A37" s="223" t="s">
        <v>0</v>
      </c>
      <c r="B37" s="224"/>
      <c r="C37" s="224"/>
      <c r="D37" s="224"/>
      <c r="E37" s="224"/>
      <c r="F37" s="224"/>
      <c r="G37" s="224"/>
      <c r="H37" s="224"/>
      <c r="I37" s="225"/>
    </row>
    <row r="38" spans="1:13" ht="20.25" x14ac:dyDescent="0.3">
      <c r="A38" s="184" t="s">
        <v>53</v>
      </c>
      <c r="B38" s="185"/>
      <c r="C38" s="185"/>
      <c r="D38" s="185"/>
      <c r="E38" s="185"/>
      <c r="F38" s="185"/>
      <c r="G38" s="185"/>
      <c r="H38" s="185"/>
      <c r="I38" s="186"/>
    </row>
    <row r="39" spans="1:13" ht="20.25" x14ac:dyDescent="0.3">
      <c r="A39" s="184" t="s">
        <v>55</v>
      </c>
      <c r="B39" s="185"/>
      <c r="C39" s="185"/>
      <c r="D39" s="185"/>
      <c r="E39" s="185"/>
      <c r="F39" s="185"/>
      <c r="G39" s="185"/>
      <c r="H39" s="185"/>
      <c r="I39" s="186"/>
    </row>
    <row r="40" spans="1:13" ht="20.25" x14ac:dyDescent="0.3">
      <c r="A40" s="184" t="s">
        <v>54</v>
      </c>
      <c r="B40" s="185"/>
      <c r="C40" s="185"/>
      <c r="D40" s="185"/>
      <c r="E40" s="185"/>
      <c r="F40" s="185"/>
      <c r="G40" s="185"/>
      <c r="H40" s="185"/>
      <c r="I40" s="186"/>
    </row>
    <row r="41" spans="1:13" ht="20.25" x14ac:dyDescent="0.3">
      <c r="A41" s="184" t="s">
        <v>56</v>
      </c>
      <c r="B41" s="185"/>
      <c r="C41" s="185"/>
      <c r="D41" s="185"/>
      <c r="E41" s="185"/>
      <c r="F41" s="185"/>
      <c r="G41" s="185"/>
      <c r="H41" s="185"/>
      <c r="I41" s="186"/>
    </row>
    <row r="42" spans="1:13" ht="20.25" x14ac:dyDescent="0.3">
      <c r="A42" s="187" t="s">
        <v>57</v>
      </c>
      <c r="B42" s="188"/>
      <c r="C42" s="188"/>
      <c r="D42" s="188"/>
      <c r="E42" s="188"/>
      <c r="F42" s="188"/>
      <c r="G42" s="188"/>
      <c r="H42" s="188"/>
      <c r="I42" s="189"/>
    </row>
    <row r="43" spans="1:13" ht="20.25" x14ac:dyDescent="0.3">
      <c r="A43" s="184" t="s">
        <v>59</v>
      </c>
      <c r="B43" s="185"/>
      <c r="C43" s="185"/>
      <c r="D43" s="185"/>
      <c r="E43" s="185"/>
      <c r="F43" s="185"/>
      <c r="G43" s="185"/>
      <c r="H43" s="185"/>
      <c r="I43" s="186"/>
    </row>
    <row r="44" spans="1:13" ht="20.25" x14ac:dyDescent="0.3">
      <c r="A44" s="184" t="s">
        <v>58</v>
      </c>
      <c r="B44" s="185"/>
      <c r="C44" s="185"/>
      <c r="D44" s="185"/>
      <c r="E44" s="185"/>
      <c r="F44" s="185"/>
      <c r="G44" s="185"/>
      <c r="H44" s="185"/>
      <c r="I44" s="186"/>
    </row>
    <row r="45" spans="1:13" ht="21" thickBot="1" x14ac:dyDescent="0.35">
      <c r="A45" s="220"/>
      <c r="B45" s="221"/>
      <c r="C45" s="221"/>
      <c r="D45" s="221"/>
      <c r="E45" s="221"/>
      <c r="F45" s="221"/>
      <c r="G45" s="221"/>
      <c r="H45" s="221"/>
      <c r="I45" s="222"/>
    </row>
    <row r="46" spans="1:13" ht="20.25" x14ac:dyDescent="0.2">
      <c r="A46" s="205" t="s">
        <v>33</v>
      </c>
      <c r="B46" s="206"/>
      <c r="C46" s="206"/>
      <c r="D46" s="206"/>
      <c r="E46" s="206"/>
      <c r="F46" s="206"/>
      <c r="G46" s="206"/>
      <c r="H46" s="206"/>
      <c r="I46" s="207"/>
    </row>
    <row r="47" spans="1:13" ht="20.25" x14ac:dyDescent="0.3">
      <c r="A47" s="175"/>
      <c r="B47" s="175"/>
      <c r="C47" s="175"/>
      <c r="D47" s="175"/>
      <c r="E47" s="175"/>
      <c r="F47" s="175"/>
      <c r="G47" s="175"/>
      <c r="H47" s="175"/>
      <c r="I47" s="175"/>
    </row>
    <row r="48" spans="1:13" ht="20.25" x14ac:dyDescent="0.3">
      <c r="A48" s="175"/>
      <c r="B48" s="175"/>
      <c r="C48" s="175"/>
      <c r="D48" s="175"/>
      <c r="E48" s="175"/>
      <c r="F48" s="175"/>
      <c r="G48" s="175"/>
      <c r="H48" s="175"/>
      <c r="I48" s="175"/>
    </row>
    <row r="49" spans="1:9" ht="20.25" x14ac:dyDescent="0.3">
      <c r="A49" s="175"/>
      <c r="B49" s="175"/>
      <c r="C49" s="175"/>
      <c r="D49" s="175"/>
      <c r="E49" s="175"/>
      <c r="F49" s="175"/>
      <c r="G49" s="175"/>
      <c r="H49" s="175"/>
      <c r="I49" s="175"/>
    </row>
  </sheetData>
  <mergeCells count="44">
    <mergeCell ref="C8:C9"/>
    <mergeCell ref="D8:D9"/>
    <mergeCell ref="E8:F8"/>
    <mergeCell ref="A8:A9"/>
    <mergeCell ref="G8:H8"/>
    <mergeCell ref="A38:I38"/>
    <mergeCell ref="A39:I39"/>
    <mergeCell ref="A36:C36"/>
    <mergeCell ref="A44:I44"/>
    <mergeCell ref="F36:G36"/>
    <mergeCell ref="H36:I36"/>
    <mergeCell ref="A40:I40"/>
    <mergeCell ref="A7:C7"/>
    <mergeCell ref="D7:F7"/>
    <mergeCell ref="G7:H7"/>
    <mergeCell ref="A46:I46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A45:I45"/>
    <mergeCell ref="A37:I37"/>
    <mergeCell ref="A47:I47"/>
    <mergeCell ref="A48:I48"/>
    <mergeCell ref="A49:I49"/>
    <mergeCell ref="A1:B5"/>
    <mergeCell ref="B8:B9"/>
    <mergeCell ref="A41:I41"/>
    <mergeCell ref="A42:I42"/>
    <mergeCell ref="A43:I43"/>
    <mergeCell ref="F35:I35"/>
    <mergeCell ref="I3:I5"/>
    <mergeCell ref="D4:G4"/>
    <mergeCell ref="D5:G5"/>
    <mergeCell ref="C1:G1"/>
    <mergeCell ref="C2:G2"/>
    <mergeCell ref="C3:G3"/>
    <mergeCell ref="H3:H5"/>
  </mergeCells>
  <printOptions horizontalCentered="1"/>
  <pageMargins left="0.25" right="0.25" top="0.75" bottom="0.75" header="0.3" footer="0.3"/>
  <pageSetup scale="53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56D9-1071-45D6-9032-30EF500771EC}">
  <dimension ref="A1:Q96"/>
  <sheetViews>
    <sheetView workbookViewId="0">
      <selection activeCell="E80" sqref="E80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10.42578125" style="24" customWidth="1"/>
    <col min="7" max="7" width="9.5703125" style="105" bestFit="1" customWidth="1"/>
    <col min="8" max="8" width="10.42578125" style="106" bestFit="1" customWidth="1"/>
    <col min="9" max="9" width="4.5703125" style="106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5" width="9" style="24" customWidth="1"/>
    <col min="16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62</v>
      </c>
      <c r="F1" s="21" t="s">
        <v>63</v>
      </c>
      <c r="G1" s="21" t="s">
        <v>64</v>
      </c>
      <c r="H1" s="21" t="s">
        <v>65</v>
      </c>
      <c r="I1" s="22"/>
    </row>
    <row r="2" spans="1:10" ht="30.75" customHeight="1" x14ac:dyDescent="0.25">
      <c r="A2" s="19"/>
      <c r="B2" s="19"/>
      <c r="C2" s="19"/>
      <c r="D2" s="19"/>
      <c r="E2" s="25">
        <f>IFERROR(O67,"")</f>
        <v>99299.941613865638</v>
      </c>
      <c r="F2" s="25">
        <f>IFERROR(H58,"")</f>
        <v>74481.056795989192</v>
      </c>
      <c r="G2" s="25">
        <f>IFERROR(H59,"")</f>
        <v>180.55343999999997</v>
      </c>
      <c r="H2" s="25">
        <f>IFERROR(H61,"")</f>
        <v>1730.0446752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237"/>
      <c r="B4" s="237"/>
      <c r="C4" s="237"/>
      <c r="D4" s="237"/>
      <c r="E4" s="237"/>
      <c r="F4" s="237"/>
      <c r="G4" s="237"/>
      <c r="H4" s="237"/>
      <c r="I4" s="28"/>
    </row>
    <row r="5" spans="1:10" ht="19.5" customHeight="1" thickBot="1" x14ac:dyDescent="0.3">
      <c r="A5" s="238" t="s">
        <v>66</v>
      </c>
      <c r="B5" s="239"/>
      <c r="C5" s="239"/>
      <c r="D5" s="239"/>
      <c r="E5" s="239"/>
      <c r="F5" s="239"/>
      <c r="G5" s="239"/>
      <c r="H5" s="240"/>
      <c r="I5" s="29"/>
    </row>
    <row r="6" spans="1:10" ht="19.5" thickBot="1" x14ac:dyDescent="0.3">
      <c r="A6" s="29"/>
      <c r="B6" s="29"/>
      <c r="C6" s="29"/>
      <c r="D6" s="29"/>
      <c r="E6" s="29"/>
      <c r="F6" s="241" t="s">
        <v>67</v>
      </c>
      <c r="G6" s="241"/>
      <c r="H6" s="30">
        <f ca="1">TODAY()</f>
        <v>46104</v>
      </c>
      <c r="I6" s="30"/>
    </row>
    <row r="7" spans="1:10" ht="26.25" thickBot="1" x14ac:dyDescent="0.3">
      <c r="A7" s="31" t="s">
        <v>68</v>
      </c>
      <c r="B7" s="32" t="s">
        <v>69</v>
      </c>
      <c r="C7" s="32" t="s">
        <v>68</v>
      </c>
      <c r="D7" s="33" t="s">
        <v>70</v>
      </c>
      <c r="E7" s="33" t="s">
        <v>71</v>
      </c>
      <c r="F7" s="33" t="s">
        <v>72</v>
      </c>
      <c r="G7" s="33" t="s">
        <v>73</v>
      </c>
      <c r="H7" s="34" t="s">
        <v>74</v>
      </c>
      <c r="I7" s="35"/>
    </row>
    <row r="8" spans="1:10" ht="13.5" x14ac:dyDescent="0.25">
      <c r="A8" s="36">
        <v>250</v>
      </c>
      <c r="B8" s="24" t="str">
        <f>IFERROR(VLOOKUP(H8,'[1]Consolidado MP Planta'!$A$2:$M$823,3,0),"")</f>
        <v>ACEITE CAPULLO RBD (UND:17  L)</v>
      </c>
      <c r="C8" s="37">
        <f>+A8</f>
        <v>250</v>
      </c>
      <c r="D8" s="38" t="str">
        <f>IFERROR(VLOOKUP(H8,'[1]Consolidado MP Planta'!$A$2:$M$823,13,0),"")</f>
        <v>Mililitros</v>
      </c>
      <c r="E8" s="38">
        <f>IFERROR(VLOOKUP(H8,'[1]Consolidado MP Planta'!$A$2:$M$823,12,0),"")</f>
        <v>1.2561176470588236</v>
      </c>
      <c r="F8" s="38">
        <f>IFERROR(C8*E8,"")</f>
        <v>314.02941176470591</v>
      </c>
      <c r="G8" s="39">
        <f>IFERROR(F8/$F$71,"")</f>
        <v>4.036303876266023E-3</v>
      </c>
      <c r="H8" s="40" t="s">
        <v>42</v>
      </c>
      <c r="I8" s="40"/>
      <c r="J8" s="41"/>
    </row>
    <row r="9" spans="1:10" ht="13.5" x14ac:dyDescent="0.25">
      <c r="A9" s="36">
        <v>20000</v>
      </c>
      <c r="B9" s="24" t="str">
        <f>IFERROR(VLOOKUP(H9,'[1]Consolidado MP Planta'!$A$2:$M$823,3,0),"")</f>
        <v>CEBOLLA PICADA (PAQ:KILO)</v>
      </c>
      <c r="C9" s="37">
        <f t="shared" ref="C9:C19" si="0">+A9</f>
        <v>20000</v>
      </c>
      <c r="D9" s="38" t="str">
        <f>IFERROR(VLOOKUP(H9,'[1]Consolidado MP Planta'!$A$2:$M$823,13,0),"")</f>
        <v>Gramos</v>
      </c>
      <c r="E9" s="38">
        <f>IFERROR(VLOOKUP(H9,'[1]Consolidado MP Planta'!$A$2:$M$823,12,0),"")</f>
        <v>1.8720000000000001</v>
      </c>
      <c r="F9" s="38">
        <f t="shared" ref="F9:F19" si="1">IFERROR(C9*E9,"")</f>
        <v>37440</v>
      </c>
      <c r="G9" s="39">
        <f>IFERROR(F9/$F$71,"")</f>
        <v>0.48122631659938153</v>
      </c>
      <c r="H9" s="40" t="s">
        <v>32</v>
      </c>
      <c r="I9" s="40"/>
      <c r="J9" s="41"/>
    </row>
    <row r="10" spans="1:10" ht="13.5" x14ac:dyDescent="0.25">
      <c r="A10" s="36">
        <v>4500</v>
      </c>
      <c r="B10" s="24" t="str">
        <f>IFERROR(VLOOKUP(H10,'[1]Consolidado MP Planta'!$A$2:$M$823,3,0),"")</f>
        <v>CHILE DULCE PICADO (PAQ:500g)</v>
      </c>
      <c r="C10" s="37">
        <f t="shared" si="0"/>
        <v>4500</v>
      </c>
      <c r="D10" s="38" t="str">
        <f>IFERROR(VLOOKUP(H10,'[1]Consolidado MP Planta'!$A$2:$M$823,13,0),"")</f>
        <v>Gramos</v>
      </c>
      <c r="E10" s="38">
        <f>IFERROR(VLOOKUP(H10,'[1]Consolidado MP Planta'!$A$2:$M$823,12,0),"")</f>
        <v>2.2434000000000003</v>
      </c>
      <c r="F10" s="38">
        <f t="shared" si="1"/>
        <v>10095.300000000001</v>
      </c>
      <c r="G10" s="39">
        <f>IFERROR(F10/$F$71,"")</f>
        <v>0.12975758637728999</v>
      </c>
      <c r="H10" s="40" t="s">
        <v>34</v>
      </c>
      <c r="I10" s="40"/>
      <c r="J10" s="41"/>
    </row>
    <row r="11" spans="1:10" ht="13.5" x14ac:dyDescent="0.25">
      <c r="A11" s="36">
        <v>1200</v>
      </c>
      <c r="B11" s="24" t="str">
        <f>IFERROR(VLOOKUP(H11,'[1]Consolidado MP Planta'!$A$2:$M$823,3,0),"")</f>
        <v>PASTA TOMATE OLD CALI (UND:3.14 K)</v>
      </c>
      <c r="C11" s="37">
        <f t="shared" si="0"/>
        <v>1200</v>
      </c>
      <c r="D11" s="38" t="str">
        <f>IFERROR(VLOOKUP(H11,'[1]Consolidado MP Planta'!$A$2:$M$823,13,0),"")</f>
        <v>Gramos</v>
      </c>
      <c r="E11" s="38">
        <f>IFERROR(VLOOKUP(H11,'[1]Consolidado MP Planta'!$A$2:$M$823,12,0),"")</f>
        <v>1.0748407643312101</v>
      </c>
      <c r="F11" s="38">
        <f t="shared" si="1"/>
        <v>1289.808917197452</v>
      </c>
      <c r="G11" s="39">
        <f>IFERROR(F11/$F$71,"")</f>
        <v>1.6578258395832438E-2</v>
      </c>
      <c r="H11" s="40" t="s">
        <v>40</v>
      </c>
      <c r="I11" s="40"/>
      <c r="J11" s="41"/>
    </row>
    <row r="12" spans="1:10" ht="13.5" x14ac:dyDescent="0.25">
      <c r="A12" s="36">
        <v>28</v>
      </c>
      <c r="B12" s="24" t="str">
        <f>IFERROR(VLOOKUP(H12,'[1]Consolidado MP Planta'!$A$2:$M$823,3,0),"")</f>
        <v>PRESERVANTE 1017S (PAQ=5 KILO)</v>
      </c>
      <c r="C12" s="37">
        <f t="shared" si="0"/>
        <v>28</v>
      </c>
      <c r="D12" s="38" t="str">
        <f>IFERROR(VLOOKUP(H12,'[1]Consolidado MP Planta'!$A$2:$M$823,13,0),"")</f>
        <v>Gramos</v>
      </c>
      <c r="E12" s="38">
        <f>IFERROR(VLOOKUP(H12,'[1]Consolidado MP Planta'!$A$2:$M$823,12,0),"")</f>
        <v>6.7515800000000006</v>
      </c>
      <c r="F12" s="38">
        <f t="shared" si="1"/>
        <v>189.04424</v>
      </c>
      <c r="G12" s="39">
        <f>IFERROR(F12/$F$71,"")</f>
        <v>2.4298360921348682E-3</v>
      </c>
      <c r="H12" s="40" t="s">
        <v>46</v>
      </c>
      <c r="I12" s="40"/>
      <c r="J12" s="41"/>
    </row>
    <row r="13" spans="1:10" ht="13.5" x14ac:dyDescent="0.25">
      <c r="A13" s="36">
        <v>800</v>
      </c>
      <c r="B13" s="24" t="str">
        <f>IFERROR(VLOOKUP(H13,'[1]Consolidado MP Planta'!$A$2:$M$823,3,0),"")</f>
        <v>SALSA INGLESA LIZANO (UND:3.7 L)</v>
      </c>
      <c r="C13" s="37">
        <f t="shared" ref="C13:C17" si="2">+A13</f>
        <v>800</v>
      </c>
      <c r="D13" s="38" t="str">
        <f>IFERROR(VLOOKUP(H13,'[1]Consolidado MP Planta'!$A$2:$M$823,13,0),"")</f>
        <v>Mililitros</v>
      </c>
      <c r="E13" s="38">
        <f>IFERROR(VLOOKUP(H13,'[1]Consolidado MP Planta'!$A$2:$M$823,12,0),"")</f>
        <v>1.9737837837837837</v>
      </c>
      <c r="F13" s="38">
        <f t="shared" ref="F13:F17" si="3">IFERROR(C13*E13,"")</f>
        <v>1579.0270270270271</v>
      </c>
      <c r="G13" s="39">
        <f t="shared" ref="G13:G17" si="4">IFERROR(F13/$F$71,"")</f>
        <v>2.0295655983629493E-2</v>
      </c>
      <c r="H13" s="40" t="s">
        <v>44</v>
      </c>
      <c r="I13" s="40"/>
      <c r="J13" s="41"/>
    </row>
    <row r="14" spans="1:10" ht="13.5" x14ac:dyDescent="0.25">
      <c r="A14" s="116">
        <v>3150</v>
      </c>
      <c r="B14" s="117" t="s">
        <v>38</v>
      </c>
      <c r="C14" s="118">
        <f t="shared" si="2"/>
        <v>3150</v>
      </c>
      <c r="D14" s="119" t="s">
        <v>111</v>
      </c>
      <c r="E14" s="119">
        <v>2.86</v>
      </c>
      <c r="F14" s="119">
        <f t="shared" si="3"/>
        <v>9009</v>
      </c>
      <c r="G14" s="120">
        <f t="shared" si="4"/>
        <v>0.11579508243172618</v>
      </c>
      <c r="H14" s="121" t="s">
        <v>37</v>
      </c>
      <c r="I14" s="40"/>
      <c r="J14" s="41"/>
    </row>
    <row r="15" spans="1:10" ht="13.5" x14ac:dyDescent="0.25">
      <c r="A15" s="116">
        <v>3700</v>
      </c>
      <c r="B15" s="117" t="s">
        <v>36</v>
      </c>
      <c r="C15" s="118">
        <f t="shared" si="2"/>
        <v>3700</v>
      </c>
      <c r="D15" s="119" t="s">
        <v>111</v>
      </c>
      <c r="E15" s="119">
        <v>3.82</v>
      </c>
      <c r="F15" s="119">
        <f t="shared" si="3"/>
        <v>14134</v>
      </c>
      <c r="G15" s="39">
        <f t="shared" si="4"/>
        <v>0.18166807582306779</v>
      </c>
      <c r="H15" s="40" t="s">
        <v>35</v>
      </c>
      <c r="I15" s="40"/>
      <c r="J15" s="41"/>
    </row>
    <row r="16" spans="1:10" ht="13.5" hidden="1" x14ac:dyDescent="0.25">
      <c r="A16" s="36"/>
      <c r="B16" s="24" t="str">
        <f>IFERROR(VLOOKUP(H16,'[1]Consolidado MP Planta'!$A$2:$M$823,3,0),"")</f>
        <v/>
      </c>
      <c r="C16" s="37">
        <f t="shared" si="2"/>
        <v>0</v>
      </c>
      <c r="D16" s="38" t="str">
        <f>IFERROR(VLOOKUP(H16,'[1]Consolidado MP Planta'!$A$2:$M$823,13,0),"")</f>
        <v/>
      </c>
      <c r="E16" s="38" t="str">
        <f>IFERROR(VLOOKUP(H16,'[1]Consolidado MP Planta'!$A$2:$M$823,12,0),"")</f>
        <v/>
      </c>
      <c r="F16" s="38" t="str">
        <f t="shared" si="3"/>
        <v/>
      </c>
      <c r="G16" s="39" t="str">
        <f t="shared" si="4"/>
        <v/>
      </c>
      <c r="H16" s="40"/>
      <c r="I16" s="40"/>
      <c r="J16" s="41"/>
    </row>
    <row r="17" spans="1:12" ht="13.5" hidden="1" x14ac:dyDescent="0.25">
      <c r="A17" s="36"/>
      <c r="B17" s="24" t="str">
        <f>IFERROR(VLOOKUP(H17,'[1]Consolidado MP Planta'!$A$2:$M$823,3,0),"")</f>
        <v/>
      </c>
      <c r="C17" s="37">
        <f t="shared" si="2"/>
        <v>0</v>
      </c>
      <c r="D17" s="38" t="str">
        <f>IFERROR(VLOOKUP(H17,'[1]Consolidado MP Planta'!$A$2:$M$823,13,0),"")</f>
        <v/>
      </c>
      <c r="E17" s="38" t="str">
        <f>IFERROR(VLOOKUP(H17,'[1]Consolidado MP Planta'!$A$2:$M$823,12,0),"")</f>
        <v/>
      </c>
      <c r="F17" s="38" t="str">
        <f t="shared" si="3"/>
        <v/>
      </c>
      <c r="G17" s="39" t="str">
        <f t="shared" si="4"/>
        <v/>
      </c>
      <c r="H17" s="40"/>
      <c r="I17" s="40"/>
      <c r="J17" s="41"/>
    </row>
    <row r="18" spans="1:12" ht="13.5" hidden="1" x14ac:dyDescent="0.25">
      <c r="A18" s="36"/>
      <c r="B18" s="24" t="str">
        <f>IFERROR(VLOOKUP(H18,'[1]Consolidado MP Planta'!$A$2:$M$823,3,0),"")</f>
        <v/>
      </c>
      <c r="C18" s="37">
        <f t="shared" si="0"/>
        <v>0</v>
      </c>
      <c r="D18" s="38" t="str">
        <f>IFERROR(VLOOKUP(H18,'[1]Consolidado MP Planta'!$A$2:$M$823,13,0),"")</f>
        <v/>
      </c>
      <c r="E18" s="38" t="str">
        <f>IFERROR(VLOOKUP(H18,'[1]Consolidado MP Planta'!$A$2:$M$823,12,0),"")</f>
        <v/>
      </c>
      <c r="F18" s="38" t="str">
        <f t="shared" si="1"/>
        <v/>
      </c>
      <c r="G18" s="39" t="str">
        <f>IFERROR(F18/$F$71,"")</f>
        <v/>
      </c>
      <c r="H18" s="40"/>
      <c r="I18" s="40"/>
      <c r="J18" s="41"/>
    </row>
    <row r="19" spans="1:12" ht="13.5" hidden="1" x14ac:dyDescent="0.25">
      <c r="A19" s="36"/>
      <c r="B19" s="24" t="str">
        <f>IFERROR(VLOOKUP(H19,'[1]Consolidado MP Planta'!$A$2:$M$823,3,0),"")</f>
        <v/>
      </c>
      <c r="C19" s="37">
        <f t="shared" si="0"/>
        <v>0</v>
      </c>
      <c r="D19" s="38" t="str">
        <f>IFERROR(VLOOKUP(H19,'[1]Consolidado MP Planta'!$A$2:$M$823,13,0),"")</f>
        <v/>
      </c>
      <c r="E19" s="38" t="str">
        <f>IFERROR(VLOOKUP(H19,'[1]Consolidado MP Planta'!$A$2:$M$823,12,0),"")</f>
        <v/>
      </c>
      <c r="F19" s="38" t="str">
        <f t="shared" si="1"/>
        <v/>
      </c>
      <c r="G19" s="39" t="str">
        <f>IFERROR(F19/$F$71,"")</f>
        <v/>
      </c>
      <c r="H19" s="40"/>
      <c r="I19" s="40"/>
      <c r="J19" s="41"/>
    </row>
    <row r="20" spans="1:12" ht="14.25" thickBot="1" x14ac:dyDescent="0.3">
      <c r="A20" s="36"/>
      <c r="B20" s="24" t="str">
        <f>IFERROR(VLOOKUP(H20,'[2]Consolidado MP Planta'!$A$2:$G$589,2,0),"")</f>
        <v/>
      </c>
      <c r="C20" s="37"/>
      <c r="D20" s="38"/>
      <c r="E20" s="38"/>
      <c r="F20" s="38"/>
      <c r="G20" s="39"/>
      <c r="H20" s="40"/>
      <c r="I20" s="40"/>
      <c r="J20" s="41"/>
    </row>
    <row r="21" spans="1:12" ht="26.25" thickBot="1" x14ac:dyDescent="0.3">
      <c r="A21" s="31" t="s">
        <v>68</v>
      </c>
      <c r="B21" s="32" t="s">
        <v>75</v>
      </c>
      <c r="C21" s="32" t="s">
        <v>68</v>
      </c>
      <c r="D21" s="33" t="s">
        <v>70</v>
      </c>
      <c r="E21" s="33" t="s">
        <v>71</v>
      </c>
      <c r="F21" s="33" t="s">
        <v>72</v>
      </c>
      <c r="G21" s="33" t="s">
        <v>73</v>
      </c>
      <c r="H21" s="34" t="s">
        <v>74</v>
      </c>
      <c r="I21" s="35"/>
      <c r="J21" s="41"/>
    </row>
    <row r="22" spans="1:12" ht="13.5" x14ac:dyDescent="0.25">
      <c r="A22" s="36">
        <v>980</v>
      </c>
      <c r="B22" s="24" t="str">
        <f>IFERROR(VLOOKUP(H22,[1]SEMIELABORADOS!$A$2:$M$6000,2,0),"")</f>
        <v xml:space="preserve">AZUCAR REFINADA (BOLSA:1500g) </v>
      </c>
      <c r="C22" s="37">
        <f>+A22</f>
        <v>980</v>
      </c>
      <c r="D22" s="37" t="str">
        <f>IFERROR(VLOOKUP(H22,[1]SEMIELABORADOS!$A$2:$M$6000,6,0),"")</f>
        <v>Gramo</v>
      </c>
      <c r="E22" s="38">
        <f>IFERROR(VLOOKUP(H22,[1]SEMIELABORADOS!$A$2:$H$65536,8,0),"")</f>
        <v>0.43963999999999998</v>
      </c>
      <c r="F22" s="38">
        <f>IFERROR(E22*C22,"")</f>
        <v>430.84719999999999</v>
      </c>
      <c r="G22" s="39">
        <f t="shared" ref="G22:G29" si="5">IFERROR(F22/$F$71,"")</f>
        <v>5.5377940991762032E-3</v>
      </c>
      <c r="H22" s="40" t="s">
        <v>110</v>
      </c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ref="C23:C29" si="6">+A23</f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ref="F23:F29" si="7">IFERROR(E23*C23,"")</f>
        <v/>
      </c>
      <c r="G23" s="39" t="str">
        <f t="shared" si="5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>+A24</f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>IFERROR(E24*C24,"")</f>
        <v/>
      </c>
      <c r="G24" s="39" t="str">
        <f t="shared" si="5"/>
        <v/>
      </c>
      <c r="H24" s="40"/>
      <c r="I24" s="40"/>
      <c r="J24" s="41"/>
    </row>
    <row r="25" spans="1:12" ht="13.5" hidden="1" x14ac:dyDescent="0.25">
      <c r="A25" s="36"/>
      <c r="B25" s="24" t="str">
        <f>IFERROR(VLOOKUP(H25,[1]SEMIELABORADOS!$A$2:$M$6000,2,0),"")</f>
        <v/>
      </c>
      <c r="C25" s="37">
        <f>+A25</f>
        <v>0</v>
      </c>
      <c r="D25" s="37" t="str">
        <f>IFERROR(VLOOKUP(H25,[1]SEMIELABORADOS!$A$2:$M$6000,6,0),"")</f>
        <v/>
      </c>
      <c r="E25" s="38" t="str">
        <f>IFERROR(VLOOKUP(H25,[1]SEMIELABORADOS!$A$2:$H$65536,8,0),"")</f>
        <v/>
      </c>
      <c r="F25" s="38" t="str">
        <f>IFERROR(E25*C25,"")</f>
        <v/>
      </c>
      <c r="G25" s="39" t="str">
        <f t="shared" si="5"/>
        <v/>
      </c>
      <c r="H25" s="40"/>
      <c r="I25" s="40"/>
      <c r="J25" s="41"/>
    </row>
    <row r="26" spans="1:12" ht="13.5" hidden="1" x14ac:dyDescent="0.25">
      <c r="A26" s="36"/>
      <c r="B26" s="24" t="str">
        <f>IFERROR(VLOOKUP(H26,[1]SEMIELABORADOS!$A$2:$M$6000,2,0),"")</f>
        <v/>
      </c>
      <c r="C26" s="37">
        <f>+A26</f>
        <v>0</v>
      </c>
      <c r="D26" s="37" t="str">
        <f>IFERROR(VLOOKUP(H26,[1]SEMIELABORADOS!$A$2:$M$6000,6,0),"")</f>
        <v/>
      </c>
      <c r="E26" s="38" t="str">
        <f>IFERROR(VLOOKUP(H26,[1]SEMIELABORADOS!$A$2:$H$65536,8,0),"")</f>
        <v/>
      </c>
      <c r="F26" s="38" t="str">
        <f>IFERROR(E26*C26,"")</f>
        <v/>
      </c>
      <c r="G26" s="39" t="str">
        <f t="shared" si="5"/>
        <v/>
      </c>
      <c r="H26" s="40"/>
      <c r="I26" s="40"/>
      <c r="J26" s="41"/>
    </row>
    <row r="27" spans="1:12" ht="13.5" hidden="1" x14ac:dyDescent="0.25">
      <c r="A27" s="36"/>
      <c r="B27" s="24" t="str">
        <f>IFERROR(VLOOKUP(H27,[1]SEMIELABORADOS!$A$2:$M$6000,2,0),"")</f>
        <v/>
      </c>
      <c r="C27" s="37">
        <f t="shared" si="6"/>
        <v>0</v>
      </c>
      <c r="D27" s="37" t="str">
        <f>IFERROR(VLOOKUP(H27,[1]SEMIELABORADOS!$A$2:$M$6000,6,0),"")</f>
        <v/>
      </c>
      <c r="E27" s="38" t="str">
        <f>IFERROR(VLOOKUP(H27,[1]SEMIELABORADOS!$A$2:$H$65536,8,0),"")</f>
        <v/>
      </c>
      <c r="F27" s="38" t="str">
        <f t="shared" si="7"/>
        <v/>
      </c>
      <c r="G27" s="39" t="str">
        <f t="shared" si="5"/>
        <v/>
      </c>
      <c r="H27" s="40"/>
      <c r="I27" s="40"/>
      <c r="J27" s="41"/>
    </row>
    <row r="28" spans="1:12" ht="13.5" hidden="1" x14ac:dyDescent="0.25">
      <c r="A28" s="36"/>
      <c r="B28" s="24" t="str">
        <f>IFERROR(VLOOKUP(H28,[1]SEMIELABORADOS!$A$2:$M$6000,2,0),"")</f>
        <v/>
      </c>
      <c r="C28" s="37">
        <f t="shared" si="6"/>
        <v>0</v>
      </c>
      <c r="D28" s="37" t="str">
        <f>IFERROR(VLOOKUP(H28,[1]SEMIELABORADOS!$A$2:$M$6000,6,0),"")</f>
        <v/>
      </c>
      <c r="E28" s="38" t="str">
        <f>IFERROR(VLOOKUP(H28,[1]SEMIELABORADOS!$A$2:$H$65536,8,0),"")</f>
        <v/>
      </c>
      <c r="F28" s="38" t="str">
        <f t="shared" si="7"/>
        <v/>
      </c>
      <c r="G28" s="39" t="str">
        <f t="shared" si="5"/>
        <v/>
      </c>
      <c r="H28" s="40"/>
      <c r="I28" s="40"/>
      <c r="J28" s="41"/>
    </row>
    <row r="29" spans="1:12" ht="13.5" hidden="1" x14ac:dyDescent="0.25">
      <c r="A29" s="36"/>
      <c r="B29" s="24" t="str">
        <f>IFERROR(VLOOKUP(H29,[1]SEMIELABORADOS!$A$2:$M$6000,2,0),"")</f>
        <v/>
      </c>
      <c r="C29" s="37">
        <f t="shared" si="6"/>
        <v>0</v>
      </c>
      <c r="D29" s="37" t="str">
        <f>IFERROR(VLOOKUP(H29,[1]SEMIELABORADOS!$A$2:$M$6000,6,0),"")</f>
        <v/>
      </c>
      <c r="E29" s="38" t="str">
        <f>IFERROR(VLOOKUP(H29,[1]SEMIELABORADOS!$A$2:$H$65536,8,0),"")</f>
        <v/>
      </c>
      <c r="F29" s="38" t="str">
        <f t="shared" si="7"/>
        <v/>
      </c>
      <c r="G29" s="39" t="str">
        <f t="shared" si="5"/>
        <v/>
      </c>
      <c r="H29" s="40"/>
      <c r="I29" s="40"/>
      <c r="J29" s="41"/>
    </row>
    <row r="30" spans="1:12" ht="14.25" thickBot="1" x14ac:dyDescent="0.3">
      <c r="A30" s="36"/>
      <c r="C30" s="37"/>
      <c r="D30" s="37"/>
      <c r="E30" s="38"/>
      <c r="F30" s="38"/>
      <c r="G30" s="39"/>
      <c r="H30" s="40"/>
      <c r="I30" s="40"/>
      <c r="J30" s="41"/>
    </row>
    <row r="31" spans="1:12" ht="26.25" thickBot="1" x14ac:dyDescent="0.3">
      <c r="A31" s="31" t="s">
        <v>68</v>
      </c>
      <c r="B31" s="32" t="s">
        <v>30</v>
      </c>
      <c r="C31" s="32" t="s">
        <v>68</v>
      </c>
      <c r="D31" s="33" t="s">
        <v>70</v>
      </c>
      <c r="E31" s="33" t="s">
        <v>71</v>
      </c>
      <c r="F31" s="33" t="s">
        <v>72</v>
      </c>
      <c r="G31" s="33" t="s">
        <v>73</v>
      </c>
      <c r="H31" s="34" t="s">
        <v>74</v>
      </c>
      <c r="I31" s="35"/>
    </row>
    <row r="32" spans="1:12" ht="13.5" x14ac:dyDescent="0.25">
      <c r="A32" s="36">
        <v>1</v>
      </c>
      <c r="B32" s="42" t="str">
        <f>IFERROR(VLOOKUP(H32,'[1]Consolidado MP Planta'!$A$2:$M$823,3,0),"")</f>
        <v>ETIQUETA BLANCA 2 5/8X1 15/16 (UND)</v>
      </c>
      <c r="C32" s="37">
        <f t="shared" ref="C32:C37" si="8">+A32</f>
        <v>1</v>
      </c>
      <c r="D32" s="38" t="str">
        <f>IFERROR(VLOOKUP(H32,'[1]Consolidado MP Planta'!$A$2:$M$823,13,0),"")</f>
        <v>Und</v>
      </c>
      <c r="E32" s="38">
        <f>IFERROR(VLOOKUP(H32,'[1]Consolidado MP Planta'!$A$2:$M$823,12,0),"")</f>
        <v>2.1280000000000001</v>
      </c>
      <c r="F32" s="38">
        <f t="shared" ref="F32:F37" si="9">IFERROR(C32*E32,"")</f>
        <v>2.1280000000000001</v>
      </c>
      <c r="G32" s="39">
        <f t="shared" ref="G32:G37" si="10">IFERROR(F32/$F$71,"")</f>
        <v>2.735175218278536E-5</v>
      </c>
      <c r="H32" s="43" t="s">
        <v>29</v>
      </c>
      <c r="I32" s="43"/>
      <c r="J32" s="41"/>
      <c r="K32" s="236"/>
      <c r="L32" s="236"/>
    </row>
    <row r="33" spans="1:12" ht="13.5" x14ac:dyDescent="0.25">
      <c r="A33" s="36">
        <v>300</v>
      </c>
      <c r="B33" s="42" t="str">
        <f>IFERROR(VLOOKUP(H33,'[1]Consolidado MP Planta'!$A$2:$M$823,3,0),"")</f>
        <v>PLASTICO  AUTOAD (UND: 18 * 2000 M)</v>
      </c>
      <c r="C33" s="37">
        <f t="shared" si="8"/>
        <v>300</v>
      </c>
      <c r="D33" s="38" t="str">
        <f>IFERROR(VLOOKUP(H33,'[1]Consolidado MP Planta'!$A$2:$M$823,13,0),"")</f>
        <v>Centimetros</v>
      </c>
      <c r="E33" s="38">
        <f>IFERROR(VLOOKUP(H33,'[1]Consolidado MP Planta'!$A$2:$M$823,12,0),"")</f>
        <v>0.54859999999999998</v>
      </c>
      <c r="F33" s="38">
        <f t="shared" si="9"/>
        <v>164.57999999999998</v>
      </c>
      <c r="G33" s="39">
        <f t="shared" si="10"/>
        <v>2.115390683384781E-3</v>
      </c>
      <c r="H33" s="43" t="s">
        <v>60</v>
      </c>
      <c r="I33" s="43"/>
      <c r="J33" s="41"/>
      <c r="K33" s="236"/>
      <c r="L33" s="236"/>
    </row>
    <row r="34" spans="1:12" ht="13.5" hidden="1" x14ac:dyDescent="0.25">
      <c r="A34" s="36"/>
      <c r="B34" s="42" t="str">
        <f>IFERROR(VLOOKUP(H34,'[1]Consolidado MP Planta'!$A$2:$M$823,3,0),"")</f>
        <v/>
      </c>
      <c r="C34" s="37">
        <f t="shared" si="8"/>
        <v>0</v>
      </c>
      <c r="D34" s="38" t="str">
        <f>IFERROR(VLOOKUP(H34,'[1]Consolidado MP Planta'!$A$2:$M$823,13,0),"")</f>
        <v/>
      </c>
      <c r="E34" s="38" t="str">
        <f>IFERROR(VLOOKUP(H34,'[1]Consolidado MP Planta'!$A$2:$M$823,12,0),"")</f>
        <v/>
      </c>
      <c r="F34" s="38" t="str">
        <f t="shared" si="9"/>
        <v/>
      </c>
      <c r="G34" s="39" t="str">
        <f t="shared" si="10"/>
        <v/>
      </c>
      <c r="H34" s="43"/>
      <c r="I34" s="43"/>
      <c r="J34" s="41"/>
      <c r="K34" s="236"/>
      <c r="L34" s="236"/>
    </row>
    <row r="35" spans="1:12" ht="13.5" hidden="1" x14ac:dyDescent="0.25">
      <c r="A35" s="36"/>
      <c r="B35" s="42" t="str">
        <f>IFERROR(VLOOKUP(H35,'[1]Consolidado MP Planta'!$A$2:$M$823,3,0),"")</f>
        <v/>
      </c>
      <c r="C35" s="37">
        <f t="shared" si="8"/>
        <v>0</v>
      </c>
      <c r="D35" s="38" t="str">
        <f>IFERROR(VLOOKUP(H35,'[1]Consolidado MP Planta'!$A$2:$M$823,13,0),"")</f>
        <v/>
      </c>
      <c r="E35" s="38" t="str">
        <f>IFERROR(VLOOKUP(H35,'[1]Consolidado MP Planta'!$A$2:$M$823,12,0),"")</f>
        <v/>
      </c>
      <c r="F35" s="38" t="str">
        <f t="shared" si="9"/>
        <v/>
      </c>
      <c r="G35" s="39" t="str">
        <f t="shared" si="10"/>
        <v/>
      </c>
      <c r="H35" s="43"/>
      <c r="I35" s="43"/>
      <c r="J35" s="41"/>
      <c r="K35" s="236"/>
      <c r="L35" s="236"/>
    </row>
    <row r="36" spans="1:12" ht="13.5" hidden="1" x14ac:dyDescent="0.25">
      <c r="A36" s="36"/>
      <c r="B36" s="42" t="str">
        <f>IFERROR(VLOOKUP(H36,'[1]Consolidado MP Planta'!$A$2:$M$823,3,0),"")</f>
        <v/>
      </c>
      <c r="C36" s="37">
        <f t="shared" si="8"/>
        <v>0</v>
      </c>
      <c r="D36" s="38" t="str">
        <f>IFERROR(VLOOKUP(H36,'[1]Consolidado MP Planta'!$A$2:$M$823,13,0),"")</f>
        <v/>
      </c>
      <c r="E36" s="38" t="str">
        <f>IFERROR(VLOOKUP(H36,'[1]Consolidado MP Planta'!$A$2:$M$823,12,0),"")</f>
        <v/>
      </c>
      <c r="F36" s="38" t="str">
        <f t="shared" si="9"/>
        <v/>
      </c>
      <c r="G36" s="39" t="str">
        <f t="shared" si="10"/>
        <v/>
      </c>
      <c r="H36" s="43"/>
      <c r="I36" s="43"/>
      <c r="J36" s="41"/>
      <c r="K36" s="44"/>
      <c r="L36" s="45"/>
    </row>
    <row r="37" spans="1:12" ht="13.5" hidden="1" x14ac:dyDescent="0.25">
      <c r="A37" s="36"/>
      <c r="B37" s="42" t="str">
        <f>IFERROR(VLOOKUP(H37,'[1]Consolidado MP Planta'!$A$2:$M$823,3,0),"")</f>
        <v/>
      </c>
      <c r="C37" s="37">
        <f t="shared" si="8"/>
        <v>0</v>
      </c>
      <c r="D37" s="38" t="str">
        <f>IFERROR(VLOOKUP(H37,'[1]Consolidado MP Planta'!$A$2:$M$823,13,0),"")</f>
        <v/>
      </c>
      <c r="E37" s="38" t="str">
        <f>IFERROR(VLOOKUP(H37,'[1]Consolidado MP Planta'!$A$2:$M$823,12,0),"")</f>
        <v/>
      </c>
      <c r="F37" s="38" t="str">
        <f t="shared" si="9"/>
        <v/>
      </c>
      <c r="G37" s="39" t="str">
        <f t="shared" si="10"/>
        <v/>
      </c>
      <c r="H37" s="43"/>
      <c r="I37" s="43"/>
      <c r="J37" s="41"/>
    </row>
    <row r="38" spans="1:12" ht="14.25" thickBot="1" x14ac:dyDescent="0.3">
      <c r="A38" s="36"/>
      <c r="B38" s="42"/>
      <c r="C38" s="37"/>
      <c r="D38" s="38"/>
      <c r="E38" s="38"/>
      <c r="F38" s="38"/>
      <c r="G38" s="39"/>
      <c r="H38" s="43"/>
      <c r="I38" s="43"/>
      <c r="J38" s="41"/>
    </row>
    <row r="39" spans="1:12" ht="26.25" thickBot="1" x14ac:dyDescent="0.25">
      <c r="A39" s="31" t="s">
        <v>68</v>
      </c>
      <c r="B39" s="32" t="s">
        <v>76</v>
      </c>
      <c r="C39" s="32" t="s">
        <v>68</v>
      </c>
      <c r="D39" s="33" t="s">
        <v>70</v>
      </c>
      <c r="E39" s="33" t="s">
        <v>71</v>
      </c>
      <c r="F39" s="33" t="s">
        <v>72</v>
      </c>
      <c r="G39" s="33" t="s">
        <v>73</v>
      </c>
      <c r="H39" s="34" t="s">
        <v>74</v>
      </c>
      <c r="I39" s="43"/>
      <c r="J39" s="41"/>
    </row>
    <row r="40" spans="1:12" ht="13.5" x14ac:dyDescent="0.25">
      <c r="A40" s="36">
        <f>+A22</f>
        <v>980</v>
      </c>
      <c r="B40" s="42" t="str">
        <f>IFERROR(VLOOKUP(H40,[1]SEMIELABORADOS!$A$2:$M$6000,2,0),"")</f>
        <v xml:space="preserve">AZUCAR REFINADA (BOLSA:1500g) </v>
      </c>
      <c r="C40" s="37">
        <f>+A40</f>
        <v>980</v>
      </c>
      <c r="D40" s="38" t="str">
        <f>IFERROR(VLOOKUP(H40,[1]SEMIELABORADOS!$A$2:$M$6000,6,0),"")</f>
        <v>Gramo</v>
      </c>
      <c r="E40" s="38">
        <f>IFERROR(VLOOKUP(H40,[1]SEMIELABORADOS!$A$2:$M$65536,10,0),"")</f>
        <v>1.4128E-2</v>
      </c>
      <c r="F40" s="38">
        <f>IFERROR(E40*C40,"")</f>
        <v>13.84544</v>
      </c>
      <c r="G40" s="39">
        <f t="shared" ref="G40:G46" si="11">IFERROR(F40/$F$71,"")</f>
        <v>1.7795913709662769E-4</v>
      </c>
      <c r="H40" s="43" t="s">
        <v>110</v>
      </c>
      <c r="I40" s="43"/>
      <c r="J40" s="41"/>
    </row>
    <row r="41" spans="1:12" ht="13.5" hidden="1" x14ac:dyDescent="0.25">
      <c r="A41" s="36">
        <f t="shared" ref="A41:A46" si="12">+A23</f>
        <v>0</v>
      </c>
      <c r="B41" s="42" t="str">
        <f>IFERROR(VLOOKUP(H41,[1]SEMIELABORADOS!$A$2:$M$6000,2,0),"")</f>
        <v/>
      </c>
      <c r="C41" s="37">
        <f t="shared" ref="C41:C46" si="13">+A41</f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ref="F41:F46" si="14">IFERROR(E41*C41,"")</f>
        <v/>
      </c>
      <c r="G41" s="39" t="str">
        <f t="shared" si="11"/>
        <v/>
      </c>
      <c r="H41" s="43"/>
      <c r="I41" s="43"/>
      <c r="J41" s="41"/>
    </row>
    <row r="42" spans="1:12" ht="13.5" hidden="1" x14ac:dyDescent="0.25">
      <c r="A42" s="36">
        <f t="shared" si="12"/>
        <v>0</v>
      </c>
      <c r="B42" s="42" t="str">
        <f>IFERROR(VLOOKUP(H42,[1]SEMIELABORADOS!$A$2:$M$6000,2,0),"")</f>
        <v/>
      </c>
      <c r="C42" s="37">
        <f t="shared" si="13"/>
        <v>0</v>
      </c>
      <c r="D42" s="38" t="str">
        <f>IFERROR(VLOOKUP(H42,[1]SEMIELABORADOS!$A$2:$M$6000,6,0),"")</f>
        <v/>
      </c>
      <c r="E42" s="38" t="str">
        <f>IFERROR(VLOOKUP(H42,[1]SEMIELABORADOS!$A$2:$M$65536,10,0),"")</f>
        <v/>
      </c>
      <c r="F42" s="38" t="str">
        <f t="shared" si="14"/>
        <v/>
      </c>
      <c r="G42" s="39" t="str">
        <f t="shared" si="11"/>
        <v/>
      </c>
      <c r="H42" s="43"/>
      <c r="I42" s="43"/>
      <c r="J42" s="41"/>
    </row>
    <row r="43" spans="1:12" ht="13.5" hidden="1" x14ac:dyDescent="0.25">
      <c r="A43" s="36">
        <f t="shared" si="12"/>
        <v>0</v>
      </c>
      <c r="B43" s="42" t="str">
        <f>IFERROR(VLOOKUP(H43,[1]SEMIELABORADOS!$A$2:$M$6000,2,0),"")</f>
        <v/>
      </c>
      <c r="C43" s="37">
        <f>+A43</f>
        <v>0</v>
      </c>
      <c r="D43" s="38" t="str">
        <f>IFERROR(VLOOKUP(H43,[1]SEMIELABORADOS!$A$2:$M$6000,6,0),"")</f>
        <v/>
      </c>
      <c r="E43" s="38" t="str">
        <f>IFERROR(VLOOKUP(H43,[1]SEMIELABORADOS!$A$2:$M$65536,10,0),"")</f>
        <v/>
      </c>
      <c r="F43" s="38" t="str">
        <f>IFERROR(E43*C43,"")</f>
        <v/>
      </c>
      <c r="G43" s="39" t="str">
        <f t="shared" si="11"/>
        <v/>
      </c>
      <c r="H43" s="43"/>
      <c r="I43" s="43"/>
      <c r="J43" s="41"/>
    </row>
    <row r="44" spans="1:12" ht="13.5" hidden="1" x14ac:dyDescent="0.25">
      <c r="A44" s="36">
        <f t="shared" si="12"/>
        <v>0</v>
      </c>
      <c r="B44" s="42" t="str">
        <f>IFERROR(VLOOKUP(H44,[1]SEMIELABORADOS!$A$2:$M$6000,2,0),"")</f>
        <v/>
      </c>
      <c r="C44" s="37">
        <f>+A44</f>
        <v>0</v>
      </c>
      <c r="D44" s="38" t="str">
        <f>IFERROR(VLOOKUP(H44,[1]SEMIELABORADOS!$A$2:$M$6000,6,0),"")</f>
        <v/>
      </c>
      <c r="E44" s="38" t="str">
        <f>IFERROR(VLOOKUP(H44,[1]SEMIELABORADOS!$A$2:$M$65536,10,0),"")</f>
        <v/>
      </c>
      <c r="F44" s="38" t="str">
        <f>IFERROR(E44*C44,"")</f>
        <v/>
      </c>
      <c r="G44" s="39" t="str">
        <f t="shared" si="11"/>
        <v/>
      </c>
      <c r="H44" s="43"/>
      <c r="I44" s="43"/>
      <c r="J44" s="41"/>
    </row>
    <row r="45" spans="1:12" ht="13.5" hidden="1" x14ac:dyDescent="0.25">
      <c r="A45" s="36">
        <f t="shared" si="12"/>
        <v>0</v>
      </c>
      <c r="B45" s="42" t="str">
        <f>IFERROR(VLOOKUP(H45,[1]SEMIELABORADOS!$A$2:$M$6000,2,0),"")</f>
        <v/>
      </c>
      <c r="C45" s="37">
        <f t="shared" si="13"/>
        <v>0</v>
      </c>
      <c r="D45" s="38" t="str">
        <f>IFERROR(VLOOKUP(H45,[1]SEMIELABORADOS!$A$2:$M$6000,6,0),"")</f>
        <v/>
      </c>
      <c r="E45" s="38" t="str">
        <f>IFERROR(VLOOKUP(H45,[1]SEMIELABORADOS!$A$2:$M$65536,10,0),"")</f>
        <v/>
      </c>
      <c r="F45" s="38" t="str">
        <f t="shared" si="14"/>
        <v/>
      </c>
      <c r="G45" s="39" t="str">
        <f t="shared" si="11"/>
        <v/>
      </c>
      <c r="H45" s="43"/>
      <c r="I45" s="43"/>
      <c r="J45" s="41"/>
    </row>
    <row r="46" spans="1:12" ht="13.5" hidden="1" x14ac:dyDescent="0.25">
      <c r="A46" s="36">
        <f t="shared" si="12"/>
        <v>0</v>
      </c>
      <c r="B46" s="42" t="str">
        <f>IFERROR(VLOOKUP(H46,[1]SEMIELABORADOS!$A$2:$M$6000,2,0),"")</f>
        <v/>
      </c>
      <c r="C46" s="37">
        <f t="shared" si="13"/>
        <v>0</v>
      </c>
      <c r="D46" s="38" t="str">
        <f>IFERROR(VLOOKUP(H46,[1]SEMIELABORADOS!$A$2:$M$6000,6,0),"")</f>
        <v/>
      </c>
      <c r="E46" s="38" t="str">
        <f>IFERROR(VLOOKUP(H46,[1]SEMIELABORADOS!$A$2:$M$65536,10,0),"")</f>
        <v/>
      </c>
      <c r="F46" s="38" t="str">
        <f t="shared" si="14"/>
        <v/>
      </c>
      <c r="G46" s="39" t="str">
        <f t="shared" si="11"/>
        <v/>
      </c>
      <c r="H46" s="43"/>
      <c r="I46" s="43"/>
      <c r="J46" s="41"/>
    </row>
    <row r="47" spans="1:12" ht="14.25" thickBot="1" x14ac:dyDescent="0.3">
      <c r="A47" s="36"/>
      <c r="B47" s="42"/>
      <c r="C47" s="37"/>
      <c r="D47" s="38"/>
      <c r="E47" s="38"/>
      <c r="F47" s="38"/>
      <c r="G47" s="39"/>
      <c r="H47" s="43"/>
      <c r="I47" s="43"/>
      <c r="J47" s="41"/>
    </row>
    <row r="48" spans="1:12" ht="26.25" thickBot="1" x14ac:dyDescent="0.3">
      <c r="A48" s="31" t="s">
        <v>68</v>
      </c>
      <c r="B48" s="32" t="s">
        <v>77</v>
      </c>
      <c r="C48" s="32" t="s">
        <v>68</v>
      </c>
      <c r="D48" s="33" t="s">
        <v>70</v>
      </c>
      <c r="E48" s="33" t="s">
        <v>71</v>
      </c>
      <c r="F48" s="33" t="s">
        <v>72</v>
      </c>
      <c r="G48" s="33" t="s">
        <v>73</v>
      </c>
      <c r="H48" s="34" t="s">
        <v>74</v>
      </c>
      <c r="I48" s="35"/>
      <c r="J48" s="41"/>
    </row>
    <row r="49" spans="1:17" ht="13.5" x14ac:dyDescent="0.25">
      <c r="A49" s="36">
        <f>+A40</f>
        <v>980</v>
      </c>
      <c r="B49" s="42" t="str">
        <f>IFERROR(VLOOKUP(H49,[1]SEMIELABORADOS!$A$2:$M$6000,2,0),"")</f>
        <v xml:space="preserve">AZUCAR REFINADA (BOLSA:1500g) </v>
      </c>
      <c r="C49" s="37">
        <f>+A49</f>
        <v>980</v>
      </c>
      <c r="D49" s="38" t="str">
        <f>IFERROR(VLOOKUP(H49,[1]SEMIELABORADOS!$A$2:$M$6000,6,0),"")</f>
        <v>Gramo</v>
      </c>
      <c r="E49" s="38">
        <f>IFERROR(VLOOKUP(H49,[1]SEMIELABORADOS!$A$2:$M$65536,12,0),"")</f>
        <v>8.1678239999999985E-2</v>
      </c>
      <c r="F49" s="38">
        <f>IFERROR(E49*C49,"")</f>
        <v>80.044675199999986</v>
      </c>
      <c r="G49" s="39">
        <f>IFERROR(F49/$F$71,"")</f>
        <v>1.0288355825291094E-3</v>
      </c>
      <c r="H49" s="43" t="s">
        <v>110</v>
      </c>
      <c r="I49" s="35"/>
      <c r="J49" s="41"/>
    </row>
    <row r="50" spans="1:17" ht="13.5" hidden="1" x14ac:dyDescent="0.25">
      <c r="A50" s="36">
        <f t="shared" ref="A50:A55" si="15">+A41</f>
        <v>0</v>
      </c>
      <c r="B50" s="42" t="str">
        <f>IFERROR(VLOOKUP(H50,[1]SEMIELABORADOS!$A$2:$M$6000,2,0),"")</f>
        <v/>
      </c>
      <c r="C50" s="37">
        <f t="shared" ref="C50:C55" si="16">+A50</f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ref="F50:F55" si="17">IFERROR(E50*C50,"")</f>
        <v/>
      </c>
      <c r="G50" s="39" t="str">
        <f t="shared" ref="G50:G55" si="18">IFERROR(F50/$F$71,"")</f>
        <v/>
      </c>
      <c r="H50" s="43"/>
      <c r="I50" s="35"/>
      <c r="J50" s="41"/>
      <c r="M50" s="46"/>
    </row>
    <row r="51" spans="1:17" ht="13.5" hidden="1" x14ac:dyDescent="0.25">
      <c r="A51" s="36">
        <f t="shared" si="15"/>
        <v>0</v>
      </c>
      <c r="B51" s="42" t="str">
        <f>IFERROR(VLOOKUP(H51,[1]SEMIELABORADOS!$A$2:$M$6000,2,0),"")</f>
        <v/>
      </c>
      <c r="C51" s="37">
        <f t="shared" si="16"/>
        <v>0</v>
      </c>
      <c r="D51" s="38" t="str">
        <f>IFERROR(VLOOKUP(H51,[1]SEMIELABORADOS!$A$2:$M$6000,6,0),"")</f>
        <v/>
      </c>
      <c r="E51" s="38" t="str">
        <f>IFERROR(VLOOKUP(H51,[1]SEMIELABORADOS!$A$2:$M$65536,12,0),"")</f>
        <v/>
      </c>
      <c r="F51" s="38" t="str">
        <f t="shared" si="17"/>
        <v/>
      </c>
      <c r="G51" s="39" t="str">
        <f t="shared" si="18"/>
        <v/>
      </c>
      <c r="H51" s="43"/>
      <c r="I51" s="35"/>
      <c r="J51" s="41"/>
    </row>
    <row r="52" spans="1:17" ht="13.5" hidden="1" x14ac:dyDescent="0.25">
      <c r="A52" s="36">
        <f t="shared" si="15"/>
        <v>0</v>
      </c>
      <c r="B52" s="42" t="str">
        <f>IFERROR(VLOOKUP(H52,[1]SEMIELABORADOS!$A$2:$M$6000,2,0),"")</f>
        <v/>
      </c>
      <c r="C52" s="37">
        <f t="shared" si="16"/>
        <v>0</v>
      </c>
      <c r="D52" s="38" t="str">
        <f>IFERROR(VLOOKUP(H52,[1]SEMIELABORADOS!$A$2:$M$6000,6,0),"")</f>
        <v/>
      </c>
      <c r="E52" s="38" t="str">
        <f>IFERROR(VLOOKUP(H52,[1]SEMIELABORADOS!$A$2:$M$65536,12,0),"")</f>
        <v/>
      </c>
      <c r="F52" s="38" t="str">
        <f t="shared" si="17"/>
        <v/>
      </c>
      <c r="G52" s="39" t="str">
        <f t="shared" si="18"/>
        <v/>
      </c>
      <c r="H52" s="43"/>
      <c r="I52" s="35"/>
      <c r="J52" s="41"/>
    </row>
    <row r="53" spans="1:17" ht="13.5" hidden="1" x14ac:dyDescent="0.25">
      <c r="A53" s="36">
        <f t="shared" si="15"/>
        <v>0</v>
      </c>
      <c r="B53" s="42" t="str">
        <f>IFERROR(VLOOKUP(H53,[1]SEMIELABORADOS!$A$2:$M$6000,2,0),"")</f>
        <v/>
      </c>
      <c r="C53" s="37">
        <f t="shared" si="16"/>
        <v>0</v>
      </c>
      <c r="D53" s="38" t="str">
        <f>IFERROR(VLOOKUP(H53,[1]SEMIELABORADOS!$A$2:$M$6000,6,0),"")</f>
        <v/>
      </c>
      <c r="E53" s="38" t="str">
        <f>IFERROR(VLOOKUP(H53,[1]SEMIELABORADOS!$A$2:$M$65536,12,0),"")</f>
        <v/>
      </c>
      <c r="F53" s="38" t="str">
        <f t="shared" si="17"/>
        <v/>
      </c>
      <c r="G53" s="39" t="str">
        <f t="shared" si="18"/>
        <v/>
      </c>
      <c r="H53" s="43"/>
      <c r="I53" s="35"/>
      <c r="J53" s="41"/>
    </row>
    <row r="54" spans="1:17" ht="13.5" hidden="1" x14ac:dyDescent="0.25">
      <c r="A54" s="36">
        <f t="shared" si="15"/>
        <v>0</v>
      </c>
      <c r="B54" s="42" t="str">
        <f>IFERROR(VLOOKUP(H54,[1]SEMIELABORADOS!$A$2:$M$6000,2,0),"")</f>
        <v/>
      </c>
      <c r="C54" s="37">
        <f t="shared" si="16"/>
        <v>0</v>
      </c>
      <c r="D54" s="38" t="str">
        <f>IFERROR(VLOOKUP(H54,[1]SEMIELABORADOS!$A$2:$M$6000,6,0),"")</f>
        <v/>
      </c>
      <c r="E54" s="38" t="str">
        <f>IFERROR(VLOOKUP(H54,[1]SEMIELABORADOS!$A$2:$M$65536,12,0),"")</f>
        <v/>
      </c>
      <c r="F54" s="38" t="str">
        <f t="shared" si="17"/>
        <v/>
      </c>
      <c r="G54" s="39" t="str">
        <f t="shared" si="18"/>
        <v/>
      </c>
      <c r="H54" s="43"/>
      <c r="I54" s="35"/>
      <c r="J54" s="41"/>
    </row>
    <row r="55" spans="1:17" ht="13.5" hidden="1" x14ac:dyDescent="0.25">
      <c r="A55" s="36">
        <f t="shared" si="15"/>
        <v>0</v>
      </c>
      <c r="B55" s="42" t="str">
        <f>IFERROR(VLOOKUP(H55,[1]SEMIELABORADOS!$A$2:$M$6000,2,0),"")</f>
        <v/>
      </c>
      <c r="C55" s="37">
        <f t="shared" si="16"/>
        <v>0</v>
      </c>
      <c r="D55" s="38" t="str">
        <f>IFERROR(VLOOKUP(H55,[1]SEMIELABORADOS!$A$2:$M$6000,6,0),"")</f>
        <v/>
      </c>
      <c r="E55" s="38" t="str">
        <f>IFERROR(VLOOKUP(H55,[1]SEMIELABORADOS!$A$2:$M$65536,12,0),"")</f>
        <v/>
      </c>
      <c r="F55" s="38" t="str">
        <f t="shared" si="17"/>
        <v/>
      </c>
      <c r="G55" s="39" t="str">
        <f t="shared" si="18"/>
        <v/>
      </c>
      <c r="H55" s="42"/>
      <c r="I55" s="35"/>
      <c r="J55" s="41"/>
    </row>
    <row r="56" spans="1:17" ht="13.5" x14ac:dyDescent="0.25">
      <c r="A56" s="36">
        <v>1</v>
      </c>
      <c r="B56" s="42" t="s">
        <v>78</v>
      </c>
      <c r="C56" s="37">
        <f>+A56</f>
        <v>1</v>
      </c>
      <c r="D56" s="37" t="s">
        <v>79</v>
      </c>
      <c r="E56" s="38">
        <f>+F70</f>
        <v>1650</v>
      </c>
      <c r="F56" s="38">
        <f>IFERROR(C56*E56,"")</f>
        <v>1650</v>
      </c>
      <c r="G56" s="39">
        <f>IFERROR(F56/$F$71,"")</f>
        <v>2.1207890555261205E-2</v>
      </c>
      <c r="H56" s="47"/>
      <c r="I56" s="47"/>
      <c r="J56" s="41"/>
    </row>
    <row r="57" spans="1:17" ht="14.25" thickBot="1" x14ac:dyDescent="0.3">
      <c r="A57" s="36"/>
      <c r="B57" s="42"/>
      <c r="C57" s="37"/>
      <c r="D57" s="37"/>
      <c r="E57" s="38"/>
      <c r="F57" s="38"/>
      <c r="G57" s="39"/>
      <c r="H57" s="47"/>
      <c r="I57" s="47"/>
      <c r="J57" s="41"/>
    </row>
    <row r="58" spans="1:17" ht="13.5" thickBot="1" x14ac:dyDescent="0.3">
      <c r="A58" s="48"/>
      <c r="B58" s="246" t="s">
        <v>80</v>
      </c>
      <c r="C58" s="246"/>
      <c r="D58" s="246"/>
      <c r="E58" s="246"/>
      <c r="F58" s="49">
        <f>SUM(F8:F19,F22:F29)</f>
        <v>74481.056795989192</v>
      </c>
      <c r="G58" s="39">
        <f>+F58/$F$71</f>
        <v>0.95732490967850459</v>
      </c>
      <c r="H58" s="50">
        <f>+F58/$D$65</f>
        <v>74481.056795989192</v>
      </c>
      <c r="I58" s="50"/>
      <c r="J58" s="51"/>
      <c r="K58" s="52"/>
      <c r="L58" s="52"/>
      <c r="M58" s="52"/>
      <c r="N58" s="52"/>
      <c r="O58" s="52"/>
      <c r="P58" s="52"/>
      <c r="Q58" s="53"/>
    </row>
    <row r="59" spans="1:17" x14ac:dyDescent="0.2">
      <c r="A59" s="48"/>
      <c r="B59" s="246" t="s">
        <v>81</v>
      </c>
      <c r="C59" s="246"/>
      <c r="D59" s="246"/>
      <c r="E59" s="246"/>
      <c r="F59" s="49">
        <f>SUM(F32:F37,F40:F46)</f>
        <v>180.55343999999997</v>
      </c>
      <c r="G59" s="39">
        <f>+F59/$F$71</f>
        <v>2.3207015726641939E-3</v>
      </c>
      <c r="H59" s="50">
        <f>+F59/$D$65</f>
        <v>180.55343999999997</v>
      </c>
      <c r="I59" s="50"/>
      <c r="J59" s="54"/>
      <c r="K59" s="247" t="s">
        <v>82</v>
      </c>
      <c r="L59" s="248"/>
      <c r="M59" s="248"/>
      <c r="N59" s="248"/>
      <c r="O59" s="55">
        <f>+F60</f>
        <v>74661.610235989196</v>
      </c>
      <c r="P59" s="55"/>
      <c r="Q59" s="56"/>
    </row>
    <row r="60" spans="1:17" x14ac:dyDescent="0.2">
      <c r="A60" s="48"/>
      <c r="B60" s="246" t="s">
        <v>83</v>
      </c>
      <c r="C60" s="246"/>
      <c r="D60" s="246"/>
      <c r="E60" s="246"/>
      <c r="F60" s="49">
        <f>+F58+F59</f>
        <v>74661.610235989196</v>
      </c>
      <c r="G60" s="39">
        <f>+F60/$F$71</f>
        <v>0.95964561125116876</v>
      </c>
      <c r="H60" s="50">
        <f>+F60/$D$65</f>
        <v>74661.610235989196</v>
      </c>
      <c r="I60" s="50"/>
      <c r="J60" s="57"/>
      <c r="K60" s="58"/>
      <c r="L60" s="59" t="s">
        <v>84</v>
      </c>
      <c r="M60" s="59"/>
      <c r="N60" s="60">
        <v>0.18</v>
      </c>
      <c r="O60" s="55">
        <f>+O59*N60</f>
        <v>13439.089842478055</v>
      </c>
      <c r="P60" s="55"/>
      <c r="Q60" s="56"/>
    </row>
    <row r="61" spans="1:17" ht="13.5" thickBot="1" x14ac:dyDescent="0.25">
      <c r="A61" s="48"/>
      <c r="B61" s="61"/>
      <c r="C61" s="246" t="s">
        <v>85</v>
      </c>
      <c r="D61" s="246"/>
      <c r="E61" s="246"/>
      <c r="F61" s="49">
        <f>SUM(F49:F56)</f>
        <v>1730.0446752</v>
      </c>
      <c r="G61" s="39">
        <f>+F61/$F$71</f>
        <v>2.2236726137790316E-2</v>
      </c>
      <c r="H61" s="50">
        <f>+F61/$D$65</f>
        <v>1730.0446752</v>
      </c>
      <c r="I61" s="50"/>
      <c r="J61" s="57"/>
      <c r="K61" s="58"/>
      <c r="L61" s="58"/>
      <c r="M61" s="58" t="s">
        <v>86</v>
      </c>
      <c r="N61" s="62"/>
      <c r="O61" s="55">
        <f>O59*N61</f>
        <v>0</v>
      </c>
      <c r="P61" s="55"/>
      <c r="Q61" s="56"/>
    </row>
    <row r="62" spans="1:17" ht="13.5" thickBot="1" x14ac:dyDescent="0.25">
      <c r="A62" s="48"/>
      <c r="B62" s="63"/>
      <c r="C62" s="63"/>
      <c r="D62" s="63"/>
      <c r="E62" s="63"/>
      <c r="F62" s="64"/>
      <c r="G62" s="39"/>
      <c r="H62" s="65"/>
      <c r="I62" s="50"/>
      <c r="J62" s="57"/>
      <c r="K62" s="66"/>
      <c r="M62" s="67" t="s">
        <v>87</v>
      </c>
      <c r="N62" s="68"/>
      <c r="O62" s="69">
        <f>SUM(O59:O61)</f>
        <v>88100.700078467256</v>
      </c>
      <c r="P62" s="70"/>
      <c r="Q62" s="56"/>
    </row>
    <row r="63" spans="1:17" x14ac:dyDescent="0.2">
      <c r="B63" s="249" t="s">
        <v>88</v>
      </c>
      <c r="C63" s="249"/>
      <c r="D63" s="71">
        <v>34000</v>
      </c>
      <c r="E63" s="72"/>
      <c r="G63" s="39"/>
      <c r="H63" s="65"/>
      <c r="I63" s="73"/>
      <c r="J63" s="57"/>
      <c r="K63" s="66"/>
      <c r="L63" s="58"/>
      <c r="M63" s="58" t="s">
        <v>89</v>
      </c>
      <c r="N63" s="74">
        <v>0.15</v>
      </c>
      <c r="O63" s="55">
        <f>+O59*N63</f>
        <v>11199.24153539838</v>
      </c>
      <c r="P63" s="55"/>
      <c r="Q63" s="56"/>
    </row>
    <row r="64" spans="1:17" x14ac:dyDescent="0.2">
      <c r="B64" s="249" t="s">
        <v>90</v>
      </c>
      <c r="C64" s="249"/>
      <c r="D64" s="75">
        <v>34000</v>
      </c>
      <c r="E64" s="72"/>
      <c r="G64" s="39"/>
      <c r="H64" s="65"/>
      <c r="I64" s="73"/>
      <c r="J64" s="57"/>
      <c r="K64" s="66"/>
      <c r="L64" s="58"/>
      <c r="M64" s="250" t="s">
        <v>87</v>
      </c>
      <c r="N64" s="250"/>
      <c r="O64" s="55">
        <f>SUM(O62:O63)</f>
        <v>99299.941613865638</v>
      </c>
      <c r="P64" s="55"/>
      <c r="Q64" s="56"/>
    </row>
    <row r="65" spans="2:17" ht="13.5" thickBot="1" x14ac:dyDescent="0.25">
      <c r="B65" s="242" t="s">
        <v>91</v>
      </c>
      <c r="C65" s="242"/>
      <c r="D65" s="71">
        <f>+D63/D64</f>
        <v>1</v>
      </c>
      <c r="E65" s="72"/>
      <c r="F65" s="76"/>
      <c r="G65" s="39"/>
      <c r="H65" s="65"/>
      <c r="I65" s="73"/>
      <c r="J65" s="57"/>
      <c r="K65" s="66"/>
      <c r="L65" s="250"/>
      <c r="M65" s="250"/>
      <c r="N65" s="74"/>
      <c r="O65" s="55">
        <f>+O64*N65</f>
        <v>0</v>
      </c>
      <c r="P65" s="55"/>
      <c r="Q65" s="56"/>
    </row>
    <row r="66" spans="2:17" ht="13.5" thickBot="1" x14ac:dyDescent="0.25">
      <c r="B66" s="242" t="s">
        <v>92</v>
      </c>
      <c r="C66" s="242"/>
      <c r="D66" s="77"/>
      <c r="E66" s="72"/>
      <c r="F66" s="76"/>
      <c r="G66" s="39"/>
      <c r="H66" s="65"/>
      <c r="I66" s="73"/>
      <c r="J66" s="57"/>
      <c r="K66" s="243" t="s">
        <v>93</v>
      </c>
      <c r="L66" s="244"/>
      <c r="M66" s="244"/>
      <c r="N66" s="245"/>
      <c r="O66" s="69">
        <f>SUM(O64:O65)</f>
        <v>99299.941613865638</v>
      </c>
      <c r="P66" s="78" t="s">
        <v>94</v>
      </c>
      <c r="Q66" s="56"/>
    </row>
    <row r="67" spans="2:17" ht="13.5" thickBot="1" x14ac:dyDescent="0.25">
      <c r="C67" s="48" t="s">
        <v>95</v>
      </c>
      <c r="D67" s="79"/>
      <c r="E67" s="22" t="s">
        <v>96</v>
      </c>
      <c r="F67" s="80" t="s">
        <v>97</v>
      </c>
      <c r="G67" s="39"/>
      <c r="H67" s="65"/>
      <c r="I67" s="73"/>
      <c r="J67" s="81"/>
      <c r="K67" s="82"/>
      <c r="L67" s="256" t="s">
        <v>98</v>
      </c>
      <c r="M67" s="256"/>
      <c r="N67" s="256"/>
      <c r="O67" s="83">
        <f>+O66/D65</f>
        <v>99299.941613865638</v>
      </c>
      <c r="P67" s="84">
        <f>+O67/D64</f>
        <v>2.9205865180548716</v>
      </c>
      <c r="Q67" s="85"/>
    </row>
    <row r="68" spans="2:17" ht="13.5" thickBot="1" x14ac:dyDescent="0.25">
      <c r="B68" s="257" t="s">
        <v>83</v>
      </c>
      <c r="C68" s="257"/>
      <c r="D68" s="257"/>
      <c r="E68" s="86">
        <f>+F68/F68</f>
        <v>1</v>
      </c>
      <c r="F68" s="87">
        <f>SUM(F60)</f>
        <v>74661.610235989196</v>
      </c>
      <c r="G68" s="39">
        <f>+F68/$F$71</f>
        <v>0.95964561125116876</v>
      </c>
      <c r="H68" s="65"/>
      <c r="I68" s="73"/>
      <c r="K68" s="258"/>
      <c r="L68" s="259"/>
      <c r="M68" s="259"/>
      <c r="N68" s="259"/>
      <c r="O68" s="88"/>
      <c r="P68" s="89"/>
    </row>
    <row r="69" spans="2:17" ht="13.5" thickBot="1" x14ac:dyDescent="0.3">
      <c r="B69" s="260" t="s">
        <v>99</v>
      </c>
      <c r="C69" s="260"/>
      <c r="D69" s="260"/>
      <c r="E69" s="90">
        <v>0.02</v>
      </c>
      <c r="F69" s="87">
        <f>+F58*E69</f>
        <v>1489.6211359197839</v>
      </c>
      <c r="G69" s="39">
        <f>+F69/$F$71</f>
        <v>1.9146498193570092E-2</v>
      </c>
      <c r="H69" s="50"/>
      <c r="I69" s="73"/>
      <c r="J69" s="91"/>
      <c r="O69" s="92"/>
      <c r="P69" s="61"/>
    </row>
    <row r="70" spans="2:17" ht="13.5" thickBot="1" x14ac:dyDescent="0.3">
      <c r="B70" s="261" t="s">
        <v>100</v>
      </c>
      <c r="C70" s="262"/>
      <c r="D70" s="93">
        <v>30</v>
      </c>
      <c r="E70" s="94">
        <v>55</v>
      </c>
      <c r="F70" s="87">
        <f>+E70*D70</f>
        <v>1650</v>
      </c>
      <c r="G70" s="39">
        <f>+F70/$F$71</f>
        <v>2.1207890555261205E-2</v>
      </c>
      <c r="H70" s="50"/>
      <c r="I70" s="50"/>
      <c r="J70" s="41"/>
    </row>
    <row r="71" spans="2:17" ht="13.5" thickBot="1" x14ac:dyDescent="0.3">
      <c r="B71" s="263" t="s">
        <v>101</v>
      </c>
      <c r="C71" s="264"/>
      <c r="D71" s="264"/>
      <c r="E71" s="265"/>
      <c r="F71" s="64">
        <f>SUM(F68:F70)</f>
        <v>77801.231371908973</v>
      </c>
      <c r="G71" s="39">
        <f>+F71/$F$71</f>
        <v>1</v>
      </c>
      <c r="H71" s="266"/>
      <c r="I71" s="50"/>
      <c r="J71" s="41"/>
    </row>
    <row r="72" spans="2:17" x14ac:dyDescent="0.25">
      <c r="C72" s="46"/>
      <c r="D72" s="46"/>
      <c r="E72" s="95"/>
      <c r="F72" s="87"/>
      <c r="G72" s="39"/>
      <c r="H72" s="266"/>
      <c r="I72" s="96"/>
      <c r="J72" s="24"/>
    </row>
    <row r="73" spans="2:17" ht="13.5" thickBot="1" x14ac:dyDescent="0.3">
      <c r="B73" s="251" t="s">
        <v>102</v>
      </c>
      <c r="C73" s="251"/>
      <c r="D73" s="251"/>
      <c r="E73" s="251"/>
      <c r="F73" s="251"/>
      <c r="G73" s="39"/>
      <c r="H73" s="97"/>
      <c r="I73" s="96"/>
      <c r="J73" s="24"/>
    </row>
    <row r="74" spans="2:17" ht="13.5" thickBot="1" x14ac:dyDescent="0.3">
      <c r="B74" s="98" t="s">
        <v>103</v>
      </c>
      <c r="C74" s="99">
        <f>+F58</f>
        <v>74481.056795989192</v>
      </c>
      <c r="D74" s="99">
        <f>+D63</f>
        <v>34000</v>
      </c>
      <c r="E74" s="100">
        <f>+C74/D74</f>
        <v>2.190619317529094</v>
      </c>
      <c r="F74" s="39"/>
      <c r="G74" s="97"/>
      <c r="H74" s="41"/>
      <c r="I74" s="97"/>
      <c r="J74" s="24"/>
    </row>
    <row r="75" spans="2:17" x14ac:dyDescent="0.25">
      <c r="B75" s="101"/>
      <c r="C75" s="102"/>
      <c r="D75" s="103"/>
      <c r="E75" s="87"/>
      <c r="F75" s="39"/>
      <c r="G75" s="97"/>
      <c r="H75" s="41"/>
      <c r="I75" s="41"/>
      <c r="J75" s="24"/>
    </row>
    <row r="76" spans="2:17" x14ac:dyDescent="0.25">
      <c r="B76" s="98" t="s">
        <v>104</v>
      </c>
      <c r="C76" s="99">
        <f>SUM(F68:F69)</f>
        <v>76151.231371908973</v>
      </c>
      <c r="D76" s="99">
        <f>+D63</f>
        <v>34000</v>
      </c>
      <c r="E76" s="104">
        <f>+C76/D76</f>
        <v>2.2397420991737933</v>
      </c>
      <c r="F76" s="39"/>
      <c r="G76" s="97"/>
      <c r="H76" s="41"/>
      <c r="I76" s="41"/>
      <c r="J76" s="24"/>
    </row>
    <row r="77" spans="2:17" x14ac:dyDescent="0.25">
      <c r="B77" s="98"/>
      <c r="C77" s="99"/>
      <c r="D77" s="99"/>
      <c r="E77" s="104"/>
      <c r="F77" s="39"/>
      <c r="G77" s="97"/>
      <c r="H77" s="41"/>
      <c r="I77" s="41"/>
      <c r="J77" s="24"/>
    </row>
    <row r="78" spans="2:17" ht="13.5" thickBot="1" x14ac:dyDescent="0.3">
      <c r="B78" s="98" t="s">
        <v>105</v>
      </c>
      <c r="C78" s="99">
        <f>+F70</f>
        <v>1650</v>
      </c>
      <c r="D78" s="99">
        <f>+D63</f>
        <v>34000</v>
      </c>
      <c r="E78" s="104">
        <f>+C78/D78</f>
        <v>4.8529411764705883E-2</v>
      </c>
      <c r="F78" s="39"/>
      <c r="G78" s="97"/>
      <c r="H78" s="41"/>
      <c r="I78" s="41"/>
      <c r="J78" s="24"/>
    </row>
    <row r="79" spans="2:17" ht="13.5" thickBot="1" x14ac:dyDescent="0.3">
      <c r="B79" s="98" t="s">
        <v>106</v>
      </c>
      <c r="C79" s="99">
        <f>+F61</f>
        <v>1730.0446752</v>
      </c>
      <c r="D79" s="99">
        <f>+D78</f>
        <v>34000</v>
      </c>
      <c r="E79" s="100">
        <f>+C79/D79</f>
        <v>5.0883666917647057E-2</v>
      </c>
      <c r="F79" s="39"/>
      <c r="G79" s="97"/>
      <c r="H79" s="41"/>
      <c r="I79" s="41"/>
      <c r="J79" s="24"/>
    </row>
    <row r="80" spans="2:17" ht="13.5" thickBot="1" x14ac:dyDescent="0.3">
      <c r="B80" s="63"/>
      <c r="C80" s="64"/>
      <c r="D80" s="64"/>
      <c r="E80" s="104"/>
      <c r="F80" s="39"/>
      <c r="G80" s="97"/>
      <c r="H80" s="41"/>
      <c r="I80" s="41"/>
      <c r="J80" s="24"/>
    </row>
    <row r="81" spans="1:10" ht="13.5" thickBot="1" x14ac:dyDescent="0.3">
      <c r="B81" s="98" t="s">
        <v>107</v>
      </c>
      <c r="C81" s="99">
        <f>+F59</f>
        <v>180.55343999999997</v>
      </c>
      <c r="D81" s="99">
        <f>+D79</f>
        <v>34000</v>
      </c>
      <c r="E81" s="100">
        <f>+C81/D81</f>
        <v>5.3103952941176459E-3</v>
      </c>
      <c r="F81" s="39"/>
      <c r="G81" s="97"/>
      <c r="H81" s="41"/>
      <c r="I81" s="41"/>
      <c r="J81" s="41"/>
    </row>
    <row r="82" spans="1:10" ht="13.5" thickBot="1" x14ac:dyDescent="0.3">
      <c r="B82" s="63"/>
      <c r="C82" s="64"/>
      <c r="D82" s="64"/>
      <c r="E82" s="104"/>
      <c r="F82" s="39"/>
      <c r="G82" s="97"/>
      <c r="H82" s="41"/>
      <c r="I82" s="41"/>
    </row>
    <row r="83" spans="1:10" ht="13.5" thickBot="1" x14ac:dyDescent="0.3">
      <c r="B83" s="252" t="s">
        <v>108</v>
      </c>
      <c r="C83" s="253"/>
      <c r="D83" s="254"/>
      <c r="E83" s="100">
        <f>+E74+E79</f>
        <v>2.2415029844467411</v>
      </c>
      <c r="G83" s="39"/>
      <c r="H83" s="97"/>
      <c r="I83" s="41"/>
      <c r="J83" s="104"/>
    </row>
    <row r="84" spans="1:10" x14ac:dyDescent="0.25">
      <c r="I84" s="97"/>
      <c r="J84" s="24"/>
    </row>
    <row r="85" spans="1:10" ht="13.5" thickBot="1" x14ac:dyDescent="0.3">
      <c r="B85" s="251" t="s">
        <v>109</v>
      </c>
      <c r="C85" s="251"/>
      <c r="D85" s="251"/>
      <c r="E85" s="251"/>
      <c r="F85" s="251"/>
      <c r="G85" s="39"/>
      <c r="H85" s="97"/>
      <c r="J85" s="24"/>
    </row>
    <row r="86" spans="1:10" ht="13.5" thickBot="1" x14ac:dyDescent="0.3">
      <c r="B86" s="98" t="s">
        <v>103</v>
      </c>
      <c r="C86" s="99">
        <f>+C74</f>
        <v>74481.056795989192</v>
      </c>
      <c r="D86" s="99">
        <f>+D65</f>
        <v>1</v>
      </c>
      <c r="E86" s="100">
        <f>+C86/D86</f>
        <v>74481.056795989192</v>
      </c>
      <c r="F86" s="39"/>
      <c r="G86" s="97"/>
      <c r="H86" s="41"/>
      <c r="I86" s="97"/>
      <c r="J86" s="24"/>
    </row>
    <row r="87" spans="1:10" x14ac:dyDescent="0.25">
      <c r="B87" s="101"/>
      <c r="C87" s="102"/>
      <c r="D87" s="103"/>
      <c r="E87" s="87"/>
      <c r="F87" s="39"/>
      <c r="G87" s="97"/>
      <c r="H87" s="41"/>
      <c r="I87" s="41"/>
      <c r="J87" s="24"/>
    </row>
    <row r="88" spans="1:10" x14ac:dyDescent="0.25">
      <c r="B88" s="98" t="s">
        <v>104</v>
      </c>
      <c r="C88" s="99">
        <f>+C76</f>
        <v>76151.231371908973</v>
      </c>
      <c r="D88" s="99">
        <f>+D65</f>
        <v>1</v>
      </c>
      <c r="E88" s="104">
        <f>+C88/D88</f>
        <v>76151.231371908973</v>
      </c>
      <c r="F88" s="39"/>
      <c r="G88" s="97"/>
      <c r="H88" s="41"/>
      <c r="I88" s="41"/>
      <c r="J88" s="24"/>
    </row>
    <row r="89" spans="1:10" x14ac:dyDescent="0.25">
      <c r="B89" s="98"/>
      <c r="C89" s="99"/>
      <c r="D89" s="99"/>
      <c r="E89" s="104"/>
      <c r="F89" s="39"/>
      <c r="G89" s="97"/>
      <c r="H89" s="41"/>
      <c r="I89" s="41"/>
      <c r="J89" s="24"/>
    </row>
    <row r="90" spans="1:10" ht="13.5" thickBot="1" x14ac:dyDescent="0.3">
      <c r="B90" s="98" t="s">
        <v>106</v>
      </c>
      <c r="C90" s="99">
        <f>+C78</f>
        <v>1650</v>
      </c>
      <c r="D90" s="99">
        <f>+D65</f>
        <v>1</v>
      </c>
      <c r="E90" s="104">
        <f>+C90/D90</f>
        <v>1650</v>
      </c>
      <c r="F90" s="107"/>
      <c r="G90" s="106"/>
      <c r="H90" s="23"/>
      <c r="I90" s="41"/>
    </row>
    <row r="91" spans="1:10" ht="13.5" thickBot="1" x14ac:dyDescent="0.3">
      <c r="B91" s="98" t="s">
        <v>106</v>
      </c>
      <c r="C91" s="99">
        <f>+C79</f>
        <v>1730.0446752</v>
      </c>
      <c r="D91" s="99">
        <f>+D90</f>
        <v>1</v>
      </c>
      <c r="E91" s="100">
        <f>+C91/D91</f>
        <v>1730.0446752</v>
      </c>
      <c r="F91" s="105"/>
      <c r="G91" s="106"/>
      <c r="H91" s="23"/>
      <c r="I91" s="23"/>
    </row>
    <row r="92" spans="1:10" x14ac:dyDescent="0.25">
      <c r="I92" s="23"/>
    </row>
    <row r="93" spans="1:10" x14ac:dyDescent="0.2">
      <c r="A93" s="255"/>
      <c r="B93" s="255"/>
      <c r="C93" s="108"/>
      <c r="D93" s="108"/>
      <c r="E93" s="109"/>
      <c r="G93" s="110"/>
    </row>
    <row r="94" spans="1:10" x14ac:dyDescent="0.2">
      <c r="A94" s="42"/>
      <c r="B94" s="111"/>
      <c r="C94" s="112"/>
      <c r="D94" s="112"/>
      <c r="E94" s="113"/>
      <c r="G94" s="110"/>
    </row>
    <row r="95" spans="1:10" x14ac:dyDescent="0.2">
      <c r="A95" s="42"/>
      <c r="B95" s="111"/>
      <c r="C95" s="114"/>
      <c r="D95" s="114"/>
      <c r="E95" s="42"/>
      <c r="G95" s="110"/>
    </row>
    <row r="96" spans="1:10" x14ac:dyDescent="0.2">
      <c r="A96" s="42"/>
      <c r="B96" s="111"/>
      <c r="C96" s="115"/>
      <c r="D96" s="115"/>
      <c r="E96" s="42"/>
      <c r="G96" s="110"/>
    </row>
  </sheetData>
  <mergeCells count="30">
    <mergeCell ref="B73:F73"/>
    <mergeCell ref="B83:D83"/>
    <mergeCell ref="B85:F85"/>
    <mergeCell ref="A93:B93"/>
    <mergeCell ref="L67:N67"/>
    <mergeCell ref="B68:D68"/>
    <mergeCell ref="K68:N68"/>
    <mergeCell ref="B69:D69"/>
    <mergeCell ref="B70:C70"/>
    <mergeCell ref="B71:E71"/>
    <mergeCell ref="H71:H72"/>
    <mergeCell ref="B66:C66"/>
    <mergeCell ref="K66:N66"/>
    <mergeCell ref="K35:L35"/>
    <mergeCell ref="B58:E58"/>
    <mergeCell ref="B59:E59"/>
    <mergeCell ref="K59:N59"/>
    <mergeCell ref="B60:E60"/>
    <mergeCell ref="C61:E61"/>
    <mergeCell ref="B63:C63"/>
    <mergeCell ref="B64:C64"/>
    <mergeCell ref="M64:N64"/>
    <mergeCell ref="B65:C65"/>
    <mergeCell ref="L65:M65"/>
    <mergeCell ref="K34:L34"/>
    <mergeCell ref="A4:H4"/>
    <mergeCell ref="A5:H5"/>
    <mergeCell ref="F6:G6"/>
    <mergeCell ref="K32:L32"/>
    <mergeCell ref="K33:L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1944AC-47A4-4375-B05C-E4DF35968288}"/>
</file>

<file path=customXml/itemProps3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</vt:lpstr>
      <vt:lpstr>costo </vt:lpstr>
      <vt:lpstr>REC!Área_de_impresión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2026-03-23T14:49:12Z</cp:lastPrinted>
  <dcterms:created xsi:type="dcterms:W3CDTF">2019-04-03T17:28:37Z</dcterms:created>
  <dcterms:modified xsi:type="dcterms:W3CDTF">2026-03-23T14:49:14Z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101800</vt:r8>
  </property>
  <property fmtid="{D5CDD505-2E9C-101B-9397-08002B2CF9AE}" pid="4" name="MediaServiceImageTags">
    <vt:lpwstr/>
  </property>
</Properties>
</file>
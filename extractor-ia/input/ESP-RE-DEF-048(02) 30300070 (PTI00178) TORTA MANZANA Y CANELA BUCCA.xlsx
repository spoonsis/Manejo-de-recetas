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B2BA21B9-7ED3-4172-AED1-FCAEE03E70DA}" xr6:coauthVersionLast="47" xr6:coauthVersionMax="47" xr10:uidLastSave="{8CD2F6A6-2933-4750-8AB5-4E2BA6F58BAA}"/>
  <bookViews>
    <workbookView xWindow="20370" yWindow="-120" windowWidth="24240" windowHeight="13020" tabRatio="851" firstSheet="4" activeTab="4" xr2:uid="{86A95AF8-34C1-4DB7-AE30-E3F9DEB6557E}"/>
  </bookViews>
  <sheets>
    <sheet name="Ensamble" sheetId="1" state="hidden" r:id="rId1"/>
    <sheet name="Ensamble 2" sheetId="5" state="hidden" r:id="rId2"/>
    <sheet name="Ensamble 3" sheetId="12" state="hidden" r:id="rId3"/>
    <sheet name="Ensamble 4" sheetId="13" state="hidden" r:id="rId4"/>
    <sheet name="Ensamble 5" sheetId="14" r:id="rId5"/>
    <sheet name="Costo ensamble" sheetId="3" state="hidden" r:id="rId6"/>
    <sheet name="Rosquete Easy Vainilla " sheetId="6" state="hidden" r:id="rId7"/>
    <sheet name="Batido Easy Vainilla " sheetId="7" state="hidden" r:id="rId8"/>
    <sheet name="Premezcla Easy Vainilla " sheetId="8" state="hidden" r:id="rId9"/>
    <sheet name="Almibar canela " sheetId="9" state="hidden" r:id="rId10"/>
    <sheet name="Crema dulce de leche " sheetId="10" state="hidden" r:id="rId11"/>
    <sheet name="Mezcla sirope Manjar " sheetId="11" state="hidden" r:id="rId12"/>
    <sheet name="Topping de Manzana " sheetId="2" state="hidden" r:id="rId13"/>
    <sheet name="Costo topping de manzana " sheetId="4" state="hidden" r:id="rId14"/>
  </sheets>
  <externalReferences>
    <externalReference r:id="rId15"/>
    <externalReference r:id="rId16"/>
  </externalReferences>
  <definedNames>
    <definedName name="_xlnm.Print_Area" localSheetId="0">Ensamble!$A$1:$I$58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4" l="1"/>
  <c r="K39" i="5"/>
  <c r="L16" i="11"/>
  <c r="E11" i="11"/>
  <c r="E10" i="11"/>
  <c r="D45" i="11" s="1"/>
  <c r="D29" i="9"/>
  <c r="D22" i="7"/>
  <c r="D43" i="6"/>
  <c r="D41" i="6"/>
  <c r="K11" i="6" s="1"/>
  <c r="K19" i="6"/>
  <c r="E31" i="3"/>
  <c r="D31" i="3"/>
  <c r="C31" i="3"/>
  <c r="B31" i="3"/>
  <c r="E30" i="3"/>
  <c r="D30" i="3"/>
  <c r="C30" i="3"/>
  <c r="B30" i="3"/>
  <c r="E29" i="3"/>
  <c r="D29" i="3"/>
  <c r="C29" i="3"/>
  <c r="B29" i="3"/>
  <c r="K10" i="6" l="1"/>
  <c r="L10" i="6" s="1"/>
  <c r="F29" i="3"/>
  <c r="F30" i="3"/>
  <c r="F31" i="3"/>
  <c r="D75" i="3" l="1"/>
  <c r="D76" i="3" s="1"/>
  <c r="D78" i="3" s="1"/>
  <c r="D73" i="3"/>
  <c r="D71" i="3"/>
  <c r="F67" i="3"/>
  <c r="E53" i="3" s="1"/>
  <c r="D62" i="3"/>
  <c r="D87" i="3" s="1"/>
  <c r="D88" i="3" s="1"/>
  <c r="C53" i="3"/>
  <c r="F53" i="3" s="1"/>
  <c r="E52" i="3"/>
  <c r="D52" i="3"/>
  <c r="B52" i="3"/>
  <c r="E51" i="3"/>
  <c r="D51" i="3"/>
  <c r="B51" i="3"/>
  <c r="E43" i="3"/>
  <c r="D43" i="3"/>
  <c r="B43" i="3"/>
  <c r="A43" i="3"/>
  <c r="A52" i="3" s="1"/>
  <c r="C52" i="3" s="1"/>
  <c r="E42" i="3"/>
  <c r="F42" i="3" s="1"/>
  <c r="D42" i="3"/>
  <c r="B42" i="3"/>
  <c r="A42" i="3"/>
  <c r="C42" i="3" s="1"/>
  <c r="A41" i="3"/>
  <c r="C41" i="3" s="1"/>
  <c r="A40" i="3"/>
  <c r="A49" i="3" s="1"/>
  <c r="C49" i="3" s="1"/>
  <c r="A39" i="3"/>
  <c r="C39" i="3" s="1"/>
  <c r="A38" i="3"/>
  <c r="C38" i="3" s="1"/>
  <c r="C37" i="3"/>
  <c r="A37" i="3"/>
  <c r="A46" i="3" s="1"/>
  <c r="C46" i="3" s="1"/>
  <c r="E34" i="3"/>
  <c r="D34" i="3"/>
  <c r="C34" i="3"/>
  <c r="B34" i="3"/>
  <c r="F33" i="3"/>
  <c r="C33" i="3"/>
  <c r="E32" i="3"/>
  <c r="D32" i="3"/>
  <c r="C32" i="3"/>
  <c r="B32" i="3"/>
  <c r="E28" i="3"/>
  <c r="C28" i="3"/>
  <c r="B28" i="3"/>
  <c r="E27" i="3"/>
  <c r="D27" i="3"/>
  <c r="C27" i="3"/>
  <c r="B27" i="3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C21" i="3"/>
  <c r="C20" i="3"/>
  <c r="C19" i="3"/>
  <c r="C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C10" i="3"/>
  <c r="C9" i="3"/>
  <c r="C8" i="3"/>
  <c r="H6" i="3"/>
  <c r="D73" i="4"/>
  <c r="D74" i="4" s="1"/>
  <c r="D76" i="4" s="1"/>
  <c r="D71" i="4"/>
  <c r="D69" i="4"/>
  <c r="F65" i="4"/>
  <c r="E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4" i="4"/>
  <c r="D44" i="4"/>
  <c r="B44" i="4"/>
  <c r="E41" i="4"/>
  <c r="D41" i="4"/>
  <c r="C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E36" i="4"/>
  <c r="F36" i="4" s="1"/>
  <c r="D36" i="4"/>
  <c r="C36" i="4"/>
  <c r="B36" i="4"/>
  <c r="A36" i="4"/>
  <c r="A45" i="4" s="1"/>
  <c r="C45" i="4" s="1"/>
  <c r="E35" i="4"/>
  <c r="F35" i="4" s="1"/>
  <c r="D35" i="4"/>
  <c r="B35" i="4"/>
  <c r="A35" i="4"/>
  <c r="C35" i="4" s="1"/>
  <c r="E32" i="4"/>
  <c r="D32" i="4"/>
  <c r="C32" i="4"/>
  <c r="B32" i="4"/>
  <c r="E31" i="4"/>
  <c r="F31" i="4" s="1"/>
  <c r="D31" i="4"/>
  <c r="C31" i="4"/>
  <c r="B31" i="4"/>
  <c r="E30" i="4"/>
  <c r="D30" i="4"/>
  <c r="C30" i="4"/>
  <c r="B30" i="4"/>
  <c r="E29" i="4"/>
  <c r="D29" i="4"/>
  <c r="C29" i="4"/>
  <c r="B29" i="4"/>
  <c r="E28" i="4"/>
  <c r="F28" i="4" s="1"/>
  <c r="D28" i="4"/>
  <c r="C28" i="4"/>
  <c r="B28" i="4"/>
  <c r="E27" i="4"/>
  <c r="D27" i="4"/>
  <c r="C27" i="4"/>
  <c r="B27" i="4"/>
  <c r="E24" i="4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 s="1"/>
  <c r="D18" i="4"/>
  <c r="C18" i="4"/>
  <c r="B18" i="4"/>
  <c r="E17" i="4"/>
  <c r="F17" i="4" s="1"/>
  <c r="D17" i="4"/>
  <c r="C17" i="4"/>
  <c r="B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C9" i="4"/>
  <c r="C8" i="4"/>
  <c r="H6" i="4"/>
  <c r="F13" i="4" l="1"/>
  <c r="F12" i="3"/>
  <c r="F32" i="3"/>
  <c r="C75" i="3"/>
  <c r="C87" i="3" s="1"/>
  <c r="E87" i="3" s="1"/>
  <c r="F27" i="3"/>
  <c r="D83" i="3"/>
  <c r="D85" i="3"/>
  <c r="F11" i="3"/>
  <c r="F14" i="3"/>
  <c r="F13" i="3"/>
  <c r="F10" i="3"/>
  <c r="F41" i="3"/>
  <c r="F21" i="3"/>
  <c r="C40" i="3"/>
  <c r="F39" i="3"/>
  <c r="F19" i="3"/>
  <c r="F28" i="3"/>
  <c r="F32" i="4"/>
  <c r="F34" i="3"/>
  <c r="F9" i="3"/>
  <c r="F8" i="3"/>
  <c r="F37" i="3"/>
  <c r="F18" i="3"/>
  <c r="F17" i="3"/>
  <c r="C73" i="4"/>
  <c r="C85" i="4" s="1"/>
  <c r="E85" i="4" s="1"/>
  <c r="F46" i="4"/>
  <c r="F40" i="4"/>
  <c r="F24" i="4"/>
  <c r="F29" i="4"/>
  <c r="C37" i="4"/>
  <c r="F37" i="4" s="1"/>
  <c r="F45" i="4"/>
  <c r="F27" i="4"/>
  <c r="F30" i="4"/>
  <c r="F41" i="4"/>
  <c r="F11" i="4"/>
  <c r="F8" i="4"/>
  <c r="F9" i="4"/>
  <c r="F52" i="3"/>
  <c r="F38" i="3"/>
  <c r="F46" i="3"/>
  <c r="C43" i="3"/>
  <c r="F43" i="3" s="1"/>
  <c r="A47" i="3"/>
  <c r="C47" i="3" s="1"/>
  <c r="F47" i="3" s="1"/>
  <c r="A51" i="3"/>
  <c r="C51" i="3" s="1"/>
  <c r="F51" i="3" s="1"/>
  <c r="A48" i="3"/>
  <c r="C48" i="3" s="1"/>
  <c r="F48" i="3" s="1"/>
  <c r="A50" i="3"/>
  <c r="C50" i="3" s="1"/>
  <c r="F50" i="3" s="1"/>
  <c r="F50" i="4"/>
  <c r="F38" i="4"/>
  <c r="F51" i="4"/>
  <c r="F39" i="4"/>
  <c r="D81" i="4"/>
  <c r="A47" i="4"/>
  <c r="C47" i="4" s="1"/>
  <c r="F47" i="4" s="1"/>
  <c r="A49" i="4"/>
  <c r="C49" i="4" s="1"/>
  <c r="F49" i="4" s="1"/>
  <c r="E73" i="4"/>
  <c r="D83" i="4"/>
  <c r="A44" i="4"/>
  <c r="C44" i="4" s="1"/>
  <c r="F44" i="4" s="1"/>
  <c r="A48" i="4"/>
  <c r="C48" i="4" s="1"/>
  <c r="F48" i="4" s="1"/>
  <c r="E75" i="3" l="1"/>
  <c r="F53" i="4"/>
  <c r="C69" i="4" s="1"/>
  <c r="F56" i="4"/>
  <c r="F54" i="4"/>
  <c r="F64" i="4" l="1"/>
  <c r="H53" i="4"/>
  <c r="F2" i="4" s="1"/>
  <c r="F55" i="4"/>
  <c r="O54" i="4" s="1"/>
  <c r="E69" i="4"/>
  <c r="E20" i="3" s="1"/>
  <c r="F20" i="3" s="1"/>
  <c r="F55" i="3" s="1"/>
  <c r="H55" i="3" s="1"/>
  <c r="F2" i="3" s="1"/>
  <c r="C81" i="4"/>
  <c r="E81" i="4" s="1"/>
  <c r="C76" i="4"/>
  <c r="E76" i="4" s="1"/>
  <c r="E40" i="3" s="1"/>
  <c r="F40" i="3" s="1"/>
  <c r="F56" i="3" s="1"/>
  <c r="C78" i="3" s="1"/>
  <c r="E78" i="3" s="1"/>
  <c r="H54" i="4"/>
  <c r="G2" i="4" s="1"/>
  <c r="H56" i="4"/>
  <c r="C74" i="4"/>
  <c r="H55" i="4" l="1"/>
  <c r="F57" i="3"/>
  <c r="H57" i="3" s="1"/>
  <c r="F66" i="3"/>
  <c r="C71" i="3"/>
  <c r="E71" i="3" s="1"/>
  <c r="H56" i="3"/>
  <c r="G2" i="3" s="1"/>
  <c r="F63" i="4"/>
  <c r="E63" i="4" s="1"/>
  <c r="O56" i="4"/>
  <c r="O55" i="4"/>
  <c r="H2" i="4"/>
  <c r="H58" i="4"/>
  <c r="H59" i="4" s="1"/>
  <c r="O58" i="4" s="1"/>
  <c r="C86" i="4"/>
  <c r="E86" i="4" s="1"/>
  <c r="E74" i="4"/>
  <c r="F65" i="3" l="1"/>
  <c r="E65" i="3" s="1"/>
  <c r="O56" i="3"/>
  <c r="O58" i="3" s="1"/>
  <c r="C83" i="3"/>
  <c r="E83" i="3" s="1"/>
  <c r="E78" i="4"/>
  <c r="E49" i="3"/>
  <c r="F49" i="3" s="1"/>
  <c r="F58" i="3" s="1"/>
  <c r="O57" i="4"/>
  <c r="O59" i="4" s="1"/>
  <c r="O60" i="4" s="1"/>
  <c r="O61" i="4" s="1"/>
  <c r="O62" i="4" s="1"/>
  <c r="F66" i="4"/>
  <c r="G23" i="4" s="1"/>
  <c r="C71" i="4"/>
  <c r="C83" i="4" s="1"/>
  <c r="E83" i="4" s="1"/>
  <c r="F68" i="3" l="1"/>
  <c r="G34" i="3" s="1"/>
  <c r="C73" i="3"/>
  <c r="C85" i="3" s="1"/>
  <c r="E85" i="3" s="1"/>
  <c r="G20" i="4"/>
  <c r="G12" i="4"/>
  <c r="G24" i="4"/>
  <c r="G66" i="4"/>
  <c r="G63" i="4"/>
  <c r="G65" i="4"/>
  <c r="C76" i="3"/>
  <c r="H58" i="3"/>
  <c r="G32" i="4"/>
  <c r="G35" i="4"/>
  <c r="G30" i="4"/>
  <c r="G9" i="4"/>
  <c r="G47" i="4"/>
  <c r="G46" i="4"/>
  <c r="G49" i="4"/>
  <c r="G14" i="4"/>
  <c r="G53" i="4"/>
  <c r="G37" i="4"/>
  <c r="G50" i="4"/>
  <c r="G38" i="4"/>
  <c r="G51" i="4"/>
  <c r="G22" i="4"/>
  <c r="G11" i="4"/>
  <c r="G48" i="4"/>
  <c r="G18" i="4"/>
  <c r="G36" i="4"/>
  <c r="G44" i="4"/>
  <c r="G27" i="4"/>
  <c r="G29" i="4"/>
  <c r="G55" i="4"/>
  <c r="G31" i="4"/>
  <c r="G54" i="4"/>
  <c r="G21" i="4"/>
  <c r="G41" i="4"/>
  <c r="G45" i="4"/>
  <c r="G64" i="4"/>
  <c r="G19" i="4"/>
  <c r="G56" i="4"/>
  <c r="G40" i="4"/>
  <c r="G13" i="4"/>
  <c r="G17" i="4"/>
  <c r="G8" i="4"/>
  <c r="G39" i="4"/>
  <c r="G10" i="4"/>
  <c r="G28" i="4"/>
  <c r="E71" i="4"/>
  <c r="P62" i="4"/>
  <c r="E2" i="4"/>
  <c r="G28" i="3" l="1"/>
  <c r="G56" i="3"/>
  <c r="G31" i="3"/>
  <c r="G29" i="3"/>
  <c r="G47" i="3"/>
  <c r="G48" i="3"/>
  <c r="G24" i="3"/>
  <c r="G22" i="3"/>
  <c r="G51" i="3"/>
  <c r="G57" i="3"/>
  <c r="G55" i="3"/>
  <c r="G52" i="3"/>
  <c r="G68" i="3"/>
  <c r="G49" i="3"/>
  <c r="G17" i="3"/>
  <c r="G13" i="3"/>
  <c r="G66" i="3"/>
  <c r="G37" i="3"/>
  <c r="G27" i="3"/>
  <c r="G41" i="3"/>
  <c r="G14" i="3"/>
  <c r="G65" i="3"/>
  <c r="G32" i="3"/>
  <c r="G21" i="3"/>
  <c r="G39" i="3"/>
  <c r="G58" i="3"/>
  <c r="G12" i="3"/>
  <c r="G67" i="3"/>
  <c r="G19" i="3"/>
  <c r="G50" i="3"/>
  <c r="G42" i="3"/>
  <c r="E73" i="3"/>
  <c r="G30" i="3"/>
  <c r="G20" i="3"/>
  <c r="G46" i="3"/>
  <c r="G9" i="3"/>
  <c r="G40" i="3"/>
  <c r="G33" i="3"/>
  <c r="G10" i="3"/>
  <c r="G43" i="3"/>
  <c r="G8" i="3"/>
  <c r="G38" i="3"/>
  <c r="G18" i="3"/>
  <c r="G23" i="3"/>
  <c r="G53" i="3"/>
  <c r="G11" i="3"/>
  <c r="H60" i="3"/>
  <c r="H61" i="3" s="1"/>
  <c r="O60" i="3" s="1"/>
  <c r="H2" i="3"/>
  <c r="O57" i="3"/>
  <c r="O59" i="3" s="1"/>
  <c r="C88" i="3"/>
  <c r="E88" i="3" s="1"/>
  <c r="E76" i="3"/>
  <c r="E80" i="3" s="1"/>
  <c r="O61" i="3" l="1"/>
  <c r="O62" i="3" s="1"/>
  <c r="O63" i="3" s="1"/>
  <c r="O64" i="3" s="1"/>
  <c r="P64" i="3" s="1"/>
  <c r="E2" i="3"/>
  <c r="E11" i="2" l="1"/>
  <c r="E10" i="2"/>
  <c r="K35" i="2"/>
  <c r="D43" i="2" l="1"/>
  <c r="D43" i="1"/>
</calcChain>
</file>

<file path=xl/sharedStrings.xml><?xml version="1.0" encoding="utf-8"?>
<sst xmlns="http://schemas.openxmlformats.org/spreadsheetml/2006/main" count="1506" uniqueCount="337">
  <si>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</si>
  <si>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</si>
  <si>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</si>
  <si>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</si>
  <si>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</si>
  <si>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</si>
  <si>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</si>
  <si>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</si>
  <si>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</si>
  <si>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</si>
  <si>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</si>
  <si>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</si>
  <si>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</si>
  <si>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</si>
  <si>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</si>
  <si>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</si>
  <si>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EM10011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</si>
  <si>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</si>
  <si>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</si>
  <si>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</si>
  <si>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</si>
  <si>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</si>
  <si>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</si>
  <si>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</si>
  <si>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</si>
  <si>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</si>
  <si>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</si>
  <si>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</si>
  <si>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</si>
  <si>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</si>
  <si>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</si>
  <si>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</si>
  <si>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</si>
  <si>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</si>
  <si>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</si>
  <si>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</si>
  <si>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Mariela Barrantes Sánchez, Chef</t>
  </si>
  <si>
    <t>11400066</t>
  </si>
  <si>
    <t>MP10007</t>
  </si>
  <si>
    <t>EM10004</t>
  </si>
  <si>
    <t>NUEVO</t>
  </si>
  <si>
    <t>Figuras</t>
  </si>
  <si>
    <t># Código Netsuite</t>
  </si>
  <si>
    <t>Ensamble</t>
  </si>
  <si>
    <t>Decoración</t>
  </si>
  <si>
    <t>CONTROL DE CAMBIOS</t>
  </si>
  <si>
    <t>907000287</t>
  </si>
  <si>
    <t>SE00454</t>
  </si>
  <si>
    <t>ROSQUETE EASY VAINILLA BC 350 G</t>
  </si>
  <si>
    <t>908000021</t>
  </si>
  <si>
    <t>SE00005</t>
  </si>
  <si>
    <t>ALMIBAR CANELA EN POLVO</t>
  </si>
  <si>
    <t>Manjar Leche Condensada</t>
  </si>
  <si>
    <t>NESTLE</t>
  </si>
  <si>
    <t>1 Taza</t>
  </si>
  <si>
    <t>720761</t>
  </si>
  <si>
    <t>MP10630</t>
  </si>
  <si>
    <t>RELLENO MANZANA CUBITOS (und:19 lbs)</t>
  </si>
  <si>
    <t>MAYCA</t>
  </si>
  <si>
    <t>3/4 Taza</t>
  </si>
  <si>
    <t>96344</t>
  </si>
  <si>
    <t>SE00032</t>
  </si>
  <si>
    <t>Crema Dulce Leche</t>
  </si>
  <si>
    <t>EMPAQUE</t>
  </si>
  <si>
    <t>121603</t>
  </si>
  <si>
    <t>EM10009</t>
  </si>
  <si>
    <t xml:space="preserve">Quequera Red  Base/Domo 10 </t>
  </si>
  <si>
    <t>Export pmt</t>
  </si>
  <si>
    <t>1952875</t>
  </si>
  <si>
    <t>EM10084</t>
  </si>
  <si>
    <t xml:space="preserve">Orla # 10 Bucca </t>
  </si>
  <si>
    <t>UD</t>
  </si>
  <si>
    <t>2172411</t>
  </si>
  <si>
    <t>EM10112</t>
  </si>
  <si>
    <t>ET. TORTA BUCCA GENERICA</t>
  </si>
  <si>
    <t>Litografia CR</t>
  </si>
  <si>
    <t>0702007</t>
  </si>
  <si>
    <t xml:space="preserve">ETIQ.FECHA VENCIMIENTO </t>
  </si>
  <si>
    <t>0702069</t>
  </si>
  <si>
    <t>EM10002</t>
  </si>
  <si>
    <t>ETIQ.BLANCA 1 1/4 * 3/4</t>
  </si>
  <si>
    <t>Cemusa</t>
  </si>
  <si>
    <t>0702123</t>
  </si>
  <si>
    <t>ETIQUETA BLANCA 2 5/8X1 15/16 PRE BLANCA</t>
  </si>
  <si>
    <t>703020</t>
  </si>
  <si>
    <t>EM10248</t>
  </si>
  <si>
    <t>Cinta Adhesiva transp. 1/ 2*100 mts</t>
  </si>
  <si>
    <t>Mayca</t>
  </si>
  <si>
    <t>cm</t>
  </si>
  <si>
    <t>30300070 (PTI00178) TORTA MANZANA Y CANELA BUCCA</t>
  </si>
  <si>
    <t>1.- Cortar los rosquetes por la mitad.Utilizar 1,5 rosquetes. Mojar cada uno con almíbar de canela.</t>
  </si>
  <si>
    <t>BOQUILLA 4FT</t>
  </si>
  <si>
    <t>Topping de Manzana</t>
  </si>
  <si>
    <t>30g x capa</t>
  </si>
  <si>
    <t>260g x capa</t>
  </si>
  <si>
    <t>210 x capa</t>
  </si>
  <si>
    <t xml:space="preserve">2.-  Rellenar la primera capa con 1 taza manjar esparcir bien y  colocar 3/4 relleno de manzana </t>
  </si>
  <si>
    <t>3.- Colocar otra mitad de rosquete humedecido, agregar 1 taza de manjar y colocar 3/4 de relleno de manzana y tapar con la ultimo rsoquete humedecido.</t>
  </si>
  <si>
    <t>4.- Colocar sobre la base de la quequera.</t>
  </si>
  <si>
    <t>SE00034</t>
  </si>
  <si>
    <t>Mezcla Sirope manjar Dulce Leche</t>
  </si>
  <si>
    <t>4.- Con el peine, encremar con crema de manjar y marmolear con la mezcla de sirope manjar dulce de leche</t>
  </si>
  <si>
    <t xml:space="preserve">6.- Tapar y etiquetar . </t>
  </si>
  <si>
    <t>TOPPING DE MANZANA</t>
  </si>
  <si>
    <t>DECORACIÓN</t>
  </si>
  <si>
    <t>MP10089</t>
  </si>
  <si>
    <t>Brillo Glit</t>
  </si>
  <si>
    <t>MP10096</t>
  </si>
  <si>
    <t>Canela En Polvo</t>
  </si>
  <si>
    <t>0.5</t>
  </si>
  <si>
    <t>5.- Realizar el colocho con la boquilla 4FT, en el centro agregar el topping de manzana y espolvorear la canela en polvo.</t>
  </si>
  <si>
    <t>1, Mezclar el relleno de manzana y el brillo hasta que quede bien incorporado.</t>
  </si>
  <si>
    <t>1/2 taza</t>
  </si>
  <si>
    <t xml:space="preserve">2, Utilizar inmediatamente. </t>
  </si>
  <si>
    <t>Tanda</t>
  </si>
  <si>
    <t xml:space="preserve">1,5 de rosquete </t>
  </si>
  <si>
    <t>NUEVA</t>
  </si>
  <si>
    <t>Etiqueta especial Navidad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</si>
  <si>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</si>
  <si>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</si>
  <si>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</si>
  <si>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</si>
  <si>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</si>
  <si>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</si>
  <si>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</si>
  <si>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</si>
  <si>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</si>
  <si>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</si>
  <si>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</si>
  <si>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</si>
  <si>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</si>
  <si>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</si>
  <si>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</si>
  <si>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</si>
  <si>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</si>
  <si>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</si>
  <si>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</si>
  <si>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</si>
  <si>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</si>
  <si>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</si>
  <si>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</si>
  <si>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</si>
  <si>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</si>
  <si>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</si>
  <si>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</si>
  <si>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</si>
  <si>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</si>
  <si>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</si>
  <si>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</si>
  <si>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</si>
  <si>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</si>
  <si>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</si>
  <si>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</si>
  <si>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</si>
  <si>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</si>
  <si>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</si>
  <si>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</si>
  <si>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</si>
  <si>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</si>
  <si>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</si>
  <si>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</si>
  <si>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</si>
  <si>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</si>
  <si>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</si>
  <si>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</si>
  <si>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</si>
  <si>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</si>
  <si>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</si>
  <si>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</si>
  <si>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</si>
  <si>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</si>
  <si>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</si>
  <si>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nuevo</t>
  </si>
  <si>
    <t>MP10176</t>
  </si>
  <si>
    <t>Dulce Leche La Ciabata</t>
  </si>
  <si>
    <t>LA CIABATA</t>
  </si>
  <si>
    <t>150g x capa</t>
  </si>
  <si>
    <t>1/2 Taza c/ capa</t>
  </si>
  <si>
    <t>ESP-RE-BAF-013</t>
  </si>
  <si>
    <t>01</t>
  </si>
  <si>
    <t>907000287(SE00454) Rosquete easy vainilla BC 310g</t>
  </si>
  <si>
    <t>Javier Tong, Chef</t>
  </si>
  <si>
    <t>Batidos</t>
  </si>
  <si>
    <t>907000286</t>
  </si>
  <si>
    <t>SE00437</t>
  </si>
  <si>
    <t>BATIDO EASY VAINILLA BC</t>
  </si>
  <si>
    <t>MEZCLA P/ENGRASE MOLDES KILO</t>
  </si>
  <si>
    <t>Empaque</t>
  </si>
  <si>
    <t>ETIQ.FECHA VENCIMIENTO BLANCO (ROLLO)</t>
  </si>
  <si>
    <t>ETIPLAST</t>
  </si>
  <si>
    <t>ETIQUETA BLANCA 2 5/8X1 15/16 (UND)</t>
  </si>
  <si>
    <t>EM10259</t>
  </si>
  <si>
    <t>Plastico Autoaderible 1/ 18*2000</t>
  </si>
  <si>
    <t>metros</t>
  </si>
  <si>
    <t/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</si>
  <si>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</si>
  <si>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</si>
  <si>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desmoldar, colocar las bandejas en el coche y rapearlo con el plastico, dejando solamente la bandeja superior en bolsa plastica.</t>
  </si>
  <si>
    <t xml:space="preserve">4, Etiquetar </t>
  </si>
  <si>
    <t>2, Se actualizan pesos, datos receta y procedimiento.</t>
  </si>
  <si>
    <t>ESP-RE-BAF-118</t>
  </si>
  <si>
    <t>04</t>
  </si>
  <si>
    <t>SE00437 Batido Easy Vainilla BC</t>
  </si>
  <si>
    <t>Esteban Cartin, Gerente de Manufactura</t>
  </si>
  <si>
    <t># Codigo Netsuite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</si>
  <si>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</si>
  <si>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</si>
  <si>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</si>
  <si>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</si>
  <si>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</si>
  <si>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</si>
  <si>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</si>
  <si>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</si>
  <si>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</si>
  <si>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</si>
  <si>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</si>
  <si>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1212437</t>
  </si>
  <si>
    <t>MP10315</t>
  </si>
  <si>
    <t>Preservante Mixto</t>
  </si>
  <si>
    <t>PURATOS</t>
  </si>
  <si>
    <t>1.- Agregar todos los liquidos a la batidora, luego todos los polvos. Batir 1 min en velocidada 1. Usar paleta.</t>
  </si>
  <si>
    <t>2.- Subir a velocidad 2 y batir por 4 min.</t>
  </si>
  <si>
    <t>3.- Dosificar.</t>
  </si>
  <si>
    <t>2: Actualizacion del procedimiento.</t>
  </si>
  <si>
    <t>3: Se agrega mixo y cambia peso de la premezcla</t>
  </si>
  <si>
    <t>4: Cambia peso de la premezcla y cambio de procedimiento</t>
  </si>
  <si>
    <t>ESP-RE-PRES-023</t>
  </si>
  <si>
    <t>02</t>
  </si>
  <si>
    <t xml:space="preserve"> SE00436  Premezcla Easy vainilla BC</t>
  </si>
  <si>
    <t>Premezclas</t>
  </si>
  <si>
    <t>MP10491</t>
  </si>
  <si>
    <t>EASY VAINILLA BC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</si>
  <si>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</si>
  <si>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</si>
  <si>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</si>
  <si>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</si>
  <si>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</si>
  <si>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</si>
  <si>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</si>
  <si>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</si>
  <si>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</si>
  <si>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</si>
  <si>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</si>
  <si>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</si>
  <si>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</si>
  <si>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</si>
  <si>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MP10304</t>
  </si>
  <si>
    <t>POLVO HORNEAR FLEISHMAN (PAQ:2.5 K)</t>
  </si>
  <si>
    <t>FLEISHMAN</t>
  </si>
  <si>
    <t>1210445</t>
  </si>
  <si>
    <t>MP10142</t>
  </si>
  <si>
    <t>CLARA DE HUEVO DESHIDRATADA</t>
  </si>
  <si>
    <t>MP10517</t>
  </si>
  <si>
    <t>ACTI EGG</t>
  </si>
  <si>
    <t>MP10481</t>
  </si>
  <si>
    <t>Goma Xantana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</si>
  <si>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</si>
  <si>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</si>
  <si>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</si>
  <si>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</si>
  <si>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</si>
  <si>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</si>
  <si>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</si>
  <si>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</si>
  <si>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</si>
  <si>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</si>
  <si>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 y el actiegg. En una bolsa 17x25 empacar el azucar, y etiquetar.</t>
  </si>
  <si>
    <t>2.- En la otra bolsa 8x12 empacar el preservante, polvo de hornear. Colocar en la misma bolsa del harina.</t>
  </si>
  <si>
    <t>Revision #2: Se baja a la mitad el polvo de hornear y se agrega goma xantana</t>
  </si>
  <si>
    <t>ESP-RE-COCS-017</t>
  </si>
  <si>
    <t xml:space="preserve"> SE00005 - ALMIBAR</t>
  </si>
  <si>
    <t>Cocina</t>
  </si>
  <si>
    <t>SE00016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</si>
  <si>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</si>
  <si>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</si>
  <si>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</si>
  <si>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</si>
  <si>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</si>
  <si>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</si>
  <si>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</si>
  <si>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</si>
  <si>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DOS PINOS</t>
  </si>
  <si>
    <t>ASEAL</t>
  </si>
  <si>
    <t>PLAST. AUTOAD 18 * 2000</t>
  </si>
  <si>
    <t>90</t>
  </si>
  <si>
    <t>Cm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</si>
  <si>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</si>
  <si>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</si>
  <si>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</si>
  <si>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</si>
  <si>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Revision #2: Actualizacion del rendimiento de la receta. </t>
  </si>
  <si>
    <t>ESP-RE-DES-020</t>
  </si>
  <si>
    <t>Crema de Dulce de Leche(24500g) SE00032</t>
  </si>
  <si>
    <t>Decoracion</t>
  </si>
  <si>
    <t>MP10165</t>
  </si>
  <si>
    <t>CREMA BETTER DULCE LECHE RICH (UND:4 K)</t>
  </si>
  <si>
    <t>RICHS</t>
  </si>
  <si>
    <t>4 GALON</t>
  </si>
  <si>
    <t>MP10048</t>
  </si>
  <si>
    <t>CREMA PRESTIGE GRAND (UND:4 K)</t>
  </si>
  <si>
    <t>2 GALON</t>
  </si>
  <si>
    <t>1.- Colocar en la top cream, la crema de dulce de leche y la prestige y el agua con el preservante. (Cumpliendo un temperatura de 5° liquida)</t>
  </si>
  <si>
    <t>2.- Batir por 21 minutos.</t>
  </si>
  <si>
    <t xml:space="preserve">3,- Una vez lista a una temperatura de 18° batida, retirar, etiquetar y guardar hasta que sean usadas. </t>
  </si>
  <si>
    <t>2, Actualización tiempo de preparación y procedimiento</t>
  </si>
  <si>
    <t>ESP-RE-DES-016</t>
  </si>
  <si>
    <t xml:space="preserve"> Mezcla Sirope de Dulce de Leche(5350g) 910000006(SE00034)</t>
  </si>
  <si>
    <t>Postres</t>
  </si>
  <si>
    <t xml:space="preserve">MANJAR DE LECHE CONDENSADA </t>
  </si>
  <si>
    <t>1950765</t>
  </si>
  <si>
    <t>0702012</t>
  </si>
  <si>
    <t>EM10005</t>
  </si>
  <si>
    <t>ETIQ.FECHA VENCIMIENTO</t>
  </si>
  <si>
    <t>Unid</t>
  </si>
  <si>
    <t>1950705</t>
  </si>
  <si>
    <t xml:space="preserve">BOLSA 8x12 TRANSP </t>
  </si>
  <si>
    <t>PLASTICOS P</t>
  </si>
  <si>
    <t>Min.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</si>
  <si>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</si>
  <si>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</si>
  <si>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</si>
  <si>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>Cuenta con 2 dias de vida util despues de su elaboración, guardar los sobrantes en bolsasa plasticas en refigeración.</t>
  </si>
  <si>
    <t xml:space="preserve">2, Actualización datos de receta, procedimiento y pesos finales. </t>
  </si>
  <si>
    <t>ROSQUETE EASY VAINILLA BC 310 G</t>
  </si>
  <si>
    <t>MP10109</t>
  </si>
  <si>
    <t>Cereza Roja C/Tallo</t>
  </si>
  <si>
    <t>Hojas verdes de chocolate</t>
  </si>
  <si>
    <t>2 unidades</t>
  </si>
  <si>
    <t xml:space="preserve">2.-  Rellenar la primera capa con 1/2  taza manjar y esparcir bien y  colocar 1/2 taza de relleno de manzana </t>
  </si>
  <si>
    <t>3.- Colocar otra mitad de rosquete humedecido, agregar 1/2 taza de manjar y colocar 1/2 taza de relleno de manzana y tapar con la ultimo rosquete humedecido.</t>
  </si>
  <si>
    <t>5.- Realizar el colocho con la boquilla 4FT, en el centro agregar 1/2 taza de relleno de manzana manzana, colocar 1 cereza y dos hojas de chocolate y  espolvorear la canela en polvo.</t>
  </si>
  <si>
    <t>Sebastian Díaz, Gte Manufactura</t>
  </si>
  <si>
    <t>MP10886</t>
  </si>
  <si>
    <t>3.- Colocar otra mitad de rosquete humedecido, agregar 1/2 taza de manjar y colocar 1/2 taza de relleno de manzana y tapar con la ultimo rosquete 
humedecido.</t>
  </si>
  <si>
    <t>ESP-RE-DEF-048</t>
  </si>
  <si>
    <t>130g x capa</t>
  </si>
  <si>
    <t>2, Se actualiza datos de ingredientes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</si>
</sst>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8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b/>
      <sz val="10"/>
      <name val="Century Gothic"/>
      <family val="2"/>
    </font>
    <font>
      <b/>
      <i/>
      <sz val="12"/>
      <name val="Arial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.85"/>
      <color indexed="8"/>
      <name val="Arial"/>
      <family val="2"/>
    </font>
    <font>
      <sz val="10"/>
      <color indexed="8"/>
      <name val="Arial"/>
      <family val="2"/>
    </font>
    <font>
      <sz val="9.85"/>
      <color indexed="8"/>
      <name val="Times New Roman"/>
      <family val="1"/>
    </font>
    <font>
      <b/>
      <i/>
      <sz val="14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Century Gothic"/>
      <family val="2"/>
    </font>
    <font>
      <sz val="15"/>
      <color rgb="FF000000"/>
      <name val="Century Gothic"/>
      <family val="2"/>
    </font>
    <font>
      <sz val="15"/>
      <name val="Arial"/>
      <family val="2"/>
    </font>
    <font>
      <sz val="15"/>
      <color rgb="FF000000"/>
      <name val="Aptos Narrow"/>
      <family val="2"/>
      <scheme val="minor"/>
    </font>
    <font>
      <sz val="15"/>
      <color indexed="8"/>
      <name val="Century Gothic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007">
    <xf numFmtId="0" fontId="0" fillId="0" borderId="0" xfId="0"/>
    <xf numFmtId="0" fontId="0" fillId="0" borderId="15" xfId="0" applyBorder="1"/>
    <xf numFmtId="0" fontId="0" fillId="0" borderId="15" xfId="0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0" fontId="8" fillId="3" borderId="18" xfId="2" applyFont="1" applyFill="1" applyBorder="1" applyAlignment="1">
      <alignment horizontal="right"/>
    </xf>
    <xf numFmtId="0" fontId="7" fillId="3" borderId="17" xfId="2" applyFont="1" applyFill="1" applyBorder="1" applyAlignment="1">
      <alignment horizontal="center"/>
    </xf>
    <xf numFmtId="0" fontId="8" fillId="3" borderId="15" xfId="2" applyFont="1" applyFill="1" applyBorder="1" applyAlignment="1">
      <alignment horizontal="right"/>
    </xf>
    <xf numFmtId="49" fontId="7" fillId="3" borderId="14" xfId="2" applyNumberFormat="1" applyFont="1" applyFill="1" applyBorder="1" applyAlignment="1">
      <alignment horizontal="center"/>
    </xf>
    <xf numFmtId="0" fontId="7" fillId="3" borderId="11" xfId="2" applyFont="1" applyFill="1" applyBorder="1" applyAlignment="1">
      <alignment horizontal="right"/>
    </xf>
    <xf numFmtId="0" fontId="7" fillId="3" borderId="15" xfId="2" applyFont="1" applyFill="1" applyBorder="1" applyAlignment="1">
      <alignment horizontal="right"/>
    </xf>
    <xf numFmtId="14" fontId="10" fillId="3" borderId="0" xfId="2" applyNumberFormat="1" applyFont="1" applyFill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1" fontId="8" fillId="2" borderId="2" xfId="1" applyNumberFormat="1" applyFont="1" applyFill="1" applyBorder="1" applyAlignment="1">
      <alignment horizontal="center"/>
    </xf>
    <xf numFmtId="1" fontId="8" fillId="2" borderId="2" xfId="1" applyNumberFormat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  <xf numFmtId="0" fontId="11" fillId="0" borderId="1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1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0" fontId="6" fillId="0" borderId="14" xfId="1" applyFont="1" applyBorder="1" applyAlignment="1">
      <alignment horizontal="center"/>
    </xf>
    <xf numFmtId="49" fontId="6" fillId="4" borderId="15" xfId="0" applyNumberFormat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/>
    <xf numFmtId="1" fontId="7" fillId="0" borderId="15" xfId="0" applyNumberFormat="1" applyFont="1" applyBorder="1" applyAlignment="1">
      <alignment horizontal="center" wrapText="1"/>
    </xf>
    <xf numFmtId="165" fontId="3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3" fillId="0" borderId="15" xfId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49" fontId="6" fillId="4" borderId="15" xfId="0" applyNumberFormat="1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right"/>
    </xf>
    <xf numFmtId="0" fontId="7" fillId="0" borderId="15" xfId="0" quotePrefix="1" applyFont="1" applyBorder="1"/>
    <xf numFmtId="0" fontId="6" fillId="0" borderId="15" xfId="0" applyFont="1" applyBorder="1"/>
    <xf numFmtId="0" fontId="13" fillId="0" borderId="0" xfId="0" applyFont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49" fontId="14" fillId="3" borderId="21" xfId="1" applyNumberFormat="1" applyFont="1" applyFill="1" applyBorder="1" applyAlignment="1">
      <alignment horizontal="center" vertical="center"/>
    </xf>
    <xf numFmtId="49" fontId="14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20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7" fillId="2" borderId="38" xfId="1" applyFont="1" applyFill="1" applyBorder="1"/>
    <xf numFmtId="0" fontId="8" fillId="2" borderId="38" xfId="1" applyFont="1" applyFill="1" applyBorder="1" applyAlignment="1">
      <alignment horizontal="center"/>
    </xf>
    <xf numFmtId="1" fontId="8" fillId="2" borderId="38" xfId="1" applyNumberFormat="1" applyFont="1" applyFill="1" applyBorder="1" applyAlignment="1">
      <alignment horizontal="center"/>
    </xf>
    <xf numFmtId="164" fontId="7" fillId="2" borderId="38" xfId="1" applyNumberFormat="1" applyFont="1" applyFill="1" applyBorder="1" applyAlignment="1">
      <alignment horizontal="center" wrapText="1"/>
    </xf>
    <xf numFmtId="0" fontId="7" fillId="2" borderId="39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/>
    </xf>
    <xf numFmtId="0" fontId="18" fillId="0" borderId="15" xfId="0" applyFont="1" applyBorder="1"/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49" fontId="2" fillId="4" borderId="15" xfId="0" applyNumberFormat="1" applyFont="1" applyFill="1" applyBorder="1"/>
    <xf numFmtId="1" fontId="2" fillId="4" borderId="15" xfId="0" applyNumberFormat="1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/>
    </xf>
    <xf numFmtId="49" fontId="19" fillId="4" borderId="15" xfId="0" applyNumberFormat="1" applyFont="1" applyFill="1" applyBorder="1"/>
    <xf numFmtId="16" fontId="2" fillId="4" borderId="15" xfId="0" applyNumberFormat="1" applyFont="1" applyFill="1" applyBorder="1" applyAlignment="1">
      <alignment horizontal="center"/>
    </xf>
    <xf numFmtId="0" fontId="18" fillId="0" borderId="15" xfId="0" quotePrefix="1" applyFont="1" applyBorder="1"/>
    <xf numFmtId="49" fontId="2" fillId="0" borderId="15" xfId="0" applyNumberFormat="1" applyFont="1" applyBorder="1"/>
    <xf numFmtId="49" fontId="19" fillId="0" borderId="15" xfId="0" applyNumberFormat="1" applyFont="1" applyBorder="1" applyAlignment="1">
      <alignment horizontal="left"/>
    </xf>
    <xf numFmtId="49" fontId="2" fillId="0" borderId="15" xfId="1" applyNumberFormat="1" applyFont="1" applyBorder="1"/>
    <xf numFmtId="49" fontId="19" fillId="0" borderId="15" xfId="1" applyNumberFormat="1" applyFont="1" applyBorder="1" applyAlignment="1">
      <alignment horizontal="center"/>
    </xf>
    <xf numFmtId="0" fontId="20" fillId="4" borderId="15" xfId="1" applyFont="1" applyFill="1" applyBorder="1" applyAlignment="1">
      <alignment vertical="center"/>
    </xf>
    <xf numFmtId="0" fontId="19" fillId="0" borderId="15" xfId="1" applyFont="1" applyBorder="1" applyAlignment="1">
      <alignment horizontal="center"/>
    </xf>
    <xf numFmtId="1" fontId="19" fillId="0" borderId="15" xfId="1" applyNumberFormat="1" applyFont="1" applyBorder="1" applyAlignment="1">
      <alignment horizontal="center"/>
    </xf>
    <xf numFmtId="1" fontId="19" fillId="0" borderId="15" xfId="1" applyNumberFormat="1" applyFont="1" applyBorder="1" applyAlignment="1">
      <alignment horizontal="center" wrapText="1"/>
    </xf>
    <xf numFmtId="12" fontId="5" fillId="0" borderId="15" xfId="0" applyNumberFormat="1" applyFont="1" applyBorder="1" applyAlignment="1">
      <alignment horizontal="center"/>
    </xf>
    <xf numFmtId="49" fontId="2" fillId="7" borderId="15" xfId="0" applyNumberFormat="1" applyFont="1" applyFill="1" applyBorder="1"/>
    <xf numFmtId="0" fontId="18" fillId="7" borderId="15" xfId="0" applyFont="1" applyFill="1" applyBorder="1"/>
    <xf numFmtId="12" fontId="5" fillId="0" borderId="15" xfId="0" applyNumberFormat="1" applyFont="1" applyBorder="1"/>
    <xf numFmtId="0" fontId="18" fillId="4" borderId="15" xfId="0" applyFont="1" applyFill="1" applyBorder="1"/>
    <xf numFmtId="0" fontId="21" fillId="4" borderId="15" xfId="1" applyFont="1" applyFill="1" applyBorder="1" applyAlignment="1">
      <alignment vertical="center"/>
    </xf>
    <xf numFmtId="49" fontId="2" fillId="0" borderId="15" xfId="1" applyNumberFormat="1" applyFont="1" applyBorder="1" applyAlignment="1">
      <alignment horizontal="left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0" fontId="22" fillId="4" borderId="0" xfId="0" applyFont="1" applyFill="1" applyAlignment="1">
      <alignment vertical="center"/>
    </xf>
    <xf numFmtId="0" fontId="23" fillId="8" borderId="15" xfId="0" applyFont="1" applyFill="1" applyBorder="1" applyAlignment="1">
      <alignment horizontal="center" vertical="center" wrapText="1"/>
    </xf>
    <xf numFmtId="0" fontId="23" fillId="8" borderId="1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3" fontId="23" fillId="0" borderId="15" xfId="5" applyFont="1" applyFill="1" applyBorder="1" applyAlignment="1">
      <alignment horizontal="center" vertical="center"/>
    </xf>
    <xf numFmtId="43" fontId="23" fillId="0" borderId="0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7" fontId="28" fillId="0" borderId="0" xfId="0" applyNumberFormat="1" applyFont="1" applyAlignment="1">
      <alignment horizontal="center" vertical="center" wrapText="1"/>
    </xf>
    <xf numFmtId="0" fontId="23" fillId="9" borderId="47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6" applyNumberFormat="1" applyFont="1" applyFill="1" applyAlignment="1">
      <alignment horizontal="center" vertical="center"/>
    </xf>
    <xf numFmtId="4" fontId="23" fillId="0" borderId="0" xfId="6" applyNumberFormat="1" applyFont="1" applyFill="1" applyAlignment="1">
      <alignment horizontal="center" vertical="center"/>
    </xf>
    <xf numFmtId="10" fontId="23" fillId="0" borderId="0" xfId="7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4" fillId="0" borderId="0" xfId="7" applyNumberFormat="1" applyFont="1" applyFill="1" applyAlignment="1">
      <alignment vertical="center"/>
    </xf>
    <xf numFmtId="0" fontId="22" fillId="0" borderId="0" xfId="0" applyFont="1"/>
    <xf numFmtId="49" fontId="23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43" fontId="22" fillId="0" borderId="0" xfId="5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3" fontId="31" fillId="0" borderId="0" xfId="5" applyFont="1" applyFill="1" applyAlignment="1">
      <alignment horizontal="center" vertical="center"/>
    </xf>
    <xf numFmtId="10" fontId="24" fillId="9" borderId="50" xfId="7" applyNumberFormat="1" applyFont="1" applyFill="1" applyBorder="1" applyAlignment="1">
      <alignment vertical="center"/>
    </xf>
    <xf numFmtId="0" fontId="22" fillId="9" borderId="38" xfId="0" applyFont="1" applyFill="1" applyBorder="1" applyAlignment="1">
      <alignment vertical="center"/>
    </xf>
    <xf numFmtId="0" fontId="22" fillId="9" borderId="50" xfId="0" applyFont="1" applyFill="1" applyBorder="1" applyAlignment="1">
      <alignment vertical="center"/>
    </xf>
    <xf numFmtId="43" fontId="31" fillId="9" borderId="51" xfId="5" applyFont="1" applyFill="1" applyBorder="1" applyAlignment="1">
      <alignment horizontal="center" vertical="center"/>
    </xf>
    <xf numFmtId="43" fontId="33" fillId="0" borderId="0" xfId="5" applyFont="1" applyFill="1" applyBorder="1" applyAlignment="1">
      <alignment horizontal="right"/>
    </xf>
    <xf numFmtId="0" fontId="22" fillId="9" borderId="51" xfId="0" applyFont="1" applyFill="1" applyBorder="1" applyAlignment="1">
      <alignment vertical="center"/>
    </xf>
    <xf numFmtId="10" fontId="24" fillId="9" borderId="51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7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5" applyNumberFormat="1" applyFont="1" applyFill="1" applyAlignment="1">
      <alignment vertical="center"/>
    </xf>
    <xf numFmtId="4" fontId="31" fillId="0" borderId="0" xfId="6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20" xfId="0" applyFont="1" applyBorder="1" applyAlignment="1">
      <alignment horizontal="right"/>
    </xf>
    <xf numFmtId="43" fontId="37" fillId="5" borderId="52" xfId="5" applyFont="1" applyFill="1" applyBorder="1" applyAlignment="1">
      <alignment horizontal="right"/>
    </xf>
    <xf numFmtId="43" fontId="37" fillId="0" borderId="0" xfId="5" applyFont="1" applyFill="1" applyBorder="1" applyAlignment="1">
      <alignment horizontal="right"/>
    </xf>
    <xf numFmtId="43" fontId="23" fillId="0" borderId="15" xfId="5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6" applyNumberFormat="1" applyFont="1" applyFill="1" applyAlignment="1">
      <alignment horizontal="center" vertical="center"/>
    </xf>
    <xf numFmtId="10" fontId="39" fillId="0" borderId="0" xfId="7" applyNumberFormat="1" applyFont="1" applyFill="1" applyAlignment="1">
      <alignment horizontal="right"/>
    </xf>
    <xf numFmtId="169" fontId="23" fillId="9" borderId="15" xfId="5" applyNumberFormat="1" applyFont="1" applyFill="1" applyBorder="1" applyAlignment="1">
      <alignment vertical="center"/>
    </xf>
    <xf numFmtId="4" fontId="22" fillId="0" borderId="0" xfId="0" applyNumberFormat="1" applyFont="1" applyAlignment="1">
      <alignment horizontal="center" vertical="center"/>
    </xf>
    <xf numFmtId="43" fontId="23" fillId="10" borderId="15" xfId="5" applyFont="1" applyFill="1" applyBorder="1" applyAlignment="1">
      <alignment vertical="center"/>
    </xf>
    <xf numFmtId="166" fontId="40" fillId="0" borderId="0" xfId="0" applyNumberFormat="1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4" fillId="9" borderId="53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5" applyNumberFormat="1" applyFont="1" applyFill="1" applyBorder="1" applyAlignment="1">
      <alignment horizontal="center"/>
    </xf>
    <xf numFmtId="2" fontId="36" fillId="0" borderId="0" xfId="5" applyNumberFormat="1" applyFont="1" applyFill="1" applyBorder="1" applyAlignment="1">
      <alignment horizontal="center"/>
    </xf>
    <xf numFmtId="0" fontId="22" fillId="9" borderId="53" xfId="0" applyFont="1" applyFill="1" applyBorder="1" applyAlignment="1">
      <alignment vertical="center"/>
    </xf>
    <xf numFmtId="10" fontId="22" fillId="0" borderId="0" xfId="7" applyNumberFormat="1" applyFont="1" applyFill="1" applyAlignment="1">
      <alignment vertical="center"/>
    </xf>
    <xf numFmtId="4" fontId="22" fillId="0" borderId="0" xfId="5" applyNumberFormat="1" applyFont="1" applyFill="1" applyAlignment="1">
      <alignment vertical="center"/>
    </xf>
    <xf numFmtId="43" fontId="37" fillId="9" borderId="38" xfId="5" applyFont="1" applyFill="1" applyBorder="1" applyAlignment="1">
      <alignment horizontal="right"/>
    </xf>
    <xf numFmtId="0" fontId="23" fillId="9" borderId="39" xfId="0" applyFont="1" applyFill="1" applyBorder="1" applyAlignment="1">
      <alignment horizontal="right" vertical="center"/>
    </xf>
    <xf numFmtId="10" fontId="43" fillId="0" borderId="0" xfId="5" applyNumberFormat="1" applyFont="1" applyFill="1" applyAlignment="1">
      <alignment vertical="center"/>
    </xf>
    <xf numFmtId="10" fontId="24" fillId="0" borderId="0" xfId="7" applyNumberFormat="1" applyFont="1" applyFill="1" applyBorder="1" applyAlignment="1">
      <alignment vertical="center"/>
    </xf>
    <xf numFmtId="166" fontId="44" fillId="0" borderId="0" xfId="0" applyNumberFormat="1" applyFont="1" applyAlignment="1">
      <alignment horizontal="center" vertical="center"/>
    </xf>
    <xf numFmtId="0" fontId="22" fillId="4" borderId="52" xfId="0" applyFont="1" applyFill="1" applyBorder="1" applyAlignment="1">
      <alignment horizontal="center" vertical="center"/>
    </xf>
    <xf numFmtId="43" fontId="45" fillId="0" borderId="0" xfId="5" applyFont="1" applyFill="1" applyAlignment="1">
      <alignment vertical="center"/>
    </xf>
    <xf numFmtId="4" fontId="46" fillId="0" borderId="0" xfId="6" applyNumberFormat="1" applyFont="1" applyFill="1" applyAlignment="1">
      <alignment horizontal="center" vertical="center" wrapText="1"/>
    </xf>
    <xf numFmtId="9" fontId="22" fillId="0" borderId="0" xfId="5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5" applyNumberFormat="1" applyFont="1" applyFill="1" applyAlignment="1">
      <alignment vertical="center"/>
    </xf>
    <xf numFmtId="4" fontId="23" fillId="12" borderId="52" xfId="5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5" applyFont="1" applyFill="1" applyAlignment="1">
      <alignment vertical="center"/>
    </xf>
    <xf numFmtId="9" fontId="47" fillId="0" borderId="0" xfId="5" applyNumberFormat="1" applyFont="1" applyFill="1" applyAlignment="1">
      <alignment vertical="center"/>
    </xf>
    <xf numFmtId="4" fontId="23" fillId="0" borderId="0" xfId="5" applyNumberFormat="1" applyFont="1" applyFill="1" applyAlignment="1">
      <alignment horizontal="center" vertical="center"/>
    </xf>
    <xf numFmtId="10" fontId="40" fillId="0" borderId="0" xfId="7" applyNumberFormat="1" applyFont="1" applyFill="1" applyAlignment="1">
      <alignment vertical="center"/>
    </xf>
    <xf numFmtId="43" fontId="40" fillId="0" borderId="0" xfId="5" applyFont="1" applyFill="1" applyBorder="1" applyAlignment="1">
      <alignment vertical="center"/>
    </xf>
    <xf numFmtId="4" fontId="22" fillId="0" borderId="0" xfId="0" applyNumberFormat="1" applyFont="1" applyAlignment="1">
      <alignment horizontal="center"/>
    </xf>
    <xf numFmtId="43" fontId="22" fillId="0" borderId="0" xfId="5" applyFont="1" applyFill="1" applyBorder="1"/>
    <xf numFmtId="10" fontId="40" fillId="0" borderId="0" xfId="7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22" fillId="0" borderId="0" xfId="5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6" fontId="23" fillId="0" borderId="0" xfId="0" applyNumberFormat="1" applyFont="1"/>
    <xf numFmtId="0" fontId="18" fillId="0" borderId="0" xfId="0" quotePrefix="1" applyFont="1"/>
    <xf numFmtId="0" fontId="15" fillId="3" borderId="18" xfId="2" applyFont="1" applyFill="1" applyBorder="1" applyAlignment="1">
      <alignment horizontal="right"/>
    </xf>
    <xf numFmtId="0" fontId="1" fillId="3" borderId="17" xfId="2" applyFont="1" applyFill="1" applyBorder="1" applyAlignment="1">
      <alignment horizontal="center"/>
    </xf>
    <xf numFmtId="170" fontId="2" fillId="0" borderId="15" xfId="0" applyNumberFormat="1" applyFont="1" applyBorder="1" applyAlignment="1">
      <alignment horizontal="center"/>
    </xf>
    <xf numFmtId="1" fontId="0" fillId="0" borderId="0" xfId="0" applyNumberFormat="1"/>
    <xf numFmtId="0" fontId="15" fillId="3" borderId="15" xfId="2" applyFont="1" applyFill="1" applyBorder="1" applyAlignment="1">
      <alignment horizontal="right"/>
    </xf>
    <xf numFmtId="49" fontId="5" fillId="3" borderId="14" xfId="2" applyNumberFormat="1" applyFont="1" applyFill="1" applyBorder="1" applyAlignment="1">
      <alignment horizontal="center"/>
    </xf>
    <xf numFmtId="0" fontId="5" fillId="3" borderId="11" xfId="2" applyFont="1" applyFill="1" applyBorder="1" applyAlignment="1">
      <alignment horizontal="right"/>
    </xf>
    <xf numFmtId="0" fontId="5" fillId="3" borderId="15" xfId="2" applyFont="1" applyFill="1" applyBorder="1" applyAlignment="1">
      <alignment horizontal="right"/>
    </xf>
    <xf numFmtId="14" fontId="53" fillId="3" borderId="0" xfId="2" applyNumberFormat="1" applyFont="1" applyFill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1" fontId="15" fillId="2" borderId="2" xfId="1" applyNumberFormat="1" applyFont="1" applyFill="1" applyBorder="1" applyAlignment="1">
      <alignment horizontal="center"/>
    </xf>
    <xf numFmtId="1" fontId="15" fillId="2" borderId="2" xfId="1" applyNumberFormat="1" applyFont="1" applyFill="1" applyBorder="1" applyAlignment="1">
      <alignment horizontal="center" wrapText="1"/>
    </xf>
    <xf numFmtId="0" fontId="15" fillId="2" borderId="1" xfId="1" applyFont="1" applyFill="1" applyBorder="1" applyAlignment="1">
      <alignment horizontal="center"/>
    </xf>
    <xf numFmtId="0" fontId="19" fillId="0" borderId="16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20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/>
    </xf>
    <xf numFmtId="1" fontId="0" fillId="0" borderId="15" xfId="0" applyNumberFormat="1" applyBorder="1"/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12" fontId="5" fillId="0" borderId="11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0" fontId="11" fillId="4" borderId="15" xfId="1" applyFont="1" applyFill="1" applyBorder="1" applyAlignment="1">
      <alignment horizontal="left"/>
    </xf>
    <xf numFmtId="0" fontId="5" fillId="4" borderId="15" xfId="1" applyFont="1" applyFill="1" applyBorder="1" applyAlignment="1">
      <alignment horizontal="center"/>
    </xf>
    <xf numFmtId="1" fontId="0" fillId="0" borderId="8" xfId="0" applyNumberFormat="1" applyBorder="1"/>
    <xf numFmtId="0" fontId="2" fillId="0" borderId="15" xfId="1" applyFont="1" applyBorder="1" applyAlignment="1">
      <alignment horizontal="center"/>
    </xf>
    <xf numFmtId="170" fontId="2" fillId="0" borderId="15" xfId="1" applyNumberFormat="1" applyFont="1" applyBorder="1" applyAlignment="1">
      <alignment horizontal="center"/>
    </xf>
    <xf numFmtId="0" fontId="54" fillId="4" borderId="16" xfId="0" applyFont="1" applyFill="1" applyBorder="1" applyAlignment="1">
      <alignment horizontal="center"/>
    </xf>
    <xf numFmtId="0" fontId="54" fillId="4" borderId="12" xfId="0" applyFont="1" applyFill="1" applyBorder="1" applyAlignment="1">
      <alignment horizontal="center"/>
    </xf>
    <xf numFmtId="0" fontId="54" fillId="4" borderId="11" xfId="0" applyFont="1" applyFill="1" applyBorder="1"/>
    <xf numFmtId="0" fontId="5" fillId="4" borderId="8" xfId="0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 wrapText="1"/>
    </xf>
    <xf numFmtId="16" fontId="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49" fontId="19" fillId="0" borderId="7" xfId="1" applyNumberFormat="1" applyFont="1" applyBorder="1" applyAlignment="1">
      <alignment horizontal="center"/>
    </xf>
    <xf numFmtId="49" fontId="19" fillId="0" borderId="6" xfId="1" applyNumberFormat="1" applyFont="1" applyBorder="1" applyAlignment="1">
      <alignment horizontal="center"/>
    </xf>
    <xf numFmtId="0" fontId="12" fillId="4" borderId="15" xfId="1" applyFont="1" applyFill="1" applyBorder="1" applyAlignment="1">
      <alignment vertical="center"/>
    </xf>
    <xf numFmtId="0" fontId="19" fillId="0" borderId="8" xfId="1" applyFont="1" applyBorder="1" applyAlignment="1">
      <alignment horizontal="center"/>
    </xf>
    <xf numFmtId="170" fontId="19" fillId="0" borderId="15" xfId="1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3" fillId="0" borderId="15" xfId="0" applyNumberFormat="1" applyFont="1" applyBorder="1"/>
    <xf numFmtId="171" fontId="15" fillId="4" borderId="15" xfId="5" applyNumberFormat="1" applyFont="1" applyFill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2" fillId="0" borderId="15" xfId="1" applyNumberFormat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0" fontId="5" fillId="0" borderId="15" xfId="0" quotePrefix="1" applyFont="1" applyBorder="1"/>
    <xf numFmtId="49" fontId="55" fillId="3" borderId="21" xfId="1" applyNumberFormat="1" applyFont="1" applyFill="1" applyBorder="1" applyAlignment="1">
      <alignment horizontal="center" vertical="center"/>
    </xf>
    <xf numFmtId="49" fontId="55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1" fontId="5" fillId="3" borderId="0" xfId="1" applyNumberFormat="1" applyFont="1" applyFill="1" applyAlignment="1">
      <alignment horizontal="center"/>
    </xf>
    <xf numFmtId="164" fontId="5" fillId="3" borderId="0" xfId="1" applyNumberFormat="1" applyFont="1" applyFill="1" applyAlignment="1">
      <alignment horizontal="center" wrapText="1"/>
    </xf>
    <xf numFmtId="0" fontId="5" fillId="3" borderId="20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5" fillId="2" borderId="38" xfId="1" applyFont="1" applyFill="1" applyBorder="1"/>
    <xf numFmtId="0" fontId="15" fillId="2" borderId="38" xfId="1" applyFont="1" applyFill="1" applyBorder="1" applyAlignment="1">
      <alignment horizontal="center"/>
    </xf>
    <xf numFmtId="1" fontId="15" fillId="2" borderId="38" xfId="1" applyNumberFormat="1" applyFont="1" applyFill="1" applyBorder="1" applyAlignment="1">
      <alignment horizontal="center"/>
    </xf>
    <xf numFmtId="164" fontId="5" fillId="2" borderId="38" xfId="1" applyNumberFormat="1" applyFont="1" applyFill="1" applyBorder="1" applyAlignment="1">
      <alignment horizontal="center" wrapText="1"/>
    </xf>
    <xf numFmtId="0" fontId="5" fillId="2" borderId="39" xfId="1" applyFont="1" applyFill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8" fillId="3" borderId="18" xfId="2" applyFont="1" applyFill="1" applyBorder="1" applyAlignment="1">
      <alignment horizontal="right"/>
    </xf>
    <xf numFmtId="0" fontId="1" fillId="3" borderId="0" xfId="0" applyFont="1" applyFill="1"/>
    <xf numFmtId="0" fontId="58" fillId="3" borderId="15" xfId="2" applyFont="1" applyFill="1" applyBorder="1" applyAlignment="1">
      <alignment horizontal="right"/>
    </xf>
    <xf numFmtId="49" fontId="0" fillId="3" borderId="14" xfId="2" applyNumberFormat="1" applyFont="1" applyFill="1" applyBorder="1" applyAlignment="1">
      <alignment horizontal="center"/>
    </xf>
    <xf numFmtId="0" fontId="1" fillId="3" borderId="15" xfId="2" applyFont="1" applyFill="1" applyBorder="1" applyAlignment="1">
      <alignment horizontal="right"/>
    </xf>
    <xf numFmtId="0" fontId="1" fillId="3" borderId="2" xfId="2" applyFont="1" applyFill="1" applyBorder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left"/>
    </xf>
    <xf numFmtId="0" fontId="58" fillId="3" borderId="0" xfId="2" applyFont="1" applyFill="1" applyAlignment="1">
      <alignment horizontal="right" vertical="top" wrapText="1"/>
    </xf>
    <xf numFmtId="14" fontId="1" fillId="3" borderId="0" xfId="2" applyNumberFormat="1" applyFont="1" applyFill="1" applyAlignment="1">
      <alignment horizontal="center" vertical="center" wrapText="1"/>
    </xf>
    <xf numFmtId="0" fontId="58" fillId="2" borderId="17" xfId="0" applyFont="1" applyFill="1" applyBorder="1" applyAlignment="1">
      <alignment horizontal="center" vertical="center" wrapText="1"/>
    </xf>
    <xf numFmtId="1" fontId="58" fillId="2" borderId="29" xfId="0" applyNumberFormat="1" applyFont="1" applyFill="1" applyBorder="1" applyAlignment="1">
      <alignment horizontal="center"/>
    </xf>
    <xf numFmtId="1" fontId="58" fillId="2" borderId="2" xfId="0" applyNumberFormat="1" applyFont="1" applyFill="1" applyBorder="1" applyAlignment="1">
      <alignment horizontal="center" wrapText="1"/>
    </xf>
    <xf numFmtId="1" fontId="58" fillId="2" borderId="2" xfId="0" applyNumberFormat="1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59" fillId="0" borderId="15" xfId="0" applyFont="1" applyBorder="1" applyAlignment="1">
      <alignment horizontal="center" vertical="center"/>
    </xf>
    <xf numFmtId="0" fontId="22" fillId="0" borderId="15" xfId="0" applyFont="1" applyBorder="1"/>
    <xf numFmtId="0" fontId="6" fillId="0" borderId="11" xfId="0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0" fontId="58" fillId="4" borderId="10" xfId="0" applyFon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49" fontId="60" fillId="3" borderId="21" xfId="0" applyNumberFormat="1" applyFont="1" applyFill="1" applyBorder="1" applyAlignment="1">
      <alignment horizontal="center" vertical="center"/>
    </xf>
    <xf numFmtId="49" fontId="60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 wrapText="1"/>
    </xf>
    <xf numFmtId="0" fontId="1" fillId="3" borderId="20" xfId="0" applyFont="1" applyFill="1" applyBorder="1" applyAlignment="1">
      <alignment horizontal="center"/>
    </xf>
    <xf numFmtId="0" fontId="1" fillId="3" borderId="0" xfId="0" applyFont="1" applyFill="1" applyAlignment="1">
      <alignment horizontal="left" indent="1"/>
    </xf>
    <xf numFmtId="0" fontId="1" fillId="2" borderId="43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8" xfId="0" applyFont="1" applyFill="1" applyBorder="1"/>
    <xf numFmtId="0" fontId="58" fillId="2" borderId="38" xfId="0" applyFont="1" applyFill="1" applyBorder="1" applyAlignment="1">
      <alignment horizontal="center"/>
    </xf>
    <xf numFmtId="1" fontId="58" fillId="2" borderId="38" xfId="0" applyNumberFormat="1" applyFont="1" applyFill="1" applyBorder="1" applyAlignment="1">
      <alignment horizontal="center"/>
    </xf>
    <xf numFmtId="164" fontId="1" fillId="2" borderId="38" xfId="0" applyNumberFormat="1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3" borderId="0" xfId="1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0" fillId="3" borderId="0" xfId="0" applyFont="1" applyFill="1" applyAlignment="1">
      <alignment vertical="center"/>
    </xf>
    <xf numFmtId="0" fontId="5" fillId="3" borderId="17" xfId="2" applyFont="1" applyFill="1" applyBorder="1" applyAlignment="1">
      <alignment horizontal="center"/>
    </xf>
    <xf numFmtId="0" fontId="1" fillId="0" borderId="61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62" xfId="1" applyBorder="1" applyAlignment="1">
      <alignment horizontal="left" vertical="center"/>
    </xf>
    <xf numFmtId="16" fontId="5" fillId="0" borderId="11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0" fontId="5" fillId="0" borderId="9" xfId="1" quotePrefix="1" applyFont="1" applyBorder="1" applyAlignment="1">
      <alignment horizontal="center"/>
    </xf>
    <xf numFmtId="0" fontId="5" fillId="0" borderId="15" xfId="1" quotePrefix="1" applyFont="1" applyBorder="1" applyAlignment="1">
      <alignment horizontal="center"/>
    </xf>
    <xf numFmtId="0" fontId="5" fillId="0" borderId="8" xfId="1" quotePrefix="1" applyFont="1" applyBorder="1"/>
    <xf numFmtId="16" fontId="5" fillId="0" borderId="15" xfId="1" applyNumberFormat="1" applyFont="1" applyBorder="1" applyAlignment="1">
      <alignment horizontal="center"/>
    </xf>
    <xf numFmtId="0" fontId="0" fillId="0" borderId="15" xfId="0" applyBorder="1" applyAlignment="1">
      <alignment horizontal="left"/>
    </xf>
    <xf numFmtId="0" fontId="61" fillId="0" borderId="15" xfId="0" applyFont="1" applyBorder="1" applyAlignment="1">
      <alignment horizontal="center" vertical="center"/>
    </xf>
    <xf numFmtId="0" fontId="11" fillId="0" borderId="15" xfId="0" applyFont="1" applyBorder="1"/>
    <xf numFmtId="0" fontId="21" fillId="0" borderId="8" xfId="0" applyFont="1" applyBorder="1" applyAlignment="1">
      <alignment horizontal="center"/>
    </xf>
    <xf numFmtId="0" fontId="47" fillId="0" borderId="15" xfId="0" applyFont="1" applyBorder="1"/>
    <xf numFmtId="49" fontId="22" fillId="0" borderId="15" xfId="0" applyNumberFormat="1" applyFont="1" applyBorder="1"/>
    <xf numFmtId="49" fontId="22" fillId="0" borderId="15" xfId="1" applyNumberFormat="1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" fontId="2" fillId="4" borderId="11" xfId="0" applyNumberFormat="1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2" fontId="19" fillId="0" borderId="15" xfId="1" applyNumberFormat="1" applyFont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0" fontId="1" fillId="0" borderId="16" xfId="4" applyBorder="1" applyAlignment="1">
      <alignment horizontal="center"/>
    </xf>
    <xf numFmtId="0" fontId="1" fillId="0" borderId="15" xfId="1" applyBorder="1" applyAlignment="1">
      <alignment horizontal="center"/>
    </xf>
    <xf numFmtId="0" fontId="1" fillId="4" borderId="15" xfId="4" applyFill="1" applyBorder="1"/>
    <xf numFmtId="16" fontId="2" fillId="0" borderId="15" xfId="4" applyNumberFormat="1" applyFont="1" applyBorder="1" applyAlignment="1">
      <alignment horizontal="center"/>
    </xf>
    <xf numFmtId="49" fontId="2" fillId="4" borderId="16" xfId="1" applyNumberFormat="1" applyFont="1" applyFill="1" applyBorder="1" applyAlignment="1">
      <alignment horizontal="center"/>
    </xf>
    <xf numFmtId="49" fontId="2" fillId="4" borderId="8" xfId="1" applyNumberFormat="1" applyFont="1" applyFill="1" applyBorder="1" applyAlignment="1">
      <alignment horizontal="center"/>
    </xf>
    <xf numFmtId="49" fontId="22" fillId="4" borderId="15" xfId="1" applyNumberFormat="1" applyFont="1" applyFill="1" applyBorder="1"/>
    <xf numFmtId="0" fontId="1" fillId="0" borderId="0" xfId="1"/>
    <xf numFmtId="0" fontId="5" fillId="3" borderId="0" xfId="1" applyFont="1" applyFill="1" applyAlignment="1">
      <alignment horizontal="left" indent="1"/>
    </xf>
    <xf numFmtId="9" fontId="5" fillId="3" borderId="0" xfId="12" applyFont="1" applyFill="1"/>
    <xf numFmtId="0" fontId="63" fillId="4" borderId="16" xfId="0" applyFont="1" applyFill="1" applyBorder="1" applyAlignment="1">
      <alignment horizontal="center"/>
    </xf>
    <xf numFmtId="0" fontId="63" fillId="4" borderId="15" xfId="0" applyFont="1" applyFill="1" applyBorder="1" applyAlignment="1">
      <alignment horizontal="center"/>
    </xf>
    <xf numFmtId="0" fontId="63" fillId="4" borderId="11" xfId="0" applyFont="1" applyFill="1" applyBorder="1"/>
    <xf numFmtId="0" fontId="7" fillId="4" borderId="8" xfId="0" applyFont="1" applyFill="1" applyBorder="1" applyAlignment="1">
      <alignment horizontal="center"/>
    </xf>
    <xf numFmtId="1" fontId="7" fillId="4" borderId="15" xfId="0" applyNumberFormat="1" applyFont="1" applyFill="1" applyBorder="1" applyAlignment="1">
      <alignment horizontal="center"/>
    </xf>
    <xf numFmtId="1" fontId="7" fillId="4" borderId="15" xfId="0" applyNumberFormat="1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12" fontId="7" fillId="0" borderId="11" xfId="0" applyNumberFormat="1" applyFont="1" applyBorder="1" applyAlignment="1">
      <alignment horizontal="center"/>
    </xf>
    <xf numFmtId="0" fontId="63" fillId="4" borderId="8" xfId="0" applyFont="1" applyFill="1" applyBorder="1" applyAlignment="1">
      <alignment horizontal="center"/>
    </xf>
    <xf numFmtId="0" fontId="63" fillId="4" borderId="15" xfId="0" applyFont="1" applyFill="1" applyBorder="1"/>
    <xf numFmtId="1" fontId="7" fillId="4" borderId="11" xfId="0" applyNumberFormat="1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0" borderId="15" xfId="0" applyFont="1" applyBorder="1" applyAlignment="1">
      <alignment horizontal="center" vertical="center"/>
    </xf>
    <xf numFmtId="0" fontId="64" fillId="13" borderId="15" xfId="0" applyFont="1" applyFill="1" applyBorder="1"/>
    <xf numFmtId="0" fontId="7" fillId="0" borderId="15" xfId="0" applyFont="1" applyBorder="1" applyAlignment="1">
      <alignment horizontal="center" wrapText="1"/>
    </xf>
    <xf numFmtId="0" fontId="64" fillId="13" borderId="0" xfId="0" applyFont="1" applyFill="1" applyAlignment="1">
      <alignment horizontal="center"/>
    </xf>
    <xf numFmtId="0" fontId="64" fillId="13" borderId="0" xfId="0" applyFont="1" applyFill="1"/>
    <xf numFmtId="0" fontId="8" fillId="13" borderId="15" xfId="0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64" fillId="13" borderId="15" xfId="0" applyFont="1" applyFill="1" applyBorder="1" applyAlignment="1">
      <alignment horizontal="left" vertical="center"/>
    </xf>
    <xf numFmtId="0" fontId="3" fillId="0" borderId="15" xfId="0" applyFont="1" applyBorder="1"/>
    <xf numFmtId="16" fontId="6" fillId="0" borderId="8" xfId="0" applyNumberFormat="1" applyFont="1" applyBorder="1" applyAlignment="1">
      <alignment horizontal="center"/>
    </xf>
    <xf numFmtId="170" fontId="6" fillId="0" borderId="15" xfId="1" applyNumberFormat="1" applyFont="1" applyBorder="1" applyAlignment="1">
      <alignment horizontal="center"/>
    </xf>
    <xf numFmtId="0" fontId="63" fillId="4" borderId="12" xfId="0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" fontId="7" fillId="4" borderId="15" xfId="1" applyNumberFormat="1" applyFont="1" applyFill="1" applyBorder="1" applyAlignment="1">
      <alignment horizontal="center"/>
    </xf>
    <xf numFmtId="1" fontId="7" fillId="4" borderId="15" xfId="1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16" fontId="7" fillId="4" borderId="15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1" fontId="7" fillId="0" borderId="11" xfId="0" applyNumberFormat="1" applyFont="1" applyBorder="1" applyAlignment="1">
      <alignment horizontal="center" wrapText="1"/>
    </xf>
    <xf numFmtId="16" fontId="7" fillId="0" borderId="15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49" fontId="11" fillId="0" borderId="7" xfId="1" applyNumberFormat="1" applyFont="1" applyBorder="1" applyAlignment="1">
      <alignment horizontal="center"/>
    </xf>
    <xf numFmtId="49" fontId="11" fillId="0" borderId="6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170" fontId="11" fillId="0" borderId="15" xfId="1" applyNumberFormat="1" applyFont="1" applyBorder="1" applyAlignment="1">
      <alignment horizontal="center"/>
    </xf>
    <xf numFmtId="16" fontId="6" fillId="0" borderId="15" xfId="1" applyNumberFormat="1" applyFont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171" fontId="8" fillId="4" borderId="15" xfId="5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6" fillId="0" borderId="29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1" fontId="3" fillId="0" borderId="15" xfId="0" applyNumberFormat="1" applyFont="1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5" fillId="4" borderId="0" xfId="0" applyFont="1" applyFill="1" applyAlignment="1">
      <alignment horizontal="center"/>
    </xf>
    <xf numFmtId="1" fontId="6" fillId="4" borderId="15" xfId="0" applyNumberFormat="1" applyFont="1" applyFill="1" applyBorder="1"/>
    <xf numFmtId="0" fontId="6" fillId="4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7" fillId="3" borderId="18" xfId="2" applyFont="1" applyFill="1" applyBorder="1" applyAlignment="1">
      <alignment horizontal="right"/>
    </xf>
    <xf numFmtId="0" fontId="66" fillId="3" borderId="17" xfId="2" applyFont="1" applyFill="1" applyBorder="1" applyAlignment="1">
      <alignment horizontal="center"/>
    </xf>
    <xf numFmtId="0" fontId="67" fillId="3" borderId="15" xfId="2" applyFont="1" applyFill="1" applyBorder="1" applyAlignment="1">
      <alignment horizontal="right"/>
    </xf>
    <xf numFmtId="49" fontId="66" fillId="3" borderId="14" xfId="2" applyNumberFormat="1" applyFont="1" applyFill="1" applyBorder="1" applyAlignment="1">
      <alignment horizontal="center"/>
    </xf>
    <xf numFmtId="0" fontId="66" fillId="3" borderId="11" xfId="2" applyFont="1" applyFill="1" applyBorder="1" applyAlignment="1">
      <alignment horizontal="right"/>
    </xf>
    <xf numFmtId="0" fontId="66" fillId="3" borderId="15" xfId="2" applyFont="1" applyFill="1" applyBorder="1" applyAlignment="1">
      <alignment horizontal="right"/>
    </xf>
    <xf numFmtId="14" fontId="69" fillId="3" borderId="0" xfId="2" applyNumberFormat="1" applyFont="1" applyFill="1" applyAlignment="1">
      <alignment horizontal="center" vertical="center" wrapText="1"/>
    </xf>
    <xf numFmtId="0" fontId="67" fillId="2" borderId="17" xfId="1" applyFont="1" applyFill="1" applyBorder="1" applyAlignment="1">
      <alignment horizontal="center" vertical="center" wrapText="1"/>
    </xf>
    <xf numFmtId="1" fontId="67" fillId="2" borderId="2" xfId="1" applyNumberFormat="1" applyFont="1" applyFill="1" applyBorder="1" applyAlignment="1">
      <alignment horizontal="center"/>
    </xf>
    <xf numFmtId="1" fontId="67" fillId="2" borderId="2" xfId="1" applyNumberFormat="1" applyFont="1" applyFill="1" applyBorder="1" applyAlignment="1">
      <alignment horizontal="center" wrapText="1"/>
    </xf>
    <xf numFmtId="0" fontId="67" fillId="2" borderId="1" xfId="1" applyFont="1" applyFill="1" applyBorder="1" applyAlignment="1">
      <alignment horizontal="center"/>
    </xf>
    <xf numFmtId="0" fontId="70" fillId="0" borderId="16" xfId="1" applyFont="1" applyBorder="1" applyAlignment="1">
      <alignment horizontal="center" vertical="center"/>
    </xf>
    <xf numFmtId="0" fontId="70" fillId="0" borderId="8" xfId="1" applyFont="1" applyBorder="1" applyAlignment="1">
      <alignment horizontal="center" vertical="center"/>
    </xf>
    <xf numFmtId="0" fontId="71" fillId="0" borderId="15" xfId="1" applyFont="1" applyBorder="1" applyAlignment="1">
      <alignment vertical="center"/>
    </xf>
    <xf numFmtId="0" fontId="70" fillId="0" borderId="15" xfId="1" applyFont="1" applyBorder="1" applyAlignment="1">
      <alignment horizontal="center" vertical="center"/>
    </xf>
    <xf numFmtId="1" fontId="70" fillId="0" borderId="15" xfId="1" applyNumberFormat="1" applyFont="1" applyBorder="1" applyAlignment="1">
      <alignment horizontal="center"/>
    </xf>
    <xf numFmtId="1" fontId="70" fillId="0" borderId="15" xfId="1" applyNumberFormat="1" applyFont="1" applyBorder="1" applyAlignment="1">
      <alignment horizontal="center" wrapText="1"/>
    </xf>
    <xf numFmtId="0" fontId="72" fillId="0" borderId="14" xfId="1" applyFont="1" applyBorder="1" applyAlignment="1">
      <alignment horizontal="center"/>
    </xf>
    <xf numFmtId="0" fontId="73" fillId="4" borderId="16" xfId="0" applyFont="1" applyFill="1" applyBorder="1" applyAlignment="1">
      <alignment horizontal="center"/>
    </xf>
    <xf numFmtId="0" fontId="73" fillId="4" borderId="15" xfId="0" applyFont="1" applyFill="1" applyBorder="1" applyAlignment="1">
      <alignment horizontal="center"/>
    </xf>
    <xf numFmtId="0" fontId="73" fillId="4" borderId="11" xfId="0" applyFont="1" applyFill="1" applyBorder="1"/>
    <xf numFmtId="0" fontId="66" fillId="4" borderId="8" xfId="0" applyFont="1" applyFill="1" applyBorder="1" applyAlignment="1">
      <alignment horizontal="center"/>
    </xf>
    <xf numFmtId="1" fontId="66" fillId="4" borderId="15" xfId="0" applyNumberFormat="1" applyFont="1" applyFill="1" applyBorder="1" applyAlignment="1">
      <alignment horizontal="center"/>
    </xf>
    <xf numFmtId="1" fontId="66" fillId="4" borderId="15" xfId="0" applyNumberFormat="1" applyFont="1" applyFill="1" applyBorder="1" applyAlignment="1">
      <alignment horizontal="center" wrapText="1"/>
    </xf>
    <xf numFmtId="0" fontId="66" fillId="0" borderId="11" xfId="0" applyFont="1" applyBorder="1" applyAlignment="1">
      <alignment horizontal="center" wrapText="1"/>
    </xf>
    <xf numFmtId="12" fontId="66" fillId="0" borderId="11" xfId="0" applyNumberFormat="1" applyFont="1" applyBorder="1" applyAlignment="1">
      <alignment horizontal="center"/>
    </xf>
    <xf numFmtId="0" fontId="73" fillId="4" borderId="8" xfId="0" applyFont="1" applyFill="1" applyBorder="1" applyAlignment="1">
      <alignment horizontal="center"/>
    </xf>
    <xf numFmtId="0" fontId="73" fillId="4" borderId="15" xfId="0" applyFont="1" applyFill="1" applyBorder="1"/>
    <xf numFmtId="1" fontId="66" fillId="4" borderId="11" xfId="0" applyNumberFormat="1" applyFont="1" applyFill="1" applyBorder="1" applyAlignment="1">
      <alignment horizontal="center"/>
    </xf>
    <xf numFmtId="1" fontId="66" fillId="4" borderId="11" xfId="0" applyNumberFormat="1" applyFont="1" applyFill="1" applyBorder="1" applyAlignment="1">
      <alignment horizontal="center" wrapText="1"/>
    </xf>
    <xf numFmtId="0" fontId="66" fillId="0" borderId="15" xfId="0" applyFont="1" applyBorder="1" applyAlignment="1">
      <alignment horizontal="center"/>
    </xf>
    <xf numFmtId="0" fontId="74" fillId="0" borderId="15" xfId="0" applyFont="1" applyBorder="1" applyAlignment="1">
      <alignment horizontal="center"/>
    </xf>
    <xf numFmtId="0" fontId="74" fillId="0" borderId="15" xfId="0" applyFont="1" applyBorder="1" applyAlignment="1">
      <alignment horizontal="center" vertical="center"/>
    </xf>
    <xf numFmtId="0" fontId="74" fillId="13" borderId="15" xfId="0" applyFont="1" applyFill="1" applyBorder="1"/>
    <xf numFmtId="0" fontId="66" fillId="0" borderId="15" xfId="0" applyFont="1" applyBorder="1" applyAlignment="1">
      <alignment horizontal="center" wrapText="1"/>
    </xf>
    <xf numFmtId="0" fontId="74" fillId="13" borderId="0" xfId="0" applyFont="1" applyFill="1" applyAlignment="1">
      <alignment horizontal="center"/>
    </xf>
    <xf numFmtId="0" fontId="74" fillId="13" borderId="0" xfId="0" applyFont="1" applyFill="1"/>
    <xf numFmtId="0" fontId="67" fillId="13" borderId="15" xfId="0" applyFont="1" applyFill="1" applyBorder="1" applyAlignment="1">
      <alignment horizontal="left"/>
    </xf>
    <xf numFmtId="0" fontId="66" fillId="0" borderId="11" xfId="0" applyFont="1" applyBorder="1" applyAlignment="1">
      <alignment horizontal="center"/>
    </xf>
    <xf numFmtId="0" fontId="74" fillId="13" borderId="15" xfId="0" applyFont="1" applyFill="1" applyBorder="1" applyAlignment="1">
      <alignment horizontal="left" vertical="center"/>
    </xf>
    <xf numFmtId="0" fontId="75" fillId="0" borderId="15" xfId="0" applyFont="1" applyBorder="1" applyAlignment="1">
      <alignment horizontal="center"/>
    </xf>
    <xf numFmtId="0" fontId="75" fillId="0" borderId="15" xfId="0" applyFont="1" applyBorder="1"/>
    <xf numFmtId="16" fontId="72" fillId="0" borderId="8" xfId="0" applyNumberFormat="1" applyFont="1" applyBorder="1" applyAlignment="1">
      <alignment horizontal="center"/>
    </xf>
    <xf numFmtId="1" fontId="72" fillId="0" borderId="15" xfId="0" applyNumberFormat="1" applyFont="1" applyBorder="1" applyAlignment="1">
      <alignment horizontal="center"/>
    </xf>
    <xf numFmtId="1" fontId="72" fillId="0" borderId="15" xfId="0" applyNumberFormat="1" applyFont="1" applyBorder="1" applyAlignment="1">
      <alignment horizontal="center" wrapText="1"/>
    </xf>
    <xf numFmtId="49" fontId="72" fillId="0" borderId="16" xfId="1" applyNumberFormat="1" applyFont="1" applyBorder="1" applyAlignment="1">
      <alignment horizontal="center"/>
    </xf>
    <xf numFmtId="49" fontId="72" fillId="0" borderId="8" xfId="1" applyNumberFormat="1" applyFont="1" applyBorder="1" applyAlignment="1">
      <alignment horizontal="center"/>
    </xf>
    <xf numFmtId="0" fontId="70" fillId="4" borderId="15" xfId="1" applyFont="1" applyFill="1" applyBorder="1" applyAlignment="1">
      <alignment horizontal="left"/>
    </xf>
    <xf numFmtId="0" fontId="72" fillId="0" borderId="15" xfId="1" applyFont="1" applyBorder="1" applyAlignment="1">
      <alignment horizontal="center"/>
    </xf>
    <xf numFmtId="170" fontId="72" fillId="0" borderId="15" xfId="1" applyNumberFormat="1" applyFont="1" applyBorder="1" applyAlignment="1">
      <alignment horizontal="center"/>
    </xf>
    <xf numFmtId="1" fontId="72" fillId="0" borderId="15" xfId="1" applyNumberFormat="1" applyFont="1" applyBorder="1" applyAlignment="1">
      <alignment horizontal="center" wrapText="1"/>
    </xf>
    <xf numFmtId="0" fontId="73" fillId="4" borderId="12" xfId="0" applyFont="1" applyFill="1" applyBorder="1" applyAlignment="1">
      <alignment horizontal="center"/>
    </xf>
    <xf numFmtId="1" fontId="66" fillId="0" borderId="15" xfId="0" applyNumberFormat="1" applyFont="1" applyBorder="1" applyAlignment="1">
      <alignment horizontal="center"/>
    </xf>
    <xf numFmtId="1" fontId="66" fillId="4" borderId="15" xfId="1" applyNumberFormat="1" applyFont="1" applyFill="1" applyBorder="1" applyAlignment="1">
      <alignment horizontal="center"/>
    </xf>
    <xf numFmtId="1" fontId="66" fillId="4" borderId="15" xfId="1" applyNumberFormat="1" applyFont="1" applyFill="1" applyBorder="1" applyAlignment="1">
      <alignment horizontal="center" wrapText="1"/>
    </xf>
    <xf numFmtId="0" fontId="75" fillId="0" borderId="0" xfId="0" applyFont="1" applyAlignment="1">
      <alignment horizontal="center"/>
    </xf>
    <xf numFmtId="0" fontId="75" fillId="0" borderId="0" xfId="0" applyFont="1"/>
    <xf numFmtId="16" fontId="66" fillId="4" borderId="15" xfId="0" applyNumberFormat="1" applyFont="1" applyFill="1" applyBorder="1" applyAlignment="1">
      <alignment horizontal="center"/>
    </xf>
    <xf numFmtId="0" fontId="66" fillId="3" borderId="15" xfId="0" applyFont="1" applyFill="1" applyBorder="1" applyAlignment="1">
      <alignment horizontal="center"/>
    </xf>
    <xf numFmtId="1" fontId="66" fillId="0" borderId="11" xfId="0" applyNumberFormat="1" applyFont="1" applyBorder="1" applyAlignment="1">
      <alignment horizontal="center" wrapText="1"/>
    </xf>
    <xf numFmtId="16" fontId="66" fillId="0" borderId="15" xfId="0" applyNumberFormat="1" applyFont="1" applyBorder="1" applyAlignment="1">
      <alignment horizontal="center"/>
    </xf>
    <xf numFmtId="1" fontId="66" fillId="0" borderId="11" xfId="0" applyNumberFormat="1" applyFont="1" applyBorder="1" applyAlignment="1">
      <alignment horizontal="center"/>
    </xf>
    <xf numFmtId="1" fontId="66" fillId="0" borderId="15" xfId="0" applyNumberFormat="1" applyFont="1" applyBorder="1" applyAlignment="1">
      <alignment horizontal="center" wrapText="1"/>
    </xf>
    <xf numFmtId="49" fontId="70" fillId="0" borderId="7" xfId="1" applyNumberFormat="1" applyFont="1" applyBorder="1" applyAlignment="1">
      <alignment horizontal="center"/>
    </xf>
    <xf numFmtId="49" fontId="70" fillId="0" borderId="6" xfId="1" applyNumberFormat="1" applyFont="1" applyBorder="1" applyAlignment="1">
      <alignment horizontal="center"/>
    </xf>
    <xf numFmtId="0" fontId="71" fillId="4" borderId="15" xfId="1" applyFont="1" applyFill="1" applyBorder="1" applyAlignment="1">
      <alignment vertical="center"/>
    </xf>
    <xf numFmtId="0" fontId="70" fillId="0" borderId="8" xfId="1" applyFont="1" applyBorder="1" applyAlignment="1">
      <alignment horizontal="center"/>
    </xf>
    <xf numFmtId="170" fontId="70" fillId="0" borderId="15" xfId="1" applyNumberFormat="1" applyFont="1" applyBorder="1" applyAlignment="1">
      <alignment horizontal="center"/>
    </xf>
    <xf numFmtId="49" fontId="72" fillId="0" borderId="15" xfId="1" applyNumberFormat="1" applyFont="1" applyBorder="1" applyAlignment="1">
      <alignment horizontal="center"/>
    </xf>
    <xf numFmtId="49" fontId="72" fillId="0" borderId="15" xfId="1" applyNumberFormat="1" applyFont="1" applyBorder="1"/>
    <xf numFmtId="16" fontId="72" fillId="0" borderId="15" xfId="1" applyNumberFormat="1" applyFont="1" applyBorder="1" applyAlignment="1">
      <alignment horizontal="center"/>
    </xf>
    <xf numFmtId="1" fontId="66" fillId="0" borderId="11" xfId="1" applyNumberFormat="1" applyFont="1" applyBorder="1" applyAlignment="1">
      <alignment horizontal="center"/>
    </xf>
    <xf numFmtId="0" fontId="66" fillId="0" borderId="11" xfId="1" applyFont="1" applyBorder="1" applyAlignment="1">
      <alignment horizontal="center"/>
    </xf>
    <xf numFmtId="171" fontId="67" fillId="4" borderId="15" xfId="5" applyNumberFormat="1" applyFont="1" applyFill="1" applyBorder="1" applyAlignment="1">
      <alignment horizontal="center"/>
    </xf>
    <xf numFmtId="0" fontId="75" fillId="0" borderId="15" xfId="0" applyFont="1" applyBorder="1" applyAlignment="1">
      <alignment horizontal="center" vertical="center"/>
    </xf>
    <xf numFmtId="0" fontId="75" fillId="0" borderId="15" xfId="0" applyFont="1" applyBorder="1" applyAlignment="1">
      <alignment horizontal="left" vertical="center"/>
    </xf>
    <xf numFmtId="0" fontId="72" fillId="0" borderId="15" xfId="0" applyFont="1" applyBorder="1" applyAlignment="1">
      <alignment horizontal="center"/>
    </xf>
    <xf numFmtId="0" fontId="72" fillId="0" borderId="29" xfId="0" applyFont="1" applyBorder="1" applyAlignment="1">
      <alignment horizontal="center"/>
    </xf>
    <xf numFmtId="0" fontId="72" fillId="0" borderId="15" xfId="0" applyFont="1" applyBorder="1" applyAlignment="1">
      <alignment horizontal="center" wrapText="1"/>
    </xf>
    <xf numFmtId="1" fontId="75" fillId="0" borderId="15" xfId="0" applyNumberFormat="1" applyFont="1" applyBorder="1" applyAlignment="1">
      <alignment horizontal="left" vertical="center"/>
    </xf>
    <xf numFmtId="12" fontId="72" fillId="0" borderId="15" xfId="1" applyNumberFormat="1" applyFont="1" applyBorder="1" applyAlignment="1">
      <alignment horizontal="center"/>
    </xf>
    <xf numFmtId="0" fontId="72" fillId="4" borderId="16" xfId="0" applyFont="1" applyFill="1" applyBorder="1" applyAlignment="1">
      <alignment horizontal="center"/>
    </xf>
    <xf numFmtId="0" fontId="76" fillId="4" borderId="0" xfId="0" applyFont="1" applyFill="1" applyAlignment="1">
      <alignment horizontal="center"/>
    </xf>
    <xf numFmtId="1" fontId="72" fillId="4" borderId="15" xfId="0" applyNumberFormat="1" applyFont="1" applyFill="1" applyBorder="1"/>
    <xf numFmtId="0" fontId="72" fillId="4" borderId="15" xfId="0" applyFont="1" applyFill="1" applyBorder="1" applyAlignment="1">
      <alignment horizontal="center"/>
    </xf>
    <xf numFmtId="0" fontId="72" fillId="4" borderId="15" xfId="0" applyFont="1" applyFill="1" applyBorder="1" applyAlignment="1">
      <alignment horizontal="center" wrapText="1"/>
    </xf>
    <xf numFmtId="1" fontId="72" fillId="0" borderId="15" xfId="1" applyNumberFormat="1" applyFont="1" applyBorder="1" applyAlignment="1">
      <alignment horizontal="center"/>
    </xf>
    <xf numFmtId="49" fontId="77" fillId="3" borderId="21" xfId="1" applyNumberFormat="1" applyFont="1" applyFill="1" applyBorder="1" applyAlignment="1">
      <alignment horizontal="center" vertical="center"/>
    </xf>
    <xf numFmtId="49" fontId="77" fillId="3" borderId="0" xfId="1" applyNumberFormat="1" applyFont="1" applyFill="1" applyAlignment="1">
      <alignment horizontal="center" vertical="center"/>
    </xf>
    <xf numFmtId="0" fontId="66" fillId="3" borderId="0" xfId="1" applyFont="1" applyFill="1"/>
    <xf numFmtId="1" fontId="66" fillId="3" borderId="0" xfId="1" applyNumberFormat="1" applyFont="1" applyFill="1" applyAlignment="1">
      <alignment horizontal="center"/>
    </xf>
    <xf numFmtId="164" fontId="66" fillId="3" borderId="0" xfId="1" applyNumberFormat="1" applyFont="1" applyFill="1" applyAlignment="1">
      <alignment horizontal="center" wrapText="1"/>
    </xf>
    <xf numFmtId="0" fontId="66" fillId="3" borderId="20" xfId="1" applyFont="1" applyFill="1" applyBorder="1" applyAlignment="1">
      <alignment horizontal="center"/>
    </xf>
    <xf numFmtId="0" fontId="66" fillId="2" borderId="43" xfId="1" applyFont="1" applyFill="1" applyBorder="1" applyAlignment="1">
      <alignment horizontal="center"/>
    </xf>
    <xf numFmtId="0" fontId="66" fillId="2" borderId="38" xfId="1" applyFont="1" applyFill="1" applyBorder="1" applyAlignment="1">
      <alignment horizontal="center"/>
    </xf>
    <xf numFmtId="0" fontId="66" fillId="2" borderId="38" xfId="1" applyFont="1" applyFill="1" applyBorder="1"/>
    <xf numFmtId="0" fontId="67" fillId="2" borderId="38" xfId="1" applyFont="1" applyFill="1" applyBorder="1" applyAlignment="1">
      <alignment horizontal="center"/>
    </xf>
    <xf numFmtId="1" fontId="67" fillId="2" borderId="38" xfId="1" applyNumberFormat="1" applyFont="1" applyFill="1" applyBorder="1" applyAlignment="1">
      <alignment horizontal="center"/>
    </xf>
    <xf numFmtId="164" fontId="66" fillId="2" borderId="38" xfId="1" applyNumberFormat="1" applyFont="1" applyFill="1" applyBorder="1" applyAlignment="1">
      <alignment horizontal="center" wrapText="1"/>
    </xf>
    <xf numFmtId="0" fontId="66" fillId="2" borderId="39" xfId="1" applyFont="1" applyFill="1" applyBorder="1" applyAlignment="1">
      <alignment horizontal="center"/>
    </xf>
    <xf numFmtId="0" fontId="66" fillId="0" borderId="28" xfId="0" applyFont="1" applyBorder="1" applyAlignment="1">
      <alignment horizontal="center"/>
    </xf>
    <xf numFmtId="1" fontId="66" fillId="0" borderId="2" xfId="0" applyNumberFormat="1" applyFont="1" applyBorder="1" applyAlignment="1">
      <alignment horizontal="center"/>
    </xf>
    <xf numFmtId="0" fontId="66" fillId="0" borderId="2" xfId="0" applyFont="1" applyBorder="1" applyAlignment="1">
      <alignment horizontal="center"/>
    </xf>
    <xf numFmtId="0" fontId="79" fillId="0" borderId="16" xfId="1" applyFont="1" applyBorder="1" applyAlignment="1">
      <alignment horizontal="center" vertical="center"/>
    </xf>
    <xf numFmtId="0" fontId="79" fillId="0" borderId="8" xfId="1" applyFont="1" applyBorder="1" applyAlignment="1">
      <alignment horizontal="center" vertical="center"/>
    </xf>
    <xf numFmtId="0" fontId="80" fillId="0" borderId="15" xfId="1" applyFont="1" applyBorder="1" applyAlignment="1">
      <alignment vertical="center"/>
    </xf>
    <xf numFmtId="0" fontId="79" fillId="0" borderId="15" xfId="1" applyFont="1" applyBorder="1" applyAlignment="1">
      <alignment horizontal="center" vertical="center"/>
    </xf>
    <xf numFmtId="1" fontId="79" fillId="0" borderId="15" xfId="1" applyNumberFormat="1" applyFont="1" applyBorder="1" applyAlignment="1">
      <alignment horizontal="center"/>
    </xf>
    <xf numFmtId="1" fontId="79" fillId="0" borderId="15" xfId="1" applyNumberFormat="1" applyFont="1" applyBorder="1" applyAlignment="1">
      <alignment horizontal="center" wrapText="1"/>
    </xf>
    <xf numFmtId="0" fontId="81" fillId="0" borderId="14" xfId="1" applyFont="1" applyBorder="1" applyAlignment="1">
      <alignment horizontal="center"/>
    </xf>
    <xf numFmtId="0" fontId="82" fillId="0" borderId="15" xfId="0" applyFont="1" applyBorder="1"/>
    <xf numFmtId="16" fontId="81" fillId="0" borderId="15" xfId="0" applyNumberFormat="1" applyFont="1" applyBorder="1" applyAlignment="1">
      <alignment horizontal="center"/>
    </xf>
    <xf numFmtId="1" fontId="81" fillId="0" borderId="15" xfId="0" applyNumberFormat="1" applyFont="1" applyBorder="1" applyAlignment="1">
      <alignment horizontal="center"/>
    </xf>
    <xf numFmtId="1" fontId="81" fillId="0" borderId="15" xfId="0" applyNumberFormat="1" applyFont="1" applyBorder="1" applyAlignment="1">
      <alignment horizontal="center" wrapText="1"/>
    </xf>
    <xf numFmtId="0" fontId="81" fillId="0" borderId="15" xfId="0" applyFont="1" applyBorder="1" applyAlignment="1">
      <alignment horizontal="center"/>
    </xf>
    <xf numFmtId="0" fontId="81" fillId="0" borderId="15" xfId="0" applyFont="1" applyBorder="1"/>
    <xf numFmtId="0" fontId="82" fillId="0" borderId="15" xfId="0" applyFont="1" applyBorder="1" applyAlignment="1">
      <alignment horizontal="center"/>
    </xf>
    <xf numFmtId="0" fontId="82" fillId="0" borderId="0" xfId="0" applyFont="1"/>
    <xf numFmtId="0" fontId="81" fillId="0" borderId="15" xfId="0" applyFont="1" applyBorder="1" applyAlignment="1">
      <alignment horizontal="center" vertical="center"/>
    </xf>
    <xf numFmtId="49" fontId="81" fillId="4" borderId="15" xfId="0" applyNumberFormat="1" applyFont="1" applyFill="1" applyBorder="1"/>
    <xf numFmtId="1" fontId="81" fillId="4" borderId="15" xfId="0" applyNumberFormat="1" applyFont="1" applyFill="1" applyBorder="1" applyAlignment="1">
      <alignment horizontal="center" vertical="center" wrapText="1"/>
    </xf>
    <xf numFmtId="0" fontId="81" fillId="4" borderId="15" xfId="0" applyFont="1" applyFill="1" applyBorder="1" applyAlignment="1">
      <alignment horizontal="center"/>
    </xf>
    <xf numFmtId="49" fontId="81" fillId="4" borderId="15" xfId="0" applyNumberFormat="1" applyFont="1" applyFill="1" applyBorder="1" applyAlignment="1">
      <alignment horizontal="center"/>
    </xf>
    <xf numFmtId="49" fontId="79" fillId="4" borderId="15" xfId="0" applyNumberFormat="1" applyFont="1" applyFill="1" applyBorder="1"/>
    <xf numFmtId="16" fontId="81" fillId="4" borderId="15" xfId="0" applyNumberFormat="1" applyFont="1" applyFill="1" applyBorder="1" applyAlignment="1">
      <alignment horizontal="center"/>
    </xf>
    <xf numFmtId="12" fontId="81" fillId="0" borderId="15" xfId="0" applyNumberFormat="1" applyFont="1" applyBorder="1"/>
    <xf numFmtId="0" fontId="82" fillId="0" borderId="15" xfId="0" quotePrefix="1" applyFont="1" applyBorder="1"/>
    <xf numFmtId="170" fontId="81" fillId="0" borderId="15" xfId="0" applyNumberFormat="1" applyFont="1" applyBorder="1" applyAlignment="1">
      <alignment horizontal="center"/>
    </xf>
    <xf numFmtId="12" fontId="81" fillId="0" borderId="15" xfId="0" applyNumberFormat="1" applyFont="1" applyBorder="1" applyAlignment="1">
      <alignment horizontal="center"/>
    </xf>
    <xf numFmtId="49" fontId="81" fillId="0" borderId="15" xfId="0" applyNumberFormat="1" applyFont="1" applyBorder="1" applyAlignment="1">
      <alignment horizontal="center"/>
    </xf>
    <xf numFmtId="49" fontId="79" fillId="0" borderId="15" xfId="0" applyNumberFormat="1" applyFont="1" applyBorder="1" applyAlignment="1">
      <alignment horizontal="left"/>
    </xf>
    <xf numFmtId="49" fontId="81" fillId="0" borderId="15" xfId="0" applyNumberFormat="1" applyFont="1" applyBorder="1"/>
    <xf numFmtId="49" fontId="81" fillId="0" borderId="15" xfId="1" applyNumberFormat="1" applyFont="1" applyBorder="1"/>
    <xf numFmtId="49" fontId="79" fillId="0" borderId="15" xfId="1" applyNumberFormat="1" applyFont="1" applyBorder="1" applyAlignment="1">
      <alignment horizontal="center"/>
    </xf>
    <xf numFmtId="49" fontId="81" fillId="0" borderId="15" xfId="1" applyNumberFormat="1" applyFont="1" applyBorder="1" applyAlignment="1">
      <alignment horizontal="left"/>
    </xf>
    <xf numFmtId="0" fontId="83" fillId="4" borderId="15" xfId="1" applyFont="1" applyFill="1" applyBorder="1" applyAlignment="1">
      <alignment vertical="center"/>
    </xf>
    <xf numFmtId="0" fontId="79" fillId="0" borderId="15" xfId="1" applyFont="1" applyBorder="1" applyAlignment="1">
      <alignment horizontal="center"/>
    </xf>
    <xf numFmtId="1" fontId="81" fillId="0" borderId="15" xfId="1" applyNumberFormat="1" applyFont="1" applyBorder="1" applyAlignment="1">
      <alignment horizontal="center"/>
    </xf>
    <xf numFmtId="1" fontId="81" fillId="0" borderId="15" xfId="1" applyNumberFormat="1" applyFont="1" applyBorder="1" applyAlignment="1">
      <alignment horizontal="center" wrapText="1"/>
    </xf>
    <xf numFmtId="0" fontId="81" fillId="0" borderId="15" xfId="1" applyFont="1" applyBorder="1" applyAlignment="1">
      <alignment horizontal="center"/>
    </xf>
    <xf numFmtId="49" fontId="81" fillId="4" borderId="15" xfId="0" applyNumberFormat="1" applyFont="1" applyFill="1" applyBorder="1" applyAlignment="1">
      <alignment horizontal="center" vertical="center"/>
    </xf>
    <xf numFmtId="49" fontId="81" fillId="4" borderId="15" xfId="0" applyNumberFormat="1" applyFont="1" applyFill="1" applyBorder="1" applyAlignment="1">
      <alignment vertical="center"/>
    </xf>
    <xf numFmtId="0" fontId="81" fillId="4" borderId="15" xfId="0" applyFont="1" applyFill="1" applyBorder="1" applyAlignment="1">
      <alignment horizontal="center" vertical="center"/>
    </xf>
    <xf numFmtId="49" fontId="81" fillId="0" borderId="15" xfId="1" applyNumberFormat="1" applyFont="1" applyBorder="1" applyAlignment="1">
      <alignment horizontal="center"/>
    </xf>
    <xf numFmtId="165" fontId="81" fillId="0" borderId="15" xfId="0" applyNumberFormat="1" applyFont="1" applyBorder="1" applyAlignment="1">
      <alignment horizontal="center" wrapText="1"/>
    </xf>
    <xf numFmtId="49" fontId="81" fillId="0" borderId="15" xfId="0" applyNumberFormat="1" applyFont="1" applyBorder="1" applyAlignment="1">
      <alignment horizontal="center" vertical="center"/>
    </xf>
    <xf numFmtId="49" fontId="81" fillId="0" borderId="15" xfId="0" applyNumberFormat="1" applyFont="1" applyBorder="1" applyAlignment="1">
      <alignment vertical="center"/>
    </xf>
    <xf numFmtId="0" fontId="81" fillId="0" borderId="15" xfId="0" quotePrefix="1" applyFont="1" applyBorder="1" applyAlignment="1">
      <alignment horizontal="right"/>
    </xf>
    <xf numFmtId="0" fontId="81" fillId="0" borderId="15" xfId="0" quotePrefix="1" applyFont="1" applyBorder="1"/>
    <xf numFmtId="0" fontId="82" fillId="0" borderId="0" xfId="0" applyFont="1" applyAlignment="1">
      <alignment horizontal="center"/>
    </xf>
    <xf numFmtId="49" fontId="81" fillId="0" borderId="16" xfId="1" applyNumberFormat="1" applyFont="1" applyBorder="1" applyAlignment="1">
      <alignment horizontal="center"/>
    </xf>
    <xf numFmtId="49" fontId="81" fillId="0" borderId="8" xfId="1" applyNumberFormat="1" applyFont="1" applyBorder="1" applyAlignment="1">
      <alignment horizontal="center"/>
    </xf>
    <xf numFmtId="49" fontId="83" fillId="3" borderId="21" xfId="1" applyNumberFormat="1" applyFont="1" applyFill="1" applyBorder="1" applyAlignment="1">
      <alignment horizontal="center" vertical="center"/>
    </xf>
    <xf numFmtId="49" fontId="83" fillId="3" borderId="0" xfId="1" applyNumberFormat="1" applyFont="1" applyFill="1" applyAlignment="1">
      <alignment horizontal="center" vertical="center"/>
    </xf>
    <xf numFmtId="0" fontId="81" fillId="3" borderId="0" xfId="1" applyFont="1" applyFill="1"/>
    <xf numFmtId="1" fontId="81" fillId="3" borderId="0" xfId="1" applyNumberFormat="1" applyFont="1" applyFill="1" applyAlignment="1">
      <alignment horizontal="center"/>
    </xf>
    <xf numFmtId="164" fontId="81" fillId="3" borderId="0" xfId="1" applyNumberFormat="1" applyFont="1" applyFill="1" applyAlignment="1">
      <alignment horizontal="center" wrapText="1"/>
    </xf>
    <xf numFmtId="0" fontId="81" fillId="3" borderId="20" xfId="1" applyFont="1" applyFill="1" applyBorder="1" applyAlignment="1">
      <alignment horizontal="center"/>
    </xf>
    <xf numFmtId="0" fontId="81" fillId="2" borderId="43" xfId="1" applyFont="1" applyFill="1" applyBorder="1" applyAlignment="1">
      <alignment horizontal="center"/>
    </xf>
    <xf numFmtId="0" fontId="81" fillId="2" borderId="38" xfId="1" applyFont="1" applyFill="1" applyBorder="1" applyAlignment="1">
      <alignment horizontal="center"/>
    </xf>
    <xf numFmtId="0" fontId="81" fillId="2" borderId="38" xfId="1" applyFont="1" applyFill="1" applyBorder="1"/>
    <xf numFmtId="0" fontId="79" fillId="2" borderId="38" xfId="1" applyFont="1" applyFill="1" applyBorder="1" applyAlignment="1">
      <alignment horizontal="center"/>
    </xf>
    <xf numFmtId="1" fontId="79" fillId="2" borderId="38" xfId="1" applyNumberFormat="1" applyFont="1" applyFill="1" applyBorder="1" applyAlignment="1">
      <alignment horizontal="center"/>
    </xf>
    <xf numFmtId="164" fontId="81" fillId="2" borderId="38" xfId="1" applyNumberFormat="1" applyFont="1" applyFill="1" applyBorder="1" applyAlignment="1">
      <alignment horizontal="center" wrapText="1"/>
    </xf>
    <xf numFmtId="0" fontId="81" fillId="2" borderId="39" xfId="1" applyFont="1" applyFill="1" applyBorder="1" applyAlignment="1">
      <alignment horizontal="center"/>
    </xf>
    <xf numFmtId="1" fontId="81" fillId="0" borderId="11" xfId="0" applyNumberFormat="1" applyFont="1" applyBorder="1" applyAlignment="1">
      <alignment horizontal="center"/>
    </xf>
    <xf numFmtId="0" fontId="81" fillId="0" borderId="28" xfId="0" applyFont="1" applyBorder="1" applyAlignment="1">
      <alignment horizontal="center"/>
    </xf>
    <xf numFmtId="0" fontId="79" fillId="0" borderId="15" xfId="0" applyFont="1" applyBorder="1" applyAlignment="1">
      <alignment horizontal="center"/>
    </xf>
    <xf numFmtId="1" fontId="81" fillId="0" borderId="2" xfId="0" applyNumberFormat="1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7" fillId="3" borderId="29" xfId="2" applyFont="1" applyFill="1" applyBorder="1" applyAlignment="1">
      <alignment horizontal="right"/>
    </xf>
    <xf numFmtId="0" fontId="8" fillId="2" borderId="10" xfId="1" applyFont="1" applyFill="1" applyBorder="1" applyAlignment="1">
      <alignment horizontal="center" vertical="center" wrapText="1"/>
    </xf>
    <xf numFmtId="14" fontId="10" fillId="3" borderId="15" xfId="2" applyNumberFormat="1" applyFont="1" applyFill="1" applyBorder="1" applyAlignment="1">
      <alignment horizontal="center" vertical="center" wrapText="1"/>
    </xf>
    <xf numFmtId="1" fontId="82" fillId="0" borderId="15" xfId="0" applyNumberFormat="1" applyFont="1" applyBorder="1" applyAlignment="1">
      <alignment horizontal="center"/>
    </xf>
    <xf numFmtId="49" fontId="81" fillId="0" borderId="11" xfId="0" applyNumberFormat="1" applyFont="1" applyBorder="1" applyAlignment="1">
      <alignment horizontal="center"/>
    </xf>
    <xf numFmtId="16" fontId="81" fillId="0" borderId="11" xfId="0" applyNumberFormat="1" applyFont="1" applyBorder="1" applyAlignment="1">
      <alignment horizontal="center"/>
    </xf>
    <xf numFmtId="1" fontId="81" fillId="0" borderId="11" xfId="0" applyNumberFormat="1" applyFont="1" applyBorder="1" applyAlignment="1">
      <alignment horizontal="center" wrapText="1"/>
    </xf>
    <xf numFmtId="0" fontId="5" fillId="3" borderId="46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8" fillId="0" borderId="40" xfId="1" applyFont="1" applyBorder="1" applyAlignment="1">
      <alignment horizontal="right"/>
    </xf>
    <xf numFmtId="0" fontId="8" fillId="0" borderId="41" xfId="1" applyFont="1" applyBorder="1" applyAlignment="1">
      <alignment horizontal="right"/>
    </xf>
    <xf numFmtId="0" fontId="8" fillId="0" borderId="12" xfId="1" applyFont="1" applyBorder="1" applyAlignment="1">
      <alignment horizontal="right"/>
    </xf>
    <xf numFmtId="164" fontId="7" fillId="0" borderId="11" xfId="1" applyNumberFormat="1" applyFont="1" applyBorder="1" applyAlignment="1">
      <alignment horizontal="right"/>
    </xf>
    <xf numFmtId="0" fontId="7" fillId="3" borderId="28" xfId="1" applyFont="1" applyFill="1" applyBorder="1" applyAlignment="1">
      <alignment horizontal="center"/>
    </xf>
    <xf numFmtId="0" fontId="7" fillId="3" borderId="44" xfId="1" applyFont="1" applyFill="1" applyBorder="1" applyAlignment="1">
      <alignment horizontal="center"/>
    </xf>
    <xf numFmtId="0" fontId="7" fillId="0" borderId="25" xfId="1" applyFont="1" applyBorder="1" applyAlignment="1">
      <alignment horizontal="left"/>
    </xf>
    <xf numFmtId="0" fontId="7" fillId="0" borderId="24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15" fillId="6" borderId="45" xfId="2" applyFont="1" applyFill="1" applyBorder="1" applyAlignment="1">
      <alignment horizontal="center"/>
    </xf>
    <xf numFmtId="0" fontId="15" fillId="6" borderId="36" xfId="2" applyFont="1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7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164" fontId="7" fillId="0" borderId="9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0" fontId="7" fillId="3" borderId="37" xfId="2" applyFont="1" applyFill="1" applyBorder="1" applyAlignment="1">
      <alignment horizontal="center"/>
    </xf>
    <xf numFmtId="0" fontId="7" fillId="3" borderId="36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7" fillId="3" borderId="40" xfId="2" applyFont="1" applyFill="1" applyBorder="1" applyAlignment="1">
      <alignment horizontal="center"/>
    </xf>
    <xf numFmtId="0" fontId="7" fillId="3" borderId="41" xfId="2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10" fillId="3" borderId="31" xfId="2" applyFont="1" applyFill="1" applyBorder="1" applyAlignment="1">
      <alignment horizontal="center"/>
    </xf>
    <xf numFmtId="0" fontId="9" fillId="3" borderId="0" xfId="2" applyFont="1" applyFill="1"/>
    <xf numFmtId="0" fontId="8" fillId="2" borderId="4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4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/>
    </xf>
    <xf numFmtId="164" fontId="7" fillId="0" borderId="9" xfId="1" applyNumberFormat="1" applyFont="1" applyBorder="1" applyAlignment="1">
      <alignment horizontal="right" wrapText="1"/>
    </xf>
    <xf numFmtId="164" fontId="7" fillId="0" borderId="8" xfId="1" applyNumberFormat="1" applyFont="1" applyBorder="1" applyAlignment="1">
      <alignment horizontal="right" wrapText="1"/>
    </xf>
    <xf numFmtId="0" fontId="8" fillId="2" borderId="43" xfId="1" applyFont="1" applyFill="1" applyBorder="1" applyAlignment="1">
      <alignment horizontal="left"/>
    </xf>
    <xf numFmtId="0" fontId="8" fillId="2" borderId="38" xfId="1" applyFont="1" applyFill="1" applyBorder="1" applyAlignment="1">
      <alignment horizontal="left"/>
    </xf>
    <xf numFmtId="0" fontId="8" fillId="2" borderId="39" xfId="1" applyFont="1" applyFill="1" applyBorder="1" applyAlignment="1">
      <alignment horizontal="left"/>
    </xf>
    <xf numFmtId="14" fontId="7" fillId="3" borderId="34" xfId="2" applyNumberFormat="1" applyFont="1" applyFill="1" applyBorder="1" applyAlignment="1">
      <alignment horizontal="center" vertical="center" wrapText="1"/>
    </xf>
    <xf numFmtId="14" fontId="7" fillId="3" borderId="32" xfId="2" applyNumberFormat="1" applyFont="1" applyFill="1" applyBorder="1" applyAlignment="1">
      <alignment horizontal="center" vertical="center" wrapText="1"/>
    </xf>
    <xf numFmtId="14" fontId="7" fillId="3" borderId="10" xfId="2" applyNumberFormat="1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left"/>
    </xf>
    <xf numFmtId="0" fontId="7" fillId="3" borderId="27" xfId="2" applyFont="1" applyFill="1" applyBorder="1" applyAlignment="1">
      <alignment horizontal="left"/>
    </xf>
    <xf numFmtId="0" fontId="7" fillId="3" borderId="19" xfId="2" applyFont="1" applyFill="1" applyBorder="1" applyAlignment="1">
      <alignment horizontal="left"/>
    </xf>
    <xf numFmtId="0" fontId="7" fillId="3" borderId="9" xfId="2" applyFont="1" applyFill="1" applyBorder="1" applyAlignment="1">
      <alignment horizontal="left"/>
    </xf>
    <xf numFmtId="0" fontId="7" fillId="3" borderId="6" xfId="2" applyFont="1" applyFill="1" applyBorder="1" applyAlignment="1">
      <alignment horizontal="left"/>
    </xf>
    <xf numFmtId="0" fontId="7" fillId="3" borderId="8" xfId="2" applyFont="1" applyFill="1" applyBorder="1" applyAlignment="1">
      <alignment horizontal="left"/>
    </xf>
    <xf numFmtId="0" fontId="8" fillId="3" borderId="18" xfId="2" applyFont="1" applyFill="1" applyBorder="1" applyAlignment="1">
      <alignment horizontal="center"/>
    </xf>
    <xf numFmtId="0" fontId="8" fillId="3" borderId="29" xfId="2" applyFont="1" applyFill="1" applyBorder="1" applyAlignment="1">
      <alignment horizontal="center"/>
    </xf>
    <xf numFmtId="0" fontId="16" fillId="5" borderId="15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right" vertical="top" wrapText="1"/>
    </xf>
    <xf numFmtId="0" fontId="8" fillId="3" borderId="33" xfId="2" applyFont="1" applyFill="1" applyBorder="1" applyAlignment="1">
      <alignment horizontal="right" vertical="top" wrapText="1"/>
    </xf>
    <xf numFmtId="0" fontId="8" fillId="3" borderId="30" xfId="2" applyFont="1" applyFill="1" applyBorder="1" applyAlignment="1">
      <alignment horizontal="right" vertical="top" wrapText="1"/>
    </xf>
    <xf numFmtId="0" fontId="8" fillId="2" borderId="2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164" fontId="7" fillId="0" borderId="23" xfId="1" applyNumberFormat="1" applyFont="1" applyBorder="1" applyAlignment="1">
      <alignment horizontal="center"/>
    </xf>
    <xf numFmtId="164" fontId="7" fillId="0" borderId="22" xfId="1" applyNumberFormat="1" applyFont="1" applyBorder="1" applyAlignment="1">
      <alignment horizontal="center"/>
    </xf>
    <xf numFmtId="0" fontId="79" fillId="0" borderId="7" xfId="1" applyFont="1" applyBorder="1" applyAlignment="1">
      <alignment horizontal="right"/>
    </xf>
    <xf numFmtId="0" fontId="79" fillId="0" borderId="6" xfId="1" applyFont="1" applyBorder="1" applyAlignment="1">
      <alignment horizontal="right"/>
    </xf>
    <xf numFmtId="0" fontId="79" fillId="0" borderId="8" xfId="1" applyFont="1" applyBorder="1" applyAlignment="1">
      <alignment horizontal="right"/>
    </xf>
    <xf numFmtId="0" fontId="81" fillId="0" borderId="15" xfId="1" applyFont="1" applyBorder="1" applyAlignment="1">
      <alignment horizontal="right"/>
    </xf>
    <xf numFmtId="164" fontId="81" fillId="0" borderId="9" xfId="1" applyNumberFormat="1" applyFont="1" applyBorder="1" applyAlignment="1">
      <alignment horizontal="center"/>
    </xf>
    <xf numFmtId="164" fontId="81" fillId="0" borderId="5" xfId="1" applyNumberFormat="1" applyFont="1" applyBorder="1" applyAlignment="1">
      <alignment horizontal="center"/>
    </xf>
    <xf numFmtId="0" fontId="79" fillId="0" borderId="4" xfId="1" applyFont="1" applyBorder="1" applyAlignment="1">
      <alignment horizontal="right"/>
    </xf>
    <xf numFmtId="0" fontId="79" fillId="0" borderId="3" xfId="1" applyFont="1" applyBorder="1" applyAlignment="1">
      <alignment horizontal="right"/>
    </xf>
    <xf numFmtId="0" fontId="79" fillId="0" borderId="2" xfId="1" applyFont="1" applyBorder="1" applyAlignment="1">
      <alignment horizontal="right"/>
    </xf>
    <xf numFmtId="0" fontId="81" fillId="0" borderId="2" xfId="1" applyFont="1" applyBorder="1" applyAlignment="1">
      <alignment horizontal="right"/>
    </xf>
    <xf numFmtId="164" fontId="81" fillId="0" borderId="23" xfId="1" applyNumberFormat="1" applyFont="1" applyBorder="1" applyAlignment="1">
      <alignment horizontal="center"/>
    </xf>
    <xf numFmtId="164" fontId="81" fillId="0" borderId="22" xfId="1" applyNumberFormat="1" applyFont="1" applyBorder="1" applyAlignment="1">
      <alignment horizontal="center"/>
    </xf>
    <xf numFmtId="0" fontId="7" fillId="3" borderId="63" xfId="2" applyFont="1" applyFill="1" applyBorder="1" applyAlignment="1">
      <alignment horizontal="left"/>
    </xf>
    <xf numFmtId="0" fontId="7" fillId="3" borderId="64" xfId="2" applyFont="1" applyFill="1" applyBorder="1" applyAlignment="1">
      <alignment horizontal="left"/>
    </xf>
    <xf numFmtId="0" fontId="7" fillId="3" borderId="35" xfId="2" applyFont="1" applyFill="1" applyBorder="1" applyAlignment="1">
      <alignment horizontal="left"/>
    </xf>
    <xf numFmtId="0" fontId="8" fillId="2" borderId="11" xfId="1" applyFont="1" applyFill="1" applyBorder="1" applyAlignment="1">
      <alignment horizontal="center" vertical="center"/>
    </xf>
    <xf numFmtId="0" fontId="78" fillId="5" borderId="15" xfId="2" applyFont="1" applyFill="1" applyBorder="1" applyAlignment="1">
      <alignment horizontal="center" vertical="center" wrapText="1"/>
    </xf>
    <xf numFmtId="0" fontId="81" fillId="0" borderId="7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/>
    </xf>
    <xf numFmtId="0" fontId="81" fillId="0" borderId="13" xfId="0" applyFont="1" applyBorder="1" applyAlignment="1">
      <alignment horizontal="left"/>
    </xf>
    <xf numFmtId="0" fontId="81" fillId="0" borderId="12" xfId="0" applyFont="1" applyBorder="1" applyAlignment="1">
      <alignment horizontal="left"/>
    </xf>
    <xf numFmtId="0" fontId="81" fillId="0" borderId="11" xfId="0" applyFont="1" applyBorder="1" applyAlignment="1">
      <alignment horizontal="left"/>
    </xf>
    <xf numFmtId="0" fontId="81" fillId="0" borderId="10" xfId="0" applyFont="1" applyBorder="1" applyAlignment="1">
      <alignment horizontal="left"/>
    </xf>
    <xf numFmtId="164" fontId="81" fillId="0" borderId="9" xfId="1" applyNumberFormat="1" applyFont="1" applyBorder="1" applyAlignment="1">
      <alignment horizontal="right" wrapText="1"/>
    </xf>
    <xf numFmtId="164" fontId="81" fillId="0" borderId="8" xfId="1" applyNumberFormat="1" applyFont="1" applyBorder="1" applyAlignment="1">
      <alignment horizontal="right" wrapText="1"/>
    </xf>
    <xf numFmtId="0" fontId="79" fillId="2" borderId="43" xfId="1" applyFont="1" applyFill="1" applyBorder="1" applyAlignment="1">
      <alignment horizontal="center"/>
    </xf>
    <xf numFmtId="0" fontId="79" fillId="2" borderId="38" xfId="1" applyFont="1" applyFill="1" applyBorder="1" applyAlignment="1">
      <alignment horizontal="center"/>
    </xf>
    <xf numFmtId="0" fontId="79" fillId="2" borderId="39" xfId="1" applyFont="1" applyFill="1" applyBorder="1" applyAlignment="1">
      <alignment horizontal="center"/>
    </xf>
    <xf numFmtId="0" fontId="9" fillId="3" borderId="15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center"/>
    </xf>
    <xf numFmtId="0" fontId="9" fillId="3" borderId="15" xfId="2" applyFont="1" applyFill="1" applyBorder="1"/>
    <xf numFmtId="0" fontId="8" fillId="2" borderId="13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 wrapText="1"/>
    </xf>
    <xf numFmtId="0" fontId="81" fillId="3" borderId="15" xfId="2" applyFont="1" applyFill="1" applyBorder="1" applyAlignment="1">
      <alignment horizontal="left"/>
    </xf>
    <xf numFmtId="0" fontId="79" fillId="0" borderId="40" xfId="1" applyFont="1" applyBorder="1" applyAlignment="1">
      <alignment horizontal="right"/>
    </xf>
    <xf numFmtId="0" fontId="79" fillId="0" borderId="41" xfId="1" applyFont="1" applyBorder="1" applyAlignment="1">
      <alignment horizontal="right"/>
    </xf>
    <xf numFmtId="0" fontId="79" fillId="0" borderId="12" xfId="1" applyFont="1" applyBorder="1" applyAlignment="1">
      <alignment horizontal="right"/>
    </xf>
    <xf numFmtId="164" fontId="81" fillId="0" borderId="11" xfId="1" applyNumberFormat="1" applyFont="1" applyBorder="1" applyAlignment="1">
      <alignment horizontal="right"/>
    </xf>
    <xf numFmtId="0" fontId="81" fillId="3" borderId="28" xfId="1" applyFont="1" applyFill="1" applyBorder="1" applyAlignment="1">
      <alignment horizontal="center"/>
    </xf>
    <xf numFmtId="0" fontId="81" fillId="3" borderId="44" xfId="1" applyFont="1" applyFill="1" applyBorder="1" applyAlignment="1">
      <alignment horizontal="center"/>
    </xf>
    <xf numFmtId="0" fontId="81" fillId="0" borderId="25" xfId="1" applyFont="1" applyBorder="1" applyAlignment="1">
      <alignment horizontal="left"/>
    </xf>
    <xf numFmtId="0" fontId="81" fillId="0" borderId="24" xfId="1" applyFont="1" applyBorder="1" applyAlignment="1">
      <alignment horizontal="left"/>
    </xf>
    <xf numFmtId="0" fontId="81" fillId="0" borderId="22" xfId="1" applyFont="1" applyBorder="1" applyAlignment="1">
      <alignment horizontal="left"/>
    </xf>
    <xf numFmtId="0" fontId="79" fillId="6" borderId="45" xfId="2" applyFont="1" applyFill="1" applyBorder="1" applyAlignment="1">
      <alignment horizontal="center"/>
    </xf>
    <xf numFmtId="0" fontId="79" fillId="6" borderId="36" xfId="2" applyFont="1" applyFill="1" applyBorder="1" applyAlignment="1">
      <alignment horizontal="center"/>
    </xf>
    <xf numFmtId="0" fontId="81" fillId="0" borderId="13" xfId="0" applyFont="1" applyBorder="1" applyAlignment="1">
      <alignment horizontal="left" wrapText="1"/>
    </xf>
    <xf numFmtId="0" fontId="81" fillId="0" borderId="12" xfId="0" applyFont="1" applyBorder="1" applyAlignment="1">
      <alignment horizontal="left" wrapText="1"/>
    </xf>
    <xf numFmtId="0" fontId="81" fillId="0" borderId="11" xfId="0" applyFont="1" applyBorder="1" applyAlignment="1">
      <alignment horizontal="left" wrapText="1"/>
    </xf>
    <xf numFmtId="0" fontId="81" fillId="0" borderId="10" xfId="0" applyFont="1" applyBorder="1" applyAlignment="1">
      <alignment horizontal="left" wrapText="1"/>
    </xf>
    <xf numFmtId="0" fontId="49" fillId="0" borderId="0" xfId="0" applyFont="1" applyAlignment="1">
      <alignment horizontal="right"/>
    </xf>
    <xf numFmtId="0" fontId="23" fillId="0" borderId="31" xfId="0" applyFont="1" applyBorder="1" applyAlignment="1">
      <alignment horizontal="right" vertical="center"/>
    </xf>
    <xf numFmtId="0" fontId="23" fillId="0" borderId="54" xfId="0" applyFont="1" applyBorder="1" applyAlignment="1">
      <alignment horizontal="right" vertical="center"/>
    </xf>
    <xf numFmtId="0" fontId="23" fillId="11" borderId="43" xfId="0" applyFont="1" applyFill="1" applyBorder="1" applyAlignment="1">
      <alignment horizontal="right" vertical="center"/>
    </xf>
    <xf numFmtId="0" fontId="23" fillId="11" borderId="38" xfId="0" applyFont="1" applyFill="1" applyBorder="1" applyAlignment="1">
      <alignment horizontal="right" vertical="center"/>
    </xf>
    <xf numFmtId="0" fontId="23" fillId="11" borderId="39" xfId="0" applyFont="1" applyFill="1" applyBorder="1" applyAlignment="1">
      <alignment horizontal="right" vertical="center"/>
    </xf>
    <xf numFmtId="4" fontId="46" fillId="0" borderId="0" xfId="6" applyNumberFormat="1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8" fillId="0" borderId="43" xfId="0" applyFont="1" applyBorder="1" applyAlignment="1">
      <alignment horizontal="right" vertical="center"/>
    </xf>
    <xf numFmtId="0" fontId="48" fillId="0" borderId="38" xfId="0" applyFont="1" applyBorder="1" applyAlignment="1">
      <alignment horizontal="right" vertical="center"/>
    </xf>
    <xf numFmtId="0" fontId="48" fillId="0" borderId="39" xfId="0" applyFont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2" fillId="0" borderId="15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40" fillId="0" borderId="15" xfId="0" applyFont="1" applyBorder="1" applyAlignment="1">
      <alignment horizontal="right" vertical="center"/>
    </xf>
    <xf numFmtId="0" fontId="41" fillId="0" borderId="21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20" xfId="0" applyFont="1" applyBorder="1" applyAlignment="1">
      <alignment horizontal="right"/>
    </xf>
    <xf numFmtId="0" fontId="39" fillId="0" borderId="31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9" borderId="43" xfId="0" applyFont="1" applyFill="1" applyBorder="1" applyAlignment="1">
      <alignment horizontal="right"/>
    </xf>
    <xf numFmtId="0" fontId="37" fillId="9" borderId="38" xfId="0" applyFont="1" applyFill="1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right"/>
    </xf>
    <xf numFmtId="0" fontId="32" fillId="0" borderId="36" xfId="0" applyFont="1" applyBorder="1" applyAlignment="1">
      <alignment horizontal="right"/>
    </xf>
    <xf numFmtId="0" fontId="26" fillId="0" borderId="31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right" vertical="center" wrapText="1"/>
    </xf>
    <xf numFmtId="14" fontId="5" fillId="3" borderId="34" xfId="2" applyNumberFormat="1" applyFont="1" applyFill="1" applyBorder="1" applyAlignment="1">
      <alignment horizontal="center" vertical="center" wrapText="1"/>
    </xf>
    <xf numFmtId="14" fontId="5" fillId="3" borderId="32" xfId="2" applyNumberFormat="1" applyFont="1" applyFill="1" applyBorder="1" applyAlignment="1">
      <alignment horizontal="center" vertical="center" wrapText="1"/>
    </xf>
    <xf numFmtId="14" fontId="5" fillId="3" borderId="10" xfId="2" applyNumberFormat="1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left"/>
    </xf>
    <xf numFmtId="0" fontId="5" fillId="3" borderId="27" xfId="2" applyFont="1" applyFill="1" applyBorder="1" applyAlignment="1">
      <alignment horizontal="left"/>
    </xf>
    <xf numFmtId="0" fontId="5" fillId="3" borderId="19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37" xfId="2" applyFont="1" applyFill="1" applyBorder="1" applyAlignment="1">
      <alignment horizontal="center"/>
    </xf>
    <xf numFmtId="0" fontId="5" fillId="3" borderId="36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0" xfId="2" applyFont="1" applyFill="1" applyBorder="1" applyAlignment="1">
      <alignment horizontal="center"/>
    </xf>
    <xf numFmtId="0" fontId="5" fillId="3" borderId="41" xfId="2" applyFont="1" applyFill="1" applyBorder="1" applyAlignment="1">
      <alignment horizontal="center"/>
    </xf>
    <xf numFmtId="0" fontId="8" fillId="3" borderId="23" xfId="2" applyFont="1" applyFill="1" applyBorder="1" applyAlignment="1">
      <alignment horizontal="center"/>
    </xf>
    <xf numFmtId="0" fontId="8" fillId="3" borderId="24" xfId="2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51" fillId="5" borderId="43" xfId="2" applyFont="1" applyFill="1" applyBorder="1" applyAlignment="1">
      <alignment horizontal="center" vertical="center" wrapText="1"/>
    </xf>
    <xf numFmtId="0" fontId="51" fillId="5" borderId="38" xfId="2" applyFont="1" applyFill="1" applyBorder="1" applyAlignment="1">
      <alignment horizontal="center" vertical="center" wrapText="1"/>
    </xf>
    <xf numFmtId="0" fontId="51" fillId="5" borderId="39" xfId="2" applyFont="1" applyFill="1" applyBorder="1" applyAlignment="1">
      <alignment horizontal="center" vertical="center" wrapText="1"/>
    </xf>
    <xf numFmtId="0" fontId="15" fillId="3" borderId="35" xfId="2" applyFont="1" applyFill="1" applyBorder="1" applyAlignment="1">
      <alignment horizontal="right" vertical="top" wrapText="1"/>
    </xf>
    <xf numFmtId="0" fontId="15" fillId="3" borderId="33" xfId="2" applyFont="1" applyFill="1" applyBorder="1" applyAlignment="1">
      <alignment horizontal="right" vertical="top" wrapText="1"/>
    </xf>
    <xf numFmtId="0" fontId="15" fillId="3" borderId="30" xfId="2" applyFont="1" applyFill="1" applyBorder="1" applyAlignment="1">
      <alignment horizontal="right" vertical="top" wrapText="1"/>
    </xf>
    <xf numFmtId="0" fontId="52" fillId="3" borderId="0" xfId="2" applyFont="1" applyFill="1" applyAlignment="1">
      <alignment horizontal="right"/>
    </xf>
    <xf numFmtId="0" fontId="53" fillId="3" borderId="31" xfId="2" applyFont="1" applyFill="1" applyBorder="1" applyAlignment="1">
      <alignment horizontal="center"/>
    </xf>
    <xf numFmtId="0" fontId="52" fillId="3" borderId="0" xfId="2" applyFont="1" applyFill="1"/>
    <xf numFmtId="0" fontId="15" fillId="2" borderId="42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42" xfId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0" borderId="40" xfId="1" applyFont="1" applyBorder="1" applyAlignment="1">
      <alignment horizontal="right"/>
    </xf>
    <xf numFmtId="0" fontId="15" fillId="0" borderId="41" xfId="1" applyFont="1" applyBorder="1" applyAlignment="1">
      <alignment horizontal="right"/>
    </xf>
    <xf numFmtId="0" fontId="15" fillId="0" borderId="12" xfId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0" fontId="5" fillId="3" borderId="28" xfId="1" applyFont="1" applyFill="1" applyBorder="1" applyAlignment="1">
      <alignment horizontal="center"/>
    </xf>
    <xf numFmtId="0" fontId="5" fillId="3" borderId="44" xfId="1" applyFont="1" applyFill="1" applyBorder="1" applyAlignment="1">
      <alignment horizontal="center"/>
    </xf>
    <xf numFmtId="0" fontId="15" fillId="0" borderId="7" xfId="1" applyFont="1" applyBorder="1" applyAlignment="1">
      <alignment horizontal="right"/>
    </xf>
    <xf numFmtId="0" fontId="15" fillId="0" borderId="6" xfId="1" applyFont="1" applyBorder="1" applyAlignment="1">
      <alignment horizontal="right"/>
    </xf>
    <xf numFmtId="0" fontId="15" fillId="0" borderId="8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9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right" wrapText="1"/>
    </xf>
    <xf numFmtId="164" fontId="5" fillId="0" borderId="8" xfId="1" applyNumberFormat="1" applyFont="1" applyBorder="1" applyAlignment="1">
      <alignment horizontal="right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5" fillId="0" borderId="9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15" fillId="0" borderId="4" xfId="1" applyFont="1" applyBorder="1" applyAlignment="1">
      <alignment horizontal="right"/>
    </xf>
    <xf numFmtId="0" fontId="15" fillId="0" borderId="3" xfId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5" fillId="2" borderId="43" xfId="1" applyFont="1" applyFill="1" applyBorder="1" applyAlignment="1">
      <alignment horizontal="left"/>
    </xf>
    <xf numFmtId="0" fontId="15" fillId="2" borderId="38" xfId="1" applyFont="1" applyFill="1" applyBorder="1" applyAlignment="1">
      <alignment horizontal="left"/>
    </xf>
    <xf numFmtId="0" fontId="15" fillId="2" borderId="39" xfId="1" applyFont="1" applyFill="1" applyBorder="1" applyAlignment="1">
      <alignment horizontal="left"/>
    </xf>
    <xf numFmtId="0" fontId="5" fillId="0" borderId="55" xfId="10" applyFont="1" applyBorder="1" applyAlignment="1">
      <alignment horizontal="left"/>
    </xf>
    <xf numFmtId="0" fontId="5" fillId="0" borderId="27" xfId="10" applyFont="1" applyBorder="1" applyAlignment="1">
      <alignment horizontal="left"/>
    </xf>
    <xf numFmtId="0" fontId="5" fillId="0" borderId="56" xfId="10" applyFont="1" applyBorder="1" applyAlignment="1">
      <alignment horizontal="left"/>
    </xf>
    <xf numFmtId="0" fontId="5" fillId="0" borderId="7" xfId="10" applyFont="1" applyBorder="1" applyAlignment="1">
      <alignment horizontal="left"/>
    </xf>
    <xf numFmtId="0" fontId="5" fillId="0" borderId="6" xfId="10" applyFont="1" applyBorder="1" applyAlignment="1">
      <alignment horizontal="left"/>
    </xf>
    <xf numFmtId="0" fontId="5" fillId="0" borderId="5" xfId="10" applyFont="1" applyBorder="1" applyAlignment="1">
      <alignment horizontal="left"/>
    </xf>
    <xf numFmtId="0" fontId="5" fillId="0" borderId="25" xfId="10" applyFont="1" applyBorder="1" applyAlignment="1">
      <alignment horizontal="left"/>
    </xf>
    <xf numFmtId="0" fontId="5" fillId="0" borderId="24" xfId="10" applyFont="1" applyBorder="1" applyAlignment="1">
      <alignment horizontal="left"/>
    </xf>
    <xf numFmtId="0" fontId="5" fillId="0" borderId="22" xfId="10" applyFont="1" applyBorder="1" applyAlignment="1">
      <alignment horizontal="left"/>
    </xf>
    <xf numFmtId="0" fontId="56" fillId="0" borderId="26" xfId="1" applyFont="1" applyBorder="1" applyAlignment="1">
      <alignment horizontal="left" wrapText="1"/>
    </xf>
    <xf numFmtId="0" fontId="57" fillId="0" borderId="27" xfId="1" applyFont="1" applyBorder="1" applyAlignment="1">
      <alignment horizontal="left" wrapText="1"/>
    </xf>
    <xf numFmtId="0" fontId="57" fillId="0" borderId="19" xfId="1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14" fontId="0" fillId="3" borderId="14" xfId="2" applyNumberFormat="1" applyFont="1" applyFill="1" applyBorder="1" applyAlignment="1">
      <alignment horizontal="center" vertical="center" wrapText="1"/>
    </xf>
    <xf numFmtId="14" fontId="1" fillId="3" borderId="14" xfId="2" applyNumberFormat="1" applyFont="1" applyFill="1" applyBorder="1" applyAlignment="1">
      <alignment horizontal="center" vertical="center" wrapText="1"/>
    </xf>
    <xf numFmtId="14" fontId="1" fillId="3" borderId="1" xfId="2" applyNumberFormat="1" applyFont="1" applyFill="1" applyBorder="1" applyAlignment="1">
      <alignment horizontal="center" vertical="center" wrapText="1"/>
    </xf>
    <xf numFmtId="0" fontId="1" fillId="3" borderId="15" xfId="2" applyFont="1" applyFill="1" applyBorder="1" applyAlignment="1">
      <alignment horizontal="left"/>
    </xf>
    <xf numFmtId="0" fontId="1" fillId="3" borderId="2" xfId="2" applyFont="1" applyFill="1" applyBorder="1" applyAlignment="1">
      <alignment horizontal="left"/>
    </xf>
    <xf numFmtId="0" fontId="1" fillId="3" borderId="37" xfId="2" applyFont="1" applyFill="1" applyBorder="1" applyAlignment="1">
      <alignment horizontal="center"/>
    </xf>
    <xf numFmtId="0" fontId="1" fillId="3" borderId="57" xfId="2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/>
    </xf>
    <xf numFmtId="0" fontId="1" fillId="3" borderId="33" xfId="2" applyFont="1" applyFill="1" applyBorder="1" applyAlignment="1">
      <alignment horizontal="center"/>
    </xf>
    <xf numFmtId="0" fontId="1" fillId="3" borderId="58" xfId="2" applyFont="1" applyFill="1" applyBorder="1" applyAlignment="1">
      <alignment horizontal="center"/>
    </xf>
    <xf numFmtId="0" fontId="1" fillId="3" borderId="30" xfId="2" applyFont="1" applyFill="1" applyBorder="1" applyAlignment="1">
      <alignment horizontal="center"/>
    </xf>
    <xf numFmtId="0" fontId="52" fillId="3" borderId="18" xfId="2" applyFont="1" applyFill="1" applyBorder="1" applyAlignment="1">
      <alignment horizontal="center"/>
    </xf>
    <xf numFmtId="0" fontId="52" fillId="3" borderId="15" xfId="2" applyFont="1" applyFill="1" applyBorder="1" applyAlignment="1">
      <alignment horizontal="center"/>
    </xf>
    <xf numFmtId="0" fontId="16" fillId="5" borderId="9" xfId="2" applyFont="1" applyFill="1" applyBorder="1" applyAlignment="1">
      <alignment horizontal="center" vertical="center" wrapText="1"/>
    </xf>
    <xf numFmtId="0" fontId="16" fillId="5" borderId="6" xfId="2" applyFont="1" applyFill="1" applyBorder="1" applyAlignment="1">
      <alignment horizontal="center" vertical="center" wrapText="1"/>
    </xf>
    <xf numFmtId="0" fontId="16" fillId="5" borderId="8" xfId="2" applyFont="1" applyFill="1" applyBorder="1" applyAlignment="1">
      <alignment horizontal="center" vertical="center" wrapText="1"/>
    </xf>
    <xf numFmtId="0" fontId="58" fillId="3" borderId="15" xfId="2" applyFont="1" applyFill="1" applyBorder="1" applyAlignment="1">
      <alignment horizontal="right" vertical="top" wrapText="1"/>
    </xf>
    <xf numFmtId="0" fontId="58" fillId="3" borderId="2" xfId="2" applyFont="1" applyFill="1" applyBorder="1" applyAlignment="1">
      <alignment horizontal="right" vertical="top" wrapText="1"/>
    </xf>
    <xf numFmtId="0" fontId="58" fillId="2" borderId="42" xfId="0" applyFont="1" applyFill="1" applyBorder="1" applyAlignment="1">
      <alignment horizontal="center" vertical="center"/>
    </xf>
    <xf numFmtId="0" fontId="58" fillId="2" borderId="60" xfId="0" applyFont="1" applyFill="1" applyBorder="1" applyAlignment="1">
      <alignment horizontal="center" vertical="center"/>
    </xf>
    <xf numFmtId="0" fontId="58" fillId="2" borderId="59" xfId="0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0" fontId="58" fillId="2" borderId="18" xfId="0" applyFont="1" applyFill="1" applyBorder="1" applyAlignment="1">
      <alignment horizontal="center" vertical="center"/>
    </xf>
    <xf numFmtId="0" fontId="58" fillId="2" borderId="29" xfId="0" applyFont="1" applyFill="1" applyBorder="1" applyAlignment="1">
      <alignment horizontal="center" vertical="center"/>
    </xf>
    <xf numFmtId="0" fontId="58" fillId="0" borderId="40" xfId="0" applyFont="1" applyBorder="1" applyAlignment="1">
      <alignment horizontal="right"/>
    </xf>
    <xf numFmtId="0" fontId="58" fillId="0" borderId="41" xfId="0" applyFont="1" applyBorder="1" applyAlignment="1">
      <alignment horizontal="right"/>
    </xf>
    <xf numFmtId="0" fontId="58" fillId="0" borderId="12" xfId="0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0" fontId="1" fillId="3" borderId="28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58" fillId="0" borderId="7" xfId="0" applyFont="1" applyBorder="1" applyAlignment="1">
      <alignment horizontal="right"/>
    </xf>
    <xf numFmtId="0" fontId="58" fillId="0" borderId="6" xfId="0" applyFont="1" applyBorder="1" applyAlignment="1">
      <alignment horizontal="right"/>
    </xf>
    <xf numFmtId="0" fontId="58" fillId="0" borderId="8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9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57" fillId="0" borderId="40" xfId="1" applyFont="1" applyBorder="1" applyAlignment="1">
      <alignment horizontal="left" wrapText="1"/>
    </xf>
    <xf numFmtId="0" fontId="57" fillId="0" borderId="41" xfId="1" applyFont="1" applyBorder="1" applyAlignment="1">
      <alignment horizontal="left" wrapText="1"/>
    </xf>
    <xf numFmtId="0" fontId="57" fillId="0" borderId="44" xfId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right" wrapText="1"/>
    </xf>
    <xf numFmtId="164" fontId="1" fillId="0" borderId="8" xfId="0" applyNumberFormat="1" applyFont="1" applyBorder="1" applyAlignment="1">
      <alignment horizontal="right" wrapText="1"/>
    </xf>
    <xf numFmtId="0" fontId="58" fillId="0" borderId="4" xfId="0" applyFont="1" applyBorder="1" applyAlignment="1">
      <alignment horizontal="right"/>
    </xf>
    <xf numFmtId="0" fontId="58" fillId="0" borderId="3" xfId="0" applyFont="1" applyBorder="1" applyAlignment="1">
      <alignment horizontal="right"/>
    </xf>
    <xf numFmtId="0" fontId="58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4" fontId="1" fillId="0" borderId="23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58" fillId="2" borderId="43" xfId="0" applyFont="1" applyFill="1" applyBorder="1" applyAlignment="1">
      <alignment horizontal="left"/>
    </xf>
    <xf numFmtId="0" fontId="58" fillId="2" borderId="38" xfId="0" applyFont="1" applyFill="1" applyBorder="1" applyAlignment="1">
      <alignment horizontal="left"/>
    </xf>
    <xf numFmtId="0" fontId="58" fillId="2" borderId="39" xfId="0" applyFont="1" applyFill="1" applyBorder="1" applyAlignment="1">
      <alignment horizontal="left"/>
    </xf>
    <xf numFmtId="0" fontId="56" fillId="0" borderId="58" xfId="1" applyFont="1" applyBorder="1" applyAlignment="1">
      <alignment horizontal="left"/>
    </xf>
    <xf numFmtId="0" fontId="56" fillId="0" borderId="31" xfId="1" applyFont="1" applyBorder="1" applyAlignment="1">
      <alignment horizontal="left"/>
    </xf>
    <xf numFmtId="0" fontId="56" fillId="0" borderId="54" xfId="1" applyFont="1" applyBorder="1" applyAlignment="1">
      <alignment horizontal="left"/>
    </xf>
    <xf numFmtId="0" fontId="56" fillId="0" borderId="40" xfId="1" applyFont="1" applyBorder="1" applyAlignment="1">
      <alignment horizontal="left"/>
    </xf>
    <xf numFmtId="0" fontId="56" fillId="0" borderId="41" xfId="1" applyFont="1" applyBorder="1" applyAlignment="1">
      <alignment horizontal="left"/>
    </xf>
    <xf numFmtId="0" fontId="56" fillId="0" borderId="44" xfId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7" xfId="1" applyFont="1" applyBorder="1" applyAlignment="1">
      <alignment horizontal="left" wrapText="1"/>
    </xf>
    <xf numFmtId="0" fontId="6" fillId="0" borderId="6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62" fillId="2" borderId="43" xfId="2" applyFont="1" applyFill="1" applyBorder="1" applyAlignment="1">
      <alignment horizontal="center" vertical="center" wrapText="1"/>
    </xf>
    <xf numFmtId="0" fontId="62" fillId="2" borderId="38" xfId="2" applyFont="1" applyFill="1" applyBorder="1" applyAlignment="1">
      <alignment horizontal="center" vertical="center" wrapText="1"/>
    </xf>
    <xf numFmtId="0" fontId="62" fillId="2" borderId="39" xfId="2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/>
    </xf>
    <xf numFmtId="164" fontId="5" fillId="0" borderId="23" xfId="1" applyNumberFormat="1" applyFont="1" applyBorder="1" applyAlignment="1">
      <alignment horizontal="center"/>
    </xf>
    <xf numFmtId="164" fontId="5" fillId="0" borderId="22" xfId="1" applyNumberFormat="1" applyFont="1" applyBorder="1" applyAlignment="1">
      <alignment horizontal="center"/>
    </xf>
    <xf numFmtId="0" fontId="5" fillId="0" borderId="25" xfId="1" applyFont="1" applyBorder="1" applyAlignment="1">
      <alignment horizontal="left"/>
    </xf>
    <xf numFmtId="0" fontId="5" fillId="0" borderId="24" xfId="1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5" fillId="0" borderId="7" xfId="1" applyFont="1" applyBorder="1" applyAlignment="1">
      <alignment horizontal="left" wrapText="1"/>
    </xf>
    <xf numFmtId="0" fontId="5" fillId="0" borderId="6" xfId="1" applyFont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8" fillId="5" borderId="43" xfId="2" applyFont="1" applyFill="1" applyBorder="1" applyAlignment="1">
      <alignment horizontal="center" vertical="center" wrapText="1"/>
    </xf>
    <xf numFmtId="0" fontId="8" fillId="5" borderId="38" xfId="2" applyFont="1" applyFill="1" applyBorder="1" applyAlignment="1">
      <alignment horizontal="center" vertical="center" wrapText="1"/>
    </xf>
    <xf numFmtId="0" fontId="8" fillId="5" borderId="39" xfId="2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64" fontId="7" fillId="0" borderId="9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8" fillId="6" borderId="45" xfId="2" applyFont="1" applyFill="1" applyBorder="1" applyAlignment="1">
      <alignment horizontal="left"/>
    </xf>
    <xf numFmtId="0" fontId="8" fillId="6" borderId="36" xfId="2" applyFont="1" applyFill="1" applyBorder="1" applyAlignment="1">
      <alignment horizontal="left"/>
    </xf>
    <xf numFmtId="0" fontId="7" fillId="3" borderId="46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54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25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14" fontId="66" fillId="3" borderId="34" xfId="2" applyNumberFormat="1" applyFont="1" applyFill="1" applyBorder="1" applyAlignment="1">
      <alignment horizontal="center" vertical="center" wrapText="1"/>
    </xf>
    <xf numFmtId="14" fontId="66" fillId="3" borderId="32" xfId="2" applyNumberFormat="1" applyFont="1" applyFill="1" applyBorder="1" applyAlignment="1">
      <alignment horizontal="center" vertical="center" wrapText="1"/>
    </xf>
    <xf numFmtId="14" fontId="66" fillId="3" borderId="10" xfId="2" applyNumberFormat="1" applyFont="1" applyFill="1" applyBorder="1" applyAlignment="1">
      <alignment horizontal="center" vertical="center" wrapText="1"/>
    </xf>
    <xf numFmtId="0" fontId="66" fillId="3" borderId="26" xfId="2" applyFont="1" applyFill="1" applyBorder="1" applyAlignment="1">
      <alignment horizontal="left"/>
    </xf>
    <xf numFmtId="0" fontId="66" fillId="3" borderId="27" xfId="2" applyFont="1" applyFill="1" applyBorder="1" applyAlignment="1">
      <alignment horizontal="left"/>
    </xf>
    <xf numFmtId="0" fontId="66" fillId="3" borderId="19" xfId="2" applyFont="1" applyFill="1" applyBorder="1" applyAlignment="1">
      <alignment horizontal="left"/>
    </xf>
    <xf numFmtId="0" fontId="66" fillId="3" borderId="9" xfId="2" applyFont="1" applyFill="1" applyBorder="1" applyAlignment="1">
      <alignment horizontal="left"/>
    </xf>
    <xf numFmtId="0" fontId="66" fillId="3" borderId="6" xfId="2" applyFont="1" applyFill="1" applyBorder="1" applyAlignment="1">
      <alignment horizontal="left"/>
    </xf>
    <xf numFmtId="0" fontId="66" fillId="3" borderId="8" xfId="2" applyFont="1" applyFill="1" applyBorder="1" applyAlignment="1">
      <alignment horizontal="left"/>
    </xf>
    <xf numFmtId="0" fontId="66" fillId="3" borderId="37" xfId="2" applyFont="1" applyFill="1" applyBorder="1" applyAlignment="1">
      <alignment horizontal="center"/>
    </xf>
    <xf numFmtId="0" fontId="66" fillId="3" borderId="36" xfId="2" applyFont="1" applyFill="1" applyBorder="1" applyAlignment="1">
      <alignment horizontal="center"/>
    </xf>
    <xf numFmtId="0" fontId="66" fillId="3" borderId="21" xfId="2" applyFont="1" applyFill="1" applyBorder="1" applyAlignment="1">
      <alignment horizontal="center"/>
    </xf>
    <xf numFmtId="0" fontId="66" fillId="3" borderId="0" xfId="2" applyFont="1" applyFill="1" applyAlignment="1">
      <alignment horizontal="center"/>
    </xf>
    <xf numFmtId="0" fontId="66" fillId="3" borderId="40" xfId="2" applyFont="1" applyFill="1" applyBorder="1" applyAlignment="1">
      <alignment horizontal="center"/>
    </xf>
    <xf numFmtId="0" fontId="66" fillId="3" borderId="41" xfId="2" applyFont="1" applyFill="1" applyBorder="1" applyAlignment="1">
      <alignment horizontal="center"/>
    </xf>
    <xf numFmtId="0" fontId="67" fillId="3" borderId="18" xfId="2" applyFont="1" applyFill="1" applyBorder="1" applyAlignment="1">
      <alignment horizontal="center"/>
    </xf>
    <xf numFmtId="0" fontId="67" fillId="3" borderId="23" xfId="2" applyFont="1" applyFill="1" applyBorder="1" applyAlignment="1">
      <alignment horizontal="center"/>
    </xf>
    <xf numFmtId="0" fontId="67" fillId="3" borderId="24" xfId="2" applyFont="1" applyFill="1" applyBorder="1" applyAlignment="1">
      <alignment horizontal="center"/>
    </xf>
    <xf numFmtId="0" fontId="67" fillId="3" borderId="3" xfId="2" applyFont="1" applyFill="1" applyBorder="1" applyAlignment="1">
      <alignment horizontal="center"/>
    </xf>
    <xf numFmtId="0" fontId="67" fillId="5" borderId="43" xfId="2" applyFont="1" applyFill="1" applyBorder="1" applyAlignment="1">
      <alignment horizontal="center" vertical="center" wrapText="1"/>
    </xf>
    <xf numFmtId="0" fontId="67" fillId="5" borderId="38" xfId="2" applyFont="1" applyFill="1" applyBorder="1" applyAlignment="1">
      <alignment horizontal="center" vertical="center" wrapText="1"/>
    </xf>
    <xf numFmtId="0" fontId="67" fillId="5" borderId="39" xfId="2" applyFont="1" applyFill="1" applyBorder="1" applyAlignment="1">
      <alignment horizontal="center" vertical="center" wrapText="1"/>
    </xf>
    <xf numFmtId="0" fontId="67" fillId="3" borderId="35" xfId="2" applyFont="1" applyFill="1" applyBorder="1" applyAlignment="1">
      <alignment horizontal="right" vertical="top" wrapText="1"/>
    </xf>
    <xf numFmtId="0" fontId="67" fillId="3" borderId="33" xfId="2" applyFont="1" applyFill="1" applyBorder="1" applyAlignment="1">
      <alignment horizontal="right" vertical="top" wrapText="1"/>
    </xf>
    <xf numFmtId="0" fontId="67" fillId="3" borderId="30" xfId="2" applyFont="1" applyFill="1" applyBorder="1" applyAlignment="1">
      <alignment horizontal="right" vertical="top" wrapText="1"/>
    </xf>
    <xf numFmtId="0" fontId="68" fillId="3" borderId="0" xfId="2" applyFont="1" applyFill="1" applyAlignment="1">
      <alignment horizontal="right"/>
    </xf>
    <xf numFmtId="0" fontId="69" fillId="3" borderId="31" xfId="2" applyFont="1" applyFill="1" applyBorder="1" applyAlignment="1">
      <alignment horizontal="center"/>
    </xf>
    <xf numFmtId="0" fontId="68" fillId="3" borderId="0" xfId="2" applyFont="1" applyFill="1"/>
    <xf numFmtId="0" fontId="67" fillId="2" borderId="42" xfId="1" applyFont="1" applyFill="1" applyBorder="1" applyAlignment="1">
      <alignment horizontal="center" vertical="center"/>
    </xf>
    <xf numFmtId="0" fontId="67" fillId="2" borderId="4" xfId="1" applyFont="1" applyFill="1" applyBorder="1" applyAlignment="1">
      <alignment horizontal="center" vertical="center"/>
    </xf>
    <xf numFmtId="0" fontId="67" fillId="2" borderId="42" xfId="1" applyFont="1" applyFill="1" applyBorder="1" applyAlignment="1">
      <alignment horizontal="center" vertical="center" wrapText="1"/>
    </xf>
    <xf numFmtId="0" fontId="67" fillId="2" borderId="4" xfId="1" applyFont="1" applyFill="1" applyBorder="1" applyAlignment="1">
      <alignment horizontal="center" vertical="center" wrapText="1"/>
    </xf>
    <xf numFmtId="0" fontId="67" fillId="2" borderId="18" xfId="1" applyFont="1" applyFill="1" applyBorder="1" applyAlignment="1">
      <alignment horizontal="center" vertical="center"/>
    </xf>
    <xf numFmtId="0" fontId="67" fillId="2" borderId="2" xfId="1" applyFont="1" applyFill="1" applyBorder="1" applyAlignment="1">
      <alignment horizontal="center" vertical="center"/>
    </xf>
    <xf numFmtId="0" fontId="67" fillId="0" borderId="40" xfId="1" applyFont="1" applyBorder="1" applyAlignment="1">
      <alignment horizontal="right"/>
    </xf>
    <xf numFmtId="0" fontId="67" fillId="0" borderId="41" xfId="1" applyFont="1" applyBorder="1" applyAlignment="1">
      <alignment horizontal="right"/>
    </xf>
    <xf numFmtId="0" fontId="67" fillId="0" borderId="12" xfId="1" applyFont="1" applyBorder="1" applyAlignment="1">
      <alignment horizontal="right"/>
    </xf>
    <xf numFmtId="164" fontId="66" fillId="0" borderId="11" xfId="1" applyNumberFormat="1" applyFont="1" applyBorder="1" applyAlignment="1">
      <alignment horizontal="right"/>
    </xf>
    <xf numFmtId="0" fontId="66" fillId="3" borderId="28" xfId="1" applyFont="1" applyFill="1" applyBorder="1" applyAlignment="1">
      <alignment horizontal="center"/>
    </xf>
    <xf numFmtId="0" fontId="66" fillId="3" borderId="44" xfId="1" applyFont="1" applyFill="1" applyBorder="1" applyAlignment="1">
      <alignment horizontal="center"/>
    </xf>
    <xf numFmtId="0" fontId="67" fillId="0" borderId="7" xfId="1" applyFont="1" applyBorder="1" applyAlignment="1">
      <alignment horizontal="right"/>
    </xf>
    <xf numFmtId="0" fontId="67" fillId="0" borderId="6" xfId="1" applyFont="1" applyBorder="1" applyAlignment="1">
      <alignment horizontal="right"/>
    </xf>
    <xf numFmtId="0" fontId="67" fillId="0" borderId="8" xfId="1" applyFont="1" applyBorder="1" applyAlignment="1">
      <alignment horizontal="right"/>
    </xf>
    <xf numFmtId="0" fontId="66" fillId="0" borderId="15" xfId="1" applyFont="1" applyBorder="1" applyAlignment="1">
      <alignment horizontal="right"/>
    </xf>
    <xf numFmtId="164" fontId="66" fillId="0" borderId="9" xfId="1" applyNumberFormat="1" applyFont="1" applyBorder="1" applyAlignment="1">
      <alignment horizontal="center"/>
    </xf>
    <xf numFmtId="164" fontId="66" fillId="0" borderId="5" xfId="1" applyNumberFormat="1" applyFont="1" applyBorder="1" applyAlignment="1">
      <alignment horizontal="center"/>
    </xf>
    <xf numFmtId="0" fontId="66" fillId="0" borderId="13" xfId="1" applyFont="1" applyBorder="1" applyAlignment="1">
      <alignment horizontal="left"/>
    </xf>
    <xf numFmtId="0" fontId="66" fillId="0" borderId="12" xfId="1" applyFont="1" applyBorder="1" applyAlignment="1">
      <alignment horizontal="left"/>
    </xf>
    <xf numFmtId="0" fontId="66" fillId="0" borderId="11" xfId="1" applyFont="1" applyBorder="1" applyAlignment="1">
      <alignment horizontal="left"/>
    </xf>
    <xf numFmtId="0" fontId="66" fillId="0" borderId="10" xfId="1" applyFont="1" applyBorder="1" applyAlignment="1">
      <alignment horizontal="left"/>
    </xf>
    <xf numFmtId="164" fontId="66" fillId="0" borderId="9" xfId="1" applyNumberFormat="1" applyFont="1" applyBorder="1" applyAlignment="1">
      <alignment horizontal="right" wrapText="1"/>
    </xf>
    <xf numFmtId="164" fontId="66" fillId="0" borderId="8" xfId="1" applyNumberFormat="1" applyFont="1" applyBorder="1" applyAlignment="1">
      <alignment horizontal="right" wrapText="1"/>
    </xf>
    <xf numFmtId="164" fontId="66" fillId="0" borderId="9" xfId="0" applyNumberFormat="1" applyFont="1" applyBorder="1" applyAlignment="1">
      <alignment horizontal="center" wrapText="1"/>
    </xf>
    <xf numFmtId="164" fontId="66" fillId="0" borderId="5" xfId="0" applyNumberFormat="1" applyFont="1" applyBorder="1" applyAlignment="1">
      <alignment horizontal="center" wrapText="1"/>
    </xf>
    <xf numFmtId="0" fontId="67" fillId="0" borderId="4" xfId="1" applyFont="1" applyBorder="1" applyAlignment="1">
      <alignment horizontal="right"/>
    </xf>
    <xf numFmtId="0" fontId="67" fillId="0" borderId="3" xfId="1" applyFont="1" applyBorder="1" applyAlignment="1">
      <alignment horizontal="right"/>
    </xf>
    <xf numFmtId="0" fontId="67" fillId="0" borderId="2" xfId="1" applyFont="1" applyBorder="1" applyAlignment="1">
      <alignment horizontal="right"/>
    </xf>
    <xf numFmtId="0" fontId="66" fillId="0" borderId="2" xfId="1" applyFont="1" applyBorder="1" applyAlignment="1">
      <alignment horizontal="right"/>
    </xf>
    <xf numFmtId="0" fontId="67" fillId="2" borderId="43" xfId="1" applyFont="1" applyFill="1" applyBorder="1" applyAlignment="1">
      <alignment horizontal="left"/>
    </xf>
    <xf numFmtId="0" fontId="67" fillId="2" borderId="38" xfId="1" applyFont="1" applyFill="1" applyBorder="1" applyAlignment="1">
      <alignment horizontal="left"/>
    </xf>
    <xf numFmtId="0" fontId="67" fillId="2" borderId="39" xfId="1" applyFont="1" applyFill="1" applyBorder="1" applyAlignment="1">
      <alignment horizontal="left"/>
    </xf>
    <xf numFmtId="0" fontId="70" fillId="0" borderId="7" xfId="0" applyFont="1" applyBorder="1" applyAlignment="1">
      <alignment horizontal="left"/>
    </xf>
    <xf numFmtId="0" fontId="70" fillId="0" borderId="6" xfId="0" applyFont="1" applyBorder="1" applyAlignment="1">
      <alignment horizontal="left"/>
    </xf>
    <xf numFmtId="0" fontId="70" fillId="0" borderId="5" xfId="0" applyFont="1" applyBorder="1" applyAlignment="1">
      <alignment horizontal="left"/>
    </xf>
    <xf numFmtId="0" fontId="67" fillId="6" borderId="45" xfId="2" applyFont="1" applyFill="1" applyBorder="1" applyAlignment="1">
      <alignment horizontal="center"/>
    </xf>
    <xf numFmtId="0" fontId="67" fillId="6" borderId="36" xfId="2" applyFont="1" applyFill="1" applyBorder="1" applyAlignment="1">
      <alignment horizontal="center"/>
    </xf>
    <xf numFmtId="0" fontId="66" fillId="3" borderId="46" xfId="2" applyFont="1" applyFill="1" applyBorder="1" applyAlignment="1">
      <alignment horizontal="left"/>
    </xf>
    <xf numFmtId="0" fontId="66" fillId="3" borderId="0" xfId="2" applyFont="1" applyFill="1" applyAlignment="1">
      <alignment horizontal="left"/>
    </xf>
    <xf numFmtId="0" fontId="67" fillId="0" borderId="13" xfId="1" applyFont="1" applyBorder="1" applyAlignment="1">
      <alignment horizontal="center"/>
    </xf>
    <xf numFmtId="0" fontId="67" fillId="0" borderId="12" xfId="1" applyFont="1" applyBorder="1" applyAlignment="1">
      <alignment horizontal="center"/>
    </xf>
    <xf numFmtId="0" fontId="67" fillId="0" borderId="11" xfId="1" applyFont="1" applyBorder="1" applyAlignment="1">
      <alignment horizontal="center"/>
    </xf>
    <xf numFmtId="0" fontId="67" fillId="0" borderId="10" xfId="1" applyFont="1" applyBorder="1" applyAlignment="1">
      <alignment horizontal="center"/>
    </xf>
    <xf numFmtId="0" fontId="66" fillId="0" borderId="60" xfId="1" applyFont="1" applyBorder="1" applyAlignment="1">
      <alignment horizontal="left" wrapText="1"/>
    </xf>
    <xf numFmtId="0" fontId="66" fillId="0" borderId="35" xfId="1" applyFont="1" applyBorder="1" applyAlignment="1">
      <alignment horizontal="left" wrapText="1"/>
    </xf>
    <xf numFmtId="0" fontId="66" fillId="0" borderId="29" xfId="1" applyFont="1" applyBorder="1" applyAlignment="1">
      <alignment horizontal="left" wrapText="1"/>
    </xf>
    <xf numFmtId="0" fontId="66" fillId="0" borderId="34" xfId="1" applyFont="1" applyBorder="1" applyAlignment="1">
      <alignment horizontal="left" wrapText="1"/>
    </xf>
    <xf numFmtId="0" fontId="66" fillId="0" borderId="16" xfId="0" applyFont="1" applyBorder="1" applyAlignment="1">
      <alignment horizontal="left"/>
    </xf>
    <xf numFmtId="0" fontId="66" fillId="0" borderId="8" xfId="0" applyFont="1" applyBorder="1" applyAlignment="1">
      <alignment horizontal="left"/>
    </xf>
    <xf numFmtId="0" fontId="66" fillId="0" borderId="15" xfId="0" applyFont="1" applyBorder="1" applyAlignment="1">
      <alignment horizontal="left"/>
    </xf>
    <xf numFmtId="0" fontId="66" fillId="0" borderId="14" xfId="0" applyFont="1" applyBorder="1" applyAlignment="1">
      <alignment horizontal="left"/>
    </xf>
    <xf numFmtId="0" fontId="66" fillId="0" borderId="7" xfId="0" applyFont="1" applyBorder="1" applyAlignment="1">
      <alignment horizontal="left" wrapText="1"/>
    </xf>
    <xf numFmtId="0" fontId="66" fillId="0" borderId="6" xfId="0" applyFont="1" applyBorder="1" applyAlignment="1">
      <alignment horizontal="left" wrapText="1"/>
    </xf>
    <xf numFmtId="0" fontId="66" fillId="0" borderId="8" xfId="0" applyFont="1" applyBorder="1" applyAlignment="1">
      <alignment horizontal="left" wrapText="1"/>
    </xf>
    <xf numFmtId="0" fontId="66" fillId="0" borderId="25" xfId="0" applyFont="1" applyBorder="1" applyAlignment="1">
      <alignment horizontal="left"/>
    </xf>
    <xf numFmtId="0" fontId="66" fillId="0" borderId="24" xfId="0" applyFont="1" applyBorder="1" applyAlignment="1">
      <alignment horizontal="left"/>
    </xf>
    <xf numFmtId="0" fontId="66" fillId="0" borderId="22" xfId="0" applyFont="1" applyBorder="1" applyAlignment="1">
      <alignment horizontal="left"/>
    </xf>
  </cellXfs>
  <cellStyles count="20">
    <cellStyle name="Millares" xfId="5" builtinId="3"/>
    <cellStyle name="Millares [0]" xfId="6" builtinId="6"/>
    <cellStyle name="Millares [0] 2" xfId="9" xr:uid="{047EBC5F-CD6E-4498-B205-8A9FA03C17FE}"/>
    <cellStyle name="Millares [0] 2 2" xfId="19" xr:uid="{F700679B-18FE-488B-B0BF-DF3149C4EC00}"/>
    <cellStyle name="Millares [0] 3" xfId="16" xr:uid="{3301419E-92F2-47B1-B784-A94671CA4EA5}"/>
    <cellStyle name="Millares 2" xfId="8" xr:uid="{4C06DCB3-8101-4CE8-BA75-5DE1B1E480FA}"/>
    <cellStyle name="Millares 2 2" xfId="18" xr:uid="{D87E59D6-2368-40C4-8AD5-45991221D0A2}"/>
    <cellStyle name="Millares 3" xfId="15" xr:uid="{8717B677-6975-4910-8497-E2488E75F826}"/>
    <cellStyle name="Millares 4" xfId="13" xr:uid="{82F2674B-45B4-4C0D-BEDC-2F6CDE714117}"/>
    <cellStyle name="Millares 5" xfId="17" xr:uid="{828F3586-5802-4556-BF32-308A89CFBA2C}"/>
    <cellStyle name="Millares 6" xfId="14" xr:uid="{960F97E1-0F7C-46E2-8DC9-B815891198A7}"/>
    <cellStyle name="Normal" xfId="0" builtinId="0"/>
    <cellStyle name="Normal 2" xfId="1" xr:uid="{2DDBC5E7-0E7E-4491-99E3-7A5940DF1256}"/>
    <cellStyle name="Normal 2 2" xfId="10" xr:uid="{0280A927-09FB-4874-91CC-C7F8AB7E7482}"/>
    <cellStyle name="Normal 3 2" xfId="4" xr:uid="{71C988F8-0287-427A-924A-7BBB9BDC240E}"/>
    <cellStyle name="Normal 5" xfId="3" xr:uid="{9E162E44-7FEC-4CBF-A2D3-215B3357159E}"/>
    <cellStyle name="Normal_CRITERIOS DE EVALUACION PT DE GB 2" xfId="2" xr:uid="{91D1D7B8-FF69-4D3C-B5A7-139D9BD47895}"/>
    <cellStyle name="Porcentaje" xfId="7" builtinId="5"/>
    <cellStyle name="Porcentaje 2" xfId="11" xr:uid="{F48911F4-9FBC-4679-B6E3-83F9F73DC566}"/>
    <cellStyle name="Porcentaje 2 2" xfId="12" xr:uid="{CC3A317D-1836-421E-BCD2-7BB775B6F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119060</xdr:rowOff>
    </xdr:from>
    <xdr:to>
      <xdr:col>1</xdr:col>
      <xdr:colOff>874206</xdr:colOff>
      <xdr:row>4</xdr:row>
      <xdr:rowOff>35717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9D06D-735B-41FC-970B-6EF4674D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19060"/>
          <a:ext cx="1898145" cy="869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0</xdr:row>
      <xdr:rowOff>222249</xdr:rowOff>
    </xdr:from>
    <xdr:ext cx="1562100" cy="1023065"/>
    <xdr:pic>
      <xdr:nvPicPr>
        <xdr:cNvPr id="2" name="Imagen 29">
          <a:extLst>
            <a:ext uri="{FF2B5EF4-FFF2-40B4-BE49-F238E27FC236}">
              <a16:creationId xmlns:a16="http://schemas.microsoft.com/office/drawing/2014/main" id="{F4125567-5C9A-4FDF-A20A-C145A75F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222249"/>
          <a:ext cx="1562100" cy="1023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180975</xdr:rowOff>
    </xdr:from>
    <xdr:to>
      <xdr:col>1</xdr:col>
      <xdr:colOff>594359</xdr:colOff>
      <xdr:row>4</xdr:row>
      <xdr:rowOff>38100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67BE7D1-F949-43E5-95E6-BDEB52ABF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80975"/>
          <a:ext cx="1253489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Gramos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 t="str">
            <v>Gramos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 t="str">
            <v>Und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10000</v>
          </cell>
          <cell r="L163" t="e">
            <v>#DIV/0!</v>
          </cell>
          <cell r="M163" t="str">
            <v>Cm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 t="str">
            <v>Gramos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Gramos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Mililitros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 t="str">
            <v>Und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Gramos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Gramos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1000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 t="str">
            <v>Gramos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 t="str">
            <v>Gramos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Und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25000</v>
          </cell>
          <cell r="L240" t="e">
            <v>#DIV/0!</v>
          </cell>
          <cell r="M240" t="str">
            <v>Gramos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125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500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 t="str">
            <v>Gramos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Gramos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 t="str">
            <v>Und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 t="str">
            <v>Und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Und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 t="str">
            <v>Und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 t="str">
            <v>Und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 t="str">
            <v>Und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 t="str">
            <v>Gramos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 t="str">
            <v>Gramos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Gramos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UND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Gramos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1820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3140</v>
          </cell>
          <cell r="L364" t="e">
            <v>#DIV/0!</v>
          </cell>
          <cell r="M364" t="str">
            <v>Gramos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 t="str">
            <v>Gramos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 t="str">
            <v>Gramos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1800</v>
          </cell>
          <cell r="L373" t="e">
            <v>#DIV/0!</v>
          </cell>
          <cell r="M373" t="str">
            <v>Gramos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12000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 t="str">
            <v>Gramos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 t="str">
            <v>Gramos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 t="str">
            <v>Gramos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 t="str">
            <v>Gramos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1000</v>
          </cell>
          <cell r="L399" t="e">
            <v>#DIV/0!</v>
          </cell>
          <cell r="M399" t="str">
            <v>Gramos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 t="str">
            <v>Gramos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 t="str">
            <v>Gramos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 t="str">
            <v>Gramos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5000</v>
          </cell>
          <cell r="L405" t="e">
            <v>#DIV/0!</v>
          </cell>
          <cell r="M405" t="str">
            <v>Mililitros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 t="str">
            <v>Gramos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2500</v>
          </cell>
          <cell r="L409" t="e">
            <v>#DIV/0!</v>
          </cell>
          <cell r="M409" t="str">
            <v>Gramos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 t="str">
            <v>Gramos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1000</v>
          </cell>
          <cell r="L415" t="e">
            <v>#DIV/0!</v>
          </cell>
          <cell r="M415" t="str">
            <v>Gramos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 t="str">
            <v>Gramos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 t="str">
            <v>Gramos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3785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 t="str">
            <v>Gramos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 t="str">
            <v>Gramos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2000</v>
          </cell>
          <cell r="L426" t="e">
            <v>#DIV/0!</v>
          </cell>
          <cell r="M426" t="str">
            <v>Gramos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 t="str">
            <v>Mililitros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 t="str">
            <v>Mililitros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25000</v>
          </cell>
          <cell r="L433" t="e">
            <v>#DIV/0!</v>
          </cell>
          <cell r="M433" t="str">
            <v>Mililitros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 t="str">
            <v>Unidad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 t="str">
            <v>Mililitros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10100270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 t="str">
            <v>Mililitros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 t="str">
            <v>Mililitros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 t="str">
            <v>Mililitros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 t="str">
            <v>Mililitros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800</v>
          </cell>
          <cell r="L458" t="e">
            <v>#DIV/0!</v>
          </cell>
          <cell r="M458" t="str">
            <v>Mililitros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Gramos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 t="str">
            <v>Gramos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 t="str">
            <v>Gramos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 t="str">
            <v>Gramos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Gramos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 t="str">
            <v>Gramos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 t="str">
            <v>Gramos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215</v>
          </cell>
          <cell r="L509" t="e">
            <v>#DIV/0!</v>
          </cell>
          <cell r="M509" t="str">
            <v>Und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Gramos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Und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Und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1500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Gramos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 t="str">
            <v>Gramos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 t="str">
            <v>Gramos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 t="str">
            <v>Gramos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 t="str">
            <v>Gramos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 t="str">
            <v>Gramos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 t="str">
            <v>Gramos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 t="str">
            <v>Gramos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25000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 t="str">
            <v>Gramos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Gramos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Gramos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Gramos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 t="str">
            <v>Gramos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 t="str">
            <v>Gramos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 t="str">
            <v>Gramos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Mililitros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Und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250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20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1000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 t="str">
            <v>Und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 t="str">
            <v>Und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 t="str">
            <v>Und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 t="str">
            <v>Und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 t="str">
            <v>Und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 t="str">
            <v>Und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500</v>
          </cell>
          <cell r="L636" t="e">
            <v>#DIV/0!</v>
          </cell>
          <cell r="M636" t="str">
            <v>Und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 t="str">
            <v>Und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 t="str">
            <v>Und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 t="str">
            <v>Und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 t="str">
            <v>Und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 t="str">
            <v>Und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100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100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1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45000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 t="str">
            <v>Und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 t="str">
            <v>Und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 t="str">
            <v>Und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 t="str">
            <v>Und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 t="str">
            <v>Und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 t="str">
            <v>Und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 t="str">
            <v>Und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 t="str">
            <v>Und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500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Mililitros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 t="str">
            <v>Mililitros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Mililitros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930</v>
          </cell>
          <cell r="L708" t="e">
            <v>#DIV/0!</v>
          </cell>
          <cell r="M708" t="str">
            <v>Mililitros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510</v>
          </cell>
          <cell r="L711" t="e">
            <v>#DIV/0!</v>
          </cell>
          <cell r="M711" t="str">
            <v>Mililitros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300</v>
          </cell>
          <cell r="L714" t="e">
            <v>#DIV/0!</v>
          </cell>
          <cell r="M714" t="str">
            <v>Gramos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750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1000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Gramos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 t="str">
            <v>Gramos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Gramos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150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566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150</v>
          </cell>
          <cell r="L763" t="e">
            <v>#DIV/0!</v>
          </cell>
          <cell r="M763" t="str">
            <v>Gramos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126</v>
          </cell>
          <cell r="L765" t="e">
            <v>#DIV/0!</v>
          </cell>
          <cell r="M765" t="str">
            <v>Gramos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6</v>
          </cell>
          <cell r="L766" t="e">
            <v>#DIV/0!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126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12000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4000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 t="str">
            <v>Gramos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1</v>
          </cell>
          <cell r="L779" t="e">
            <v>#DIV/0!</v>
          </cell>
          <cell r="M779" t="str">
            <v>Gramos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Centimetros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Centimetros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906000010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13/06/2020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516000002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906000010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401000002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04/05/2020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401000003</v>
          </cell>
          <cell r="E789" t="str">
            <v>MATERIAS PRIMAS PLANTA</v>
          </cell>
          <cell r="F789" t="str">
            <v>UND</v>
          </cell>
          <cell r="G789">
            <v>500</v>
          </cell>
          <cell r="H789" t="str">
            <v>23/03/2020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401000004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27/01/2020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401000006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27/01/2020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503000036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21/03/2020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0</v>
          </cell>
          <cell r="K809">
            <v>4500</v>
          </cell>
          <cell r="L809">
            <v>0</v>
          </cell>
          <cell r="M809" t="str">
            <v>Und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0</v>
          </cell>
          <cell r="K810">
            <v>4500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5CF-52AB-4B3B-8186-EF82836D6595}">
  <dimension ref="A1:I58"/>
  <sheetViews>
    <sheetView topLeftCell="A10" zoomScale="97" zoomScaleNormal="100" workbookViewId="0">
      <selection activeCell="C12" sqref="C12"/>
    </sheetView>
  </sheetViews>
  <sheetFormatPr baseColWidth="10" defaultRowHeight="15" x14ac:dyDescent="0.25"/>
  <cols>
    <col min="3" max="3" width="53.140625" customWidth="1"/>
    <col min="4" max="4" width="34.28515625" bestFit="1" customWidth="1"/>
    <col min="7" max="7" width="14.28515625" customWidth="1"/>
    <col min="8" max="8" width="27" customWidth="1"/>
    <col min="9" max="9" width="23.42578125" bestFit="1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/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/>
    </row>
    <row r="3" spans="1:9" ht="15.95" customHeight="1" thickBot="1" x14ac:dyDescent="0.3">
      <c r="A3" s="617"/>
      <c r="B3" s="618"/>
      <c r="C3" s="645" t="s">
        <v>89</v>
      </c>
      <c r="D3" s="645"/>
      <c r="E3" s="645"/>
      <c r="F3" s="645"/>
      <c r="G3" s="645"/>
      <c r="H3" s="646" t="s">
        <v>31</v>
      </c>
      <c r="I3" s="634"/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28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41</v>
      </c>
      <c r="E6" s="622"/>
      <c r="F6" s="622"/>
      <c r="G6" s="623" t="s">
        <v>26</v>
      </c>
      <c r="H6" s="623"/>
      <c r="I6" s="10" t="s">
        <v>41</v>
      </c>
    </row>
    <row r="7" spans="1:9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5.95" customHeight="1" x14ac:dyDescent="0.25">
      <c r="A10" s="69" t="s">
        <v>46</v>
      </c>
      <c r="B10" s="69" t="s">
        <v>47</v>
      </c>
      <c r="C10" s="69" t="s">
        <v>48</v>
      </c>
      <c r="D10" s="70" t="s">
        <v>17</v>
      </c>
      <c r="E10" s="71">
        <v>470</v>
      </c>
      <c r="F10" s="72" t="s">
        <v>1</v>
      </c>
      <c r="G10" s="1"/>
      <c r="H10" s="66" t="s">
        <v>115</v>
      </c>
      <c r="I10" s="21"/>
    </row>
    <row r="11" spans="1:9" ht="15.75" x14ac:dyDescent="0.25">
      <c r="A11" s="69" t="s">
        <v>49</v>
      </c>
      <c r="B11" s="69" t="s">
        <v>50</v>
      </c>
      <c r="C11" s="73" t="s">
        <v>51</v>
      </c>
      <c r="D11" s="74" t="s">
        <v>17</v>
      </c>
      <c r="E11" s="71">
        <v>90</v>
      </c>
      <c r="F11" s="72" t="s">
        <v>1</v>
      </c>
      <c r="G11" s="2" t="s">
        <v>93</v>
      </c>
      <c r="H11" s="66"/>
      <c r="I11" s="21"/>
    </row>
    <row r="12" spans="1:9" ht="15.75" x14ac:dyDescent="0.25">
      <c r="A12" s="69" t="s">
        <v>37</v>
      </c>
      <c r="B12" s="69" t="s">
        <v>38</v>
      </c>
      <c r="C12" s="69" t="s">
        <v>52</v>
      </c>
      <c r="D12" s="75" t="s">
        <v>53</v>
      </c>
      <c r="E12" s="71">
        <v>520</v>
      </c>
      <c r="F12" s="72" t="s">
        <v>1</v>
      </c>
      <c r="G12" s="2" t="s">
        <v>94</v>
      </c>
      <c r="H12" s="66" t="s">
        <v>54</v>
      </c>
      <c r="I12" s="21"/>
    </row>
    <row r="13" spans="1:9" ht="15.75" x14ac:dyDescent="0.25">
      <c r="A13" s="69" t="s">
        <v>55</v>
      </c>
      <c r="B13" s="69" t="s">
        <v>56</v>
      </c>
      <c r="C13" s="76" t="s">
        <v>57</v>
      </c>
      <c r="D13" s="77" t="s">
        <v>58</v>
      </c>
      <c r="E13" s="78">
        <v>420</v>
      </c>
      <c r="F13" s="72" t="s">
        <v>1</v>
      </c>
      <c r="G13" s="2" t="s">
        <v>95</v>
      </c>
      <c r="H13" s="65" t="s">
        <v>59</v>
      </c>
      <c r="I13" s="21"/>
    </row>
    <row r="14" spans="1:9" ht="15.75" x14ac:dyDescent="0.25">
      <c r="A14" s="69"/>
      <c r="B14" s="69"/>
      <c r="C14" s="76"/>
      <c r="D14" s="77"/>
      <c r="E14" s="78"/>
      <c r="F14" s="72"/>
      <c r="G14" s="1"/>
      <c r="H14" s="65"/>
      <c r="I14" s="21"/>
    </row>
    <row r="15" spans="1:9" ht="15.75" x14ac:dyDescent="0.25">
      <c r="A15" s="69"/>
      <c r="B15" s="69"/>
      <c r="C15" s="76"/>
      <c r="D15" s="77"/>
      <c r="E15" s="78"/>
      <c r="F15" s="72"/>
      <c r="G15" s="1"/>
      <c r="H15" s="65"/>
      <c r="I15" s="21"/>
    </row>
    <row r="16" spans="1:9" ht="15.75" x14ac:dyDescent="0.25">
      <c r="A16" s="68"/>
      <c r="B16" s="68"/>
      <c r="C16" s="79" t="s">
        <v>44</v>
      </c>
      <c r="D16" s="80"/>
      <c r="E16" s="78"/>
      <c r="F16" s="72"/>
      <c r="G16" s="1"/>
      <c r="H16" s="65"/>
      <c r="I16" s="21"/>
    </row>
    <row r="17" spans="1:9" ht="15.75" x14ac:dyDescent="0.25">
      <c r="A17" s="69" t="s">
        <v>60</v>
      </c>
      <c r="B17" s="69" t="s">
        <v>61</v>
      </c>
      <c r="C17" s="69" t="s">
        <v>62</v>
      </c>
      <c r="D17" s="80" t="s">
        <v>17</v>
      </c>
      <c r="E17" s="78">
        <v>170</v>
      </c>
      <c r="F17" s="72" t="s">
        <v>1</v>
      </c>
      <c r="G17" s="1"/>
      <c r="H17" s="65"/>
      <c r="I17" s="21"/>
    </row>
    <row r="18" spans="1:9" ht="15.75" x14ac:dyDescent="0.25">
      <c r="A18" s="69" t="s">
        <v>60</v>
      </c>
      <c r="B18" s="69" t="s">
        <v>61</v>
      </c>
      <c r="C18" s="69" t="s">
        <v>62</v>
      </c>
      <c r="D18" s="80" t="s">
        <v>17</v>
      </c>
      <c r="E18" s="78">
        <v>60</v>
      </c>
      <c r="F18" s="72" t="s">
        <v>1</v>
      </c>
      <c r="G18" s="1"/>
      <c r="H18" s="65" t="s">
        <v>91</v>
      </c>
      <c r="I18" s="21"/>
    </row>
    <row r="19" spans="1:9" ht="15.75" x14ac:dyDescent="0.25">
      <c r="A19" s="69"/>
      <c r="B19" s="92" t="s">
        <v>40</v>
      </c>
      <c r="C19" s="91" t="s">
        <v>92</v>
      </c>
      <c r="D19" s="77" t="s">
        <v>17</v>
      </c>
      <c r="E19" s="78">
        <v>120</v>
      </c>
      <c r="F19" s="72" t="s">
        <v>1</v>
      </c>
      <c r="G19" s="1"/>
      <c r="H19" s="65" t="s">
        <v>112</v>
      </c>
      <c r="I19" s="21"/>
    </row>
    <row r="20" spans="1:9" ht="15.75" x14ac:dyDescent="0.25">
      <c r="A20" s="69"/>
      <c r="B20" s="1" t="s">
        <v>99</v>
      </c>
      <c r="C20" s="1" t="s">
        <v>100</v>
      </c>
      <c r="D20" s="75" t="s">
        <v>17</v>
      </c>
      <c r="E20" s="71">
        <v>4</v>
      </c>
      <c r="F20" s="72" t="s">
        <v>1</v>
      </c>
      <c r="G20" s="93"/>
      <c r="H20" s="93"/>
      <c r="I20" s="21"/>
    </row>
    <row r="21" spans="1:9" ht="15.75" x14ac:dyDescent="0.25">
      <c r="A21" s="69"/>
      <c r="B21" s="69" t="s">
        <v>107</v>
      </c>
      <c r="C21" s="81" t="s">
        <v>108</v>
      </c>
      <c r="D21" s="75"/>
      <c r="E21" s="71" t="s">
        <v>109</v>
      </c>
      <c r="F21" s="72" t="s">
        <v>1</v>
      </c>
      <c r="G21" s="90"/>
      <c r="H21" s="90"/>
      <c r="I21" s="21"/>
    </row>
    <row r="22" spans="1:9" ht="15.75" x14ac:dyDescent="0.25">
      <c r="A22" s="67"/>
      <c r="B22" s="67"/>
      <c r="C22" s="82"/>
      <c r="D22" s="70"/>
      <c r="E22" s="71"/>
      <c r="F22" s="72"/>
      <c r="G22" s="65"/>
      <c r="H22" s="66"/>
      <c r="I22" s="21"/>
    </row>
    <row r="23" spans="1:9" ht="15.75" x14ac:dyDescent="0.25">
      <c r="A23" s="67"/>
      <c r="B23" s="67"/>
      <c r="C23" s="83" t="s">
        <v>63</v>
      </c>
      <c r="D23" s="70"/>
      <c r="E23" s="71"/>
      <c r="F23" s="74"/>
      <c r="G23" s="65"/>
      <c r="H23" s="66"/>
      <c r="I23" s="21"/>
    </row>
    <row r="24" spans="1:9" ht="15.75" x14ac:dyDescent="0.25">
      <c r="A24" s="69" t="s">
        <v>64</v>
      </c>
      <c r="B24" s="69" t="s">
        <v>65</v>
      </c>
      <c r="C24" s="69" t="s">
        <v>66</v>
      </c>
      <c r="D24" s="70" t="s">
        <v>67</v>
      </c>
      <c r="E24" s="71">
        <v>1</v>
      </c>
      <c r="F24" s="74" t="s">
        <v>6</v>
      </c>
      <c r="G24" s="65"/>
      <c r="H24" s="66"/>
      <c r="I24" s="21"/>
    </row>
    <row r="25" spans="1:9" ht="15.75" x14ac:dyDescent="0.25">
      <c r="A25" s="69" t="s">
        <v>68</v>
      </c>
      <c r="B25" s="69" t="s">
        <v>69</v>
      </c>
      <c r="C25" s="69" t="s">
        <v>70</v>
      </c>
      <c r="D25" s="70"/>
      <c r="E25" s="71">
        <v>1</v>
      </c>
      <c r="F25" s="74" t="s">
        <v>71</v>
      </c>
      <c r="G25" s="65"/>
      <c r="H25" s="66"/>
      <c r="I25" s="21"/>
    </row>
    <row r="26" spans="1:9" ht="15.75" x14ac:dyDescent="0.25">
      <c r="A26" s="69" t="s">
        <v>72</v>
      </c>
      <c r="B26" s="69" t="s">
        <v>73</v>
      </c>
      <c r="C26" s="82" t="s">
        <v>74</v>
      </c>
      <c r="D26" s="70" t="s">
        <v>75</v>
      </c>
      <c r="E26" s="71">
        <v>1</v>
      </c>
      <c r="F26" s="74" t="s">
        <v>6</v>
      </c>
      <c r="G26" s="65"/>
      <c r="H26" s="65"/>
      <c r="I26" s="21"/>
    </row>
    <row r="27" spans="1:9" ht="15.75" x14ac:dyDescent="0.25">
      <c r="A27" s="69" t="s">
        <v>76</v>
      </c>
      <c r="B27" s="69" t="s">
        <v>39</v>
      </c>
      <c r="C27" s="82" t="s">
        <v>77</v>
      </c>
      <c r="D27" s="70" t="s">
        <v>15</v>
      </c>
      <c r="E27" s="71">
        <v>1</v>
      </c>
      <c r="F27" s="74" t="s">
        <v>6</v>
      </c>
      <c r="G27" s="65"/>
      <c r="H27" s="65"/>
      <c r="I27" s="21"/>
    </row>
    <row r="28" spans="1:9" ht="15.75" x14ac:dyDescent="0.25">
      <c r="A28" s="69" t="s">
        <v>78</v>
      </c>
      <c r="B28" s="69" t="s">
        <v>79</v>
      </c>
      <c r="C28" s="82" t="s">
        <v>80</v>
      </c>
      <c r="D28" s="70" t="s">
        <v>81</v>
      </c>
      <c r="E28" s="71">
        <v>1</v>
      </c>
      <c r="F28" s="74" t="s">
        <v>6</v>
      </c>
      <c r="G28" s="65"/>
      <c r="H28" s="65"/>
      <c r="I28" s="21"/>
    </row>
    <row r="29" spans="1:9" ht="15.75" x14ac:dyDescent="0.25">
      <c r="A29" s="69" t="s">
        <v>82</v>
      </c>
      <c r="B29" s="69" t="s">
        <v>16</v>
      </c>
      <c r="C29" s="84" t="s">
        <v>83</v>
      </c>
      <c r="D29" s="74" t="s">
        <v>15</v>
      </c>
      <c r="E29" s="71">
        <v>1</v>
      </c>
      <c r="F29" s="72" t="s">
        <v>6</v>
      </c>
      <c r="G29" s="65"/>
      <c r="H29" s="65"/>
      <c r="I29" s="21"/>
    </row>
    <row r="30" spans="1:9" ht="15.75" x14ac:dyDescent="0.25">
      <c r="A30" s="69" t="s">
        <v>84</v>
      </c>
      <c r="B30" s="69" t="s">
        <v>85</v>
      </c>
      <c r="C30" s="69" t="s">
        <v>86</v>
      </c>
      <c r="D30" s="74" t="s">
        <v>87</v>
      </c>
      <c r="E30" s="71">
        <v>60</v>
      </c>
      <c r="F30" s="72" t="s">
        <v>88</v>
      </c>
      <c r="G30" s="65"/>
      <c r="H30" s="65"/>
      <c r="I30" s="21"/>
    </row>
    <row r="31" spans="1:9" ht="15.75" x14ac:dyDescent="0.25">
      <c r="A31" s="85"/>
      <c r="B31" s="96" t="s">
        <v>116</v>
      </c>
      <c r="C31" s="95" t="s">
        <v>117</v>
      </c>
      <c r="D31" s="87"/>
      <c r="E31" s="97">
        <v>1</v>
      </c>
      <c r="F31" s="98" t="s">
        <v>6</v>
      </c>
      <c r="G31" s="19"/>
      <c r="H31" s="33"/>
      <c r="I31" s="21"/>
    </row>
    <row r="32" spans="1:9" ht="16.149999999999999" customHeight="1" x14ac:dyDescent="0.25">
      <c r="A32" s="36"/>
      <c r="B32" s="36"/>
      <c r="C32" s="22"/>
      <c r="D32" s="23"/>
      <c r="E32" s="36"/>
      <c r="F32" s="34"/>
      <c r="G32" s="30"/>
      <c r="H32" s="33"/>
      <c r="I32" s="21"/>
    </row>
    <row r="33" spans="1:9" ht="15.75" x14ac:dyDescent="0.25">
      <c r="A33" s="24"/>
      <c r="B33" s="24"/>
      <c r="C33" s="37"/>
      <c r="D33" s="38"/>
      <c r="E33" s="24"/>
      <c r="F33" s="3"/>
      <c r="G33" s="31"/>
      <c r="H33" s="33"/>
      <c r="I33" s="21"/>
    </row>
    <row r="34" spans="1:9" ht="17.25" x14ac:dyDescent="0.3">
      <c r="A34" s="39"/>
      <c r="B34" s="27"/>
      <c r="C34" s="40"/>
      <c r="D34" s="41"/>
      <c r="E34" s="29"/>
      <c r="F34" s="29"/>
      <c r="G34" s="31"/>
      <c r="H34" s="33"/>
      <c r="I34" s="21"/>
    </row>
    <row r="35" spans="1:9" ht="15.75" x14ac:dyDescent="0.25">
      <c r="A35" s="27"/>
      <c r="B35" s="42"/>
      <c r="C35" s="28"/>
      <c r="D35" s="26"/>
      <c r="E35" s="25"/>
      <c r="F35" s="3"/>
      <c r="G35" s="31"/>
      <c r="H35" s="35"/>
      <c r="I35" s="21"/>
    </row>
    <row r="36" spans="1:9" ht="15.75" x14ac:dyDescent="0.25">
      <c r="A36" s="43"/>
      <c r="B36" s="44"/>
      <c r="C36" s="45"/>
      <c r="D36" s="35"/>
      <c r="E36" s="35"/>
      <c r="F36" s="32"/>
      <c r="G36" s="35"/>
      <c r="H36" s="35"/>
      <c r="I36" s="21"/>
    </row>
    <row r="37" spans="1:9" ht="18" thickBot="1" x14ac:dyDescent="0.35">
      <c r="A37" s="46"/>
      <c r="B37" s="47"/>
      <c r="C37" s="48"/>
      <c r="D37" s="48"/>
      <c r="E37" s="49"/>
      <c r="F37" s="50"/>
      <c r="G37" s="48"/>
      <c r="H37" s="48"/>
      <c r="I37" s="51"/>
    </row>
    <row r="38" spans="1:9" ht="18" thickBot="1" x14ac:dyDescent="0.35">
      <c r="A38" s="52"/>
      <c r="B38" s="53"/>
      <c r="C38" s="54"/>
      <c r="D38" s="55" t="s">
        <v>14</v>
      </c>
      <c r="E38" s="56" t="s">
        <v>13</v>
      </c>
      <c r="F38" s="57"/>
      <c r="G38" s="54"/>
      <c r="H38" s="54"/>
      <c r="I38" s="58"/>
    </row>
    <row r="39" spans="1:9" ht="17.25" x14ac:dyDescent="0.3">
      <c r="A39" s="587" t="s">
        <v>12</v>
      </c>
      <c r="B39" s="588"/>
      <c r="C39" s="589"/>
      <c r="D39" s="59">
        <v>1693</v>
      </c>
      <c r="E39" s="60" t="s">
        <v>1</v>
      </c>
      <c r="F39" s="590" t="s">
        <v>11</v>
      </c>
      <c r="G39" s="590"/>
      <c r="H39" s="591"/>
      <c r="I39" s="592"/>
    </row>
    <row r="40" spans="1:9" ht="17.25" x14ac:dyDescent="0.3">
      <c r="A40" s="609" t="s">
        <v>10</v>
      </c>
      <c r="B40" s="610"/>
      <c r="C40" s="611"/>
      <c r="D40" s="61">
        <v>5</v>
      </c>
      <c r="E40" s="62" t="s">
        <v>9</v>
      </c>
      <c r="F40" s="612" t="s">
        <v>8</v>
      </c>
      <c r="G40" s="612"/>
      <c r="H40" s="613"/>
      <c r="I40" s="614"/>
    </row>
    <row r="41" spans="1:9" ht="17.25" x14ac:dyDescent="0.3">
      <c r="A41" s="609" t="s">
        <v>7</v>
      </c>
      <c r="B41" s="610"/>
      <c r="C41" s="611"/>
      <c r="D41" s="62">
        <v>1</v>
      </c>
      <c r="E41" s="62" t="s">
        <v>6</v>
      </c>
      <c r="F41" s="612" t="s">
        <v>5</v>
      </c>
      <c r="G41" s="612"/>
      <c r="H41" s="613"/>
      <c r="I41" s="614"/>
    </row>
    <row r="42" spans="1:9" ht="17.25" x14ac:dyDescent="0.3">
      <c r="A42" s="609" t="s">
        <v>4</v>
      </c>
      <c r="B42" s="610"/>
      <c r="C42" s="611"/>
      <c r="D42" s="62">
        <v>1593</v>
      </c>
      <c r="E42" s="62" t="s">
        <v>1</v>
      </c>
      <c r="F42" s="629" t="s">
        <v>3</v>
      </c>
      <c r="G42" s="630"/>
      <c r="H42" s="613"/>
      <c r="I42" s="614"/>
    </row>
    <row r="43" spans="1:9" ht="18" thickBot="1" x14ac:dyDescent="0.35">
      <c r="A43" s="650" t="s">
        <v>2</v>
      </c>
      <c r="B43" s="651"/>
      <c r="C43" s="652"/>
      <c r="D43" s="63">
        <f>SUM(E10:E21)-D39</f>
        <v>161</v>
      </c>
      <c r="E43" s="64" t="s">
        <v>1</v>
      </c>
      <c r="F43" s="653"/>
      <c r="G43" s="653"/>
      <c r="H43" s="654"/>
      <c r="I43" s="655"/>
    </row>
    <row r="44" spans="1:9" ht="16.5" thickBot="1" x14ac:dyDescent="0.3">
      <c r="A44" s="631" t="s">
        <v>0</v>
      </c>
      <c r="B44" s="632"/>
      <c r="C44" s="632"/>
      <c r="D44" s="632"/>
      <c r="E44" s="632"/>
      <c r="F44" s="632"/>
      <c r="G44" s="632"/>
      <c r="H44" s="632"/>
      <c r="I44" s="633"/>
    </row>
    <row r="45" spans="1:9" ht="20.45" customHeight="1" x14ac:dyDescent="0.25">
      <c r="A45" s="598" t="s">
        <v>90</v>
      </c>
      <c r="B45" s="599"/>
      <c r="C45" s="600"/>
      <c r="D45" s="600"/>
      <c r="E45" s="600"/>
      <c r="F45" s="600"/>
      <c r="G45" s="600"/>
      <c r="H45" s="600"/>
      <c r="I45" s="601"/>
    </row>
    <row r="46" spans="1:9" x14ac:dyDescent="0.25">
      <c r="A46" s="598" t="s">
        <v>96</v>
      </c>
      <c r="B46" s="599"/>
      <c r="C46" s="600"/>
      <c r="D46" s="600"/>
      <c r="E46" s="600"/>
      <c r="F46" s="600"/>
      <c r="G46" s="600"/>
      <c r="H46" s="600"/>
      <c r="I46" s="601"/>
    </row>
    <row r="47" spans="1:9" ht="14.45" customHeight="1" x14ac:dyDescent="0.25">
      <c r="A47" s="598" t="s">
        <v>97</v>
      </c>
      <c r="B47" s="599"/>
      <c r="C47" s="600"/>
      <c r="D47" s="600"/>
      <c r="E47" s="600"/>
      <c r="F47" s="600"/>
      <c r="G47" s="600"/>
      <c r="H47" s="600"/>
      <c r="I47" s="601"/>
    </row>
    <row r="48" spans="1:9" ht="14.45" customHeight="1" x14ac:dyDescent="0.25">
      <c r="A48" s="598" t="s">
        <v>98</v>
      </c>
      <c r="B48" s="599"/>
      <c r="C48" s="600"/>
      <c r="D48" s="600"/>
      <c r="E48" s="600"/>
      <c r="F48" s="600"/>
      <c r="G48" s="600"/>
      <c r="H48" s="600"/>
      <c r="I48" s="601"/>
    </row>
    <row r="49" spans="1:9" ht="14.45" customHeight="1" x14ac:dyDescent="0.25">
      <c r="A49" s="598" t="s">
        <v>101</v>
      </c>
      <c r="B49" s="599"/>
      <c r="C49" s="600"/>
      <c r="D49" s="600"/>
      <c r="E49" s="600"/>
      <c r="F49" s="600"/>
      <c r="G49" s="600"/>
      <c r="H49" s="600"/>
      <c r="I49" s="601"/>
    </row>
    <row r="50" spans="1:9" ht="15.6" customHeight="1" x14ac:dyDescent="0.25">
      <c r="A50" s="602" t="s">
        <v>110</v>
      </c>
      <c r="B50" s="603"/>
      <c r="C50" s="604"/>
      <c r="D50" s="604"/>
      <c r="E50" s="604"/>
      <c r="F50" s="604"/>
      <c r="G50" s="604"/>
      <c r="H50" s="604"/>
      <c r="I50" s="605"/>
    </row>
    <row r="51" spans="1:9" x14ac:dyDescent="0.25">
      <c r="A51" s="598" t="s">
        <v>102</v>
      </c>
      <c r="B51" s="599"/>
      <c r="C51" s="600"/>
      <c r="D51" s="600"/>
      <c r="E51" s="600"/>
      <c r="F51" s="600"/>
      <c r="G51" s="600"/>
      <c r="H51" s="600"/>
      <c r="I51" s="601"/>
    </row>
    <row r="52" spans="1:9" x14ac:dyDescent="0.25">
      <c r="A52" s="598"/>
      <c r="B52" s="599"/>
      <c r="C52" s="600"/>
      <c r="D52" s="600"/>
      <c r="E52" s="600"/>
      <c r="F52" s="600"/>
      <c r="G52" s="600"/>
      <c r="H52" s="600"/>
      <c r="I52" s="601"/>
    </row>
    <row r="53" spans="1:9" ht="18" customHeight="1" x14ac:dyDescent="0.3">
      <c r="A53" s="606"/>
      <c r="B53" s="607"/>
      <c r="C53" s="607"/>
      <c r="D53" s="607"/>
      <c r="E53" s="607"/>
      <c r="F53" s="607"/>
      <c r="G53" s="607"/>
      <c r="H53" s="607"/>
      <c r="I53" s="608"/>
    </row>
    <row r="54" spans="1:9" ht="17.25" x14ac:dyDescent="0.3">
      <c r="A54" s="606"/>
      <c r="B54" s="607"/>
      <c r="C54" s="607"/>
      <c r="D54" s="607"/>
      <c r="E54" s="607"/>
      <c r="F54" s="607"/>
      <c r="G54" s="607"/>
      <c r="H54" s="607"/>
      <c r="I54" s="608"/>
    </row>
    <row r="55" spans="1:9" ht="18" thickBot="1" x14ac:dyDescent="0.35">
      <c r="A55" s="593"/>
      <c r="B55" s="594"/>
      <c r="C55" s="594"/>
      <c r="D55" s="594"/>
      <c r="E55" s="594"/>
      <c r="F55" s="594"/>
      <c r="G55" s="594"/>
      <c r="H55" s="594"/>
      <c r="I55" s="595"/>
    </row>
    <row r="56" spans="1:9" x14ac:dyDescent="0.25">
      <c r="A56" s="596" t="s">
        <v>45</v>
      </c>
      <c r="B56" s="597"/>
      <c r="C56" s="597"/>
      <c r="D56" s="597"/>
      <c r="E56" s="597"/>
      <c r="F56" s="597"/>
      <c r="G56" s="597"/>
      <c r="H56" s="597"/>
      <c r="I56" s="597"/>
    </row>
    <row r="57" spans="1:9" x14ac:dyDescent="0.25">
      <c r="A57" s="585"/>
      <c r="B57" s="586"/>
      <c r="C57" s="586"/>
      <c r="D57" s="586"/>
      <c r="E57" s="586"/>
      <c r="F57" s="586"/>
      <c r="G57" s="586"/>
      <c r="H57" s="586"/>
      <c r="I57" s="586"/>
    </row>
    <row r="58" spans="1:9" x14ac:dyDescent="0.25">
      <c r="A58" s="585"/>
      <c r="B58" s="586"/>
      <c r="C58" s="586"/>
      <c r="D58" s="586"/>
      <c r="E58" s="586"/>
      <c r="F58" s="586"/>
      <c r="G58" s="586"/>
      <c r="H58" s="586"/>
      <c r="I58" s="586"/>
    </row>
  </sheetData>
  <mergeCells count="47">
    <mergeCell ref="A41:C41"/>
    <mergeCell ref="F41:G41"/>
    <mergeCell ref="H41:I41"/>
    <mergeCell ref="A43:C43"/>
    <mergeCell ref="F43:G43"/>
    <mergeCell ref="H43:I43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54:I54"/>
    <mergeCell ref="A48:I48"/>
    <mergeCell ref="A42:C42"/>
    <mergeCell ref="F42:G42"/>
    <mergeCell ref="H42:I42"/>
    <mergeCell ref="A45:I45"/>
    <mergeCell ref="A46:I46"/>
    <mergeCell ref="A44:I44"/>
    <mergeCell ref="A1:B5"/>
    <mergeCell ref="A6:C6"/>
    <mergeCell ref="D6:F6"/>
    <mergeCell ref="G6:H6"/>
    <mergeCell ref="A7:A8"/>
    <mergeCell ref="B7:B8"/>
    <mergeCell ref="E7:F7"/>
    <mergeCell ref="A58:I58"/>
    <mergeCell ref="A39:C39"/>
    <mergeCell ref="F39:G39"/>
    <mergeCell ref="H39:I39"/>
    <mergeCell ref="A55:I55"/>
    <mergeCell ref="A56:I56"/>
    <mergeCell ref="A49:I49"/>
    <mergeCell ref="A57:I57"/>
    <mergeCell ref="A47:I47"/>
    <mergeCell ref="A50:I50"/>
    <mergeCell ref="A51:I51"/>
    <mergeCell ref="A52:I52"/>
    <mergeCell ref="A53:I53"/>
    <mergeCell ref="A40:C40"/>
    <mergeCell ref="F40:G40"/>
    <mergeCell ref="H40:I40"/>
  </mergeCells>
  <phoneticPr fontId="17" type="noConversion"/>
  <pageMargins left="0.7" right="0.7" top="0.75" bottom="0.75" header="0.3" footer="0.3"/>
  <pageSetup paperSize="9" scale="55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9B67-8FE0-4C36-98E7-BFB9DE6B25BD}">
  <dimension ref="A1:K58"/>
  <sheetViews>
    <sheetView topLeftCell="A6" workbookViewId="0">
      <selection activeCell="C13" sqref="C13"/>
    </sheetView>
  </sheetViews>
  <sheetFormatPr baseColWidth="10" defaultRowHeight="15" x14ac:dyDescent="0.25"/>
  <cols>
    <col min="3" max="3" width="42.42578125" customWidth="1"/>
    <col min="4" max="4" width="13.42578125" customWidth="1"/>
    <col min="8" max="8" width="17.85546875" customWidth="1"/>
    <col min="9" max="9" width="14.5703125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/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/>
    </row>
    <row r="3" spans="1:9" ht="15.75" thickBot="1" x14ac:dyDescent="0.3">
      <c r="A3" s="617"/>
      <c r="B3" s="618"/>
      <c r="C3" s="645" t="s">
        <v>89</v>
      </c>
      <c r="D3" s="645"/>
      <c r="E3" s="645"/>
      <c r="F3" s="645"/>
      <c r="G3" s="645"/>
      <c r="H3" s="646" t="s">
        <v>31</v>
      </c>
      <c r="I3" s="634"/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28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41</v>
      </c>
      <c r="E6" s="622"/>
      <c r="F6" s="622"/>
      <c r="G6" s="623" t="s">
        <v>26</v>
      </c>
      <c r="H6" s="623"/>
      <c r="I6" s="10" t="s">
        <v>41</v>
      </c>
    </row>
    <row r="7" spans="1:9" ht="30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5.75" x14ac:dyDescent="0.25">
      <c r="A10" s="69" t="s">
        <v>46</v>
      </c>
      <c r="B10" s="69" t="s">
        <v>47</v>
      </c>
      <c r="C10" s="69" t="s">
        <v>48</v>
      </c>
      <c r="D10" s="70" t="s">
        <v>17</v>
      </c>
      <c r="E10" s="71">
        <v>470</v>
      </c>
      <c r="F10" s="72" t="s">
        <v>1</v>
      </c>
      <c r="G10" s="1"/>
      <c r="H10" s="66" t="s">
        <v>115</v>
      </c>
      <c r="I10" s="21"/>
    </row>
    <row r="11" spans="1:9" ht="15.75" x14ac:dyDescent="0.25">
      <c r="A11" s="69" t="s">
        <v>49</v>
      </c>
      <c r="B11" s="69" t="s">
        <v>50</v>
      </c>
      <c r="C11" s="73" t="s">
        <v>51</v>
      </c>
      <c r="D11" s="74" t="s">
        <v>17</v>
      </c>
      <c r="E11" s="71">
        <v>90</v>
      </c>
      <c r="F11" s="72" t="s">
        <v>1</v>
      </c>
      <c r="G11" s="2" t="s">
        <v>93</v>
      </c>
      <c r="H11" s="66"/>
      <c r="I11" s="21"/>
    </row>
    <row r="12" spans="1:9" ht="15.75" x14ac:dyDescent="0.25">
      <c r="A12" s="200">
        <v>11700002</v>
      </c>
      <c r="B12" t="s">
        <v>173</v>
      </c>
      <c r="C12" t="s">
        <v>174</v>
      </c>
      <c r="D12" s="75" t="s">
        <v>175</v>
      </c>
      <c r="E12" s="71">
        <v>300</v>
      </c>
      <c r="F12" s="72" t="s">
        <v>1</v>
      </c>
      <c r="G12" s="2" t="s">
        <v>176</v>
      </c>
      <c r="H12" s="66" t="s">
        <v>177</v>
      </c>
      <c r="I12" s="21"/>
    </row>
    <row r="13" spans="1:9" ht="15.75" x14ac:dyDescent="0.25">
      <c r="A13" s="69" t="s">
        <v>55</v>
      </c>
      <c r="B13" s="69" t="s">
        <v>56</v>
      </c>
      <c r="C13" s="76" t="s">
        <v>57</v>
      </c>
      <c r="D13" s="77" t="s">
        <v>58</v>
      </c>
      <c r="E13" s="78">
        <v>300</v>
      </c>
      <c r="F13" s="72" t="s">
        <v>1</v>
      </c>
      <c r="G13" s="2" t="s">
        <v>176</v>
      </c>
      <c r="H13" s="65" t="s">
        <v>177</v>
      </c>
      <c r="I13" s="21"/>
    </row>
    <row r="14" spans="1:9" ht="15.75" x14ac:dyDescent="0.25">
      <c r="A14" s="69"/>
      <c r="B14" s="69"/>
      <c r="C14" s="76"/>
      <c r="D14" s="77"/>
      <c r="E14" s="78"/>
      <c r="F14" s="72"/>
      <c r="G14" s="1"/>
      <c r="H14" s="65"/>
      <c r="I14" s="21"/>
    </row>
    <row r="15" spans="1:9" ht="15.75" x14ac:dyDescent="0.25">
      <c r="A15" s="69"/>
      <c r="B15" s="69"/>
      <c r="C15" s="76"/>
      <c r="D15" s="77"/>
      <c r="E15" s="78"/>
      <c r="F15" s="72"/>
      <c r="G15" s="1"/>
      <c r="H15" s="65"/>
      <c r="I15" s="21"/>
    </row>
    <row r="16" spans="1:9" ht="15.75" x14ac:dyDescent="0.25">
      <c r="A16" s="68"/>
      <c r="B16" s="68"/>
      <c r="C16" s="79" t="s">
        <v>44</v>
      </c>
      <c r="D16" s="80"/>
      <c r="E16" s="78"/>
      <c r="F16" s="72"/>
      <c r="G16" s="1"/>
      <c r="H16" s="65"/>
      <c r="I16" s="21"/>
    </row>
    <row r="17" spans="1:9" ht="15.75" x14ac:dyDescent="0.25">
      <c r="A17" s="69" t="s">
        <v>60</v>
      </c>
      <c r="B17" s="69" t="s">
        <v>61</v>
      </c>
      <c r="C17" s="69" t="s">
        <v>62</v>
      </c>
      <c r="D17" s="80" t="s">
        <v>17</v>
      </c>
      <c r="E17" s="78">
        <v>170</v>
      </c>
      <c r="F17" s="72" t="s">
        <v>1</v>
      </c>
      <c r="G17" s="1"/>
      <c r="H17" s="65"/>
      <c r="I17" s="21"/>
    </row>
    <row r="18" spans="1:9" ht="15.75" x14ac:dyDescent="0.25">
      <c r="A18" s="69" t="s">
        <v>60</v>
      </c>
      <c r="B18" s="69" t="s">
        <v>61</v>
      </c>
      <c r="C18" s="69" t="s">
        <v>62</v>
      </c>
      <c r="D18" s="80" t="s">
        <v>17</v>
      </c>
      <c r="E18" s="78">
        <v>60</v>
      </c>
      <c r="F18" s="72" t="s">
        <v>1</v>
      </c>
      <c r="G18" s="1"/>
      <c r="H18" s="65" t="s">
        <v>91</v>
      </c>
      <c r="I18" s="21"/>
    </row>
    <row r="19" spans="1:9" ht="15.75" x14ac:dyDescent="0.25">
      <c r="A19" s="69" t="s">
        <v>55</v>
      </c>
      <c r="B19" s="69" t="s">
        <v>56</v>
      </c>
      <c r="C19" s="76" t="s">
        <v>57</v>
      </c>
      <c r="D19" s="77" t="s">
        <v>58</v>
      </c>
      <c r="E19" s="78">
        <v>120</v>
      </c>
      <c r="F19" s="72" t="s">
        <v>1</v>
      </c>
      <c r="G19" s="1"/>
      <c r="H19" s="65" t="s">
        <v>112</v>
      </c>
      <c r="I19" s="21"/>
    </row>
    <row r="20" spans="1:9" ht="15.75" x14ac:dyDescent="0.25">
      <c r="A20" s="69"/>
      <c r="B20" s="1" t="s">
        <v>99</v>
      </c>
      <c r="C20" s="1" t="s">
        <v>100</v>
      </c>
      <c r="D20" s="75" t="s">
        <v>17</v>
      </c>
      <c r="E20" s="71">
        <v>4</v>
      </c>
      <c r="F20" s="72" t="s">
        <v>1</v>
      </c>
      <c r="G20" s="93"/>
      <c r="H20" s="93"/>
      <c r="I20" s="21"/>
    </row>
    <row r="21" spans="1:9" ht="15.75" x14ac:dyDescent="0.25">
      <c r="A21" s="69"/>
      <c r="B21" s="69" t="s">
        <v>107</v>
      </c>
      <c r="C21" s="81" t="s">
        <v>108</v>
      </c>
      <c r="D21" s="75"/>
      <c r="E21" s="199">
        <v>0.2</v>
      </c>
      <c r="F21" s="72" t="s">
        <v>1</v>
      </c>
      <c r="G21" s="90"/>
      <c r="H21" s="90"/>
      <c r="I21" s="21"/>
    </row>
    <row r="22" spans="1:9" ht="15.75" x14ac:dyDescent="0.25">
      <c r="A22" s="67"/>
      <c r="B22" s="67"/>
      <c r="C22" s="82"/>
      <c r="D22" s="70"/>
      <c r="E22" s="71"/>
      <c r="F22" s="72"/>
      <c r="G22" s="65"/>
      <c r="H22" s="66"/>
      <c r="I22" s="21"/>
    </row>
    <row r="23" spans="1:9" ht="15.75" x14ac:dyDescent="0.25">
      <c r="A23" s="67"/>
      <c r="B23" s="67"/>
      <c r="C23" s="83" t="s">
        <v>63</v>
      </c>
      <c r="D23" s="70"/>
      <c r="E23" s="71"/>
      <c r="F23" s="74"/>
      <c r="G23" s="65"/>
      <c r="H23" s="66"/>
      <c r="I23" s="21"/>
    </row>
    <row r="24" spans="1:9" ht="15.75" x14ac:dyDescent="0.25">
      <c r="A24" s="69" t="s">
        <v>64</v>
      </c>
      <c r="B24" s="69" t="s">
        <v>65</v>
      </c>
      <c r="C24" s="69" t="s">
        <v>66</v>
      </c>
      <c r="D24" s="70" t="s">
        <v>67</v>
      </c>
      <c r="E24" s="71">
        <v>1</v>
      </c>
      <c r="F24" s="74" t="s">
        <v>6</v>
      </c>
      <c r="G24" s="65"/>
      <c r="H24" s="66"/>
      <c r="I24" s="21"/>
    </row>
    <row r="25" spans="1:9" ht="15.75" x14ac:dyDescent="0.25">
      <c r="A25" s="69" t="s">
        <v>68</v>
      </c>
      <c r="B25" s="69" t="s">
        <v>69</v>
      </c>
      <c r="C25" s="69" t="s">
        <v>70</v>
      </c>
      <c r="D25" s="70"/>
      <c r="E25" s="71">
        <v>1</v>
      </c>
      <c r="F25" s="74" t="s">
        <v>71</v>
      </c>
      <c r="G25" s="65"/>
      <c r="H25" s="66"/>
      <c r="I25" s="21"/>
    </row>
    <row r="26" spans="1:9" ht="15.75" x14ac:dyDescent="0.25">
      <c r="A26" s="69" t="s">
        <v>72</v>
      </c>
      <c r="B26" s="69" t="s">
        <v>73</v>
      </c>
      <c r="C26" s="82" t="s">
        <v>74</v>
      </c>
      <c r="D26" s="70" t="s">
        <v>75</v>
      </c>
      <c r="E26" s="71">
        <v>1</v>
      </c>
      <c r="F26" s="74" t="s">
        <v>6</v>
      </c>
      <c r="G26" s="65"/>
      <c r="H26" s="65"/>
      <c r="I26" s="21"/>
    </row>
    <row r="27" spans="1:9" ht="15.75" x14ac:dyDescent="0.25">
      <c r="A27" s="69" t="s">
        <v>76</v>
      </c>
      <c r="B27" s="69" t="s">
        <v>39</v>
      </c>
      <c r="C27" s="82" t="s">
        <v>77</v>
      </c>
      <c r="D27" s="70" t="s">
        <v>15</v>
      </c>
      <c r="E27" s="71">
        <v>1</v>
      </c>
      <c r="F27" s="74" t="s">
        <v>6</v>
      </c>
      <c r="G27" s="65"/>
      <c r="H27" s="65"/>
      <c r="I27" s="21"/>
    </row>
    <row r="28" spans="1:9" ht="15.75" x14ac:dyDescent="0.25">
      <c r="A28" s="69" t="s">
        <v>78</v>
      </c>
      <c r="B28" s="69" t="s">
        <v>79</v>
      </c>
      <c r="C28" s="82" t="s">
        <v>80</v>
      </c>
      <c r="D28" s="70" t="s">
        <v>81</v>
      </c>
      <c r="E28" s="71">
        <v>1</v>
      </c>
      <c r="F28" s="74" t="s">
        <v>6</v>
      </c>
      <c r="G28" s="65"/>
      <c r="H28" s="65"/>
      <c r="I28" s="21"/>
    </row>
    <row r="29" spans="1:9" ht="15.75" x14ac:dyDescent="0.25">
      <c r="A29" s="69" t="s">
        <v>82</v>
      </c>
      <c r="B29" s="69" t="s">
        <v>16</v>
      </c>
      <c r="C29" s="84" t="s">
        <v>83</v>
      </c>
      <c r="D29" s="74" t="s">
        <v>15</v>
      </c>
      <c r="E29" s="71">
        <v>1</v>
      </c>
      <c r="F29" s="72" t="s">
        <v>6</v>
      </c>
      <c r="G29" s="65"/>
      <c r="H29" s="65"/>
      <c r="I29" s="21"/>
    </row>
    <row r="30" spans="1:9" ht="15.75" x14ac:dyDescent="0.25">
      <c r="A30" s="69" t="s">
        <v>84</v>
      </c>
      <c r="B30" s="69" t="s">
        <v>85</v>
      </c>
      <c r="C30" s="69" t="s">
        <v>86</v>
      </c>
      <c r="D30" s="74" t="s">
        <v>87</v>
      </c>
      <c r="E30" s="71">
        <v>60</v>
      </c>
      <c r="F30" s="72" t="s">
        <v>88</v>
      </c>
      <c r="G30" s="65"/>
      <c r="H30" s="65"/>
      <c r="I30" s="21"/>
    </row>
    <row r="31" spans="1:9" ht="15.75" x14ac:dyDescent="0.25">
      <c r="A31" s="85"/>
      <c r="B31" s="96" t="s">
        <v>116</v>
      </c>
      <c r="C31" s="95" t="s">
        <v>117</v>
      </c>
      <c r="D31" s="87"/>
      <c r="E31" s="97">
        <v>1</v>
      </c>
      <c r="F31" s="98" t="s">
        <v>6</v>
      </c>
      <c r="G31" s="19"/>
      <c r="H31" s="33"/>
      <c r="I31" s="21"/>
    </row>
    <row r="32" spans="1:9" ht="15.75" x14ac:dyDescent="0.25">
      <c r="A32" s="36"/>
      <c r="B32" s="36"/>
      <c r="C32" s="22"/>
      <c r="D32" s="23"/>
      <c r="E32" s="36"/>
      <c r="F32" s="34"/>
      <c r="G32" s="30"/>
      <c r="H32" s="33"/>
      <c r="I32" s="21"/>
    </row>
    <row r="33" spans="1:11" ht="15.75" x14ac:dyDescent="0.25">
      <c r="A33" s="24"/>
      <c r="B33" s="24"/>
      <c r="C33" s="37"/>
      <c r="D33" s="38"/>
      <c r="E33" s="24"/>
      <c r="F33" s="3"/>
      <c r="G33" s="31"/>
      <c r="H33" s="33"/>
      <c r="I33" s="21"/>
    </row>
    <row r="34" spans="1:11" ht="17.25" x14ac:dyDescent="0.3">
      <c r="A34" s="39"/>
      <c r="B34" s="27"/>
      <c r="C34" s="40"/>
      <c r="D34" s="41"/>
      <c r="E34" s="29"/>
      <c r="F34" s="29"/>
      <c r="G34" s="31"/>
      <c r="H34" s="33"/>
      <c r="I34" s="21"/>
    </row>
    <row r="35" spans="1:11" ht="15.75" x14ac:dyDescent="0.25">
      <c r="A35" s="27"/>
      <c r="B35" s="42"/>
      <c r="C35" s="28"/>
      <c r="D35" s="26"/>
      <c r="E35" s="25"/>
      <c r="F35" s="3"/>
      <c r="G35" s="31"/>
      <c r="H35" s="35"/>
      <c r="I35" s="21"/>
    </row>
    <row r="36" spans="1:11" ht="15.75" x14ac:dyDescent="0.25">
      <c r="A36" s="43"/>
      <c r="B36" s="44"/>
      <c r="C36" s="45"/>
      <c r="D36" s="35"/>
      <c r="E36" s="35"/>
      <c r="F36" s="32"/>
      <c r="G36" s="35"/>
      <c r="H36" s="35"/>
      <c r="I36" s="21"/>
    </row>
    <row r="37" spans="1:11" ht="18" thickBot="1" x14ac:dyDescent="0.35">
      <c r="A37" s="46"/>
      <c r="B37" s="47"/>
      <c r="C37" s="48"/>
      <c r="D37" s="48"/>
      <c r="E37" s="49"/>
      <c r="F37" s="50"/>
      <c r="G37" s="48"/>
      <c r="H37" s="48"/>
      <c r="I37" s="51"/>
    </row>
    <row r="38" spans="1:11" ht="18" thickBot="1" x14ac:dyDescent="0.35">
      <c r="A38" s="52"/>
      <c r="B38" s="53"/>
      <c r="C38" s="54"/>
      <c r="D38" s="55" t="s">
        <v>14</v>
      </c>
      <c r="E38" s="56" t="s">
        <v>13</v>
      </c>
      <c r="F38" s="57"/>
      <c r="G38" s="54"/>
      <c r="H38" s="54"/>
      <c r="I38" s="58"/>
    </row>
    <row r="39" spans="1:11" ht="17.25" x14ac:dyDescent="0.3">
      <c r="A39" s="587" t="s">
        <v>12</v>
      </c>
      <c r="B39" s="588"/>
      <c r="C39" s="589"/>
      <c r="D39" s="59">
        <v>1693</v>
      </c>
      <c r="E39" s="60" t="s">
        <v>1</v>
      </c>
      <c r="F39" s="590" t="s">
        <v>11</v>
      </c>
      <c r="G39" s="590"/>
      <c r="H39" s="591"/>
      <c r="I39" s="592"/>
      <c r="K39">
        <f>1514+179</f>
        <v>1693</v>
      </c>
    </row>
    <row r="40" spans="1:11" ht="17.25" x14ac:dyDescent="0.3">
      <c r="A40" s="609" t="s">
        <v>10</v>
      </c>
      <c r="B40" s="610"/>
      <c r="C40" s="611"/>
      <c r="D40" s="61">
        <v>5</v>
      </c>
      <c r="E40" s="62" t="s">
        <v>9</v>
      </c>
      <c r="F40" s="612" t="s">
        <v>8</v>
      </c>
      <c r="G40" s="612"/>
      <c r="H40" s="613"/>
      <c r="I40" s="614"/>
    </row>
    <row r="41" spans="1:11" ht="17.25" x14ac:dyDescent="0.3">
      <c r="A41" s="609" t="s">
        <v>7</v>
      </c>
      <c r="B41" s="610"/>
      <c r="C41" s="611"/>
      <c r="D41" s="62">
        <v>1</v>
      </c>
      <c r="E41" s="62" t="s">
        <v>6</v>
      </c>
      <c r="F41" s="612" t="s">
        <v>5</v>
      </c>
      <c r="G41" s="612"/>
      <c r="H41" s="613"/>
      <c r="I41" s="614"/>
    </row>
    <row r="42" spans="1:11" ht="17.25" x14ac:dyDescent="0.3">
      <c r="A42" s="609" t="s">
        <v>4</v>
      </c>
      <c r="B42" s="610"/>
      <c r="C42" s="611"/>
      <c r="D42" s="62">
        <v>1693</v>
      </c>
      <c r="E42" s="62" t="s">
        <v>1</v>
      </c>
      <c r="F42" s="629" t="s">
        <v>3</v>
      </c>
      <c r="G42" s="630"/>
      <c r="H42" s="613"/>
      <c r="I42" s="614"/>
    </row>
    <row r="43" spans="1:11" ht="18" thickBot="1" x14ac:dyDescent="0.35">
      <c r="A43" s="650" t="s">
        <v>2</v>
      </c>
      <c r="B43" s="651"/>
      <c r="C43" s="652"/>
      <c r="D43" s="63">
        <v>-178.79999999999995</v>
      </c>
      <c r="E43" s="64" t="s">
        <v>1</v>
      </c>
      <c r="F43" s="653"/>
      <c r="G43" s="653"/>
      <c r="H43" s="654"/>
      <c r="I43" s="655"/>
    </row>
    <row r="44" spans="1:11" ht="16.5" thickBot="1" x14ac:dyDescent="0.3">
      <c r="A44" s="631" t="s">
        <v>0</v>
      </c>
      <c r="B44" s="632"/>
      <c r="C44" s="632"/>
      <c r="D44" s="632"/>
      <c r="E44" s="632"/>
      <c r="F44" s="632"/>
      <c r="G44" s="632"/>
      <c r="H44" s="632"/>
      <c r="I44" s="633"/>
    </row>
    <row r="45" spans="1:11" x14ac:dyDescent="0.25">
      <c r="A45" s="598" t="s">
        <v>90</v>
      </c>
      <c r="B45" s="599"/>
      <c r="C45" s="600"/>
      <c r="D45" s="600"/>
      <c r="E45" s="600"/>
      <c r="F45" s="600"/>
      <c r="G45" s="600"/>
      <c r="H45" s="600"/>
      <c r="I45" s="601"/>
    </row>
    <row r="46" spans="1:11" x14ac:dyDescent="0.25">
      <c r="A46" s="598" t="s">
        <v>96</v>
      </c>
      <c r="B46" s="599"/>
      <c r="C46" s="600"/>
      <c r="D46" s="600"/>
      <c r="E46" s="600"/>
      <c r="F46" s="600"/>
      <c r="G46" s="600"/>
      <c r="H46" s="600"/>
      <c r="I46" s="601"/>
    </row>
    <row r="47" spans="1:11" x14ac:dyDescent="0.25">
      <c r="A47" s="598" t="s">
        <v>97</v>
      </c>
      <c r="B47" s="599"/>
      <c r="C47" s="600"/>
      <c r="D47" s="600"/>
      <c r="E47" s="600"/>
      <c r="F47" s="600"/>
      <c r="G47" s="600"/>
      <c r="H47" s="600"/>
      <c r="I47" s="601"/>
    </row>
    <row r="48" spans="1:11" x14ac:dyDescent="0.25">
      <c r="A48" s="598" t="s">
        <v>98</v>
      </c>
      <c r="B48" s="599"/>
      <c r="C48" s="600"/>
      <c r="D48" s="600"/>
      <c r="E48" s="600"/>
      <c r="F48" s="600"/>
      <c r="G48" s="600"/>
      <c r="H48" s="600"/>
      <c r="I48" s="601"/>
    </row>
    <row r="49" spans="1:9" x14ac:dyDescent="0.25">
      <c r="A49" s="598" t="s">
        <v>101</v>
      </c>
      <c r="B49" s="599"/>
      <c r="C49" s="600"/>
      <c r="D49" s="600"/>
      <c r="E49" s="600"/>
      <c r="F49" s="600"/>
      <c r="G49" s="600"/>
      <c r="H49" s="600"/>
      <c r="I49" s="601"/>
    </row>
    <row r="50" spans="1:9" x14ac:dyDescent="0.25">
      <c r="A50" s="602" t="s">
        <v>110</v>
      </c>
      <c r="B50" s="603"/>
      <c r="C50" s="604"/>
      <c r="D50" s="604"/>
      <c r="E50" s="604"/>
      <c r="F50" s="604"/>
      <c r="G50" s="604"/>
      <c r="H50" s="604"/>
      <c r="I50" s="605"/>
    </row>
    <row r="51" spans="1:9" x14ac:dyDescent="0.25">
      <c r="A51" s="598" t="s">
        <v>102</v>
      </c>
      <c r="B51" s="599"/>
      <c r="C51" s="600"/>
      <c r="D51" s="600"/>
      <c r="E51" s="600"/>
      <c r="F51" s="600"/>
      <c r="G51" s="600"/>
      <c r="H51" s="600"/>
      <c r="I51" s="601"/>
    </row>
    <row r="52" spans="1:9" x14ac:dyDescent="0.25">
      <c r="A52" s="598"/>
      <c r="B52" s="599"/>
      <c r="C52" s="600"/>
      <c r="D52" s="600"/>
      <c r="E52" s="600"/>
      <c r="F52" s="600"/>
      <c r="G52" s="600"/>
      <c r="H52" s="600"/>
      <c r="I52" s="601"/>
    </row>
    <row r="53" spans="1:9" ht="17.25" x14ac:dyDescent="0.3">
      <c r="A53" s="606"/>
      <c r="B53" s="607"/>
      <c r="C53" s="607"/>
      <c r="D53" s="607"/>
      <c r="E53" s="607"/>
      <c r="F53" s="607"/>
      <c r="G53" s="607"/>
      <c r="H53" s="607"/>
      <c r="I53" s="608"/>
    </row>
    <row r="54" spans="1:9" ht="17.25" x14ac:dyDescent="0.3">
      <c r="A54" s="606"/>
      <c r="B54" s="607"/>
      <c r="C54" s="607"/>
      <c r="D54" s="607"/>
      <c r="E54" s="607"/>
      <c r="F54" s="607"/>
      <c r="G54" s="607"/>
      <c r="H54" s="607"/>
      <c r="I54" s="608"/>
    </row>
    <row r="55" spans="1:9" ht="18" thickBot="1" x14ac:dyDescent="0.35">
      <c r="A55" s="593"/>
      <c r="B55" s="594"/>
      <c r="C55" s="594"/>
      <c r="D55" s="594"/>
      <c r="E55" s="594"/>
      <c r="F55" s="594"/>
      <c r="G55" s="594"/>
      <c r="H55" s="594"/>
      <c r="I55" s="595"/>
    </row>
    <row r="56" spans="1:9" x14ac:dyDescent="0.25">
      <c r="A56" s="596" t="s">
        <v>45</v>
      </c>
      <c r="B56" s="597"/>
      <c r="C56" s="597"/>
      <c r="D56" s="597"/>
      <c r="E56" s="597"/>
      <c r="F56" s="597"/>
      <c r="G56" s="597"/>
      <c r="H56" s="597"/>
      <c r="I56" s="597"/>
    </row>
    <row r="57" spans="1:9" x14ac:dyDescent="0.25">
      <c r="A57" s="585"/>
      <c r="B57" s="586"/>
      <c r="C57" s="586"/>
      <c r="D57" s="586"/>
      <c r="E57" s="586"/>
      <c r="F57" s="586"/>
      <c r="G57" s="586"/>
      <c r="H57" s="586"/>
      <c r="I57" s="586"/>
    </row>
    <row r="58" spans="1:9" x14ac:dyDescent="0.25">
      <c r="A58" s="585"/>
      <c r="B58" s="586"/>
      <c r="C58" s="586"/>
      <c r="D58" s="586"/>
      <c r="E58" s="586"/>
      <c r="F58" s="586"/>
      <c r="G58" s="586"/>
      <c r="H58" s="586"/>
      <c r="I58" s="586"/>
    </row>
  </sheetData>
  <mergeCells count="47">
    <mergeCell ref="A58:I58"/>
    <mergeCell ref="A39:C39"/>
    <mergeCell ref="F39:G39"/>
    <mergeCell ref="H39:I39"/>
    <mergeCell ref="A55:I55"/>
    <mergeCell ref="A56:I56"/>
    <mergeCell ref="A49:I49"/>
    <mergeCell ref="A57:I57"/>
    <mergeCell ref="A47:I47"/>
    <mergeCell ref="A50:I50"/>
    <mergeCell ref="A51:I51"/>
    <mergeCell ref="A52:I52"/>
    <mergeCell ref="A53:I53"/>
    <mergeCell ref="A40:C40"/>
    <mergeCell ref="F40:G40"/>
    <mergeCell ref="H40:I40"/>
    <mergeCell ref="A1:B5"/>
    <mergeCell ref="A6:C6"/>
    <mergeCell ref="D6:F6"/>
    <mergeCell ref="G6:H6"/>
    <mergeCell ref="A7:A8"/>
    <mergeCell ref="B7:B8"/>
    <mergeCell ref="E7:F7"/>
    <mergeCell ref="A54:I54"/>
    <mergeCell ref="A48:I48"/>
    <mergeCell ref="A42:C42"/>
    <mergeCell ref="F42:G42"/>
    <mergeCell ref="H42:I42"/>
    <mergeCell ref="A45:I45"/>
    <mergeCell ref="A46:I46"/>
    <mergeCell ref="A44:I44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1:C41"/>
    <mergeCell ref="F41:G41"/>
    <mergeCell ref="H41:I41"/>
    <mergeCell ref="A43:C43"/>
    <mergeCell ref="F43:G43"/>
    <mergeCell ref="H43:I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A3C6-2F78-482F-A316-2A3D426606D9}">
  <dimension ref="A1:I59"/>
  <sheetViews>
    <sheetView topLeftCell="A7" workbookViewId="0">
      <selection activeCell="C19" sqref="C19"/>
    </sheetView>
  </sheetViews>
  <sheetFormatPr baseColWidth="10" defaultRowHeight="15" x14ac:dyDescent="0.25"/>
  <cols>
    <col min="3" max="3" width="40.28515625" customWidth="1"/>
    <col min="8" max="8" width="19.28515625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/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/>
    </row>
    <row r="3" spans="1:9" ht="15.75" thickBot="1" x14ac:dyDescent="0.3">
      <c r="A3" s="617"/>
      <c r="B3" s="618"/>
      <c r="C3" s="645" t="s">
        <v>89</v>
      </c>
      <c r="D3" s="645"/>
      <c r="E3" s="645"/>
      <c r="F3" s="645"/>
      <c r="G3" s="645"/>
      <c r="H3" s="646" t="s">
        <v>31</v>
      </c>
      <c r="I3" s="634"/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28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41</v>
      </c>
      <c r="E6" s="622"/>
      <c r="F6" s="622"/>
      <c r="G6" s="623" t="s">
        <v>26</v>
      </c>
      <c r="H6" s="623"/>
      <c r="I6" s="10" t="s">
        <v>41</v>
      </c>
    </row>
    <row r="7" spans="1:9" ht="45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5.75" x14ac:dyDescent="0.25">
      <c r="A10" s="69" t="s">
        <v>46</v>
      </c>
      <c r="B10" s="69" t="s">
        <v>47</v>
      </c>
      <c r="C10" s="69" t="s">
        <v>323</v>
      </c>
      <c r="D10" s="70" t="s">
        <v>17</v>
      </c>
      <c r="E10" s="71">
        <v>430</v>
      </c>
      <c r="F10" s="72" t="s">
        <v>1</v>
      </c>
      <c r="G10" s="1"/>
      <c r="H10" s="66" t="s">
        <v>115</v>
      </c>
      <c r="I10" s="21"/>
    </row>
    <row r="11" spans="1:9" ht="15.75" x14ac:dyDescent="0.25">
      <c r="A11" s="69" t="s">
        <v>49</v>
      </c>
      <c r="B11" s="69" t="s">
        <v>50</v>
      </c>
      <c r="C11" s="73" t="s">
        <v>51</v>
      </c>
      <c r="D11" s="74" t="s">
        <v>17</v>
      </c>
      <c r="E11" s="71">
        <v>90</v>
      </c>
      <c r="F11" s="72" t="s">
        <v>1</v>
      </c>
      <c r="G11" s="2" t="s">
        <v>93</v>
      </c>
      <c r="H11" s="66"/>
      <c r="I11" s="21"/>
    </row>
    <row r="12" spans="1:9" ht="15.75" x14ac:dyDescent="0.25">
      <c r="A12" s="200">
        <v>11700002</v>
      </c>
      <c r="B12" t="s">
        <v>173</v>
      </c>
      <c r="C12" t="s">
        <v>174</v>
      </c>
      <c r="D12" s="75" t="s">
        <v>175</v>
      </c>
      <c r="E12" s="71">
        <v>300</v>
      </c>
      <c r="F12" s="72" t="s">
        <v>1</v>
      </c>
      <c r="G12" s="2" t="s">
        <v>176</v>
      </c>
      <c r="H12" s="66" t="s">
        <v>177</v>
      </c>
      <c r="I12" s="21"/>
    </row>
    <row r="13" spans="1:9" ht="15.75" x14ac:dyDescent="0.25">
      <c r="A13" s="69" t="s">
        <v>55</v>
      </c>
      <c r="B13" s="69" t="s">
        <v>56</v>
      </c>
      <c r="C13" s="76" t="s">
        <v>57</v>
      </c>
      <c r="D13" s="77" t="s">
        <v>58</v>
      </c>
      <c r="E13" s="78">
        <v>300</v>
      </c>
      <c r="F13" s="72" t="s">
        <v>1</v>
      </c>
      <c r="G13" s="2" t="s">
        <v>176</v>
      </c>
      <c r="H13" s="65" t="s">
        <v>177</v>
      </c>
      <c r="I13" s="21"/>
    </row>
    <row r="14" spans="1:9" ht="15.75" x14ac:dyDescent="0.25">
      <c r="A14" s="69"/>
      <c r="B14" s="69"/>
      <c r="C14" s="76"/>
      <c r="D14" s="77"/>
      <c r="E14" s="78"/>
      <c r="F14" s="72"/>
      <c r="G14" s="1"/>
      <c r="H14" s="65"/>
      <c r="I14" s="21"/>
    </row>
    <row r="15" spans="1:9" ht="15.75" x14ac:dyDescent="0.25">
      <c r="A15" s="69"/>
      <c r="B15" s="69"/>
      <c r="C15" s="76"/>
      <c r="D15" s="77"/>
      <c r="E15" s="78"/>
      <c r="F15" s="72"/>
      <c r="G15" s="1"/>
      <c r="H15" s="65"/>
      <c r="I15" s="21"/>
    </row>
    <row r="16" spans="1:9" ht="15.75" x14ac:dyDescent="0.25">
      <c r="A16" s="68"/>
      <c r="B16" s="68"/>
      <c r="C16" s="79" t="s">
        <v>44</v>
      </c>
      <c r="D16" s="80"/>
      <c r="E16" s="78"/>
      <c r="F16" s="72"/>
      <c r="G16" s="1"/>
      <c r="H16" s="65"/>
      <c r="I16" s="21"/>
    </row>
    <row r="17" spans="1:9" ht="15.75" x14ac:dyDescent="0.25">
      <c r="A17" s="69" t="s">
        <v>60</v>
      </c>
      <c r="B17" s="69" t="s">
        <v>61</v>
      </c>
      <c r="C17" s="69" t="s">
        <v>62</v>
      </c>
      <c r="D17" s="80" t="s">
        <v>17</v>
      </c>
      <c r="E17" s="78">
        <v>170</v>
      </c>
      <c r="F17" s="72" t="s">
        <v>1</v>
      </c>
      <c r="G17" s="1"/>
      <c r="H17" s="65"/>
      <c r="I17" s="21"/>
    </row>
    <row r="18" spans="1:9" ht="15.75" x14ac:dyDescent="0.25">
      <c r="A18" s="69" t="s">
        <v>60</v>
      </c>
      <c r="B18" s="69" t="s">
        <v>61</v>
      </c>
      <c r="C18" s="69" t="s">
        <v>62</v>
      </c>
      <c r="D18" s="80" t="s">
        <v>17</v>
      </c>
      <c r="E18" s="78">
        <v>60</v>
      </c>
      <c r="F18" s="72" t="s">
        <v>1</v>
      </c>
      <c r="G18" s="1"/>
      <c r="H18" s="65" t="s">
        <v>91</v>
      </c>
      <c r="I18" s="21"/>
    </row>
    <row r="19" spans="1:9" ht="15.75" x14ac:dyDescent="0.25">
      <c r="A19" s="69" t="s">
        <v>55</v>
      </c>
      <c r="B19" s="69" t="s">
        <v>56</v>
      </c>
      <c r="C19" s="76" t="s">
        <v>57</v>
      </c>
      <c r="D19" s="77" t="s">
        <v>58</v>
      </c>
      <c r="E19" s="78">
        <v>120</v>
      </c>
      <c r="F19" s="72" t="s">
        <v>1</v>
      </c>
      <c r="G19" s="1"/>
      <c r="H19" s="65" t="s">
        <v>112</v>
      </c>
      <c r="I19" s="21"/>
    </row>
    <row r="20" spans="1:9" ht="15.75" x14ac:dyDescent="0.25">
      <c r="A20" s="69"/>
      <c r="B20" s="1" t="s">
        <v>99</v>
      </c>
      <c r="C20" s="1" t="s">
        <v>100</v>
      </c>
      <c r="D20" s="75" t="s">
        <v>17</v>
      </c>
      <c r="E20" s="71">
        <v>4</v>
      </c>
      <c r="F20" s="72" t="s">
        <v>1</v>
      </c>
      <c r="G20" s="93"/>
      <c r="H20" s="93"/>
      <c r="I20" s="21"/>
    </row>
    <row r="21" spans="1:9" ht="15.75" x14ac:dyDescent="0.25">
      <c r="A21" s="69"/>
      <c r="B21" s="69" t="s">
        <v>107</v>
      </c>
      <c r="C21" s="81" t="s">
        <v>108</v>
      </c>
      <c r="D21" s="75"/>
      <c r="E21" s="199">
        <v>0.2</v>
      </c>
      <c r="F21" s="72" t="s">
        <v>1</v>
      </c>
      <c r="G21" s="90"/>
      <c r="H21" s="90"/>
      <c r="I21" s="21"/>
    </row>
    <row r="22" spans="1:9" ht="15.75" x14ac:dyDescent="0.25">
      <c r="A22" s="69"/>
      <c r="B22" s="69" t="s">
        <v>40</v>
      </c>
      <c r="C22" s="81" t="s">
        <v>326</v>
      </c>
      <c r="D22" s="75"/>
      <c r="E22" s="71">
        <v>4</v>
      </c>
      <c r="F22" s="72" t="s">
        <v>1</v>
      </c>
      <c r="G22" s="90"/>
      <c r="H22" s="90" t="s">
        <v>327</v>
      </c>
      <c r="I22" s="21"/>
    </row>
    <row r="23" spans="1:9" ht="15.75" x14ac:dyDescent="0.25">
      <c r="A23" s="67"/>
      <c r="B23" s="67"/>
      <c r="C23" s="82"/>
      <c r="D23" s="70"/>
      <c r="E23" s="71"/>
      <c r="F23" s="72"/>
      <c r="G23" s="65"/>
      <c r="H23" s="66"/>
      <c r="I23" s="21"/>
    </row>
    <row r="24" spans="1:9" ht="15.75" x14ac:dyDescent="0.25">
      <c r="A24" s="67"/>
      <c r="B24" s="67"/>
      <c r="C24" s="83" t="s">
        <v>63</v>
      </c>
      <c r="D24" s="70"/>
      <c r="E24" s="71"/>
      <c r="F24" s="74"/>
      <c r="G24" s="65"/>
      <c r="H24" s="66"/>
      <c r="I24" s="21"/>
    </row>
    <row r="25" spans="1:9" ht="15.75" x14ac:dyDescent="0.25">
      <c r="A25" s="69" t="s">
        <v>64</v>
      </c>
      <c r="B25" s="69" t="s">
        <v>65</v>
      </c>
      <c r="C25" s="69" t="s">
        <v>66</v>
      </c>
      <c r="D25" s="70" t="s">
        <v>67</v>
      </c>
      <c r="E25" s="71">
        <v>1</v>
      </c>
      <c r="F25" s="74" t="s">
        <v>6</v>
      </c>
      <c r="G25" s="65"/>
      <c r="H25" s="66"/>
      <c r="I25" s="21"/>
    </row>
    <row r="26" spans="1:9" ht="15.75" x14ac:dyDescent="0.25">
      <c r="A26" s="69" t="s">
        <v>68</v>
      </c>
      <c r="B26" s="69" t="s">
        <v>69</v>
      </c>
      <c r="C26" s="69" t="s">
        <v>70</v>
      </c>
      <c r="D26" s="70"/>
      <c r="E26" s="71">
        <v>1</v>
      </c>
      <c r="F26" s="74" t="s">
        <v>71</v>
      </c>
      <c r="G26" s="65"/>
      <c r="H26" s="66"/>
      <c r="I26" s="21"/>
    </row>
    <row r="27" spans="1:9" ht="15.75" x14ac:dyDescent="0.25">
      <c r="A27" s="69" t="s">
        <v>72</v>
      </c>
      <c r="B27" s="69" t="s">
        <v>73</v>
      </c>
      <c r="C27" s="82" t="s">
        <v>74</v>
      </c>
      <c r="D27" s="70" t="s">
        <v>75</v>
      </c>
      <c r="E27" s="71">
        <v>1</v>
      </c>
      <c r="F27" s="74" t="s">
        <v>6</v>
      </c>
      <c r="G27" s="65"/>
      <c r="H27" s="65"/>
      <c r="I27" s="21"/>
    </row>
    <row r="28" spans="1:9" ht="15.75" x14ac:dyDescent="0.25">
      <c r="A28" s="69" t="s">
        <v>76</v>
      </c>
      <c r="B28" s="69" t="s">
        <v>39</v>
      </c>
      <c r="C28" s="82" t="s">
        <v>77</v>
      </c>
      <c r="D28" s="70" t="s">
        <v>15</v>
      </c>
      <c r="E28" s="71">
        <v>1</v>
      </c>
      <c r="F28" s="74" t="s">
        <v>6</v>
      </c>
      <c r="G28" s="65"/>
      <c r="H28" s="65"/>
      <c r="I28" s="21"/>
    </row>
    <row r="29" spans="1:9" ht="15.75" x14ac:dyDescent="0.25">
      <c r="A29" s="69" t="s">
        <v>78</v>
      </c>
      <c r="B29" s="69" t="s">
        <v>79</v>
      </c>
      <c r="C29" s="82" t="s">
        <v>80</v>
      </c>
      <c r="D29" s="70" t="s">
        <v>81</v>
      </c>
      <c r="E29" s="71">
        <v>1</v>
      </c>
      <c r="F29" s="74" t="s">
        <v>6</v>
      </c>
      <c r="G29" s="65"/>
      <c r="H29" s="65"/>
      <c r="I29" s="21"/>
    </row>
    <row r="30" spans="1:9" ht="15.75" x14ac:dyDescent="0.25">
      <c r="A30" s="69" t="s">
        <v>82</v>
      </c>
      <c r="B30" s="69" t="s">
        <v>16</v>
      </c>
      <c r="C30" s="84" t="s">
        <v>83</v>
      </c>
      <c r="D30" s="74" t="s">
        <v>15</v>
      </c>
      <c r="E30" s="71">
        <v>1</v>
      </c>
      <c r="F30" s="72" t="s">
        <v>6</v>
      </c>
      <c r="G30" s="65"/>
      <c r="H30" s="65"/>
      <c r="I30" s="21"/>
    </row>
    <row r="31" spans="1:9" ht="15.75" x14ac:dyDescent="0.25">
      <c r="A31" s="69" t="s">
        <v>84</v>
      </c>
      <c r="B31" s="69" t="s">
        <v>85</v>
      </c>
      <c r="C31" s="69" t="s">
        <v>86</v>
      </c>
      <c r="D31" s="74" t="s">
        <v>87</v>
      </c>
      <c r="E31" s="71">
        <v>60</v>
      </c>
      <c r="F31" s="72" t="s">
        <v>88</v>
      </c>
      <c r="G31" s="65"/>
      <c r="H31" s="65"/>
      <c r="I31" s="21"/>
    </row>
    <row r="32" spans="1:9" ht="15.75" x14ac:dyDescent="0.25">
      <c r="A32" s="85"/>
      <c r="B32" s="96" t="s">
        <v>116</v>
      </c>
      <c r="C32" s="95" t="s">
        <v>117</v>
      </c>
      <c r="D32" s="87"/>
      <c r="E32" s="97">
        <v>1</v>
      </c>
      <c r="F32" s="98" t="s">
        <v>6</v>
      </c>
      <c r="G32" s="19"/>
      <c r="H32" s="33"/>
      <c r="I32" s="21"/>
    </row>
    <row r="33" spans="1:9" ht="15.75" x14ac:dyDescent="0.25">
      <c r="A33" s="36"/>
      <c r="B33" s="36"/>
      <c r="C33" s="22"/>
      <c r="D33" s="23"/>
      <c r="E33" s="36"/>
      <c r="F33" s="34"/>
      <c r="G33" s="30"/>
      <c r="H33" s="33"/>
      <c r="I33" s="21"/>
    </row>
    <row r="34" spans="1:9" ht="15.75" x14ac:dyDescent="0.25">
      <c r="A34" s="24"/>
      <c r="B34" s="24"/>
      <c r="C34" s="37"/>
      <c r="D34" s="38"/>
      <c r="E34" s="24"/>
      <c r="F34" s="3"/>
      <c r="G34" s="31"/>
      <c r="H34" s="33"/>
      <c r="I34" s="21"/>
    </row>
    <row r="35" spans="1:9" ht="17.25" x14ac:dyDescent="0.3">
      <c r="A35" s="39"/>
      <c r="B35" s="27"/>
      <c r="C35" s="40"/>
      <c r="D35" s="41"/>
      <c r="E35" s="29"/>
      <c r="F35" s="29"/>
      <c r="G35" s="31"/>
      <c r="H35" s="33"/>
      <c r="I35" s="21"/>
    </row>
    <row r="36" spans="1:9" ht="15.75" x14ac:dyDescent="0.25">
      <c r="A36" s="27"/>
      <c r="B36" s="42"/>
      <c r="C36" s="28"/>
      <c r="D36" s="26"/>
      <c r="E36" s="25"/>
      <c r="F36" s="3"/>
      <c r="G36" s="31"/>
      <c r="H36" s="35"/>
      <c r="I36" s="21"/>
    </row>
    <row r="37" spans="1:9" ht="15.75" x14ac:dyDescent="0.25">
      <c r="A37" s="43"/>
      <c r="B37" s="44"/>
      <c r="C37" s="45"/>
      <c r="D37" s="35"/>
      <c r="E37" s="35"/>
      <c r="F37" s="32"/>
      <c r="G37" s="35"/>
      <c r="H37" s="35"/>
      <c r="I37" s="21"/>
    </row>
    <row r="38" spans="1:9" ht="18" thickBot="1" x14ac:dyDescent="0.35">
      <c r="A38" s="46"/>
      <c r="B38" s="47"/>
      <c r="C38" s="48"/>
      <c r="D38" s="48"/>
      <c r="E38" s="49"/>
      <c r="F38" s="50"/>
      <c r="G38" s="48"/>
      <c r="H38" s="48"/>
      <c r="I38" s="51"/>
    </row>
    <row r="39" spans="1:9" ht="18" thickBot="1" x14ac:dyDescent="0.35">
      <c r="A39" s="52"/>
      <c r="B39" s="53"/>
      <c r="C39" s="54"/>
      <c r="D39" s="55" t="s">
        <v>14</v>
      </c>
      <c r="E39" s="56" t="s">
        <v>13</v>
      </c>
      <c r="F39" s="57"/>
      <c r="G39" s="54"/>
      <c r="H39" s="54"/>
      <c r="I39" s="58"/>
    </row>
    <row r="40" spans="1:9" ht="17.25" x14ac:dyDescent="0.3">
      <c r="A40" s="587" t="s">
        <v>12</v>
      </c>
      <c r="B40" s="588"/>
      <c r="C40" s="589"/>
      <c r="D40" s="59">
        <v>1400</v>
      </c>
      <c r="E40" s="60" t="s">
        <v>1</v>
      </c>
      <c r="F40" s="590" t="s">
        <v>11</v>
      </c>
      <c r="G40" s="590"/>
      <c r="H40" s="591"/>
      <c r="I40" s="592"/>
    </row>
    <row r="41" spans="1:9" ht="17.25" x14ac:dyDescent="0.3">
      <c r="A41" s="609" t="s">
        <v>10</v>
      </c>
      <c r="B41" s="610"/>
      <c r="C41" s="611"/>
      <c r="D41" s="61">
        <v>5</v>
      </c>
      <c r="E41" s="62" t="s">
        <v>9</v>
      </c>
      <c r="F41" s="612" t="s">
        <v>8</v>
      </c>
      <c r="G41" s="612"/>
      <c r="H41" s="613"/>
      <c r="I41" s="614"/>
    </row>
    <row r="42" spans="1:9" ht="17.25" x14ac:dyDescent="0.3">
      <c r="A42" s="609" t="s">
        <v>7</v>
      </c>
      <c r="B42" s="610"/>
      <c r="C42" s="611"/>
      <c r="D42" s="62">
        <v>1</v>
      </c>
      <c r="E42" s="62" t="s">
        <v>6</v>
      </c>
      <c r="F42" s="612" t="s">
        <v>5</v>
      </c>
      <c r="G42" s="612"/>
      <c r="H42" s="613"/>
      <c r="I42" s="614"/>
    </row>
    <row r="43" spans="1:9" ht="17.25" x14ac:dyDescent="0.3">
      <c r="A43" s="609" t="s">
        <v>4</v>
      </c>
      <c r="B43" s="610"/>
      <c r="C43" s="611"/>
      <c r="D43" s="62">
        <v>1400</v>
      </c>
      <c r="E43" s="62" t="s">
        <v>1</v>
      </c>
      <c r="F43" s="629" t="s">
        <v>3</v>
      </c>
      <c r="G43" s="630"/>
      <c r="H43" s="613"/>
      <c r="I43" s="614"/>
    </row>
    <row r="44" spans="1:9" ht="18" thickBot="1" x14ac:dyDescent="0.35">
      <c r="A44" s="650" t="s">
        <v>2</v>
      </c>
      <c r="B44" s="651"/>
      <c r="C44" s="652"/>
      <c r="D44" s="63">
        <v>82.200000000000045</v>
      </c>
      <c r="E44" s="64" t="s">
        <v>1</v>
      </c>
      <c r="F44" s="653"/>
      <c r="G44" s="653"/>
      <c r="H44" s="654"/>
      <c r="I44" s="655"/>
    </row>
    <row r="45" spans="1:9" ht="16.5" thickBot="1" x14ac:dyDescent="0.3">
      <c r="A45" s="631" t="s">
        <v>0</v>
      </c>
      <c r="B45" s="632"/>
      <c r="C45" s="632"/>
      <c r="D45" s="632"/>
      <c r="E45" s="632"/>
      <c r="F45" s="632"/>
      <c r="G45" s="632"/>
      <c r="H45" s="632"/>
      <c r="I45" s="633"/>
    </row>
    <row r="46" spans="1:9" x14ac:dyDescent="0.25">
      <c r="A46" s="598" t="s">
        <v>90</v>
      </c>
      <c r="B46" s="599"/>
      <c r="C46" s="600"/>
      <c r="D46" s="600"/>
      <c r="E46" s="600"/>
      <c r="F46" s="600"/>
      <c r="G46" s="600"/>
      <c r="H46" s="600"/>
      <c r="I46" s="601"/>
    </row>
    <row r="47" spans="1:9" x14ac:dyDescent="0.25">
      <c r="A47" s="598" t="s">
        <v>328</v>
      </c>
      <c r="B47" s="599"/>
      <c r="C47" s="600"/>
      <c r="D47" s="600"/>
      <c r="E47" s="600"/>
      <c r="F47" s="600"/>
      <c r="G47" s="600"/>
      <c r="H47" s="600"/>
      <c r="I47" s="601"/>
    </row>
    <row r="48" spans="1:9" x14ac:dyDescent="0.25">
      <c r="A48" s="598" t="s">
        <v>329</v>
      </c>
      <c r="B48" s="599"/>
      <c r="C48" s="600"/>
      <c r="D48" s="600"/>
      <c r="E48" s="600"/>
      <c r="F48" s="600"/>
      <c r="G48" s="600"/>
      <c r="H48" s="600"/>
      <c r="I48" s="601"/>
    </row>
    <row r="49" spans="1:9" x14ac:dyDescent="0.25">
      <c r="A49" s="598" t="s">
        <v>98</v>
      </c>
      <c r="B49" s="599"/>
      <c r="C49" s="600"/>
      <c r="D49" s="600"/>
      <c r="E49" s="600"/>
      <c r="F49" s="600"/>
      <c r="G49" s="600"/>
      <c r="H49" s="600"/>
      <c r="I49" s="601"/>
    </row>
    <row r="50" spans="1:9" x14ac:dyDescent="0.25">
      <c r="A50" s="598" t="s">
        <v>101</v>
      </c>
      <c r="B50" s="599"/>
      <c r="C50" s="600"/>
      <c r="D50" s="600"/>
      <c r="E50" s="600"/>
      <c r="F50" s="600"/>
      <c r="G50" s="600"/>
      <c r="H50" s="600"/>
      <c r="I50" s="601"/>
    </row>
    <row r="51" spans="1:9" x14ac:dyDescent="0.25">
      <c r="A51" s="602" t="s">
        <v>330</v>
      </c>
      <c r="B51" s="603"/>
      <c r="C51" s="604"/>
      <c r="D51" s="604"/>
      <c r="E51" s="604"/>
      <c r="F51" s="604"/>
      <c r="G51" s="604"/>
      <c r="H51" s="604"/>
      <c r="I51" s="605"/>
    </row>
    <row r="52" spans="1:9" x14ac:dyDescent="0.25">
      <c r="A52" s="598" t="s">
        <v>102</v>
      </c>
      <c r="B52" s="599"/>
      <c r="C52" s="600"/>
      <c r="D52" s="600"/>
      <c r="E52" s="600"/>
      <c r="F52" s="600"/>
      <c r="G52" s="600"/>
      <c r="H52" s="600"/>
      <c r="I52" s="601"/>
    </row>
    <row r="53" spans="1:9" x14ac:dyDescent="0.25">
      <c r="A53" s="598"/>
      <c r="B53" s="599"/>
      <c r="C53" s="600"/>
      <c r="D53" s="600"/>
      <c r="E53" s="600"/>
      <c r="F53" s="600"/>
      <c r="G53" s="600"/>
      <c r="H53" s="600"/>
      <c r="I53" s="601"/>
    </row>
    <row r="54" spans="1:9" ht="17.25" x14ac:dyDescent="0.3">
      <c r="A54" s="606"/>
      <c r="B54" s="607"/>
      <c r="C54" s="607"/>
      <c r="D54" s="607"/>
      <c r="E54" s="607"/>
      <c r="F54" s="607"/>
      <c r="G54" s="607"/>
      <c r="H54" s="607"/>
      <c r="I54" s="608"/>
    </row>
    <row r="55" spans="1:9" ht="17.25" x14ac:dyDescent="0.3">
      <c r="A55" s="606"/>
      <c r="B55" s="607"/>
      <c r="C55" s="607"/>
      <c r="D55" s="607"/>
      <c r="E55" s="607"/>
      <c r="F55" s="607"/>
      <c r="G55" s="607"/>
      <c r="H55" s="607"/>
      <c r="I55" s="608"/>
    </row>
    <row r="56" spans="1:9" ht="18" thickBot="1" x14ac:dyDescent="0.35">
      <c r="A56" s="593"/>
      <c r="B56" s="594"/>
      <c r="C56" s="594"/>
      <c r="D56" s="594"/>
      <c r="E56" s="594"/>
      <c r="F56" s="594"/>
      <c r="G56" s="594"/>
      <c r="H56" s="594"/>
      <c r="I56" s="595"/>
    </row>
    <row r="57" spans="1:9" x14ac:dyDescent="0.25">
      <c r="A57" s="596" t="s">
        <v>45</v>
      </c>
      <c r="B57" s="597"/>
      <c r="C57" s="597"/>
      <c r="D57" s="597"/>
      <c r="E57" s="597"/>
      <c r="F57" s="597"/>
      <c r="G57" s="597"/>
      <c r="H57" s="597"/>
      <c r="I57" s="597"/>
    </row>
    <row r="58" spans="1:9" x14ac:dyDescent="0.25">
      <c r="A58" s="585"/>
      <c r="B58" s="586"/>
      <c r="C58" s="586"/>
      <c r="D58" s="586"/>
      <c r="E58" s="586"/>
      <c r="F58" s="586"/>
      <c r="G58" s="586"/>
      <c r="H58" s="586"/>
      <c r="I58" s="586"/>
    </row>
    <row r="59" spans="1:9" x14ac:dyDescent="0.25">
      <c r="A59" s="585"/>
      <c r="B59" s="586"/>
      <c r="C59" s="586"/>
      <c r="D59" s="586"/>
      <c r="E59" s="586"/>
      <c r="F59" s="586"/>
      <c r="G59" s="586"/>
      <c r="H59" s="586"/>
      <c r="I59" s="586"/>
    </row>
  </sheetData>
  <mergeCells count="47">
    <mergeCell ref="A42:C42"/>
    <mergeCell ref="F42:G42"/>
    <mergeCell ref="H42:I42"/>
    <mergeCell ref="A44:C44"/>
    <mergeCell ref="F44:G44"/>
    <mergeCell ref="H44:I44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55:I55"/>
    <mergeCell ref="A49:I49"/>
    <mergeCell ref="A43:C43"/>
    <mergeCell ref="F43:G43"/>
    <mergeCell ref="H43:I43"/>
    <mergeCell ref="A46:I46"/>
    <mergeCell ref="A47:I47"/>
    <mergeCell ref="A45:I45"/>
    <mergeCell ref="A1:B5"/>
    <mergeCell ref="A6:C6"/>
    <mergeCell ref="D6:F6"/>
    <mergeCell ref="G6:H6"/>
    <mergeCell ref="A7:A8"/>
    <mergeCell ref="B7:B8"/>
    <mergeCell ref="E7:F7"/>
    <mergeCell ref="A59:I59"/>
    <mergeCell ref="A40:C40"/>
    <mergeCell ref="F40:G40"/>
    <mergeCell ref="H40:I40"/>
    <mergeCell ref="A56:I56"/>
    <mergeCell ref="A57:I57"/>
    <mergeCell ref="A50:I50"/>
    <mergeCell ref="A58:I58"/>
    <mergeCell ref="A48:I48"/>
    <mergeCell ref="A51:I51"/>
    <mergeCell ref="A52:I52"/>
    <mergeCell ref="A53:I53"/>
    <mergeCell ref="A54:I54"/>
    <mergeCell ref="A41:C41"/>
    <mergeCell ref="F41:G41"/>
    <mergeCell ref="H41:I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618F-89F7-4773-95D9-47FE0C60CC48}">
  <dimension ref="A1:I59"/>
  <sheetViews>
    <sheetView topLeftCell="A7" workbookViewId="0">
      <selection activeCell="C22" sqref="C22"/>
    </sheetView>
  </sheetViews>
  <sheetFormatPr baseColWidth="10" defaultRowHeight="15" x14ac:dyDescent="0.25"/>
  <cols>
    <col min="3" max="3" width="40.28515625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/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/>
    </row>
    <row r="3" spans="1:9" ht="15.75" thickBot="1" x14ac:dyDescent="0.3">
      <c r="A3" s="617"/>
      <c r="B3" s="618"/>
      <c r="C3" s="645" t="s">
        <v>89</v>
      </c>
      <c r="D3" s="645"/>
      <c r="E3" s="645"/>
      <c r="F3" s="645"/>
      <c r="G3" s="645"/>
      <c r="H3" s="646" t="s">
        <v>31</v>
      </c>
      <c r="I3" s="634"/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331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41</v>
      </c>
      <c r="E6" s="622"/>
      <c r="F6" s="622"/>
      <c r="G6" s="623" t="s">
        <v>26</v>
      </c>
      <c r="H6" s="623"/>
      <c r="I6" s="10" t="s">
        <v>41</v>
      </c>
    </row>
    <row r="7" spans="1:9" ht="45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5.75" x14ac:dyDescent="0.25">
      <c r="A10" s="69" t="s">
        <v>46</v>
      </c>
      <c r="B10" s="69" t="s">
        <v>47</v>
      </c>
      <c r="C10" s="69" t="s">
        <v>323</v>
      </c>
      <c r="D10" s="70" t="s">
        <v>17</v>
      </c>
      <c r="E10" s="71">
        <v>430</v>
      </c>
      <c r="F10" s="72" t="s">
        <v>1</v>
      </c>
      <c r="G10" s="1"/>
      <c r="H10" s="66" t="s">
        <v>115</v>
      </c>
      <c r="I10" s="21"/>
    </row>
    <row r="11" spans="1:9" ht="15.75" x14ac:dyDescent="0.25">
      <c r="A11" s="69" t="s">
        <v>49</v>
      </c>
      <c r="B11" s="69" t="s">
        <v>50</v>
      </c>
      <c r="C11" s="73" t="s">
        <v>51</v>
      </c>
      <c r="D11" s="74" t="s">
        <v>17</v>
      </c>
      <c r="E11" s="71">
        <v>90</v>
      </c>
      <c r="F11" s="72" t="s">
        <v>1</v>
      </c>
      <c r="G11" s="2" t="s">
        <v>93</v>
      </c>
      <c r="H11" s="66"/>
      <c r="I11" s="21"/>
    </row>
    <row r="12" spans="1:9" ht="15.75" x14ac:dyDescent="0.25">
      <c r="A12" s="200">
        <v>11700002</v>
      </c>
      <c r="B12" t="s">
        <v>173</v>
      </c>
      <c r="C12" t="s">
        <v>174</v>
      </c>
      <c r="D12" s="75" t="s">
        <v>175</v>
      </c>
      <c r="E12" s="71">
        <v>300</v>
      </c>
      <c r="F12" s="72" t="s">
        <v>1</v>
      </c>
      <c r="G12" s="2" t="s">
        <v>176</v>
      </c>
      <c r="H12" s="66" t="s">
        <v>177</v>
      </c>
      <c r="I12" s="21"/>
    </row>
    <row r="13" spans="1:9" ht="15.75" x14ac:dyDescent="0.25">
      <c r="A13" s="69" t="s">
        <v>55</v>
      </c>
      <c r="B13" s="69" t="s">
        <v>56</v>
      </c>
      <c r="C13" s="76" t="s">
        <v>57</v>
      </c>
      <c r="D13" s="77" t="s">
        <v>58</v>
      </c>
      <c r="E13" s="78">
        <v>300</v>
      </c>
      <c r="F13" s="72" t="s">
        <v>1</v>
      </c>
      <c r="G13" s="2" t="s">
        <v>176</v>
      </c>
      <c r="H13" s="65" t="s">
        <v>177</v>
      </c>
      <c r="I13" s="21"/>
    </row>
    <row r="14" spans="1:9" ht="15.75" x14ac:dyDescent="0.25">
      <c r="A14" s="69"/>
      <c r="B14" s="69"/>
      <c r="C14" s="76"/>
      <c r="D14" s="77"/>
      <c r="E14" s="78"/>
      <c r="F14" s="72"/>
      <c r="G14" s="1"/>
      <c r="H14" s="65"/>
      <c r="I14" s="21"/>
    </row>
    <row r="15" spans="1:9" ht="15.75" x14ac:dyDescent="0.25">
      <c r="A15" s="69"/>
      <c r="B15" s="69"/>
      <c r="C15" s="76"/>
      <c r="D15" s="77"/>
      <c r="E15" s="78"/>
      <c r="F15" s="72"/>
      <c r="G15" s="1"/>
      <c r="H15" s="65"/>
      <c r="I15" s="21"/>
    </row>
    <row r="16" spans="1:9" ht="15.75" x14ac:dyDescent="0.25">
      <c r="A16" s="68"/>
      <c r="B16" s="68"/>
      <c r="C16" s="79" t="s">
        <v>44</v>
      </c>
      <c r="D16" s="80"/>
      <c r="E16" s="78"/>
      <c r="F16" s="72"/>
      <c r="G16" s="1"/>
      <c r="H16" s="65"/>
      <c r="I16" s="21"/>
    </row>
    <row r="17" spans="1:9" ht="15.75" x14ac:dyDescent="0.25">
      <c r="A17" s="69" t="s">
        <v>60</v>
      </c>
      <c r="B17" s="69" t="s">
        <v>61</v>
      </c>
      <c r="C17" s="69" t="s">
        <v>62</v>
      </c>
      <c r="D17" s="80" t="s">
        <v>17</v>
      </c>
      <c r="E17" s="78">
        <v>170</v>
      </c>
      <c r="F17" s="72" t="s">
        <v>1</v>
      </c>
      <c r="G17" s="1"/>
      <c r="H17" s="65"/>
      <c r="I17" s="21"/>
    </row>
    <row r="18" spans="1:9" ht="15.75" x14ac:dyDescent="0.25">
      <c r="A18" s="69" t="s">
        <v>60</v>
      </c>
      <c r="B18" s="69" t="s">
        <v>61</v>
      </c>
      <c r="C18" s="69" t="s">
        <v>62</v>
      </c>
      <c r="D18" s="80" t="s">
        <v>17</v>
      </c>
      <c r="E18" s="78">
        <v>60</v>
      </c>
      <c r="F18" s="72" t="s">
        <v>1</v>
      </c>
      <c r="G18" s="1"/>
      <c r="H18" s="65" t="s">
        <v>91</v>
      </c>
      <c r="I18" s="21"/>
    </row>
    <row r="19" spans="1:9" ht="15.75" x14ac:dyDescent="0.25">
      <c r="A19" s="69" t="s">
        <v>55</v>
      </c>
      <c r="B19" s="69" t="s">
        <v>56</v>
      </c>
      <c r="C19" s="76" t="s">
        <v>57</v>
      </c>
      <c r="D19" s="77" t="s">
        <v>58</v>
      </c>
      <c r="E19" s="78">
        <v>120</v>
      </c>
      <c r="F19" s="72" t="s">
        <v>1</v>
      </c>
      <c r="G19" s="1"/>
      <c r="H19" s="65" t="s">
        <v>112</v>
      </c>
      <c r="I19" s="21"/>
    </row>
    <row r="20" spans="1:9" ht="15.75" x14ac:dyDescent="0.25">
      <c r="A20" s="69"/>
      <c r="B20" s="1" t="s">
        <v>99</v>
      </c>
      <c r="C20" s="1" t="s">
        <v>100</v>
      </c>
      <c r="D20" s="75" t="s">
        <v>17</v>
      </c>
      <c r="E20" s="71">
        <v>4</v>
      </c>
      <c r="F20" s="72" t="s">
        <v>1</v>
      </c>
      <c r="G20" s="93"/>
      <c r="H20" s="93"/>
      <c r="I20" s="21"/>
    </row>
    <row r="21" spans="1:9" ht="15.75" x14ac:dyDescent="0.25">
      <c r="A21" s="69"/>
      <c r="B21" s="69" t="s">
        <v>107</v>
      </c>
      <c r="C21" s="81" t="s">
        <v>108</v>
      </c>
      <c r="D21" s="75"/>
      <c r="E21" s="199">
        <v>0.2</v>
      </c>
      <c r="F21" s="72" t="s">
        <v>1</v>
      </c>
      <c r="G21" s="90"/>
      <c r="H21" s="90"/>
      <c r="I21" s="21"/>
    </row>
    <row r="22" spans="1:9" ht="15.75" x14ac:dyDescent="0.25">
      <c r="A22" s="69"/>
      <c r="B22" s="69" t="s">
        <v>40</v>
      </c>
      <c r="C22" s="81" t="s">
        <v>326</v>
      </c>
      <c r="D22" s="75"/>
      <c r="E22" s="71">
        <v>4</v>
      </c>
      <c r="F22" s="72" t="s">
        <v>1</v>
      </c>
      <c r="G22" s="90"/>
      <c r="H22" s="90" t="s">
        <v>327</v>
      </c>
      <c r="I22" s="21"/>
    </row>
    <row r="23" spans="1:9" ht="15.75" x14ac:dyDescent="0.25">
      <c r="A23" s="67"/>
      <c r="B23" s="67"/>
      <c r="C23" s="82"/>
      <c r="D23" s="70"/>
      <c r="E23" s="71"/>
      <c r="F23" s="72"/>
      <c r="G23" s="65"/>
      <c r="H23" s="66"/>
      <c r="I23" s="21"/>
    </row>
    <row r="24" spans="1:9" ht="15.75" x14ac:dyDescent="0.25">
      <c r="A24" s="67"/>
      <c r="B24" s="67"/>
      <c r="C24" s="83" t="s">
        <v>63</v>
      </c>
      <c r="D24" s="70"/>
      <c r="E24" s="71"/>
      <c r="F24" s="74"/>
      <c r="G24" s="65"/>
      <c r="H24" s="66"/>
      <c r="I24" s="21"/>
    </row>
    <row r="25" spans="1:9" ht="15.75" x14ac:dyDescent="0.25">
      <c r="A25" s="69" t="s">
        <v>64</v>
      </c>
      <c r="B25" s="69" t="s">
        <v>65</v>
      </c>
      <c r="C25" s="69" t="s">
        <v>66</v>
      </c>
      <c r="D25" s="70" t="s">
        <v>67</v>
      </c>
      <c r="E25" s="71">
        <v>1</v>
      </c>
      <c r="F25" s="74" t="s">
        <v>6</v>
      </c>
      <c r="G25" s="65"/>
      <c r="H25" s="66"/>
      <c r="I25" s="21"/>
    </row>
    <row r="26" spans="1:9" ht="15.75" x14ac:dyDescent="0.25">
      <c r="A26" s="69" t="s">
        <v>68</v>
      </c>
      <c r="B26" s="69" t="s">
        <v>69</v>
      </c>
      <c r="C26" s="69" t="s">
        <v>70</v>
      </c>
      <c r="D26" s="70"/>
      <c r="E26" s="71">
        <v>1</v>
      </c>
      <c r="F26" s="74" t="s">
        <v>71</v>
      </c>
      <c r="G26" s="65"/>
      <c r="H26" s="66"/>
      <c r="I26" s="21"/>
    </row>
    <row r="27" spans="1:9" ht="15.75" x14ac:dyDescent="0.25">
      <c r="A27" s="69" t="s">
        <v>72</v>
      </c>
      <c r="B27" s="69" t="s">
        <v>73</v>
      </c>
      <c r="C27" s="82" t="s">
        <v>74</v>
      </c>
      <c r="D27" s="70" t="s">
        <v>75</v>
      </c>
      <c r="E27" s="71">
        <v>1</v>
      </c>
      <c r="F27" s="74" t="s">
        <v>6</v>
      </c>
      <c r="G27" s="65"/>
      <c r="H27" s="65"/>
      <c r="I27" s="21"/>
    </row>
    <row r="28" spans="1:9" ht="15.75" x14ac:dyDescent="0.25">
      <c r="A28" s="69" t="s">
        <v>76</v>
      </c>
      <c r="B28" s="69" t="s">
        <v>39</v>
      </c>
      <c r="C28" s="82" t="s">
        <v>77</v>
      </c>
      <c r="D28" s="70" t="s">
        <v>15</v>
      </c>
      <c r="E28" s="71">
        <v>1</v>
      </c>
      <c r="F28" s="74" t="s">
        <v>6</v>
      </c>
      <c r="G28" s="65"/>
      <c r="H28" s="65"/>
      <c r="I28" s="21"/>
    </row>
    <row r="29" spans="1:9" ht="15.75" x14ac:dyDescent="0.25">
      <c r="A29" s="69" t="s">
        <v>78</v>
      </c>
      <c r="B29" s="69" t="s">
        <v>79</v>
      </c>
      <c r="C29" s="82" t="s">
        <v>80</v>
      </c>
      <c r="D29" s="70" t="s">
        <v>81</v>
      </c>
      <c r="E29" s="71">
        <v>1</v>
      </c>
      <c r="F29" s="74" t="s">
        <v>6</v>
      </c>
      <c r="G29" s="65"/>
      <c r="H29" s="65"/>
      <c r="I29" s="21"/>
    </row>
    <row r="30" spans="1:9" ht="15.75" x14ac:dyDescent="0.25">
      <c r="A30" s="69" t="s">
        <v>82</v>
      </c>
      <c r="B30" s="69" t="s">
        <v>16</v>
      </c>
      <c r="C30" s="84" t="s">
        <v>83</v>
      </c>
      <c r="D30" s="74" t="s">
        <v>15</v>
      </c>
      <c r="E30" s="71">
        <v>1</v>
      </c>
      <c r="F30" s="72" t="s">
        <v>6</v>
      </c>
      <c r="G30" s="65"/>
      <c r="H30" s="65"/>
      <c r="I30" s="21"/>
    </row>
    <row r="31" spans="1:9" ht="15.75" x14ac:dyDescent="0.25">
      <c r="A31" s="69" t="s">
        <v>84</v>
      </c>
      <c r="B31" s="69" t="s">
        <v>85</v>
      </c>
      <c r="C31" s="69" t="s">
        <v>86</v>
      </c>
      <c r="D31" s="74" t="s">
        <v>87</v>
      </c>
      <c r="E31" s="71">
        <v>60</v>
      </c>
      <c r="F31" s="72" t="s">
        <v>88</v>
      </c>
      <c r="G31" s="65"/>
      <c r="H31" s="65"/>
      <c r="I31" s="21"/>
    </row>
    <row r="32" spans="1:9" ht="15.75" x14ac:dyDescent="0.25">
      <c r="A32" s="85"/>
      <c r="B32" s="96" t="s">
        <v>116</v>
      </c>
      <c r="C32" s="95" t="s">
        <v>117</v>
      </c>
      <c r="D32" s="87"/>
      <c r="E32" s="97">
        <v>1</v>
      </c>
      <c r="F32" s="98" t="s">
        <v>6</v>
      </c>
      <c r="G32" s="19"/>
      <c r="H32" s="33"/>
      <c r="I32" s="21"/>
    </row>
    <row r="33" spans="1:9" ht="15.75" x14ac:dyDescent="0.25">
      <c r="A33" s="36"/>
      <c r="B33" s="36"/>
      <c r="C33" s="22"/>
      <c r="D33" s="23"/>
      <c r="E33" s="36"/>
      <c r="F33" s="34"/>
      <c r="G33" s="30"/>
      <c r="H33" s="33"/>
      <c r="I33" s="21"/>
    </row>
    <row r="34" spans="1:9" ht="15.75" x14ac:dyDescent="0.25">
      <c r="A34" s="24"/>
      <c r="B34" s="24"/>
      <c r="C34" s="37"/>
      <c r="D34" s="38"/>
      <c r="E34" s="24"/>
      <c r="F34" s="3"/>
      <c r="G34" s="31"/>
      <c r="H34" s="33"/>
      <c r="I34" s="21"/>
    </row>
    <row r="35" spans="1:9" ht="17.25" x14ac:dyDescent="0.3">
      <c r="A35" s="39"/>
      <c r="B35" s="27"/>
      <c r="C35" s="40"/>
      <c r="D35" s="41"/>
      <c r="E35" s="29"/>
      <c r="F35" s="29"/>
      <c r="G35" s="31"/>
      <c r="H35" s="33"/>
      <c r="I35" s="21"/>
    </row>
    <row r="36" spans="1:9" ht="15.75" x14ac:dyDescent="0.25">
      <c r="A36" s="27"/>
      <c r="B36" s="42"/>
      <c r="C36" s="28"/>
      <c r="D36" s="26"/>
      <c r="E36" s="25"/>
      <c r="F36" s="3"/>
      <c r="G36" s="31"/>
      <c r="H36" s="35"/>
      <c r="I36" s="21"/>
    </row>
    <row r="37" spans="1:9" ht="15.75" x14ac:dyDescent="0.25">
      <c r="A37" s="43"/>
      <c r="B37" s="44"/>
      <c r="C37" s="45"/>
      <c r="D37" s="35"/>
      <c r="E37" s="35"/>
      <c r="F37" s="32"/>
      <c r="G37" s="35"/>
      <c r="H37" s="35"/>
      <c r="I37" s="21"/>
    </row>
    <row r="38" spans="1:9" ht="18" thickBot="1" x14ac:dyDescent="0.35">
      <c r="A38" s="46"/>
      <c r="B38" s="47"/>
      <c r="C38" s="48"/>
      <c r="D38" s="48"/>
      <c r="E38" s="49"/>
      <c r="F38" s="50"/>
      <c r="G38" s="48"/>
      <c r="H38" s="48"/>
      <c r="I38" s="51"/>
    </row>
    <row r="39" spans="1:9" ht="18" thickBot="1" x14ac:dyDescent="0.35">
      <c r="A39" s="52"/>
      <c r="B39" s="53"/>
      <c r="C39" s="54"/>
      <c r="D39" s="55" t="s">
        <v>14</v>
      </c>
      <c r="E39" s="56" t="s">
        <v>13</v>
      </c>
      <c r="F39" s="57"/>
      <c r="G39" s="54"/>
      <c r="H39" s="54"/>
      <c r="I39" s="58"/>
    </row>
    <row r="40" spans="1:9" ht="17.25" x14ac:dyDescent="0.3">
      <c r="A40" s="587" t="s">
        <v>12</v>
      </c>
      <c r="B40" s="588"/>
      <c r="C40" s="589"/>
      <c r="D40" s="59">
        <v>1400</v>
      </c>
      <c r="E40" s="60" t="s">
        <v>1</v>
      </c>
      <c r="F40" s="590" t="s">
        <v>11</v>
      </c>
      <c r="G40" s="590"/>
      <c r="H40" s="591"/>
      <c r="I40" s="592"/>
    </row>
    <row r="41" spans="1:9" ht="17.25" x14ac:dyDescent="0.3">
      <c r="A41" s="609" t="s">
        <v>10</v>
      </c>
      <c r="B41" s="610"/>
      <c r="C41" s="611"/>
      <c r="D41" s="61">
        <v>5</v>
      </c>
      <c r="E41" s="62" t="s">
        <v>9</v>
      </c>
      <c r="F41" s="612" t="s">
        <v>8</v>
      </c>
      <c r="G41" s="612"/>
      <c r="H41" s="613"/>
      <c r="I41" s="614"/>
    </row>
    <row r="42" spans="1:9" ht="17.25" x14ac:dyDescent="0.3">
      <c r="A42" s="609" t="s">
        <v>7</v>
      </c>
      <c r="B42" s="610"/>
      <c r="C42" s="611"/>
      <c r="D42" s="62">
        <v>1</v>
      </c>
      <c r="E42" s="62" t="s">
        <v>6</v>
      </c>
      <c r="F42" s="612" t="s">
        <v>5</v>
      </c>
      <c r="G42" s="612"/>
      <c r="H42" s="613"/>
      <c r="I42" s="614"/>
    </row>
    <row r="43" spans="1:9" ht="17.25" x14ac:dyDescent="0.3">
      <c r="A43" s="609" t="s">
        <v>4</v>
      </c>
      <c r="B43" s="610"/>
      <c r="C43" s="611"/>
      <c r="D43" s="62">
        <v>1400</v>
      </c>
      <c r="E43" s="62" t="s">
        <v>1</v>
      </c>
      <c r="F43" s="629" t="s">
        <v>3</v>
      </c>
      <c r="G43" s="630"/>
      <c r="H43" s="613"/>
      <c r="I43" s="614"/>
    </row>
    <row r="44" spans="1:9" ht="18" thickBot="1" x14ac:dyDescent="0.35">
      <c r="A44" s="650" t="s">
        <v>2</v>
      </c>
      <c r="B44" s="651"/>
      <c r="C44" s="652"/>
      <c r="D44" s="63">
        <v>82.200000000000045</v>
      </c>
      <c r="E44" s="64" t="s">
        <v>1</v>
      </c>
      <c r="F44" s="653"/>
      <c r="G44" s="653"/>
      <c r="H44" s="654"/>
      <c r="I44" s="655"/>
    </row>
    <row r="45" spans="1:9" ht="16.5" thickBot="1" x14ac:dyDescent="0.3">
      <c r="A45" s="631" t="s">
        <v>0</v>
      </c>
      <c r="B45" s="632"/>
      <c r="C45" s="632"/>
      <c r="D45" s="632"/>
      <c r="E45" s="632"/>
      <c r="F45" s="632"/>
      <c r="G45" s="632"/>
      <c r="H45" s="632"/>
      <c r="I45" s="633"/>
    </row>
    <row r="46" spans="1:9" x14ac:dyDescent="0.25">
      <c r="A46" s="598" t="s">
        <v>90</v>
      </c>
      <c r="B46" s="599"/>
      <c r="C46" s="600"/>
      <c r="D46" s="600"/>
      <c r="E46" s="600"/>
      <c r="F46" s="600"/>
      <c r="G46" s="600"/>
      <c r="H46" s="600"/>
      <c r="I46" s="601"/>
    </row>
    <row r="47" spans="1:9" x14ac:dyDescent="0.25">
      <c r="A47" s="598" t="s">
        <v>328</v>
      </c>
      <c r="B47" s="599"/>
      <c r="C47" s="600"/>
      <c r="D47" s="600"/>
      <c r="E47" s="600"/>
      <c r="F47" s="600"/>
      <c r="G47" s="600"/>
      <c r="H47" s="600"/>
      <c r="I47" s="601"/>
    </row>
    <row r="48" spans="1:9" x14ac:dyDescent="0.25">
      <c r="A48" s="598" t="s">
        <v>329</v>
      </c>
      <c r="B48" s="599"/>
      <c r="C48" s="600"/>
      <c r="D48" s="600"/>
      <c r="E48" s="600"/>
      <c r="F48" s="600"/>
      <c r="G48" s="600"/>
      <c r="H48" s="600"/>
      <c r="I48" s="601"/>
    </row>
    <row r="49" spans="1:9" x14ac:dyDescent="0.25">
      <c r="A49" s="598" t="s">
        <v>98</v>
      </c>
      <c r="B49" s="599"/>
      <c r="C49" s="600"/>
      <c r="D49" s="600"/>
      <c r="E49" s="600"/>
      <c r="F49" s="600"/>
      <c r="G49" s="600"/>
      <c r="H49" s="600"/>
      <c r="I49" s="601"/>
    </row>
    <row r="50" spans="1:9" x14ac:dyDescent="0.25">
      <c r="A50" s="598" t="s">
        <v>101</v>
      </c>
      <c r="B50" s="599"/>
      <c r="C50" s="600"/>
      <c r="D50" s="600"/>
      <c r="E50" s="600"/>
      <c r="F50" s="600"/>
      <c r="G50" s="600"/>
      <c r="H50" s="600"/>
      <c r="I50" s="601"/>
    </row>
    <row r="51" spans="1:9" x14ac:dyDescent="0.25">
      <c r="A51" s="602" t="s">
        <v>330</v>
      </c>
      <c r="B51" s="603"/>
      <c r="C51" s="604"/>
      <c r="D51" s="604"/>
      <c r="E51" s="604"/>
      <c r="F51" s="604"/>
      <c r="G51" s="604"/>
      <c r="H51" s="604"/>
      <c r="I51" s="605"/>
    </row>
    <row r="52" spans="1:9" x14ac:dyDescent="0.25">
      <c r="A52" s="598" t="s">
        <v>102</v>
      </c>
      <c r="B52" s="599"/>
      <c r="C52" s="600"/>
      <c r="D52" s="600"/>
      <c r="E52" s="600"/>
      <c r="F52" s="600"/>
      <c r="G52" s="600"/>
      <c r="H52" s="600"/>
      <c r="I52" s="601"/>
    </row>
    <row r="53" spans="1:9" x14ac:dyDescent="0.25">
      <c r="A53" s="598"/>
      <c r="B53" s="599"/>
      <c r="C53" s="600"/>
      <c r="D53" s="600"/>
      <c r="E53" s="600"/>
      <c r="F53" s="600"/>
      <c r="G53" s="600"/>
      <c r="H53" s="600"/>
      <c r="I53" s="601"/>
    </row>
    <row r="54" spans="1:9" ht="17.25" x14ac:dyDescent="0.3">
      <c r="A54" s="606"/>
      <c r="B54" s="607"/>
      <c r="C54" s="607"/>
      <c r="D54" s="607"/>
      <c r="E54" s="607"/>
      <c r="F54" s="607"/>
      <c r="G54" s="607"/>
      <c r="H54" s="607"/>
      <c r="I54" s="608"/>
    </row>
    <row r="55" spans="1:9" ht="17.25" x14ac:dyDescent="0.3">
      <c r="A55" s="606"/>
      <c r="B55" s="607"/>
      <c r="C55" s="607"/>
      <c r="D55" s="607"/>
      <c r="E55" s="607"/>
      <c r="F55" s="607"/>
      <c r="G55" s="607"/>
      <c r="H55" s="607"/>
      <c r="I55" s="608"/>
    </row>
    <row r="56" spans="1:9" ht="18" thickBot="1" x14ac:dyDescent="0.35">
      <c r="A56" s="593"/>
      <c r="B56" s="594"/>
      <c r="C56" s="594"/>
      <c r="D56" s="594"/>
      <c r="E56" s="594"/>
      <c r="F56" s="594"/>
      <c r="G56" s="594"/>
      <c r="H56" s="594"/>
      <c r="I56" s="595"/>
    </row>
    <row r="57" spans="1:9" x14ac:dyDescent="0.25">
      <c r="A57" s="596" t="s">
        <v>45</v>
      </c>
      <c r="B57" s="597"/>
      <c r="C57" s="597"/>
      <c r="D57" s="597"/>
      <c r="E57" s="597"/>
      <c r="F57" s="597"/>
      <c r="G57" s="597"/>
      <c r="H57" s="597"/>
      <c r="I57" s="597"/>
    </row>
    <row r="58" spans="1:9" x14ac:dyDescent="0.25">
      <c r="A58" s="585"/>
      <c r="B58" s="586"/>
      <c r="C58" s="586"/>
      <c r="D58" s="586"/>
      <c r="E58" s="586"/>
      <c r="F58" s="586"/>
      <c r="G58" s="586"/>
      <c r="H58" s="586"/>
      <c r="I58" s="586"/>
    </row>
    <row r="59" spans="1:9" x14ac:dyDescent="0.25">
      <c r="A59" s="585"/>
      <c r="B59" s="586"/>
      <c r="C59" s="586"/>
      <c r="D59" s="586"/>
      <c r="E59" s="586"/>
      <c r="F59" s="586"/>
      <c r="G59" s="586"/>
      <c r="H59" s="586"/>
      <c r="I59" s="586"/>
    </row>
  </sheetData>
  <mergeCells count="47">
    <mergeCell ref="A59:I59"/>
    <mergeCell ref="A40:C40"/>
    <mergeCell ref="F40:G40"/>
    <mergeCell ref="H40:I40"/>
    <mergeCell ref="A56:I56"/>
    <mergeCell ref="A57:I57"/>
    <mergeCell ref="A50:I50"/>
    <mergeCell ref="A58:I58"/>
    <mergeCell ref="A48:I48"/>
    <mergeCell ref="A51:I51"/>
    <mergeCell ref="A52:I52"/>
    <mergeCell ref="A53:I53"/>
    <mergeCell ref="A54:I54"/>
    <mergeCell ref="A41:C41"/>
    <mergeCell ref="F41:G41"/>
    <mergeCell ref="H41:I41"/>
    <mergeCell ref="A1:B5"/>
    <mergeCell ref="A6:C6"/>
    <mergeCell ref="D6:F6"/>
    <mergeCell ref="G6:H6"/>
    <mergeCell ref="A7:A8"/>
    <mergeCell ref="B7:B8"/>
    <mergeCell ref="E7:F7"/>
    <mergeCell ref="A55:I55"/>
    <mergeCell ref="A49:I49"/>
    <mergeCell ref="A43:C43"/>
    <mergeCell ref="F43:G43"/>
    <mergeCell ref="H43:I43"/>
    <mergeCell ref="A46:I46"/>
    <mergeCell ref="A47:I47"/>
    <mergeCell ref="A45:I45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2:C42"/>
    <mergeCell ref="F42:G42"/>
    <mergeCell ref="H42:I42"/>
    <mergeCell ref="A44:C44"/>
    <mergeCell ref="F44:G44"/>
    <mergeCell ref="H44:I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94B7-0884-45FD-92C8-57B0B25F9EF9}">
  <sheetPr>
    <pageSetUpPr fitToPage="1"/>
  </sheetPr>
  <dimension ref="A1:I60"/>
  <sheetViews>
    <sheetView tabSelected="1" zoomScale="70" zoomScaleNormal="70" workbookViewId="0">
      <selection activeCell="C11" sqref="C1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69.140625" bestFit="1" customWidth="1"/>
    <col min="4" max="4" width="19.140625" bestFit="1" customWidth="1"/>
    <col min="5" max="5" width="11.5703125" bestFit="1" customWidth="1"/>
    <col min="7" max="7" width="22.28515625" customWidth="1"/>
    <col min="8" max="8" width="23.7109375" customWidth="1"/>
    <col min="9" max="9" width="18" bestFit="1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 t="s">
        <v>334</v>
      </c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 t="s">
        <v>227</v>
      </c>
    </row>
    <row r="3" spans="1:9" ht="24" thickBot="1" x14ac:dyDescent="0.3">
      <c r="A3" s="617"/>
      <c r="B3" s="618"/>
      <c r="C3" s="672" t="s">
        <v>89</v>
      </c>
      <c r="D3" s="672"/>
      <c r="E3" s="672"/>
      <c r="F3" s="672"/>
      <c r="G3" s="672"/>
      <c r="H3" s="646" t="s">
        <v>31</v>
      </c>
      <c r="I3" s="634">
        <v>45891</v>
      </c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7.25" x14ac:dyDescent="0.3">
      <c r="A5" s="617"/>
      <c r="B5" s="618"/>
      <c r="C5" s="578" t="s">
        <v>29</v>
      </c>
      <c r="D5" s="668" t="s">
        <v>331</v>
      </c>
      <c r="E5" s="669"/>
      <c r="F5" s="669"/>
      <c r="G5" s="670"/>
      <c r="H5" s="647"/>
      <c r="I5" s="635"/>
    </row>
    <row r="6" spans="1:9" ht="15.75" x14ac:dyDescent="0.25">
      <c r="A6" s="685" t="s">
        <v>27</v>
      </c>
      <c r="B6" s="685"/>
      <c r="C6" s="685"/>
      <c r="D6" s="686" t="s">
        <v>44</v>
      </c>
      <c r="E6" s="686"/>
      <c r="F6" s="686"/>
      <c r="G6" s="687" t="s">
        <v>26</v>
      </c>
      <c r="H6" s="687"/>
      <c r="I6" s="580" t="s">
        <v>44</v>
      </c>
    </row>
    <row r="7" spans="1:9" ht="30" x14ac:dyDescent="0.25">
      <c r="A7" s="688" t="s">
        <v>25</v>
      </c>
      <c r="B7" s="689" t="s">
        <v>42</v>
      </c>
      <c r="C7" s="671" t="s">
        <v>24</v>
      </c>
      <c r="D7" s="671" t="s">
        <v>23</v>
      </c>
      <c r="E7" s="671" t="s">
        <v>22</v>
      </c>
      <c r="F7" s="671"/>
      <c r="G7" s="671" t="s">
        <v>21</v>
      </c>
      <c r="H7" s="671"/>
      <c r="I7" s="579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20.25" x14ac:dyDescent="0.3">
      <c r="A9" s="511"/>
      <c r="B9" s="512"/>
      <c r="C9" s="513" t="s">
        <v>43</v>
      </c>
      <c r="D9" s="514"/>
      <c r="E9" s="515"/>
      <c r="F9" s="516"/>
      <c r="G9" s="515"/>
      <c r="H9" s="516"/>
      <c r="I9" s="517"/>
    </row>
    <row r="10" spans="1:9" ht="20.25" x14ac:dyDescent="0.3">
      <c r="A10" s="524" t="s">
        <v>46</v>
      </c>
      <c r="B10" s="518" t="s">
        <v>47</v>
      </c>
      <c r="C10" s="518" t="s">
        <v>323</v>
      </c>
      <c r="D10" s="519" t="s">
        <v>17</v>
      </c>
      <c r="E10" s="520">
        <v>430</v>
      </c>
      <c r="F10" s="521" t="s">
        <v>1</v>
      </c>
      <c r="G10" s="518"/>
      <c r="H10" s="522" t="s">
        <v>115</v>
      </c>
      <c r="I10" s="517"/>
    </row>
    <row r="11" spans="1:9" ht="20.25" x14ac:dyDescent="0.3">
      <c r="A11" s="524" t="s">
        <v>49</v>
      </c>
      <c r="B11" s="518" t="s">
        <v>50</v>
      </c>
      <c r="C11" s="523" t="s">
        <v>51</v>
      </c>
      <c r="D11" s="522" t="s">
        <v>17</v>
      </c>
      <c r="E11" s="520">
        <v>90</v>
      </c>
      <c r="F11" s="521" t="s">
        <v>1</v>
      </c>
      <c r="G11" s="524" t="s">
        <v>93</v>
      </c>
      <c r="H11" s="522"/>
      <c r="I11" s="517"/>
    </row>
    <row r="12" spans="1:9" ht="20.25" x14ac:dyDescent="0.3">
      <c r="A12" s="581">
        <v>11700002</v>
      </c>
      <c r="B12" s="518" t="s">
        <v>173</v>
      </c>
      <c r="C12" s="518" t="s">
        <v>174</v>
      </c>
      <c r="D12" s="526" t="s">
        <v>175</v>
      </c>
      <c r="E12" s="520">
        <v>300</v>
      </c>
      <c r="F12" s="521" t="s">
        <v>1</v>
      </c>
      <c r="G12" s="524" t="s">
        <v>176</v>
      </c>
      <c r="H12" s="522" t="s">
        <v>177</v>
      </c>
      <c r="I12" s="517"/>
    </row>
    <row r="13" spans="1:9" ht="20.25" x14ac:dyDescent="0.3">
      <c r="A13" s="524" t="s">
        <v>55</v>
      </c>
      <c r="B13" s="518" t="s">
        <v>56</v>
      </c>
      <c r="C13" s="527" t="s">
        <v>57</v>
      </c>
      <c r="D13" s="528" t="s">
        <v>58</v>
      </c>
      <c r="E13" s="529">
        <v>260</v>
      </c>
      <c r="F13" s="521" t="s">
        <v>1</v>
      </c>
      <c r="G13" s="524" t="s">
        <v>335</v>
      </c>
      <c r="H13" s="520" t="s">
        <v>177</v>
      </c>
      <c r="I13" s="517"/>
    </row>
    <row r="14" spans="1:9" ht="20.25" x14ac:dyDescent="0.3">
      <c r="A14" s="524"/>
      <c r="B14" s="518"/>
      <c r="C14" s="527"/>
      <c r="D14" s="528"/>
      <c r="E14" s="529"/>
      <c r="F14" s="521"/>
      <c r="G14" s="518"/>
      <c r="H14" s="520"/>
      <c r="I14" s="517"/>
    </row>
    <row r="15" spans="1:9" ht="20.25" x14ac:dyDescent="0.3">
      <c r="A15" s="524"/>
      <c r="B15" s="518"/>
      <c r="C15" s="527"/>
      <c r="D15" s="528"/>
      <c r="E15" s="529"/>
      <c r="F15" s="521"/>
      <c r="G15" s="518"/>
      <c r="H15" s="520"/>
      <c r="I15" s="517"/>
    </row>
    <row r="16" spans="1:9" ht="20.25" x14ac:dyDescent="0.3">
      <c r="A16" s="530"/>
      <c r="B16" s="530"/>
      <c r="C16" s="531" t="s">
        <v>44</v>
      </c>
      <c r="D16" s="532"/>
      <c r="E16" s="529"/>
      <c r="F16" s="521"/>
      <c r="G16" s="518"/>
      <c r="H16" s="520"/>
      <c r="I16" s="517"/>
    </row>
    <row r="17" spans="1:9" ht="20.25" x14ac:dyDescent="0.3">
      <c r="A17" s="524" t="s">
        <v>60</v>
      </c>
      <c r="B17" s="518" t="s">
        <v>61</v>
      </c>
      <c r="C17" s="518" t="s">
        <v>62</v>
      </c>
      <c r="D17" s="532" t="s">
        <v>17</v>
      </c>
      <c r="E17" s="529">
        <v>170</v>
      </c>
      <c r="F17" s="521" t="s">
        <v>1</v>
      </c>
      <c r="G17" s="518"/>
      <c r="H17" s="520"/>
      <c r="I17" s="517"/>
    </row>
    <row r="18" spans="1:9" ht="20.25" x14ac:dyDescent="0.3">
      <c r="A18" s="524" t="s">
        <v>60</v>
      </c>
      <c r="B18" s="518" t="s">
        <v>61</v>
      </c>
      <c r="C18" s="518" t="s">
        <v>62</v>
      </c>
      <c r="D18" s="532" t="s">
        <v>17</v>
      </c>
      <c r="E18" s="529">
        <v>60</v>
      </c>
      <c r="F18" s="521" t="s">
        <v>1</v>
      </c>
      <c r="G18" s="518"/>
      <c r="H18" s="520" t="s">
        <v>91</v>
      </c>
      <c r="I18" s="517"/>
    </row>
    <row r="19" spans="1:9" ht="20.25" x14ac:dyDescent="0.3">
      <c r="A19" s="524" t="s">
        <v>55</v>
      </c>
      <c r="B19" s="518" t="s">
        <v>56</v>
      </c>
      <c r="C19" s="527" t="s">
        <v>57</v>
      </c>
      <c r="D19" s="528" t="s">
        <v>58</v>
      </c>
      <c r="E19" s="529">
        <v>130</v>
      </c>
      <c r="F19" s="521" t="s">
        <v>1</v>
      </c>
      <c r="G19" s="518"/>
      <c r="H19" s="520" t="s">
        <v>112</v>
      </c>
      <c r="I19" s="517"/>
    </row>
    <row r="20" spans="1:9" ht="20.25" x14ac:dyDescent="0.3">
      <c r="A20" s="518"/>
      <c r="B20" s="518" t="s">
        <v>99</v>
      </c>
      <c r="C20" s="518" t="s">
        <v>100</v>
      </c>
      <c r="D20" s="526" t="s">
        <v>17</v>
      </c>
      <c r="E20" s="520">
        <v>4</v>
      </c>
      <c r="F20" s="521" t="s">
        <v>1</v>
      </c>
      <c r="G20" s="533"/>
      <c r="H20" s="533"/>
      <c r="I20" s="517"/>
    </row>
    <row r="21" spans="1:9" ht="20.25" x14ac:dyDescent="0.3">
      <c r="A21" s="518"/>
      <c r="B21" s="518" t="s">
        <v>107</v>
      </c>
      <c r="C21" s="534" t="s">
        <v>108</v>
      </c>
      <c r="D21" s="526"/>
      <c r="E21" s="535">
        <v>0.2</v>
      </c>
      <c r="F21" s="521" t="s">
        <v>1</v>
      </c>
      <c r="G21" s="536"/>
      <c r="H21" s="536"/>
      <c r="I21" s="517"/>
    </row>
    <row r="22" spans="1:9" ht="20.25" x14ac:dyDescent="0.3">
      <c r="A22" s="518"/>
      <c r="B22" s="518" t="s">
        <v>332</v>
      </c>
      <c r="C22" s="534" t="s">
        <v>326</v>
      </c>
      <c r="D22" s="526"/>
      <c r="E22" s="520">
        <v>4</v>
      </c>
      <c r="F22" s="521" t="s">
        <v>1</v>
      </c>
      <c r="G22" s="536"/>
      <c r="H22" s="536" t="s">
        <v>327</v>
      </c>
      <c r="I22" s="517"/>
    </row>
    <row r="23" spans="1:9" ht="20.25" x14ac:dyDescent="0.3">
      <c r="A23" s="537"/>
      <c r="B23" s="518" t="s">
        <v>324</v>
      </c>
      <c r="C23" s="518" t="s">
        <v>325</v>
      </c>
      <c r="D23" s="519"/>
      <c r="E23" s="520">
        <v>1</v>
      </c>
      <c r="F23" s="521" t="s">
        <v>6</v>
      </c>
      <c r="G23" s="520"/>
      <c r="H23" s="522"/>
      <c r="I23" s="517"/>
    </row>
    <row r="24" spans="1:9" ht="20.25" x14ac:dyDescent="0.3">
      <c r="A24" s="582"/>
      <c r="B24" s="525"/>
      <c r="C24" s="525"/>
      <c r="D24" s="583"/>
      <c r="E24" s="573"/>
      <c r="F24" s="584"/>
      <c r="G24" s="573"/>
      <c r="H24" s="522"/>
      <c r="I24" s="517"/>
    </row>
    <row r="25" spans="1:9" ht="20.25" x14ac:dyDescent="0.3">
      <c r="A25" s="537"/>
      <c r="B25" s="537"/>
      <c r="C25" s="538" t="s">
        <v>63</v>
      </c>
      <c r="D25" s="519"/>
      <c r="E25" s="520"/>
      <c r="F25" s="522"/>
      <c r="G25" s="520"/>
      <c r="H25" s="522"/>
      <c r="I25" s="517"/>
    </row>
    <row r="26" spans="1:9" ht="20.25" x14ac:dyDescent="0.3">
      <c r="A26" s="518" t="s">
        <v>64</v>
      </c>
      <c r="B26" s="518" t="s">
        <v>65</v>
      </c>
      <c r="C26" s="518" t="s">
        <v>66</v>
      </c>
      <c r="D26" s="519" t="s">
        <v>67</v>
      </c>
      <c r="E26" s="520">
        <v>1</v>
      </c>
      <c r="F26" s="522" t="s">
        <v>6</v>
      </c>
      <c r="G26" s="520"/>
      <c r="H26" s="522"/>
      <c r="I26" s="517"/>
    </row>
    <row r="27" spans="1:9" ht="20.25" x14ac:dyDescent="0.3">
      <c r="A27" s="518" t="s">
        <v>68</v>
      </c>
      <c r="B27" s="518" t="s">
        <v>69</v>
      </c>
      <c r="C27" s="518" t="s">
        <v>70</v>
      </c>
      <c r="D27" s="519"/>
      <c r="E27" s="520">
        <v>1</v>
      </c>
      <c r="F27" s="522" t="s">
        <v>71</v>
      </c>
      <c r="G27" s="520"/>
      <c r="H27" s="522"/>
      <c r="I27" s="517"/>
    </row>
    <row r="28" spans="1:9" ht="20.25" x14ac:dyDescent="0.3">
      <c r="A28" s="518" t="s">
        <v>72</v>
      </c>
      <c r="B28" s="518" t="s">
        <v>73</v>
      </c>
      <c r="C28" s="539" t="s">
        <v>74</v>
      </c>
      <c r="D28" s="519" t="s">
        <v>75</v>
      </c>
      <c r="E28" s="520">
        <v>1</v>
      </c>
      <c r="F28" s="522" t="s">
        <v>6</v>
      </c>
      <c r="G28" s="520"/>
      <c r="H28" s="520"/>
      <c r="I28" s="517"/>
    </row>
    <row r="29" spans="1:9" ht="20.25" x14ac:dyDescent="0.3">
      <c r="A29" s="518" t="s">
        <v>76</v>
      </c>
      <c r="B29" s="518" t="s">
        <v>39</v>
      </c>
      <c r="C29" s="539" t="s">
        <v>77</v>
      </c>
      <c r="D29" s="519" t="s">
        <v>15</v>
      </c>
      <c r="E29" s="520">
        <v>1</v>
      </c>
      <c r="F29" s="522" t="s">
        <v>6</v>
      </c>
      <c r="G29" s="520"/>
      <c r="H29" s="520"/>
      <c r="I29" s="517"/>
    </row>
    <row r="30" spans="1:9" ht="20.25" x14ac:dyDescent="0.3">
      <c r="A30" s="518" t="s">
        <v>78</v>
      </c>
      <c r="B30" s="518" t="s">
        <v>79</v>
      </c>
      <c r="C30" s="539" t="s">
        <v>80</v>
      </c>
      <c r="D30" s="519" t="s">
        <v>81</v>
      </c>
      <c r="E30" s="520">
        <v>1</v>
      </c>
      <c r="F30" s="522" t="s">
        <v>6</v>
      </c>
      <c r="G30" s="520"/>
      <c r="H30" s="520"/>
      <c r="I30" s="517"/>
    </row>
    <row r="31" spans="1:9" ht="20.25" x14ac:dyDescent="0.3">
      <c r="A31" s="518" t="s">
        <v>82</v>
      </c>
      <c r="B31" s="518" t="s">
        <v>16</v>
      </c>
      <c r="C31" s="540" t="s">
        <v>83</v>
      </c>
      <c r="D31" s="522" t="s">
        <v>15</v>
      </c>
      <c r="E31" s="520">
        <v>1</v>
      </c>
      <c r="F31" s="521" t="s">
        <v>6</v>
      </c>
      <c r="G31" s="520"/>
      <c r="H31" s="520"/>
      <c r="I31" s="517"/>
    </row>
    <row r="32" spans="1:9" ht="20.25" x14ac:dyDescent="0.3">
      <c r="A32" s="518" t="s">
        <v>84</v>
      </c>
      <c r="B32" s="518" t="s">
        <v>85</v>
      </c>
      <c r="C32" s="518" t="s">
        <v>86</v>
      </c>
      <c r="D32" s="522" t="s">
        <v>87</v>
      </c>
      <c r="E32" s="520">
        <v>60</v>
      </c>
      <c r="F32" s="521" t="s">
        <v>88</v>
      </c>
      <c r="G32" s="520"/>
      <c r="H32" s="520"/>
      <c r="I32" s="517"/>
    </row>
    <row r="33" spans="1:9" ht="20.25" x14ac:dyDescent="0.3">
      <c r="A33" s="541"/>
      <c r="B33" s="542" t="s">
        <v>116</v>
      </c>
      <c r="C33" s="543" t="s">
        <v>117</v>
      </c>
      <c r="D33" s="544"/>
      <c r="E33" s="545">
        <v>1</v>
      </c>
      <c r="F33" s="546" t="s">
        <v>6</v>
      </c>
      <c r="G33" s="515"/>
      <c r="H33" s="547"/>
      <c r="I33" s="517"/>
    </row>
    <row r="34" spans="1:9" ht="20.25" x14ac:dyDescent="0.3">
      <c r="A34" s="548"/>
      <c r="B34" s="548"/>
      <c r="C34" s="549"/>
      <c r="D34" s="550"/>
      <c r="E34" s="548"/>
      <c r="F34" s="551"/>
      <c r="G34" s="552"/>
      <c r="H34" s="547"/>
      <c r="I34" s="517"/>
    </row>
    <row r="35" spans="1:9" ht="20.25" x14ac:dyDescent="0.3">
      <c r="A35" s="553"/>
      <c r="B35" s="553"/>
      <c r="C35" s="554"/>
      <c r="D35" s="526"/>
      <c r="E35" s="553"/>
      <c r="F35" s="521"/>
      <c r="G35" s="545"/>
      <c r="H35" s="547"/>
      <c r="I35" s="517"/>
    </row>
    <row r="36" spans="1:9" ht="20.25" x14ac:dyDescent="0.3">
      <c r="A36" s="555"/>
      <c r="B36" s="524"/>
      <c r="C36" s="556"/>
      <c r="D36" s="523"/>
      <c r="E36" s="521"/>
      <c r="F36" s="521"/>
      <c r="G36" s="545"/>
      <c r="H36" s="547"/>
      <c r="I36" s="517"/>
    </row>
    <row r="37" spans="1:9" ht="20.25" x14ac:dyDescent="0.3">
      <c r="A37" s="524"/>
      <c r="B37" s="557"/>
      <c r="C37" s="518"/>
      <c r="D37" s="522"/>
      <c r="E37" s="520"/>
      <c r="F37" s="521"/>
      <c r="G37" s="545"/>
      <c r="H37" s="547"/>
      <c r="I37" s="517"/>
    </row>
    <row r="38" spans="1:9" ht="20.25" x14ac:dyDescent="0.3">
      <c r="A38" s="558"/>
      <c r="B38" s="559"/>
      <c r="C38" s="540"/>
      <c r="D38" s="547"/>
      <c r="E38" s="547"/>
      <c r="F38" s="546"/>
      <c r="G38" s="547"/>
      <c r="H38" s="547"/>
      <c r="I38" s="517"/>
    </row>
    <row r="39" spans="1:9" ht="21" thickBot="1" x14ac:dyDescent="0.35">
      <c r="A39" s="560"/>
      <c r="B39" s="561"/>
      <c r="C39" s="562"/>
      <c r="D39" s="562"/>
      <c r="E39" s="563"/>
      <c r="F39" s="564"/>
      <c r="G39" s="562"/>
      <c r="H39" s="562"/>
      <c r="I39" s="565"/>
    </row>
    <row r="40" spans="1:9" ht="21" thickBot="1" x14ac:dyDescent="0.35">
      <c r="A40" s="566"/>
      <c r="B40" s="567"/>
      <c r="C40" s="568"/>
      <c r="D40" s="569" t="s">
        <v>14</v>
      </c>
      <c r="E40" s="570" t="s">
        <v>13</v>
      </c>
      <c r="F40" s="571"/>
      <c r="G40" s="568"/>
      <c r="H40" s="568"/>
      <c r="I40" s="572"/>
    </row>
    <row r="41" spans="1:9" ht="20.25" x14ac:dyDescent="0.3">
      <c r="A41" s="691" t="s">
        <v>12</v>
      </c>
      <c r="B41" s="692"/>
      <c r="C41" s="693"/>
      <c r="D41" s="573">
        <v>1400</v>
      </c>
      <c r="E41" s="574" t="s">
        <v>1</v>
      </c>
      <c r="F41" s="694" t="s">
        <v>11</v>
      </c>
      <c r="G41" s="694"/>
      <c r="H41" s="695"/>
      <c r="I41" s="696"/>
    </row>
    <row r="42" spans="1:9" ht="20.25" x14ac:dyDescent="0.3">
      <c r="A42" s="656" t="s">
        <v>10</v>
      </c>
      <c r="B42" s="657"/>
      <c r="C42" s="658"/>
      <c r="D42" s="575">
        <v>5</v>
      </c>
      <c r="E42" s="522" t="s">
        <v>9</v>
      </c>
      <c r="F42" s="659" t="s">
        <v>8</v>
      </c>
      <c r="G42" s="659"/>
      <c r="H42" s="660"/>
      <c r="I42" s="661"/>
    </row>
    <row r="43" spans="1:9" ht="20.25" x14ac:dyDescent="0.3">
      <c r="A43" s="656" t="s">
        <v>7</v>
      </c>
      <c r="B43" s="657"/>
      <c r="C43" s="658"/>
      <c r="D43" s="522">
        <v>1</v>
      </c>
      <c r="E43" s="522" t="s">
        <v>6</v>
      </c>
      <c r="F43" s="659" t="s">
        <v>5</v>
      </c>
      <c r="G43" s="659"/>
      <c r="H43" s="660"/>
      <c r="I43" s="661"/>
    </row>
    <row r="44" spans="1:9" ht="20.25" x14ac:dyDescent="0.3">
      <c r="A44" s="656" t="s">
        <v>4</v>
      </c>
      <c r="B44" s="657"/>
      <c r="C44" s="658"/>
      <c r="D44" s="522">
        <v>1400</v>
      </c>
      <c r="E44" s="522" t="s">
        <v>1</v>
      </c>
      <c r="F44" s="680" t="s">
        <v>3</v>
      </c>
      <c r="G44" s="681"/>
      <c r="H44" s="660"/>
      <c r="I44" s="661"/>
    </row>
    <row r="45" spans="1:9" ht="21" thickBot="1" x14ac:dyDescent="0.35">
      <c r="A45" s="662" t="s">
        <v>2</v>
      </c>
      <c r="B45" s="663"/>
      <c r="C45" s="664"/>
      <c r="D45" s="576">
        <f>SUM(E10:E23)-D41</f>
        <v>49.200000000000045</v>
      </c>
      <c r="E45" s="577" t="s">
        <v>1</v>
      </c>
      <c r="F45" s="665"/>
      <c r="G45" s="665"/>
      <c r="H45" s="666"/>
      <c r="I45" s="667"/>
    </row>
    <row r="46" spans="1:9" ht="21" thickBot="1" x14ac:dyDescent="0.35">
      <c r="A46" s="682" t="s">
        <v>0</v>
      </c>
      <c r="B46" s="683"/>
      <c r="C46" s="683"/>
      <c r="D46" s="683"/>
      <c r="E46" s="683"/>
      <c r="F46" s="683"/>
      <c r="G46" s="683"/>
      <c r="H46" s="683"/>
      <c r="I46" s="684"/>
    </row>
    <row r="47" spans="1:9" ht="20.25" x14ac:dyDescent="0.3">
      <c r="A47" s="676" t="s">
        <v>90</v>
      </c>
      <c r="B47" s="677"/>
      <c r="C47" s="678"/>
      <c r="D47" s="678"/>
      <c r="E47" s="678"/>
      <c r="F47" s="678"/>
      <c r="G47" s="678"/>
      <c r="H47" s="678"/>
      <c r="I47" s="679"/>
    </row>
    <row r="48" spans="1:9" ht="20.25" x14ac:dyDescent="0.3">
      <c r="A48" s="676" t="s">
        <v>328</v>
      </c>
      <c r="B48" s="677"/>
      <c r="C48" s="678"/>
      <c r="D48" s="678"/>
      <c r="E48" s="678"/>
      <c r="F48" s="678"/>
      <c r="G48" s="678"/>
      <c r="H48" s="678"/>
      <c r="I48" s="679"/>
    </row>
    <row r="49" spans="1:9" ht="45" customHeight="1" x14ac:dyDescent="0.3">
      <c r="A49" s="702" t="s">
        <v>333</v>
      </c>
      <c r="B49" s="677"/>
      <c r="C49" s="678"/>
      <c r="D49" s="678"/>
      <c r="E49" s="678"/>
      <c r="F49" s="678"/>
      <c r="G49" s="678"/>
      <c r="H49" s="678"/>
      <c r="I49" s="679"/>
    </row>
    <row r="50" spans="1:9" ht="20.25" x14ac:dyDescent="0.3">
      <c r="A50" s="676" t="s">
        <v>98</v>
      </c>
      <c r="B50" s="677"/>
      <c r="C50" s="678"/>
      <c r="D50" s="678"/>
      <c r="E50" s="678"/>
      <c r="F50" s="678"/>
      <c r="G50" s="678"/>
      <c r="H50" s="678"/>
      <c r="I50" s="679"/>
    </row>
    <row r="51" spans="1:9" ht="20.25" x14ac:dyDescent="0.3">
      <c r="A51" s="676" t="s">
        <v>101</v>
      </c>
      <c r="B51" s="677"/>
      <c r="C51" s="678"/>
      <c r="D51" s="678"/>
      <c r="E51" s="678"/>
      <c r="F51" s="678"/>
      <c r="G51" s="678"/>
      <c r="H51" s="678"/>
      <c r="I51" s="679"/>
    </row>
    <row r="52" spans="1:9" ht="42.75" customHeight="1" x14ac:dyDescent="0.3">
      <c r="A52" s="702" t="s">
        <v>330</v>
      </c>
      <c r="B52" s="703"/>
      <c r="C52" s="704"/>
      <c r="D52" s="704"/>
      <c r="E52" s="704"/>
      <c r="F52" s="704"/>
      <c r="G52" s="704"/>
      <c r="H52" s="704"/>
      <c r="I52" s="705"/>
    </row>
    <row r="53" spans="1:9" ht="20.25" x14ac:dyDescent="0.3">
      <c r="A53" s="676" t="s">
        <v>102</v>
      </c>
      <c r="B53" s="677"/>
      <c r="C53" s="678"/>
      <c r="D53" s="678"/>
      <c r="E53" s="678"/>
      <c r="F53" s="678"/>
      <c r="G53" s="678"/>
      <c r="H53" s="678"/>
      <c r="I53" s="679"/>
    </row>
    <row r="54" spans="1:9" ht="20.25" x14ac:dyDescent="0.3">
      <c r="A54" s="676"/>
      <c r="B54" s="677"/>
      <c r="C54" s="678"/>
      <c r="D54" s="678"/>
      <c r="E54" s="678"/>
      <c r="F54" s="678"/>
      <c r="G54" s="678"/>
      <c r="H54" s="678"/>
      <c r="I54" s="679"/>
    </row>
    <row r="55" spans="1:9" ht="20.25" x14ac:dyDescent="0.3">
      <c r="A55" s="673"/>
      <c r="B55" s="674"/>
      <c r="C55" s="674"/>
      <c r="D55" s="674"/>
      <c r="E55" s="674"/>
      <c r="F55" s="674"/>
      <c r="G55" s="674"/>
      <c r="H55" s="674"/>
      <c r="I55" s="675"/>
    </row>
    <row r="56" spans="1:9" ht="20.25" x14ac:dyDescent="0.3">
      <c r="A56" s="673"/>
      <c r="B56" s="674"/>
      <c r="C56" s="674"/>
      <c r="D56" s="674"/>
      <c r="E56" s="674"/>
      <c r="F56" s="674"/>
      <c r="G56" s="674"/>
      <c r="H56" s="674"/>
      <c r="I56" s="675"/>
    </row>
    <row r="57" spans="1:9" ht="21" thickBot="1" x14ac:dyDescent="0.35">
      <c r="A57" s="697"/>
      <c r="B57" s="698"/>
      <c r="C57" s="698"/>
      <c r="D57" s="698"/>
      <c r="E57" s="698"/>
      <c r="F57" s="698"/>
      <c r="G57" s="698"/>
      <c r="H57" s="698"/>
      <c r="I57" s="699"/>
    </row>
    <row r="58" spans="1:9" ht="20.25" x14ac:dyDescent="0.3">
      <c r="A58" s="700" t="s">
        <v>45</v>
      </c>
      <c r="B58" s="701"/>
      <c r="C58" s="701"/>
      <c r="D58" s="701"/>
      <c r="E58" s="701"/>
      <c r="F58" s="701"/>
      <c r="G58" s="701"/>
      <c r="H58" s="701"/>
      <c r="I58" s="701"/>
    </row>
    <row r="59" spans="1:9" ht="20.25" x14ac:dyDescent="0.3">
      <c r="A59" s="690" t="s">
        <v>336</v>
      </c>
      <c r="B59" s="690"/>
      <c r="C59" s="690"/>
      <c r="D59" s="690"/>
      <c r="E59" s="690"/>
      <c r="F59" s="690"/>
      <c r="G59" s="690"/>
      <c r="H59" s="690"/>
      <c r="I59" s="690"/>
    </row>
    <row r="60" spans="1:9" ht="20.25" x14ac:dyDescent="0.3">
      <c r="A60" s="690"/>
      <c r="B60" s="690"/>
      <c r="C60" s="690"/>
      <c r="D60" s="690"/>
      <c r="E60" s="690"/>
      <c r="F60" s="690"/>
      <c r="G60" s="690"/>
      <c r="H60" s="690"/>
      <c r="I60" s="690"/>
    </row>
  </sheetData>
  <mergeCells count="47">
    <mergeCell ref="A60:I60"/>
    <mergeCell ref="A41:C41"/>
    <mergeCell ref="F41:G41"/>
    <mergeCell ref="H41:I41"/>
    <mergeCell ref="A57:I57"/>
    <mergeCell ref="A58:I58"/>
    <mergeCell ref="A51:I51"/>
    <mergeCell ref="A59:I59"/>
    <mergeCell ref="A49:I49"/>
    <mergeCell ref="A52:I52"/>
    <mergeCell ref="A53:I53"/>
    <mergeCell ref="A54:I54"/>
    <mergeCell ref="A55:I55"/>
    <mergeCell ref="A42:C42"/>
    <mergeCell ref="F42:G42"/>
    <mergeCell ref="H42:I42"/>
    <mergeCell ref="A1:B5"/>
    <mergeCell ref="A6:C6"/>
    <mergeCell ref="D6:F6"/>
    <mergeCell ref="G6:H6"/>
    <mergeCell ref="A7:A8"/>
    <mergeCell ref="B7:B8"/>
    <mergeCell ref="E7:F7"/>
    <mergeCell ref="A56:I56"/>
    <mergeCell ref="A50:I50"/>
    <mergeCell ref="A44:C44"/>
    <mergeCell ref="F44:G44"/>
    <mergeCell ref="H44:I44"/>
    <mergeCell ref="A47:I47"/>
    <mergeCell ref="A48:I48"/>
    <mergeCell ref="A46:I46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3:C43"/>
    <mergeCell ref="F43:G43"/>
    <mergeCell ref="H43:I43"/>
    <mergeCell ref="A45:C45"/>
    <mergeCell ref="F45:G45"/>
    <mergeCell ref="H45:I45"/>
  </mergeCells>
  <pageMargins left="0.7" right="0.7" top="0.75" bottom="0.75" header="0.3" footer="0.3"/>
  <pageSetup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E99F-7395-489B-AE88-E1438452749F}">
  <dimension ref="A1:Q93"/>
  <sheetViews>
    <sheetView topLeftCell="A5" workbookViewId="0">
      <selection activeCell="B21" sqref="B21"/>
    </sheetView>
  </sheetViews>
  <sheetFormatPr baseColWidth="10" defaultColWidth="8.42578125" defaultRowHeight="12.75" x14ac:dyDescent="0.25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11" style="104" customWidth="1"/>
    <col min="6" max="6" width="9.5703125" style="104" bestFit="1" customWidth="1"/>
    <col min="7" max="7" width="10.85546875" style="186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5">
      <c r="A1" s="99"/>
      <c r="B1" s="99"/>
      <c r="C1" s="99"/>
      <c r="D1" s="99"/>
      <c r="E1" s="100" t="s">
        <v>118</v>
      </c>
      <c r="F1" s="101" t="s">
        <v>119</v>
      </c>
      <c r="G1" s="101" t="s">
        <v>120</v>
      </c>
      <c r="H1" s="101" t="s">
        <v>121</v>
      </c>
      <c r="I1" s="102"/>
    </row>
    <row r="2" spans="1:10" ht="30.75" customHeight="1" x14ac:dyDescent="0.25">
      <c r="A2" s="99"/>
      <c r="B2" s="99"/>
      <c r="C2" s="99"/>
      <c r="D2" s="99"/>
      <c r="E2" s="105">
        <f>IFERROR(O64,"")</f>
        <v>4845.8116969696966</v>
      </c>
      <c r="F2" s="105">
        <f>IFERROR(H55,"")</f>
        <v>3092.1239999999998</v>
      </c>
      <c r="G2" s="105">
        <f>IFERROR(H56,"")</f>
        <v>1010.3613333333334</v>
      </c>
      <c r="H2" s="105">
        <f>IFERROR(H58,"")</f>
        <v>405.93</v>
      </c>
      <c r="I2" s="106"/>
    </row>
    <row r="3" spans="1:10" ht="15" customHeight="1" x14ac:dyDescent="0.25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3">
      <c r="A4" s="732"/>
      <c r="B4" s="732"/>
      <c r="C4" s="732"/>
      <c r="D4" s="732"/>
      <c r="E4" s="732"/>
      <c r="F4" s="732"/>
      <c r="G4" s="732"/>
      <c r="H4" s="732"/>
      <c r="I4" s="108"/>
    </row>
    <row r="5" spans="1:10" ht="19.5" customHeight="1" thickBot="1" x14ac:dyDescent="0.3">
      <c r="A5" s="733" t="s">
        <v>122</v>
      </c>
      <c r="B5" s="734"/>
      <c r="C5" s="734"/>
      <c r="D5" s="734"/>
      <c r="E5" s="734"/>
      <c r="F5" s="734"/>
      <c r="G5" s="734"/>
      <c r="H5" s="735"/>
      <c r="I5" s="109"/>
    </row>
    <row r="6" spans="1:10" ht="19.5" thickBot="1" x14ac:dyDescent="0.3">
      <c r="A6" s="109"/>
      <c r="B6" s="109"/>
      <c r="C6" s="109"/>
      <c r="D6" s="109"/>
      <c r="E6" s="109"/>
      <c r="F6" s="736" t="s">
        <v>123</v>
      </c>
      <c r="G6" s="736"/>
      <c r="H6" s="110">
        <f ca="1">TODAY()</f>
        <v>45918</v>
      </c>
      <c r="I6" s="110"/>
    </row>
    <row r="7" spans="1:10" ht="26.25" thickBot="1" x14ac:dyDescent="0.3">
      <c r="A7" s="111" t="s">
        <v>124</v>
      </c>
      <c r="B7" s="112" t="s">
        <v>125</v>
      </c>
      <c r="C7" s="112" t="s">
        <v>124</v>
      </c>
      <c r="D7" s="113" t="s">
        <v>126</v>
      </c>
      <c r="E7" s="113" t="s">
        <v>127</v>
      </c>
      <c r="F7" s="113" t="s">
        <v>128</v>
      </c>
      <c r="G7" s="113" t="s">
        <v>129</v>
      </c>
      <c r="H7" s="114" t="s">
        <v>130</v>
      </c>
      <c r="I7" s="115"/>
    </row>
    <row r="8" spans="1:10" ht="13.5" x14ac:dyDescent="0.25">
      <c r="A8" s="116">
        <v>300</v>
      </c>
      <c r="B8" s="104" t="s">
        <v>174</v>
      </c>
      <c r="C8" s="117">
        <f>+A8</f>
        <v>300</v>
      </c>
      <c r="D8" s="118" t="s">
        <v>169</v>
      </c>
      <c r="E8" s="118">
        <v>1.96</v>
      </c>
      <c r="F8" s="118">
        <f>IFERROR(C8*E8,"")</f>
        <v>588</v>
      </c>
      <c r="G8" s="119">
        <f t="shared" ref="G8:G14" si="0">IFERROR(F8/$F$68,"")</f>
        <v>0.12924986374397301</v>
      </c>
      <c r="H8" s="120" t="s">
        <v>38</v>
      </c>
      <c r="I8" s="120"/>
      <c r="J8" s="121"/>
    </row>
    <row r="9" spans="1:10" ht="13.5" x14ac:dyDescent="0.25">
      <c r="A9" s="116">
        <v>420</v>
      </c>
      <c r="B9" s="104" t="s">
        <v>57</v>
      </c>
      <c r="C9" s="117">
        <f t="shared" ref="C9:C14" si="1">+A9</f>
        <v>420</v>
      </c>
      <c r="D9" s="118" t="s">
        <v>169</v>
      </c>
      <c r="E9" s="118">
        <v>3.19</v>
      </c>
      <c r="F9" s="118">
        <f t="shared" ref="F9:F14" si="2">IFERROR(C9*E9,"")</f>
        <v>1339.8</v>
      </c>
      <c r="G9" s="119">
        <f t="shared" si="0"/>
        <v>0.29450504667376703</v>
      </c>
      <c r="H9" s="120" t="s">
        <v>56</v>
      </c>
      <c r="I9" s="120"/>
      <c r="J9" s="121"/>
    </row>
    <row r="10" spans="1:10" ht="15" x14ac:dyDescent="0.25">
      <c r="A10" s="116">
        <v>0.2</v>
      </c>
      <c r="B10" s="196" t="s">
        <v>108</v>
      </c>
      <c r="C10" s="117">
        <f t="shared" si="1"/>
        <v>0.2</v>
      </c>
      <c r="D10" s="118" t="s">
        <v>169</v>
      </c>
      <c r="E10" s="118">
        <v>6.32</v>
      </c>
      <c r="F10" s="118">
        <f t="shared" si="2"/>
        <v>1.2640000000000002</v>
      </c>
      <c r="G10" s="119">
        <f t="shared" si="0"/>
        <v>2.7784324451085357E-4</v>
      </c>
      <c r="H10" s="120" t="s">
        <v>107</v>
      </c>
      <c r="I10" s="120"/>
      <c r="J10" s="121"/>
    </row>
    <row r="11" spans="1:10" ht="13.5" hidden="1" x14ac:dyDescent="0.25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19" t="str">
        <f t="shared" si="0"/>
        <v/>
      </c>
      <c r="H11" s="120"/>
      <c r="I11" s="120"/>
      <c r="J11" s="121"/>
    </row>
    <row r="12" spans="1:10" ht="13.5" hidden="1" x14ac:dyDescent="0.25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19" t="str">
        <f t="shared" si="0"/>
        <v/>
      </c>
      <c r="H12" s="120"/>
      <c r="I12" s="120"/>
      <c r="J12" s="121"/>
    </row>
    <row r="13" spans="1:10" ht="13.5" hidden="1" x14ac:dyDescent="0.25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19" t="str">
        <f t="shared" si="0"/>
        <v/>
      </c>
      <c r="H13" s="120"/>
      <c r="I13" s="120"/>
      <c r="J13" s="121"/>
    </row>
    <row r="14" spans="1:10" ht="13.5" hidden="1" x14ac:dyDescent="0.25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19" t="str">
        <f t="shared" si="0"/>
        <v/>
      </c>
      <c r="H14" s="120"/>
      <c r="I14" s="120"/>
      <c r="J14" s="121"/>
    </row>
    <row r="15" spans="1:10" ht="14.25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19"/>
      <c r="H15" s="120"/>
      <c r="I15" s="120"/>
      <c r="J15" s="121"/>
    </row>
    <row r="16" spans="1:10" ht="26.25" thickBot="1" x14ac:dyDescent="0.3">
      <c r="A16" s="111" t="s">
        <v>124</v>
      </c>
      <c r="B16" s="112" t="s">
        <v>131</v>
      </c>
      <c r="C16" s="112" t="s">
        <v>124</v>
      </c>
      <c r="D16" s="113" t="s">
        <v>126</v>
      </c>
      <c r="E16" s="113" t="s">
        <v>127</v>
      </c>
      <c r="F16" s="113" t="s">
        <v>128</v>
      </c>
      <c r="G16" s="113" t="s">
        <v>129</v>
      </c>
      <c r="H16" s="114" t="s">
        <v>130</v>
      </c>
      <c r="I16" s="115"/>
      <c r="J16" s="121"/>
    </row>
    <row r="17" spans="1:12" ht="13.5" x14ac:dyDescent="0.25">
      <c r="A17" s="116">
        <v>1.5</v>
      </c>
      <c r="B17" s="104" t="s">
        <v>48</v>
      </c>
      <c r="C17" s="117">
        <f>+A17</f>
        <v>1.5</v>
      </c>
      <c r="D17" s="117" t="s">
        <v>170</v>
      </c>
      <c r="E17" s="118">
        <v>410</v>
      </c>
      <c r="F17" s="118">
        <f>IFERROR(E17*C17,"")</f>
        <v>615</v>
      </c>
      <c r="G17" s="119">
        <f t="shared" ref="G17:G24" si="3">IFERROR(F17/$F$68,"")</f>
        <v>0.13518480646691056</v>
      </c>
      <c r="H17" s="120" t="s">
        <v>47</v>
      </c>
      <c r="I17" s="120"/>
      <c r="J17" s="121"/>
    </row>
    <row r="18" spans="1:12" ht="13.5" x14ac:dyDescent="0.25">
      <c r="A18" s="116">
        <v>90</v>
      </c>
      <c r="B18" s="104" t="s">
        <v>51</v>
      </c>
      <c r="C18" s="117">
        <f t="shared" ref="C18:C24" si="4">+A18</f>
        <v>90</v>
      </c>
      <c r="D18" s="117" t="s">
        <v>169</v>
      </c>
      <c r="E18" s="118">
        <v>0.2</v>
      </c>
      <c r="F18" s="118">
        <f t="shared" ref="F18:F24" si="5">IFERROR(E18*C18,"")</f>
        <v>18</v>
      </c>
      <c r="G18" s="119">
        <f t="shared" si="3"/>
        <v>3.9566284819583571E-3</v>
      </c>
      <c r="H18" s="120" t="s">
        <v>50</v>
      </c>
      <c r="I18" s="120"/>
      <c r="J18" s="121"/>
    </row>
    <row r="19" spans="1:12" ht="13.5" x14ac:dyDescent="0.25">
      <c r="A19" s="116">
        <v>230</v>
      </c>
      <c r="B19" s="104" t="s">
        <v>62</v>
      </c>
      <c r="C19" s="117">
        <f>+A19</f>
        <v>230</v>
      </c>
      <c r="D19" s="117" t="s">
        <v>169</v>
      </c>
      <c r="E19" s="118">
        <v>2.27</v>
      </c>
      <c r="F19" s="118">
        <f>IFERROR(E19*C19,"")</f>
        <v>522.1</v>
      </c>
      <c r="G19" s="119">
        <f t="shared" si="3"/>
        <v>0.11476420724613658</v>
      </c>
      <c r="H19" s="120" t="s">
        <v>61</v>
      </c>
      <c r="I19" s="120"/>
      <c r="J19" s="121"/>
    </row>
    <row r="20" spans="1:12" ht="13.5" x14ac:dyDescent="0.25">
      <c r="A20" s="116">
        <v>0</v>
      </c>
      <c r="B20" s="104" t="s">
        <v>92</v>
      </c>
      <c r="C20" s="117">
        <f>+A20</f>
        <v>0</v>
      </c>
      <c r="D20" s="117" t="s">
        <v>169</v>
      </c>
      <c r="E20" s="118">
        <f>+'Costo topping de manzana '!E69</f>
        <v>3.6088</v>
      </c>
      <c r="F20" s="118">
        <f>IFERROR(E20*C20,"")</f>
        <v>0</v>
      </c>
      <c r="G20" s="119">
        <f t="shared" si="3"/>
        <v>0</v>
      </c>
      <c r="H20" s="120" t="s">
        <v>172</v>
      </c>
      <c r="I20" s="120"/>
      <c r="J20" s="121"/>
    </row>
    <row r="21" spans="1:12" ht="13.5" x14ac:dyDescent="0.25">
      <c r="A21" s="116">
        <v>4</v>
      </c>
      <c r="B21" s="104" t="s">
        <v>100</v>
      </c>
      <c r="C21" s="117">
        <f>+A21</f>
        <v>4</v>
      </c>
      <c r="D21" s="117" t="s">
        <v>169</v>
      </c>
      <c r="E21" s="118">
        <v>1.99</v>
      </c>
      <c r="F21" s="118">
        <f>IFERROR(E21*C21,"")</f>
        <v>7.96</v>
      </c>
      <c r="G21" s="119">
        <f t="shared" si="3"/>
        <v>1.7497090397993625E-3</v>
      </c>
      <c r="H21" s="120" t="s">
        <v>99</v>
      </c>
      <c r="I21" s="120"/>
      <c r="J21" s="121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19" t="str">
        <f t="shared" si="3"/>
        <v/>
      </c>
      <c r="H22" s="120"/>
      <c r="I22" s="120"/>
      <c r="J22" s="121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19" t="str">
        <f t="shared" si="3"/>
        <v/>
      </c>
      <c r="H23" s="120"/>
      <c r="I23" s="120"/>
      <c r="J23" s="121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19" t="str">
        <f t="shared" si="3"/>
        <v/>
      </c>
      <c r="H24" s="120"/>
      <c r="I24" s="120"/>
      <c r="J24" s="121"/>
    </row>
    <row r="25" spans="1:12" ht="14.25" thickBot="1" x14ac:dyDescent="0.3">
      <c r="A25" s="116"/>
      <c r="C25" s="117"/>
      <c r="D25" s="117"/>
      <c r="E25" s="118"/>
      <c r="F25" s="118"/>
      <c r="G25" s="119"/>
      <c r="H25" s="120"/>
      <c r="I25" s="120"/>
      <c r="J25" s="121"/>
    </row>
    <row r="26" spans="1:12" ht="26.25" thickBot="1" x14ac:dyDescent="0.3">
      <c r="A26" s="111" t="s">
        <v>124</v>
      </c>
      <c r="B26" s="112" t="s">
        <v>63</v>
      </c>
      <c r="C26" s="112" t="s">
        <v>124</v>
      </c>
      <c r="D26" s="113" t="s">
        <v>126</v>
      </c>
      <c r="E26" s="113" t="s">
        <v>127</v>
      </c>
      <c r="F26" s="113" t="s">
        <v>128</v>
      </c>
      <c r="G26" s="113" t="s">
        <v>129</v>
      </c>
      <c r="H26" s="114" t="s">
        <v>130</v>
      </c>
      <c r="I26" s="115"/>
    </row>
    <row r="27" spans="1:12" ht="13.5" x14ac:dyDescent="0.25">
      <c r="A27" s="116">
        <v>1</v>
      </c>
      <c r="B27" s="122" t="str">
        <f>IFERROR(VLOOKUP(H27,'[1]Consolidado MP Planta'!$A$2:$M$823,3,0),"")</f>
        <v>QUEQUERA RED  BASE/DOMO 10 (CAJA:50)</v>
      </c>
      <c r="C27" s="117">
        <f t="shared" ref="C27:C34" si="6">+A27</f>
        <v>1</v>
      </c>
      <c r="D27" s="118" t="str">
        <f>IFERROR(VLOOKUP(H27,'[1]Consolidado MP Planta'!$A$2:$M$823,13,0),"")</f>
        <v>UND</v>
      </c>
      <c r="E27" s="118">
        <f>IFERROR(VLOOKUP(H27,'[1]Consolidado MP Planta'!$A$2:$M$823,12,0),"")</f>
        <v>751.04</v>
      </c>
      <c r="F27" s="118">
        <f t="shared" ref="F27:F34" si="7">IFERROR(C27*E27,"")</f>
        <v>751.04</v>
      </c>
      <c r="G27" s="119">
        <f>IFERROR(F27/$F$68,"")</f>
        <v>0.16508812528277803</v>
      </c>
      <c r="H27" s="123" t="s">
        <v>64</v>
      </c>
      <c r="I27" s="123"/>
      <c r="J27" s="121"/>
      <c r="K27" s="729"/>
      <c r="L27" s="729"/>
    </row>
    <row r="28" spans="1:12" ht="13.5" x14ac:dyDescent="0.25">
      <c r="A28" s="116">
        <v>1</v>
      </c>
      <c r="B28" s="122" t="str">
        <f>IFERROR(VLOOKUP(H28,'[1]Consolidado MP Planta'!$A$2:$M$823,3,0),"")</f>
        <v>ORLA # 10 BUCCA (UND)</v>
      </c>
      <c r="C28" s="117">
        <f t="shared" si="6"/>
        <v>1</v>
      </c>
      <c r="D28" s="118" t="s">
        <v>171</v>
      </c>
      <c r="E28" s="118">
        <f>IFERROR(VLOOKUP(H28,'[1]Consolidado MP Planta'!$A$2:$M$823,12,0),"")</f>
        <v>137</v>
      </c>
      <c r="F28" s="118">
        <f t="shared" si="7"/>
        <v>137</v>
      </c>
      <c r="G28" s="119">
        <f>IFERROR(F28/$F$68,"")</f>
        <v>3.0114339001571941E-2</v>
      </c>
      <c r="H28" s="123" t="s">
        <v>68</v>
      </c>
      <c r="I28" s="123"/>
      <c r="J28" s="121"/>
      <c r="K28" s="729"/>
      <c r="L28" s="729"/>
    </row>
    <row r="29" spans="1:12" ht="13.5" x14ac:dyDescent="0.25">
      <c r="A29" s="116">
        <v>1</v>
      </c>
      <c r="B29" s="122" t="str">
        <f>IFERROR(VLOOKUP(H29,'[1]Consolidado MP Planta'!$A$2:$M$823,3,0),"")</f>
        <v>ET. TORTA BUCCA GENERICA PEQUEÑA (UND)</v>
      </c>
      <c r="C29" s="117">
        <f t="shared" ref="C29:C31" si="8">+A29</f>
        <v>1</v>
      </c>
      <c r="D29" s="118" t="str">
        <f>IFERROR(VLOOKUP(H29,'[1]Consolidado MP Planta'!$A$2:$M$823,13,0),"")</f>
        <v>Und</v>
      </c>
      <c r="E29" s="118">
        <f>IFERROR(VLOOKUP(H29,'[1]Consolidado MP Planta'!$A$2:$M$823,12,0),"")</f>
        <v>25.8</v>
      </c>
      <c r="F29" s="118">
        <f t="shared" ref="F29:F31" si="9">IFERROR(C29*E29,"")</f>
        <v>25.8</v>
      </c>
      <c r="G29" s="119">
        <f t="shared" ref="G29:G31" si="10">IFERROR(F29/$F$68,"")</f>
        <v>5.6711674908069788E-3</v>
      </c>
      <c r="H29" s="123" t="s">
        <v>72</v>
      </c>
      <c r="I29" s="123"/>
      <c r="J29" s="121"/>
      <c r="K29" s="102"/>
      <c r="L29" s="102"/>
    </row>
    <row r="30" spans="1:12" ht="13.5" x14ac:dyDescent="0.25">
      <c r="A30" s="116">
        <v>1</v>
      </c>
      <c r="B30" s="122" t="str">
        <f>IFERROR(VLOOKUP(H30,'[1]Consolidado MP Planta'!$A$2:$M$823,3,0),"")</f>
        <v>ETIQ.FECHA VENCIMIENTO BLANCO (ROLLO)</v>
      </c>
      <c r="C30" s="117">
        <f t="shared" si="8"/>
        <v>1</v>
      </c>
      <c r="D30" s="118" t="str">
        <f>IFERROR(VLOOKUP(H30,'[1]Consolidado MP Planta'!$A$2:$M$823,13,0),"")</f>
        <v>Gramos</v>
      </c>
      <c r="E30" s="118">
        <f>IFERROR(VLOOKUP(H30,'[1]Consolidado MP Planta'!$A$2:$M$823,12,0),"")</f>
        <v>0.33333333333333331</v>
      </c>
      <c r="F30" s="118">
        <f t="shared" si="9"/>
        <v>0.33333333333333331</v>
      </c>
      <c r="G30" s="119">
        <f t="shared" si="10"/>
        <v>7.3270897814043645E-5</v>
      </c>
      <c r="H30" s="123" t="s">
        <v>76</v>
      </c>
      <c r="I30" s="123"/>
      <c r="J30" s="121"/>
      <c r="K30" s="102"/>
      <c r="L30" s="102"/>
    </row>
    <row r="31" spans="1:12" ht="13.5" x14ac:dyDescent="0.25">
      <c r="A31" s="116">
        <v>1</v>
      </c>
      <c r="B31" s="122" t="str">
        <f>IFERROR(VLOOKUP(H31,'[1]Consolidado MP Planta'!$A$2:$M$823,3,0),"")</f>
        <v>ETIQ.BLANCA 1 1/4 * 3/4 (UND)</v>
      </c>
      <c r="C31" s="117">
        <f t="shared" si="8"/>
        <v>1</v>
      </c>
      <c r="D31" s="118" t="str">
        <f>IFERROR(VLOOKUP(H31,'[1]Consolidado MP Planta'!$A$2:$M$823,13,0),"")</f>
        <v>Und</v>
      </c>
      <c r="E31" s="118">
        <f>IFERROR(VLOOKUP(H31,'[1]Consolidado MP Planta'!$A$2:$M$823,12,0),"")</f>
        <v>0.57999999999999996</v>
      </c>
      <c r="F31" s="118">
        <f t="shared" si="9"/>
        <v>0.57999999999999996</v>
      </c>
      <c r="G31" s="119">
        <f t="shared" si="10"/>
        <v>1.2749136219643596E-4</v>
      </c>
      <c r="H31" s="123" t="s">
        <v>78</v>
      </c>
      <c r="I31" s="123"/>
      <c r="J31" s="121"/>
      <c r="K31" s="102"/>
      <c r="L31" s="102"/>
    </row>
    <row r="32" spans="1:12" ht="13.5" x14ac:dyDescent="0.25">
      <c r="A32" s="116">
        <v>1</v>
      </c>
      <c r="B32" s="122" t="str">
        <f>IFERROR(VLOOKUP(H32,'[1]Consolidado MP Planta'!$A$2:$M$823,3,0),"")</f>
        <v>ETIQUETA BLANCA 2 5/8X1 15/16 (UND)</v>
      </c>
      <c r="C32" s="117">
        <f t="shared" si="6"/>
        <v>1</v>
      </c>
      <c r="D32" s="118" t="str">
        <f>IFERROR(VLOOKUP(H32,'[1]Consolidado MP Planta'!$A$2:$M$823,13,0),"")</f>
        <v>Und</v>
      </c>
      <c r="E32" s="118">
        <f>IFERROR(VLOOKUP(H32,'[1]Consolidado MP Planta'!$A$2:$M$823,12,0),"")</f>
        <v>2.1280000000000001</v>
      </c>
      <c r="F32" s="118">
        <f t="shared" si="7"/>
        <v>2.1280000000000001</v>
      </c>
      <c r="G32" s="119">
        <f>IFERROR(F32/$F$68,"")</f>
        <v>4.6776141164485473E-4</v>
      </c>
      <c r="H32" s="123" t="s">
        <v>82</v>
      </c>
      <c r="I32" s="123"/>
      <c r="J32" s="121"/>
      <c r="K32" s="729"/>
      <c r="L32" s="729"/>
    </row>
    <row r="33" spans="1:13" ht="13.5" x14ac:dyDescent="0.25">
      <c r="A33" s="116">
        <v>1</v>
      </c>
      <c r="B33" s="122" t="s">
        <v>117</v>
      </c>
      <c r="C33" s="117">
        <f t="shared" si="6"/>
        <v>1</v>
      </c>
      <c r="D33" s="118" t="s">
        <v>171</v>
      </c>
      <c r="E33" s="118">
        <v>85</v>
      </c>
      <c r="F33" s="118">
        <f t="shared" si="7"/>
        <v>85</v>
      </c>
      <c r="G33" s="119">
        <f>IFERROR(F33/$F$68,"")</f>
        <v>1.8684078942581131E-2</v>
      </c>
      <c r="H33" s="123"/>
      <c r="I33" s="123"/>
      <c r="J33" s="121"/>
      <c r="K33" s="124"/>
      <c r="L33" s="125"/>
    </row>
    <row r="34" spans="1:13" ht="13.5" x14ac:dyDescent="0.25">
      <c r="A34" s="116"/>
      <c r="B34" s="122" t="str">
        <f>IFERROR(VLOOKUP(H34,'[1]Consolidado MP Planta'!$A$2:$M$823,3,0),"")</f>
        <v/>
      </c>
      <c r="C34" s="117">
        <f t="shared" si="6"/>
        <v>0</v>
      </c>
      <c r="D34" s="118" t="str">
        <f>IFERROR(VLOOKUP(H34,'[1]Consolidado MP Planta'!$A$2:$M$823,13,0),"")</f>
        <v/>
      </c>
      <c r="E34" s="118" t="str">
        <f>IFERROR(VLOOKUP(H34,'[1]Consolidado MP Planta'!$A$2:$M$823,12,0),"")</f>
        <v/>
      </c>
      <c r="F34" s="118" t="str">
        <f t="shared" si="7"/>
        <v/>
      </c>
      <c r="G34" s="119" t="str">
        <f>IFERROR(F34/$F$68,"")</f>
        <v/>
      </c>
      <c r="H34" s="123"/>
      <c r="I34" s="123"/>
      <c r="J34" s="121"/>
    </row>
    <row r="35" spans="1:13" ht="14.25" thickBot="1" x14ac:dyDescent="0.3">
      <c r="A35" s="116"/>
      <c r="B35" s="122"/>
      <c r="C35" s="117"/>
      <c r="D35" s="118"/>
      <c r="E35" s="118"/>
      <c r="F35" s="118"/>
      <c r="G35" s="119"/>
      <c r="H35" s="123"/>
      <c r="I35" s="123"/>
      <c r="J35" s="121"/>
    </row>
    <row r="36" spans="1:13" ht="26.25" thickBot="1" x14ac:dyDescent="0.25">
      <c r="A36" s="111" t="s">
        <v>124</v>
      </c>
      <c r="B36" s="112" t="s">
        <v>132</v>
      </c>
      <c r="C36" s="112" t="s">
        <v>124</v>
      </c>
      <c r="D36" s="113" t="s">
        <v>126</v>
      </c>
      <c r="E36" s="113" t="s">
        <v>127</v>
      </c>
      <c r="F36" s="113" t="s">
        <v>128</v>
      </c>
      <c r="G36" s="113" t="s">
        <v>129</v>
      </c>
      <c r="H36" s="114" t="s">
        <v>130</v>
      </c>
      <c r="I36" s="123"/>
      <c r="J36" s="121"/>
    </row>
    <row r="37" spans="1:13" ht="13.5" x14ac:dyDescent="0.25">
      <c r="A37" s="116">
        <f t="shared" ref="A37:A43" si="11">+A17</f>
        <v>1.5</v>
      </c>
      <c r="B37" s="122" t="s">
        <v>48</v>
      </c>
      <c r="C37" s="117">
        <f>+A37</f>
        <v>1.5</v>
      </c>
      <c r="D37" s="118" t="s">
        <v>171</v>
      </c>
      <c r="E37" s="118">
        <v>5</v>
      </c>
      <c r="F37" s="118">
        <f>IFERROR(E37*C37,"")</f>
        <v>7.5</v>
      </c>
      <c r="G37" s="119">
        <f t="shared" ref="G37:G43" si="12">IFERROR(F37/$F$68,"")</f>
        <v>1.6485952008159822E-3</v>
      </c>
      <c r="H37" s="120" t="s">
        <v>47</v>
      </c>
      <c r="I37" s="123"/>
      <c r="J37" s="121"/>
    </row>
    <row r="38" spans="1:13" ht="13.5" x14ac:dyDescent="0.25">
      <c r="A38" s="116">
        <f t="shared" si="11"/>
        <v>90</v>
      </c>
      <c r="B38" s="122" t="s">
        <v>51</v>
      </c>
      <c r="C38" s="117">
        <f t="shared" ref="C38:C43" si="13">+A38</f>
        <v>90</v>
      </c>
      <c r="D38" s="118" t="s">
        <v>169</v>
      </c>
      <c r="E38" s="118">
        <v>0.01</v>
      </c>
      <c r="F38" s="118">
        <f t="shared" ref="F38:F43" si="14">IFERROR(E38*C38,"")</f>
        <v>0.9</v>
      </c>
      <c r="G38" s="119">
        <f t="shared" si="12"/>
        <v>1.9783142409791787E-4</v>
      </c>
      <c r="H38" s="120" t="s">
        <v>50</v>
      </c>
      <c r="I38" s="123"/>
      <c r="J38" s="121"/>
    </row>
    <row r="39" spans="1:13" ht="13.5" x14ac:dyDescent="0.25">
      <c r="A39" s="116">
        <f t="shared" si="11"/>
        <v>230</v>
      </c>
      <c r="B39" s="122" t="s">
        <v>62</v>
      </c>
      <c r="C39" s="117">
        <f t="shared" si="13"/>
        <v>230</v>
      </c>
      <c r="D39" s="118" t="s">
        <v>169</v>
      </c>
      <c r="E39" s="118">
        <v>0</v>
      </c>
      <c r="F39" s="118">
        <f t="shared" si="14"/>
        <v>0</v>
      </c>
      <c r="G39" s="119">
        <f t="shared" si="12"/>
        <v>0</v>
      </c>
      <c r="H39" s="120" t="s">
        <v>61</v>
      </c>
      <c r="I39" s="123"/>
      <c r="J39" s="121"/>
    </row>
    <row r="40" spans="1:13" ht="13.5" x14ac:dyDescent="0.25">
      <c r="A40" s="116">
        <f t="shared" si="11"/>
        <v>0</v>
      </c>
      <c r="B40" s="104" t="s">
        <v>92</v>
      </c>
      <c r="C40" s="117">
        <f>+A40</f>
        <v>0</v>
      </c>
      <c r="D40" s="118" t="s">
        <v>169</v>
      </c>
      <c r="E40" s="118">
        <f>+'Costo topping de manzana '!E76</f>
        <v>0</v>
      </c>
      <c r="F40" s="118">
        <f>IFERROR(E40*C40,"")</f>
        <v>0</v>
      </c>
      <c r="G40" s="119">
        <f t="shared" si="12"/>
        <v>0</v>
      </c>
      <c r="H40" s="120" t="s">
        <v>172</v>
      </c>
      <c r="I40" s="123"/>
      <c r="J40" s="121"/>
    </row>
    <row r="41" spans="1:13" ht="13.5" x14ac:dyDescent="0.25">
      <c r="A41" s="116">
        <f t="shared" si="11"/>
        <v>4</v>
      </c>
      <c r="B41" s="104" t="s">
        <v>100</v>
      </c>
      <c r="C41" s="117">
        <f>+A41</f>
        <v>4</v>
      </c>
      <c r="D41" s="118" t="s">
        <v>169</v>
      </c>
      <c r="E41" s="118">
        <v>0.02</v>
      </c>
      <c r="F41" s="118">
        <f>IFERROR(E41*C41,"")</f>
        <v>0.08</v>
      </c>
      <c r="G41" s="119">
        <f t="shared" si="12"/>
        <v>1.7585015475370478E-5</v>
      </c>
      <c r="H41" s="120" t="s">
        <v>99</v>
      </c>
      <c r="I41" s="123"/>
      <c r="J41" s="121"/>
    </row>
    <row r="42" spans="1:13" ht="13.5" x14ac:dyDescent="0.25">
      <c r="A42" s="116">
        <f t="shared" si="11"/>
        <v>0</v>
      </c>
      <c r="B42" s="122" t="str">
        <f>IFERROR(VLOOKUP(H42,[1]SEMIELABORADOS!$A$2:$M$6000,2,0),"")</f>
        <v/>
      </c>
      <c r="C42" s="117">
        <f t="shared" si="13"/>
        <v>0</v>
      </c>
      <c r="D42" s="118" t="str">
        <f>IFERROR(VLOOKUP(H42,[1]SEMIELABORADOS!$A$2:$M$6000,6,0),"")</f>
        <v/>
      </c>
      <c r="E42" s="118" t="str">
        <f>IFERROR(VLOOKUP(H42,[1]SEMIELABORADOS!$A$2:$M$65536,10,0),"")</f>
        <v/>
      </c>
      <c r="F42" s="118" t="str">
        <f t="shared" si="14"/>
        <v/>
      </c>
      <c r="G42" s="119" t="str">
        <f t="shared" si="12"/>
        <v/>
      </c>
      <c r="H42" s="123"/>
      <c r="I42" s="123"/>
      <c r="J42" s="121"/>
    </row>
    <row r="43" spans="1:13" ht="13.5" x14ac:dyDescent="0.25">
      <c r="A43" s="116">
        <f t="shared" si="11"/>
        <v>0</v>
      </c>
      <c r="B43" s="122" t="str">
        <f>IFERROR(VLOOKUP(H43,[1]SEMIELABORADOS!$A$2:$M$6000,2,0),"")</f>
        <v/>
      </c>
      <c r="C43" s="117">
        <f t="shared" si="13"/>
        <v>0</v>
      </c>
      <c r="D43" s="118" t="str">
        <f>IFERROR(VLOOKUP(H43,[1]SEMIELABORADOS!$A$2:$M$6000,6,0),"")</f>
        <v/>
      </c>
      <c r="E43" s="118" t="str">
        <f>IFERROR(VLOOKUP(H43,[1]SEMIELABORADOS!$A$2:$M$65536,10,0),"")</f>
        <v/>
      </c>
      <c r="F43" s="118" t="str">
        <f t="shared" si="14"/>
        <v/>
      </c>
      <c r="G43" s="119" t="str">
        <f t="shared" si="12"/>
        <v/>
      </c>
      <c r="H43" s="123"/>
      <c r="I43" s="123"/>
      <c r="J43" s="121"/>
    </row>
    <row r="44" spans="1:13" ht="14.25" thickBot="1" x14ac:dyDescent="0.3">
      <c r="A44" s="116"/>
      <c r="B44" s="122"/>
      <c r="C44" s="117"/>
      <c r="D44" s="118"/>
      <c r="E44" s="118"/>
      <c r="F44" s="118"/>
      <c r="G44" s="119"/>
      <c r="H44" s="123"/>
      <c r="I44" s="123"/>
      <c r="J44" s="121"/>
    </row>
    <row r="45" spans="1:13" ht="26.25" thickBot="1" x14ac:dyDescent="0.3">
      <c r="A45" s="111" t="s">
        <v>124</v>
      </c>
      <c r="B45" s="112" t="s">
        <v>133</v>
      </c>
      <c r="C45" s="112" t="s">
        <v>124</v>
      </c>
      <c r="D45" s="113" t="s">
        <v>126</v>
      </c>
      <c r="E45" s="113" t="s">
        <v>127</v>
      </c>
      <c r="F45" s="113" t="s">
        <v>128</v>
      </c>
      <c r="G45" s="113" t="s">
        <v>129</v>
      </c>
      <c r="H45" s="114" t="s">
        <v>130</v>
      </c>
      <c r="I45" s="115"/>
      <c r="J45" s="121"/>
    </row>
    <row r="46" spans="1:13" ht="13.5" x14ac:dyDescent="0.25">
      <c r="A46" s="116">
        <f>+A37</f>
        <v>1.5</v>
      </c>
      <c r="B46" s="122" t="s">
        <v>48</v>
      </c>
      <c r="C46" s="117">
        <f>+A46</f>
        <v>1.5</v>
      </c>
      <c r="D46" s="118" t="s">
        <v>171</v>
      </c>
      <c r="E46" s="118">
        <v>10.54</v>
      </c>
      <c r="F46" s="118">
        <f>IFERROR(E46*C46,"")</f>
        <v>15.809999999999999</v>
      </c>
      <c r="G46" s="119">
        <f>IFERROR(F46/$F$68,"")</f>
        <v>3.4752386833200905E-3</v>
      </c>
      <c r="H46" s="120" t="s">
        <v>47</v>
      </c>
      <c r="I46" s="115"/>
      <c r="J46" s="121"/>
    </row>
    <row r="47" spans="1:13" ht="13.5" x14ac:dyDescent="0.25">
      <c r="A47" s="116">
        <f t="shared" ref="A47:A52" si="15">+A38</f>
        <v>90</v>
      </c>
      <c r="B47" s="122" t="s">
        <v>51</v>
      </c>
      <c r="C47" s="117">
        <f t="shared" ref="C47:C52" si="16">+A47</f>
        <v>90</v>
      </c>
      <c r="D47" s="118" t="s">
        <v>169</v>
      </c>
      <c r="E47" s="118">
        <v>0.03</v>
      </c>
      <c r="F47" s="118">
        <f t="shared" ref="F47:F52" si="17">IFERROR(E47*C47,"")</f>
        <v>2.6999999999999997</v>
      </c>
      <c r="G47" s="119">
        <f t="shared" ref="G47:G52" si="18">IFERROR(F47/$F$68,"")</f>
        <v>5.9349427229375359E-4</v>
      </c>
      <c r="H47" s="120" t="s">
        <v>50</v>
      </c>
      <c r="I47" s="115"/>
      <c r="J47" s="121"/>
      <c r="M47" s="126"/>
    </row>
    <row r="48" spans="1:13" ht="13.5" x14ac:dyDescent="0.25">
      <c r="A48" s="116">
        <f t="shared" si="15"/>
        <v>230</v>
      </c>
      <c r="B48" s="122" t="s">
        <v>62</v>
      </c>
      <c r="C48" s="117">
        <f t="shared" si="16"/>
        <v>230</v>
      </c>
      <c r="D48" s="118" t="s">
        <v>169</v>
      </c>
      <c r="E48" s="118">
        <v>0.01</v>
      </c>
      <c r="F48" s="118">
        <f t="shared" si="17"/>
        <v>2.3000000000000003</v>
      </c>
      <c r="G48" s="119">
        <f t="shared" si="18"/>
        <v>5.0556919491690129E-4</v>
      </c>
      <c r="H48" s="120" t="s">
        <v>61</v>
      </c>
      <c r="I48" s="115"/>
      <c r="J48" s="121"/>
    </row>
    <row r="49" spans="1:17" ht="13.5" x14ac:dyDescent="0.25">
      <c r="A49" s="116">
        <f t="shared" si="15"/>
        <v>0</v>
      </c>
      <c r="B49" s="104" t="s">
        <v>92</v>
      </c>
      <c r="C49" s="117">
        <f t="shared" si="16"/>
        <v>0</v>
      </c>
      <c r="D49" s="118" t="s">
        <v>169</v>
      </c>
      <c r="E49" s="118">
        <f>+'Costo topping de manzana '!E74</f>
        <v>0.23100000000000001</v>
      </c>
      <c r="F49" s="118">
        <f t="shared" si="17"/>
        <v>0</v>
      </c>
      <c r="G49" s="119">
        <f t="shared" si="18"/>
        <v>0</v>
      </c>
      <c r="H49" s="120" t="s">
        <v>172</v>
      </c>
      <c r="I49" s="115"/>
      <c r="J49" s="121"/>
    </row>
    <row r="50" spans="1:17" ht="13.5" x14ac:dyDescent="0.25">
      <c r="A50" s="116">
        <f t="shared" si="15"/>
        <v>4</v>
      </c>
      <c r="B50" s="104" t="s">
        <v>100</v>
      </c>
      <c r="C50" s="117">
        <f t="shared" si="16"/>
        <v>4</v>
      </c>
      <c r="D50" s="118" t="s">
        <v>169</v>
      </c>
      <c r="E50" s="118">
        <v>0.03</v>
      </c>
      <c r="F50" s="118">
        <f t="shared" si="17"/>
        <v>0.12</v>
      </c>
      <c r="G50" s="119">
        <f t="shared" si="18"/>
        <v>2.6377523213055714E-5</v>
      </c>
      <c r="H50" s="120" t="s">
        <v>99</v>
      </c>
      <c r="I50" s="115"/>
      <c r="J50" s="121"/>
    </row>
    <row r="51" spans="1:17" ht="13.5" x14ac:dyDescent="0.25">
      <c r="A51" s="116">
        <f t="shared" si="15"/>
        <v>0</v>
      </c>
      <c r="B51" s="122" t="str">
        <f>IFERROR(VLOOKUP(H51,[1]SEMIELABORADOS!$A$2:$M$6000,2,0),"")</f>
        <v/>
      </c>
      <c r="C51" s="117">
        <f t="shared" si="16"/>
        <v>0</v>
      </c>
      <c r="D51" s="118" t="str">
        <f>IFERROR(VLOOKUP(H51,[1]SEMIELABORADOS!$A$2:$M$6000,6,0),"")</f>
        <v/>
      </c>
      <c r="E51" s="118" t="str">
        <f>IFERROR(VLOOKUP(H51,[1]SEMIELABORADOS!$A$2:$M$65536,12,0),"")</f>
        <v/>
      </c>
      <c r="F51" s="118" t="str">
        <f t="shared" si="17"/>
        <v/>
      </c>
      <c r="G51" s="119" t="str">
        <f t="shared" si="18"/>
        <v/>
      </c>
      <c r="H51" s="123"/>
      <c r="I51" s="115"/>
      <c r="J51" s="121"/>
    </row>
    <row r="52" spans="1:17" ht="13.5" x14ac:dyDescent="0.25">
      <c r="A52" s="116">
        <f t="shared" si="15"/>
        <v>0</v>
      </c>
      <c r="B52" s="122" t="str">
        <f>IFERROR(VLOOKUP(H52,[1]SEMIELABORADOS!$A$2:$M$6000,2,0),"")</f>
        <v/>
      </c>
      <c r="C52" s="117">
        <f t="shared" si="16"/>
        <v>0</v>
      </c>
      <c r="D52" s="118" t="str">
        <f>IFERROR(VLOOKUP(H52,[1]SEMIELABORADOS!$A$2:$M$6000,6,0),"")</f>
        <v/>
      </c>
      <c r="E52" s="118" t="str">
        <f>IFERROR(VLOOKUP(H52,[1]SEMIELABORADOS!$A$2:$M$65536,12,0),"")</f>
        <v/>
      </c>
      <c r="F52" s="118" t="str">
        <f t="shared" si="17"/>
        <v/>
      </c>
      <c r="G52" s="119" t="str">
        <f t="shared" si="18"/>
        <v/>
      </c>
      <c r="H52" s="122"/>
      <c r="I52" s="115"/>
      <c r="J52" s="121"/>
    </row>
    <row r="53" spans="1:17" ht="13.5" x14ac:dyDescent="0.25">
      <c r="A53" s="116">
        <v>1</v>
      </c>
      <c r="B53" s="122" t="s">
        <v>134</v>
      </c>
      <c r="C53" s="117">
        <f>+A53</f>
        <v>1</v>
      </c>
      <c r="D53" s="117" t="s">
        <v>135</v>
      </c>
      <c r="E53" s="118">
        <f>+F67</f>
        <v>385</v>
      </c>
      <c r="F53" s="118">
        <f>IFERROR(C53*E53,"")</f>
        <v>385</v>
      </c>
      <c r="G53" s="119">
        <f>IFERROR(F53/$F$68,"")</f>
        <v>8.4627886975220418E-2</v>
      </c>
      <c r="H53" s="127"/>
      <c r="I53" s="127"/>
      <c r="J53" s="121"/>
    </row>
    <row r="54" spans="1:17" ht="14.25" thickBot="1" x14ac:dyDescent="0.3">
      <c r="A54" s="116"/>
      <c r="B54" s="122"/>
      <c r="C54" s="117"/>
      <c r="D54" s="117"/>
      <c r="E54" s="118"/>
      <c r="F54" s="118"/>
      <c r="G54" s="119"/>
      <c r="H54" s="127"/>
      <c r="I54" s="127"/>
      <c r="J54" s="121"/>
    </row>
    <row r="55" spans="1:17" ht="13.5" thickBot="1" x14ac:dyDescent="0.3">
      <c r="A55" s="128"/>
      <c r="B55" s="718" t="s">
        <v>136</v>
      </c>
      <c r="C55" s="718"/>
      <c r="D55" s="718"/>
      <c r="E55" s="718"/>
      <c r="F55" s="130">
        <f>SUM(F8:F14,F17:F24)</f>
        <v>3092.1239999999998</v>
      </c>
      <c r="G55" s="119">
        <f>+F55/$F$68</f>
        <v>0.67968810489705578</v>
      </c>
      <c r="H55" s="131">
        <f>+F55/$D$62</f>
        <v>3092.1239999999998</v>
      </c>
      <c r="I55" s="131"/>
      <c r="J55" s="132"/>
      <c r="K55" s="133"/>
      <c r="L55" s="133"/>
      <c r="M55" s="133"/>
      <c r="N55" s="133"/>
      <c r="O55" s="133"/>
      <c r="P55" s="133"/>
      <c r="Q55" s="134"/>
    </row>
    <row r="56" spans="1:17" x14ac:dyDescent="0.2">
      <c r="A56" s="128"/>
      <c r="B56" s="718" t="s">
        <v>137</v>
      </c>
      <c r="C56" s="718"/>
      <c r="D56" s="718"/>
      <c r="E56" s="718"/>
      <c r="F56" s="130">
        <f>SUM(F27:F34,F37:F43)</f>
        <v>1010.3613333333334</v>
      </c>
      <c r="G56" s="119">
        <f>+F56/$F$68</f>
        <v>0.22209024602978272</v>
      </c>
      <c r="H56" s="131">
        <f>+F56/$D$62</f>
        <v>1010.3613333333334</v>
      </c>
      <c r="I56" s="131"/>
      <c r="J56" s="135"/>
      <c r="K56" s="730" t="s">
        <v>138</v>
      </c>
      <c r="L56" s="731"/>
      <c r="M56" s="731"/>
      <c r="N56" s="731"/>
      <c r="O56" s="136">
        <f>+F57</f>
        <v>4102.4853333333331</v>
      </c>
      <c r="P56" s="136"/>
      <c r="Q56" s="137"/>
    </row>
    <row r="57" spans="1:17" x14ac:dyDescent="0.2">
      <c r="A57" s="128"/>
      <c r="B57" s="718" t="s">
        <v>139</v>
      </c>
      <c r="C57" s="718"/>
      <c r="D57" s="718"/>
      <c r="E57" s="718"/>
      <c r="F57" s="130">
        <f>+F55+F56</f>
        <v>4102.4853333333331</v>
      </c>
      <c r="G57" s="119">
        <f>+F57/$F$68</f>
        <v>0.90177835092683845</v>
      </c>
      <c r="H57" s="131">
        <f>+F57/$D$62</f>
        <v>4102.4853333333331</v>
      </c>
      <c r="I57" s="131"/>
      <c r="J57" s="138"/>
      <c r="K57" s="139"/>
      <c r="M57" s="140" t="s">
        <v>140</v>
      </c>
      <c r="N57" s="141"/>
      <c r="O57" s="136">
        <f>+H58</f>
        <v>405.93</v>
      </c>
      <c r="P57" s="136"/>
      <c r="Q57" s="137"/>
    </row>
    <row r="58" spans="1:17" ht="13.5" thickBot="1" x14ac:dyDescent="0.25">
      <c r="A58" s="128"/>
      <c r="B58" s="129"/>
      <c r="C58" s="718" t="s">
        <v>141</v>
      </c>
      <c r="D58" s="718"/>
      <c r="E58" s="718"/>
      <c r="F58" s="130">
        <f>SUM(F46:F53)</f>
        <v>405.93</v>
      </c>
      <c r="G58" s="119">
        <f>+F58/$F$68</f>
        <v>8.9228566648964225E-2</v>
      </c>
      <c r="H58" s="131">
        <f>+F58/$D$62</f>
        <v>405.93</v>
      </c>
      <c r="I58" s="131"/>
      <c r="J58" s="138"/>
      <c r="K58" s="139"/>
      <c r="L58" s="139"/>
      <c r="M58" s="139" t="s">
        <v>142</v>
      </c>
      <c r="N58" s="142"/>
      <c r="O58" s="136">
        <f>O56*N58</f>
        <v>0</v>
      </c>
      <c r="P58" s="136"/>
      <c r="Q58" s="137"/>
    </row>
    <row r="59" spans="1:17" ht="13.5" thickBot="1" x14ac:dyDescent="0.25">
      <c r="A59" s="128"/>
      <c r="B59" s="143"/>
      <c r="C59" s="143"/>
      <c r="D59" s="143"/>
      <c r="E59" s="143"/>
      <c r="F59" s="144"/>
      <c r="G59" s="119"/>
      <c r="H59" s="145"/>
      <c r="I59" s="131"/>
      <c r="J59" s="138"/>
      <c r="K59" s="146"/>
      <c r="M59" s="147" t="s">
        <v>143</v>
      </c>
      <c r="N59" s="148"/>
      <c r="O59" s="149">
        <f>SUM(O56:O58)</f>
        <v>4508.4153333333334</v>
      </c>
      <c r="P59" s="150"/>
      <c r="Q59" s="137"/>
    </row>
    <row r="60" spans="1:17" x14ac:dyDescent="0.2">
      <c r="B60" s="719" t="s">
        <v>144</v>
      </c>
      <c r="C60" s="719"/>
      <c r="D60" s="151">
        <v>1693</v>
      </c>
      <c r="E60" s="152"/>
      <c r="G60" s="119"/>
      <c r="H60" s="145">
        <f>+H58/77</f>
        <v>5.2718181818181815</v>
      </c>
      <c r="I60" s="153"/>
      <c r="J60" s="138"/>
      <c r="K60" s="146"/>
      <c r="L60" s="139"/>
      <c r="M60" s="139" t="s">
        <v>145</v>
      </c>
      <c r="N60" s="154"/>
      <c r="O60" s="136">
        <f>+H61</f>
        <v>337.39636363636362</v>
      </c>
      <c r="P60" s="136"/>
      <c r="Q60" s="137"/>
    </row>
    <row r="61" spans="1:17" x14ac:dyDescent="0.2">
      <c r="B61" s="719" t="s">
        <v>146</v>
      </c>
      <c r="C61" s="719"/>
      <c r="D61" s="155">
        <v>1693</v>
      </c>
      <c r="E61" s="152"/>
      <c r="G61" s="119"/>
      <c r="H61" s="145">
        <f>+H60*64</f>
        <v>337.39636363636362</v>
      </c>
      <c r="I61" s="153"/>
      <c r="J61" s="138"/>
      <c r="K61" s="146"/>
      <c r="L61" s="139"/>
      <c r="M61" s="720" t="s">
        <v>143</v>
      </c>
      <c r="N61" s="720"/>
      <c r="O61" s="136">
        <f>SUM(O59:O60)</f>
        <v>4845.8116969696966</v>
      </c>
      <c r="P61" s="136"/>
      <c r="Q61" s="137"/>
    </row>
    <row r="62" spans="1:17" ht="13.5" thickBot="1" x14ac:dyDescent="0.25">
      <c r="B62" s="721" t="s">
        <v>147</v>
      </c>
      <c r="C62" s="721"/>
      <c r="D62" s="151">
        <f>+D60/D61</f>
        <v>1</v>
      </c>
      <c r="E62" s="152"/>
      <c r="F62" s="156"/>
      <c r="G62" s="119"/>
      <c r="H62" s="145"/>
      <c r="I62" s="153"/>
      <c r="J62" s="138"/>
      <c r="K62" s="146"/>
      <c r="L62" s="720"/>
      <c r="M62" s="720"/>
      <c r="N62" s="154"/>
      <c r="O62" s="136">
        <f>+O61*N62</f>
        <v>0</v>
      </c>
      <c r="P62" s="136"/>
      <c r="Q62" s="137"/>
    </row>
    <row r="63" spans="1:17" ht="13.5" thickBot="1" x14ac:dyDescent="0.25">
      <c r="B63" s="721" t="s">
        <v>148</v>
      </c>
      <c r="C63" s="721"/>
      <c r="D63" s="157"/>
      <c r="E63" s="152"/>
      <c r="F63" s="156"/>
      <c r="G63" s="119"/>
      <c r="H63" s="145"/>
      <c r="I63" s="153"/>
      <c r="J63" s="138"/>
      <c r="K63" s="722" t="s">
        <v>149</v>
      </c>
      <c r="L63" s="723"/>
      <c r="M63" s="723"/>
      <c r="N63" s="724"/>
      <c r="O63" s="149">
        <f>SUM(O61:O62)</f>
        <v>4845.8116969696966</v>
      </c>
      <c r="P63" s="158" t="s">
        <v>150</v>
      </c>
      <c r="Q63" s="137"/>
    </row>
    <row r="64" spans="1:17" ht="13.5" thickBot="1" x14ac:dyDescent="0.25">
      <c r="C64" s="128" t="s">
        <v>151</v>
      </c>
      <c r="D64" s="159"/>
      <c r="E64" s="102" t="s">
        <v>152</v>
      </c>
      <c r="F64" s="160" t="s">
        <v>153</v>
      </c>
      <c r="G64" s="119"/>
      <c r="H64" s="145"/>
      <c r="I64" s="153"/>
      <c r="J64" s="161"/>
      <c r="K64" s="162"/>
      <c r="L64" s="725" t="s">
        <v>154</v>
      </c>
      <c r="M64" s="725"/>
      <c r="N64" s="725"/>
      <c r="O64" s="163">
        <f>+O63/D62</f>
        <v>4845.8116969696966</v>
      </c>
      <c r="P64" s="164">
        <f>+O64/D61</f>
        <v>2.8622632586944459</v>
      </c>
      <c r="Q64" s="165"/>
    </row>
    <row r="65" spans="2:16" ht="13.5" thickBot="1" x14ac:dyDescent="0.25">
      <c r="B65" s="726" t="s">
        <v>139</v>
      </c>
      <c r="C65" s="726"/>
      <c r="D65" s="726"/>
      <c r="E65" s="166">
        <f>+F65/F65</f>
        <v>1</v>
      </c>
      <c r="F65" s="167">
        <f>SUM(F57)</f>
        <v>4102.4853333333331</v>
      </c>
      <c r="G65" s="119">
        <f>+F65/$F$68</f>
        <v>0.90177835092683845</v>
      </c>
      <c r="H65" s="145"/>
      <c r="I65" s="153"/>
      <c r="K65" s="727"/>
      <c r="L65" s="728"/>
      <c r="M65" s="728"/>
      <c r="N65" s="728"/>
      <c r="O65" s="168"/>
      <c r="P65" s="169"/>
    </row>
    <row r="66" spans="2:16" ht="13.5" thickBot="1" x14ac:dyDescent="0.3">
      <c r="B66" s="717" t="s">
        <v>155</v>
      </c>
      <c r="C66" s="717"/>
      <c r="D66" s="717"/>
      <c r="E66" s="170">
        <v>0.02</v>
      </c>
      <c r="F66" s="167">
        <f>+F55*E66</f>
        <v>61.842479999999995</v>
      </c>
      <c r="G66" s="119">
        <f>+F66/$F$68</f>
        <v>1.3593762097941114E-2</v>
      </c>
      <c r="H66" s="131"/>
      <c r="I66" s="153"/>
      <c r="J66" s="171"/>
      <c r="O66" s="172"/>
      <c r="P66" s="129"/>
    </row>
    <row r="67" spans="2:16" ht="13.5" thickBot="1" x14ac:dyDescent="0.3">
      <c r="B67" s="707" t="s">
        <v>156</v>
      </c>
      <c r="C67" s="708"/>
      <c r="D67" s="173">
        <v>5</v>
      </c>
      <c r="E67" s="174">
        <v>77</v>
      </c>
      <c r="F67" s="167">
        <f>+E67*D67</f>
        <v>385</v>
      </c>
      <c r="G67" s="119">
        <f>+F67/$F$68</f>
        <v>8.4627886975220418E-2</v>
      </c>
      <c r="H67" s="131"/>
      <c r="I67" s="131"/>
      <c r="J67" s="121"/>
    </row>
    <row r="68" spans="2:16" ht="13.5" thickBot="1" x14ac:dyDescent="0.3">
      <c r="B68" s="709" t="s">
        <v>157</v>
      </c>
      <c r="C68" s="710"/>
      <c r="D68" s="710"/>
      <c r="E68" s="711"/>
      <c r="F68" s="144">
        <f>SUM(F65:F67)</f>
        <v>4549.3278133333333</v>
      </c>
      <c r="G68" s="119">
        <f>+F68/$F$68</f>
        <v>1</v>
      </c>
      <c r="H68" s="712"/>
      <c r="I68" s="131"/>
      <c r="J68" s="121"/>
      <c r="M68" s="104" t="s">
        <v>158</v>
      </c>
    </row>
    <row r="69" spans="2:16" x14ac:dyDescent="0.25">
      <c r="C69" s="126"/>
      <c r="D69" s="126"/>
      <c r="E69" s="176"/>
      <c r="F69" s="167"/>
      <c r="G69" s="119"/>
      <c r="H69" s="712"/>
      <c r="I69" s="175"/>
      <c r="J69" s="104"/>
      <c r="M69" s="104" t="s">
        <v>159</v>
      </c>
    </row>
    <row r="70" spans="2:16" ht="13.5" thickBot="1" x14ac:dyDescent="0.3">
      <c r="B70" s="713" t="s">
        <v>160</v>
      </c>
      <c r="C70" s="713"/>
      <c r="D70" s="713"/>
      <c r="E70" s="713"/>
      <c r="F70" s="713"/>
      <c r="G70" s="119"/>
      <c r="H70" s="178"/>
      <c r="I70" s="175"/>
      <c r="J70" s="104"/>
      <c r="M70" s="104" t="s">
        <v>161</v>
      </c>
    </row>
    <row r="71" spans="2:16" ht="13.5" thickBot="1" x14ac:dyDescent="0.3">
      <c r="B71" s="179" t="s">
        <v>162</v>
      </c>
      <c r="C71" s="180">
        <f>+F55</f>
        <v>3092.1239999999998</v>
      </c>
      <c r="D71" s="180">
        <f>+D60</f>
        <v>1693</v>
      </c>
      <c r="E71" s="181">
        <f>+C71/D71</f>
        <v>1.8264170112226814</v>
      </c>
      <c r="F71" s="119"/>
      <c r="G71" s="178"/>
      <c r="H71" s="121"/>
      <c r="I71" s="178"/>
      <c r="J71" s="104"/>
    </row>
    <row r="72" spans="2:16" x14ac:dyDescent="0.25">
      <c r="B72" s="182"/>
      <c r="C72" s="183"/>
      <c r="D72" s="184"/>
      <c r="E72" s="167"/>
      <c r="F72" s="119"/>
      <c r="G72" s="178"/>
      <c r="H72" s="121"/>
      <c r="I72" s="121"/>
      <c r="J72" s="104"/>
    </row>
    <row r="73" spans="2:16" x14ac:dyDescent="0.25">
      <c r="B73" s="179" t="s">
        <v>163</v>
      </c>
      <c r="C73" s="180">
        <f>SUM(F65:F66)</f>
        <v>4164.3278133333333</v>
      </c>
      <c r="D73" s="180">
        <f>+D60</f>
        <v>1693</v>
      </c>
      <c r="E73" s="185">
        <f>+C73/D73</f>
        <v>2.4597329080527661</v>
      </c>
      <c r="F73" s="119"/>
      <c r="G73" s="178"/>
      <c r="H73" s="121"/>
      <c r="I73" s="121"/>
      <c r="J73" s="104"/>
    </row>
    <row r="74" spans="2:16" x14ac:dyDescent="0.25">
      <c r="B74" s="179"/>
      <c r="C74" s="180"/>
      <c r="D74" s="180"/>
      <c r="E74" s="185"/>
      <c r="F74" s="119"/>
      <c r="G74" s="178"/>
      <c r="H74" s="121"/>
      <c r="I74" s="121"/>
      <c r="J74" s="104"/>
    </row>
    <row r="75" spans="2:16" ht="13.5" thickBot="1" x14ac:dyDescent="0.3">
      <c r="B75" s="179" t="s">
        <v>164</v>
      </c>
      <c r="C75" s="180">
        <f>+F67</f>
        <v>385</v>
      </c>
      <c r="D75" s="180">
        <f>+D60</f>
        <v>1693</v>
      </c>
      <c r="E75" s="185">
        <f>+C75/D75</f>
        <v>0.22740696987595985</v>
      </c>
      <c r="F75" s="119"/>
      <c r="G75" s="178"/>
      <c r="H75" s="121"/>
      <c r="I75" s="121"/>
      <c r="J75" s="104"/>
    </row>
    <row r="76" spans="2:16" ht="13.5" thickBot="1" x14ac:dyDescent="0.3">
      <c r="B76" s="179" t="s">
        <v>165</v>
      </c>
      <c r="C76" s="180">
        <f>+F58</f>
        <v>405.93</v>
      </c>
      <c r="D76" s="180">
        <f>+D75</f>
        <v>1693</v>
      </c>
      <c r="E76" s="181">
        <f>+C76/D76</f>
        <v>0.23976963969285292</v>
      </c>
      <c r="F76" s="119"/>
      <c r="G76" s="178"/>
      <c r="H76" s="121"/>
      <c r="I76" s="121"/>
      <c r="J76" s="104"/>
    </row>
    <row r="77" spans="2:16" ht="13.5" thickBot="1" x14ac:dyDescent="0.3">
      <c r="B77" s="143"/>
      <c r="C77" s="144"/>
      <c r="D77" s="144"/>
      <c r="E77" s="185"/>
      <c r="F77" s="119"/>
      <c r="G77" s="178"/>
      <c r="H77" s="121"/>
      <c r="I77" s="121"/>
      <c r="J77" s="104"/>
    </row>
    <row r="78" spans="2:16" ht="13.5" thickBot="1" x14ac:dyDescent="0.3">
      <c r="B78" s="179" t="s">
        <v>166</v>
      </c>
      <c r="C78" s="180">
        <f>+F56</f>
        <v>1010.3613333333334</v>
      </c>
      <c r="D78" s="180">
        <f>+D76</f>
        <v>1693</v>
      </c>
      <c r="E78" s="181">
        <f>+C78/D78</f>
        <v>0.5967875566056311</v>
      </c>
      <c r="F78" s="119"/>
      <c r="G78" s="178"/>
      <c r="H78" s="121"/>
      <c r="I78" s="121"/>
      <c r="J78" s="121"/>
    </row>
    <row r="79" spans="2:16" ht="13.5" thickBot="1" x14ac:dyDescent="0.3">
      <c r="B79" s="143"/>
      <c r="C79" s="144"/>
      <c r="D79" s="144"/>
      <c r="E79" s="185"/>
      <c r="F79" s="119"/>
      <c r="G79" s="178"/>
      <c r="H79" s="121"/>
      <c r="I79" s="121"/>
    </row>
    <row r="80" spans="2:16" ht="13.5" thickBot="1" x14ac:dyDescent="0.3">
      <c r="B80" s="714" t="s">
        <v>167</v>
      </c>
      <c r="C80" s="715"/>
      <c r="D80" s="716"/>
      <c r="E80" s="181">
        <f>+E71+E76</f>
        <v>2.0661866509155344</v>
      </c>
      <c r="G80" s="119"/>
      <c r="H80" s="178"/>
      <c r="I80" s="121"/>
      <c r="J80" s="185"/>
    </row>
    <row r="81" spans="1:10" x14ac:dyDescent="0.25">
      <c r="I81" s="178"/>
      <c r="J81" s="104"/>
    </row>
    <row r="82" spans="1:10" ht="13.5" thickBot="1" x14ac:dyDescent="0.3">
      <c r="B82" s="713" t="s">
        <v>168</v>
      </c>
      <c r="C82" s="713"/>
      <c r="D82" s="713"/>
      <c r="E82" s="713"/>
      <c r="F82" s="713"/>
      <c r="G82" s="119"/>
      <c r="H82" s="178"/>
      <c r="J82" s="104"/>
    </row>
    <row r="83" spans="1:10" ht="13.5" thickBot="1" x14ac:dyDescent="0.3">
      <c r="B83" s="179" t="s">
        <v>162</v>
      </c>
      <c r="C83" s="180">
        <f>+C71</f>
        <v>3092.1239999999998</v>
      </c>
      <c r="D83" s="180">
        <f>+D62</f>
        <v>1</v>
      </c>
      <c r="E83" s="181">
        <f>+C83/D83</f>
        <v>3092.1239999999998</v>
      </c>
      <c r="F83" s="119"/>
      <c r="G83" s="178"/>
      <c r="H83" s="121"/>
      <c r="I83" s="178"/>
      <c r="J83" s="104"/>
    </row>
    <row r="84" spans="1:10" x14ac:dyDescent="0.25">
      <c r="B84" s="182"/>
      <c r="C84" s="183"/>
      <c r="D84" s="184"/>
      <c r="E84" s="167"/>
      <c r="F84" s="119"/>
      <c r="G84" s="178"/>
      <c r="H84" s="121"/>
      <c r="I84" s="121"/>
      <c r="J84" s="104"/>
    </row>
    <row r="85" spans="1:10" x14ac:dyDescent="0.25">
      <c r="B85" s="179" t="s">
        <v>163</v>
      </c>
      <c r="C85" s="180">
        <f>+C73</f>
        <v>4164.3278133333333</v>
      </c>
      <c r="D85" s="180">
        <f>+D62</f>
        <v>1</v>
      </c>
      <c r="E85" s="185">
        <f>+C85/D85</f>
        <v>4164.3278133333333</v>
      </c>
      <c r="F85" s="119"/>
      <c r="G85" s="178"/>
      <c r="H85" s="121"/>
      <c r="I85" s="121"/>
      <c r="J85" s="104"/>
    </row>
    <row r="86" spans="1:10" x14ac:dyDescent="0.25">
      <c r="B86" s="179"/>
      <c r="C86" s="180"/>
      <c r="D86" s="180"/>
      <c r="E86" s="185"/>
      <c r="F86" s="119"/>
      <c r="G86" s="178"/>
      <c r="H86" s="121"/>
      <c r="I86" s="121"/>
      <c r="J86" s="104"/>
    </row>
    <row r="87" spans="1:10" ht="13.5" thickBot="1" x14ac:dyDescent="0.3">
      <c r="B87" s="179" t="s">
        <v>165</v>
      </c>
      <c r="C87" s="180">
        <f>+C75</f>
        <v>385</v>
      </c>
      <c r="D87" s="180">
        <f>+D62</f>
        <v>1</v>
      </c>
      <c r="E87" s="185">
        <f>+C87/D87</f>
        <v>385</v>
      </c>
      <c r="F87" s="187"/>
      <c r="G87" s="177"/>
      <c r="H87" s="103"/>
      <c r="I87" s="121"/>
    </row>
    <row r="88" spans="1:10" ht="13.5" thickBot="1" x14ac:dyDescent="0.3">
      <c r="B88" s="179" t="s">
        <v>165</v>
      </c>
      <c r="C88" s="180">
        <f>+C76</f>
        <v>405.93</v>
      </c>
      <c r="D88" s="180">
        <f>+D87</f>
        <v>1</v>
      </c>
      <c r="E88" s="181">
        <f>+C88/D88</f>
        <v>405.93</v>
      </c>
      <c r="F88" s="186"/>
      <c r="G88" s="177"/>
      <c r="H88" s="103"/>
      <c r="I88" s="103"/>
    </row>
    <row r="89" spans="1:10" x14ac:dyDescent="0.25">
      <c r="I89" s="103"/>
    </row>
    <row r="90" spans="1:10" x14ac:dyDescent="0.2">
      <c r="A90" s="706"/>
      <c r="B90" s="706"/>
      <c r="C90" s="188"/>
      <c r="D90" s="188"/>
      <c r="E90" s="189"/>
      <c r="G90" s="190"/>
    </row>
    <row r="91" spans="1:10" x14ac:dyDescent="0.2">
      <c r="A91" s="122"/>
      <c r="B91" s="191"/>
      <c r="C91" s="192"/>
      <c r="D91" s="192"/>
      <c r="E91" s="193"/>
      <c r="G91" s="190"/>
    </row>
    <row r="92" spans="1:10" x14ac:dyDescent="0.2">
      <c r="A92" s="122"/>
      <c r="B92" s="191"/>
      <c r="C92" s="194"/>
      <c r="D92" s="194"/>
      <c r="E92" s="122"/>
      <c r="G92" s="190"/>
    </row>
    <row r="93" spans="1:10" x14ac:dyDescent="0.2">
      <c r="A93" s="122"/>
      <c r="B93" s="191"/>
      <c r="C93" s="195"/>
      <c r="D93" s="195"/>
      <c r="E93" s="122"/>
      <c r="G93" s="190"/>
    </row>
  </sheetData>
  <mergeCells count="29">
    <mergeCell ref="A4:H4"/>
    <mergeCell ref="A5:H5"/>
    <mergeCell ref="F6:G6"/>
    <mergeCell ref="K27:L27"/>
    <mergeCell ref="K28:L28"/>
    <mergeCell ref="K32:L32"/>
    <mergeCell ref="B55:E55"/>
    <mergeCell ref="B56:E56"/>
    <mergeCell ref="K56:N56"/>
    <mergeCell ref="B57:E57"/>
    <mergeCell ref="B66:D66"/>
    <mergeCell ref="C58:E58"/>
    <mergeCell ref="B60:C60"/>
    <mergeCell ref="B61:C61"/>
    <mergeCell ref="M61:N61"/>
    <mergeCell ref="B62:C62"/>
    <mergeCell ref="L62:M62"/>
    <mergeCell ref="B63:C63"/>
    <mergeCell ref="K63:N63"/>
    <mergeCell ref="L64:N64"/>
    <mergeCell ref="B65:D65"/>
    <mergeCell ref="K65:N65"/>
    <mergeCell ref="A90:B90"/>
    <mergeCell ref="B67:C67"/>
    <mergeCell ref="B68:E68"/>
    <mergeCell ref="H68:H69"/>
    <mergeCell ref="B70:F70"/>
    <mergeCell ref="B80:D80"/>
    <mergeCell ref="B82:F8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4DE9-BEC4-41EF-9348-234B5EFB4012}">
  <dimension ref="A1:L57"/>
  <sheetViews>
    <sheetView zoomScale="85" zoomScaleNormal="85" workbookViewId="0">
      <selection activeCell="D22" sqref="D2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2" ht="15.75" x14ac:dyDescent="0.25">
      <c r="A1" s="746"/>
      <c r="B1" s="747"/>
      <c r="C1" s="643" t="s">
        <v>35</v>
      </c>
      <c r="D1" s="643"/>
      <c r="E1" s="643"/>
      <c r="F1" s="643"/>
      <c r="G1" s="643"/>
      <c r="H1" s="197" t="s">
        <v>34</v>
      </c>
      <c r="I1" s="198" t="s">
        <v>178</v>
      </c>
    </row>
    <row r="2" spans="1:12" ht="16.5" thickBot="1" x14ac:dyDescent="0.3">
      <c r="A2" s="748"/>
      <c r="B2" s="749"/>
      <c r="C2" s="752" t="s">
        <v>33</v>
      </c>
      <c r="D2" s="753"/>
      <c r="E2" s="753"/>
      <c r="F2" s="753"/>
      <c r="G2" s="754"/>
      <c r="H2" s="201" t="s">
        <v>32</v>
      </c>
      <c r="I2" s="202" t="s">
        <v>179</v>
      </c>
    </row>
    <row r="3" spans="1:12" ht="18.75" thickBot="1" x14ac:dyDescent="0.3">
      <c r="A3" s="748"/>
      <c r="B3" s="749"/>
      <c r="C3" s="755" t="s">
        <v>180</v>
      </c>
      <c r="D3" s="756"/>
      <c r="E3" s="756"/>
      <c r="F3" s="756"/>
      <c r="G3" s="757"/>
      <c r="H3" s="758" t="s">
        <v>31</v>
      </c>
      <c r="I3" s="737">
        <v>45618</v>
      </c>
    </row>
    <row r="4" spans="1:12" x14ac:dyDescent="0.25">
      <c r="A4" s="748"/>
      <c r="B4" s="749"/>
      <c r="C4" s="203" t="s">
        <v>30</v>
      </c>
      <c r="D4" s="740" t="s">
        <v>181</v>
      </c>
      <c r="E4" s="741"/>
      <c r="F4" s="741"/>
      <c r="G4" s="742"/>
      <c r="H4" s="759"/>
      <c r="I4" s="738"/>
    </row>
    <row r="5" spans="1:12" ht="15.75" thickBot="1" x14ac:dyDescent="0.3">
      <c r="A5" s="750"/>
      <c r="B5" s="751"/>
      <c r="C5" s="204" t="s">
        <v>29</v>
      </c>
      <c r="D5" s="743" t="s">
        <v>28</v>
      </c>
      <c r="E5" s="744"/>
      <c r="F5" s="744"/>
      <c r="G5" s="745"/>
      <c r="H5" s="760"/>
      <c r="I5" s="739"/>
    </row>
    <row r="6" spans="1:12" ht="18.75" thickBot="1" x14ac:dyDescent="0.3">
      <c r="A6" s="761" t="s">
        <v>27</v>
      </c>
      <c r="B6" s="761"/>
      <c r="C6" s="761"/>
      <c r="D6" s="762" t="s">
        <v>182</v>
      </c>
      <c r="E6" s="762"/>
      <c r="F6" s="762"/>
      <c r="G6" s="763" t="s">
        <v>26</v>
      </c>
      <c r="H6" s="763"/>
      <c r="I6" s="205" t="s">
        <v>182</v>
      </c>
    </row>
    <row r="7" spans="1:12" x14ac:dyDescent="0.25">
      <c r="A7" s="764" t="s">
        <v>25</v>
      </c>
      <c r="B7" s="766" t="s">
        <v>42</v>
      </c>
      <c r="C7" s="768" t="s">
        <v>24</v>
      </c>
      <c r="D7" s="768" t="s">
        <v>23</v>
      </c>
      <c r="E7" s="768" t="s">
        <v>22</v>
      </c>
      <c r="F7" s="768"/>
      <c r="G7" s="768" t="s">
        <v>21</v>
      </c>
      <c r="H7" s="768"/>
      <c r="I7" s="206" t="s">
        <v>20</v>
      </c>
    </row>
    <row r="8" spans="1:12" ht="27" thickBot="1" x14ac:dyDescent="0.3">
      <c r="A8" s="765"/>
      <c r="B8" s="767"/>
      <c r="C8" s="769"/>
      <c r="D8" s="769"/>
      <c r="E8" s="207" t="s">
        <v>14</v>
      </c>
      <c r="F8" s="208" t="s">
        <v>19</v>
      </c>
      <c r="G8" s="207" t="s">
        <v>14</v>
      </c>
      <c r="H8" s="208" t="s">
        <v>19</v>
      </c>
      <c r="I8" s="209" t="s">
        <v>18</v>
      </c>
    </row>
    <row r="9" spans="1:12" x14ac:dyDescent="0.25">
      <c r="A9" s="210"/>
      <c r="B9" s="211"/>
      <c r="C9" s="212" t="s">
        <v>43</v>
      </c>
      <c r="D9" s="213"/>
      <c r="E9" s="88"/>
      <c r="F9" s="89"/>
      <c r="G9" s="88"/>
      <c r="H9" s="89"/>
      <c r="I9" s="214"/>
    </row>
    <row r="10" spans="1:12" x14ac:dyDescent="0.25">
      <c r="A10" s="215" t="s">
        <v>183</v>
      </c>
      <c r="B10" s="2" t="s">
        <v>184</v>
      </c>
      <c r="C10" s="1" t="s">
        <v>185</v>
      </c>
      <c r="D10" s="216" t="s">
        <v>17</v>
      </c>
      <c r="E10" s="217">
        <v>46000</v>
      </c>
      <c r="F10" s="218" t="s">
        <v>1</v>
      </c>
      <c r="G10" s="219"/>
      <c r="H10" s="220"/>
      <c r="I10" s="214"/>
      <c r="K10">
        <f>+E10/D41</f>
        <v>313.4065934065934</v>
      </c>
      <c r="L10">
        <f>+K10/1000</f>
        <v>0.31340659340659338</v>
      </c>
    </row>
    <row r="11" spans="1:12" x14ac:dyDescent="0.25">
      <c r="A11" s="216">
        <v>902000019</v>
      </c>
      <c r="B11" s="216"/>
      <c r="C11" s="221" t="s">
        <v>186</v>
      </c>
      <c r="D11" s="216" t="s">
        <v>17</v>
      </c>
      <c r="E11" s="217">
        <v>2600</v>
      </c>
      <c r="F11" s="218" t="s">
        <v>1</v>
      </c>
      <c r="G11" s="219"/>
      <c r="H11" s="220"/>
      <c r="I11" s="214"/>
      <c r="K11">
        <f>+E11/D41</f>
        <v>17.714285714285712</v>
      </c>
    </row>
    <row r="12" spans="1:12" x14ac:dyDescent="0.25">
      <c r="A12" s="216"/>
      <c r="B12" s="216"/>
      <c r="C12" s="221"/>
      <c r="D12" s="216"/>
      <c r="E12" s="217"/>
      <c r="F12" s="218"/>
      <c r="G12" s="219"/>
      <c r="H12" s="220"/>
      <c r="I12" s="214"/>
    </row>
    <row r="13" spans="1:12" x14ac:dyDescent="0.25">
      <c r="A13" s="216"/>
      <c r="B13" s="216"/>
      <c r="C13" s="221"/>
      <c r="D13" s="216"/>
      <c r="E13" s="217"/>
      <c r="F13" s="218"/>
      <c r="G13" s="219"/>
      <c r="H13" s="220"/>
      <c r="I13" s="214"/>
    </row>
    <row r="14" spans="1:12" x14ac:dyDescent="0.25">
      <c r="A14" s="216"/>
      <c r="B14" s="216"/>
      <c r="C14" s="221"/>
      <c r="D14" s="216"/>
      <c r="E14" s="217"/>
      <c r="F14" s="218"/>
      <c r="G14" s="219"/>
      <c r="H14" s="220"/>
      <c r="I14" s="214"/>
    </row>
    <row r="15" spans="1:12" x14ac:dyDescent="0.25">
      <c r="A15" s="216"/>
      <c r="B15" s="216"/>
      <c r="C15" s="221"/>
      <c r="D15" s="216"/>
      <c r="E15" s="217"/>
      <c r="F15" s="218"/>
      <c r="G15" s="219"/>
      <c r="H15" s="220"/>
      <c r="I15" s="214"/>
    </row>
    <row r="16" spans="1:12" x14ac:dyDescent="0.25">
      <c r="A16" s="216"/>
      <c r="B16" s="216"/>
      <c r="C16" s="221"/>
      <c r="D16" s="216"/>
      <c r="E16" s="217"/>
      <c r="F16" s="218"/>
      <c r="G16" s="219"/>
      <c r="H16" s="220"/>
      <c r="I16" s="214"/>
    </row>
    <row r="17" spans="1:11" x14ac:dyDescent="0.25">
      <c r="A17" s="216"/>
      <c r="B17" s="216"/>
      <c r="C17" s="221"/>
      <c r="D17" s="216"/>
      <c r="E17" s="217"/>
      <c r="F17" s="218"/>
      <c r="G17" s="219"/>
      <c r="H17" s="220"/>
      <c r="I17" s="214"/>
    </row>
    <row r="18" spans="1:11" x14ac:dyDescent="0.25">
      <c r="A18" s="216"/>
      <c r="B18" s="216"/>
      <c r="C18" s="221"/>
      <c r="D18" s="216"/>
      <c r="E18" s="217"/>
      <c r="F18" s="218"/>
      <c r="G18" s="219"/>
      <c r="H18" s="220"/>
      <c r="I18" s="214"/>
    </row>
    <row r="19" spans="1:11" x14ac:dyDescent="0.25">
      <c r="A19" s="216"/>
      <c r="B19" s="216"/>
      <c r="C19" s="221"/>
      <c r="D19" s="216"/>
      <c r="E19" s="217"/>
      <c r="F19" s="218"/>
      <c r="G19" s="219"/>
      <c r="H19" s="220"/>
      <c r="I19" s="214"/>
      <c r="K19" s="200">
        <f>SUM(E10:E11)</f>
        <v>48600</v>
      </c>
    </row>
    <row r="20" spans="1:11" ht="15.75" x14ac:dyDescent="0.25">
      <c r="A20" s="222"/>
      <c r="B20" s="222"/>
      <c r="C20" s="1"/>
      <c r="D20" s="26"/>
      <c r="E20" s="26"/>
      <c r="F20" s="26"/>
      <c r="G20" s="66"/>
      <c r="H20" s="220"/>
      <c r="I20" s="214"/>
    </row>
    <row r="21" spans="1:11" ht="15.75" x14ac:dyDescent="0.25">
      <c r="A21" s="223"/>
      <c r="B21" s="224"/>
      <c r="C21" s="225" t="s">
        <v>44</v>
      </c>
      <c r="D21" s="26"/>
      <c r="E21" s="26"/>
      <c r="F21" s="26"/>
      <c r="G21" s="66"/>
      <c r="H21" s="220"/>
      <c r="I21" s="214"/>
    </row>
    <row r="22" spans="1:11" x14ac:dyDescent="0.25">
      <c r="A22" s="215"/>
      <c r="B22" s="2"/>
      <c r="C22" s="1"/>
      <c r="D22" s="226"/>
      <c r="E22" s="226"/>
      <c r="F22" s="226"/>
      <c r="G22" s="88"/>
      <c r="H22" s="220"/>
      <c r="I22" s="214"/>
    </row>
    <row r="23" spans="1:11" x14ac:dyDescent="0.25">
      <c r="A23" s="227"/>
      <c r="B23" s="222"/>
      <c r="C23" s="1"/>
      <c r="D23" s="226"/>
      <c r="E23" s="226"/>
      <c r="F23" s="226"/>
      <c r="G23" s="88"/>
      <c r="H23" s="220"/>
      <c r="I23" s="214"/>
    </row>
    <row r="24" spans="1:11" x14ac:dyDescent="0.25">
      <c r="A24" s="227"/>
      <c r="B24" s="222"/>
      <c r="C24" s="1"/>
      <c r="D24" s="226"/>
      <c r="E24" s="226"/>
      <c r="F24" s="226"/>
      <c r="G24" s="88"/>
      <c r="H24" s="220"/>
      <c r="I24" s="214"/>
    </row>
    <row r="25" spans="1:11" ht="15.75" x14ac:dyDescent="0.25">
      <c r="A25" s="223"/>
      <c r="B25" s="224"/>
      <c r="C25" s="225"/>
      <c r="D25" s="228"/>
      <c r="E25" s="229"/>
      <c r="F25" s="98"/>
      <c r="G25" s="88"/>
      <c r="H25" s="220"/>
      <c r="I25" s="214"/>
    </row>
    <row r="26" spans="1:11" x14ac:dyDescent="0.25">
      <c r="A26" s="230"/>
      <c r="B26" s="231"/>
      <c r="C26" s="232"/>
      <c r="D26" s="233"/>
      <c r="E26" s="234"/>
      <c r="F26" s="235"/>
      <c r="G26" s="88"/>
      <c r="H26" s="220"/>
      <c r="I26" s="214"/>
    </row>
    <row r="27" spans="1:11" x14ac:dyDescent="0.25">
      <c r="A27" s="2"/>
      <c r="B27" s="2"/>
      <c r="C27" s="1"/>
      <c r="D27" s="236"/>
      <c r="E27" s="65"/>
      <c r="F27" s="237"/>
      <c r="G27" s="88"/>
      <c r="H27" s="220"/>
      <c r="I27" s="214"/>
    </row>
    <row r="28" spans="1:11" ht="15.75" x14ac:dyDescent="0.25">
      <c r="A28" s="238"/>
      <c r="B28" s="239"/>
      <c r="C28" s="240" t="s">
        <v>187</v>
      </c>
      <c r="D28" s="241"/>
      <c r="E28" s="242"/>
      <c r="F28" s="89"/>
      <c r="G28" s="88"/>
      <c r="H28" s="220"/>
      <c r="I28" s="214"/>
    </row>
    <row r="29" spans="1:11" x14ac:dyDescent="0.25">
      <c r="A29" s="243">
        <v>702007</v>
      </c>
      <c r="B29" s="244" t="s">
        <v>39</v>
      </c>
      <c r="C29" s="245" t="s">
        <v>188</v>
      </c>
      <c r="D29" s="74" t="s">
        <v>189</v>
      </c>
      <c r="E29" s="71">
        <v>11.821428571428571</v>
      </c>
      <c r="F29" s="72" t="s">
        <v>6</v>
      </c>
      <c r="G29" s="246"/>
      <c r="H29" s="220"/>
      <c r="I29" s="214"/>
    </row>
    <row r="30" spans="1:11" x14ac:dyDescent="0.25">
      <c r="A30" s="243">
        <v>702123</v>
      </c>
      <c r="B30" s="244" t="s">
        <v>16</v>
      </c>
      <c r="C30" s="245" t="s">
        <v>190</v>
      </c>
      <c r="D30" s="74" t="s">
        <v>17</v>
      </c>
      <c r="E30" s="71">
        <v>10</v>
      </c>
      <c r="F30" s="72" t="s">
        <v>6</v>
      </c>
      <c r="G30" s="246"/>
      <c r="H30" s="220"/>
      <c r="I30" s="214"/>
    </row>
    <row r="31" spans="1:11" x14ac:dyDescent="0.25">
      <c r="A31" s="247"/>
      <c r="B31" s="2" t="s">
        <v>191</v>
      </c>
      <c r="C31" t="s">
        <v>192</v>
      </c>
      <c r="D31" s="74"/>
      <c r="E31" s="71">
        <v>17</v>
      </c>
      <c r="F31" s="72" t="s">
        <v>193</v>
      </c>
      <c r="G31" s="246"/>
      <c r="H31" s="220"/>
      <c r="I31" s="214"/>
    </row>
    <row r="32" spans="1:11" x14ac:dyDescent="0.25">
      <c r="A32" s="248"/>
      <c r="B32" s="248"/>
      <c r="C32" s="249"/>
      <c r="D32" s="74"/>
      <c r="E32" s="71"/>
      <c r="F32" s="72"/>
      <c r="G32" s="88"/>
      <c r="H32" s="220"/>
      <c r="I32" s="214"/>
    </row>
    <row r="33" spans="1:9" x14ac:dyDescent="0.25">
      <c r="A33" s="248"/>
      <c r="B33" s="248"/>
      <c r="C33" s="249"/>
      <c r="D33" s="74"/>
      <c r="E33" s="71"/>
      <c r="F33" s="72"/>
      <c r="G33" s="88"/>
      <c r="H33" s="220"/>
      <c r="I33" s="214"/>
    </row>
    <row r="34" spans="1:9" x14ac:dyDescent="0.25">
      <c r="A34" s="248"/>
      <c r="B34" s="248"/>
      <c r="C34" s="249"/>
      <c r="D34" s="74"/>
      <c r="E34" s="71"/>
      <c r="F34" s="72"/>
      <c r="G34" s="250"/>
      <c r="H34" s="220"/>
      <c r="I34" s="214"/>
    </row>
    <row r="35" spans="1:9" ht="15.75" x14ac:dyDescent="0.25">
      <c r="A35" s="248"/>
      <c r="B35" s="248"/>
      <c r="C35" s="249"/>
      <c r="D35" s="26"/>
      <c r="E35" s="71"/>
      <c r="F35" s="72"/>
      <c r="G35" s="97"/>
      <c r="H35" s="220"/>
      <c r="I35" s="214"/>
    </row>
    <row r="36" spans="1:9" x14ac:dyDescent="0.25">
      <c r="A36" s="251"/>
      <c r="B36" s="251"/>
      <c r="C36" s="252"/>
      <c r="D36" s="74"/>
      <c r="E36" s="237"/>
      <c r="F36" s="237"/>
      <c r="G36" s="97"/>
      <c r="H36" s="89"/>
      <c r="I36" s="214"/>
    </row>
    <row r="37" spans="1:9" ht="15.75" thickBot="1" x14ac:dyDescent="0.3">
      <c r="A37" s="253"/>
      <c r="B37" s="254"/>
      <c r="C37" s="255" t="s">
        <v>194</v>
      </c>
      <c r="D37" s="255"/>
      <c r="E37" s="256"/>
      <c r="F37" s="257"/>
      <c r="G37" s="255"/>
      <c r="H37" s="255"/>
      <c r="I37" s="258"/>
    </row>
    <row r="38" spans="1:9" ht="15.75" thickBot="1" x14ac:dyDescent="0.3">
      <c r="A38" s="259"/>
      <c r="B38" s="260"/>
      <c r="C38" s="261" t="s">
        <v>194</v>
      </c>
      <c r="D38" s="262" t="s">
        <v>14</v>
      </c>
      <c r="E38" s="263" t="s">
        <v>13</v>
      </c>
      <c r="F38" s="264"/>
      <c r="G38" s="261"/>
      <c r="H38" s="261"/>
      <c r="I38" s="265"/>
    </row>
    <row r="39" spans="1:9" x14ac:dyDescent="0.25">
      <c r="A39" s="770" t="s">
        <v>12</v>
      </c>
      <c r="B39" s="771"/>
      <c r="C39" s="772"/>
      <c r="D39" s="266">
        <v>45500</v>
      </c>
      <c r="E39" s="267" t="s">
        <v>1</v>
      </c>
      <c r="F39" s="773" t="s">
        <v>11</v>
      </c>
      <c r="G39" s="773"/>
      <c r="H39" s="774"/>
      <c r="I39" s="775"/>
    </row>
    <row r="40" spans="1:9" x14ac:dyDescent="0.25">
      <c r="A40" s="776" t="s">
        <v>10</v>
      </c>
      <c r="B40" s="777"/>
      <c r="C40" s="778"/>
      <c r="D40" s="65">
        <v>50</v>
      </c>
      <c r="E40" s="66" t="s">
        <v>9</v>
      </c>
      <c r="F40" s="779" t="s">
        <v>8</v>
      </c>
      <c r="G40" s="779"/>
      <c r="H40" s="780"/>
      <c r="I40" s="781"/>
    </row>
    <row r="41" spans="1:9" x14ac:dyDescent="0.25">
      <c r="A41" s="776" t="s">
        <v>7</v>
      </c>
      <c r="B41" s="777"/>
      <c r="C41" s="778"/>
      <c r="D41" s="65">
        <f>D39/D42</f>
        <v>146.7741935483871</v>
      </c>
      <c r="E41" s="66" t="s">
        <v>6</v>
      </c>
      <c r="F41" s="779" t="s">
        <v>5</v>
      </c>
      <c r="G41" s="779"/>
      <c r="H41" s="780"/>
      <c r="I41" s="781"/>
    </row>
    <row r="42" spans="1:9" x14ac:dyDescent="0.25">
      <c r="A42" s="776" t="s">
        <v>4</v>
      </c>
      <c r="B42" s="777"/>
      <c r="C42" s="778"/>
      <c r="D42" s="65">
        <v>310</v>
      </c>
      <c r="E42" s="66" t="s">
        <v>1</v>
      </c>
      <c r="F42" s="782" t="s">
        <v>3</v>
      </c>
      <c r="G42" s="783"/>
      <c r="H42" s="784"/>
      <c r="I42" s="785"/>
    </row>
    <row r="43" spans="1:9" ht="15.75" thickBot="1" x14ac:dyDescent="0.3">
      <c r="A43" s="789" t="s">
        <v>2</v>
      </c>
      <c r="B43" s="790"/>
      <c r="C43" s="791"/>
      <c r="D43" s="268">
        <f>SUM(E10:E11)-D39</f>
        <v>3100</v>
      </c>
      <c r="E43" s="269" t="s">
        <v>1</v>
      </c>
      <c r="F43" s="792"/>
      <c r="G43" s="792"/>
      <c r="H43" s="780"/>
      <c r="I43" s="781"/>
    </row>
    <row r="44" spans="1:9" ht="15.75" thickBot="1" x14ac:dyDescent="0.3">
      <c r="A44" s="793" t="s">
        <v>0</v>
      </c>
      <c r="B44" s="794"/>
      <c r="C44" s="794"/>
      <c r="D44" s="794"/>
      <c r="E44" s="794"/>
      <c r="F44" s="794"/>
      <c r="G44" s="794"/>
      <c r="H44" s="794"/>
      <c r="I44" s="795"/>
    </row>
    <row r="45" spans="1:9" x14ac:dyDescent="0.25">
      <c r="A45" s="796" t="s">
        <v>195</v>
      </c>
      <c r="B45" s="797"/>
      <c r="C45" s="797"/>
      <c r="D45" s="797"/>
      <c r="E45" s="797"/>
      <c r="F45" s="797"/>
      <c r="G45" s="797"/>
      <c r="H45" s="797"/>
      <c r="I45" s="798"/>
    </row>
    <row r="46" spans="1:9" x14ac:dyDescent="0.25">
      <c r="A46" s="799" t="s">
        <v>196</v>
      </c>
      <c r="B46" s="800"/>
      <c r="C46" s="800"/>
      <c r="D46" s="800"/>
      <c r="E46" s="800"/>
      <c r="F46" s="800"/>
      <c r="G46" s="800"/>
      <c r="H46" s="800"/>
      <c r="I46" s="801"/>
    </row>
    <row r="47" spans="1:9" ht="15.75" thickBot="1" x14ac:dyDescent="0.3">
      <c r="A47" s="802" t="s">
        <v>197</v>
      </c>
      <c r="B47" s="803"/>
      <c r="C47" s="803"/>
      <c r="D47" s="803"/>
      <c r="E47" s="803"/>
      <c r="F47" s="803"/>
      <c r="G47" s="803"/>
      <c r="H47" s="803"/>
      <c r="I47" s="804"/>
    </row>
    <row r="48" spans="1:9" x14ac:dyDescent="0.25">
      <c r="A48" s="805" t="s">
        <v>198</v>
      </c>
      <c r="B48" s="806"/>
      <c r="C48" s="806"/>
      <c r="D48" s="806"/>
      <c r="E48" s="806"/>
      <c r="F48" s="806"/>
      <c r="G48" s="806"/>
      <c r="H48" s="806"/>
      <c r="I48" s="807"/>
    </row>
    <row r="49" spans="1:9" x14ac:dyDescent="0.25">
      <c r="A49" s="808"/>
      <c r="B49" s="809"/>
      <c r="C49" s="809"/>
      <c r="D49" s="809"/>
      <c r="E49" s="809"/>
      <c r="F49" s="809"/>
      <c r="G49" s="809"/>
      <c r="H49" s="809"/>
      <c r="I49" s="810"/>
    </row>
    <row r="50" spans="1:9" x14ac:dyDescent="0.25">
      <c r="A50" s="811"/>
      <c r="B50" s="787"/>
      <c r="C50" s="787"/>
      <c r="D50" s="787"/>
      <c r="E50" s="787"/>
      <c r="F50" s="787"/>
      <c r="G50" s="787"/>
      <c r="H50" s="787"/>
      <c r="I50" s="812"/>
    </row>
    <row r="51" spans="1:9" x14ac:dyDescent="0.25">
      <c r="A51" s="786"/>
      <c r="B51" s="787"/>
      <c r="C51" s="787"/>
      <c r="D51" s="787"/>
      <c r="E51" s="787"/>
      <c r="F51" s="787"/>
      <c r="G51" s="787"/>
      <c r="H51" s="787"/>
      <c r="I51" s="788"/>
    </row>
    <row r="52" spans="1:9" x14ac:dyDescent="0.25">
      <c r="A52" s="786"/>
      <c r="B52" s="787"/>
      <c r="C52" s="787"/>
      <c r="D52" s="787"/>
      <c r="E52" s="787"/>
      <c r="F52" s="787"/>
      <c r="G52" s="787"/>
      <c r="H52" s="787"/>
      <c r="I52" s="788"/>
    </row>
    <row r="53" spans="1:9" x14ac:dyDescent="0.25">
      <c r="A53" s="786"/>
      <c r="B53" s="787"/>
      <c r="C53" s="787"/>
      <c r="D53" s="787"/>
      <c r="E53" s="787"/>
      <c r="F53" s="787"/>
      <c r="G53" s="787"/>
      <c r="H53" s="787"/>
      <c r="I53" s="788"/>
    </row>
    <row r="54" spans="1:9" ht="15.75" thickBot="1" x14ac:dyDescent="0.3">
      <c r="A54" s="786"/>
      <c r="B54" s="787"/>
      <c r="C54" s="787"/>
      <c r="D54" s="787"/>
      <c r="E54" s="787"/>
      <c r="F54" s="787"/>
      <c r="G54" s="787"/>
      <c r="H54" s="787"/>
      <c r="I54" s="788"/>
    </row>
    <row r="55" spans="1:9" x14ac:dyDescent="0.25">
      <c r="A55" s="596" t="s">
        <v>45</v>
      </c>
      <c r="B55" s="597"/>
      <c r="C55" s="597"/>
      <c r="D55" s="597"/>
      <c r="E55" s="597"/>
      <c r="F55" s="597"/>
      <c r="G55" s="597"/>
      <c r="H55" s="597"/>
      <c r="I55" s="597"/>
    </row>
    <row r="56" spans="1:9" x14ac:dyDescent="0.25">
      <c r="A56" s="743" t="s">
        <v>199</v>
      </c>
      <c r="B56" s="744"/>
      <c r="C56" s="744"/>
      <c r="D56" s="744"/>
      <c r="E56" s="744"/>
      <c r="F56" s="744"/>
      <c r="G56" s="744"/>
      <c r="H56" s="744"/>
      <c r="I56" s="745"/>
    </row>
    <row r="57" spans="1:9" x14ac:dyDescent="0.25">
      <c r="A57" s="585"/>
      <c r="B57" s="586"/>
      <c r="C57" s="586"/>
      <c r="D57" s="586"/>
      <c r="E57" s="586"/>
      <c r="F57" s="586"/>
      <c r="G57" s="586"/>
      <c r="H57" s="586"/>
      <c r="I57" s="586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C9B6-6E60-4055-A61B-B58868C4D309}">
  <dimension ref="A1:M34"/>
  <sheetViews>
    <sheetView workbookViewId="0">
      <selection activeCell="C15" sqref="C15"/>
    </sheetView>
  </sheetViews>
  <sheetFormatPr baseColWidth="10" defaultColWidth="11.42578125" defaultRowHeight="12.75" x14ac:dyDescent="0.2"/>
  <cols>
    <col min="1" max="1" width="16.140625" style="271" customWidth="1"/>
    <col min="2" max="2" width="15.85546875" style="271" customWidth="1"/>
    <col min="3" max="3" width="44.7109375" style="271" customWidth="1"/>
    <col min="4" max="4" width="15.5703125" style="271" customWidth="1"/>
    <col min="5" max="5" width="11.42578125" style="271"/>
    <col min="6" max="6" width="13.140625" style="271" customWidth="1"/>
    <col min="7" max="7" width="12.5703125" style="271" customWidth="1"/>
    <col min="8" max="8" width="15.5703125" style="271" customWidth="1"/>
    <col min="9" max="9" width="16" style="271" customWidth="1"/>
    <col min="10" max="16384" width="11.42578125" style="271"/>
  </cols>
  <sheetData>
    <row r="1" spans="1:12" ht="18" x14ac:dyDescent="0.25">
      <c r="A1" s="818"/>
      <c r="B1" s="819"/>
      <c r="C1" s="824" t="s">
        <v>35</v>
      </c>
      <c r="D1" s="824"/>
      <c r="E1" s="824"/>
      <c r="F1" s="824"/>
      <c r="G1" s="824"/>
      <c r="H1" s="270" t="s">
        <v>34</v>
      </c>
      <c r="I1" s="198" t="s">
        <v>200</v>
      </c>
    </row>
    <row r="2" spans="1:12" ht="18" x14ac:dyDescent="0.25">
      <c r="A2" s="820"/>
      <c r="B2" s="821"/>
      <c r="C2" s="825" t="s">
        <v>33</v>
      </c>
      <c r="D2" s="825"/>
      <c r="E2" s="825"/>
      <c r="F2" s="825"/>
      <c r="G2" s="825"/>
      <c r="H2" s="272" t="s">
        <v>32</v>
      </c>
      <c r="I2" s="273" t="s">
        <v>201</v>
      </c>
    </row>
    <row r="3" spans="1:12" ht="15" x14ac:dyDescent="0.2">
      <c r="A3" s="820"/>
      <c r="B3" s="821"/>
      <c r="C3" s="826" t="s">
        <v>202</v>
      </c>
      <c r="D3" s="827"/>
      <c r="E3" s="827"/>
      <c r="F3" s="827"/>
      <c r="G3" s="828"/>
      <c r="H3" s="829" t="s">
        <v>31</v>
      </c>
      <c r="I3" s="813">
        <v>45546</v>
      </c>
    </row>
    <row r="4" spans="1:12" x14ac:dyDescent="0.2">
      <c r="A4" s="820"/>
      <c r="B4" s="821"/>
      <c r="C4" s="274" t="s">
        <v>30</v>
      </c>
      <c r="D4" s="816" t="s">
        <v>181</v>
      </c>
      <c r="E4" s="816"/>
      <c r="F4" s="816"/>
      <c r="G4" s="816"/>
      <c r="H4" s="829"/>
      <c r="I4" s="814"/>
    </row>
    <row r="5" spans="1:12" ht="13.5" thickBot="1" x14ac:dyDescent="0.25">
      <c r="A5" s="822"/>
      <c r="B5" s="823"/>
      <c r="C5" s="275" t="s">
        <v>29</v>
      </c>
      <c r="D5" s="817" t="s">
        <v>203</v>
      </c>
      <c r="E5" s="817"/>
      <c r="F5" s="817"/>
      <c r="G5" s="817"/>
      <c r="H5" s="830"/>
      <c r="I5" s="815"/>
    </row>
    <row r="6" spans="1:12" x14ac:dyDescent="0.2">
      <c r="A6" s="276"/>
      <c r="B6" s="276"/>
      <c r="C6" s="277"/>
      <c r="D6" s="278"/>
      <c r="E6" s="278"/>
      <c r="F6" s="278"/>
      <c r="G6" s="278"/>
      <c r="H6" s="279"/>
      <c r="I6" s="280"/>
    </row>
    <row r="7" spans="1:12" ht="18.75" thickBot="1" x14ac:dyDescent="0.3">
      <c r="A7" s="761" t="s">
        <v>27</v>
      </c>
      <c r="B7" s="761"/>
      <c r="C7" s="761"/>
      <c r="D7" s="762" t="s">
        <v>182</v>
      </c>
      <c r="E7" s="762"/>
      <c r="F7" s="762"/>
      <c r="G7" s="763" t="s">
        <v>26</v>
      </c>
      <c r="H7" s="763"/>
      <c r="I7" s="205" t="s">
        <v>182</v>
      </c>
    </row>
    <row r="8" spans="1:12" ht="25.5" x14ac:dyDescent="0.2">
      <c r="A8" s="831" t="s">
        <v>25</v>
      </c>
      <c r="B8" s="833" t="s">
        <v>204</v>
      </c>
      <c r="C8" s="835" t="s">
        <v>24</v>
      </c>
      <c r="D8" s="835" t="s">
        <v>23</v>
      </c>
      <c r="E8" s="835" t="s">
        <v>22</v>
      </c>
      <c r="F8" s="835"/>
      <c r="G8" s="835" t="s">
        <v>21</v>
      </c>
      <c r="H8" s="835"/>
      <c r="I8" s="281" t="s">
        <v>20</v>
      </c>
    </row>
    <row r="9" spans="1:12" ht="26.25" thickBot="1" x14ac:dyDescent="0.25">
      <c r="A9" s="832"/>
      <c r="B9" s="834"/>
      <c r="C9" s="836"/>
      <c r="D9" s="836"/>
      <c r="E9" s="282" t="s">
        <v>14</v>
      </c>
      <c r="F9" s="283" t="s">
        <v>19</v>
      </c>
      <c r="G9" s="284" t="s">
        <v>14</v>
      </c>
      <c r="H9" s="283" t="s">
        <v>19</v>
      </c>
      <c r="I9" s="285" t="s">
        <v>18</v>
      </c>
    </row>
    <row r="10" spans="1:12" ht="15.75" x14ac:dyDescent="0.25">
      <c r="A10" s="286">
        <v>906000136</v>
      </c>
      <c r="B10" s="286" t="s">
        <v>205</v>
      </c>
      <c r="C10" s="287" t="s">
        <v>206</v>
      </c>
      <c r="D10" s="26" t="s">
        <v>17</v>
      </c>
      <c r="E10" s="26">
        <v>26160</v>
      </c>
      <c r="F10" s="288" t="s">
        <v>1</v>
      </c>
      <c r="G10" s="289"/>
      <c r="H10" s="288"/>
      <c r="I10" s="290"/>
    </row>
    <row r="11" spans="1:12" ht="15.75" x14ac:dyDescent="0.25">
      <c r="A11" s="2" t="s">
        <v>207</v>
      </c>
      <c r="B11" s="2" t="s">
        <v>208</v>
      </c>
      <c r="C11" s="1" t="s">
        <v>209</v>
      </c>
      <c r="D11" s="26" t="s">
        <v>210</v>
      </c>
      <c r="E11" s="26">
        <v>9400</v>
      </c>
      <c r="F11" s="288" t="s">
        <v>1</v>
      </c>
      <c r="G11" s="289"/>
      <c r="H11" s="288"/>
      <c r="I11" s="290"/>
    </row>
    <row r="12" spans="1:12" ht="15.75" x14ac:dyDescent="0.25">
      <c r="A12" s="2" t="s">
        <v>211</v>
      </c>
      <c r="B12" s="2"/>
      <c r="C12" s="1" t="s">
        <v>212</v>
      </c>
      <c r="D12" s="26" t="s">
        <v>17</v>
      </c>
      <c r="E12" s="26">
        <v>9400</v>
      </c>
      <c r="F12" s="288" t="s">
        <v>1</v>
      </c>
      <c r="G12" s="289"/>
      <c r="H12" s="288"/>
      <c r="I12" s="290"/>
    </row>
    <row r="13" spans="1:12" ht="15.75" x14ac:dyDescent="0.25">
      <c r="A13" s="286">
        <v>10100050</v>
      </c>
      <c r="B13" s="286" t="s">
        <v>213</v>
      </c>
      <c r="C13" s="287" t="s">
        <v>214</v>
      </c>
      <c r="D13" s="26" t="s">
        <v>215</v>
      </c>
      <c r="E13" s="26">
        <v>1400</v>
      </c>
      <c r="F13" s="288" t="s">
        <v>1</v>
      </c>
      <c r="G13" s="289"/>
      <c r="H13" s="288"/>
      <c r="I13" s="290"/>
    </row>
    <row r="14" spans="1:12" ht="15.75" x14ac:dyDescent="0.25">
      <c r="A14" s="2" t="s">
        <v>216</v>
      </c>
      <c r="B14" s="2" t="s">
        <v>217</v>
      </c>
      <c r="C14" s="1" t="s">
        <v>218</v>
      </c>
      <c r="D14" s="288" t="s">
        <v>219</v>
      </c>
      <c r="E14" s="288">
        <v>370</v>
      </c>
      <c r="F14" s="288" t="s">
        <v>1</v>
      </c>
      <c r="G14" s="26"/>
      <c r="H14" s="288"/>
      <c r="I14" s="290"/>
    </row>
    <row r="15" spans="1:12" ht="15.75" x14ac:dyDescent="0.25">
      <c r="A15" s="291"/>
      <c r="B15" s="2"/>
      <c r="C15" s="1"/>
      <c r="D15" s="288"/>
      <c r="E15" s="288"/>
      <c r="F15" s="292"/>
      <c r="G15" s="289"/>
      <c r="H15" s="288"/>
      <c r="I15" s="290"/>
    </row>
    <row r="16" spans="1:12" ht="13.5" thickBot="1" x14ac:dyDescent="0.25">
      <c r="A16" s="293"/>
      <c r="B16" s="294"/>
      <c r="E16" s="295"/>
      <c r="F16" s="296"/>
      <c r="I16" s="297"/>
      <c r="L16" s="298"/>
    </row>
    <row r="17" spans="1:13" ht="13.5" thickBot="1" x14ac:dyDescent="0.25">
      <c r="A17" s="299"/>
      <c r="B17" s="300"/>
      <c r="C17" s="301"/>
      <c r="D17" s="302" t="s">
        <v>14</v>
      </c>
      <c r="E17" s="303" t="s">
        <v>13</v>
      </c>
      <c r="F17" s="304"/>
      <c r="G17" s="301"/>
      <c r="H17" s="301"/>
      <c r="I17" s="305"/>
      <c r="L17" s="298"/>
    </row>
    <row r="18" spans="1:13" x14ac:dyDescent="0.2">
      <c r="A18" s="837" t="s">
        <v>12</v>
      </c>
      <c r="B18" s="838"/>
      <c r="C18" s="839"/>
      <c r="D18" s="306">
        <v>46500</v>
      </c>
      <c r="E18" s="307" t="s">
        <v>1</v>
      </c>
      <c r="F18" s="840"/>
      <c r="G18" s="840"/>
      <c r="H18" s="841"/>
      <c r="I18" s="842"/>
      <c r="L18" s="298"/>
    </row>
    <row r="19" spans="1:13" x14ac:dyDescent="0.2">
      <c r="A19" s="843" t="s">
        <v>10</v>
      </c>
      <c r="B19" s="844"/>
      <c r="C19" s="845"/>
      <c r="D19" s="308">
        <v>11</v>
      </c>
      <c r="E19" s="309" t="s">
        <v>9</v>
      </c>
      <c r="F19" s="846"/>
      <c r="G19" s="846"/>
      <c r="H19" s="847"/>
      <c r="I19" s="848"/>
      <c r="L19" s="298"/>
    </row>
    <row r="20" spans="1:13" x14ac:dyDescent="0.2">
      <c r="A20" s="843" t="s">
        <v>7</v>
      </c>
      <c r="B20" s="844"/>
      <c r="C20" s="845"/>
      <c r="D20" s="309">
        <v>1</v>
      </c>
      <c r="E20" s="309" t="s">
        <v>6</v>
      </c>
      <c r="F20" s="846"/>
      <c r="G20" s="846"/>
      <c r="H20" s="847"/>
      <c r="I20" s="848"/>
      <c r="L20" s="298"/>
    </row>
    <row r="21" spans="1:13" x14ac:dyDescent="0.2">
      <c r="A21" s="843" t="s">
        <v>4</v>
      </c>
      <c r="B21" s="844"/>
      <c r="C21" s="845"/>
      <c r="D21" s="310">
        <v>46500</v>
      </c>
      <c r="E21" s="309" t="s">
        <v>1</v>
      </c>
      <c r="F21" s="852"/>
      <c r="G21" s="853"/>
      <c r="H21" s="847"/>
      <c r="I21" s="848"/>
      <c r="L21" s="298"/>
      <c r="M21" s="311"/>
    </row>
    <row r="22" spans="1:13" ht="13.5" thickBot="1" x14ac:dyDescent="0.25">
      <c r="A22" s="854" t="s">
        <v>2</v>
      </c>
      <c r="B22" s="855"/>
      <c r="C22" s="856"/>
      <c r="D22" s="312">
        <f>SUM(E10:E14)-D18</f>
        <v>230</v>
      </c>
      <c r="E22" s="313" t="s">
        <v>1</v>
      </c>
      <c r="F22" s="857"/>
      <c r="G22" s="857"/>
      <c r="H22" s="858"/>
      <c r="I22" s="859"/>
      <c r="L22" s="298"/>
    </row>
    <row r="23" spans="1:13" ht="13.5" thickBot="1" x14ac:dyDescent="0.25">
      <c r="A23" s="860" t="s">
        <v>0</v>
      </c>
      <c r="B23" s="861"/>
      <c r="C23" s="861"/>
      <c r="D23" s="861"/>
      <c r="E23" s="861"/>
      <c r="F23" s="861"/>
      <c r="G23" s="861"/>
      <c r="H23" s="861"/>
      <c r="I23" s="862"/>
    </row>
    <row r="24" spans="1:13" ht="15" x14ac:dyDescent="0.25">
      <c r="A24" s="849" t="s">
        <v>220</v>
      </c>
      <c r="B24" s="850"/>
      <c r="C24" s="850"/>
      <c r="D24" s="850"/>
      <c r="E24" s="850"/>
      <c r="F24" s="850"/>
      <c r="G24" s="850"/>
      <c r="H24" s="850"/>
      <c r="I24" s="851"/>
    </row>
    <row r="25" spans="1:13" ht="15" x14ac:dyDescent="0.25">
      <c r="A25" s="849" t="s">
        <v>221</v>
      </c>
      <c r="B25" s="850"/>
      <c r="C25" s="850"/>
      <c r="D25" s="850"/>
      <c r="E25" s="850"/>
      <c r="F25" s="850"/>
      <c r="G25" s="850"/>
      <c r="H25" s="850"/>
      <c r="I25" s="851"/>
    </row>
    <row r="26" spans="1:13" ht="15" x14ac:dyDescent="0.25">
      <c r="A26" s="849" t="s">
        <v>222</v>
      </c>
      <c r="B26" s="850"/>
      <c r="C26" s="850"/>
      <c r="D26" s="850"/>
      <c r="E26" s="850"/>
      <c r="F26" s="850"/>
      <c r="G26" s="850"/>
      <c r="H26" s="850"/>
      <c r="I26" s="851"/>
    </row>
    <row r="27" spans="1:13" ht="15" x14ac:dyDescent="0.25">
      <c r="A27" s="849"/>
      <c r="B27" s="850"/>
      <c r="C27" s="850"/>
      <c r="D27" s="850"/>
      <c r="E27" s="850"/>
      <c r="F27" s="850"/>
      <c r="G27" s="850"/>
      <c r="H27" s="850"/>
      <c r="I27" s="851"/>
    </row>
    <row r="28" spans="1:13" ht="15" x14ac:dyDescent="0.25">
      <c r="A28" s="849"/>
      <c r="B28" s="850"/>
      <c r="C28" s="850"/>
      <c r="D28" s="850"/>
      <c r="E28" s="850"/>
      <c r="F28" s="850"/>
      <c r="G28" s="850"/>
      <c r="H28" s="850"/>
      <c r="I28" s="851"/>
    </row>
    <row r="29" spans="1:13" ht="15.75" thickBot="1" x14ac:dyDescent="0.3">
      <c r="A29" s="849"/>
      <c r="B29" s="850"/>
      <c r="C29" s="850"/>
      <c r="D29" s="850"/>
      <c r="E29" s="850"/>
      <c r="F29" s="850"/>
      <c r="G29" s="850"/>
      <c r="H29" s="850"/>
      <c r="I29" s="851"/>
    </row>
    <row r="30" spans="1:13" ht="13.5" thickBot="1" x14ac:dyDescent="0.25">
      <c r="A30" s="860" t="s">
        <v>45</v>
      </c>
      <c r="B30" s="861"/>
      <c r="C30" s="861"/>
      <c r="D30" s="861"/>
      <c r="E30" s="861"/>
      <c r="F30" s="861"/>
      <c r="G30" s="861"/>
      <c r="H30" s="861"/>
      <c r="I30" s="862"/>
    </row>
    <row r="31" spans="1:13" ht="14.25" x14ac:dyDescent="0.2">
      <c r="A31" s="866" t="s">
        <v>223</v>
      </c>
      <c r="B31" s="867"/>
      <c r="C31" s="867"/>
      <c r="D31" s="867"/>
      <c r="E31" s="867"/>
      <c r="F31" s="867"/>
      <c r="G31" s="867"/>
      <c r="H31" s="867"/>
      <c r="I31" s="868"/>
    </row>
    <row r="32" spans="1:13" ht="15" thickBot="1" x14ac:dyDescent="0.25">
      <c r="A32" s="863" t="s">
        <v>224</v>
      </c>
      <c r="B32" s="864"/>
      <c r="C32" s="864"/>
      <c r="D32" s="864"/>
      <c r="E32" s="864"/>
      <c r="F32" s="864"/>
      <c r="G32" s="864"/>
      <c r="H32" s="864"/>
      <c r="I32" s="865"/>
    </row>
    <row r="33" spans="1:9" ht="15" thickBot="1" x14ac:dyDescent="0.25">
      <c r="A33" s="863" t="s">
        <v>225</v>
      </c>
      <c r="B33" s="864"/>
      <c r="C33" s="864"/>
      <c r="D33" s="864"/>
      <c r="E33" s="864"/>
      <c r="F33" s="864"/>
      <c r="G33" s="864"/>
      <c r="H33" s="864"/>
      <c r="I33" s="865"/>
    </row>
    <row r="34" spans="1:9" x14ac:dyDescent="0.2">
      <c r="A34" s="314"/>
      <c r="B34" s="314"/>
      <c r="C34" s="314"/>
    </row>
  </sheetData>
  <mergeCells count="43">
    <mergeCell ref="A32:I32"/>
    <mergeCell ref="A33:I33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206C-5D28-4975-93B4-A7936D4DC283}">
  <dimension ref="A1:I50"/>
  <sheetViews>
    <sheetView zoomScale="85" zoomScaleNormal="85" workbookViewId="0">
      <selection activeCell="D12" sqref="D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46"/>
      <c r="B1" s="747"/>
      <c r="C1" s="643" t="s">
        <v>35</v>
      </c>
      <c r="D1" s="643"/>
      <c r="E1" s="643"/>
      <c r="F1" s="643"/>
      <c r="G1" s="643"/>
      <c r="H1" s="197" t="s">
        <v>34</v>
      </c>
      <c r="I1" s="315" t="s">
        <v>226</v>
      </c>
    </row>
    <row r="2" spans="1:9" ht="18" customHeight="1" thickBot="1" x14ac:dyDescent="0.3">
      <c r="A2" s="748"/>
      <c r="B2" s="749"/>
      <c r="C2" s="752" t="s">
        <v>33</v>
      </c>
      <c r="D2" s="753"/>
      <c r="E2" s="753"/>
      <c r="F2" s="753"/>
      <c r="G2" s="754"/>
      <c r="H2" s="201" t="s">
        <v>32</v>
      </c>
      <c r="I2" s="202" t="s">
        <v>227</v>
      </c>
    </row>
    <row r="3" spans="1:9" ht="31.5" customHeight="1" thickBot="1" x14ac:dyDescent="0.3">
      <c r="A3" s="748"/>
      <c r="B3" s="749"/>
      <c r="C3" s="826" t="s">
        <v>228</v>
      </c>
      <c r="D3" s="827"/>
      <c r="E3" s="827"/>
      <c r="F3" s="827"/>
      <c r="G3" s="828"/>
      <c r="H3" s="758" t="s">
        <v>31</v>
      </c>
      <c r="I3" s="737">
        <v>45617</v>
      </c>
    </row>
    <row r="4" spans="1:9" ht="18" customHeight="1" x14ac:dyDescent="0.25">
      <c r="A4" s="748"/>
      <c r="B4" s="749"/>
      <c r="C4" s="203" t="s">
        <v>30</v>
      </c>
      <c r="D4" s="740" t="s">
        <v>181</v>
      </c>
      <c r="E4" s="741"/>
      <c r="F4" s="741"/>
      <c r="G4" s="742"/>
      <c r="H4" s="759"/>
      <c r="I4" s="738"/>
    </row>
    <row r="5" spans="1:9" ht="15.75" thickBot="1" x14ac:dyDescent="0.3">
      <c r="A5" s="750"/>
      <c r="B5" s="751"/>
      <c r="C5" s="204" t="s">
        <v>29</v>
      </c>
      <c r="D5" s="743" t="s">
        <v>28</v>
      </c>
      <c r="E5" s="744"/>
      <c r="F5" s="744"/>
      <c r="G5" s="745"/>
      <c r="H5" s="760"/>
      <c r="I5" s="739"/>
    </row>
    <row r="6" spans="1:9" ht="18.75" thickBot="1" x14ac:dyDescent="0.3">
      <c r="A6" s="761" t="s">
        <v>27</v>
      </c>
      <c r="B6" s="761"/>
      <c r="C6" s="761"/>
      <c r="D6" s="762" t="s">
        <v>229</v>
      </c>
      <c r="E6" s="762"/>
      <c r="F6" s="762"/>
      <c r="G6" s="763" t="s">
        <v>26</v>
      </c>
      <c r="H6" s="763"/>
      <c r="I6" s="205" t="s">
        <v>229</v>
      </c>
    </row>
    <row r="7" spans="1:9" x14ac:dyDescent="0.25">
      <c r="A7" s="764" t="s">
        <v>25</v>
      </c>
      <c r="B7" s="766" t="s">
        <v>42</v>
      </c>
      <c r="C7" s="768" t="s">
        <v>24</v>
      </c>
      <c r="D7" s="768" t="s">
        <v>23</v>
      </c>
      <c r="E7" s="768" t="s">
        <v>22</v>
      </c>
      <c r="F7" s="768"/>
      <c r="G7" s="768" t="s">
        <v>21</v>
      </c>
      <c r="H7" s="768"/>
      <c r="I7" s="206" t="s">
        <v>20</v>
      </c>
    </row>
    <row r="8" spans="1:9" ht="27" thickBot="1" x14ac:dyDescent="0.3">
      <c r="A8" s="765"/>
      <c r="B8" s="767"/>
      <c r="C8" s="769"/>
      <c r="D8" s="769"/>
      <c r="E8" s="207" t="s">
        <v>14</v>
      </c>
      <c r="F8" s="208" t="s">
        <v>19</v>
      </c>
      <c r="G8" s="207" t="s">
        <v>14</v>
      </c>
      <c r="H8" s="208" t="s">
        <v>19</v>
      </c>
      <c r="I8" s="209" t="s">
        <v>18</v>
      </c>
    </row>
    <row r="9" spans="1:9" ht="18.600000000000001" customHeight="1" x14ac:dyDescent="0.25">
      <c r="A9" s="210"/>
      <c r="B9" s="211"/>
      <c r="C9" s="212" t="s">
        <v>43</v>
      </c>
      <c r="D9" s="213"/>
      <c r="E9" s="88"/>
      <c r="F9" s="89"/>
      <c r="G9" s="88"/>
      <c r="H9" s="89"/>
      <c r="I9" s="214"/>
    </row>
    <row r="10" spans="1:9" ht="18" customHeight="1" x14ac:dyDescent="0.25">
      <c r="A10" s="316">
        <v>11200080</v>
      </c>
      <c r="B10" s="317" t="s">
        <v>230</v>
      </c>
      <c r="C10" s="318" t="s">
        <v>231</v>
      </c>
      <c r="D10" s="319" t="s">
        <v>219</v>
      </c>
      <c r="E10" s="320">
        <v>4600</v>
      </c>
      <c r="F10" s="321" t="s">
        <v>1</v>
      </c>
      <c r="G10" s="219"/>
      <c r="H10" s="220"/>
      <c r="I10" s="214"/>
    </row>
    <row r="11" spans="1:9" x14ac:dyDescent="0.25">
      <c r="A11" s="316" t="s">
        <v>232</v>
      </c>
      <c r="B11" s="2" t="s">
        <v>233</v>
      </c>
      <c r="C11" s="318" t="s">
        <v>234</v>
      </c>
      <c r="D11" s="319" t="s">
        <v>235</v>
      </c>
      <c r="E11" s="320">
        <v>11000</v>
      </c>
      <c r="F11" s="321" t="s">
        <v>1</v>
      </c>
      <c r="G11" s="219"/>
      <c r="H11" s="220"/>
      <c r="I11" s="214"/>
    </row>
    <row r="12" spans="1:9" x14ac:dyDescent="0.25">
      <c r="A12" s="322" t="s">
        <v>236</v>
      </c>
      <c r="B12" s="323" t="s">
        <v>237</v>
      </c>
      <c r="C12" s="324" t="s">
        <v>238</v>
      </c>
      <c r="D12" s="325" t="s">
        <v>239</v>
      </c>
      <c r="E12" s="320">
        <v>7500</v>
      </c>
      <c r="F12" s="321" t="s">
        <v>1</v>
      </c>
      <c r="G12" s="66"/>
      <c r="H12" s="220"/>
      <c r="I12" s="214"/>
    </row>
    <row r="13" spans="1:9" ht="15.75" x14ac:dyDescent="0.25">
      <c r="A13" s="2" t="s">
        <v>240</v>
      </c>
      <c r="B13" s="2" t="s">
        <v>241</v>
      </c>
      <c r="C13" s="326" t="s">
        <v>242</v>
      </c>
      <c r="D13" s="26" t="s">
        <v>239</v>
      </c>
      <c r="E13" s="26">
        <v>1900</v>
      </c>
      <c r="F13" s="26" t="s">
        <v>1</v>
      </c>
      <c r="G13" s="66"/>
      <c r="H13" s="220"/>
      <c r="I13" s="214"/>
    </row>
    <row r="14" spans="1:9" ht="15.75" x14ac:dyDescent="0.25">
      <c r="A14" s="327" t="s">
        <v>243</v>
      </c>
      <c r="B14" s="327" t="s">
        <v>244</v>
      </c>
      <c r="C14" s="328" t="s">
        <v>245</v>
      </c>
      <c r="D14" s="26" t="s">
        <v>58</v>
      </c>
      <c r="E14" s="26">
        <v>50</v>
      </c>
      <c r="F14" s="26" t="s">
        <v>1</v>
      </c>
      <c r="G14" s="66"/>
      <c r="H14" s="220"/>
      <c r="I14" s="214"/>
    </row>
    <row r="15" spans="1:9" ht="15.75" x14ac:dyDescent="0.25">
      <c r="A15" s="327">
        <v>10100046</v>
      </c>
      <c r="B15" s="327" t="s">
        <v>246</v>
      </c>
      <c r="C15" s="328" t="s">
        <v>247</v>
      </c>
      <c r="D15" s="26" t="s">
        <v>248</v>
      </c>
      <c r="E15" s="26">
        <v>150</v>
      </c>
      <c r="F15" s="26" t="s">
        <v>1</v>
      </c>
      <c r="G15" s="66"/>
      <c r="H15" s="220"/>
      <c r="I15" s="214"/>
    </row>
    <row r="16" spans="1:9" ht="15.75" x14ac:dyDescent="0.25">
      <c r="A16" s="327" t="s">
        <v>249</v>
      </c>
      <c r="B16" s="327" t="s">
        <v>250</v>
      </c>
      <c r="C16" s="328" t="s">
        <v>251</v>
      </c>
      <c r="D16" s="26" t="s">
        <v>194</v>
      </c>
      <c r="E16" s="26">
        <v>450</v>
      </c>
      <c r="F16" s="26" t="s">
        <v>1</v>
      </c>
      <c r="G16" s="66"/>
      <c r="H16" s="220"/>
      <c r="I16" s="214"/>
    </row>
    <row r="17" spans="1:9" ht="15.75" x14ac:dyDescent="0.25">
      <c r="A17" s="2">
        <v>11300012</v>
      </c>
      <c r="B17" s="2" t="s">
        <v>252</v>
      </c>
      <c r="C17" s="1" t="s">
        <v>253</v>
      </c>
      <c r="D17" s="26" t="s">
        <v>219</v>
      </c>
      <c r="E17" s="26">
        <v>360</v>
      </c>
      <c r="F17" s="26" t="s">
        <v>1</v>
      </c>
      <c r="G17" s="66"/>
      <c r="H17" s="220"/>
      <c r="I17" s="214"/>
    </row>
    <row r="18" spans="1:9" ht="15.75" x14ac:dyDescent="0.25">
      <c r="A18" s="2"/>
      <c r="B18" t="s">
        <v>254</v>
      </c>
      <c r="C18" t="s">
        <v>255</v>
      </c>
      <c r="D18" s="26"/>
      <c r="E18" s="26">
        <v>60</v>
      </c>
      <c r="F18" s="26" t="s">
        <v>1</v>
      </c>
      <c r="G18" s="66"/>
      <c r="H18" s="220"/>
      <c r="I18" s="214"/>
    </row>
    <row r="19" spans="1:9" ht="15.75" x14ac:dyDescent="0.25">
      <c r="A19" s="2"/>
      <c r="B19" s="2"/>
      <c r="C19" s="1"/>
      <c r="D19" s="26"/>
      <c r="E19" s="26"/>
      <c r="F19" s="26"/>
      <c r="G19" s="66"/>
      <c r="H19" s="220"/>
      <c r="I19" s="214"/>
    </row>
    <row r="20" spans="1:9" ht="15.75" x14ac:dyDescent="0.25">
      <c r="A20" s="238"/>
      <c r="B20" s="239"/>
      <c r="C20" s="240" t="s">
        <v>187</v>
      </c>
      <c r="D20" s="241"/>
      <c r="E20" s="242"/>
      <c r="F20" s="89"/>
      <c r="G20" s="88"/>
      <c r="I20" s="214"/>
    </row>
    <row r="21" spans="1:9" x14ac:dyDescent="0.25">
      <c r="A21" s="243" t="s">
        <v>256</v>
      </c>
      <c r="B21" s="244" t="s">
        <v>257</v>
      </c>
      <c r="C21" s="245" t="s">
        <v>258</v>
      </c>
      <c r="D21" s="74"/>
      <c r="E21" s="71">
        <v>1</v>
      </c>
      <c r="F21" s="72" t="s">
        <v>6</v>
      </c>
      <c r="G21" s="246"/>
      <c r="H21" s="89"/>
      <c r="I21" s="214"/>
    </row>
    <row r="22" spans="1:9" x14ac:dyDescent="0.25">
      <c r="A22" s="243">
        <v>503000042</v>
      </c>
      <c r="B22" s="244" t="s">
        <v>259</v>
      </c>
      <c r="C22" s="245" t="s">
        <v>260</v>
      </c>
      <c r="D22" s="74"/>
      <c r="E22" s="71">
        <v>1</v>
      </c>
      <c r="F22" s="72" t="s">
        <v>6</v>
      </c>
      <c r="G22" s="246"/>
      <c r="H22" s="89"/>
      <c r="I22" s="214"/>
    </row>
    <row r="23" spans="1:9" x14ac:dyDescent="0.25">
      <c r="A23" s="247" t="s">
        <v>82</v>
      </c>
      <c r="B23" s="329" t="s">
        <v>16</v>
      </c>
      <c r="C23" s="330" t="s">
        <v>190</v>
      </c>
      <c r="D23" s="74"/>
      <c r="E23" s="71">
        <v>2</v>
      </c>
      <c r="F23" s="72" t="s">
        <v>6</v>
      </c>
      <c r="G23" s="246"/>
      <c r="H23" s="89"/>
      <c r="I23" s="214"/>
    </row>
    <row r="24" spans="1:9" x14ac:dyDescent="0.25">
      <c r="A24" s="248">
        <v>1950705</v>
      </c>
      <c r="B24" s="248" t="s">
        <v>261</v>
      </c>
      <c r="C24" s="249" t="s">
        <v>262</v>
      </c>
      <c r="D24" s="74"/>
      <c r="E24" s="71">
        <v>1</v>
      </c>
      <c r="F24" s="72" t="s">
        <v>6</v>
      </c>
      <c r="G24" s="88"/>
      <c r="H24" s="89"/>
      <c r="I24" s="214"/>
    </row>
    <row r="25" spans="1:9" x14ac:dyDescent="0.25">
      <c r="A25" s="248">
        <v>60100010</v>
      </c>
      <c r="B25" s="248" t="s">
        <v>263</v>
      </c>
      <c r="C25" s="249" t="s">
        <v>264</v>
      </c>
      <c r="D25" s="74"/>
      <c r="E25" s="71">
        <v>1</v>
      </c>
      <c r="F25" s="72" t="s">
        <v>6</v>
      </c>
      <c r="G25" s="88"/>
      <c r="H25" s="89"/>
      <c r="I25" s="214"/>
    </row>
    <row r="26" spans="1:9" x14ac:dyDescent="0.25">
      <c r="A26" s="248"/>
      <c r="B26" s="248"/>
      <c r="C26" s="249"/>
      <c r="D26" s="74"/>
      <c r="E26" s="71"/>
      <c r="F26" s="72"/>
      <c r="G26" s="250"/>
      <c r="H26" s="89"/>
      <c r="I26" s="214"/>
    </row>
    <row r="27" spans="1:9" ht="15.75" x14ac:dyDescent="0.25">
      <c r="A27" s="248"/>
      <c r="B27" s="248"/>
      <c r="C27" s="249"/>
      <c r="D27" s="26"/>
      <c r="E27" s="71"/>
      <c r="F27" s="72"/>
      <c r="G27" s="97"/>
      <c r="H27" s="89"/>
      <c r="I27" s="214"/>
    </row>
    <row r="28" spans="1:9" x14ac:dyDescent="0.25">
      <c r="A28" s="251"/>
      <c r="B28" s="251"/>
      <c r="C28" s="252"/>
      <c r="D28" s="74"/>
      <c r="E28" s="237"/>
      <c r="F28" s="237"/>
      <c r="G28" s="97"/>
      <c r="H28" s="89"/>
      <c r="I28" s="214"/>
    </row>
    <row r="29" spans="1:9" x14ac:dyDescent="0.25">
      <c r="A29" s="67"/>
      <c r="B29" s="2"/>
      <c r="C29" s="331"/>
      <c r="D29" s="70"/>
      <c r="E29" s="65"/>
      <c r="F29" s="66"/>
      <c r="G29" s="97"/>
      <c r="H29" s="89"/>
      <c r="I29" s="214"/>
    </row>
    <row r="30" spans="1:9" ht="15.75" x14ac:dyDescent="0.25">
      <c r="A30" s="248"/>
      <c r="B30" s="248"/>
      <c r="C30" s="249"/>
      <c r="D30" s="74"/>
      <c r="E30" s="65"/>
      <c r="F30" s="66"/>
      <c r="G30" s="31"/>
      <c r="H30" s="89"/>
      <c r="I30" s="214"/>
    </row>
    <row r="31" spans="1:9" ht="15.75" x14ac:dyDescent="0.25">
      <c r="A31" s="223"/>
      <c r="B31" s="224"/>
      <c r="C31" s="332"/>
      <c r="D31" s="228"/>
      <c r="E31" s="228"/>
      <c r="F31" s="98"/>
      <c r="G31" s="35"/>
      <c r="H31" s="35"/>
      <c r="I31" s="214"/>
    </row>
    <row r="32" spans="1:9" ht="15.75" thickBot="1" x14ac:dyDescent="0.3">
      <c r="A32" s="253"/>
      <c r="B32" s="254"/>
      <c r="C32" s="255"/>
      <c r="D32" s="255"/>
      <c r="E32" s="256"/>
      <c r="F32" s="257"/>
      <c r="G32" s="255"/>
      <c r="H32" s="255"/>
      <c r="I32" s="258"/>
    </row>
    <row r="33" spans="1:9" ht="15.75" thickBot="1" x14ac:dyDescent="0.3">
      <c r="A33" s="259"/>
      <c r="B33" s="260"/>
      <c r="C33" s="261"/>
      <c r="D33" s="262" t="s">
        <v>14</v>
      </c>
      <c r="E33" s="263" t="s">
        <v>13</v>
      </c>
      <c r="F33" s="264"/>
      <c r="G33" s="261"/>
      <c r="H33" s="261"/>
      <c r="I33" s="265"/>
    </row>
    <row r="34" spans="1:9" x14ac:dyDescent="0.25">
      <c r="A34" s="770" t="s">
        <v>12</v>
      </c>
      <c r="B34" s="771"/>
      <c r="C34" s="772"/>
      <c r="D34" s="266">
        <v>26160</v>
      </c>
      <c r="E34" s="267" t="s">
        <v>1</v>
      </c>
      <c r="F34" s="773" t="s">
        <v>11</v>
      </c>
      <c r="G34" s="773"/>
      <c r="H34" s="774"/>
      <c r="I34" s="775"/>
    </row>
    <row r="35" spans="1:9" x14ac:dyDescent="0.25">
      <c r="A35" s="776" t="s">
        <v>10</v>
      </c>
      <c r="B35" s="777"/>
      <c r="C35" s="778"/>
      <c r="D35" s="65">
        <v>4</v>
      </c>
      <c r="E35" s="66" t="s">
        <v>9</v>
      </c>
      <c r="F35" s="779" t="s">
        <v>8</v>
      </c>
      <c r="G35" s="779"/>
      <c r="H35" s="780"/>
      <c r="I35" s="781"/>
    </row>
    <row r="36" spans="1:9" x14ac:dyDescent="0.25">
      <c r="A36" s="776" t="s">
        <v>7</v>
      </c>
      <c r="B36" s="777"/>
      <c r="C36" s="778"/>
      <c r="D36" s="65">
        <v>1</v>
      </c>
      <c r="E36" s="66" t="s">
        <v>265</v>
      </c>
      <c r="F36" s="779" t="s">
        <v>5</v>
      </c>
      <c r="G36" s="779"/>
      <c r="H36" s="780"/>
      <c r="I36" s="781"/>
    </row>
    <row r="37" spans="1:9" x14ac:dyDescent="0.25">
      <c r="A37" s="776" t="s">
        <v>4</v>
      </c>
      <c r="B37" s="777"/>
      <c r="C37" s="778"/>
      <c r="D37" s="65">
        <v>26160</v>
      </c>
      <c r="E37" s="66" t="s">
        <v>1</v>
      </c>
      <c r="F37" s="782" t="s">
        <v>3</v>
      </c>
      <c r="G37" s="783"/>
      <c r="H37" s="784"/>
      <c r="I37" s="785"/>
    </row>
    <row r="38" spans="1:9" ht="15.75" thickBot="1" x14ac:dyDescent="0.3">
      <c r="A38" s="789" t="s">
        <v>2</v>
      </c>
      <c r="B38" s="790"/>
      <c r="C38" s="791"/>
      <c r="D38" s="268">
        <v>0</v>
      </c>
      <c r="E38" s="269" t="s">
        <v>1</v>
      </c>
      <c r="F38" s="792"/>
      <c r="G38" s="792"/>
      <c r="H38" s="780"/>
      <c r="I38" s="781"/>
    </row>
    <row r="39" spans="1:9" ht="15.75" thickBot="1" x14ac:dyDescent="0.3">
      <c r="A39" s="793" t="s">
        <v>0</v>
      </c>
      <c r="B39" s="794"/>
      <c r="C39" s="794"/>
      <c r="D39" s="794"/>
      <c r="E39" s="794"/>
      <c r="F39" s="794"/>
      <c r="G39" s="794"/>
      <c r="H39" s="794"/>
      <c r="I39" s="795"/>
    </row>
    <row r="40" spans="1:9" ht="14.45" customHeight="1" x14ac:dyDescent="0.25">
      <c r="A40" s="849" t="s">
        <v>266</v>
      </c>
      <c r="B40" s="850"/>
      <c r="C40" s="850"/>
      <c r="D40" s="850"/>
      <c r="E40" s="850"/>
      <c r="F40" s="850"/>
      <c r="G40" s="850"/>
      <c r="H40" s="850"/>
      <c r="I40" s="851"/>
    </row>
    <row r="41" spans="1:9" ht="15.6" customHeight="1" x14ac:dyDescent="0.25">
      <c r="A41" s="849" t="s">
        <v>267</v>
      </c>
      <c r="B41" s="850"/>
      <c r="C41" s="850"/>
      <c r="D41" s="850"/>
      <c r="E41" s="850"/>
      <c r="F41" s="850"/>
      <c r="G41" s="850"/>
      <c r="H41" s="850"/>
      <c r="I41" s="851"/>
    </row>
    <row r="42" spans="1:9" ht="14.45" customHeight="1" x14ac:dyDescent="0.25">
      <c r="A42" s="849"/>
      <c r="B42" s="850"/>
      <c r="C42" s="850"/>
      <c r="D42" s="850"/>
      <c r="E42" s="850"/>
      <c r="F42" s="850"/>
      <c r="G42" s="850"/>
      <c r="H42" s="850"/>
      <c r="I42" s="851"/>
    </row>
    <row r="43" spans="1:9" ht="14.45" customHeight="1" x14ac:dyDescent="0.25">
      <c r="A43" s="849"/>
      <c r="B43" s="850"/>
      <c r="C43" s="850"/>
      <c r="D43" s="850"/>
      <c r="E43" s="850"/>
      <c r="F43" s="850"/>
      <c r="G43" s="850"/>
      <c r="H43" s="850"/>
      <c r="I43" s="851"/>
    </row>
    <row r="44" spans="1:9" ht="14.45" customHeight="1" x14ac:dyDescent="0.25">
      <c r="A44" s="849"/>
      <c r="B44" s="850"/>
      <c r="C44" s="850"/>
      <c r="D44" s="850"/>
      <c r="E44" s="850"/>
      <c r="F44" s="850"/>
      <c r="G44" s="850"/>
      <c r="H44" s="850"/>
      <c r="I44" s="851"/>
    </row>
    <row r="45" spans="1:9" ht="18" customHeight="1" thickBot="1" x14ac:dyDescent="0.3">
      <c r="A45" s="869"/>
      <c r="B45" s="870"/>
      <c r="C45" s="871"/>
      <c r="D45" s="871"/>
      <c r="E45" s="871"/>
      <c r="F45" s="871"/>
      <c r="G45" s="871"/>
      <c r="H45" s="871"/>
      <c r="I45" s="872"/>
    </row>
    <row r="46" spans="1:9" ht="15.75" x14ac:dyDescent="0.25">
      <c r="A46" s="873"/>
      <c r="B46" s="874"/>
      <c r="C46" s="874"/>
      <c r="D46" s="874"/>
      <c r="E46" s="874"/>
      <c r="F46" s="874"/>
      <c r="G46" s="874"/>
      <c r="H46" s="874"/>
      <c r="I46" s="875"/>
    </row>
    <row r="47" spans="1:9" ht="15.75" thickBot="1" x14ac:dyDescent="0.3">
      <c r="A47" s="866"/>
      <c r="B47" s="867"/>
      <c r="C47" s="867"/>
      <c r="D47" s="867"/>
      <c r="E47" s="867"/>
      <c r="F47" s="867"/>
      <c r="G47" s="867"/>
      <c r="H47" s="867"/>
      <c r="I47" s="868"/>
    </row>
    <row r="48" spans="1:9" x14ac:dyDescent="0.25">
      <c r="A48" s="596" t="s">
        <v>45</v>
      </c>
      <c r="B48" s="597"/>
      <c r="C48" s="597"/>
      <c r="D48" s="597"/>
      <c r="E48" s="597"/>
      <c r="F48" s="597"/>
      <c r="G48" s="597"/>
      <c r="H48" s="597"/>
      <c r="I48" s="597"/>
    </row>
    <row r="49" spans="1:9" x14ac:dyDescent="0.25">
      <c r="A49" s="585" t="s">
        <v>268</v>
      </c>
      <c r="B49" s="586"/>
      <c r="C49" s="586"/>
      <c r="D49" s="586"/>
      <c r="E49" s="586"/>
      <c r="F49" s="586"/>
      <c r="G49" s="586"/>
      <c r="H49" s="586"/>
      <c r="I49" s="586"/>
    </row>
    <row r="50" spans="1:9" x14ac:dyDescent="0.25">
      <c r="A50" s="585"/>
      <c r="B50" s="586"/>
      <c r="C50" s="586"/>
      <c r="D50" s="586"/>
      <c r="E50" s="586"/>
      <c r="F50" s="586"/>
      <c r="G50" s="586"/>
      <c r="H50" s="586"/>
      <c r="I50" s="586"/>
    </row>
  </sheetData>
  <mergeCells count="44">
    <mergeCell ref="A48:I48"/>
    <mergeCell ref="A49:I49"/>
    <mergeCell ref="A50:I50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6E78-FB4C-4C93-9E48-E09E2F1B0DB0}">
  <dimension ref="A1:M42"/>
  <sheetViews>
    <sheetView workbookViewId="0">
      <selection activeCell="D17" sqref="D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46"/>
      <c r="B1" s="747"/>
      <c r="C1" s="643" t="s">
        <v>35</v>
      </c>
      <c r="D1" s="643"/>
      <c r="E1" s="643"/>
      <c r="F1" s="643"/>
      <c r="G1" s="643"/>
      <c r="H1" s="197" t="s">
        <v>34</v>
      </c>
      <c r="I1" s="315" t="s">
        <v>269</v>
      </c>
    </row>
    <row r="2" spans="1:9" ht="16.5" thickBot="1" x14ac:dyDescent="0.3">
      <c r="A2" s="748"/>
      <c r="B2" s="749"/>
      <c r="C2" s="644" t="s">
        <v>33</v>
      </c>
      <c r="D2" s="644"/>
      <c r="E2" s="644"/>
      <c r="F2" s="644"/>
      <c r="G2" s="644"/>
      <c r="H2" s="201" t="s">
        <v>32</v>
      </c>
      <c r="I2" s="202" t="s">
        <v>227</v>
      </c>
    </row>
    <row r="3" spans="1:9" ht="18.75" thickBot="1" x14ac:dyDescent="0.3">
      <c r="A3" s="748"/>
      <c r="B3" s="749"/>
      <c r="C3" s="876" t="s">
        <v>270</v>
      </c>
      <c r="D3" s="877"/>
      <c r="E3" s="877"/>
      <c r="F3" s="877"/>
      <c r="G3" s="878"/>
      <c r="H3" s="758" t="s">
        <v>31</v>
      </c>
      <c r="I3" s="737">
        <v>45608</v>
      </c>
    </row>
    <row r="4" spans="1:9" x14ac:dyDescent="0.25">
      <c r="A4" s="748"/>
      <c r="B4" s="749"/>
      <c r="C4" s="203" t="s">
        <v>30</v>
      </c>
      <c r="D4" s="740" t="s">
        <v>181</v>
      </c>
      <c r="E4" s="741"/>
      <c r="F4" s="741"/>
      <c r="G4" s="742"/>
      <c r="H4" s="759"/>
      <c r="I4" s="738"/>
    </row>
    <row r="5" spans="1:9" ht="15.75" thickBot="1" x14ac:dyDescent="0.3">
      <c r="A5" s="750"/>
      <c r="B5" s="751"/>
      <c r="C5" s="204" t="s">
        <v>29</v>
      </c>
      <c r="D5" s="743" t="s">
        <v>28</v>
      </c>
      <c r="E5" s="744"/>
      <c r="F5" s="744"/>
      <c r="G5" s="745"/>
      <c r="H5" s="760"/>
      <c r="I5" s="739"/>
    </row>
    <row r="6" spans="1:9" ht="18.75" thickBot="1" x14ac:dyDescent="0.3">
      <c r="A6" s="761" t="s">
        <v>27</v>
      </c>
      <c r="B6" s="761"/>
      <c r="C6" s="761"/>
      <c r="D6" s="762" t="s">
        <v>271</v>
      </c>
      <c r="E6" s="762"/>
      <c r="F6" s="762"/>
      <c r="G6" s="763" t="s">
        <v>26</v>
      </c>
      <c r="H6" s="763"/>
      <c r="I6" s="205" t="s">
        <v>271</v>
      </c>
    </row>
    <row r="7" spans="1:9" ht="25.5" x14ac:dyDescent="0.25">
      <c r="A7" s="764" t="s">
        <v>25</v>
      </c>
      <c r="B7" s="766" t="s">
        <v>42</v>
      </c>
      <c r="C7" s="768" t="s">
        <v>24</v>
      </c>
      <c r="D7" s="768" t="s">
        <v>23</v>
      </c>
      <c r="E7" s="768" t="s">
        <v>22</v>
      </c>
      <c r="F7" s="768"/>
      <c r="G7" s="768" t="s">
        <v>21</v>
      </c>
      <c r="H7" s="768"/>
      <c r="I7" s="206" t="s">
        <v>20</v>
      </c>
    </row>
    <row r="8" spans="1:9" ht="27" thickBot="1" x14ac:dyDescent="0.3">
      <c r="A8" s="765"/>
      <c r="B8" s="767"/>
      <c r="C8" s="769"/>
      <c r="D8" s="769"/>
      <c r="E8" s="207" t="s">
        <v>14</v>
      </c>
      <c r="F8" s="208" t="s">
        <v>19</v>
      </c>
      <c r="G8" s="207" t="s">
        <v>14</v>
      </c>
      <c r="H8" s="208" t="s">
        <v>19</v>
      </c>
      <c r="I8" s="209" t="s">
        <v>18</v>
      </c>
    </row>
    <row r="9" spans="1:9" x14ac:dyDescent="0.25">
      <c r="A9" s="210"/>
      <c r="B9" s="211"/>
      <c r="C9" s="212" t="s">
        <v>43</v>
      </c>
      <c r="D9" s="213"/>
      <c r="E9" s="88"/>
      <c r="F9" s="89"/>
      <c r="G9" s="88"/>
      <c r="H9" s="89"/>
      <c r="I9" s="214"/>
    </row>
    <row r="10" spans="1:9" x14ac:dyDescent="0.25">
      <c r="A10" s="333" t="s">
        <v>211</v>
      </c>
      <c r="B10" s="333"/>
      <c r="C10" s="334" t="s">
        <v>212</v>
      </c>
      <c r="D10" s="335" t="s">
        <v>17</v>
      </c>
      <c r="E10" s="336">
        <v>21400</v>
      </c>
      <c r="F10" s="337" t="s">
        <v>1</v>
      </c>
      <c r="G10" s="338"/>
      <c r="H10" s="89"/>
      <c r="I10" s="214"/>
    </row>
    <row r="11" spans="1:9" x14ac:dyDescent="0.25">
      <c r="A11" s="248">
        <v>90100131</v>
      </c>
      <c r="B11" s="248" t="s">
        <v>272</v>
      </c>
      <c r="C11" s="249" t="s">
        <v>273</v>
      </c>
      <c r="D11" s="80" t="s">
        <v>17</v>
      </c>
      <c r="E11" s="339">
        <v>8000</v>
      </c>
      <c r="F11" s="72" t="s">
        <v>1</v>
      </c>
      <c r="G11" s="338"/>
      <c r="H11" s="89"/>
      <c r="I11" s="214"/>
    </row>
    <row r="12" spans="1:9" x14ac:dyDescent="0.25">
      <c r="A12" s="248" t="s">
        <v>274</v>
      </c>
      <c r="B12" s="248" t="s">
        <v>275</v>
      </c>
      <c r="C12" s="249" t="s">
        <v>276</v>
      </c>
      <c r="D12" s="80" t="s">
        <v>277</v>
      </c>
      <c r="E12" s="339">
        <v>5</v>
      </c>
      <c r="F12" s="72" t="s">
        <v>1</v>
      </c>
      <c r="G12" s="338"/>
      <c r="H12" s="89"/>
      <c r="I12" s="214"/>
    </row>
    <row r="13" spans="1:9" x14ac:dyDescent="0.25">
      <c r="A13" s="248" t="s">
        <v>278</v>
      </c>
      <c r="B13" s="248" t="s">
        <v>279</v>
      </c>
      <c r="C13" s="249" t="s">
        <v>280</v>
      </c>
      <c r="D13" s="80" t="s">
        <v>281</v>
      </c>
      <c r="E13" s="339">
        <v>2000</v>
      </c>
      <c r="F13" s="72" t="s">
        <v>1</v>
      </c>
      <c r="G13" s="338"/>
      <c r="H13" s="89"/>
      <c r="I13" s="214"/>
    </row>
    <row r="14" spans="1:9" x14ac:dyDescent="0.25">
      <c r="A14" s="248" t="s">
        <v>243</v>
      </c>
      <c r="B14" s="248" t="s">
        <v>244</v>
      </c>
      <c r="C14" s="249" t="s">
        <v>245</v>
      </c>
      <c r="D14" s="80" t="s">
        <v>282</v>
      </c>
      <c r="E14" s="339">
        <v>66</v>
      </c>
      <c r="F14" s="72" t="s">
        <v>1</v>
      </c>
      <c r="G14" s="338"/>
      <c r="H14" s="89"/>
      <c r="I14" s="214"/>
    </row>
    <row r="15" spans="1:9" x14ac:dyDescent="0.25">
      <c r="A15" s="248"/>
      <c r="B15" s="248"/>
      <c r="C15" s="249"/>
      <c r="D15" s="80"/>
      <c r="E15" s="339"/>
      <c r="F15" s="72"/>
      <c r="G15" s="338"/>
      <c r="H15" s="89"/>
      <c r="I15" s="214"/>
    </row>
    <row r="16" spans="1:9" ht="15.75" x14ac:dyDescent="0.25">
      <c r="A16" s="223"/>
      <c r="B16" s="224"/>
      <c r="C16" s="225" t="s">
        <v>44</v>
      </c>
      <c r="D16" s="228"/>
      <c r="E16" s="229"/>
      <c r="F16" s="98"/>
      <c r="G16" s="88"/>
      <c r="H16" s="89"/>
      <c r="I16" s="214"/>
    </row>
    <row r="17" spans="1:13" x14ac:dyDescent="0.25">
      <c r="A17" s="340"/>
      <c r="B17" s="341"/>
      <c r="C17" s="342"/>
      <c r="D17" s="343"/>
      <c r="E17" s="97"/>
      <c r="F17" s="98"/>
      <c r="G17" s="88"/>
      <c r="H17" s="89"/>
      <c r="I17" s="214"/>
    </row>
    <row r="18" spans="1:13" ht="15.75" x14ac:dyDescent="0.25">
      <c r="A18" s="238"/>
      <c r="B18" s="239"/>
      <c r="C18" s="240" t="s">
        <v>187</v>
      </c>
      <c r="D18" s="241"/>
      <c r="E18" s="88"/>
      <c r="F18" s="89"/>
      <c r="G18" s="88"/>
      <c r="H18" s="89"/>
      <c r="I18" s="214"/>
    </row>
    <row r="19" spans="1:13" x14ac:dyDescent="0.25">
      <c r="A19" s="291">
        <v>512000002</v>
      </c>
      <c r="B19" s="2" t="s">
        <v>191</v>
      </c>
      <c r="C19" s="1" t="s">
        <v>283</v>
      </c>
      <c r="D19" s="70" t="s">
        <v>87</v>
      </c>
      <c r="E19" s="67" t="s">
        <v>284</v>
      </c>
      <c r="F19" s="72" t="s">
        <v>285</v>
      </c>
      <c r="G19" s="338"/>
      <c r="H19" s="89"/>
      <c r="I19" s="214"/>
    </row>
    <row r="20" spans="1:13" x14ac:dyDescent="0.25">
      <c r="A20" s="2" t="s">
        <v>82</v>
      </c>
      <c r="B20" s="2" t="s">
        <v>16</v>
      </c>
      <c r="C20" s="1" t="s">
        <v>190</v>
      </c>
      <c r="D20" s="70"/>
      <c r="E20" s="71">
        <v>2</v>
      </c>
      <c r="F20" s="72" t="s">
        <v>6</v>
      </c>
      <c r="G20" s="88"/>
      <c r="H20" s="89"/>
      <c r="I20" s="214"/>
    </row>
    <row r="21" spans="1:13" x14ac:dyDescent="0.25">
      <c r="A21" s="344"/>
      <c r="B21" s="345"/>
      <c r="C21" s="346"/>
      <c r="D21" s="228"/>
      <c r="E21" s="97"/>
      <c r="F21" s="98"/>
      <c r="G21" s="88"/>
      <c r="H21" s="89"/>
      <c r="I21" s="214"/>
    </row>
    <row r="22" spans="1:13" ht="15.75" x14ac:dyDescent="0.25">
      <c r="A22" s="223"/>
      <c r="B22" s="224"/>
      <c r="C22" s="332"/>
      <c r="D22" s="228"/>
      <c r="E22" s="228"/>
      <c r="F22" s="98"/>
      <c r="G22" s="35"/>
      <c r="H22" s="35"/>
      <c r="I22" s="214"/>
    </row>
    <row r="23" spans="1:13" ht="15.75" thickBot="1" x14ac:dyDescent="0.3">
      <c r="A23" s="253"/>
      <c r="B23" s="254"/>
      <c r="C23" s="255"/>
      <c r="D23" s="255"/>
      <c r="E23" s="256"/>
      <c r="F23" s="257"/>
      <c r="G23" s="255"/>
      <c r="H23" s="255"/>
      <c r="I23" s="258"/>
      <c r="J23" s="347"/>
      <c r="K23" s="347"/>
      <c r="L23" s="348"/>
      <c r="M23" s="347"/>
    </row>
    <row r="24" spans="1:13" ht="15.75" thickBot="1" x14ac:dyDescent="0.3">
      <c r="A24" s="259"/>
      <c r="B24" s="260"/>
      <c r="C24" s="261"/>
      <c r="D24" s="262" t="s">
        <v>14</v>
      </c>
      <c r="E24" s="263" t="s">
        <v>13</v>
      </c>
      <c r="F24" s="264"/>
      <c r="G24" s="261"/>
      <c r="H24" s="261"/>
      <c r="I24" s="265"/>
      <c r="J24" s="347"/>
      <c r="K24" s="347"/>
      <c r="L24" s="348"/>
      <c r="M24" s="347"/>
    </row>
    <row r="25" spans="1:13" x14ac:dyDescent="0.25">
      <c r="A25" s="770" t="s">
        <v>12</v>
      </c>
      <c r="B25" s="771"/>
      <c r="C25" s="772"/>
      <c r="D25" s="306">
        <v>28460</v>
      </c>
      <c r="E25" s="307" t="s">
        <v>1</v>
      </c>
      <c r="F25" s="773" t="s">
        <v>11</v>
      </c>
      <c r="G25" s="773"/>
      <c r="H25" s="774"/>
      <c r="I25" s="775"/>
      <c r="J25" s="347"/>
      <c r="K25" s="347"/>
      <c r="L25" s="348"/>
      <c r="M25" s="347"/>
    </row>
    <row r="26" spans="1:13" x14ac:dyDescent="0.25">
      <c r="A26" s="776" t="s">
        <v>10</v>
      </c>
      <c r="B26" s="777"/>
      <c r="C26" s="778"/>
      <c r="D26" s="308">
        <v>15</v>
      </c>
      <c r="E26" s="309" t="s">
        <v>9</v>
      </c>
      <c r="F26" s="779" t="s">
        <v>8</v>
      </c>
      <c r="G26" s="779"/>
      <c r="H26" s="780"/>
      <c r="I26" s="781"/>
      <c r="J26" s="347"/>
      <c r="K26" s="347"/>
      <c r="L26" s="348"/>
      <c r="M26" s="347"/>
    </row>
    <row r="27" spans="1:13" x14ac:dyDescent="0.25">
      <c r="A27" s="776" t="s">
        <v>7</v>
      </c>
      <c r="B27" s="777"/>
      <c r="C27" s="778"/>
      <c r="D27" s="309">
        <v>1</v>
      </c>
      <c r="E27" s="309" t="s">
        <v>286</v>
      </c>
      <c r="F27" s="779" t="s">
        <v>5</v>
      </c>
      <c r="G27" s="779"/>
      <c r="H27" s="780"/>
      <c r="I27" s="781"/>
      <c r="J27" s="347"/>
      <c r="K27" s="347"/>
      <c r="L27" s="348"/>
      <c r="M27" s="347"/>
    </row>
    <row r="28" spans="1:13" x14ac:dyDescent="0.25">
      <c r="A28" s="776" t="s">
        <v>4</v>
      </c>
      <c r="B28" s="777"/>
      <c r="C28" s="778"/>
      <c r="D28" s="306">
        <v>28460</v>
      </c>
      <c r="E28" s="309" t="s">
        <v>1</v>
      </c>
      <c r="F28" s="782" t="s">
        <v>3</v>
      </c>
      <c r="G28" s="783"/>
      <c r="H28" s="780"/>
      <c r="I28" s="781"/>
      <c r="J28" s="347"/>
      <c r="K28" s="347"/>
      <c r="L28" s="348"/>
      <c r="M28" s="349"/>
    </row>
    <row r="29" spans="1:13" ht="15.75" thickBot="1" x14ac:dyDescent="0.3">
      <c r="A29" s="789" t="s">
        <v>2</v>
      </c>
      <c r="B29" s="790"/>
      <c r="C29" s="791"/>
      <c r="D29" s="312">
        <f>SUM(E10:E14)-D25</f>
        <v>3011</v>
      </c>
      <c r="E29" s="313" t="s">
        <v>1</v>
      </c>
      <c r="F29" s="792"/>
      <c r="G29" s="792"/>
      <c r="H29" s="880"/>
      <c r="I29" s="881"/>
      <c r="J29" s="255"/>
      <c r="K29" s="255"/>
      <c r="L29" s="348"/>
      <c r="M29" s="255"/>
    </row>
    <row r="30" spans="1:13" ht="15.75" thickBot="1" x14ac:dyDescent="0.3">
      <c r="A30" s="793" t="s">
        <v>0</v>
      </c>
      <c r="B30" s="794"/>
      <c r="C30" s="794"/>
      <c r="D30" s="794"/>
      <c r="E30" s="794"/>
      <c r="F30" s="794"/>
      <c r="G30" s="794"/>
      <c r="H30" s="794"/>
      <c r="I30" s="795"/>
      <c r="J30" s="347"/>
      <c r="K30" s="347"/>
      <c r="L30" s="347"/>
      <c r="M30" s="347"/>
    </row>
    <row r="31" spans="1:13" x14ac:dyDescent="0.25">
      <c r="A31" s="879" t="s">
        <v>287</v>
      </c>
      <c r="B31" s="879"/>
      <c r="C31" s="879"/>
      <c r="D31" s="879"/>
      <c r="E31" s="879"/>
      <c r="F31" s="879"/>
      <c r="G31" s="879"/>
      <c r="H31" s="879"/>
      <c r="I31" s="879"/>
      <c r="J31" s="347"/>
      <c r="K31" s="347"/>
      <c r="L31" s="347"/>
      <c r="M31" s="347"/>
    </row>
    <row r="32" spans="1:13" x14ac:dyDescent="0.25">
      <c r="A32" s="879" t="s">
        <v>288</v>
      </c>
      <c r="B32" s="879"/>
      <c r="C32" s="879"/>
      <c r="D32" s="879"/>
      <c r="E32" s="879"/>
      <c r="F32" s="879"/>
      <c r="G32" s="879"/>
      <c r="H32" s="879"/>
      <c r="I32" s="879"/>
      <c r="J32" s="347"/>
      <c r="K32" s="347"/>
      <c r="L32" s="347"/>
      <c r="M32" s="347"/>
    </row>
    <row r="33" spans="1:13" x14ac:dyDescent="0.25">
      <c r="A33" s="885" t="s">
        <v>289</v>
      </c>
      <c r="B33" s="885"/>
      <c r="C33" s="885"/>
      <c r="D33" s="885"/>
      <c r="E33" s="885"/>
      <c r="F33" s="885"/>
      <c r="G33" s="885"/>
      <c r="H33" s="885"/>
      <c r="I33" s="885"/>
      <c r="J33" s="347"/>
      <c r="K33" s="347"/>
      <c r="L33" s="347"/>
      <c r="M33" s="347"/>
    </row>
    <row r="34" spans="1:13" x14ac:dyDescent="0.25">
      <c r="A34" s="886"/>
      <c r="B34" s="886"/>
      <c r="C34" s="886"/>
      <c r="D34" s="886"/>
      <c r="E34" s="886"/>
      <c r="F34" s="886"/>
      <c r="G34" s="886"/>
      <c r="H34" s="886"/>
      <c r="I34" s="886"/>
      <c r="J34" s="347"/>
      <c r="K34" s="347"/>
      <c r="L34" s="347"/>
      <c r="M34" s="347"/>
    </row>
    <row r="35" spans="1:13" x14ac:dyDescent="0.25">
      <c r="A35" s="886"/>
      <c r="B35" s="886"/>
      <c r="C35" s="886"/>
      <c r="D35" s="886"/>
      <c r="E35" s="886"/>
      <c r="F35" s="886"/>
      <c r="G35" s="886"/>
      <c r="H35" s="886"/>
      <c r="I35" s="886"/>
      <c r="J35" s="347"/>
      <c r="K35" s="347"/>
      <c r="L35" s="347"/>
      <c r="M35" s="347"/>
    </row>
    <row r="36" spans="1:13" x14ac:dyDescent="0.25">
      <c r="A36" s="887"/>
      <c r="B36" s="888"/>
      <c r="C36" s="888"/>
      <c r="D36" s="888"/>
      <c r="E36" s="888"/>
      <c r="F36" s="888"/>
      <c r="G36" s="888"/>
      <c r="H36" s="888"/>
      <c r="I36" s="889"/>
      <c r="J36" s="347"/>
      <c r="K36" s="347"/>
      <c r="L36" s="347"/>
      <c r="M36" s="347"/>
    </row>
    <row r="37" spans="1:13" x14ac:dyDescent="0.25">
      <c r="A37" s="887"/>
      <c r="B37" s="888"/>
      <c r="C37" s="888"/>
      <c r="D37" s="888"/>
      <c r="E37" s="888"/>
      <c r="F37" s="888"/>
      <c r="G37" s="888"/>
      <c r="H37" s="888"/>
      <c r="I37" s="889"/>
      <c r="J37" s="347"/>
      <c r="K37" s="347"/>
      <c r="L37" s="347"/>
      <c r="M37" s="347"/>
    </row>
    <row r="38" spans="1:13" x14ac:dyDescent="0.25">
      <c r="A38" s="890"/>
      <c r="B38" s="891"/>
      <c r="C38" s="891"/>
      <c r="D38" s="891"/>
      <c r="E38" s="891"/>
      <c r="F38" s="891"/>
      <c r="G38" s="891"/>
      <c r="H38" s="891"/>
      <c r="I38" s="892"/>
      <c r="J38" s="347"/>
      <c r="K38" s="347"/>
      <c r="L38" s="347"/>
      <c r="M38" s="347"/>
    </row>
    <row r="39" spans="1:13" ht="15.75" thickBot="1" x14ac:dyDescent="0.3">
      <c r="A39" s="882"/>
      <c r="B39" s="883"/>
      <c r="C39" s="883"/>
      <c r="D39" s="883"/>
      <c r="E39" s="883"/>
      <c r="F39" s="883"/>
      <c r="G39" s="883"/>
      <c r="H39" s="883"/>
      <c r="I39" s="884"/>
      <c r="J39" s="347"/>
      <c r="K39" s="347"/>
      <c r="L39" s="347"/>
      <c r="M39" s="347"/>
    </row>
    <row r="40" spans="1:13" x14ac:dyDescent="0.25">
      <c r="A40" s="596" t="s">
        <v>45</v>
      </c>
      <c r="B40" s="597"/>
      <c r="C40" s="597"/>
      <c r="D40" s="597"/>
      <c r="E40" s="597"/>
      <c r="F40" s="597"/>
      <c r="G40" s="597"/>
      <c r="H40" s="597"/>
      <c r="I40" s="597"/>
      <c r="J40" s="347"/>
      <c r="K40" s="347"/>
      <c r="L40" s="347"/>
      <c r="M40" s="347"/>
    </row>
    <row r="41" spans="1:13" x14ac:dyDescent="0.25">
      <c r="A41" s="585" t="s">
        <v>290</v>
      </c>
      <c r="B41" s="586"/>
      <c r="C41" s="586"/>
      <c r="D41" s="586"/>
      <c r="E41" s="586"/>
      <c r="F41" s="586"/>
      <c r="G41" s="586"/>
      <c r="H41" s="586"/>
      <c r="I41" s="586"/>
      <c r="J41" s="347"/>
      <c r="K41" s="347"/>
      <c r="L41" s="347"/>
      <c r="M41" s="347"/>
    </row>
    <row r="42" spans="1:13" x14ac:dyDescent="0.25">
      <c r="A42" s="585"/>
      <c r="B42" s="586"/>
      <c r="C42" s="586"/>
      <c r="D42" s="586"/>
      <c r="E42" s="586"/>
      <c r="F42" s="586"/>
      <c r="G42" s="586"/>
      <c r="H42" s="586"/>
      <c r="I42" s="586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4CDC-1F49-4DA5-941B-418622578939}">
  <dimension ref="A1:I58"/>
  <sheetViews>
    <sheetView zoomScale="70" zoomScaleNormal="70" workbookViewId="0">
      <selection activeCell="C13" sqref="C13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 t="s">
        <v>291</v>
      </c>
    </row>
    <row r="2" spans="1:9" ht="18" customHeight="1" thickBot="1" x14ac:dyDescent="0.35">
      <c r="A2" s="617"/>
      <c r="B2" s="618"/>
      <c r="C2" s="752" t="s">
        <v>33</v>
      </c>
      <c r="D2" s="753"/>
      <c r="E2" s="753"/>
      <c r="F2" s="753"/>
      <c r="G2" s="754"/>
      <c r="H2" s="6" t="s">
        <v>32</v>
      </c>
      <c r="I2" s="7" t="s">
        <v>227</v>
      </c>
    </row>
    <row r="3" spans="1:9" ht="31.5" customHeight="1" thickBot="1" x14ac:dyDescent="0.3">
      <c r="A3" s="617"/>
      <c r="B3" s="618"/>
      <c r="C3" s="893" t="s">
        <v>292</v>
      </c>
      <c r="D3" s="894"/>
      <c r="E3" s="894"/>
      <c r="F3" s="894"/>
      <c r="G3" s="895"/>
      <c r="H3" s="646" t="s">
        <v>31</v>
      </c>
      <c r="I3" s="634">
        <v>45613</v>
      </c>
    </row>
    <row r="4" spans="1:9" ht="18" customHeight="1" x14ac:dyDescent="0.3">
      <c r="A4" s="617"/>
      <c r="B4" s="618"/>
      <c r="C4" s="8" t="s">
        <v>30</v>
      </c>
      <c r="D4" s="637" t="s">
        <v>181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28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44</v>
      </c>
      <c r="E6" s="622"/>
      <c r="F6" s="622"/>
      <c r="G6" s="623" t="s">
        <v>26</v>
      </c>
      <c r="H6" s="623"/>
      <c r="I6" s="10" t="s">
        <v>293</v>
      </c>
    </row>
    <row r="7" spans="1:9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8" customHeight="1" x14ac:dyDescent="0.3">
      <c r="A10" s="350">
        <v>11400029</v>
      </c>
      <c r="B10" s="351" t="s">
        <v>294</v>
      </c>
      <c r="C10" s="352" t="s">
        <v>295</v>
      </c>
      <c r="D10" s="353" t="s">
        <v>296</v>
      </c>
      <c r="E10" s="354">
        <v>16000</v>
      </c>
      <c r="F10" s="355" t="s">
        <v>1</v>
      </c>
      <c r="G10" s="356"/>
      <c r="H10" s="357" t="s">
        <v>297</v>
      </c>
      <c r="I10" s="21"/>
    </row>
    <row r="11" spans="1:9" ht="17.25" x14ac:dyDescent="0.3">
      <c r="A11" s="350">
        <v>11400031</v>
      </c>
      <c r="B11" s="358" t="s">
        <v>298</v>
      </c>
      <c r="C11" s="359" t="s">
        <v>299</v>
      </c>
      <c r="D11" s="353" t="s">
        <v>296</v>
      </c>
      <c r="E11" s="360">
        <v>8000</v>
      </c>
      <c r="F11" s="361" t="s">
        <v>1</v>
      </c>
      <c r="G11" s="356"/>
      <c r="H11" s="357" t="s">
        <v>300</v>
      </c>
      <c r="I11" s="21"/>
    </row>
    <row r="12" spans="1:9" ht="17.25" x14ac:dyDescent="0.3">
      <c r="A12" s="350" t="s">
        <v>211</v>
      </c>
      <c r="B12" s="358"/>
      <c r="C12" s="359" t="s">
        <v>212</v>
      </c>
      <c r="D12" s="353" t="s">
        <v>17</v>
      </c>
      <c r="E12" s="360">
        <v>1000</v>
      </c>
      <c r="F12" s="361" t="s">
        <v>1</v>
      </c>
      <c r="G12" s="362"/>
      <c r="H12" s="357"/>
      <c r="I12" s="21"/>
    </row>
    <row r="13" spans="1:9" ht="17.25" x14ac:dyDescent="0.3">
      <c r="A13" s="350">
        <v>1212410</v>
      </c>
      <c r="B13" s="358" t="s">
        <v>244</v>
      </c>
      <c r="C13" s="359" t="s">
        <v>245</v>
      </c>
      <c r="D13" s="353" t="s">
        <v>282</v>
      </c>
      <c r="E13" s="360">
        <v>22</v>
      </c>
      <c r="F13" s="361" t="s">
        <v>1</v>
      </c>
      <c r="G13" s="362"/>
      <c r="H13" s="357"/>
      <c r="I13" s="21"/>
    </row>
    <row r="14" spans="1:9" ht="17.25" x14ac:dyDescent="0.3">
      <c r="A14" s="363"/>
      <c r="B14" s="364"/>
      <c r="C14" s="365"/>
      <c r="D14" s="362"/>
      <c r="E14" s="362"/>
      <c r="F14" s="366"/>
      <c r="G14" s="362"/>
      <c r="H14" s="357"/>
      <c r="I14" s="21"/>
    </row>
    <row r="15" spans="1:9" ht="17.25" x14ac:dyDescent="0.3">
      <c r="A15" s="367"/>
      <c r="B15" s="364"/>
      <c r="C15" s="368"/>
      <c r="D15" s="362"/>
      <c r="E15" s="362"/>
      <c r="F15" s="366"/>
      <c r="G15" s="362"/>
      <c r="H15" s="357"/>
      <c r="I15" s="21"/>
    </row>
    <row r="16" spans="1:9" ht="17.25" x14ac:dyDescent="0.3">
      <c r="A16" s="362"/>
      <c r="B16" s="362"/>
      <c r="C16" s="369"/>
      <c r="D16" s="370"/>
      <c r="E16" s="370"/>
      <c r="F16" s="356"/>
      <c r="G16" s="362"/>
      <c r="H16" s="357"/>
      <c r="I16" s="21"/>
    </row>
    <row r="17" spans="1:9" ht="17.25" x14ac:dyDescent="0.3">
      <c r="A17" s="364"/>
      <c r="B17" s="364"/>
      <c r="C17" s="371"/>
      <c r="D17" s="362"/>
      <c r="E17" s="362"/>
      <c r="F17" s="366"/>
      <c r="G17" s="362"/>
      <c r="H17" s="357"/>
      <c r="I17" s="21"/>
    </row>
    <row r="18" spans="1:9" ht="17.25" x14ac:dyDescent="0.3">
      <c r="A18" s="363"/>
      <c r="B18" s="364"/>
      <c r="C18" s="365"/>
      <c r="D18" s="362"/>
      <c r="E18" s="362"/>
      <c r="F18" s="366"/>
      <c r="G18" s="362"/>
      <c r="H18" s="357"/>
      <c r="I18" s="21"/>
    </row>
    <row r="19" spans="1:9" ht="17.25" x14ac:dyDescent="0.3">
      <c r="A19" s="62"/>
      <c r="B19" s="62"/>
      <c r="C19" s="372"/>
      <c r="D19" s="373"/>
      <c r="E19" s="25"/>
      <c r="F19" s="3"/>
      <c r="G19" s="19"/>
      <c r="H19" s="357"/>
      <c r="I19" s="21"/>
    </row>
    <row r="20" spans="1:9" ht="15.75" x14ac:dyDescent="0.25">
      <c r="A20" s="43"/>
      <c r="B20" s="44"/>
      <c r="C20" s="225" t="s">
        <v>44</v>
      </c>
      <c r="D20" s="35"/>
      <c r="E20" s="374"/>
      <c r="F20" s="32"/>
      <c r="G20" s="19"/>
      <c r="H20" s="20"/>
      <c r="I20" s="21"/>
    </row>
    <row r="21" spans="1:9" ht="17.25" x14ac:dyDescent="0.3">
      <c r="A21" s="350"/>
      <c r="B21" s="375"/>
      <c r="C21" s="352"/>
      <c r="D21" s="353"/>
      <c r="E21" s="360"/>
      <c r="F21" s="361"/>
      <c r="G21" s="19"/>
      <c r="H21" s="20"/>
      <c r="I21" s="21"/>
    </row>
    <row r="22" spans="1:9" ht="17.25" x14ac:dyDescent="0.3">
      <c r="A22" s="350"/>
      <c r="B22" s="375"/>
      <c r="C22" s="352"/>
      <c r="D22" s="353"/>
      <c r="E22" s="376"/>
      <c r="F22" s="361"/>
      <c r="G22" s="19"/>
      <c r="H22" s="20"/>
      <c r="I22" s="21"/>
    </row>
    <row r="23" spans="1:9" ht="17.25" x14ac:dyDescent="0.3">
      <c r="A23" s="350"/>
      <c r="B23" s="375"/>
      <c r="C23" s="352"/>
      <c r="D23" s="353"/>
      <c r="E23" s="360"/>
      <c r="F23" s="361"/>
      <c r="G23" s="19"/>
      <c r="H23" s="20"/>
      <c r="I23" s="21"/>
    </row>
    <row r="24" spans="1:9" ht="17.25" x14ac:dyDescent="0.3">
      <c r="A24" s="350"/>
      <c r="B24" s="375"/>
      <c r="C24" s="352"/>
      <c r="D24" s="353"/>
      <c r="E24" s="377"/>
      <c r="F24" s="378"/>
      <c r="G24" s="19"/>
      <c r="H24" s="20"/>
      <c r="I24" s="21"/>
    </row>
    <row r="25" spans="1:9" ht="17.25" x14ac:dyDescent="0.3">
      <c r="A25" s="350"/>
      <c r="B25" s="375"/>
      <c r="C25" s="352"/>
      <c r="D25" s="353"/>
      <c r="E25" s="354"/>
      <c r="F25" s="378"/>
      <c r="G25" s="19"/>
      <c r="H25" s="20"/>
      <c r="I25" s="21"/>
    </row>
    <row r="26" spans="1:9" ht="17.25" x14ac:dyDescent="0.3">
      <c r="A26" s="379"/>
      <c r="B26" s="379"/>
      <c r="C26" s="380"/>
      <c r="D26" s="381"/>
      <c r="E26" s="382"/>
      <c r="F26" s="383"/>
      <c r="G26" s="19"/>
      <c r="H26" s="20"/>
      <c r="I26" s="21"/>
    </row>
    <row r="27" spans="1:9" ht="17.25" x14ac:dyDescent="0.3">
      <c r="A27" s="62"/>
      <c r="B27" s="62"/>
      <c r="C27" s="372"/>
      <c r="D27" s="384"/>
      <c r="E27" s="385"/>
      <c r="F27" s="383"/>
      <c r="G27" s="19"/>
      <c r="H27" s="20"/>
      <c r="I27" s="21"/>
    </row>
    <row r="28" spans="1:9" ht="17.25" x14ac:dyDescent="0.3">
      <c r="A28" s="62"/>
      <c r="B28" s="62"/>
      <c r="C28" s="372"/>
      <c r="D28" s="384"/>
      <c r="E28" s="376"/>
      <c r="F28" s="29"/>
      <c r="G28" s="19"/>
      <c r="H28" s="20"/>
      <c r="I28" s="21"/>
    </row>
    <row r="29" spans="1:9" ht="15.75" x14ac:dyDescent="0.25">
      <c r="A29" s="386"/>
      <c r="B29" s="387"/>
      <c r="C29" s="240" t="s">
        <v>187</v>
      </c>
      <c r="D29" s="388"/>
      <c r="E29" s="389"/>
      <c r="F29" s="20"/>
      <c r="G29" s="19"/>
      <c r="H29" s="380"/>
      <c r="I29" s="21"/>
    </row>
    <row r="30" spans="1:9" ht="17.25" x14ac:dyDescent="0.3">
      <c r="A30" s="34">
        <v>702123</v>
      </c>
      <c r="B30" s="34" t="s">
        <v>16</v>
      </c>
      <c r="C30" s="45" t="s">
        <v>190</v>
      </c>
      <c r="D30" s="390"/>
      <c r="E30" s="391">
        <v>1</v>
      </c>
      <c r="F30" s="392" t="s">
        <v>6</v>
      </c>
      <c r="G30" s="393"/>
      <c r="H30" s="20"/>
      <c r="I30" s="21"/>
    </row>
    <row r="31" spans="1:9" ht="17.25" x14ac:dyDescent="0.3">
      <c r="A31" s="34"/>
      <c r="B31" s="34"/>
      <c r="C31" s="45"/>
      <c r="D31" s="390"/>
      <c r="E31" s="391"/>
      <c r="F31" s="392"/>
      <c r="G31" s="393"/>
      <c r="H31" s="20"/>
      <c r="I31" s="21"/>
    </row>
    <row r="32" spans="1:9" ht="17.25" x14ac:dyDescent="0.3">
      <c r="A32" s="34"/>
      <c r="B32" s="34"/>
      <c r="C32" s="45"/>
      <c r="D32" s="390"/>
      <c r="E32" s="391"/>
      <c r="F32" s="392"/>
      <c r="G32" s="393"/>
      <c r="H32" s="20"/>
      <c r="I32" s="21"/>
    </row>
    <row r="33" spans="1:9" ht="15.75" x14ac:dyDescent="0.25">
      <c r="A33" s="394"/>
      <c r="B33" s="394"/>
      <c r="C33" s="395"/>
      <c r="D33" s="26"/>
      <c r="E33" s="396"/>
      <c r="F33" s="397"/>
      <c r="G33" s="19"/>
      <c r="H33" s="20"/>
      <c r="I33" s="21"/>
    </row>
    <row r="34" spans="1:9" ht="15.75" x14ac:dyDescent="0.25">
      <c r="A34" s="394"/>
      <c r="B34" s="394"/>
      <c r="C34" s="398"/>
      <c r="D34" s="26"/>
      <c r="E34" s="26"/>
      <c r="F34" s="397"/>
      <c r="G34" s="19"/>
      <c r="H34" s="20"/>
      <c r="I34" s="21"/>
    </row>
    <row r="35" spans="1:9" ht="15.75" x14ac:dyDescent="0.25">
      <c r="A35" s="394"/>
      <c r="B35" s="394"/>
      <c r="C35" s="398"/>
      <c r="D35" s="26"/>
      <c r="E35" s="26"/>
      <c r="F35" s="397"/>
      <c r="G35" s="399"/>
      <c r="H35" s="20"/>
      <c r="I35" s="21"/>
    </row>
    <row r="36" spans="1:9" ht="15.75" x14ac:dyDescent="0.25">
      <c r="A36" s="400"/>
      <c r="B36" s="401"/>
      <c r="C36" s="402"/>
      <c r="D36" s="403"/>
      <c r="E36" s="403"/>
      <c r="F36" s="404"/>
      <c r="G36" s="31"/>
      <c r="H36" s="20"/>
      <c r="I36" s="21"/>
    </row>
    <row r="37" spans="1:9" ht="15.75" x14ac:dyDescent="0.25">
      <c r="A37" s="43"/>
      <c r="B37" s="44"/>
      <c r="C37" s="45"/>
      <c r="D37" s="26"/>
      <c r="E37" s="31"/>
      <c r="F37" s="32"/>
      <c r="G37" s="31"/>
      <c r="H37" s="20"/>
      <c r="I37" s="21"/>
    </row>
    <row r="38" spans="1:9" ht="15.75" x14ac:dyDescent="0.25">
      <c r="A38" s="43"/>
      <c r="B38" s="44"/>
      <c r="C38" s="45"/>
      <c r="D38" s="35"/>
      <c r="E38" s="35"/>
      <c r="F38" s="32"/>
      <c r="G38" s="35"/>
      <c r="H38" s="35"/>
      <c r="I38" s="21"/>
    </row>
    <row r="39" spans="1:9" ht="18" thickBot="1" x14ac:dyDescent="0.35">
      <c r="A39" s="46"/>
      <c r="B39" s="47"/>
      <c r="C39" s="48"/>
      <c r="D39" s="48"/>
      <c r="E39" s="49"/>
      <c r="F39" s="50"/>
      <c r="G39" s="48"/>
      <c r="H39" s="48"/>
      <c r="I39" s="51"/>
    </row>
    <row r="40" spans="1:9" ht="18" thickBot="1" x14ac:dyDescent="0.35">
      <c r="A40" s="52"/>
      <c r="B40" s="53"/>
      <c r="C40" s="54"/>
      <c r="D40" s="55" t="s">
        <v>14</v>
      </c>
      <c r="E40" s="56" t="s">
        <v>13</v>
      </c>
      <c r="F40" s="57"/>
      <c r="G40" s="54"/>
      <c r="H40" s="54"/>
      <c r="I40" s="58"/>
    </row>
    <row r="41" spans="1:9" ht="17.25" x14ac:dyDescent="0.3">
      <c r="A41" s="587" t="s">
        <v>12</v>
      </c>
      <c r="B41" s="588"/>
      <c r="C41" s="589"/>
      <c r="D41" s="385">
        <v>24500</v>
      </c>
      <c r="E41" s="405" t="s">
        <v>1</v>
      </c>
      <c r="F41" s="590" t="s">
        <v>11</v>
      </c>
      <c r="G41" s="590"/>
      <c r="H41" s="591"/>
      <c r="I41" s="592"/>
    </row>
    <row r="42" spans="1:9" ht="17.25" x14ac:dyDescent="0.3">
      <c r="A42" s="609" t="s">
        <v>10</v>
      </c>
      <c r="B42" s="610"/>
      <c r="C42" s="611"/>
      <c r="D42" s="362">
        <v>21</v>
      </c>
      <c r="E42" s="362" t="s">
        <v>9</v>
      </c>
      <c r="F42" s="612" t="s">
        <v>8</v>
      </c>
      <c r="G42" s="612"/>
      <c r="H42" s="613"/>
      <c r="I42" s="614"/>
    </row>
    <row r="43" spans="1:9" ht="17.25" x14ac:dyDescent="0.3">
      <c r="A43" s="609" t="s">
        <v>7</v>
      </c>
      <c r="B43" s="610"/>
      <c r="C43" s="611"/>
      <c r="D43" s="362">
        <v>1</v>
      </c>
      <c r="E43" s="362" t="s">
        <v>6</v>
      </c>
      <c r="F43" s="612" t="s">
        <v>5</v>
      </c>
      <c r="G43" s="612"/>
      <c r="H43" s="613"/>
      <c r="I43" s="614"/>
    </row>
    <row r="44" spans="1:9" ht="17.25" x14ac:dyDescent="0.3">
      <c r="A44" s="609" t="s">
        <v>4</v>
      </c>
      <c r="B44" s="610"/>
      <c r="C44" s="611"/>
      <c r="D44" s="376">
        <v>24500</v>
      </c>
      <c r="E44" s="362" t="s">
        <v>1</v>
      </c>
      <c r="F44" s="629" t="s">
        <v>3</v>
      </c>
      <c r="G44" s="630"/>
      <c r="H44" s="900"/>
      <c r="I44" s="901"/>
    </row>
    <row r="45" spans="1:9" ht="18" thickBot="1" x14ac:dyDescent="0.35">
      <c r="A45" s="650" t="s">
        <v>2</v>
      </c>
      <c r="B45" s="651"/>
      <c r="C45" s="652"/>
      <c r="D45" s="406">
        <v>500</v>
      </c>
      <c r="E45" s="407" t="s">
        <v>1</v>
      </c>
      <c r="F45" s="653"/>
      <c r="G45" s="653"/>
      <c r="H45" s="613"/>
      <c r="I45" s="614"/>
    </row>
    <row r="46" spans="1:9" ht="16.5" thickBot="1" x14ac:dyDescent="0.3">
      <c r="A46" s="631" t="s">
        <v>0</v>
      </c>
      <c r="B46" s="632"/>
      <c r="C46" s="632"/>
      <c r="D46" s="632"/>
      <c r="E46" s="632"/>
      <c r="F46" s="632"/>
      <c r="G46" s="632"/>
      <c r="H46" s="632"/>
      <c r="I46" s="633"/>
    </row>
    <row r="47" spans="1:9" ht="18.399999999999999" customHeight="1" x14ac:dyDescent="0.3">
      <c r="A47" s="896" t="s">
        <v>301</v>
      </c>
      <c r="B47" s="897"/>
      <c r="C47" s="898"/>
      <c r="D47" s="898"/>
      <c r="E47" s="898"/>
      <c r="F47" s="898"/>
      <c r="G47" s="898"/>
      <c r="H47" s="898"/>
      <c r="I47" s="899"/>
    </row>
    <row r="48" spans="1:9" ht="14.65" customHeight="1" x14ac:dyDescent="0.3">
      <c r="A48" s="896" t="s">
        <v>302</v>
      </c>
      <c r="B48" s="897"/>
      <c r="C48" s="898"/>
      <c r="D48" s="898"/>
      <c r="E48" s="898"/>
      <c r="F48" s="898"/>
      <c r="G48" s="898"/>
      <c r="H48" s="898"/>
      <c r="I48" s="899"/>
    </row>
    <row r="49" spans="1:9" ht="14.65" customHeight="1" x14ac:dyDescent="0.3">
      <c r="A49" s="606" t="s">
        <v>303</v>
      </c>
      <c r="B49" s="607"/>
      <c r="C49" s="607"/>
      <c r="D49" s="607"/>
      <c r="E49" s="607"/>
      <c r="F49" s="607"/>
      <c r="G49" s="607"/>
      <c r="H49" s="607"/>
      <c r="I49" s="608"/>
    </row>
    <row r="50" spans="1:9" ht="14.65" customHeight="1" x14ac:dyDescent="0.25">
      <c r="A50" s="909"/>
      <c r="B50" s="910"/>
      <c r="C50" s="910"/>
      <c r="D50" s="910"/>
      <c r="E50" s="910"/>
      <c r="F50" s="910"/>
      <c r="G50" s="910"/>
      <c r="H50" s="910"/>
      <c r="I50" s="911"/>
    </row>
    <row r="51" spans="1:9" ht="14.65" customHeight="1" x14ac:dyDescent="0.25">
      <c r="A51" s="909"/>
      <c r="B51" s="910"/>
      <c r="C51" s="910"/>
      <c r="D51" s="910"/>
      <c r="E51" s="910"/>
      <c r="F51" s="910"/>
      <c r="G51" s="910"/>
      <c r="H51" s="910"/>
      <c r="I51" s="911"/>
    </row>
    <row r="52" spans="1:9" ht="14.65" customHeight="1" thickBot="1" x14ac:dyDescent="0.3">
      <c r="A52" s="912"/>
      <c r="B52" s="913"/>
      <c r="C52" s="913"/>
      <c r="D52" s="913"/>
      <c r="E52" s="913"/>
      <c r="F52" s="913"/>
      <c r="G52" s="913"/>
      <c r="H52" s="913"/>
      <c r="I52" s="914"/>
    </row>
    <row r="53" spans="1:9" ht="18" customHeight="1" x14ac:dyDescent="0.3">
      <c r="A53" s="915"/>
      <c r="B53" s="916"/>
      <c r="C53" s="916"/>
      <c r="D53" s="916"/>
      <c r="E53" s="916"/>
      <c r="F53" s="916"/>
      <c r="G53" s="916"/>
      <c r="H53" s="916"/>
      <c r="I53" s="917"/>
    </row>
    <row r="54" spans="1:9" ht="18" thickBot="1" x14ac:dyDescent="0.35">
      <c r="A54" s="918"/>
      <c r="B54" s="919"/>
      <c r="C54" s="919"/>
      <c r="D54" s="919"/>
      <c r="E54" s="919"/>
      <c r="F54" s="919"/>
      <c r="G54" s="919"/>
      <c r="H54" s="919"/>
      <c r="I54" s="920"/>
    </row>
    <row r="55" spans="1:9" ht="15.75" x14ac:dyDescent="0.25">
      <c r="A55" s="902"/>
      <c r="B55" s="903"/>
      <c r="C55" s="903"/>
      <c r="D55" s="903"/>
      <c r="E55" s="903"/>
      <c r="F55" s="903"/>
      <c r="G55" s="903"/>
      <c r="H55" s="903"/>
      <c r="I55" s="904"/>
    </row>
    <row r="56" spans="1:9" ht="16.5" thickBot="1" x14ac:dyDescent="0.3">
      <c r="A56" s="380"/>
      <c r="B56" s="380"/>
      <c r="C56" s="380"/>
      <c r="D56" s="380"/>
      <c r="E56" s="380"/>
      <c r="F56" s="380"/>
      <c r="G56" s="380"/>
      <c r="H56" s="380"/>
      <c r="I56" s="380"/>
    </row>
    <row r="57" spans="1:9" ht="15.75" x14ac:dyDescent="0.25">
      <c r="A57" s="905" t="s">
        <v>304</v>
      </c>
      <c r="B57" s="906"/>
      <c r="C57" s="906"/>
      <c r="D57" s="906"/>
      <c r="E57" s="906"/>
      <c r="F57" s="906"/>
      <c r="G57" s="906"/>
      <c r="H57" s="906"/>
      <c r="I57" s="906"/>
    </row>
    <row r="58" spans="1:9" ht="17.25" x14ac:dyDescent="0.3">
      <c r="A58" s="907"/>
      <c r="B58" s="908"/>
      <c r="C58" s="908"/>
      <c r="D58" s="908"/>
      <c r="E58" s="908"/>
      <c r="F58" s="908"/>
      <c r="G58" s="908"/>
      <c r="H58" s="908"/>
      <c r="I58" s="908"/>
    </row>
  </sheetData>
  <mergeCells count="44">
    <mergeCell ref="A55:I55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34C3-4751-465B-9A3F-4C7BAD5548A9}">
  <dimension ref="A1:L58"/>
  <sheetViews>
    <sheetView zoomScale="55" zoomScaleNormal="55" workbookViewId="0">
      <selection activeCell="D9" sqref="D9"/>
    </sheetView>
  </sheetViews>
  <sheetFormatPr baseColWidth="10" defaultRowHeight="15" x14ac:dyDescent="0.25"/>
  <cols>
    <col min="1" max="1" width="15.140625" bestFit="1" customWidth="1"/>
    <col min="2" max="2" width="14.42578125" bestFit="1" customWidth="1"/>
    <col min="3" max="3" width="49" customWidth="1"/>
    <col min="4" max="4" width="34.28515625" bestFit="1" customWidth="1"/>
    <col min="5" max="5" width="14.42578125" bestFit="1" customWidth="1"/>
    <col min="8" max="8" width="33.7109375" bestFit="1" customWidth="1"/>
    <col min="9" max="9" width="22.7109375" bestFit="1" customWidth="1"/>
  </cols>
  <sheetData>
    <row r="1" spans="1:12" ht="18.75" x14ac:dyDescent="0.25">
      <c r="A1" s="930"/>
      <c r="B1" s="931"/>
      <c r="C1" s="936" t="s">
        <v>35</v>
      </c>
      <c r="D1" s="936"/>
      <c r="E1" s="936"/>
      <c r="F1" s="936"/>
      <c r="G1" s="936"/>
      <c r="H1" s="408" t="s">
        <v>34</v>
      </c>
      <c r="I1" s="409" t="s">
        <v>305</v>
      </c>
    </row>
    <row r="2" spans="1:12" ht="18" customHeight="1" thickBot="1" x14ac:dyDescent="0.3">
      <c r="A2" s="932"/>
      <c r="B2" s="933"/>
      <c r="C2" s="937" t="s">
        <v>33</v>
      </c>
      <c r="D2" s="938"/>
      <c r="E2" s="938"/>
      <c r="F2" s="938"/>
      <c r="G2" s="939"/>
      <c r="H2" s="410" t="s">
        <v>32</v>
      </c>
      <c r="I2" s="411" t="s">
        <v>227</v>
      </c>
    </row>
    <row r="3" spans="1:12" ht="31.5" customHeight="1" thickBot="1" x14ac:dyDescent="0.3">
      <c r="A3" s="932"/>
      <c r="B3" s="933"/>
      <c r="C3" s="940" t="s">
        <v>306</v>
      </c>
      <c r="D3" s="941"/>
      <c r="E3" s="941"/>
      <c r="F3" s="941"/>
      <c r="G3" s="942"/>
      <c r="H3" s="943" t="s">
        <v>31</v>
      </c>
      <c r="I3" s="921">
        <v>45613</v>
      </c>
    </row>
    <row r="4" spans="1:12" ht="18" customHeight="1" x14ac:dyDescent="0.25">
      <c r="A4" s="932"/>
      <c r="B4" s="933"/>
      <c r="C4" s="412" t="s">
        <v>30</v>
      </c>
      <c r="D4" s="924" t="s">
        <v>181</v>
      </c>
      <c r="E4" s="925"/>
      <c r="F4" s="925"/>
      <c r="G4" s="926"/>
      <c r="H4" s="944"/>
      <c r="I4" s="922"/>
    </row>
    <row r="5" spans="1:12" ht="19.5" thickBot="1" x14ac:dyDescent="0.3">
      <c r="A5" s="934"/>
      <c r="B5" s="935"/>
      <c r="C5" s="413" t="s">
        <v>29</v>
      </c>
      <c r="D5" s="927" t="s">
        <v>28</v>
      </c>
      <c r="E5" s="928"/>
      <c r="F5" s="928"/>
      <c r="G5" s="929"/>
      <c r="H5" s="945"/>
      <c r="I5" s="923"/>
    </row>
    <row r="6" spans="1:12" ht="20.25" thickBot="1" x14ac:dyDescent="0.35">
      <c r="A6" s="946" t="s">
        <v>27</v>
      </c>
      <c r="B6" s="946"/>
      <c r="C6" s="946"/>
      <c r="D6" s="947" t="s">
        <v>307</v>
      </c>
      <c r="E6" s="947"/>
      <c r="F6" s="947"/>
      <c r="G6" s="948" t="s">
        <v>26</v>
      </c>
      <c r="H6" s="948"/>
      <c r="I6" s="414" t="s">
        <v>307</v>
      </c>
    </row>
    <row r="7" spans="1:12" ht="37.5" x14ac:dyDescent="0.25">
      <c r="A7" s="949" t="s">
        <v>25</v>
      </c>
      <c r="B7" s="951" t="s">
        <v>42</v>
      </c>
      <c r="C7" s="953" t="s">
        <v>24</v>
      </c>
      <c r="D7" s="953" t="s">
        <v>23</v>
      </c>
      <c r="E7" s="953" t="s">
        <v>22</v>
      </c>
      <c r="F7" s="953"/>
      <c r="G7" s="953" t="s">
        <v>21</v>
      </c>
      <c r="H7" s="953"/>
      <c r="I7" s="415" t="s">
        <v>20</v>
      </c>
    </row>
    <row r="8" spans="1:12" ht="57" thickBot="1" x14ac:dyDescent="0.3">
      <c r="A8" s="950"/>
      <c r="B8" s="952"/>
      <c r="C8" s="954"/>
      <c r="D8" s="954"/>
      <c r="E8" s="416" t="s">
        <v>14</v>
      </c>
      <c r="F8" s="417" t="s">
        <v>19</v>
      </c>
      <c r="G8" s="416" t="s">
        <v>14</v>
      </c>
      <c r="H8" s="417" t="s">
        <v>19</v>
      </c>
      <c r="I8" s="418" t="s">
        <v>18</v>
      </c>
    </row>
    <row r="9" spans="1:12" ht="19.5" x14ac:dyDescent="0.3">
      <c r="A9" s="419"/>
      <c r="B9" s="420"/>
      <c r="C9" s="421" t="s">
        <v>43</v>
      </c>
      <c r="D9" s="422"/>
      <c r="E9" s="423"/>
      <c r="F9" s="424"/>
      <c r="G9" s="423"/>
      <c r="H9" s="424"/>
      <c r="I9" s="425"/>
    </row>
    <row r="10" spans="1:12" ht="18" customHeight="1" x14ac:dyDescent="0.3">
      <c r="A10" s="426" t="s">
        <v>37</v>
      </c>
      <c r="B10" s="427" t="s">
        <v>38</v>
      </c>
      <c r="C10" s="428" t="s">
        <v>308</v>
      </c>
      <c r="D10" s="429" t="s">
        <v>53</v>
      </c>
      <c r="E10" s="430">
        <f>5000/5.35</f>
        <v>934.57943925233656</v>
      </c>
      <c r="F10" s="431" t="s">
        <v>1</v>
      </c>
      <c r="G10" s="432"/>
      <c r="H10" s="433"/>
      <c r="I10" s="425"/>
    </row>
    <row r="11" spans="1:12" ht="19.5" x14ac:dyDescent="0.3">
      <c r="A11" s="426" t="s">
        <v>211</v>
      </c>
      <c r="B11" s="434"/>
      <c r="C11" s="435" t="s">
        <v>212</v>
      </c>
      <c r="D11" s="429" t="s">
        <v>17</v>
      </c>
      <c r="E11" s="436">
        <f>400/5.35</f>
        <v>74.766355140186917</v>
      </c>
      <c r="F11" s="437" t="s">
        <v>1</v>
      </c>
      <c r="G11" s="432"/>
      <c r="H11" s="433"/>
      <c r="I11" s="425"/>
    </row>
    <row r="12" spans="1:12" ht="19.5" x14ac:dyDescent="0.3">
      <c r="A12" s="426"/>
      <c r="B12" s="434"/>
      <c r="C12" s="435"/>
      <c r="D12" s="429"/>
      <c r="E12" s="436"/>
      <c r="F12" s="437"/>
      <c r="G12" s="438"/>
      <c r="H12" s="433"/>
      <c r="I12" s="425"/>
    </row>
    <row r="13" spans="1:12" ht="19.5" x14ac:dyDescent="0.3">
      <c r="A13" s="426"/>
      <c r="B13" s="434"/>
      <c r="C13" s="435"/>
      <c r="D13" s="429"/>
      <c r="E13" s="436"/>
      <c r="F13" s="437"/>
      <c r="G13" s="438"/>
      <c r="H13" s="433"/>
      <c r="I13" s="425"/>
    </row>
    <row r="14" spans="1:12" ht="19.5" x14ac:dyDescent="0.3">
      <c r="A14" s="439"/>
      <c r="B14" s="440"/>
      <c r="C14" s="441"/>
      <c r="D14" s="438"/>
      <c r="E14" s="438"/>
      <c r="F14" s="442"/>
      <c r="G14" s="438"/>
      <c r="H14" s="433"/>
      <c r="I14" s="425"/>
    </row>
    <row r="15" spans="1:12" ht="19.5" x14ac:dyDescent="0.3">
      <c r="A15" s="443"/>
      <c r="B15" s="440"/>
      <c r="C15" s="444"/>
      <c r="D15" s="438"/>
      <c r="E15" s="438"/>
      <c r="F15" s="442"/>
      <c r="G15" s="438"/>
      <c r="H15" s="433"/>
      <c r="I15" s="425"/>
    </row>
    <row r="16" spans="1:12" ht="19.5" x14ac:dyDescent="0.3">
      <c r="A16" s="438"/>
      <c r="B16" s="438"/>
      <c r="C16" s="445"/>
      <c r="D16" s="446"/>
      <c r="E16" s="446"/>
      <c r="F16" s="432"/>
      <c r="G16" s="438"/>
      <c r="H16" s="433"/>
      <c r="I16" s="425"/>
      <c r="L16">
        <f>D41/1000</f>
        <v>1</v>
      </c>
    </row>
    <row r="17" spans="1:9" ht="19.5" x14ac:dyDescent="0.3">
      <c r="A17" s="440"/>
      <c r="B17" s="440"/>
      <c r="C17" s="447"/>
      <c r="D17" s="438"/>
      <c r="E17" s="438"/>
      <c r="F17" s="442"/>
      <c r="G17" s="438"/>
      <c r="H17" s="433"/>
      <c r="I17" s="425"/>
    </row>
    <row r="18" spans="1:9" ht="19.5" x14ac:dyDescent="0.3">
      <c r="A18" s="439"/>
      <c r="B18" s="440"/>
      <c r="C18" s="441"/>
      <c r="D18" s="438"/>
      <c r="E18" s="438"/>
      <c r="F18" s="442"/>
      <c r="G18" s="438"/>
      <c r="H18" s="433"/>
      <c r="I18" s="425"/>
    </row>
    <row r="19" spans="1:9" ht="19.5" x14ac:dyDescent="0.3">
      <c r="A19" s="448"/>
      <c r="B19" s="448"/>
      <c r="C19" s="449"/>
      <c r="D19" s="450"/>
      <c r="E19" s="451"/>
      <c r="F19" s="452"/>
      <c r="G19" s="423"/>
      <c r="H19" s="433"/>
      <c r="I19" s="425"/>
    </row>
    <row r="20" spans="1:9" ht="19.5" x14ac:dyDescent="0.3">
      <c r="A20" s="453"/>
      <c r="B20" s="454"/>
      <c r="C20" s="455" t="s">
        <v>44</v>
      </c>
      <c r="D20" s="456"/>
      <c r="E20" s="457"/>
      <c r="F20" s="458"/>
      <c r="G20" s="423"/>
      <c r="H20" s="424"/>
      <c r="I20" s="425"/>
    </row>
    <row r="21" spans="1:9" ht="19.5" x14ac:dyDescent="0.3">
      <c r="A21" s="426"/>
      <c r="B21" s="459"/>
      <c r="C21" s="428"/>
      <c r="D21" s="429"/>
      <c r="E21" s="436"/>
      <c r="F21" s="437"/>
      <c r="G21" s="423"/>
      <c r="H21" s="424"/>
      <c r="I21" s="425"/>
    </row>
    <row r="22" spans="1:9" ht="19.5" x14ac:dyDescent="0.3">
      <c r="A22" s="426"/>
      <c r="B22" s="459"/>
      <c r="C22" s="428"/>
      <c r="D22" s="429"/>
      <c r="E22" s="460"/>
      <c r="F22" s="437"/>
      <c r="G22" s="423"/>
      <c r="H22" s="424"/>
      <c r="I22" s="425"/>
    </row>
    <row r="23" spans="1:9" ht="19.5" x14ac:dyDescent="0.3">
      <c r="A23" s="426"/>
      <c r="B23" s="459"/>
      <c r="C23" s="428"/>
      <c r="D23" s="429"/>
      <c r="E23" s="436"/>
      <c r="F23" s="437"/>
      <c r="G23" s="423"/>
      <c r="H23" s="424"/>
      <c r="I23" s="425"/>
    </row>
    <row r="24" spans="1:9" ht="19.5" x14ac:dyDescent="0.3">
      <c r="A24" s="426"/>
      <c r="B24" s="459"/>
      <c r="C24" s="428"/>
      <c r="D24" s="429"/>
      <c r="E24" s="461"/>
      <c r="F24" s="462"/>
      <c r="G24" s="423"/>
      <c r="H24" s="424"/>
      <c r="I24" s="425"/>
    </row>
    <row r="25" spans="1:9" ht="19.5" x14ac:dyDescent="0.3">
      <c r="A25" s="426"/>
      <c r="B25" s="459"/>
      <c r="C25" s="428"/>
      <c r="D25" s="429"/>
      <c r="E25" s="430"/>
      <c r="F25" s="462"/>
      <c r="G25" s="423"/>
      <c r="H25" s="424"/>
      <c r="I25" s="425"/>
    </row>
    <row r="26" spans="1:9" ht="19.5" x14ac:dyDescent="0.3">
      <c r="A26" s="463"/>
      <c r="B26" s="463"/>
      <c r="C26" s="464"/>
      <c r="D26" s="465"/>
      <c r="E26" s="466"/>
      <c r="F26" s="467"/>
      <c r="G26" s="423"/>
      <c r="H26" s="424"/>
      <c r="I26" s="425"/>
    </row>
    <row r="27" spans="1:9" ht="19.5" x14ac:dyDescent="0.3">
      <c r="A27" s="448"/>
      <c r="B27" s="448"/>
      <c r="C27" s="449"/>
      <c r="D27" s="468"/>
      <c r="E27" s="469"/>
      <c r="F27" s="467"/>
      <c r="G27" s="423"/>
      <c r="H27" s="424"/>
      <c r="I27" s="425"/>
    </row>
    <row r="28" spans="1:9" ht="19.5" x14ac:dyDescent="0.3">
      <c r="A28" s="448"/>
      <c r="B28" s="448"/>
      <c r="C28" s="449"/>
      <c r="D28" s="468"/>
      <c r="E28" s="460"/>
      <c r="F28" s="470"/>
      <c r="G28" s="423"/>
      <c r="H28" s="424"/>
      <c r="I28" s="425"/>
    </row>
    <row r="29" spans="1:9" ht="19.5" x14ac:dyDescent="0.3">
      <c r="A29" s="471"/>
      <c r="B29" s="472"/>
      <c r="C29" s="473" t="s">
        <v>187</v>
      </c>
      <c r="D29" s="474"/>
      <c r="E29" s="475"/>
      <c r="F29" s="424"/>
      <c r="G29" s="423"/>
      <c r="H29" s="464"/>
      <c r="I29" s="425"/>
    </row>
    <row r="30" spans="1:9" ht="19.5" x14ac:dyDescent="0.3">
      <c r="A30" s="476" t="s">
        <v>309</v>
      </c>
      <c r="B30" s="476" t="s">
        <v>191</v>
      </c>
      <c r="C30" s="477" t="s">
        <v>283</v>
      </c>
      <c r="D30" s="478" t="s">
        <v>58</v>
      </c>
      <c r="E30" s="479">
        <v>20</v>
      </c>
      <c r="F30" s="480" t="s">
        <v>88</v>
      </c>
      <c r="G30" s="481"/>
      <c r="H30" s="424"/>
      <c r="I30" s="425"/>
    </row>
    <row r="31" spans="1:9" ht="19.5" x14ac:dyDescent="0.3">
      <c r="A31" s="476" t="s">
        <v>310</v>
      </c>
      <c r="B31" s="476" t="s">
        <v>311</v>
      </c>
      <c r="C31" s="477" t="s">
        <v>312</v>
      </c>
      <c r="D31" s="478" t="s">
        <v>189</v>
      </c>
      <c r="E31" s="479">
        <v>1</v>
      </c>
      <c r="F31" s="480" t="s">
        <v>313</v>
      </c>
      <c r="G31" s="481"/>
      <c r="H31" s="424"/>
      <c r="I31" s="425"/>
    </row>
    <row r="32" spans="1:9" ht="19.5" x14ac:dyDescent="0.3">
      <c r="A32" s="476" t="s">
        <v>314</v>
      </c>
      <c r="B32" s="476" t="s">
        <v>261</v>
      </c>
      <c r="C32" s="477" t="s">
        <v>315</v>
      </c>
      <c r="D32" s="478" t="s">
        <v>316</v>
      </c>
      <c r="E32" s="479">
        <v>1</v>
      </c>
      <c r="F32" s="480" t="s">
        <v>313</v>
      </c>
      <c r="G32" s="481"/>
      <c r="H32" s="424"/>
      <c r="I32" s="425"/>
    </row>
    <row r="33" spans="1:9" ht="19.5" x14ac:dyDescent="0.3">
      <c r="A33" s="482"/>
      <c r="B33" s="482"/>
      <c r="C33" s="483"/>
      <c r="D33" s="484"/>
      <c r="E33" s="485"/>
      <c r="F33" s="486"/>
      <c r="G33" s="423"/>
      <c r="H33" s="424"/>
      <c r="I33" s="425"/>
    </row>
    <row r="34" spans="1:9" ht="19.5" x14ac:dyDescent="0.3">
      <c r="A34" s="482"/>
      <c r="B34" s="482"/>
      <c r="C34" s="487"/>
      <c r="D34" s="484"/>
      <c r="E34" s="484"/>
      <c r="F34" s="486"/>
      <c r="G34" s="423"/>
      <c r="H34" s="424"/>
      <c r="I34" s="425"/>
    </row>
    <row r="35" spans="1:9" ht="19.5" x14ac:dyDescent="0.3">
      <c r="A35" s="482"/>
      <c r="B35" s="482"/>
      <c r="C35" s="487"/>
      <c r="D35" s="484"/>
      <c r="E35" s="484"/>
      <c r="F35" s="486"/>
      <c r="G35" s="488"/>
      <c r="H35" s="424"/>
      <c r="I35" s="425"/>
    </row>
    <row r="36" spans="1:9" ht="19.5" x14ac:dyDescent="0.3">
      <c r="A36" s="489"/>
      <c r="B36" s="490"/>
      <c r="C36" s="491"/>
      <c r="D36" s="492"/>
      <c r="E36" s="492"/>
      <c r="F36" s="493"/>
      <c r="G36" s="494"/>
      <c r="H36" s="424"/>
      <c r="I36" s="425"/>
    </row>
    <row r="37" spans="1:9" ht="19.5" x14ac:dyDescent="0.3">
      <c r="A37" s="453"/>
      <c r="B37" s="454"/>
      <c r="C37" s="477"/>
      <c r="D37" s="484"/>
      <c r="E37" s="494"/>
      <c r="F37" s="458"/>
      <c r="G37" s="494"/>
      <c r="H37" s="424"/>
      <c r="I37" s="425"/>
    </row>
    <row r="38" spans="1:9" ht="19.5" x14ac:dyDescent="0.3">
      <c r="A38" s="453"/>
      <c r="B38" s="454"/>
      <c r="C38" s="477"/>
      <c r="D38" s="456"/>
      <c r="E38" s="456"/>
      <c r="F38" s="458"/>
      <c r="G38" s="456"/>
      <c r="H38" s="456"/>
      <c r="I38" s="425"/>
    </row>
    <row r="39" spans="1:9" ht="19.5" thickBot="1" x14ac:dyDescent="0.3">
      <c r="A39" s="495"/>
      <c r="B39" s="496"/>
      <c r="C39" s="497"/>
      <c r="D39" s="497"/>
      <c r="E39" s="498"/>
      <c r="F39" s="499"/>
      <c r="G39" s="497"/>
      <c r="H39" s="497"/>
      <c r="I39" s="500"/>
    </row>
    <row r="40" spans="1:9" ht="19.5" thickBot="1" x14ac:dyDescent="0.3">
      <c r="A40" s="501"/>
      <c r="B40" s="502"/>
      <c r="C40" s="503"/>
      <c r="D40" s="504" t="s">
        <v>14</v>
      </c>
      <c r="E40" s="505" t="s">
        <v>13</v>
      </c>
      <c r="F40" s="506"/>
      <c r="G40" s="503"/>
      <c r="H40" s="503"/>
      <c r="I40" s="507"/>
    </row>
    <row r="41" spans="1:9" ht="18.75" x14ac:dyDescent="0.25">
      <c r="A41" s="955" t="s">
        <v>12</v>
      </c>
      <c r="B41" s="956"/>
      <c r="C41" s="957"/>
      <c r="D41" s="469">
        <v>1000</v>
      </c>
      <c r="E41" s="508" t="s">
        <v>1</v>
      </c>
      <c r="F41" s="958" t="s">
        <v>11</v>
      </c>
      <c r="G41" s="958"/>
      <c r="H41" s="959"/>
      <c r="I41" s="960"/>
    </row>
    <row r="42" spans="1:9" ht="18.75" x14ac:dyDescent="0.25">
      <c r="A42" s="961" t="s">
        <v>10</v>
      </c>
      <c r="B42" s="962"/>
      <c r="C42" s="963"/>
      <c r="D42" s="438">
        <v>3</v>
      </c>
      <c r="E42" s="438" t="s">
        <v>317</v>
      </c>
      <c r="F42" s="964" t="s">
        <v>8</v>
      </c>
      <c r="G42" s="964"/>
      <c r="H42" s="965"/>
      <c r="I42" s="966"/>
    </row>
    <row r="43" spans="1:9" ht="18.75" x14ac:dyDescent="0.25">
      <c r="A43" s="961" t="s">
        <v>7</v>
      </c>
      <c r="B43" s="962"/>
      <c r="C43" s="963"/>
      <c r="D43" s="438">
        <v>1</v>
      </c>
      <c r="E43" s="438" t="s">
        <v>114</v>
      </c>
      <c r="F43" s="964" t="s">
        <v>5</v>
      </c>
      <c r="G43" s="964"/>
      <c r="H43" s="965"/>
      <c r="I43" s="966"/>
    </row>
    <row r="44" spans="1:9" ht="18.75" x14ac:dyDescent="0.25">
      <c r="A44" s="961" t="s">
        <v>4</v>
      </c>
      <c r="B44" s="962"/>
      <c r="C44" s="963"/>
      <c r="D44" s="460">
        <v>1000</v>
      </c>
      <c r="E44" s="438" t="s">
        <v>1</v>
      </c>
      <c r="F44" s="971" t="s">
        <v>3</v>
      </c>
      <c r="G44" s="972"/>
      <c r="H44" s="973"/>
      <c r="I44" s="974"/>
    </row>
    <row r="45" spans="1:9" ht="19.5" thickBot="1" x14ac:dyDescent="0.3">
      <c r="A45" s="975" t="s">
        <v>2</v>
      </c>
      <c r="B45" s="976"/>
      <c r="C45" s="977"/>
      <c r="D45" s="509">
        <f>SUM(E10:E11)-D41</f>
        <v>9.3457943925234304</v>
      </c>
      <c r="E45" s="510" t="s">
        <v>1</v>
      </c>
      <c r="F45" s="978"/>
      <c r="G45" s="978"/>
      <c r="H45" s="965"/>
      <c r="I45" s="966"/>
    </row>
    <row r="46" spans="1:9" ht="19.5" thickBot="1" x14ac:dyDescent="0.3">
      <c r="A46" s="979" t="s">
        <v>0</v>
      </c>
      <c r="B46" s="980"/>
      <c r="C46" s="980"/>
      <c r="D46" s="980"/>
      <c r="E46" s="980"/>
      <c r="F46" s="980"/>
      <c r="G46" s="980"/>
      <c r="H46" s="980"/>
      <c r="I46" s="981"/>
    </row>
    <row r="47" spans="1:9" ht="18.399999999999999" customHeight="1" x14ac:dyDescent="0.25">
      <c r="A47" s="967" t="s">
        <v>318</v>
      </c>
      <c r="B47" s="968"/>
      <c r="C47" s="969"/>
      <c r="D47" s="969"/>
      <c r="E47" s="969"/>
      <c r="F47" s="969"/>
      <c r="G47" s="969"/>
      <c r="H47" s="969"/>
      <c r="I47" s="970"/>
    </row>
    <row r="48" spans="1:9" ht="14.65" customHeight="1" x14ac:dyDescent="0.25">
      <c r="A48" s="967" t="s">
        <v>319</v>
      </c>
      <c r="B48" s="968"/>
      <c r="C48" s="969"/>
      <c r="D48" s="969"/>
      <c r="E48" s="969"/>
      <c r="F48" s="969"/>
      <c r="G48" s="969"/>
      <c r="H48" s="969"/>
      <c r="I48" s="970"/>
    </row>
    <row r="49" spans="1:9" ht="14.65" customHeight="1" x14ac:dyDescent="0.25">
      <c r="A49" s="967" t="s">
        <v>320</v>
      </c>
      <c r="B49" s="968"/>
      <c r="C49" s="969"/>
      <c r="D49" s="969"/>
      <c r="E49" s="969"/>
      <c r="F49" s="969"/>
      <c r="G49" s="969"/>
      <c r="H49" s="969"/>
      <c r="I49" s="970"/>
    </row>
    <row r="50" spans="1:9" ht="14.65" customHeight="1" x14ac:dyDescent="0.25">
      <c r="A50" s="989" t="s">
        <v>321</v>
      </c>
      <c r="B50" s="990"/>
      <c r="C50" s="991"/>
      <c r="D50" s="991"/>
      <c r="E50" s="991"/>
      <c r="F50" s="991"/>
      <c r="G50" s="991"/>
      <c r="H50" s="991"/>
      <c r="I50" s="992"/>
    </row>
    <row r="51" spans="1:9" ht="14.65" customHeight="1" x14ac:dyDescent="0.25">
      <c r="A51" s="993"/>
      <c r="B51" s="994"/>
      <c r="C51" s="995"/>
      <c r="D51" s="995"/>
      <c r="E51" s="995"/>
      <c r="F51" s="995"/>
      <c r="G51" s="995"/>
      <c r="H51" s="995"/>
      <c r="I51" s="996"/>
    </row>
    <row r="52" spans="1:9" ht="14.65" customHeight="1" x14ac:dyDescent="0.25">
      <c r="A52" s="997"/>
      <c r="B52" s="998"/>
      <c r="C52" s="999"/>
      <c r="D52" s="999"/>
      <c r="E52" s="999"/>
      <c r="F52" s="999"/>
      <c r="G52" s="999"/>
      <c r="H52" s="999"/>
      <c r="I52" s="1000"/>
    </row>
    <row r="53" spans="1:9" ht="18" customHeight="1" x14ac:dyDescent="0.25">
      <c r="A53" s="1001"/>
      <c r="B53" s="1002"/>
      <c r="C53" s="1002"/>
      <c r="D53" s="1002"/>
      <c r="E53" s="1002"/>
      <c r="F53" s="1002"/>
      <c r="G53" s="1002"/>
      <c r="H53" s="1002"/>
      <c r="I53" s="1003"/>
    </row>
    <row r="54" spans="1:9" ht="19.5" thickBot="1" x14ac:dyDescent="0.3">
      <c r="A54" s="1004"/>
      <c r="B54" s="1005"/>
      <c r="C54" s="1005"/>
      <c r="D54" s="1005"/>
      <c r="E54" s="1005"/>
      <c r="F54" s="1005"/>
      <c r="G54" s="1005"/>
      <c r="H54" s="1005"/>
      <c r="I54" s="1006"/>
    </row>
    <row r="55" spans="1:9" ht="20.25" thickBot="1" x14ac:dyDescent="0.35">
      <c r="A55" s="982"/>
      <c r="B55" s="983"/>
      <c r="C55" s="983"/>
      <c r="D55" s="983"/>
      <c r="E55" s="983"/>
      <c r="F55" s="983"/>
      <c r="G55" s="983"/>
      <c r="H55" s="983"/>
      <c r="I55" s="984"/>
    </row>
    <row r="56" spans="1:9" ht="18.75" x14ac:dyDescent="0.25">
      <c r="A56" s="985" t="s">
        <v>45</v>
      </c>
      <c r="B56" s="986"/>
      <c r="C56" s="986"/>
      <c r="D56" s="986"/>
      <c r="E56" s="986"/>
      <c r="F56" s="986"/>
      <c r="G56" s="986"/>
      <c r="H56" s="986"/>
      <c r="I56" s="986"/>
    </row>
    <row r="57" spans="1:9" ht="18.75" x14ac:dyDescent="0.25">
      <c r="A57" s="927" t="s">
        <v>322</v>
      </c>
      <c r="B57" s="928"/>
      <c r="C57" s="928"/>
      <c r="D57" s="928"/>
      <c r="E57" s="928"/>
      <c r="F57" s="928"/>
      <c r="G57" s="928"/>
      <c r="H57" s="928"/>
      <c r="I57" s="929"/>
    </row>
    <row r="58" spans="1:9" ht="18.75" x14ac:dyDescent="0.25">
      <c r="A58" s="987"/>
      <c r="B58" s="988"/>
      <c r="C58" s="988"/>
      <c r="D58" s="988"/>
      <c r="E58" s="988"/>
      <c r="F58" s="988"/>
      <c r="G58" s="988"/>
      <c r="H58" s="988"/>
      <c r="I58" s="988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dimension ref="A1:K58"/>
  <sheetViews>
    <sheetView topLeftCell="A8" zoomScale="82" workbookViewId="0">
      <selection activeCell="E26" sqref="E26"/>
    </sheetView>
  </sheetViews>
  <sheetFormatPr baseColWidth="10" defaultRowHeight="15" x14ac:dyDescent="0.25"/>
  <cols>
    <col min="3" max="3" width="53.140625" customWidth="1"/>
    <col min="4" max="4" width="34.28515625" bestFit="1" customWidth="1"/>
    <col min="7" max="7" width="14.28515625" customWidth="1"/>
    <col min="8" max="8" width="27" customWidth="1"/>
    <col min="9" max="9" width="23.42578125" bestFit="1" customWidth="1"/>
  </cols>
  <sheetData>
    <row r="1" spans="1:9" ht="17.25" x14ac:dyDescent="0.3">
      <c r="A1" s="615"/>
      <c r="B1" s="616"/>
      <c r="C1" s="643" t="s">
        <v>35</v>
      </c>
      <c r="D1" s="643"/>
      <c r="E1" s="643"/>
      <c r="F1" s="643"/>
      <c r="G1" s="643"/>
      <c r="H1" s="4" t="s">
        <v>34</v>
      </c>
      <c r="I1" s="5"/>
    </row>
    <row r="2" spans="1:9" ht="17.25" x14ac:dyDescent="0.3">
      <c r="A2" s="617"/>
      <c r="B2" s="618"/>
      <c r="C2" s="644" t="s">
        <v>33</v>
      </c>
      <c r="D2" s="644"/>
      <c r="E2" s="644"/>
      <c r="F2" s="644"/>
      <c r="G2" s="644"/>
      <c r="H2" s="6" t="s">
        <v>32</v>
      </c>
      <c r="I2" s="7"/>
    </row>
    <row r="3" spans="1:9" ht="15.95" customHeight="1" thickBot="1" x14ac:dyDescent="0.3">
      <c r="A3" s="617"/>
      <c r="B3" s="618"/>
      <c r="C3" s="645" t="s">
        <v>103</v>
      </c>
      <c r="D3" s="645"/>
      <c r="E3" s="645"/>
      <c r="F3" s="645"/>
      <c r="G3" s="645"/>
      <c r="H3" s="646" t="s">
        <v>31</v>
      </c>
      <c r="I3" s="634"/>
    </row>
    <row r="4" spans="1:9" ht="17.25" x14ac:dyDescent="0.3">
      <c r="A4" s="617"/>
      <c r="B4" s="618"/>
      <c r="C4" s="8" t="s">
        <v>30</v>
      </c>
      <c r="D4" s="637" t="s">
        <v>36</v>
      </c>
      <c r="E4" s="638"/>
      <c r="F4" s="638"/>
      <c r="G4" s="639"/>
      <c r="H4" s="647"/>
      <c r="I4" s="635"/>
    </row>
    <row r="5" spans="1:9" ht="18" thickBot="1" x14ac:dyDescent="0.35">
      <c r="A5" s="619"/>
      <c r="B5" s="620"/>
      <c r="C5" s="9" t="s">
        <v>29</v>
      </c>
      <c r="D5" s="640" t="s">
        <v>28</v>
      </c>
      <c r="E5" s="641"/>
      <c r="F5" s="641"/>
      <c r="G5" s="642"/>
      <c r="H5" s="648"/>
      <c r="I5" s="636"/>
    </row>
    <row r="6" spans="1:9" ht="16.5" thickBot="1" x14ac:dyDescent="0.3">
      <c r="A6" s="621" t="s">
        <v>27</v>
      </c>
      <c r="B6" s="621"/>
      <c r="C6" s="621"/>
      <c r="D6" s="622" t="s">
        <v>104</v>
      </c>
      <c r="E6" s="622"/>
      <c r="F6" s="622"/>
      <c r="G6" s="623" t="s">
        <v>26</v>
      </c>
      <c r="H6" s="623"/>
      <c r="I6" s="10" t="s">
        <v>104</v>
      </c>
    </row>
    <row r="7" spans="1:9" x14ac:dyDescent="0.25">
      <c r="A7" s="624" t="s">
        <v>25</v>
      </c>
      <c r="B7" s="626" t="s">
        <v>42</v>
      </c>
      <c r="C7" s="628" t="s">
        <v>24</v>
      </c>
      <c r="D7" s="628" t="s">
        <v>23</v>
      </c>
      <c r="E7" s="628" t="s">
        <v>22</v>
      </c>
      <c r="F7" s="628"/>
      <c r="G7" s="628" t="s">
        <v>21</v>
      </c>
      <c r="H7" s="628"/>
      <c r="I7" s="11" t="s">
        <v>20</v>
      </c>
    </row>
    <row r="8" spans="1:9" ht="31.5" thickBot="1" x14ac:dyDescent="0.3">
      <c r="A8" s="625"/>
      <c r="B8" s="627"/>
      <c r="C8" s="649"/>
      <c r="D8" s="649"/>
      <c r="E8" s="12" t="s">
        <v>14</v>
      </c>
      <c r="F8" s="13" t="s">
        <v>19</v>
      </c>
      <c r="G8" s="12" t="s">
        <v>14</v>
      </c>
      <c r="H8" s="13" t="s">
        <v>19</v>
      </c>
      <c r="I8" s="14" t="s">
        <v>18</v>
      </c>
    </row>
    <row r="9" spans="1:9" ht="15.75" x14ac:dyDescent="0.25">
      <c r="A9" s="15"/>
      <c r="B9" s="16"/>
      <c r="C9" s="17" t="s">
        <v>43</v>
      </c>
      <c r="D9" s="18"/>
      <c r="E9" s="19"/>
      <c r="F9" s="20"/>
      <c r="G9" s="19"/>
      <c r="H9" s="20"/>
      <c r="I9" s="21"/>
    </row>
    <row r="10" spans="1:9" ht="15.95" customHeight="1" x14ac:dyDescent="0.25">
      <c r="A10" s="69" t="s">
        <v>55</v>
      </c>
      <c r="B10" s="69" t="s">
        <v>56</v>
      </c>
      <c r="C10" s="76" t="s">
        <v>57</v>
      </c>
      <c r="D10" s="77" t="s">
        <v>58</v>
      </c>
      <c r="E10" s="71">
        <f>200*4.16</f>
        <v>832</v>
      </c>
      <c r="F10" s="72"/>
      <c r="G10" s="1"/>
      <c r="H10" s="66"/>
      <c r="I10" s="21"/>
    </row>
    <row r="11" spans="1:9" ht="15.75" x14ac:dyDescent="0.25">
      <c r="A11" s="69"/>
      <c r="B11" s="1" t="s">
        <v>105</v>
      </c>
      <c r="C11" t="s">
        <v>106</v>
      </c>
      <c r="D11" s="74"/>
      <c r="E11" s="71">
        <f>50*4.16</f>
        <v>208</v>
      </c>
      <c r="F11" s="72"/>
      <c r="G11" s="2"/>
      <c r="H11" s="66"/>
      <c r="I11" s="21"/>
    </row>
    <row r="12" spans="1:9" ht="15.75" x14ac:dyDescent="0.25">
      <c r="A12" s="69"/>
      <c r="B12" s="69"/>
      <c r="C12" s="69"/>
      <c r="D12" s="75"/>
      <c r="E12" s="71"/>
      <c r="F12" s="72"/>
      <c r="G12" s="2"/>
      <c r="H12" s="66"/>
      <c r="I12" s="21"/>
    </row>
    <row r="13" spans="1:9" ht="15.75" x14ac:dyDescent="0.25">
      <c r="A13" s="69"/>
      <c r="B13" s="69"/>
      <c r="C13" s="76"/>
      <c r="D13" s="77"/>
      <c r="E13" s="78"/>
      <c r="F13" s="72"/>
      <c r="G13" s="2"/>
      <c r="H13" s="65"/>
      <c r="I13" s="21"/>
    </row>
    <row r="14" spans="1:9" ht="15.75" x14ac:dyDescent="0.25">
      <c r="A14" s="69"/>
      <c r="B14" s="69"/>
      <c r="C14" s="76"/>
      <c r="D14" s="77"/>
      <c r="E14" s="78"/>
      <c r="F14" s="72"/>
      <c r="G14" s="1"/>
      <c r="H14" s="65"/>
      <c r="I14" s="21"/>
    </row>
    <row r="15" spans="1:9" ht="15.75" x14ac:dyDescent="0.25">
      <c r="A15" s="69"/>
      <c r="B15" s="69"/>
      <c r="C15" s="76"/>
      <c r="D15" s="77"/>
      <c r="E15" s="78"/>
      <c r="F15" s="72"/>
      <c r="G15" s="1"/>
      <c r="H15" s="65"/>
      <c r="I15" s="21"/>
    </row>
    <row r="16" spans="1:9" ht="15.75" x14ac:dyDescent="0.25">
      <c r="A16" s="68"/>
      <c r="B16" s="68"/>
      <c r="C16" s="79" t="s">
        <v>44</v>
      </c>
      <c r="D16" s="80"/>
      <c r="E16" s="78"/>
      <c r="F16" s="72"/>
      <c r="G16" s="1"/>
      <c r="H16" s="65"/>
      <c r="I16" s="21"/>
    </row>
    <row r="17" spans="1:9" ht="15.75" x14ac:dyDescent="0.25">
      <c r="A17" s="69"/>
      <c r="B17" s="69"/>
      <c r="C17" s="69"/>
      <c r="D17" s="80"/>
      <c r="E17" s="78"/>
      <c r="F17" s="72"/>
      <c r="G17" s="1"/>
      <c r="H17" s="65"/>
      <c r="I17" s="21"/>
    </row>
    <row r="18" spans="1:9" ht="15.75" x14ac:dyDescent="0.25">
      <c r="A18" s="69"/>
      <c r="B18" s="69"/>
      <c r="C18" s="69"/>
      <c r="D18" s="80"/>
      <c r="E18" s="78"/>
      <c r="F18" s="72"/>
      <c r="G18" s="1"/>
      <c r="H18" s="65"/>
      <c r="I18" s="21"/>
    </row>
    <row r="19" spans="1:9" ht="15.75" x14ac:dyDescent="0.25">
      <c r="A19" s="69"/>
      <c r="B19" s="94"/>
      <c r="C19" s="76"/>
      <c r="D19" s="77"/>
      <c r="E19" s="78"/>
      <c r="F19" s="72"/>
      <c r="G19" s="1"/>
      <c r="H19" s="65"/>
      <c r="I19" s="21"/>
    </row>
    <row r="20" spans="1:9" ht="15.75" x14ac:dyDescent="0.25">
      <c r="A20" s="69"/>
      <c r="B20" s="1"/>
      <c r="C20" s="1"/>
      <c r="D20" s="75"/>
      <c r="E20" s="71"/>
      <c r="F20" s="72"/>
      <c r="G20" s="93"/>
      <c r="H20" s="93"/>
      <c r="I20" s="21"/>
    </row>
    <row r="21" spans="1:9" ht="15.75" x14ac:dyDescent="0.25">
      <c r="A21" s="69"/>
      <c r="B21" s="69"/>
      <c r="C21" s="81"/>
      <c r="D21" s="75"/>
      <c r="E21" s="71"/>
      <c r="F21" s="72"/>
      <c r="G21" s="90"/>
      <c r="H21" s="90"/>
      <c r="I21" s="21"/>
    </row>
    <row r="22" spans="1:9" ht="15.75" x14ac:dyDescent="0.25">
      <c r="A22" s="67"/>
      <c r="B22" s="67"/>
      <c r="C22" s="82"/>
      <c r="D22" s="70"/>
      <c r="E22" s="71"/>
      <c r="F22" s="72"/>
      <c r="G22" s="65"/>
      <c r="H22" s="66"/>
      <c r="I22" s="21"/>
    </row>
    <row r="23" spans="1:9" ht="15.75" x14ac:dyDescent="0.25">
      <c r="A23" s="67"/>
      <c r="B23" s="67"/>
      <c r="C23" s="83" t="s">
        <v>63</v>
      </c>
      <c r="D23" s="70"/>
      <c r="E23" s="71"/>
      <c r="F23" s="74"/>
      <c r="G23" s="65"/>
      <c r="H23" s="66"/>
      <c r="I23" s="21"/>
    </row>
    <row r="24" spans="1:9" ht="15.75" x14ac:dyDescent="0.25">
      <c r="A24" s="69"/>
      <c r="B24" s="69"/>
      <c r="C24" s="69"/>
      <c r="D24" s="70"/>
      <c r="E24" s="71"/>
      <c r="F24" s="74"/>
      <c r="G24" s="65"/>
      <c r="H24" s="66"/>
      <c r="I24" s="21"/>
    </row>
    <row r="25" spans="1:9" ht="15.75" x14ac:dyDescent="0.25">
      <c r="A25" s="69"/>
      <c r="B25" s="69"/>
      <c r="C25" s="69"/>
      <c r="D25" s="70"/>
      <c r="E25" s="71"/>
      <c r="F25" s="74"/>
      <c r="G25" s="65"/>
      <c r="H25" s="66"/>
      <c r="I25" s="21"/>
    </row>
    <row r="26" spans="1:9" ht="15.75" x14ac:dyDescent="0.25">
      <c r="A26" s="69"/>
      <c r="B26" s="69"/>
      <c r="C26" s="82"/>
      <c r="D26" s="70"/>
      <c r="E26" s="71"/>
      <c r="F26" s="74"/>
      <c r="G26" s="65"/>
      <c r="H26" s="65"/>
      <c r="I26" s="21"/>
    </row>
    <row r="27" spans="1:9" ht="15.75" x14ac:dyDescent="0.25">
      <c r="A27" s="69"/>
      <c r="B27" s="69"/>
      <c r="C27" s="82"/>
      <c r="D27" s="70"/>
      <c r="E27" s="71"/>
      <c r="F27" s="74"/>
      <c r="G27" s="65"/>
      <c r="H27" s="65"/>
      <c r="I27" s="21"/>
    </row>
    <row r="28" spans="1:9" ht="15.75" x14ac:dyDescent="0.25">
      <c r="A28" s="69"/>
      <c r="B28" s="69"/>
      <c r="C28" s="82"/>
      <c r="D28" s="70"/>
      <c r="E28" s="71"/>
      <c r="F28" s="74"/>
      <c r="G28" s="65"/>
      <c r="H28" s="65"/>
      <c r="I28" s="21"/>
    </row>
    <row r="29" spans="1:9" ht="15.75" x14ac:dyDescent="0.25">
      <c r="A29" s="69"/>
      <c r="B29" s="69"/>
      <c r="C29" s="84"/>
      <c r="D29" s="74"/>
      <c r="E29" s="71"/>
      <c r="F29" s="72"/>
      <c r="G29" s="65"/>
      <c r="H29" s="65"/>
      <c r="I29" s="21"/>
    </row>
    <row r="30" spans="1:9" ht="15.75" x14ac:dyDescent="0.25">
      <c r="A30" s="69"/>
      <c r="B30" s="69"/>
      <c r="C30" s="69"/>
      <c r="D30" s="74"/>
      <c r="E30" s="71"/>
      <c r="F30" s="72"/>
      <c r="G30" s="65"/>
      <c r="H30" s="65"/>
      <c r="I30" s="21"/>
    </row>
    <row r="31" spans="1:9" ht="15.75" x14ac:dyDescent="0.25">
      <c r="A31" s="85"/>
      <c r="B31" s="85"/>
      <c r="C31" s="86"/>
      <c r="D31" s="87"/>
      <c r="E31" s="88"/>
      <c r="F31" s="89"/>
      <c r="G31" s="19"/>
      <c r="H31" s="33"/>
      <c r="I31" s="21"/>
    </row>
    <row r="32" spans="1:9" ht="16.149999999999999" customHeight="1" x14ac:dyDescent="0.25">
      <c r="A32" s="36"/>
      <c r="B32" s="36"/>
      <c r="C32" s="22"/>
      <c r="D32" s="23"/>
      <c r="E32" s="36"/>
      <c r="F32" s="34"/>
      <c r="G32" s="30"/>
      <c r="H32" s="33"/>
      <c r="I32" s="21"/>
    </row>
    <row r="33" spans="1:11" ht="15.75" x14ac:dyDescent="0.25">
      <c r="A33" s="24"/>
      <c r="B33" s="24"/>
      <c r="C33" s="37"/>
      <c r="D33" s="38"/>
      <c r="E33" s="24"/>
      <c r="F33" s="3"/>
      <c r="G33" s="31"/>
      <c r="H33" s="33"/>
      <c r="I33" s="21"/>
    </row>
    <row r="34" spans="1:11" ht="17.25" x14ac:dyDescent="0.3">
      <c r="A34" s="39"/>
      <c r="B34" s="27"/>
      <c r="C34" s="40"/>
      <c r="D34" s="41"/>
      <c r="E34" s="29"/>
      <c r="F34" s="29"/>
      <c r="G34" s="31"/>
      <c r="H34" s="33"/>
      <c r="I34" s="21"/>
    </row>
    <row r="35" spans="1:11" ht="15.75" x14ac:dyDescent="0.25">
      <c r="A35" s="27"/>
      <c r="B35" s="42"/>
      <c r="C35" s="28"/>
      <c r="D35" s="26"/>
      <c r="E35" s="25"/>
      <c r="F35" s="3"/>
      <c r="G35" s="31"/>
      <c r="H35" s="35"/>
      <c r="I35" s="21"/>
      <c r="K35">
        <f>1000/D39</f>
        <v>1</v>
      </c>
    </row>
    <row r="36" spans="1:11" ht="15.75" x14ac:dyDescent="0.25">
      <c r="A36" s="43"/>
      <c r="B36" s="44"/>
      <c r="C36" s="45"/>
      <c r="D36" s="35"/>
      <c r="E36" s="35"/>
      <c r="F36" s="32"/>
      <c r="G36" s="35"/>
      <c r="H36" s="35"/>
      <c r="I36" s="21"/>
    </row>
    <row r="37" spans="1:11" ht="18" thickBot="1" x14ac:dyDescent="0.35">
      <c r="A37" s="46"/>
      <c r="B37" s="47"/>
      <c r="C37" s="48"/>
      <c r="D37" s="48"/>
      <c r="E37" s="49"/>
      <c r="F37" s="50"/>
      <c r="G37" s="48"/>
      <c r="H37" s="48"/>
      <c r="I37" s="51"/>
    </row>
    <row r="38" spans="1:11" ht="18" thickBot="1" x14ac:dyDescent="0.35">
      <c r="A38" s="52"/>
      <c r="B38" s="53"/>
      <c r="C38" s="54"/>
      <c r="D38" s="55" t="s">
        <v>14</v>
      </c>
      <c r="E38" s="56" t="s">
        <v>13</v>
      </c>
      <c r="F38" s="57"/>
      <c r="G38" s="54"/>
      <c r="H38" s="54"/>
      <c r="I38" s="58"/>
    </row>
    <row r="39" spans="1:11" ht="17.25" x14ac:dyDescent="0.3">
      <c r="A39" s="587" t="s">
        <v>12</v>
      </c>
      <c r="B39" s="588"/>
      <c r="C39" s="589"/>
      <c r="D39" s="59">
        <v>1000</v>
      </c>
      <c r="E39" s="60" t="s">
        <v>1</v>
      </c>
      <c r="F39" s="590" t="s">
        <v>11</v>
      </c>
      <c r="G39" s="590"/>
      <c r="H39" s="591"/>
      <c r="I39" s="592"/>
    </row>
    <row r="40" spans="1:11" ht="17.25" x14ac:dyDescent="0.3">
      <c r="A40" s="609" t="s">
        <v>10</v>
      </c>
      <c r="B40" s="610"/>
      <c r="C40" s="611"/>
      <c r="D40" s="61">
        <v>3</v>
      </c>
      <c r="E40" s="62" t="s">
        <v>9</v>
      </c>
      <c r="F40" s="612" t="s">
        <v>8</v>
      </c>
      <c r="G40" s="612"/>
      <c r="H40" s="613"/>
      <c r="I40" s="614"/>
    </row>
    <row r="41" spans="1:11" ht="17.25" x14ac:dyDescent="0.3">
      <c r="A41" s="609" t="s">
        <v>7</v>
      </c>
      <c r="B41" s="610"/>
      <c r="C41" s="611"/>
      <c r="D41" s="62">
        <v>1</v>
      </c>
      <c r="E41" s="62" t="s">
        <v>114</v>
      </c>
      <c r="F41" s="612" t="s">
        <v>5</v>
      </c>
      <c r="G41" s="612"/>
      <c r="H41" s="613"/>
      <c r="I41" s="614"/>
    </row>
    <row r="42" spans="1:11" ht="17.25" x14ac:dyDescent="0.3">
      <c r="A42" s="609" t="s">
        <v>4</v>
      </c>
      <c r="B42" s="610"/>
      <c r="C42" s="611"/>
      <c r="D42" s="62">
        <v>1000</v>
      </c>
      <c r="E42" s="62" t="s">
        <v>1</v>
      </c>
      <c r="F42" s="629" t="s">
        <v>3</v>
      </c>
      <c r="G42" s="630"/>
      <c r="H42" s="613"/>
      <c r="I42" s="614"/>
    </row>
    <row r="43" spans="1:11" ht="18" thickBot="1" x14ac:dyDescent="0.35">
      <c r="A43" s="650" t="s">
        <v>2</v>
      </c>
      <c r="B43" s="651"/>
      <c r="C43" s="652"/>
      <c r="D43" s="63">
        <f>SUM(E10:E11)-D39</f>
        <v>40</v>
      </c>
      <c r="E43" s="64" t="s">
        <v>1</v>
      </c>
      <c r="F43" s="653"/>
      <c r="G43" s="653"/>
      <c r="H43" s="654"/>
      <c r="I43" s="655"/>
    </row>
    <row r="44" spans="1:11" ht="16.5" thickBot="1" x14ac:dyDescent="0.3">
      <c r="A44" s="631" t="s">
        <v>0</v>
      </c>
      <c r="B44" s="632"/>
      <c r="C44" s="632"/>
      <c r="D44" s="632"/>
      <c r="E44" s="632"/>
      <c r="F44" s="632"/>
      <c r="G44" s="632"/>
      <c r="H44" s="632"/>
      <c r="I44" s="633"/>
    </row>
    <row r="45" spans="1:11" ht="20.45" customHeight="1" x14ac:dyDescent="0.25">
      <c r="A45" s="598" t="s">
        <v>111</v>
      </c>
      <c r="B45" s="599"/>
      <c r="C45" s="600"/>
      <c r="D45" s="600"/>
      <c r="E45" s="600"/>
      <c r="F45" s="600"/>
      <c r="G45" s="600"/>
      <c r="H45" s="600"/>
      <c r="I45" s="601"/>
    </row>
    <row r="46" spans="1:11" x14ac:dyDescent="0.25">
      <c r="A46" s="598" t="s">
        <v>113</v>
      </c>
      <c r="B46" s="599"/>
      <c r="C46" s="600"/>
      <c r="D46" s="600"/>
      <c r="E46" s="600"/>
      <c r="F46" s="600"/>
      <c r="G46" s="600"/>
      <c r="H46" s="600"/>
      <c r="I46" s="601"/>
    </row>
    <row r="47" spans="1:11" ht="14.45" customHeight="1" x14ac:dyDescent="0.25">
      <c r="A47" s="598"/>
      <c r="B47" s="599"/>
      <c r="C47" s="600"/>
      <c r="D47" s="600"/>
      <c r="E47" s="600"/>
      <c r="F47" s="600"/>
      <c r="G47" s="600"/>
      <c r="H47" s="600"/>
      <c r="I47" s="601"/>
    </row>
    <row r="48" spans="1:11" ht="14.45" customHeight="1" x14ac:dyDescent="0.25">
      <c r="A48" s="598"/>
      <c r="B48" s="599"/>
      <c r="C48" s="600"/>
      <c r="D48" s="600"/>
      <c r="E48" s="600"/>
      <c r="F48" s="600"/>
      <c r="G48" s="600"/>
      <c r="H48" s="600"/>
      <c r="I48" s="601"/>
    </row>
    <row r="49" spans="1:9" ht="14.45" customHeight="1" x14ac:dyDescent="0.25">
      <c r="A49" s="598"/>
      <c r="B49" s="599"/>
      <c r="C49" s="600"/>
      <c r="D49" s="600"/>
      <c r="E49" s="600"/>
      <c r="F49" s="600"/>
      <c r="G49" s="600"/>
      <c r="H49" s="600"/>
      <c r="I49" s="601"/>
    </row>
    <row r="50" spans="1:9" ht="15.6" customHeight="1" x14ac:dyDescent="0.25">
      <c r="A50" s="602"/>
      <c r="B50" s="603"/>
      <c r="C50" s="604"/>
      <c r="D50" s="604"/>
      <c r="E50" s="604"/>
      <c r="F50" s="604"/>
      <c r="G50" s="604"/>
      <c r="H50" s="604"/>
      <c r="I50" s="605"/>
    </row>
    <row r="51" spans="1:9" x14ac:dyDescent="0.25">
      <c r="A51" s="598"/>
      <c r="B51" s="599"/>
      <c r="C51" s="600"/>
      <c r="D51" s="600"/>
      <c r="E51" s="600"/>
      <c r="F51" s="600"/>
      <c r="G51" s="600"/>
      <c r="H51" s="600"/>
      <c r="I51" s="601"/>
    </row>
    <row r="52" spans="1:9" x14ac:dyDescent="0.25">
      <c r="A52" s="598"/>
      <c r="B52" s="599"/>
      <c r="C52" s="600"/>
      <c r="D52" s="600"/>
      <c r="E52" s="600"/>
      <c r="F52" s="600"/>
      <c r="G52" s="600"/>
      <c r="H52" s="600"/>
      <c r="I52" s="601"/>
    </row>
    <row r="53" spans="1:9" ht="18" customHeight="1" x14ac:dyDescent="0.3">
      <c r="A53" s="606"/>
      <c r="B53" s="607"/>
      <c r="C53" s="607"/>
      <c r="D53" s="607"/>
      <c r="E53" s="607"/>
      <c r="F53" s="607"/>
      <c r="G53" s="607"/>
      <c r="H53" s="607"/>
      <c r="I53" s="608"/>
    </row>
    <row r="54" spans="1:9" ht="17.25" x14ac:dyDescent="0.3">
      <c r="A54" s="606"/>
      <c r="B54" s="607"/>
      <c r="C54" s="607"/>
      <c r="D54" s="607"/>
      <c r="E54" s="607"/>
      <c r="F54" s="607"/>
      <c r="G54" s="607"/>
      <c r="H54" s="607"/>
      <c r="I54" s="608"/>
    </row>
    <row r="55" spans="1:9" ht="18" thickBot="1" x14ac:dyDescent="0.35">
      <c r="A55" s="593"/>
      <c r="B55" s="594"/>
      <c r="C55" s="594"/>
      <c r="D55" s="594"/>
      <c r="E55" s="594"/>
      <c r="F55" s="594"/>
      <c r="G55" s="594"/>
      <c r="H55" s="594"/>
      <c r="I55" s="595"/>
    </row>
    <row r="56" spans="1:9" x14ac:dyDescent="0.25">
      <c r="A56" s="596" t="s">
        <v>45</v>
      </c>
      <c r="B56" s="597"/>
      <c r="C56" s="597"/>
      <c r="D56" s="597"/>
      <c r="E56" s="597"/>
      <c r="F56" s="597"/>
      <c r="G56" s="597"/>
      <c r="H56" s="597"/>
      <c r="I56" s="597"/>
    </row>
    <row r="57" spans="1:9" x14ac:dyDescent="0.25">
      <c r="A57" s="585"/>
      <c r="B57" s="586"/>
      <c r="C57" s="586"/>
      <c r="D57" s="586"/>
      <c r="E57" s="586"/>
      <c r="F57" s="586"/>
      <c r="G57" s="586"/>
      <c r="H57" s="586"/>
      <c r="I57" s="586"/>
    </row>
    <row r="58" spans="1:9" x14ac:dyDescent="0.25">
      <c r="A58" s="585"/>
      <c r="B58" s="586"/>
      <c r="C58" s="586"/>
      <c r="D58" s="586"/>
      <c r="E58" s="586"/>
      <c r="F58" s="586"/>
      <c r="G58" s="586"/>
      <c r="H58" s="586"/>
      <c r="I58" s="586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D17A-7D0B-49E1-9212-68D80FA0C024}">
  <dimension ref="A1:Q91"/>
  <sheetViews>
    <sheetView topLeftCell="A6" workbookViewId="0">
      <selection activeCell="M9" sqref="M9"/>
    </sheetView>
  </sheetViews>
  <sheetFormatPr baseColWidth="10" defaultColWidth="8.42578125" defaultRowHeight="12.75" x14ac:dyDescent="0.25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11" style="104" customWidth="1"/>
    <col min="6" max="6" width="9.5703125" style="104" bestFit="1" customWidth="1"/>
    <col min="7" max="7" width="10.85546875" style="186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5">
      <c r="A1" s="99"/>
      <c r="B1" s="99"/>
      <c r="C1" s="99"/>
      <c r="D1" s="99"/>
      <c r="E1" s="100" t="s">
        <v>118</v>
      </c>
      <c r="F1" s="101" t="s">
        <v>119</v>
      </c>
      <c r="G1" s="101" t="s">
        <v>120</v>
      </c>
      <c r="H1" s="101" t="s">
        <v>121</v>
      </c>
      <c r="I1" s="102"/>
    </row>
    <row r="2" spans="1:10" ht="30.75" customHeight="1" x14ac:dyDescent="0.25">
      <c r="A2" s="99"/>
      <c r="B2" s="99"/>
      <c r="C2" s="99"/>
      <c r="D2" s="99"/>
      <c r="E2" s="105">
        <f>IFERROR(O62,"")</f>
        <v>4031.8</v>
      </c>
      <c r="F2" s="105">
        <f>IFERROR(H53,"")</f>
        <v>3608.8</v>
      </c>
      <c r="G2" s="105">
        <f>IFERROR(H54,"")</f>
        <v>0</v>
      </c>
      <c r="H2" s="105">
        <f>IFERROR(H56,"")</f>
        <v>231</v>
      </c>
      <c r="I2" s="106"/>
    </row>
    <row r="3" spans="1:10" ht="15" customHeight="1" x14ac:dyDescent="0.25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3">
      <c r="A4" s="732"/>
      <c r="B4" s="732"/>
      <c r="C4" s="732"/>
      <c r="D4" s="732"/>
      <c r="E4" s="732"/>
      <c r="F4" s="732"/>
      <c r="G4" s="732"/>
      <c r="H4" s="732"/>
      <c r="I4" s="108"/>
    </row>
    <row r="5" spans="1:10" ht="19.5" customHeight="1" thickBot="1" x14ac:dyDescent="0.3">
      <c r="A5" s="733" t="s">
        <v>122</v>
      </c>
      <c r="B5" s="734"/>
      <c r="C5" s="734"/>
      <c r="D5" s="734"/>
      <c r="E5" s="734"/>
      <c r="F5" s="734"/>
      <c r="G5" s="734"/>
      <c r="H5" s="735"/>
      <c r="I5" s="109"/>
    </row>
    <row r="6" spans="1:10" ht="19.5" thickBot="1" x14ac:dyDescent="0.3">
      <c r="A6" s="109"/>
      <c r="B6" s="109"/>
      <c r="C6" s="109"/>
      <c r="D6" s="109"/>
      <c r="E6" s="109"/>
      <c r="F6" s="736" t="s">
        <v>123</v>
      </c>
      <c r="G6" s="736"/>
      <c r="H6" s="110">
        <f ca="1">TODAY()</f>
        <v>45918</v>
      </c>
      <c r="I6" s="110"/>
    </row>
    <row r="7" spans="1:10" ht="26.25" thickBot="1" x14ac:dyDescent="0.3">
      <c r="A7" s="111" t="s">
        <v>124</v>
      </c>
      <c r="B7" s="112" t="s">
        <v>125</v>
      </c>
      <c r="C7" s="112" t="s">
        <v>124</v>
      </c>
      <c r="D7" s="113" t="s">
        <v>126</v>
      </c>
      <c r="E7" s="113" t="s">
        <v>127</v>
      </c>
      <c r="F7" s="113" t="s">
        <v>128</v>
      </c>
      <c r="G7" s="113" t="s">
        <v>129</v>
      </c>
      <c r="H7" s="114" t="s">
        <v>130</v>
      </c>
      <c r="I7" s="115"/>
    </row>
    <row r="8" spans="1:10" ht="13.5" x14ac:dyDescent="0.25">
      <c r="A8" s="116">
        <v>832</v>
      </c>
      <c r="B8" s="104" t="s">
        <v>57</v>
      </c>
      <c r="C8" s="117">
        <f>+A8</f>
        <v>832</v>
      </c>
      <c r="D8" s="118" t="s">
        <v>169</v>
      </c>
      <c r="E8" s="118">
        <v>3.19</v>
      </c>
      <c r="F8" s="118">
        <f>IFERROR(C8*E8,"")</f>
        <v>2654.08</v>
      </c>
      <c r="G8" s="119">
        <f t="shared" ref="G8:G14" si="0">IFERROR(F8/$F$66,"")</f>
        <v>0.67844997004071594</v>
      </c>
      <c r="H8" s="120" t="s">
        <v>56</v>
      </c>
      <c r="I8" s="120"/>
      <c r="J8" s="121"/>
    </row>
    <row r="9" spans="1:10" ht="13.5" x14ac:dyDescent="0.25">
      <c r="A9" s="116">
        <v>208</v>
      </c>
      <c r="B9" s="104" t="s">
        <v>106</v>
      </c>
      <c r="C9" s="117">
        <f t="shared" ref="C9:C14" si="1">+A9</f>
        <v>208</v>
      </c>
      <c r="D9" s="118" t="s">
        <v>169</v>
      </c>
      <c r="E9" s="118">
        <v>4.59</v>
      </c>
      <c r="F9" s="118">
        <f t="shared" ref="F9:F14" si="2">IFERROR(C9*E9,"")</f>
        <v>954.72</v>
      </c>
      <c r="G9" s="119">
        <f t="shared" si="0"/>
        <v>0.2440505769974049</v>
      </c>
      <c r="H9" s="120" t="s">
        <v>105</v>
      </c>
      <c r="I9" s="120"/>
      <c r="J9" s="121"/>
    </row>
    <row r="10" spans="1:10" ht="13.5" hidden="1" x14ac:dyDescent="0.25">
      <c r="A10" s="116"/>
      <c r="B10" s="104" t="str">
        <f>IFERROR(VLOOKUP(H10,'[1]Consolidado MP Planta'!$A$2:$M$823,3,0),"")</f>
        <v/>
      </c>
      <c r="C10" s="117">
        <f t="shared" si="1"/>
        <v>0</v>
      </c>
      <c r="D10" s="118" t="str">
        <f>IFERROR(VLOOKUP(H10,'[1]Consolidado MP Planta'!$A$2:$M$823,13,0),"")</f>
        <v/>
      </c>
      <c r="E10" s="118" t="str">
        <f>IFERROR(VLOOKUP(H10,'[1]Consolidado MP Planta'!$A$2:$M$823,12,0),"")</f>
        <v/>
      </c>
      <c r="F10" s="118" t="str">
        <f t="shared" si="2"/>
        <v/>
      </c>
      <c r="G10" s="119" t="str">
        <f t="shared" si="0"/>
        <v/>
      </c>
      <c r="H10" s="120"/>
      <c r="I10" s="120"/>
      <c r="J10" s="121"/>
    </row>
    <row r="11" spans="1:10" ht="13.5" hidden="1" x14ac:dyDescent="0.25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19" t="str">
        <f t="shared" si="0"/>
        <v/>
      </c>
      <c r="H11" s="120"/>
      <c r="I11" s="120"/>
      <c r="J11" s="121"/>
    </row>
    <row r="12" spans="1:10" ht="13.5" hidden="1" x14ac:dyDescent="0.25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19" t="str">
        <f t="shared" si="0"/>
        <v/>
      </c>
      <c r="H12" s="120"/>
      <c r="I12" s="120"/>
      <c r="J12" s="121"/>
    </row>
    <row r="13" spans="1:10" ht="13.5" hidden="1" x14ac:dyDescent="0.25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19" t="str">
        <f t="shared" si="0"/>
        <v/>
      </c>
      <c r="H13" s="120"/>
      <c r="I13" s="120"/>
      <c r="J13" s="121"/>
    </row>
    <row r="14" spans="1:10" ht="13.5" hidden="1" x14ac:dyDescent="0.25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19" t="str">
        <f t="shared" si="0"/>
        <v/>
      </c>
      <c r="H14" s="120"/>
      <c r="I14" s="120"/>
      <c r="J14" s="121"/>
    </row>
    <row r="15" spans="1:10" ht="14.25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19"/>
      <c r="H15" s="120"/>
      <c r="I15" s="120"/>
      <c r="J15" s="121"/>
    </row>
    <row r="16" spans="1:10" ht="26.25" hidden="1" thickBot="1" x14ac:dyDescent="0.3">
      <c r="A16" s="111" t="s">
        <v>124</v>
      </c>
      <c r="B16" s="112" t="s">
        <v>131</v>
      </c>
      <c r="C16" s="112" t="s">
        <v>124</v>
      </c>
      <c r="D16" s="113" t="s">
        <v>126</v>
      </c>
      <c r="E16" s="113" t="s">
        <v>127</v>
      </c>
      <c r="F16" s="113" t="s">
        <v>128</v>
      </c>
      <c r="G16" s="113" t="s">
        <v>129</v>
      </c>
      <c r="H16" s="114" t="s">
        <v>130</v>
      </c>
      <c r="I16" s="115"/>
      <c r="J16" s="121"/>
    </row>
    <row r="17" spans="1:12" ht="13.5" hidden="1" x14ac:dyDescent="0.25">
      <c r="A17" s="116"/>
      <c r="B17" s="104" t="str">
        <f>IFERROR(VLOOKUP(H17,[1]SEMIELABORADOS!$A$2:$M$6000,2,0),"")</f>
        <v/>
      </c>
      <c r="C17" s="117">
        <f>+A17</f>
        <v>0</v>
      </c>
      <c r="D17" s="117" t="str">
        <f>IFERROR(VLOOKUP(H17,[1]SEMIELABORADOS!$A$2:$M$6000,6,0),"")</f>
        <v/>
      </c>
      <c r="E17" s="118" t="str">
        <f>IFERROR(VLOOKUP(H17,[1]SEMIELABORADOS!$A$2:$H$65536,8,0),"")</f>
        <v/>
      </c>
      <c r="F17" s="118" t="str">
        <f>IFERROR(E17*C17,"")</f>
        <v/>
      </c>
      <c r="G17" s="119" t="str">
        <f t="shared" ref="G17:G24" si="3">IFERROR(F17/$F$66,"")</f>
        <v/>
      </c>
      <c r="H17" s="120"/>
      <c r="I17" s="120"/>
      <c r="J17" s="121"/>
    </row>
    <row r="18" spans="1:12" ht="13.5" hidden="1" x14ac:dyDescent="0.25">
      <c r="A18" s="116"/>
      <c r="B18" s="104" t="str">
        <f>IFERROR(VLOOKUP(H18,[1]SEMIELABORADOS!$A$2:$M$6000,2,0),"")</f>
        <v/>
      </c>
      <c r="C18" s="117">
        <f t="shared" ref="C18:C24" si="4">+A18</f>
        <v>0</v>
      </c>
      <c r="D18" s="117" t="str">
        <f>IFERROR(VLOOKUP(H18,[1]SEMIELABORADOS!$A$2:$M$6000,6,0),"")</f>
        <v/>
      </c>
      <c r="E18" s="118" t="str">
        <f>IFERROR(VLOOKUP(H18,[1]SEMIELABORADOS!$A$2:$H$65536,8,0),"")</f>
        <v/>
      </c>
      <c r="F18" s="118" t="str">
        <f t="shared" ref="F18:F24" si="5">IFERROR(E18*C18,"")</f>
        <v/>
      </c>
      <c r="G18" s="119" t="str">
        <f t="shared" si="3"/>
        <v/>
      </c>
      <c r="H18" s="120"/>
      <c r="I18" s="120"/>
      <c r="J18" s="121"/>
    </row>
    <row r="19" spans="1:12" ht="13.5" hidden="1" x14ac:dyDescent="0.25">
      <c r="A19" s="116"/>
      <c r="B19" s="104" t="str">
        <f>IFERROR(VLOOKUP(H19,[1]SEMIELABORADOS!$A$2:$M$6000,2,0),"")</f>
        <v/>
      </c>
      <c r="C19" s="117">
        <f>+A19</f>
        <v>0</v>
      </c>
      <c r="D19" s="117" t="str">
        <f>IFERROR(VLOOKUP(H19,[1]SEMIELABORADOS!$A$2:$M$6000,6,0),"")</f>
        <v/>
      </c>
      <c r="E19" s="118" t="str">
        <f>IFERROR(VLOOKUP(H19,[1]SEMIELABORADOS!$A$2:$H$65536,8,0),"")</f>
        <v/>
      </c>
      <c r="F19" s="118" t="str">
        <f>IFERROR(E19*C19,"")</f>
        <v/>
      </c>
      <c r="G19" s="119" t="str">
        <f t="shared" si="3"/>
        <v/>
      </c>
      <c r="H19" s="120"/>
      <c r="I19" s="120"/>
      <c r="J19" s="121"/>
    </row>
    <row r="20" spans="1:12" ht="13.5" hidden="1" x14ac:dyDescent="0.25">
      <c r="A20" s="116"/>
      <c r="B20" s="104" t="str">
        <f>IFERROR(VLOOKUP(H20,[1]SEMIELABORADOS!$A$2:$M$6000,2,0),"")</f>
        <v/>
      </c>
      <c r="C20" s="117">
        <f>+A20</f>
        <v>0</v>
      </c>
      <c r="D20" s="117" t="str">
        <f>IFERROR(VLOOKUP(H20,[1]SEMIELABORADOS!$A$2:$M$6000,6,0),"")</f>
        <v/>
      </c>
      <c r="E20" s="118" t="str">
        <f>IFERROR(VLOOKUP(H20,[1]SEMIELABORADOS!$A$2:$H$65536,8,0),"")</f>
        <v/>
      </c>
      <c r="F20" s="118" t="str">
        <f>IFERROR(E20*C20,"")</f>
        <v/>
      </c>
      <c r="G20" s="119" t="str">
        <f t="shared" si="3"/>
        <v/>
      </c>
      <c r="H20" s="120"/>
      <c r="I20" s="120"/>
      <c r="J20" s="121"/>
    </row>
    <row r="21" spans="1:12" ht="13.5" hidden="1" x14ac:dyDescent="0.25">
      <c r="A21" s="116"/>
      <c r="B21" s="104" t="str">
        <f>IFERROR(VLOOKUP(H21,[1]SEMIELABORADOS!$A$2:$M$6000,2,0),"")</f>
        <v/>
      </c>
      <c r="C21" s="117">
        <f>+A21</f>
        <v>0</v>
      </c>
      <c r="D21" s="117" t="str">
        <f>IFERROR(VLOOKUP(H21,[1]SEMIELABORADOS!$A$2:$M$6000,6,0),"")</f>
        <v/>
      </c>
      <c r="E21" s="118" t="str">
        <f>IFERROR(VLOOKUP(H21,[1]SEMIELABORADOS!$A$2:$H$65536,8,0),"")</f>
        <v/>
      </c>
      <c r="F21" s="118" t="str">
        <f>IFERROR(E21*C21,"")</f>
        <v/>
      </c>
      <c r="G21" s="119" t="str">
        <f t="shared" si="3"/>
        <v/>
      </c>
      <c r="H21" s="120"/>
      <c r="I21" s="120"/>
      <c r="J21" s="121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19" t="str">
        <f t="shared" si="3"/>
        <v/>
      </c>
      <c r="H22" s="120"/>
      <c r="I22" s="120"/>
      <c r="J22" s="121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19" t="str">
        <f t="shared" si="3"/>
        <v/>
      </c>
      <c r="H23" s="120"/>
      <c r="I23" s="120"/>
      <c r="J23" s="121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19" t="str">
        <f t="shared" si="3"/>
        <v/>
      </c>
      <c r="H24" s="120"/>
      <c r="I24" s="120"/>
      <c r="J24" s="121"/>
    </row>
    <row r="25" spans="1:12" ht="14.25" hidden="1" thickBot="1" x14ac:dyDescent="0.3">
      <c r="A25" s="116"/>
      <c r="C25" s="117"/>
      <c r="D25" s="117"/>
      <c r="E25" s="118"/>
      <c r="F25" s="118"/>
      <c r="G25" s="119"/>
      <c r="H25" s="120"/>
      <c r="I25" s="120"/>
      <c r="J25" s="121"/>
    </row>
    <row r="26" spans="1:12" ht="26.25" hidden="1" thickBot="1" x14ac:dyDescent="0.3">
      <c r="A26" s="111" t="s">
        <v>124</v>
      </c>
      <c r="B26" s="112" t="s">
        <v>63</v>
      </c>
      <c r="C26" s="112" t="s">
        <v>124</v>
      </c>
      <c r="D26" s="113" t="s">
        <v>126</v>
      </c>
      <c r="E26" s="113" t="s">
        <v>127</v>
      </c>
      <c r="F26" s="113" t="s">
        <v>128</v>
      </c>
      <c r="G26" s="113" t="s">
        <v>129</v>
      </c>
      <c r="H26" s="114" t="s">
        <v>130</v>
      </c>
      <c r="I26" s="115"/>
    </row>
    <row r="27" spans="1:12" ht="13.5" hidden="1" x14ac:dyDescent="0.25">
      <c r="A27" s="116">
        <v>0</v>
      </c>
      <c r="B27" s="122" t="str">
        <f>IFERROR(VLOOKUP(H27,'[1]Consolidado MP Planta'!$A$2:$M$823,3,0),"")</f>
        <v/>
      </c>
      <c r="C27" s="117">
        <f t="shared" ref="C27:C32" si="6">+A27</f>
        <v>0</v>
      </c>
      <c r="D27" s="118" t="str">
        <f>IFERROR(VLOOKUP(H27,'[1]Consolidado MP Planta'!$A$2:$M$823,13,0),"")</f>
        <v/>
      </c>
      <c r="E27" s="118" t="str">
        <f>IFERROR(VLOOKUP(H27,'[1]Consolidado MP Planta'!$A$2:$M$823,12,0),"")</f>
        <v/>
      </c>
      <c r="F27" s="118" t="str">
        <f t="shared" ref="F27:F32" si="7">IFERROR(C27*E27,"")</f>
        <v/>
      </c>
      <c r="G27" s="119" t="str">
        <f t="shared" ref="G27:G32" si="8">IFERROR(F27/$F$66,"")</f>
        <v/>
      </c>
      <c r="H27" s="123"/>
      <c r="I27" s="123"/>
      <c r="J27" s="121"/>
      <c r="K27" s="729"/>
      <c r="L27" s="729"/>
    </row>
    <row r="28" spans="1:12" ht="13.5" hidden="1" x14ac:dyDescent="0.25">
      <c r="A28" s="116"/>
      <c r="B28" s="122" t="str">
        <f>IFERROR(VLOOKUP(H28,'[1]Consolidado MP Planta'!$A$2:$M$823,3,0),"")</f>
        <v/>
      </c>
      <c r="C28" s="117">
        <f t="shared" si="6"/>
        <v>0</v>
      </c>
      <c r="D28" s="118" t="str">
        <f>IFERROR(VLOOKUP(H28,'[1]Consolidado MP Planta'!$A$2:$M$823,13,0),"")</f>
        <v/>
      </c>
      <c r="E28" s="118" t="str">
        <f>IFERROR(VLOOKUP(H28,'[1]Consolidado MP Planta'!$A$2:$M$823,12,0),"")</f>
        <v/>
      </c>
      <c r="F28" s="118" t="str">
        <f t="shared" si="7"/>
        <v/>
      </c>
      <c r="G28" s="119" t="str">
        <f t="shared" si="8"/>
        <v/>
      </c>
      <c r="H28" s="123"/>
      <c r="I28" s="123"/>
      <c r="J28" s="121"/>
      <c r="K28" s="729"/>
      <c r="L28" s="729"/>
    </row>
    <row r="29" spans="1:12" ht="13.5" hidden="1" x14ac:dyDescent="0.25">
      <c r="A29" s="116"/>
      <c r="B29" s="122" t="str">
        <f>IFERROR(VLOOKUP(H29,'[1]Consolidado MP Planta'!$A$2:$M$823,3,0),"")</f>
        <v/>
      </c>
      <c r="C29" s="117">
        <f t="shared" si="6"/>
        <v>0</v>
      </c>
      <c r="D29" s="118" t="str">
        <f>IFERROR(VLOOKUP(H29,'[1]Consolidado MP Planta'!$A$2:$M$823,13,0),"")</f>
        <v/>
      </c>
      <c r="E29" s="118" t="str">
        <f>IFERROR(VLOOKUP(H29,'[1]Consolidado MP Planta'!$A$2:$M$823,12,0),"")</f>
        <v/>
      </c>
      <c r="F29" s="118" t="str">
        <f t="shared" si="7"/>
        <v/>
      </c>
      <c r="G29" s="119" t="str">
        <f t="shared" si="8"/>
        <v/>
      </c>
      <c r="H29" s="123"/>
      <c r="I29" s="123"/>
      <c r="J29" s="121"/>
      <c r="K29" s="729"/>
      <c r="L29" s="729"/>
    </row>
    <row r="30" spans="1:12" ht="13.5" hidden="1" x14ac:dyDescent="0.25">
      <c r="A30" s="116"/>
      <c r="B30" s="122" t="str">
        <f>IFERROR(VLOOKUP(H30,'[1]Consolidado MP Planta'!$A$2:$M$823,3,0),"")</f>
        <v/>
      </c>
      <c r="C30" s="117">
        <f t="shared" si="6"/>
        <v>0</v>
      </c>
      <c r="D30" s="118" t="str">
        <f>IFERROR(VLOOKUP(H30,'[1]Consolidado MP Planta'!$A$2:$M$823,13,0),"")</f>
        <v/>
      </c>
      <c r="E30" s="118" t="str">
        <f>IFERROR(VLOOKUP(H30,'[1]Consolidado MP Planta'!$A$2:$M$823,12,0),"")</f>
        <v/>
      </c>
      <c r="F30" s="118" t="str">
        <f t="shared" si="7"/>
        <v/>
      </c>
      <c r="G30" s="119" t="str">
        <f t="shared" si="8"/>
        <v/>
      </c>
      <c r="H30" s="123"/>
      <c r="I30" s="123"/>
      <c r="J30" s="121"/>
      <c r="K30" s="729"/>
      <c r="L30" s="729"/>
    </row>
    <row r="31" spans="1:12" ht="13.5" hidden="1" x14ac:dyDescent="0.25">
      <c r="A31" s="116"/>
      <c r="B31" s="122" t="str">
        <f>IFERROR(VLOOKUP(H31,'[1]Consolidado MP Planta'!$A$2:$M$823,3,0),"")</f>
        <v/>
      </c>
      <c r="C31" s="117">
        <f t="shared" si="6"/>
        <v>0</v>
      </c>
      <c r="D31" s="118" t="str">
        <f>IFERROR(VLOOKUP(H31,'[1]Consolidado MP Planta'!$A$2:$M$823,13,0),"")</f>
        <v/>
      </c>
      <c r="E31" s="118" t="str">
        <f>IFERROR(VLOOKUP(H31,'[1]Consolidado MP Planta'!$A$2:$M$823,12,0),"")</f>
        <v/>
      </c>
      <c r="F31" s="118" t="str">
        <f t="shared" si="7"/>
        <v/>
      </c>
      <c r="G31" s="119" t="str">
        <f t="shared" si="8"/>
        <v/>
      </c>
      <c r="H31" s="123"/>
      <c r="I31" s="123"/>
      <c r="J31" s="121"/>
      <c r="K31" s="124"/>
      <c r="L31" s="125"/>
    </row>
    <row r="32" spans="1:12" ht="13.5" hidden="1" x14ac:dyDescent="0.25">
      <c r="A32" s="116"/>
      <c r="B32" s="122" t="str">
        <f>IFERROR(VLOOKUP(H32,'[1]Consolidado MP Planta'!$A$2:$M$823,3,0),"")</f>
        <v/>
      </c>
      <c r="C32" s="117">
        <f t="shared" si="6"/>
        <v>0</v>
      </c>
      <c r="D32" s="118" t="str">
        <f>IFERROR(VLOOKUP(H32,'[1]Consolidado MP Planta'!$A$2:$M$823,13,0),"")</f>
        <v/>
      </c>
      <c r="E32" s="118" t="str">
        <f>IFERROR(VLOOKUP(H32,'[1]Consolidado MP Planta'!$A$2:$M$823,12,0),"")</f>
        <v/>
      </c>
      <c r="F32" s="118" t="str">
        <f t="shared" si="7"/>
        <v/>
      </c>
      <c r="G32" s="119" t="str">
        <f t="shared" si="8"/>
        <v/>
      </c>
      <c r="H32" s="123"/>
      <c r="I32" s="123"/>
      <c r="J32" s="121"/>
    </row>
    <row r="33" spans="1:13" ht="14.25" hidden="1" thickBot="1" x14ac:dyDescent="0.3">
      <c r="A33" s="116"/>
      <c r="B33" s="122"/>
      <c r="C33" s="117"/>
      <c r="D33" s="118"/>
      <c r="E33" s="118"/>
      <c r="F33" s="118"/>
      <c r="G33" s="119"/>
      <c r="H33" s="123"/>
      <c r="I33" s="123"/>
      <c r="J33" s="121"/>
    </row>
    <row r="34" spans="1:13" ht="26.25" hidden="1" thickBot="1" x14ac:dyDescent="0.25">
      <c r="A34" s="111" t="s">
        <v>124</v>
      </c>
      <c r="B34" s="112" t="s">
        <v>132</v>
      </c>
      <c r="C34" s="112" t="s">
        <v>124</v>
      </c>
      <c r="D34" s="113" t="s">
        <v>126</v>
      </c>
      <c r="E34" s="113" t="s">
        <v>127</v>
      </c>
      <c r="F34" s="113" t="s">
        <v>128</v>
      </c>
      <c r="G34" s="113" t="s">
        <v>129</v>
      </c>
      <c r="H34" s="114" t="s">
        <v>130</v>
      </c>
      <c r="I34" s="123"/>
      <c r="J34" s="121"/>
    </row>
    <row r="35" spans="1:13" ht="13.5" hidden="1" x14ac:dyDescent="0.25">
      <c r="A35" s="116">
        <f>+A17</f>
        <v>0</v>
      </c>
      <c r="B35" s="122" t="str">
        <f>IFERROR(VLOOKUP(H35,[1]SEMIELABORADOS!$A$2:$M$6000,2,0),"")</f>
        <v/>
      </c>
      <c r="C35" s="117">
        <f>+A35</f>
        <v>0</v>
      </c>
      <c r="D35" s="118" t="str">
        <f>IFERROR(VLOOKUP(H35,[1]SEMIELABORADOS!$A$2:$M$6000,6,0),"")</f>
        <v/>
      </c>
      <c r="E35" s="118" t="str">
        <f>IFERROR(VLOOKUP(H35,[1]SEMIELABORADOS!$A$2:$M$65536,10,0),"")</f>
        <v/>
      </c>
      <c r="F35" s="118" t="str">
        <f>IFERROR(E35*C35,"")</f>
        <v/>
      </c>
      <c r="G35" s="119" t="str">
        <f t="shared" ref="G35:G41" si="9">IFERROR(F35/$F$66,"")</f>
        <v/>
      </c>
      <c r="H35" s="123"/>
      <c r="I35" s="123"/>
      <c r="J35" s="121"/>
    </row>
    <row r="36" spans="1:13" ht="13.5" hidden="1" x14ac:dyDescent="0.25">
      <c r="A36" s="116">
        <f t="shared" ref="A36:A41" si="10">+A18</f>
        <v>0</v>
      </c>
      <c r="B36" s="122" t="str">
        <f>IFERROR(VLOOKUP(H36,[1]SEMIELABORADOS!$A$2:$M$6000,2,0),"")</f>
        <v/>
      </c>
      <c r="C36" s="117">
        <f t="shared" ref="C36:C41" si="11">+A36</f>
        <v>0</v>
      </c>
      <c r="D36" s="118" t="str">
        <f>IFERROR(VLOOKUP(H36,[1]SEMIELABORADOS!$A$2:$M$6000,6,0),"")</f>
        <v/>
      </c>
      <c r="E36" s="118" t="str">
        <f>IFERROR(VLOOKUP(H36,[1]SEMIELABORADOS!$A$2:$M$65536,10,0),"")</f>
        <v/>
      </c>
      <c r="F36" s="118" t="str">
        <f t="shared" ref="F36:F41" si="12">IFERROR(E36*C36,"")</f>
        <v/>
      </c>
      <c r="G36" s="119" t="str">
        <f t="shared" si="9"/>
        <v/>
      </c>
      <c r="H36" s="123"/>
      <c r="I36" s="123"/>
      <c r="J36" s="121"/>
    </row>
    <row r="37" spans="1:13" ht="13.5" hidden="1" x14ac:dyDescent="0.25">
      <c r="A37" s="116">
        <f t="shared" si="10"/>
        <v>0</v>
      </c>
      <c r="B37" s="122" t="str">
        <f>IFERROR(VLOOKUP(H37,[1]SEMIELABORADOS!$A$2:$M$6000,2,0),"")</f>
        <v/>
      </c>
      <c r="C37" s="117">
        <f t="shared" si="11"/>
        <v>0</v>
      </c>
      <c r="D37" s="118" t="str">
        <f>IFERROR(VLOOKUP(H37,[1]SEMIELABORADOS!$A$2:$M$6000,6,0),"")</f>
        <v/>
      </c>
      <c r="E37" s="118" t="str">
        <f>IFERROR(VLOOKUP(H37,[1]SEMIELABORADOS!$A$2:$M$65536,10,0),"")</f>
        <v/>
      </c>
      <c r="F37" s="118" t="str">
        <f t="shared" si="12"/>
        <v/>
      </c>
      <c r="G37" s="119" t="str">
        <f t="shared" si="9"/>
        <v/>
      </c>
      <c r="H37" s="123"/>
      <c r="I37" s="123"/>
      <c r="J37" s="121"/>
    </row>
    <row r="38" spans="1:13" ht="13.5" hidden="1" x14ac:dyDescent="0.25">
      <c r="A38" s="116">
        <f t="shared" si="10"/>
        <v>0</v>
      </c>
      <c r="B38" s="122" t="str">
        <f>IFERROR(VLOOKUP(H38,[1]SEMIELABORADOS!$A$2:$M$6000,2,0),"")</f>
        <v/>
      </c>
      <c r="C38" s="117">
        <f>+A38</f>
        <v>0</v>
      </c>
      <c r="D38" s="118" t="str">
        <f>IFERROR(VLOOKUP(H38,[1]SEMIELABORADOS!$A$2:$M$6000,6,0),"")</f>
        <v/>
      </c>
      <c r="E38" s="118" t="str">
        <f>IFERROR(VLOOKUP(H38,[1]SEMIELABORADOS!$A$2:$M$65536,10,0),"")</f>
        <v/>
      </c>
      <c r="F38" s="118" t="str">
        <f>IFERROR(E38*C38,"")</f>
        <v/>
      </c>
      <c r="G38" s="119" t="str">
        <f t="shared" si="9"/>
        <v/>
      </c>
      <c r="H38" s="123"/>
      <c r="I38" s="123"/>
      <c r="J38" s="121"/>
    </row>
    <row r="39" spans="1:13" ht="13.5" hidden="1" x14ac:dyDescent="0.25">
      <c r="A39" s="116">
        <f t="shared" si="10"/>
        <v>0</v>
      </c>
      <c r="B39" s="122" t="str">
        <f>IFERROR(VLOOKUP(H39,[1]SEMIELABORADOS!$A$2:$M$6000,2,0),"")</f>
        <v/>
      </c>
      <c r="C39" s="117">
        <f>+A39</f>
        <v>0</v>
      </c>
      <c r="D39" s="118" t="str">
        <f>IFERROR(VLOOKUP(H39,[1]SEMIELABORADOS!$A$2:$M$6000,6,0),"")</f>
        <v/>
      </c>
      <c r="E39" s="118" t="str">
        <f>IFERROR(VLOOKUP(H39,[1]SEMIELABORADOS!$A$2:$M$65536,10,0),"")</f>
        <v/>
      </c>
      <c r="F39" s="118" t="str">
        <f>IFERROR(E39*C39,"")</f>
        <v/>
      </c>
      <c r="G39" s="119" t="str">
        <f t="shared" si="9"/>
        <v/>
      </c>
      <c r="H39" s="123"/>
      <c r="I39" s="123"/>
      <c r="J39" s="121"/>
    </row>
    <row r="40" spans="1:13" ht="13.5" hidden="1" x14ac:dyDescent="0.25">
      <c r="A40" s="116">
        <f t="shared" si="10"/>
        <v>0</v>
      </c>
      <c r="B40" s="122" t="str">
        <f>IFERROR(VLOOKUP(H40,[1]SEMIELABORADOS!$A$2:$M$6000,2,0),"")</f>
        <v/>
      </c>
      <c r="C40" s="117">
        <f t="shared" si="11"/>
        <v>0</v>
      </c>
      <c r="D40" s="118" t="str">
        <f>IFERROR(VLOOKUP(H40,[1]SEMIELABORADOS!$A$2:$M$6000,6,0),"")</f>
        <v/>
      </c>
      <c r="E40" s="118" t="str">
        <f>IFERROR(VLOOKUP(H40,[1]SEMIELABORADOS!$A$2:$M$65536,10,0),"")</f>
        <v/>
      </c>
      <c r="F40" s="118" t="str">
        <f t="shared" si="12"/>
        <v/>
      </c>
      <c r="G40" s="119" t="str">
        <f t="shared" si="9"/>
        <v/>
      </c>
      <c r="H40" s="123"/>
      <c r="I40" s="123"/>
      <c r="J40" s="121"/>
    </row>
    <row r="41" spans="1:13" ht="13.5" hidden="1" x14ac:dyDescent="0.25">
      <c r="A41" s="116">
        <f t="shared" si="10"/>
        <v>0</v>
      </c>
      <c r="B41" s="122" t="str">
        <f>IFERROR(VLOOKUP(H41,[1]SEMIELABORADOS!$A$2:$M$6000,2,0),"")</f>
        <v/>
      </c>
      <c r="C41" s="117">
        <f t="shared" si="11"/>
        <v>0</v>
      </c>
      <c r="D41" s="118" t="str">
        <f>IFERROR(VLOOKUP(H41,[1]SEMIELABORADOS!$A$2:$M$6000,6,0),"")</f>
        <v/>
      </c>
      <c r="E41" s="118" t="str">
        <f>IFERROR(VLOOKUP(H41,[1]SEMIELABORADOS!$A$2:$M$65536,10,0),"")</f>
        <v/>
      </c>
      <c r="F41" s="118" t="str">
        <f t="shared" si="12"/>
        <v/>
      </c>
      <c r="G41" s="119" t="str">
        <f t="shared" si="9"/>
        <v/>
      </c>
      <c r="H41" s="123"/>
      <c r="I41" s="123"/>
      <c r="J41" s="121"/>
    </row>
    <row r="42" spans="1:13" ht="14.25" hidden="1" thickBot="1" x14ac:dyDescent="0.3">
      <c r="A42" s="116"/>
      <c r="B42" s="122"/>
      <c r="C42" s="117"/>
      <c r="D42" s="118"/>
      <c r="E42" s="118"/>
      <c r="F42" s="118"/>
      <c r="G42" s="119"/>
      <c r="H42" s="123"/>
      <c r="I42" s="123"/>
      <c r="J42" s="121"/>
    </row>
    <row r="43" spans="1:13" ht="26.25" thickBot="1" x14ac:dyDescent="0.3">
      <c r="A43" s="111" t="s">
        <v>124</v>
      </c>
      <c r="B43" s="112" t="s">
        <v>133</v>
      </c>
      <c r="C43" s="112" t="s">
        <v>124</v>
      </c>
      <c r="D43" s="113" t="s">
        <v>126</v>
      </c>
      <c r="E43" s="113" t="s">
        <v>127</v>
      </c>
      <c r="F43" s="113" t="s">
        <v>128</v>
      </c>
      <c r="G43" s="113" t="s">
        <v>129</v>
      </c>
      <c r="H43" s="114" t="s">
        <v>130</v>
      </c>
      <c r="I43" s="115"/>
      <c r="J43" s="121"/>
    </row>
    <row r="44" spans="1:13" ht="13.5" hidden="1" x14ac:dyDescent="0.25">
      <c r="A44" s="116">
        <f>+A35</f>
        <v>0</v>
      </c>
      <c r="B44" s="122" t="str">
        <f>IFERROR(VLOOKUP(H44,[1]SEMIELABORADOS!$A$2:$M$6000,2,0),"")</f>
        <v/>
      </c>
      <c r="C44" s="117">
        <f>+A44</f>
        <v>0</v>
      </c>
      <c r="D44" s="118" t="str">
        <f>IFERROR(VLOOKUP(H44,[1]SEMIELABORADOS!$A$2:$M$6000,6,0),"")</f>
        <v/>
      </c>
      <c r="E44" s="118" t="str">
        <f>IFERROR(VLOOKUP(H44,[1]SEMIELABORADOS!$A$2:$M$65536,12,0),"")</f>
        <v/>
      </c>
      <c r="F44" s="118" t="str">
        <f>IFERROR(E44*C44,"")</f>
        <v/>
      </c>
      <c r="G44" s="119" t="str">
        <f>IFERROR(F44/$F$66,"")</f>
        <v/>
      </c>
      <c r="H44" s="123"/>
      <c r="I44" s="115"/>
      <c r="J44" s="121"/>
    </row>
    <row r="45" spans="1:13" ht="13.5" hidden="1" x14ac:dyDescent="0.25">
      <c r="A45" s="116">
        <f t="shared" ref="A45:A50" si="13">+A36</f>
        <v>0</v>
      </c>
      <c r="B45" s="122" t="str">
        <f>IFERROR(VLOOKUP(H45,[1]SEMIELABORADOS!$A$2:$M$6000,2,0),"")</f>
        <v/>
      </c>
      <c r="C45" s="117">
        <f t="shared" ref="C45:C50" si="14">+A45</f>
        <v>0</v>
      </c>
      <c r="D45" s="118" t="str">
        <f>IFERROR(VLOOKUP(H45,[1]SEMIELABORADOS!$A$2:$M$6000,6,0),"")</f>
        <v/>
      </c>
      <c r="E45" s="118" t="str">
        <f>IFERROR(VLOOKUP(H45,[1]SEMIELABORADOS!$A$2:$M$65536,12,0),"")</f>
        <v/>
      </c>
      <c r="F45" s="118" t="str">
        <f t="shared" ref="F45:F50" si="15">IFERROR(E45*C45,"")</f>
        <v/>
      </c>
      <c r="G45" s="119" t="str">
        <f t="shared" ref="G45:G50" si="16">IFERROR(F45/$F$66,"")</f>
        <v/>
      </c>
      <c r="H45" s="123"/>
      <c r="I45" s="115"/>
      <c r="J45" s="121"/>
      <c r="M45" s="126"/>
    </row>
    <row r="46" spans="1:13" ht="13.5" hidden="1" x14ac:dyDescent="0.25">
      <c r="A46" s="116">
        <f t="shared" si="13"/>
        <v>0</v>
      </c>
      <c r="B46" s="122" t="str">
        <f>IFERROR(VLOOKUP(H46,[1]SEMIELABORADOS!$A$2:$M$6000,2,0),"")</f>
        <v/>
      </c>
      <c r="C46" s="117">
        <f t="shared" si="14"/>
        <v>0</v>
      </c>
      <c r="D46" s="118" t="str">
        <f>IFERROR(VLOOKUP(H46,[1]SEMIELABORADOS!$A$2:$M$6000,6,0),"")</f>
        <v/>
      </c>
      <c r="E46" s="118" t="str">
        <f>IFERROR(VLOOKUP(H46,[1]SEMIELABORADOS!$A$2:$M$65536,12,0),"")</f>
        <v/>
      </c>
      <c r="F46" s="118" t="str">
        <f t="shared" si="15"/>
        <v/>
      </c>
      <c r="G46" s="119" t="str">
        <f t="shared" si="16"/>
        <v/>
      </c>
      <c r="H46" s="123"/>
      <c r="I46" s="115"/>
      <c r="J46" s="121"/>
    </row>
    <row r="47" spans="1:13" ht="13.5" hidden="1" x14ac:dyDescent="0.25">
      <c r="A47" s="116">
        <f t="shared" si="13"/>
        <v>0</v>
      </c>
      <c r="B47" s="122" t="str">
        <f>IFERROR(VLOOKUP(H47,[1]SEMIELABORADOS!$A$2:$M$6000,2,0),"")</f>
        <v/>
      </c>
      <c r="C47" s="117">
        <f t="shared" si="14"/>
        <v>0</v>
      </c>
      <c r="D47" s="118" t="str">
        <f>IFERROR(VLOOKUP(H47,[1]SEMIELABORADOS!$A$2:$M$6000,6,0),"")</f>
        <v/>
      </c>
      <c r="E47" s="118" t="str">
        <f>IFERROR(VLOOKUP(H47,[1]SEMIELABORADOS!$A$2:$M$65536,12,0),"")</f>
        <v/>
      </c>
      <c r="F47" s="118" t="str">
        <f t="shared" si="15"/>
        <v/>
      </c>
      <c r="G47" s="119" t="str">
        <f t="shared" si="16"/>
        <v/>
      </c>
      <c r="H47" s="123"/>
      <c r="I47" s="115"/>
      <c r="J47" s="121"/>
    </row>
    <row r="48" spans="1:13" ht="13.5" hidden="1" x14ac:dyDescent="0.25">
      <c r="A48" s="116">
        <f t="shared" si="13"/>
        <v>0</v>
      </c>
      <c r="B48" s="122" t="str">
        <f>IFERROR(VLOOKUP(H48,[1]SEMIELABORADOS!$A$2:$M$6000,2,0),"")</f>
        <v/>
      </c>
      <c r="C48" s="117">
        <f t="shared" si="14"/>
        <v>0</v>
      </c>
      <c r="D48" s="118" t="str">
        <f>IFERROR(VLOOKUP(H48,[1]SEMIELABORADOS!$A$2:$M$6000,6,0),"")</f>
        <v/>
      </c>
      <c r="E48" s="118" t="str">
        <f>IFERROR(VLOOKUP(H48,[1]SEMIELABORADOS!$A$2:$M$65536,12,0),"")</f>
        <v/>
      </c>
      <c r="F48" s="118" t="str">
        <f t="shared" si="15"/>
        <v/>
      </c>
      <c r="G48" s="119" t="str">
        <f t="shared" si="16"/>
        <v/>
      </c>
      <c r="H48" s="123"/>
      <c r="I48" s="115"/>
      <c r="J48" s="121"/>
    </row>
    <row r="49" spans="1:17" ht="13.5" hidden="1" x14ac:dyDescent="0.25">
      <c r="A49" s="116">
        <f t="shared" si="13"/>
        <v>0</v>
      </c>
      <c r="B49" s="122" t="str">
        <f>IFERROR(VLOOKUP(H49,[1]SEMIELABORADOS!$A$2:$M$6000,2,0),"")</f>
        <v/>
      </c>
      <c r="C49" s="117">
        <f t="shared" si="14"/>
        <v>0</v>
      </c>
      <c r="D49" s="118" t="str">
        <f>IFERROR(VLOOKUP(H49,[1]SEMIELABORADOS!$A$2:$M$6000,6,0),"")</f>
        <v/>
      </c>
      <c r="E49" s="118" t="str">
        <f>IFERROR(VLOOKUP(H49,[1]SEMIELABORADOS!$A$2:$M$65536,12,0),"")</f>
        <v/>
      </c>
      <c r="F49" s="118" t="str">
        <f t="shared" si="15"/>
        <v/>
      </c>
      <c r="G49" s="119" t="str">
        <f t="shared" si="16"/>
        <v/>
      </c>
      <c r="H49" s="123"/>
      <c r="I49" s="115"/>
      <c r="J49" s="121"/>
    </row>
    <row r="50" spans="1:17" ht="13.5" hidden="1" x14ac:dyDescent="0.25">
      <c r="A50" s="116">
        <f t="shared" si="13"/>
        <v>0</v>
      </c>
      <c r="B50" s="122" t="str">
        <f>IFERROR(VLOOKUP(H50,[1]SEMIELABORADOS!$A$2:$M$6000,2,0),"")</f>
        <v/>
      </c>
      <c r="C50" s="117">
        <f t="shared" si="14"/>
        <v>0</v>
      </c>
      <c r="D50" s="118" t="str">
        <f>IFERROR(VLOOKUP(H50,[1]SEMIELABORADOS!$A$2:$M$6000,6,0),"")</f>
        <v/>
      </c>
      <c r="E50" s="118" t="str">
        <f>IFERROR(VLOOKUP(H50,[1]SEMIELABORADOS!$A$2:$M$65536,12,0),"")</f>
        <v/>
      </c>
      <c r="F50" s="118" t="str">
        <f t="shared" si="15"/>
        <v/>
      </c>
      <c r="G50" s="119" t="str">
        <f t="shared" si="16"/>
        <v/>
      </c>
      <c r="H50" s="122"/>
      <c r="I50" s="115"/>
      <c r="J50" s="121"/>
    </row>
    <row r="51" spans="1:17" ht="13.5" x14ac:dyDescent="0.25">
      <c r="A51" s="116">
        <v>1</v>
      </c>
      <c r="B51" s="122" t="s">
        <v>134</v>
      </c>
      <c r="C51" s="117">
        <f>+A51</f>
        <v>1</v>
      </c>
      <c r="D51" s="117" t="s">
        <v>135</v>
      </c>
      <c r="E51" s="118">
        <f>+F65</f>
        <v>231</v>
      </c>
      <c r="F51" s="118">
        <f>IFERROR(C51*E51,"")</f>
        <v>231</v>
      </c>
      <c r="G51" s="119">
        <f>IFERROR(F51/$F$66,"")</f>
        <v>5.9049442021116692E-2</v>
      </c>
      <c r="H51" s="127"/>
      <c r="I51" s="127"/>
      <c r="J51" s="121"/>
    </row>
    <row r="52" spans="1:17" ht="14.25" thickBot="1" x14ac:dyDescent="0.3">
      <c r="A52" s="116"/>
      <c r="B52" s="122"/>
      <c r="C52" s="117"/>
      <c r="D52" s="117"/>
      <c r="E52" s="118"/>
      <c r="F52" s="118"/>
      <c r="G52" s="119"/>
      <c r="H52" s="127"/>
      <c r="I52" s="127"/>
      <c r="J52" s="121"/>
    </row>
    <row r="53" spans="1:17" ht="13.5" thickBot="1" x14ac:dyDescent="0.3">
      <c r="A53" s="128"/>
      <c r="B53" s="718" t="s">
        <v>136</v>
      </c>
      <c r="C53" s="718"/>
      <c r="D53" s="718"/>
      <c r="E53" s="718"/>
      <c r="F53" s="130">
        <f>SUM(F8:F14,F17:F24)</f>
        <v>3608.8</v>
      </c>
      <c r="G53" s="119">
        <f>+F53/$F$66</f>
        <v>0.9225005470381209</v>
      </c>
      <c r="H53" s="131">
        <f>+F53/$D$60</f>
        <v>3608.8</v>
      </c>
      <c r="I53" s="131"/>
      <c r="J53" s="132"/>
      <c r="K53" s="133"/>
      <c r="L53" s="133"/>
      <c r="M53" s="133"/>
      <c r="N53" s="133"/>
      <c r="O53" s="133"/>
      <c r="P53" s="133"/>
      <c r="Q53" s="134"/>
    </row>
    <row r="54" spans="1:17" x14ac:dyDescent="0.2">
      <c r="A54" s="128"/>
      <c r="B54" s="718" t="s">
        <v>137</v>
      </c>
      <c r="C54" s="718"/>
      <c r="D54" s="718"/>
      <c r="E54" s="718"/>
      <c r="F54" s="130">
        <f>SUM(F27:F32,F35:F41)</f>
        <v>0</v>
      </c>
      <c r="G54" s="119">
        <f>+F54/$F$66</f>
        <v>0</v>
      </c>
      <c r="H54" s="131">
        <f>+F54/$D$60</f>
        <v>0</v>
      </c>
      <c r="I54" s="131"/>
      <c r="J54" s="135"/>
      <c r="K54" s="730" t="s">
        <v>138</v>
      </c>
      <c r="L54" s="731"/>
      <c r="M54" s="731"/>
      <c r="N54" s="731"/>
      <c r="O54" s="136">
        <f>+F55</f>
        <v>3608.8</v>
      </c>
      <c r="P54" s="136"/>
      <c r="Q54" s="137"/>
    </row>
    <row r="55" spans="1:17" x14ac:dyDescent="0.2">
      <c r="A55" s="128"/>
      <c r="B55" s="718" t="s">
        <v>139</v>
      </c>
      <c r="C55" s="718"/>
      <c r="D55" s="718"/>
      <c r="E55" s="718"/>
      <c r="F55" s="130">
        <f>+F53+F54</f>
        <v>3608.8</v>
      </c>
      <c r="G55" s="119">
        <f>+F55/$F$66</f>
        <v>0.9225005470381209</v>
      </c>
      <c r="H55" s="131">
        <f>+F55/$D$60</f>
        <v>3608.8</v>
      </c>
      <c r="I55" s="131"/>
      <c r="J55" s="138"/>
      <c r="K55" s="139"/>
      <c r="M55" s="140" t="s">
        <v>140</v>
      </c>
      <c r="N55" s="141"/>
      <c r="O55" s="136">
        <f>+H56</f>
        <v>231</v>
      </c>
      <c r="P55" s="136"/>
      <c r="Q55" s="137"/>
    </row>
    <row r="56" spans="1:17" ht="13.5" thickBot="1" x14ac:dyDescent="0.25">
      <c r="A56" s="128"/>
      <c r="B56" s="129"/>
      <c r="C56" s="718" t="s">
        <v>141</v>
      </c>
      <c r="D56" s="718"/>
      <c r="E56" s="718"/>
      <c r="F56" s="130">
        <f>SUM(F44:F51)</f>
        <v>231</v>
      </c>
      <c r="G56" s="119">
        <f>+F56/$F$66</f>
        <v>5.9049442021116692E-2</v>
      </c>
      <c r="H56" s="131">
        <f>+F56/$D$60</f>
        <v>231</v>
      </c>
      <c r="I56" s="131"/>
      <c r="J56" s="138"/>
      <c r="K56" s="139"/>
      <c r="L56" s="139"/>
      <c r="M56" s="139" t="s">
        <v>142</v>
      </c>
      <c r="N56" s="142"/>
      <c r="O56" s="136">
        <f>O54*N56</f>
        <v>0</v>
      </c>
      <c r="P56" s="136"/>
      <c r="Q56" s="137"/>
    </row>
    <row r="57" spans="1:17" ht="13.5" thickBot="1" x14ac:dyDescent="0.25">
      <c r="A57" s="128"/>
      <c r="B57" s="143"/>
      <c r="C57" s="143"/>
      <c r="D57" s="143"/>
      <c r="E57" s="143"/>
      <c r="F57" s="144"/>
      <c r="G57" s="119"/>
      <c r="H57" s="145"/>
      <c r="I57" s="131"/>
      <c r="J57" s="138"/>
      <c r="K57" s="146"/>
      <c r="M57" s="147" t="s">
        <v>143</v>
      </c>
      <c r="N57" s="148"/>
      <c r="O57" s="149">
        <f>SUM(O54:O56)</f>
        <v>3839.8</v>
      </c>
      <c r="P57" s="150"/>
      <c r="Q57" s="137"/>
    </row>
    <row r="58" spans="1:17" x14ac:dyDescent="0.2">
      <c r="B58" s="719" t="s">
        <v>144</v>
      </c>
      <c r="C58" s="719"/>
      <c r="D58" s="151">
        <v>1000</v>
      </c>
      <c r="E58" s="152"/>
      <c r="G58" s="119"/>
      <c r="H58" s="145">
        <f>+H56/77</f>
        <v>3</v>
      </c>
      <c r="I58" s="153"/>
      <c r="J58" s="138"/>
      <c r="K58" s="146"/>
      <c r="L58" s="139"/>
      <c r="M58" s="139" t="s">
        <v>145</v>
      </c>
      <c r="N58" s="154"/>
      <c r="O58" s="136">
        <f>+H59</f>
        <v>192</v>
      </c>
      <c r="P58" s="136"/>
      <c r="Q58" s="137"/>
    </row>
    <row r="59" spans="1:17" x14ac:dyDescent="0.2">
      <c r="B59" s="719" t="s">
        <v>146</v>
      </c>
      <c r="C59" s="719"/>
      <c r="D59" s="155">
        <v>1000</v>
      </c>
      <c r="E59" s="152"/>
      <c r="G59" s="119"/>
      <c r="H59" s="145">
        <f>+H58*64</f>
        <v>192</v>
      </c>
      <c r="I59" s="153"/>
      <c r="J59" s="138"/>
      <c r="K59" s="146"/>
      <c r="L59" s="139"/>
      <c r="M59" s="720" t="s">
        <v>143</v>
      </c>
      <c r="N59" s="720"/>
      <c r="O59" s="136">
        <f>SUM(O57:O58)</f>
        <v>4031.8</v>
      </c>
      <c r="P59" s="136"/>
      <c r="Q59" s="137"/>
    </row>
    <row r="60" spans="1:17" ht="13.5" thickBot="1" x14ac:dyDescent="0.25">
      <c r="B60" s="721" t="s">
        <v>147</v>
      </c>
      <c r="C60" s="721"/>
      <c r="D60" s="151">
        <f>+D58/D59</f>
        <v>1</v>
      </c>
      <c r="E60" s="152"/>
      <c r="F60" s="156"/>
      <c r="G60" s="119"/>
      <c r="H60" s="145"/>
      <c r="I60" s="153"/>
      <c r="J60" s="138"/>
      <c r="K60" s="146"/>
      <c r="L60" s="720"/>
      <c r="M60" s="720"/>
      <c r="N60" s="154"/>
      <c r="O60" s="136">
        <f>+O59*N60</f>
        <v>0</v>
      </c>
      <c r="P60" s="136"/>
      <c r="Q60" s="137"/>
    </row>
    <row r="61" spans="1:17" ht="13.5" thickBot="1" x14ac:dyDescent="0.25">
      <c r="B61" s="721" t="s">
        <v>148</v>
      </c>
      <c r="C61" s="721"/>
      <c r="D61" s="157"/>
      <c r="E61" s="152"/>
      <c r="F61" s="156"/>
      <c r="G61" s="119"/>
      <c r="H61" s="145"/>
      <c r="I61" s="153"/>
      <c r="J61" s="138"/>
      <c r="K61" s="722" t="s">
        <v>149</v>
      </c>
      <c r="L61" s="723"/>
      <c r="M61" s="723"/>
      <c r="N61" s="724"/>
      <c r="O61" s="149">
        <f>SUM(O59:O60)</f>
        <v>4031.8</v>
      </c>
      <c r="P61" s="158" t="s">
        <v>150</v>
      </c>
      <c r="Q61" s="137"/>
    </row>
    <row r="62" spans="1:17" ht="13.5" thickBot="1" x14ac:dyDescent="0.25">
      <c r="C62" s="128" t="s">
        <v>151</v>
      </c>
      <c r="D62" s="159"/>
      <c r="E62" s="102" t="s">
        <v>152</v>
      </c>
      <c r="F62" s="160" t="s">
        <v>153</v>
      </c>
      <c r="G62" s="119"/>
      <c r="H62" s="145"/>
      <c r="I62" s="153"/>
      <c r="J62" s="161"/>
      <c r="K62" s="162"/>
      <c r="L62" s="725" t="s">
        <v>154</v>
      </c>
      <c r="M62" s="725"/>
      <c r="N62" s="725"/>
      <c r="O62" s="163">
        <f>+O61/D60</f>
        <v>4031.8</v>
      </c>
      <c r="P62" s="164">
        <f>+O62/D59</f>
        <v>4.0318000000000005</v>
      </c>
      <c r="Q62" s="165"/>
    </row>
    <row r="63" spans="1:17" ht="13.5" thickBot="1" x14ac:dyDescent="0.25">
      <c r="B63" s="726" t="s">
        <v>139</v>
      </c>
      <c r="C63" s="726"/>
      <c r="D63" s="726"/>
      <c r="E63" s="166">
        <f>+F63/F63</f>
        <v>1</v>
      </c>
      <c r="F63" s="167">
        <f>SUM(F55)</f>
        <v>3608.8</v>
      </c>
      <c r="G63" s="119">
        <f>+F63/$F$66</f>
        <v>0.9225005470381209</v>
      </c>
      <c r="H63" s="145"/>
      <c r="I63" s="153"/>
      <c r="K63" s="727"/>
      <c r="L63" s="728"/>
      <c r="M63" s="728"/>
      <c r="N63" s="728"/>
      <c r="O63" s="168"/>
      <c r="P63" s="169"/>
    </row>
    <row r="64" spans="1:17" ht="13.5" thickBot="1" x14ac:dyDescent="0.3">
      <c r="B64" s="717" t="s">
        <v>155</v>
      </c>
      <c r="C64" s="717"/>
      <c r="D64" s="717"/>
      <c r="E64" s="170">
        <v>0.02</v>
      </c>
      <c r="F64" s="167">
        <f>+F53*E64</f>
        <v>72.176000000000002</v>
      </c>
      <c r="G64" s="119">
        <f>+F64/$F$66</f>
        <v>1.8450010940762419E-2</v>
      </c>
      <c r="H64" s="131"/>
      <c r="I64" s="153"/>
      <c r="J64" s="171"/>
      <c r="O64" s="172"/>
      <c r="P64" s="129"/>
    </row>
    <row r="65" spans="2:13" ht="13.5" thickBot="1" x14ac:dyDescent="0.3">
      <c r="B65" s="707" t="s">
        <v>156</v>
      </c>
      <c r="C65" s="708"/>
      <c r="D65" s="173">
        <v>3</v>
      </c>
      <c r="E65" s="174">
        <v>77</v>
      </c>
      <c r="F65" s="167">
        <f>+E65*D65</f>
        <v>231</v>
      </c>
      <c r="G65" s="119">
        <f>+F65/$F$66</f>
        <v>5.9049442021116692E-2</v>
      </c>
      <c r="H65" s="131"/>
      <c r="I65" s="131"/>
      <c r="J65" s="121"/>
    </row>
    <row r="66" spans="2:13" ht="13.5" thickBot="1" x14ac:dyDescent="0.3">
      <c r="B66" s="709" t="s">
        <v>157</v>
      </c>
      <c r="C66" s="710"/>
      <c r="D66" s="710"/>
      <c r="E66" s="711"/>
      <c r="F66" s="144">
        <f>SUM(F63:F65)</f>
        <v>3911.9760000000001</v>
      </c>
      <c r="G66" s="119">
        <f>+F66/$F$66</f>
        <v>1</v>
      </c>
      <c r="H66" s="712"/>
      <c r="I66" s="131"/>
      <c r="J66" s="121"/>
      <c r="M66" s="104" t="s">
        <v>158</v>
      </c>
    </row>
    <row r="67" spans="2:13" x14ac:dyDescent="0.25">
      <c r="C67" s="126"/>
      <c r="D67" s="126"/>
      <c r="E67" s="176"/>
      <c r="F67" s="167"/>
      <c r="G67" s="119"/>
      <c r="H67" s="712"/>
      <c r="I67" s="175"/>
      <c r="J67" s="104"/>
      <c r="M67" s="104" t="s">
        <v>159</v>
      </c>
    </row>
    <row r="68" spans="2:13" ht="13.5" thickBot="1" x14ac:dyDescent="0.3">
      <c r="B68" s="713" t="s">
        <v>160</v>
      </c>
      <c r="C68" s="713"/>
      <c r="D68" s="713"/>
      <c r="E68" s="713"/>
      <c r="F68" s="713"/>
      <c r="G68" s="119"/>
      <c r="H68" s="178"/>
      <c r="I68" s="175"/>
      <c r="J68" s="104"/>
      <c r="M68" s="104" t="s">
        <v>161</v>
      </c>
    </row>
    <row r="69" spans="2:13" ht="13.5" thickBot="1" x14ac:dyDescent="0.3">
      <c r="B69" s="179" t="s">
        <v>162</v>
      </c>
      <c r="C69" s="180">
        <f>+F53</f>
        <v>3608.8</v>
      </c>
      <c r="D69" s="180">
        <f>+D58</f>
        <v>1000</v>
      </c>
      <c r="E69" s="181">
        <f>+C69/D69</f>
        <v>3.6088</v>
      </c>
      <c r="F69" s="119"/>
      <c r="G69" s="178"/>
      <c r="H69" s="121"/>
      <c r="I69" s="178"/>
      <c r="J69" s="104"/>
    </row>
    <row r="70" spans="2:13" x14ac:dyDescent="0.25">
      <c r="B70" s="182"/>
      <c r="C70" s="183"/>
      <c r="D70" s="184"/>
      <c r="E70" s="167"/>
      <c r="F70" s="119"/>
      <c r="G70" s="178"/>
      <c r="H70" s="121"/>
      <c r="I70" s="121"/>
      <c r="J70" s="104"/>
    </row>
    <row r="71" spans="2:13" x14ac:dyDescent="0.25">
      <c r="B71" s="179" t="s">
        <v>163</v>
      </c>
      <c r="C71" s="180">
        <f>SUM(F63:F64)</f>
        <v>3680.9760000000001</v>
      </c>
      <c r="D71" s="180">
        <f>+D58</f>
        <v>1000</v>
      </c>
      <c r="E71" s="185">
        <f>+C71/D71</f>
        <v>3.6809760000000002</v>
      </c>
      <c r="F71" s="119"/>
      <c r="G71" s="178"/>
      <c r="H71" s="121"/>
      <c r="I71" s="121"/>
      <c r="J71" s="104"/>
    </row>
    <row r="72" spans="2:13" x14ac:dyDescent="0.25">
      <c r="B72" s="179"/>
      <c r="C72" s="180"/>
      <c r="D72" s="180"/>
      <c r="E72" s="185"/>
      <c r="F72" s="119"/>
      <c r="G72" s="178"/>
      <c r="H72" s="121"/>
      <c r="I72" s="121"/>
      <c r="J72" s="104"/>
    </row>
    <row r="73" spans="2:13" ht="13.5" thickBot="1" x14ac:dyDescent="0.3">
      <c r="B73" s="179" t="s">
        <v>164</v>
      </c>
      <c r="C73" s="180">
        <f>+F65</f>
        <v>231</v>
      </c>
      <c r="D73" s="180">
        <f>+D58</f>
        <v>1000</v>
      </c>
      <c r="E73" s="185">
        <f>+C73/D73</f>
        <v>0.23100000000000001</v>
      </c>
      <c r="F73" s="119"/>
      <c r="G73" s="178"/>
      <c r="H73" s="121"/>
      <c r="I73" s="121"/>
      <c r="J73" s="104"/>
    </row>
    <row r="74" spans="2:13" ht="13.5" thickBot="1" x14ac:dyDescent="0.3">
      <c r="B74" s="179" t="s">
        <v>165</v>
      </c>
      <c r="C74" s="180">
        <f>+F56</f>
        <v>231</v>
      </c>
      <c r="D74" s="180">
        <f>+D73</f>
        <v>1000</v>
      </c>
      <c r="E74" s="181">
        <f>+C74/D74</f>
        <v>0.23100000000000001</v>
      </c>
      <c r="F74" s="119"/>
      <c r="G74" s="178"/>
      <c r="H74" s="121"/>
      <c r="I74" s="121"/>
      <c r="J74" s="104"/>
    </row>
    <row r="75" spans="2:13" ht="13.5" thickBot="1" x14ac:dyDescent="0.3">
      <c r="B75" s="143"/>
      <c r="C75" s="144"/>
      <c r="D75" s="144"/>
      <c r="E75" s="185"/>
      <c r="F75" s="119"/>
      <c r="G75" s="178"/>
      <c r="H75" s="121"/>
      <c r="I75" s="121"/>
      <c r="J75" s="104"/>
    </row>
    <row r="76" spans="2:13" ht="13.5" thickBot="1" x14ac:dyDescent="0.3">
      <c r="B76" s="179" t="s">
        <v>166</v>
      </c>
      <c r="C76" s="180">
        <f>+F54</f>
        <v>0</v>
      </c>
      <c r="D76" s="180">
        <f>+D74</f>
        <v>1000</v>
      </c>
      <c r="E76" s="181">
        <f>+C76/D76</f>
        <v>0</v>
      </c>
      <c r="F76" s="119"/>
      <c r="G76" s="178"/>
      <c r="H76" s="121"/>
      <c r="I76" s="121"/>
      <c r="J76" s="121"/>
    </row>
    <row r="77" spans="2:13" ht="13.5" thickBot="1" x14ac:dyDescent="0.3">
      <c r="B77" s="143"/>
      <c r="C77" s="144"/>
      <c r="D77" s="144"/>
      <c r="E77" s="185"/>
      <c r="F77" s="119"/>
      <c r="G77" s="178"/>
      <c r="H77" s="121"/>
      <c r="I77" s="121"/>
    </row>
    <row r="78" spans="2:13" ht="13.5" thickBot="1" x14ac:dyDescent="0.3">
      <c r="B78" s="714" t="s">
        <v>167</v>
      </c>
      <c r="C78" s="715"/>
      <c r="D78" s="716"/>
      <c r="E78" s="181">
        <f>+E69+E74</f>
        <v>3.8397999999999999</v>
      </c>
      <c r="G78" s="119"/>
      <c r="H78" s="178"/>
      <c r="I78" s="121"/>
      <c r="J78" s="185"/>
    </row>
    <row r="79" spans="2:13" x14ac:dyDescent="0.25">
      <c r="I79" s="178"/>
      <c r="J79" s="104"/>
    </row>
    <row r="80" spans="2:13" ht="13.5" thickBot="1" x14ac:dyDescent="0.3">
      <c r="B80" s="713" t="s">
        <v>168</v>
      </c>
      <c r="C80" s="713"/>
      <c r="D80" s="713"/>
      <c r="E80" s="713"/>
      <c r="F80" s="713"/>
      <c r="G80" s="119"/>
      <c r="H80" s="178"/>
      <c r="J80" s="104"/>
    </row>
    <row r="81" spans="1:10" ht="13.5" thickBot="1" x14ac:dyDescent="0.3">
      <c r="B81" s="179" t="s">
        <v>162</v>
      </c>
      <c r="C81" s="180">
        <f>+C69</f>
        <v>3608.8</v>
      </c>
      <c r="D81" s="180">
        <f>+D60</f>
        <v>1</v>
      </c>
      <c r="E81" s="181">
        <f>+C81/D81</f>
        <v>3608.8</v>
      </c>
      <c r="F81" s="119"/>
      <c r="G81" s="178"/>
      <c r="H81" s="121"/>
      <c r="I81" s="178"/>
      <c r="J81" s="104"/>
    </row>
    <row r="82" spans="1:10" x14ac:dyDescent="0.25">
      <c r="B82" s="182"/>
      <c r="C82" s="183"/>
      <c r="D82" s="184"/>
      <c r="E82" s="167"/>
      <c r="F82" s="119"/>
      <c r="G82" s="178"/>
      <c r="H82" s="121"/>
      <c r="I82" s="121"/>
      <c r="J82" s="104"/>
    </row>
    <row r="83" spans="1:10" x14ac:dyDescent="0.25">
      <c r="B83" s="179" t="s">
        <v>163</v>
      </c>
      <c r="C83" s="180">
        <f>+C71</f>
        <v>3680.9760000000001</v>
      </c>
      <c r="D83" s="180">
        <f>+D60</f>
        <v>1</v>
      </c>
      <c r="E83" s="185">
        <f>+C83/D83</f>
        <v>3680.9760000000001</v>
      </c>
      <c r="F83" s="119"/>
      <c r="G83" s="178"/>
      <c r="H83" s="121"/>
      <c r="I83" s="121"/>
      <c r="J83" s="104"/>
    </row>
    <row r="84" spans="1:10" x14ac:dyDescent="0.25">
      <c r="B84" s="179"/>
      <c r="C84" s="180"/>
      <c r="D84" s="180"/>
      <c r="E84" s="185"/>
      <c r="F84" s="119"/>
      <c r="G84" s="178"/>
      <c r="H84" s="121"/>
      <c r="I84" s="121"/>
      <c r="J84" s="104"/>
    </row>
    <row r="85" spans="1:10" ht="13.5" thickBot="1" x14ac:dyDescent="0.3">
      <c r="B85" s="179" t="s">
        <v>165</v>
      </c>
      <c r="C85" s="180">
        <f>+C73</f>
        <v>231</v>
      </c>
      <c r="D85" s="180">
        <f>+D60</f>
        <v>1</v>
      </c>
      <c r="E85" s="185">
        <f>+C85/D85</f>
        <v>231</v>
      </c>
      <c r="F85" s="187"/>
      <c r="G85" s="177"/>
      <c r="H85" s="103"/>
      <c r="I85" s="121"/>
    </row>
    <row r="86" spans="1:10" ht="13.5" thickBot="1" x14ac:dyDescent="0.3">
      <c r="B86" s="179" t="s">
        <v>165</v>
      </c>
      <c r="C86" s="180">
        <f>+C74</f>
        <v>231</v>
      </c>
      <c r="D86" s="180">
        <f>+D85</f>
        <v>1</v>
      </c>
      <c r="E86" s="181">
        <f>+C86/D86</f>
        <v>231</v>
      </c>
      <c r="F86" s="186"/>
      <c r="G86" s="177"/>
      <c r="H86" s="103"/>
      <c r="I86" s="103"/>
    </row>
    <row r="87" spans="1:10" x14ac:dyDescent="0.25">
      <c r="I87" s="103"/>
    </row>
    <row r="88" spans="1:10" x14ac:dyDescent="0.2">
      <c r="A88" s="706"/>
      <c r="B88" s="706"/>
      <c r="C88" s="188"/>
      <c r="D88" s="188"/>
      <c r="E88" s="189"/>
      <c r="G88" s="190"/>
    </row>
    <row r="89" spans="1:10" x14ac:dyDescent="0.2">
      <c r="A89" s="122"/>
      <c r="B89" s="191"/>
      <c r="C89" s="192"/>
      <c r="D89" s="192"/>
      <c r="E89" s="193"/>
      <c r="G89" s="190"/>
    </row>
    <row r="90" spans="1:10" x14ac:dyDescent="0.2">
      <c r="A90" s="122"/>
      <c r="B90" s="191"/>
      <c r="C90" s="194"/>
      <c r="D90" s="194"/>
      <c r="E90" s="122"/>
      <c r="G90" s="190"/>
    </row>
    <row r="91" spans="1:10" x14ac:dyDescent="0.2">
      <c r="A91" s="122"/>
      <c r="B91" s="191"/>
      <c r="C91" s="195"/>
      <c r="D91" s="195"/>
      <c r="E91" s="122"/>
      <c r="G91" s="19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Ensamble</vt:lpstr>
      <vt:lpstr>Ensamble 2</vt:lpstr>
      <vt:lpstr>Ensamble 3</vt:lpstr>
      <vt:lpstr>Ensamble 4</vt:lpstr>
      <vt:lpstr>Ensamble 5</vt:lpstr>
      <vt:lpstr>Costo ensamble</vt:lpstr>
      <vt:lpstr>Rosquete Easy Vainilla </vt:lpstr>
      <vt:lpstr>Batido Easy Vainilla </vt:lpstr>
      <vt:lpstr>Premezcla Easy Vainilla </vt:lpstr>
      <vt:lpstr>Almibar canela </vt:lpstr>
      <vt:lpstr>Crema dulce de leche </vt:lpstr>
      <vt:lpstr>Mezcla sirope Manjar </vt:lpstr>
      <vt:lpstr>Topping de Manzana </vt:lpstr>
      <vt:lpstr>Costo topping de manzana 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2025-09-18T21:28:34Z</cp:lastPrinted>
  <dcterms:created xsi:type="dcterms:W3CDTF">2025-01-06T20:55:42Z</dcterms:created>
  <dcterms:modified xsi:type="dcterms:W3CDTF">2025-09-18T21:29:27Z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
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6" documentId="8_{68082EB8-C20B-4421-8EA4-F0C8B37BE4DE}" xr6:coauthVersionLast="47" xr6:coauthVersionMax="47" xr10:uidLastSave="{E5680797-AFD5-46F5-A7C1-6E076F72F635}"/>
  <bookViews>
    <workbookView xWindow="-120" yWindow="-120" windowWidth="20730" windowHeight="11040" tabRatio="914" firstSheet="15" activeTab="15" xr2:uid="{D6751FF2-9B7D-436A-BEF1-F6DEBE425F37}"/>
  </bookViews>
  <sheets>
    <sheet name="Costo Ensamble " sheetId="14" state="hidden" r:id="rId1"/>
    <sheet name="Crema Dulce Leche " sheetId="26" state="hidden" r:id="rId2"/>
    <sheet name="Mezcla Sirope Dulce leche " sheetId="25" state="hidden" r:id="rId3"/>
    <sheet name="Empaque Relleno de Caramelo " sheetId="23" state="hidden" r:id="rId4"/>
    <sheet name="Relleno Caramelo Spoon" sheetId="24" state="hidden" r:id="rId5"/>
    <sheet name="Batido Vainilla Dawn" sheetId="21" state="hidden" r:id="rId6"/>
    <sheet name="Premezcla Vainilla Dawn" sheetId="22" state="hidden" r:id="rId7"/>
    <sheet name="Costo Rosquete" sheetId="13" state="hidden" r:id="rId8"/>
    <sheet name="Almibar " sheetId="20" state="hidden" r:id="rId9"/>
    <sheet name="Costo almibar flor de caña " sheetId="12" state="hidden" r:id="rId10"/>
    <sheet name="Mezcla Flan Caramelo" sheetId="18" state="hidden" r:id="rId11"/>
    <sheet name="Caramelo para flan" sheetId="19" state="hidden" r:id="rId12"/>
    <sheet name="Costo Flan" sheetId="11" state="hidden" r:id="rId13"/>
    <sheet name="Costo Marañon Caramelizado" sheetId="10" state="hidden" r:id="rId14"/>
    <sheet name="Costo semillas bañ belcolad" sheetId="9" state="hidden" r:id="rId15"/>
    <sheet name="Crema ron" sheetId="6" r:id="rId16"/>
    <sheet name="Crema Beidge" sheetId="16" state="hidden" r:id="rId17"/>
    <sheet name="Crema Blanca Supremo" sheetId="17" state="hidden" r:id="rId18"/>
    <sheet name="Costo Crema Ron" sheetId="8" state="hidden" r:id="rId19"/>
  </sheets>
  <externalReferences>
    <externalReference r:id="rId20"/>
    <externalReference r:id="rId2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25" l="1"/>
  <c r="L24" i="25"/>
  <c r="D29" i="20" l="1"/>
  <c r="D43" i="17" l="1"/>
  <c r="D39" i="17"/>
  <c r="J12" i="17" s="1"/>
  <c r="K12" i="17" s="1"/>
  <c r="L17" i="17"/>
  <c r="J13" i="17"/>
  <c r="K13" i="17" s="1"/>
  <c r="L12" i="17"/>
  <c r="L11" i="17"/>
  <c r="J10" i="17" l="1"/>
  <c r="K10" i="17" s="1"/>
  <c r="J11" i="17"/>
  <c r="K11" i="17" s="1"/>
  <c r="D45" i="16"/>
  <c r="E10" i="16"/>
  <c r="C9" i="9" l="1"/>
  <c r="F9" i="9" s="1"/>
  <c r="D19" i="6"/>
  <c r="E31" i="14"/>
  <c r="D31" i="14"/>
  <c r="C31" i="14"/>
  <c r="B31" i="14"/>
  <c r="E58" i="14"/>
  <c r="D58" i="14"/>
  <c r="B58" i="14"/>
  <c r="E46" i="14"/>
  <c r="D46" i="14"/>
  <c r="B46" i="14"/>
  <c r="A46" i="14"/>
  <c r="C46" i="14" s="1"/>
  <c r="A45" i="14"/>
  <c r="C45" i="14" s="1"/>
  <c r="A44" i="14"/>
  <c r="C44" i="14" s="1"/>
  <c r="C24" i="14"/>
  <c r="C23" i="14"/>
  <c r="F31" i="14" l="1"/>
  <c r="A57" i="14"/>
  <c r="C57" i="14" s="1"/>
  <c r="F57" i="14" s="1"/>
  <c r="A58" i="14"/>
  <c r="C58" i="14" s="1"/>
  <c r="F58" i="14" s="1"/>
  <c r="F24" i="14"/>
  <c r="F23" i="14"/>
  <c r="A56" i="14"/>
  <c r="C56" i="14" s="1"/>
  <c r="F56" i="14" s="1"/>
  <c r="F46" i="14"/>
  <c r="F45" i="14"/>
  <c r="F44" i="14"/>
  <c r="D82" i="14" l="1"/>
  <c r="D83" i="14" s="1"/>
  <c r="D85" i="14" s="1"/>
  <c r="D80" i="14"/>
  <c r="D78" i="14"/>
  <c r="F74" i="14"/>
  <c r="E60" i="14" s="1"/>
  <c r="D69" i="14"/>
  <c r="D94" i="14" s="1"/>
  <c r="D95" i="14" s="1"/>
  <c r="C60" i="14"/>
  <c r="E59" i="14"/>
  <c r="D59" i="14"/>
  <c r="B59" i="14"/>
  <c r="E47" i="14"/>
  <c r="D47" i="14"/>
  <c r="B47" i="14"/>
  <c r="A47" i="14"/>
  <c r="A59" i="14" s="1"/>
  <c r="C59" i="14" s="1"/>
  <c r="A43" i="14"/>
  <c r="C43" i="14" s="1"/>
  <c r="A42" i="14"/>
  <c r="C42" i="14" s="1"/>
  <c r="A41" i="14"/>
  <c r="C41" i="14" s="1"/>
  <c r="A40" i="14"/>
  <c r="A52" i="14" s="1"/>
  <c r="C52" i="14" s="1"/>
  <c r="A39" i="14"/>
  <c r="A51" i="14" s="1"/>
  <c r="C51" i="14" s="1"/>
  <c r="A38" i="14"/>
  <c r="A50" i="14" s="1"/>
  <c r="C50" i="14" s="1"/>
  <c r="E35" i="14"/>
  <c r="D35" i="14"/>
  <c r="C35" i="14"/>
  <c r="B35" i="14"/>
  <c r="C34" i="14"/>
  <c r="E33" i="14"/>
  <c r="D33" i="14"/>
  <c r="C33" i="14"/>
  <c r="B33" i="14"/>
  <c r="E32" i="14"/>
  <c r="D32" i="14"/>
  <c r="C32" i="14"/>
  <c r="B32" i="14"/>
  <c r="D30" i="14"/>
  <c r="C30" i="14"/>
  <c r="B30" i="14"/>
  <c r="D29" i="14"/>
  <c r="C29" i="14"/>
  <c r="B29" i="14"/>
  <c r="E26" i="14"/>
  <c r="F26" i="14" s="1"/>
  <c r="D26" i="14"/>
  <c r="C26" i="14"/>
  <c r="B26" i="14"/>
  <c r="E25" i="14"/>
  <c r="F25" i="14" s="1"/>
  <c r="D25" i="14"/>
  <c r="C25" i="14"/>
  <c r="B25" i="14"/>
  <c r="C22" i="14"/>
  <c r="C21" i="14"/>
  <c r="C20" i="14"/>
  <c r="C19" i="14"/>
  <c r="C18" i="14"/>
  <c r="C17" i="14"/>
  <c r="B15" i="14"/>
  <c r="E14" i="14"/>
  <c r="D14" i="14"/>
  <c r="C14" i="14"/>
  <c r="B14" i="14"/>
  <c r="E13" i="14"/>
  <c r="D13" i="14"/>
  <c r="C13" i="14"/>
  <c r="B13" i="14"/>
  <c r="E12" i="14"/>
  <c r="D12" i="14"/>
  <c r="C12" i="14"/>
  <c r="B12" i="14"/>
  <c r="E11" i="14"/>
  <c r="D11" i="14"/>
  <c r="C11" i="14"/>
  <c r="B11" i="14"/>
  <c r="E10" i="14"/>
  <c r="D10" i="14"/>
  <c r="C10" i="14"/>
  <c r="B10" i="14"/>
  <c r="E9" i="14"/>
  <c r="D9" i="14"/>
  <c r="C9" i="14"/>
  <c r="B9" i="14"/>
  <c r="E8" i="14"/>
  <c r="D8" i="14"/>
  <c r="C8" i="14"/>
  <c r="B8" i="14"/>
  <c r="H6" i="14"/>
  <c r="D85" i="13"/>
  <c r="D86" i="13" s="1"/>
  <c r="D83" i="13"/>
  <c r="D81" i="13"/>
  <c r="D73" i="13"/>
  <c r="D74" i="13" s="1"/>
  <c r="D76" i="13" s="1"/>
  <c r="C73" i="13"/>
  <c r="C85" i="13" s="1"/>
  <c r="E85" i="13" s="1"/>
  <c r="D71" i="13"/>
  <c r="D69" i="13"/>
  <c r="F65" i="13"/>
  <c r="E51" i="13" s="1"/>
  <c r="F51" i="13" s="1"/>
  <c r="D60" i="13"/>
  <c r="C51" i="13"/>
  <c r="E50" i="13"/>
  <c r="F50" i="13" s="1"/>
  <c r="D50" i="13"/>
  <c r="B50" i="13"/>
  <c r="E49" i="13"/>
  <c r="D49" i="13"/>
  <c r="B49" i="13"/>
  <c r="E48" i="13"/>
  <c r="D48" i="13"/>
  <c r="B48" i="13"/>
  <c r="E47" i="13"/>
  <c r="D47" i="13"/>
  <c r="B47" i="13"/>
  <c r="D46" i="13"/>
  <c r="B46" i="13"/>
  <c r="A46" i="13"/>
  <c r="C46" i="13" s="1"/>
  <c r="F46" i="13" s="1"/>
  <c r="F45" i="13"/>
  <c r="A45" i="13"/>
  <c r="C45" i="13" s="1"/>
  <c r="E41" i="13"/>
  <c r="F41" i="13" s="1"/>
  <c r="D41" i="13"/>
  <c r="C41" i="13"/>
  <c r="B41" i="13"/>
  <c r="A41" i="13"/>
  <c r="A50" i="13" s="1"/>
  <c r="C50" i="13" s="1"/>
  <c r="E40" i="13"/>
  <c r="D40" i="13"/>
  <c r="B40" i="13"/>
  <c r="A40" i="13"/>
  <c r="C40" i="13" s="1"/>
  <c r="E39" i="13"/>
  <c r="D39" i="13"/>
  <c r="B39" i="13"/>
  <c r="A39" i="13"/>
  <c r="C39" i="13" s="1"/>
  <c r="E38" i="13"/>
  <c r="F38" i="13" s="1"/>
  <c r="D38" i="13"/>
  <c r="B38" i="13"/>
  <c r="A38" i="13"/>
  <c r="C38" i="13" s="1"/>
  <c r="E37" i="13"/>
  <c r="D37" i="13"/>
  <c r="B37" i="13"/>
  <c r="A37" i="13"/>
  <c r="C37" i="13" s="1"/>
  <c r="F36" i="13"/>
  <c r="C36" i="13"/>
  <c r="A36" i="13"/>
  <c r="A35" i="13"/>
  <c r="C35" i="13" s="1"/>
  <c r="E32" i="13"/>
  <c r="F32" i="13" s="1"/>
  <c r="D32" i="13"/>
  <c r="C32" i="13"/>
  <c r="B32" i="13"/>
  <c r="E31" i="13"/>
  <c r="D31" i="13"/>
  <c r="C31" i="13"/>
  <c r="B31" i="13"/>
  <c r="E30" i="13"/>
  <c r="F30" i="13" s="1"/>
  <c r="D30" i="13"/>
  <c r="C30" i="13"/>
  <c r="B30" i="13"/>
  <c r="E29" i="13"/>
  <c r="D29" i="13"/>
  <c r="C29" i="13"/>
  <c r="B29" i="13"/>
  <c r="E28" i="13"/>
  <c r="D28" i="13"/>
  <c r="C28" i="13"/>
  <c r="B28" i="13"/>
  <c r="E27" i="13"/>
  <c r="D27" i="13"/>
  <c r="C27" i="13"/>
  <c r="B27" i="13"/>
  <c r="E24" i="13"/>
  <c r="F24" i="13" s="1"/>
  <c r="D24" i="13"/>
  <c r="C24" i="13"/>
  <c r="B24" i="13"/>
  <c r="E23" i="13"/>
  <c r="F23" i="13" s="1"/>
  <c r="D23" i="13"/>
  <c r="C23" i="13"/>
  <c r="B23" i="13"/>
  <c r="E22" i="13"/>
  <c r="F22" i="13" s="1"/>
  <c r="D22" i="13"/>
  <c r="C22" i="13"/>
  <c r="B22" i="13"/>
  <c r="E21" i="13"/>
  <c r="F21" i="13" s="1"/>
  <c r="D21" i="13"/>
  <c r="C21" i="13"/>
  <c r="B21" i="13"/>
  <c r="E20" i="13"/>
  <c r="F20" i="13" s="1"/>
  <c r="D20" i="13"/>
  <c r="C20" i="13"/>
  <c r="B20" i="13"/>
  <c r="E19" i="13"/>
  <c r="F19" i="13" s="1"/>
  <c r="D19" i="13"/>
  <c r="C19" i="13"/>
  <c r="B19" i="13"/>
  <c r="C18" i="13"/>
  <c r="F17" i="13"/>
  <c r="C17" i="13"/>
  <c r="B15" i="13"/>
  <c r="E14" i="13"/>
  <c r="F14" i="13" s="1"/>
  <c r="D14" i="13"/>
  <c r="C14" i="13"/>
  <c r="B14" i="13"/>
  <c r="E13" i="13"/>
  <c r="D13" i="13"/>
  <c r="C13" i="13"/>
  <c r="B13" i="13"/>
  <c r="E12" i="13"/>
  <c r="F12" i="13" s="1"/>
  <c r="D12" i="13"/>
  <c r="C12" i="13"/>
  <c r="B12" i="13"/>
  <c r="E11" i="13"/>
  <c r="D11" i="13"/>
  <c r="C11" i="13"/>
  <c r="B11" i="13"/>
  <c r="E10" i="13"/>
  <c r="F10" i="13" s="1"/>
  <c r="D10" i="13"/>
  <c r="C10" i="13"/>
  <c r="B10" i="13"/>
  <c r="E9" i="13"/>
  <c r="D9" i="13"/>
  <c r="C9" i="13"/>
  <c r="B9" i="13"/>
  <c r="E8" i="13"/>
  <c r="F8" i="13" s="1"/>
  <c r="D8" i="13"/>
  <c r="C8" i="13"/>
  <c r="B8" i="13"/>
  <c r="H6" i="13"/>
  <c r="D73" i="12"/>
  <c r="D74" i="12" s="1"/>
  <c r="D76" i="12" s="1"/>
  <c r="D71" i="12"/>
  <c r="D69" i="12"/>
  <c r="F65" i="12"/>
  <c r="E51" i="12" s="1"/>
  <c r="D60" i="12"/>
  <c r="D85" i="12" s="1"/>
  <c r="D86" i="12" s="1"/>
  <c r="C51" i="12"/>
  <c r="E50" i="12"/>
  <c r="F50" i="12" s="1"/>
  <c r="D50" i="12"/>
  <c r="B50" i="12"/>
  <c r="E49" i="12"/>
  <c r="D49" i="12"/>
  <c r="B49" i="12"/>
  <c r="E48" i="12"/>
  <c r="D48" i="12"/>
  <c r="B48" i="12"/>
  <c r="E47" i="12"/>
  <c r="D47" i="12"/>
  <c r="B47" i="12"/>
  <c r="E46" i="12"/>
  <c r="D46" i="12"/>
  <c r="B46" i="12"/>
  <c r="A46" i="12"/>
  <c r="C46" i="12" s="1"/>
  <c r="E45" i="12"/>
  <c r="D45" i="12"/>
  <c r="B45" i="12"/>
  <c r="E41" i="12"/>
  <c r="D41" i="12"/>
  <c r="C41" i="12"/>
  <c r="B41" i="12"/>
  <c r="A41" i="12"/>
  <c r="A50" i="12" s="1"/>
  <c r="C50" i="12" s="1"/>
  <c r="E40" i="12"/>
  <c r="D40" i="12"/>
  <c r="B40" i="12"/>
  <c r="A40" i="12"/>
  <c r="C40" i="12" s="1"/>
  <c r="E39" i="12"/>
  <c r="D39" i="12"/>
  <c r="B39" i="12"/>
  <c r="A39" i="12"/>
  <c r="C39" i="12" s="1"/>
  <c r="E38" i="12"/>
  <c r="D38" i="12"/>
  <c r="B38" i="12"/>
  <c r="A38" i="12"/>
  <c r="C38" i="12" s="1"/>
  <c r="E37" i="12"/>
  <c r="D37" i="12"/>
  <c r="B37" i="12"/>
  <c r="A37" i="12"/>
  <c r="C37" i="12" s="1"/>
  <c r="E36" i="12"/>
  <c r="D36" i="12"/>
  <c r="B36" i="12"/>
  <c r="A36" i="12"/>
  <c r="A45" i="12" s="1"/>
  <c r="C45" i="12" s="1"/>
  <c r="A35" i="12"/>
  <c r="C35" i="12" s="1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F28" i="12" s="1"/>
  <c r="D28" i="12"/>
  <c r="C28" i="12"/>
  <c r="B28" i="12"/>
  <c r="C27" i="12"/>
  <c r="E24" i="12"/>
  <c r="D24" i="12"/>
  <c r="C24" i="12"/>
  <c r="B24" i="12"/>
  <c r="E23" i="12"/>
  <c r="D23" i="12"/>
  <c r="C23" i="12"/>
  <c r="B23" i="12"/>
  <c r="E22" i="12"/>
  <c r="F22" i="12" s="1"/>
  <c r="D22" i="12"/>
  <c r="C22" i="12"/>
  <c r="B22" i="12"/>
  <c r="E21" i="12"/>
  <c r="F21" i="12" s="1"/>
  <c r="D21" i="12"/>
  <c r="C21" i="12"/>
  <c r="B21" i="12"/>
  <c r="E20" i="12"/>
  <c r="F20" i="12" s="1"/>
  <c r="D20" i="12"/>
  <c r="C20" i="12"/>
  <c r="B20" i="12"/>
  <c r="E19" i="12"/>
  <c r="F19" i="12" s="1"/>
  <c r="D19" i="12"/>
  <c r="C19" i="12"/>
  <c r="B19" i="12"/>
  <c r="E18" i="12"/>
  <c r="F18" i="12" s="1"/>
  <c r="D18" i="12"/>
  <c r="C18" i="12"/>
  <c r="B18" i="12"/>
  <c r="F17" i="12"/>
  <c r="C17" i="12"/>
  <c r="B15" i="12"/>
  <c r="E14" i="12"/>
  <c r="F14" i="12" s="1"/>
  <c r="D14" i="12"/>
  <c r="C14" i="12"/>
  <c r="B14" i="12"/>
  <c r="E13" i="12"/>
  <c r="D13" i="12"/>
  <c r="C13" i="12"/>
  <c r="B13" i="12"/>
  <c r="E12" i="12"/>
  <c r="F12" i="12" s="1"/>
  <c r="D12" i="12"/>
  <c r="C12" i="12"/>
  <c r="B12" i="12"/>
  <c r="E11" i="12"/>
  <c r="D11" i="12"/>
  <c r="C11" i="12"/>
  <c r="B11" i="12"/>
  <c r="E10" i="12"/>
  <c r="F10" i="12" s="1"/>
  <c r="D10" i="12"/>
  <c r="C10" i="12"/>
  <c r="B10" i="12"/>
  <c r="E9" i="12"/>
  <c r="D9" i="12"/>
  <c r="C9" i="12"/>
  <c r="B9" i="12"/>
  <c r="C8" i="12"/>
  <c r="H6" i="12"/>
  <c r="D73" i="11"/>
  <c r="D74" i="11" s="1"/>
  <c r="D76" i="11" s="1"/>
  <c r="C73" i="11"/>
  <c r="C85" i="11" s="1"/>
  <c r="D71" i="11"/>
  <c r="D69" i="11"/>
  <c r="F65" i="11"/>
  <c r="E51" i="11" s="1"/>
  <c r="D60" i="11"/>
  <c r="D83" i="11" s="1"/>
  <c r="C51" i="11"/>
  <c r="E50" i="11"/>
  <c r="D50" i="11"/>
  <c r="B50" i="11"/>
  <c r="E49" i="11"/>
  <c r="D49" i="11"/>
  <c r="B49" i="11"/>
  <c r="E48" i="11"/>
  <c r="D48" i="11"/>
  <c r="B48" i="11"/>
  <c r="E47" i="11"/>
  <c r="D47" i="11"/>
  <c r="B47" i="11"/>
  <c r="E46" i="11"/>
  <c r="D46" i="11"/>
  <c r="B46" i="11"/>
  <c r="E41" i="11"/>
  <c r="D41" i="11"/>
  <c r="B41" i="11"/>
  <c r="A41" i="11"/>
  <c r="A50" i="11" s="1"/>
  <c r="C50" i="11" s="1"/>
  <c r="E40" i="11"/>
  <c r="D40" i="11"/>
  <c r="B40" i="11"/>
  <c r="A40" i="11"/>
  <c r="C40" i="11" s="1"/>
  <c r="E39" i="11"/>
  <c r="D39" i="11"/>
  <c r="B39" i="11"/>
  <c r="A39" i="11"/>
  <c r="C39" i="11" s="1"/>
  <c r="E38" i="11"/>
  <c r="D38" i="11"/>
  <c r="B38" i="11"/>
  <c r="A38" i="11"/>
  <c r="C38" i="11" s="1"/>
  <c r="E37" i="11"/>
  <c r="D37" i="11"/>
  <c r="B37" i="11"/>
  <c r="A37" i="11"/>
  <c r="A46" i="11" s="1"/>
  <c r="C46" i="11" s="1"/>
  <c r="A36" i="11"/>
  <c r="A45" i="11" s="1"/>
  <c r="C45" i="11" s="1"/>
  <c r="A35" i="11"/>
  <c r="C35" i="11" s="1"/>
  <c r="E32" i="11"/>
  <c r="F32" i="11" s="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F28" i="11" s="1"/>
  <c r="D28" i="11"/>
  <c r="C28" i="11"/>
  <c r="B28" i="11"/>
  <c r="E27" i="11"/>
  <c r="D27" i="11"/>
  <c r="C27" i="11"/>
  <c r="B27" i="11"/>
  <c r="E24" i="11"/>
  <c r="F24" i="11" s="1"/>
  <c r="D24" i="11"/>
  <c r="C24" i="11"/>
  <c r="B24" i="11"/>
  <c r="E23" i="11"/>
  <c r="F23" i="11" s="1"/>
  <c r="D23" i="11"/>
  <c r="C23" i="11"/>
  <c r="B23" i="11"/>
  <c r="E22" i="11"/>
  <c r="F22" i="11" s="1"/>
  <c r="D22" i="11"/>
  <c r="C22" i="11"/>
  <c r="B22" i="11"/>
  <c r="E21" i="11"/>
  <c r="F21" i="11" s="1"/>
  <c r="D21" i="11"/>
  <c r="C21" i="11"/>
  <c r="B21" i="11"/>
  <c r="E20" i="11"/>
  <c r="F20" i="11" s="1"/>
  <c r="D20" i="11"/>
  <c r="C20" i="11"/>
  <c r="B20" i="11"/>
  <c r="E19" i="11"/>
  <c r="F19" i="11" s="1"/>
  <c r="D19" i="11"/>
  <c r="C19" i="11"/>
  <c r="B19" i="11"/>
  <c r="C18" i="11"/>
  <c r="C17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F11" i="11" s="1"/>
  <c r="D11" i="11"/>
  <c r="C11" i="11"/>
  <c r="B11" i="11"/>
  <c r="E10" i="11"/>
  <c r="F10" i="11" s="1"/>
  <c r="D10" i="11"/>
  <c r="C10" i="11"/>
  <c r="B10" i="11"/>
  <c r="E9" i="11"/>
  <c r="D9" i="11"/>
  <c r="C9" i="11"/>
  <c r="B9" i="11"/>
  <c r="E8" i="11"/>
  <c r="F8" i="11" s="1"/>
  <c r="D8" i="11"/>
  <c r="C8" i="11"/>
  <c r="B8" i="11"/>
  <c r="H6" i="11"/>
  <c r="D73" i="10"/>
  <c r="D74" i="10" s="1"/>
  <c r="D76" i="10" s="1"/>
  <c r="D71" i="10"/>
  <c r="D69" i="10"/>
  <c r="F65" i="10"/>
  <c r="E51" i="10" s="1"/>
  <c r="D60" i="10"/>
  <c r="D83" i="10" s="1"/>
  <c r="C51" i="10"/>
  <c r="E50" i="10"/>
  <c r="D50" i="10"/>
  <c r="B50" i="10"/>
  <c r="E49" i="10"/>
  <c r="D49" i="10"/>
  <c r="B49" i="10"/>
  <c r="E48" i="10"/>
  <c r="D48" i="10"/>
  <c r="B48" i="10"/>
  <c r="E47" i="10"/>
  <c r="D47" i="10"/>
  <c r="B47" i="10"/>
  <c r="E46" i="10"/>
  <c r="D46" i="10"/>
  <c r="B46" i="10"/>
  <c r="E45" i="10"/>
  <c r="D45" i="10"/>
  <c r="B45" i="10"/>
  <c r="A45" i="10"/>
  <c r="C45" i="10" s="1"/>
  <c r="E44" i="10"/>
  <c r="D44" i="10"/>
  <c r="B44" i="10"/>
  <c r="E41" i="10"/>
  <c r="D41" i="10"/>
  <c r="B41" i="10"/>
  <c r="A41" i="10"/>
  <c r="A50" i="10" s="1"/>
  <c r="C50" i="10" s="1"/>
  <c r="E40" i="10"/>
  <c r="D40" i="10"/>
  <c r="B40" i="10"/>
  <c r="A40" i="10"/>
  <c r="C40" i="10" s="1"/>
  <c r="E39" i="10"/>
  <c r="D39" i="10"/>
  <c r="B39" i="10"/>
  <c r="A39" i="10"/>
  <c r="C39" i="10" s="1"/>
  <c r="E38" i="10"/>
  <c r="D38" i="10"/>
  <c r="B38" i="10"/>
  <c r="A38" i="10"/>
  <c r="A47" i="10" s="1"/>
  <c r="C47" i="10" s="1"/>
  <c r="E37" i="10"/>
  <c r="D37" i="10"/>
  <c r="B37" i="10"/>
  <c r="A37" i="10"/>
  <c r="C37" i="10" s="1"/>
  <c r="E36" i="10"/>
  <c r="D36" i="10"/>
  <c r="C36" i="10"/>
  <c r="B36" i="10"/>
  <c r="A36" i="10"/>
  <c r="E35" i="10"/>
  <c r="F35" i="10" s="1"/>
  <c r="D35" i="10"/>
  <c r="B35" i="10"/>
  <c r="A35" i="10"/>
  <c r="C35" i="10" s="1"/>
  <c r="E32" i="10"/>
  <c r="D32" i="10"/>
  <c r="C32" i="10"/>
  <c r="B32" i="10"/>
  <c r="E31" i="10"/>
  <c r="F31" i="10" s="1"/>
  <c r="D31" i="10"/>
  <c r="C31" i="10"/>
  <c r="B31" i="10"/>
  <c r="E30" i="10"/>
  <c r="F30" i="10" s="1"/>
  <c r="D30" i="10"/>
  <c r="C30" i="10"/>
  <c r="B30" i="10"/>
  <c r="E29" i="10"/>
  <c r="D29" i="10"/>
  <c r="C29" i="10"/>
  <c r="B29" i="10"/>
  <c r="E28" i="10"/>
  <c r="F28" i="10" s="1"/>
  <c r="D28" i="10"/>
  <c r="C28" i="10"/>
  <c r="B28" i="10"/>
  <c r="E27" i="10"/>
  <c r="F27" i="10" s="1"/>
  <c r="D27" i="10"/>
  <c r="C27" i="10"/>
  <c r="B27" i="10"/>
  <c r="E24" i="10"/>
  <c r="D24" i="10"/>
  <c r="C24" i="10"/>
  <c r="B24" i="10"/>
  <c r="E23" i="10"/>
  <c r="F23" i="10" s="1"/>
  <c r="D23" i="10"/>
  <c r="C23" i="10"/>
  <c r="B23" i="10"/>
  <c r="E22" i="10"/>
  <c r="F22" i="10" s="1"/>
  <c r="D22" i="10"/>
  <c r="C22" i="10"/>
  <c r="B22" i="10"/>
  <c r="E21" i="10"/>
  <c r="F21" i="10" s="1"/>
  <c r="D21" i="10"/>
  <c r="C21" i="10"/>
  <c r="B21" i="10"/>
  <c r="E20" i="10"/>
  <c r="F20" i="10" s="1"/>
  <c r="D20" i="10"/>
  <c r="C20" i="10"/>
  <c r="B20" i="10"/>
  <c r="E19" i="10"/>
  <c r="F19" i="10" s="1"/>
  <c r="D19" i="10"/>
  <c r="C19" i="10"/>
  <c r="B19" i="10"/>
  <c r="E18" i="10"/>
  <c r="F18" i="10" s="1"/>
  <c r="D18" i="10"/>
  <c r="C18" i="10"/>
  <c r="B18" i="10"/>
  <c r="E17" i="10"/>
  <c r="F17" i="10" s="1"/>
  <c r="D17" i="10"/>
  <c r="C17" i="10"/>
  <c r="B17" i="10"/>
  <c r="B15" i="10"/>
  <c r="E14" i="10"/>
  <c r="F14" i="10" s="1"/>
  <c r="D14" i="10"/>
  <c r="C14" i="10"/>
  <c r="B14" i="10"/>
  <c r="E13" i="10"/>
  <c r="D13" i="10"/>
  <c r="C13" i="10"/>
  <c r="B13" i="10"/>
  <c r="E12" i="10"/>
  <c r="F12" i="10" s="1"/>
  <c r="D12" i="10"/>
  <c r="C12" i="10"/>
  <c r="B12" i="10"/>
  <c r="E11" i="10"/>
  <c r="F11" i="10" s="1"/>
  <c r="C11" i="10"/>
  <c r="B11" i="10"/>
  <c r="C10" i="10"/>
  <c r="C9" i="10"/>
  <c r="C8" i="10"/>
  <c r="H6" i="10"/>
  <c r="D73" i="9"/>
  <c r="D74" i="9" s="1"/>
  <c r="D76" i="9" s="1"/>
  <c r="D71" i="9"/>
  <c r="D69" i="9"/>
  <c r="F65" i="9"/>
  <c r="C73" i="9" s="1"/>
  <c r="C85" i="9" s="1"/>
  <c r="D60" i="9"/>
  <c r="D85" i="9" s="1"/>
  <c r="D86" i="9" s="1"/>
  <c r="C51" i="9"/>
  <c r="E50" i="9"/>
  <c r="D50" i="9"/>
  <c r="B50" i="9"/>
  <c r="E49" i="9"/>
  <c r="D49" i="9"/>
  <c r="B49" i="9"/>
  <c r="E48" i="9"/>
  <c r="D48" i="9"/>
  <c r="B48" i="9"/>
  <c r="E47" i="9"/>
  <c r="D47" i="9"/>
  <c r="B47" i="9"/>
  <c r="E46" i="9"/>
  <c r="D46" i="9"/>
  <c r="B46" i="9"/>
  <c r="E45" i="9"/>
  <c r="D45" i="9"/>
  <c r="B45" i="9"/>
  <c r="E41" i="9"/>
  <c r="D41" i="9"/>
  <c r="B41" i="9"/>
  <c r="A41" i="9"/>
  <c r="A50" i="9" s="1"/>
  <c r="C50" i="9" s="1"/>
  <c r="E40" i="9"/>
  <c r="D40" i="9"/>
  <c r="B40" i="9"/>
  <c r="A40" i="9"/>
  <c r="A49" i="9" s="1"/>
  <c r="C49" i="9" s="1"/>
  <c r="E39" i="9"/>
  <c r="D39" i="9"/>
  <c r="B39" i="9"/>
  <c r="A39" i="9"/>
  <c r="C39" i="9" s="1"/>
  <c r="E38" i="9"/>
  <c r="D38" i="9"/>
  <c r="B38" i="9"/>
  <c r="A38" i="9"/>
  <c r="C38" i="9" s="1"/>
  <c r="E37" i="9"/>
  <c r="D37" i="9"/>
  <c r="B37" i="9"/>
  <c r="A37" i="9"/>
  <c r="C37" i="9" s="1"/>
  <c r="E36" i="9"/>
  <c r="D36" i="9"/>
  <c r="B36" i="9"/>
  <c r="A36" i="9"/>
  <c r="A45" i="9" s="1"/>
  <c r="C45" i="9" s="1"/>
  <c r="A35" i="9"/>
  <c r="C35" i="9" s="1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F28" i="9" s="1"/>
  <c r="D28" i="9"/>
  <c r="C28" i="9"/>
  <c r="B28" i="9"/>
  <c r="E27" i="9"/>
  <c r="D27" i="9"/>
  <c r="C27" i="9"/>
  <c r="B27" i="9"/>
  <c r="E24" i="9"/>
  <c r="F24" i="9" s="1"/>
  <c r="D24" i="9"/>
  <c r="C24" i="9"/>
  <c r="B24" i="9"/>
  <c r="E23" i="9"/>
  <c r="F23" i="9" s="1"/>
  <c r="D23" i="9"/>
  <c r="C23" i="9"/>
  <c r="B23" i="9"/>
  <c r="E22" i="9"/>
  <c r="F22" i="9" s="1"/>
  <c r="D22" i="9"/>
  <c r="C22" i="9"/>
  <c r="B22" i="9"/>
  <c r="E21" i="9"/>
  <c r="D21" i="9"/>
  <c r="C21" i="9"/>
  <c r="B21" i="9"/>
  <c r="E20" i="9"/>
  <c r="F20" i="9" s="1"/>
  <c r="D20" i="9"/>
  <c r="C20" i="9"/>
  <c r="B20" i="9"/>
  <c r="E19" i="9"/>
  <c r="D19" i="9"/>
  <c r="C19" i="9"/>
  <c r="B19" i="9"/>
  <c r="E18" i="9"/>
  <c r="D18" i="9"/>
  <c r="C18" i="9"/>
  <c r="B18" i="9"/>
  <c r="C17" i="9"/>
  <c r="B15" i="9"/>
  <c r="E14" i="9"/>
  <c r="F14" i="9" s="1"/>
  <c r="D14" i="9"/>
  <c r="C14" i="9"/>
  <c r="B14" i="9"/>
  <c r="E13" i="9"/>
  <c r="D13" i="9"/>
  <c r="C13" i="9"/>
  <c r="B13" i="9"/>
  <c r="E12" i="9"/>
  <c r="F12" i="9" s="1"/>
  <c r="D12" i="9"/>
  <c r="C12" i="9"/>
  <c r="B12" i="9"/>
  <c r="E11" i="9"/>
  <c r="D11" i="9"/>
  <c r="C11" i="9"/>
  <c r="B11" i="9"/>
  <c r="E10" i="9"/>
  <c r="D10" i="9"/>
  <c r="C10" i="9"/>
  <c r="B10" i="9"/>
  <c r="C8" i="9"/>
  <c r="F8" i="9" s="1"/>
  <c r="H6" i="9"/>
  <c r="D73" i="8"/>
  <c r="D74" i="8" s="1"/>
  <c r="D76" i="8" s="1"/>
  <c r="D71" i="8"/>
  <c r="D69" i="8"/>
  <c r="F65" i="8"/>
  <c r="D60" i="8"/>
  <c r="D83" i="8" s="1"/>
  <c r="C51" i="8"/>
  <c r="E50" i="8"/>
  <c r="D50" i="8"/>
  <c r="B50" i="8"/>
  <c r="A50" i="8"/>
  <c r="C50" i="8" s="1"/>
  <c r="E49" i="8"/>
  <c r="D49" i="8"/>
  <c r="B49" i="8"/>
  <c r="E48" i="8"/>
  <c r="D48" i="8"/>
  <c r="B48" i="8"/>
  <c r="E47" i="8"/>
  <c r="F47" i="8" s="1"/>
  <c r="D47" i="8"/>
  <c r="B47" i="8"/>
  <c r="A47" i="8"/>
  <c r="C47" i="8" s="1"/>
  <c r="E46" i="8"/>
  <c r="D46" i="8"/>
  <c r="B46" i="8"/>
  <c r="E45" i="8"/>
  <c r="D45" i="8"/>
  <c r="B45" i="8"/>
  <c r="E41" i="8"/>
  <c r="D41" i="8"/>
  <c r="B41" i="8"/>
  <c r="A41" i="8"/>
  <c r="C41" i="8" s="1"/>
  <c r="E40" i="8"/>
  <c r="D40" i="8"/>
  <c r="B40" i="8"/>
  <c r="A40" i="8"/>
  <c r="A49" i="8" s="1"/>
  <c r="C49" i="8" s="1"/>
  <c r="E39" i="8"/>
  <c r="F39" i="8" s="1"/>
  <c r="D39" i="8"/>
  <c r="B39" i="8"/>
  <c r="A39" i="8"/>
  <c r="C39" i="8" s="1"/>
  <c r="E38" i="8"/>
  <c r="D38" i="8"/>
  <c r="C38" i="8"/>
  <c r="B38" i="8"/>
  <c r="A38" i="8"/>
  <c r="E37" i="8"/>
  <c r="D37" i="8"/>
  <c r="B37" i="8"/>
  <c r="A37" i="8"/>
  <c r="A46" i="8" s="1"/>
  <c r="C46" i="8" s="1"/>
  <c r="E36" i="8"/>
  <c r="D36" i="8"/>
  <c r="B36" i="8"/>
  <c r="A36" i="8"/>
  <c r="A45" i="8" s="1"/>
  <c r="C45" i="8" s="1"/>
  <c r="A35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F27" i="8" s="1"/>
  <c r="D27" i="8"/>
  <c r="C27" i="8"/>
  <c r="B27" i="8"/>
  <c r="E24" i="8"/>
  <c r="D24" i="8"/>
  <c r="C24" i="8"/>
  <c r="B24" i="8"/>
  <c r="E23" i="8"/>
  <c r="F23" i="8" s="1"/>
  <c r="D23" i="8"/>
  <c r="C23" i="8"/>
  <c r="B23" i="8"/>
  <c r="E22" i="8"/>
  <c r="F22" i="8" s="1"/>
  <c r="D22" i="8"/>
  <c r="C22" i="8"/>
  <c r="B22" i="8"/>
  <c r="E21" i="8"/>
  <c r="F21" i="8" s="1"/>
  <c r="D21" i="8"/>
  <c r="C21" i="8"/>
  <c r="B21" i="8"/>
  <c r="E20" i="8"/>
  <c r="F20" i="8" s="1"/>
  <c r="D20" i="8"/>
  <c r="C20" i="8"/>
  <c r="B20" i="8"/>
  <c r="E19" i="8"/>
  <c r="F19" i="8" s="1"/>
  <c r="D19" i="8"/>
  <c r="C19" i="8"/>
  <c r="B19" i="8"/>
  <c r="E18" i="8"/>
  <c r="F18" i="8" s="1"/>
  <c r="D18" i="8"/>
  <c r="C18" i="8"/>
  <c r="B18" i="8"/>
  <c r="C17" i="8"/>
  <c r="F17" i="8" s="1"/>
  <c r="B15" i="8"/>
  <c r="E14" i="8"/>
  <c r="F14" i="8" s="1"/>
  <c r="D14" i="8"/>
  <c r="C14" i="8"/>
  <c r="B14" i="8"/>
  <c r="E13" i="8"/>
  <c r="F13" i="8" s="1"/>
  <c r="D13" i="8"/>
  <c r="C13" i="8"/>
  <c r="B13" i="8"/>
  <c r="E12" i="8"/>
  <c r="D12" i="8"/>
  <c r="C12" i="8"/>
  <c r="B12" i="8"/>
  <c r="E11" i="8"/>
  <c r="F11" i="8" s="1"/>
  <c r="D11" i="8"/>
  <c r="C11" i="8"/>
  <c r="B11" i="8"/>
  <c r="E10" i="8"/>
  <c r="F10" i="8" s="1"/>
  <c r="D10" i="8"/>
  <c r="C10" i="8"/>
  <c r="B10" i="8"/>
  <c r="E9" i="8"/>
  <c r="D9" i="8"/>
  <c r="C9" i="8"/>
  <c r="B9" i="8"/>
  <c r="C8" i="8"/>
  <c r="H6" i="8"/>
  <c r="F9" i="8" l="1"/>
  <c r="F13" i="11"/>
  <c r="D81" i="11"/>
  <c r="C73" i="8"/>
  <c r="C85" i="8" s="1"/>
  <c r="E51" i="8"/>
  <c r="F51" i="8" s="1"/>
  <c r="C35" i="8"/>
  <c r="A44" i="8"/>
  <c r="C44" i="8" s="1"/>
  <c r="F44" i="8" s="1"/>
  <c r="F51" i="10"/>
  <c r="F29" i="9"/>
  <c r="F13" i="10"/>
  <c r="F30" i="8"/>
  <c r="F13" i="9"/>
  <c r="F27" i="11"/>
  <c r="F29" i="12"/>
  <c r="F28" i="8"/>
  <c r="F31" i="8"/>
  <c r="F13" i="13"/>
  <c r="F29" i="8"/>
  <c r="F32" i="8"/>
  <c r="F32" i="14"/>
  <c r="F11" i="14"/>
  <c r="F30" i="14"/>
  <c r="F10" i="14"/>
  <c r="C82" i="14"/>
  <c r="C94" i="14" s="1"/>
  <c r="E94" i="14" s="1"/>
  <c r="F14" i="14"/>
  <c r="F35" i="14"/>
  <c r="F8" i="14"/>
  <c r="D92" i="14"/>
  <c r="F34" i="14"/>
  <c r="F33" i="14"/>
  <c r="D90" i="14"/>
  <c r="F12" i="14"/>
  <c r="C47" i="14"/>
  <c r="F47" i="14" s="1"/>
  <c r="F13" i="14"/>
  <c r="F60" i="14"/>
  <c r="F20" i="14"/>
  <c r="C39" i="14"/>
  <c r="F31" i="13"/>
  <c r="F40" i="13"/>
  <c r="F11" i="13"/>
  <c r="F9" i="13"/>
  <c r="F28" i="13"/>
  <c r="F27" i="13"/>
  <c r="F18" i="13"/>
  <c r="F35" i="13"/>
  <c r="F51" i="12"/>
  <c r="C73" i="12"/>
  <c r="C85" i="12" s="1"/>
  <c r="D81" i="12"/>
  <c r="E85" i="12"/>
  <c r="D83" i="12"/>
  <c r="F46" i="12"/>
  <c r="F37" i="12"/>
  <c r="F32" i="12"/>
  <c r="F30" i="12"/>
  <c r="F24" i="12"/>
  <c r="F41" i="12"/>
  <c r="C36" i="12"/>
  <c r="A48" i="12"/>
  <c r="C48" i="12" s="1"/>
  <c r="F48" i="12" s="1"/>
  <c r="F36" i="12"/>
  <c r="F39" i="12"/>
  <c r="F23" i="12"/>
  <c r="F13" i="12"/>
  <c r="F9" i="12"/>
  <c r="F11" i="12"/>
  <c r="F8" i="12"/>
  <c r="F38" i="11"/>
  <c r="F30" i="11"/>
  <c r="C41" i="11"/>
  <c r="F41" i="11" s="1"/>
  <c r="F39" i="11"/>
  <c r="F50" i="11"/>
  <c r="F14" i="11"/>
  <c r="F12" i="11"/>
  <c r="F9" i="11"/>
  <c r="F51" i="11"/>
  <c r="D85" i="11"/>
  <c r="D86" i="11" s="1"/>
  <c r="F18" i="11"/>
  <c r="C36" i="11"/>
  <c r="F36" i="11" s="1"/>
  <c r="F35" i="11"/>
  <c r="F17" i="11"/>
  <c r="D83" i="9"/>
  <c r="D81" i="9"/>
  <c r="F30" i="9"/>
  <c r="F27" i="9"/>
  <c r="F32" i="9"/>
  <c r="F21" i="9"/>
  <c r="C41" i="9"/>
  <c r="F19" i="9"/>
  <c r="F39" i="9"/>
  <c r="C36" i="9"/>
  <c r="F36" i="9" s="1"/>
  <c r="F18" i="9"/>
  <c r="F41" i="9"/>
  <c r="F10" i="9"/>
  <c r="F11" i="9"/>
  <c r="F31" i="9"/>
  <c r="F35" i="12"/>
  <c r="F37" i="9"/>
  <c r="F31" i="11"/>
  <c r="F27" i="12"/>
  <c r="F29" i="14"/>
  <c r="F29" i="11"/>
  <c r="F46" i="11"/>
  <c r="F31" i="12"/>
  <c r="F29" i="13"/>
  <c r="F37" i="13"/>
  <c r="F9" i="14"/>
  <c r="C73" i="10"/>
  <c r="C85" i="10" s="1"/>
  <c r="D81" i="10"/>
  <c r="D85" i="10"/>
  <c r="D86" i="10" s="1"/>
  <c r="F47" i="10"/>
  <c r="F36" i="10"/>
  <c r="F24" i="10"/>
  <c r="F29" i="10"/>
  <c r="F32" i="10"/>
  <c r="A46" i="10"/>
  <c r="C46" i="10" s="1"/>
  <c r="F46" i="10" s="1"/>
  <c r="C41" i="10"/>
  <c r="F50" i="10"/>
  <c r="F41" i="10"/>
  <c r="F10" i="10"/>
  <c r="F8" i="10"/>
  <c r="F9" i="10"/>
  <c r="D81" i="8"/>
  <c r="D85" i="8"/>
  <c r="D86" i="8" s="1"/>
  <c r="F45" i="8"/>
  <c r="C40" i="8"/>
  <c r="F40" i="8" s="1"/>
  <c r="F24" i="8"/>
  <c r="C37" i="8"/>
  <c r="F37" i="8" s="1"/>
  <c r="F49" i="8"/>
  <c r="F41" i="8"/>
  <c r="F38" i="8"/>
  <c r="F50" i="8"/>
  <c r="F12" i="8"/>
  <c r="F8" i="8"/>
  <c r="F41" i="14"/>
  <c r="F59" i="14"/>
  <c r="A53" i="14"/>
  <c r="C53" i="14" s="1"/>
  <c r="F53" i="14" s="1"/>
  <c r="A55" i="14"/>
  <c r="C55" i="14" s="1"/>
  <c r="C40" i="14"/>
  <c r="A54" i="14"/>
  <c r="C54" i="14" s="1"/>
  <c r="C38" i="14"/>
  <c r="F39" i="13"/>
  <c r="A47" i="13"/>
  <c r="C47" i="13" s="1"/>
  <c r="F47" i="13" s="1"/>
  <c r="A49" i="13"/>
  <c r="C49" i="13" s="1"/>
  <c r="F49" i="13" s="1"/>
  <c r="E73" i="13"/>
  <c r="A44" i="13"/>
  <c r="C44" i="13" s="1"/>
  <c r="F44" i="13" s="1"/>
  <c r="A48" i="13"/>
  <c r="C48" i="13" s="1"/>
  <c r="F48" i="13" s="1"/>
  <c r="F40" i="12"/>
  <c r="F45" i="12"/>
  <c r="F38" i="12"/>
  <c r="A49" i="12"/>
  <c r="C49" i="12" s="1"/>
  <c r="F49" i="12" s="1"/>
  <c r="E73" i="12"/>
  <c r="A44" i="12"/>
  <c r="C44" i="12" s="1"/>
  <c r="F44" i="12" s="1"/>
  <c r="A47" i="12"/>
  <c r="C47" i="12" s="1"/>
  <c r="F47" i="12" s="1"/>
  <c r="F40" i="11"/>
  <c r="F45" i="11"/>
  <c r="A47" i="11"/>
  <c r="C47" i="11" s="1"/>
  <c r="F47" i="11" s="1"/>
  <c r="A49" i="11"/>
  <c r="C49" i="11" s="1"/>
  <c r="F49" i="11" s="1"/>
  <c r="E73" i="11"/>
  <c r="A44" i="11"/>
  <c r="C44" i="11" s="1"/>
  <c r="F44" i="11" s="1"/>
  <c r="C37" i="11"/>
  <c r="F37" i="11" s="1"/>
  <c r="A48" i="11"/>
  <c r="C48" i="11" s="1"/>
  <c r="F48" i="11" s="1"/>
  <c r="F38" i="10"/>
  <c r="F39" i="10"/>
  <c r="F37" i="10"/>
  <c r="F40" i="10"/>
  <c r="F45" i="10"/>
  <c r="C38" i="10"/>
  <c r="A49" i="10"/>
  <c r="C49" i="10" s="1"/>
  <c r="F49" i="10" s="1"/>
  <c r="A44" i="10"/>
  <c r="C44" i="10" s="1"/>
  <c r="F44" i="10" s="1"/>
  <c r="A48" i="10"/>
  <c r="C48" i="10" s="1"/>
  <c r="F48" i="10" s="1"/>
  <c r="F50" i="9"/>
  <c r="F38" i="9"/>
  <c r="E85" i="9"/>
  <c r="F45" i="9"/>
  <c r="F49" i="9"/>
  <c r="C40" i="9"/>
  <c r="F40" i="9" s="1"/>
  <c r="A44" i="9"/>
  <c r="C44" i="9" s="1"/>
  <c r="A46" i="9"/>
  <c r="C46" i="9" s="1"/>
  <c r="F46" i="9" s="1"/>
  <c r="E73" i="9"/>
  <c r="E51" i="9"/>
  <c r="F51" i="9" s="1"/>
  <c r="A47" i="9"/>
  <c r="C47" i="9" s="1"/>
  <c r="F47" i="9" s="1"/>
  <c r="A48" i="9"/>
  <c r="C48" i="9" s="1"/>
  <c r="F48" i="9" s="1"/>
  <c r="F46" i="8"/>
  <c r="F35" i="8"/>
  <c r="C36" i="8"/>
  <c r="F36" i="8" s="1"/>
  <c r="E73" i="8"/>
  <c r="A48" i="8"/>
  <c r="C48" i="8" s="1"/>
  <c r="F48" i="8" s="1"/>
  <c r="E85" i="11" l="1"/>
  <c r="F53" i="13"/>
  <c r="F64" i="13" s="1"/>
  <c r="E82" i="14"/>
  <c r="F54" i="13"/>
  <c r="F53" i="12"/>
  <c r="F54" i="12"/>
  <c r="F53" i="11"/>
  <c r="C69" i="11" s="1"/>
  <c r="F54" i="10"/>
  <c r="E73" i="10"/>
  <c r="E85" i="10"/>
  <c r="F53" i="10"/>
  <c r="H53" i="10" s="1"/>
  <c r="F2" i="10" s="1"/>
  <c r="E85" i="8"/>
  <c r="F53" i="8"/>
  <c r="C69" i="8" s="1"/>
  <c r="F56" i="13"/>
  <c r="F56" i="12"/>
  <c r="F56" i="11"/>
  <c r="F54" i="11"/>
  <c r="F56" i="10"/>
  <c r="F54" i="8"/>
  <c r="F56" i="8"/>
  <c r="C69" i="13" l="1"/>
  <c r="E69" i="13" s="1"/>
  <c r="H53" i="13"/>
  <c r="F2" i="13" s="1"/>
  <c r="F55" i="13"/>
  <c r="O54" i="13" s="1"/>
  <c r="H53" i="12"/>
  <c r="F2" i="12" s="1"/>
  <c r="F64" i="12"/>
  <c r="H54" i="10"/>
  <c r="G2" i="10" s="1"/>
  <c r="C76" i="10"/>
  <c r="E76" i="10" s="1"/>
  <c r="E35" i="9" s="1"/>
  <c r="F35" i="9" s="1"/>
  <c r="F54" i="9" s="1"/>
  <c r="H54" i="9" s="1"/>
  <c r="G2" i="9" s="1"/>
  <c r="H53" i="8"/>
  <c r="F2" i="8" s="1"/>
  <c r="F64" i="8"/>
  <c r="C76" i="13"/>
  <c r="E76" i="13" s="1"/>
  <c r="H54" i="13"/>
  <c r="C69" i="12"/>
  <c r="C81" i="12" s="1"/>
  <c r="E81" i="12" s="1"/>
  <c r="F55" i="12"/>
  <c r="H55" i="12" s="1"/>
  <c r="H54" i="12"/>
  <c r="G2" i="12" s="1"/>
  <c r="C76" i="12"/>
  <c r="E76" i="12" s="1"/>
  <c r="F64" i="11"/>
  <c r="H53" i="11"/>
  <c r="F64" i="10"/>
  <c r="C69" i="10"/>
  <c r="C81" i="10" s="1"/>
  <c r="E81" i="10" s="1"/>
  <c r="F55" i="10"/>
  <c r="F63" i="10" s="1"/>
  <c r="H56" i="13"/>
  <c r="E50" i="14" s="1"/>
  <c r="F50" i="14" s="1"/>
  <c r="C74" i="13"/>
  <c r="H56" i="12"/>
  <c r="C74" i="12"/>
  <c r="C76" i="11"/>
  <c r="E76" i="11" s="1"/>
  <c r="H54" i="11"/>
  <c r="H56" i="11"/>
  <c r="E52" i="14" s="1"/>
  <c r="F52" i="14" s="1"/>
  <c r="C74" i="11"/>
  <c r="F55" i="11"/>
  <c r="E69" i="11"/>
  <c r="C81" i="11"/>
  <c r="E81" i="11" s="1"/>
  <c r="H56" i="10"/>
  <c r="C74" i="10"/>
  <c r="C74" i="8"/>
  <c r="H56" i="8"/>
  <c r="C76" i="8"/>
  <c r="E76" i="8" s="1"/>
  <c r="H54" i="8"/>
  <c r="G2" i="8" s="1"/>
  <c r="F55" i="8"/>
  <c r="E69" i="8"/>
  <c r="C81" i="8"/>
  <c r="E81" i="8" s="1"/>
  <c r="C81" i="13" l="1"/>
  <c r="E81" i="13" s="1"/>
  <c r="E17" i="14"/>
  <c r="F17" i="14" s="1"/>
  <c r="F63" i="13"/>
  <c r="C71" i="13" s="1"/>
  <c r="H55" i="13"/>
  <c r="C76" i="9"/>
  <c r="E76" i="9" s="1"/>
  <c r="E42" i="14" s="1"/>
  <c r="F42" i="14" s="1"/>
  <c r="E39" i="14"/>
  <c r="F39" i="14" s="1"/>
  <c r="E22" i="14"/>
  <c r="F22" i="14" s="1"/>
  <c r="E43" i="14"/>
  <c r="F43" i="14" s="1"/>
  <c r="H55" i="10"/>
  <c r="E69" i="12"/>
  <c r="O54" i="12"/>
  <c r="O56" i="12" s="1"/>
  <c r="G2" i="13"/>
  <c r="E38" i="14"/>
  <c r="F38" i="14" s="1"/>
  <c r="F2" i="11"/>
  <c r="E19" i="14"/>
  <c r="F19" i="14" s="1"/>
  <c r="G2" i="11"/>
  <c r="E40" i="14"/>
  <c r="F40" i="14" s="1"/>
  <c r="F63" i="12"/>
  <c r="C71" i="12" s="1"/>
  <c r="O54" i="10"/>
  <c r="O56" i="10" s="1"/>
  <c r="E69" i="10"/>
  <c r="E17" i="9" s="1"/>
  <c r="F17" i="9" s="1"/>
  <c r="F53" i="9" s="1"/>
  <c r="H58" i="13"/>
  <c r="H59" i="13" s="1"/>
  <c r="O58" i="13" s="1"/>
  <c r="O55" i="13"/>
  <c r="H2" i="13"/>
  <c r="O56" i="13"/>
  <c r="E74" i="13"/>
  <c r="E78" i="13" s="1"/>
  <c r="C86" i="13"/>
  <c r="E86" i="13" s="1"/>
  <c r="H2" i="12"/>
  <c r="H58" i="12"/>
  <c r="H59" i="12" s="1"/>
  <c r="O58" i="12" s="1"/>
  <c r="O55" i="12"/>
  <c r="C86" i="12"/>
  <c r="E86" i="12" s="1"/>
  <c r="E74" i="12"/>
  <c r="H55" i="11"/>
  <c r="F63" i="11"/>
  <c r="O54" i="11"/>
  <c r="C86" i="11"/>
  <c r="E86" i="11" s="1"/>
  <c r="E74" i="11"/>
  <c r="E78" i="11" s="1"/>
  <c r="O55" i="11"/>
  <c r="H2" i="11"/>
  <c r="H58" i="11"/>
  <c r="H59" i="11" s="1"/>
  <c r="O58" i="11" s="1"/>
  <c r="C86" i="10"/>
  <c r="E86" i="10" s="1"/>
  <c r="E74" i="10"/>
  <c r="E44" i="9" s="1"/>
  <c r="F44" i="9" s="1"/>
  <c r="F56" i="9" s="1"/>
  <c r="C71" i="10"/>
  <c r="E63" i="10"/>
  <c r="F66" i="10"/>
  <c r="H2" i="10"/>
  <c r="O55" i="10"/>
  <c r="H58" i="10"/>
  <c r="H59" i="10" s="1"/>
  <c r="O58" i="10" s="1"/>
  <c r="H55" i="8"/>
  <c r="O54" i="8"/>
  <c r="F63" i="8"/>
  <c r="O55" i="8"/>
  <c r="H2" i="8"/>
  <c r="H58" i="8"/>
  <c r="H59" i="8" s="1"/>
  <c r="O58" i="8" s="1"/>
  <c r="C86" i="8"/>
  <c r="E86" i="8" s="1"/>
  <c r="E74" i="8"/>
  <c r="F66" i="13" l="1"/>
  <c r="G63" i="13" s="1"/>
  <c r="E63" i="13"/>
  <c r="E18" i="14"/>
  <c r="F18" i="14" s="1"/>
  <c r="F63" i="14"/>
  <c r="H63" i="14" s="1"/>
  <c r="G2" i="14" s="1"/>
  <c r="O57" i="10"/>
  <c r="O59" i="10" s="1"/>
  <c r="E78" i="8"/>
  <c r="E55" i="14"/>
  <c r="F55" i="14" s="1"/>
  <c r="O57" i="13"/>
  <c r="O59" i="13" s="1"/>
  <c r="O57" i="12"/>
  <c r="O59" i="12" s="1"/>
  <c r="O60" i="12" s="1"/>
  <c r="O61" i="12" s="1"/>
  <c r="O62" i="12" s="1"/>
  <c r="E78" i="12"/>
  <c r="E51" i="14"/>
  <c r="F51" i="14" s="1"/>
  <c r="F66" i="12"/>
  <c r="G63" i="12" s="1"/>
  <c r="E63" i="12"/>
  <c r="H56" i="9"/>
  <c r="C74" i="9"/>
  <c r="C69" i="9"/>
  <c r="H53" i="9"/>
  <c r="F2" i="9" s="1"/>
  <c r="F64" i="9"/>
  <c r="F55" i="9"/>
  <c r="E78" i="10"/>
  <c r="G50" i="13"/>
  <c r="G47" i="13"/>
  <c r="G53" i="13"/>
  <c r="G64" i="13"/>
  <c r="E71" i="13"/>
  <c r="C83" i="13"/>
  <c r="E83" i="13" s="1"/>
  <c r="C83" i="12"/>
  <c r="E83" i="12" s="1"/>
  <c r="E71" i="12"/>
  <c r="O56" i="11"/>
  <c r="O57" i="11" s="1"/>
  <c r="O59" i="11" s="1"/>
  <c r="C71" i="11"/>
  <c r="E63" i="11"/>
  <c r="F66" i="11"/>
  <c r="G63" i="11" s="1"/>
  <c r="G66" i="10"/>
  <c r="G22" i="10"/>
  <c r="G18" i="10"/>
  <c r="G41" i="10"/>
  <c r="G13" i="10"/>
  <c r="G21" i="10"/>
  <c r="G51" i="10"/>
  <c r="G24" i="10"/>
  <c r="G17" i="10"/>
  <c r="G14" i="10"/>
  <c r="G29" i="10"/>
  <c r="G27" i="10"/>
  <c r="G11" i="10"/>
  <c r="G9" i="10"/>
  <c r="G47" i="10"/>
  <c r="G10" i="10"/>
  <c r="G46" i="10"/>
  <c r="G20" i="10"/>
  <c r="G19" i="10"/>
  <c r="G32" i="10"/>
  <c r="G23" i="10"/>
  <c r="G30" i="10"/>
  <c r="G12" i="10"/>
  <c r="G65" i="10"/>
  <c r="G28" i="10"/>
  <c r="G35" i="10"/>
  <c r="G31" i="10"/>
  <c r="G50" i="10"/>
  <c r="G36" i="10"/>
  <c r="G8" i="10"/>
  <c r="G49" i="10"/>
  <c r="G39" i="10"/>
  <c r="G40" i="10"/>
  <c r="G38" i="10"/>
  <c r="G37" i="10"/>
  <c r="G53" i="10"/>
  <c r="G44" i="10"/>
  <c r="G54" i="10"/>
  <c r="G45" i="10"/>
  <c r="G48" i="10"/>
  <c r="G64" i="10"/>
  <c r="G56" i="10"/>
  <c r="G55" i="10"/>
  <c r="E71" i="10"/>
  <c r="C83" i="10"/>
  <c r="E83" i="10" s="1"/>
  <c r="G63" i="10"/>
  <c r="F66" i="8"/>
  <c r="G63" i="8" s="1"/>
  <c r="C71" i="8"/>
  <c r="E63" i="8"/>
  <c r="O56" i="8"/>
  <c r="O57" i="8" s="1"/>
  <c r="O59" i="8" s="1"/>
  <c r="G54" i="13" l="1"/>
  <c r="G20" i="13"/>
  <c r="G45" i="13"/>
  <c r="G24" i="13"/>
  <c r="G17" i="13"/>
  <c r="G44" i="13"/>
  <c r="G8" i="13"/>
  <c r="G36" i="13"/>
  <c r="G21" i="13"/>
  <c r="G51" i="13"/>
  <c r="G28" i="13"/>
  <c r="G49" i="13"/>
  <c r="G31" i="13"/>
  <c r="G9" i="13"/>
  <c r="G35" i="13"/>
  <c r="G22" i="13"/>
  <c r="G48" i="13"/>
  <c r="G19" i="13"/>
  <c r="G14" i="13"/>
  <c r="G37" i="13"/>
  <c r="G40" i="13"/>
  <c r="G13" i="13"/>
  <c r="G11" i="13"/>
  <c r="G65" i="13"/>
  <c r="G55" i="13"/>
  <c r="G10" i="13"/>
  <c r="G18" i="13"/>
  <c r="G46" i="13"/>
  <c r="G30" i="13"/>
  <c r="G66" i="13"/>
  <c r="G39" i="13"/>
  <c r="G23" i="13"/>
  <c r="G38" i="13"/>
  <c r="G12" i="13"/>
  <c r="G56" i="13"/>
  <c r="G32" i="13"/>
  <c r="G27" i="13"/>
  <c r="G41" i="13"/>
  <c r="G29" i="13"/>
  <c r="C85" i="14"/>
  <c r="E85" i="14" s="1"/>
  <c r="O60" i="13"/>
  <c r="O61" i="13" s="1"/>
  <c r="O62" i="13" s="1"/>
  <c r="G40" i="12"/>
  <c r="G17" i="12"/>
  <c r="G28" i="12"/>
  <c r="G55" i="12"/>
  <c r="G27" i="12"/>
  <c r="G56" i="12"/>
  <c r="G13" i="12"/>
  <c r="G54" i="12"/>
  <c r="G66" i="12"/>
  <c r="G53" i="12"/>
  <c r="G35" i="12"/>
  <c r="G44" i="12"/>
  <c r="G9" i="12"/>
  <c r="G24" i="12"/>
  <c r="G23" i="12"/>
  <c r="G10" i="12"/>
  <c r="G46" i="12"/>
  <c r="G22" i="12"/>
  <c r="G36" i="12"/>
  <c r="G48" i="12"/>
  <c r="G51" i="12"/>
  <c r="G14" i="12"/>
  <c r="G19" i="12"/>
  <c r="G37" i="12"/>
  <c r="G31" i="12"/>
  <c r="G39" i="12"/>
  <c r="G32" i="12"/>
  <c r="G65" i="12"/>
  <c r="G29" i="12"/>
  <c r="G49" i="12"/>
  <c r="G47" i="12"/>
  <c r="G11" i="12"/>
  <c r="G50" i="12"/>
  <c r="G45" i="12"/>
  <c r="G41" i="12"/>
  <c r="G21" i="12"/>
  <c r="G38" i="12"/>
  <c r="G20" i="12"/>
  <c r="G8" i="12"/>
  <c r="G64" i="12"/>
  <c r="G12" i="12"/>
  <c r="G30" i="12"/>
  <c r="G18" i="12"/>
  <c r="E69" i="9"/>
  <c r="C81" i="9"/>
  <c r="E81" i="9" s="1"/>
  <c r="O54" i="9"/>
  <c r="O56" i="9" s="1"/>
  <c r="F63" i="9"/>
  <c r="H55" i="9"/>
  <c r="C86" i="9"/>
  <c r="E86" i="9" s="1"/>
  <c r="E74" i="9"/>
  <c r="O55" i="9"/>
  <c r="H2" i="9"/>
  <c r="H58" i="9"/>
  <c r="H59" i="9" s="1"/>
  <c r="O58" i="9" s="1"/>
  <c r="O60" i="10"/>
  <c r="O61" i="10" s="1"/>
  <c r="O62" i="10" s="1"/>
  <c r="E2" i="12"/>
  <c r="P62" i="12"/>
  <c r="G66" i="11"/>
  <c r="G65" i="11"/>
  <c r="G19" i="11"/>
  <c r="G23" i="11"/>
  <c r="G18" i="11"/>
  <c r="G30" i="11"/>
  <c r="G24" i="11"/>
  <c r="G46" i="11"/>
  <c r="G8" i="11"/>
  <c r="G22" i="11"/>
  <c r="G28" i="11"/>
  <c r="G21" i="11"/>
  <c r="G10" i="11"/>
  <c r="G35" i="11"/>
  <c r="G36" i="11"/>
  <c r="G32" i="11"/>
  <c r="G41" i="11"/>
  <c r="G39" i="11"/>
  <c r="G14" i="11"/>
  <c r="G50" i="11"/>
  <c r="G9" i="11"/>
  <c r="G29" i="11"/>
  <c r="G51" i="11"/>
  <c r="G12" i="11"/>
  <c r="G11" i="11"/>
  <c r="G31" i="11"/>
  <c r="G13" i="11"/>
  <c r="G27" i="11"/>
  <c r="G17" i="11"/>
  <c r="G20" i="11"/>
  <c r="G38" i="11"/>
  <c r="G48" i="11"/>
  <c r="G37" i="11"/>
  <c r="G53" i="11"/>
  <c r="G47" i="11"/>
  <c r="G49" i="11"/>
  <c r="G40" i="11"/>
  <c r="G44" i="11"/>
  <c r="G45" i="11"/>
  <c r="G54" i="11"/>
  <c r="G56" i="11"/>
  <c r="G64" i="11"/>
  <c r="G55" i="11"/>
  <c r="C83" i="11"/>
  <c r="E83" i="11" s="1"/>
  <c r="E71" i="11"/>
  <c r="O60" i="11"/>
  <c r="O61" i="11" s="1"/>
  <c r="O62" i="11" s="1"/>
  <c r="O60" i="8"/>
  <c r="O61" i="8" s="1"/>
  <c r="O62" i="8" s="1"/>
  <c r="C83" i="8"/>
  <c r="E83" i="8" s="1"/>
  <c r="E71" i="8"/>
  <c r="G66" i="8"/>
  <c r="G65" i="8"/>
  <c r="G41" i="8"/>
  <c r="G24" i="8"/>
  <c r="G50" i="8"/>
  <c r="G44" i="8"/>
  <c r="G32" i="8"/>
  <c r="G17" i="8"/>
  <c r="G10" i="8"/>
  <c r="G39" i="8"/>
  <c r="G27" i="8"/>
  <c r="G9" i="8"/>
  <c r="G20" i="8"/>
  <c r="G40" i="8"/>
  <c r="G19" i="8"/>
  <c r="G30" i="8"/>
  <c r="G13" i="8"/>
  <c r="G29" i="8"/>
  <c r="G49" i="8"/>
  <c r="G37" i="8"/>
  <c r="G8" i="8"/>
  <c r="G18" i="8"/>
  <c r="G47" i="8"/>
  <c r="G28" i="8"/>
  <c r="G11" i="8"/>
  <c r="G12" i="8"/>
  <c r="G23" i="8"/>
  <c r="G21" i="8"/>
  <c r="G22" i="8"/>
  <c r="G45" i="8"/>
  <c r="G31" i="8"/>
  <c r="G14" i="8"/>
  <c r="G51" i="8"/>
  <c r="G38" i="8"/>
  <c r="G36" i="8"/>
  <c r="G53" i="8"/>
  <c r="G48" i="8"/>
  <c r="G35" i="8"/>
  <c r="G46" i="8"/>
  <c r="G56" i="8"/>
  <c r="G54" i="8"/>
  <c r="G64" i="8"/>
  <c r="G55" i="8"/>
  <c r="E2" i="13" l="1"/>
  <c r="P62" i="13"/>
  <c r="E54" i="14"/>
  <c r="F54" i="14" s="1"/>
  <c r="F65" i="14" s="1"/>
  <c r="E21" i="14"/>
  <c r="F21" i="14" s="1"/>
  <c r="F62" i="14" s="1"/>
  <c r="E78" i="9"/>
  <c r="O57" i="9"/>
  <c r="O59" i="9" s="1"/>
  <c r="O60" i="9" s="1"/>
  <c r="E63" i="9"/>
  <c r="F66" i="9"/>
  <c r="C71" i="9"/>
  <c r="P62" i="10"/>
  <c r="E2" i="10"/>
  <c r="P62" i="11"/>
  <c r="E2" i="11"/>
  <c r="P62" i="8"/>
  <c r="E2" i="8"/>
  <c r="G63" i="9" l="1"/>
  <c r="G9" i="9"/>
  <c r="H65" i="14"/>
  <c r="C83" i="14"/>
  <c r="C78" i="14"/>
  <c r="F64" i="14"/>
  <c r="H62" i="14"/>
  <c r="F2" i="14" s="1"/>
  <c r="F73" i="14"/>
  <c r="O61" i="9"/>
  <c r="O62" i="9" s="1"/>
  <c r="P62" i="9" s="1"/>
  <c r="C83" i="9"/>
  <c r="E83" i="9" s="1"/>
  <c r="E71" i="9"/>
  <c r="G28" i="9"/>
  <c r="G22" i="9"/>
  <c r="G30" i="9"/>
  <c r="G38" i="9"/>
  <c r="G20" i="9"/>
  <c r="G13" i="9"/>
  <c r="G29" i="9"/>
  <c r="G11" i="9"/>
  <c r="G56" i="9"/>
  <c r="G36" i="9"/>
  <c r="G37" i="9"/>
  <c r="G48" i="9"/>
  <c r="G8" i="9"/>
  <c r="G10" i="9"/>
  <c r="G12" i="9"/>
  <c r="G49" i="9"/>
  <c r="G64" i="9"/>
  <c r="G27" i="9"/>
  <c r="G46" i="9"/>
  <c r="G31" i="9"/>
  <c r="G14" i="9"/>
  <c r="G50" i="9"/>
  <c r="G54" i="9"/>
  <c r="G65" i="9"/>
  <c r="G51" i="9"/>
  <c r="G24" i="9"/>
  <c r="G21" i="9"/>
  <c r="G45" i="9"/>
  <c r="G41" i="9"/>
  <c r="G17" i="9"/>
  <c r="G53" i="9"/>
  <c r="G39" i="9"/>
  <c r="G44" i="9"/>
  <c r="G66" i="9"/>
  <c r="G18" i="9"/>
  <c r="G35" i="9"/>
  <c r="G47" i="9"/>
  <c r="G32" i="9"/>
  <c r="G23" i="9"/>
  <c r="G19" i="9"/>
  <c r="G40" i="9"/>
  <c r="G55" i="9"/>
  <c r="E2" i="9" l="1"/>
  <c r="F72" i="14"/>
  <c r="O63" i="14"/>
  <c r="H64" i="14"/>
  <c r="E78" i="14"/>
  <c r="C90" i="14"/>
  <c r="E90" i="14" s="1"/>
  <c r="C95" i="14"/>
  <c r="E95" i="14" s="1"/>
  <c r="E83" i="14"/>
  <c r="H2" i="14"/>
  <c r="O64" i="14"/>
  <c r="H67" i="14"/>
  <c r="H68" i="14" s="1"/>
  <c r="O67" i="14" s="1"/>
  <c r="E87" i="14" l="1"/>
  <c r="O65" i="14"/>
  <c r="O66" i="14" s="1"/>
  <c r="O68" i="14" s="1"/>
  <c r="O69" i="14" s="1"/>
  <c r="O70" i="14" s="1"/>
  <c r="O71" i="14" s="1"/>
  <c r="E72" i="14"/>
  <c r="F75" i="14"/>
  <c r="G72" i="14" s="1"/>
  <c r="C80" i="14"/>
  <c r="C92" i="14" l="1"/>
  <c r="E92" i="14" s="1"/>
  <c r="E80" i="14"/>
  <c r="G57" i="14"/>
  <c r="G33" i="14"/>
  <c r="G26" i="14"/>
  <c r="G22" i="14"/>
  <c r="G63" i="14"/>
  <c r="G56" i="14"/>
  <c r="G12" i="14"/>
  <c r="G13" i="14"/>
  <c r="G10" i="14"/>
  <c r="G25" i="14"/>
  <c r="G35" i="14"/>
  <c r="G55" i="14"/>
  <c r="G58" i="14"/>
  <c r="G45" i="14"/>
  <c r="G30" i="14"/>
  <c r="G39" i="14"/>
  <c r="G59" i="14"/>
  <c r="G46" i="14"/>
  <c r="G32" i="14"/>
  <c r="G11" i="14"/>
  <c r="G44" i="14"/>
  <c r="G9" i="14"/>
  <c r="G8" i="14"/>
  <c r="G53" i="14"/>
  <c r="G18" i="14"/>
  <c r="G14" i="14"/>
  <c r="G41" i="14"/>
  <c r="G23" i="14"/>
  <c r="G74" i="14"/>
  <c r="G52" i="14"/>
  <c r="G40" i="14"/>
  <c r="G24" i="14"/>
  <c r="G60" i="14"/>
  <c r="G43" i="14"/>
  <c r="G42" i="14"/>
  <c r="G75" i="14"/>
  <c r="G47" i="14"/>
  <c r="G50" i="14"/>
  <c r="G19" i="14"/>
  <c r="G29" i="14"/>
  <c r="G51" i="14"/>
  <c r="G38" i="14"/>
  <c r="G31" i="14"/>
  <c r="G20" i="14"/>
  <c r="G34" i="14"/>
  <c r="G17" i="14"/>
  <c r="G54" i="14"/>
  <c r="G21" i="14"/>
  <c r="G65" i="14"/>
  <c r="G62" i="14"/>
  <c r="G73" i="14"/>
  <c r="G64" i="14"/>
  <c r="P71" i="14"/>
  <c r="E2" i="14"/>
</calcChain>
</file>

<file path=xl/sharedStrings.xml><?xml version="1.0" encoding="utf-8"?>
<sst xmlns="http://schemas.openxmlformats.org/spreadsheetml/2006/main" count="1666" uniqueCount="359">
  <si>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</si>
  <si>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</si>
  <si>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</si>
  <si>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</si>
  <si>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</si>
  <si>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</si>
  <si>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Juan Pablo Brenes-Chef</t>
  </si>
  <si>
    <t>Aprobado</t>
  </si>
  <si>
    <t xml:space="preserve">Esteban Cartin, Gerente de Manofactura </t>
  </si>
  <si>
    <t>AREA QUE PRODUCE:</t>
  </si>
  <si>
    <t xml:space="preserve">AREA QUE EMPACA: </t>
  </si>
  <si>
    <t xml:space="preserve">Decoración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</si>
  <si>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</si>
  <si>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</si>
  <si>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</si>
  <si>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</si>
  <si>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</si>
  <si>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</si>
  <si>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</si>
  <si>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</si>
  <si>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</si>
  <si>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</si>
  <si>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EMPAQUE</t>
  </si>
  <si>
    <t>ud</t>
  </si>
  <si>
    <t>1950692</t>
  </si>
  <si>
    <t>Mayca</t>
  </si>
  <si>
    <t>cm</t>
  </si>
  <si>
    <t>EM10011</t>
  </si>
  <si>
    <t>ETIPLAST</t>
  </si>
  <si>
    <t>EM10002</t>
  </si>
  <si>
    <t>Unidad</t>
  </si>
  <si>
    <t>PESO TOTAL OBTENIDO</t>
  </si>
  <si>
    <t>min</t>
  </si>
  <si>
    <t>CANTIDAD DE PORCIONES OBTENIDAS</t>
  </si>
  <si>
    <t>PESO DE CADA PORCIÓN</t>
  </si>
  <si>
    <t>MERMA</t>
  </si>
  <si>
    <t>PROCEDIMIENTO DE PREPARACION DE LA  RECETA</t>
  </si>
  <si>
    <t>CONTROL DE CAMBIOS</t>
  </si>
  <si>
    <t>Javier Tong, Chef</t>
  </si>
  <si>
    <t>Esteban Cartin, Gte Manufactura</t>
  </si>
  <si>
    <t>Batidos</t>
  </si>
  <si>
    <t># Código Netsuite</t>
  </si>
  <si>
    <t>Ensamble</t>
  </si>
  <si>
    <t>SE00444</t>
  </si>
  <si>
    <t>BATIDO NUCLEO VAINILLA DAWN</t>
  </si>
  <si>
    <t>FAS</t>
  </si>
  <si>
    <t>Decoración</t>
  </si>
  <si>
    <t>Empaque</t>
  </si>
  <si>
    <t>MEZCLA P/ENGRASE MOLDES KILO</t>
  </si>
  <si>
    <t>PLASTICOS P</t>
  </si>
  <si>
    <t>0702007</t>
  </si>
  <si>
    <t/>
  </si>
  <si>
    <t>Tiempo de Horneo:</t>
  </si>
  <si>
    <t>TIEMPO TOTAL DE PREPARACION</t>
  </si>
  <si>
    <t>Min</t>
  </si>
  <si>
    <t>Horno:</t>
  </si>
  <si>
    <t>Temperatura de Horneo:</t>
  </si>
  <si>
    <t>Otros</t>
  </si>
  <si>
    <t>Rosquete vainilla Dawn 400g</t>
  </si>
  <si>
    <t>NUEVO</t>
  </si>
  <si>
    <t>FLAN SPOON 700G</t>
  </si>
  <si>
    <t>SE00005</t>
  </si>
  <si>
    <t>ALMIBAR FLOR DE CAÑA</t>
  </si>
  <si>
    <t>SE00340</t>
  </si>
  <si>
    <t>EMPAQUE RELLENO CARAMELO SPOON</t>
  </si>
  <si>
    <t>MIX MARAÑON ALMENDRA</t>
  </si>
  <si>
    <t>CREMA RON</t>
  </si>
  <si>
    <t>SE00069</t>
  </si>
  <si>
    <t>CREMA BEIDGE (KILO)</t>
  </si>
  <si>
    <t>SE00032</t>
  </si>
  <si>
    <t>CREMA DULCE LECHE KILO</t>
  </si>
  <si>
    <t>Almibar</t>
  </si>
  <si>
    <t>Etiqueta Blanca 2 5/8X1 15/16</t>
  </si>
  <si>
    <t>FLOR DE CAÑA 4 AÑOS OSCURO</t>
  </si>
  <si>
    <t>Postres</t>
  </si>
  <si>
    <t>SE00619</t>
  </si>
  <si>
    <t xml:space="preserve">Mezcla Flan Caramelo Spoon </t>
  </si>
  <si>
    <t>SE00048</t>
  </si>
  <si>
    <t>Caramelo Para Flan 900 grs Spoon</t>
  </si>
  <si>
    <t>Crema Beidge</t>
  </si>
  <si>
    <t>MP10721</t>
  </si>
  <si>
    <t>Ron Flor De Caña 4 años</t>
  </si>
  <si>
    <t>Flor de caña</t>
  </si>
  <si>
    <t>1.- Mezclar la crema con el ron.</t>
  </si>
  <si>
    <t>MARAÑON TOSTADO</t>
  </si>
  <si>
    <t>MP10066</t>
  </si>
  <si>
    <t>Almendra Fileteada</t>
  </si>
  <si>
    <t>MP10074</t>
  </si>
  <si>
    <t>Azucar Blanco Industrial</t>
  </si>
  <si>
    <t>AGUA POTABLE (PLANTA)</t>
  </si>
  <si>
    <t>BELCOLADE CARAMELO</t>
  </si>
  <si>
    <t>PURATOS</t>
  </si>
  <si>
    <t>SEMILLAS BAÑADAS BELCOLADE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</si>
  <si>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</si>
  <si>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</si>
  <si>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</si>
  <si>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</si>
  <si>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</si>
  <si>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</si>
  <si>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</si>
  <si>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</si>
  <si>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</si>
  <si>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</si>
  <si>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</si>
  <si>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</si>
  <si>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</si>
  <si>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</si>
  <si>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</si>
  <si>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</si>
  <si>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</si>
  <si>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</si>
  <si>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</si>
  <si>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</si>
  <si>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</si>
  <si>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</si>
  <si>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</si>
  <si>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</si>
  <si>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</si>
  <si>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</si>
  <si>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</si>
  <si>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</si>
  <si>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</si>
  <si>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</si>
  <si>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</si>
  <si>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</si>
  <si>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</si>
  <si>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</si>
  <si>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</si>
  <si>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</si>
  <si>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</si>
  <si>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</si>
  <si>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</si>
  <si>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</si>
  <si>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</si>
  <si>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</si>
  <si>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</si>
  <si>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</si>
  <si>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</si>
  <si>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</si>
  <si>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</si>
  <si>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</si>
  <si>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</si>
  <si>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</si>
  <si>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</si>
  <si>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</si>
  <si>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 xml:space="preserve">Mililitros </t>
  </si>
  <si>
    <t>Nuevo</t>
  </si>
  <si>
    <t>UND</t>
  </si>
  <si>
    <t>SE00701</t>
  </si>
  <si>
    <t>1950928</t>
  </si>
  <si>
    <t>0702069</t>
  </si>
  <si>
    <t xml:space="preserve">und </t>
  </si>
  <si>
    <t>und</t>
  </si>
  <si>
    <t>121603</t>
  </si>
  <si>
    <t>701096</t>
  </si>
  <si>
    <t>0702123</t>
  </si>
  <si>
    <t xml:space="preserve">ETIQUETA TORTA FLOR DE CAÑA </t>
  </si>
  <si>
    <t>Chocolate blanco</t>
  </si>
  <si>
    <t>ESP-RE-DES-021</t>
  </si>
  <si>
    <t>03</t>
  </si>
  <si>
    <t xml:space="preserve"> Crema Beidge SE00069</t>
  </si>
  <si>
    <t>Decoracion</t>
  </si>
  <si>
    <t>SE00670</t>
  </si>
  <si>
    <t>CREMA BLANCA SUPREMO</t>
  </si>
  <si>
    <t>MP10150</t>
  </si>
  <si>
    <t>COLORANTE GEL EGG YELLOW  (UND= 130 ML)</t>
  </si>
  <si>
    <t>MASTER PACK</t>
  </si>
  <si>
    <t>0.2</t>
  </si>
  <si>
    <t>ETIQ.BLANCA 1 1/4 * 3/4</t>
  </si>
  <si>
    <t>Tanda</t>
  </si>
  <si>
    <t>1, Sacar la crema blanca suprema de la camara (temperatura maxima 18° ya batida).</t>
  </si>
  <si>
    <t>2, Agregar el colorantes y mezclar a mano, hasta que este completamente homogeneo.</t>
  </si>
  <si>
    <t>3, Colocar plastico para tapar y etiquetar.</t>
  </si>
  <si>
    <t xml:space="preserve">4, Volver a guardar en la camara hasta su uso. </t>
  </si>
  <si>
    <t xml:space="preserve">2, Se actualiza procedimiento y tiempo de preparación </t>
  </si>
  <si>
    <t>3, Se actualizan datos de receta y pesos finales</t>
  </si>
  <si>
    <t>ESP-RE-DES-059</t>
  </si>
  <si>
    <t>04</t>
  </si>
  <si>
    <t>SE00670 Crema Blanca Supremo</t>
  </si>
  <si>
    <t>Decoracoración</t>
  </si>
  <si>
    <t>MP10047</t>
  </si>
  <si>
    <t>BETTERCREME SUPREMO (UND:4 K)</t>
  </si>
  <si>
    <t>RICHS</t>
  </si>
  <si>
    <t>10415</t>
  </si>
  <si>
    <t>AYA</t>
  </si>
  <si>
    <t>MP10008</t>
  </si>
  <si>
    <t>PRESERVANTE 1047S (PAQ=5 KILO)</t>
  </si>
  <si>
    <t>ASEAL</t>
  </si>
  <si>
    <t>ETIQUETA BLANCA 2 5/8X1 15/16 (UND)</t>
  </si>
  <si>
    <t>Etiplas</t>
  </si>
  <si>
    <t xml:space="preserve">1.- Abrir los galones de bettercreme supremo y verter dentro de la top cream, reservando un poco. </t>
  </si>
  <si>
    <t>2.- Disolver el preservante con el colorante en el  agua, mezclando bien, dejandolo sin grumos (Si hace falta disolver, agregar un poco del bettercream supremo para terminar de disolver)</t>
  </si>
  <si>
    <t>3.- Batir por 15 minutos</t>
  </si>
  <si>
    <t>4- Una vez lista retirar (Temperatura adecuada 15° a 16°) y colocar en una tina plastica y tapar con plastico</t>
  </si>
  <si>
    <t>5.- Etiquetar con nombre y fecha de vencimiento.</t>
  </si>
  <si>
    <t xml:space="preserve">6.- Mantener en refrigeración, hasta su uso. </t>
  </si>
  <si>
    <t xml:space="preserve">2, Se sustituye la crema prestige por crema supremo y procedimiento </t>
  </si>
  <si>
    <t xml:space="preserve">3, Se actualiza tiempo de preparación, se agrega colorante y se actualiza procedimiento. </t>
  </si>
  <si>
    <t>4, Se actualiza cantidad de colorante</t>
  </si>
  <si>
    <t>ESP-RE-POS-017</t>
  </si>
  <si>
    <t>02</t>
  </si>
  <si>
    <t>Mezcla Flan de Caramelo SPOON (KILO) SE00619</t>
  </si>
  <si>
    <t>MP10050</t>
  </si>
  <si>
    <t>LECHE CONDENSADA (PAQ:11 K)</t>
  </si>
  <si>
    <t>NESTLE</t>
  </si>
  <si>
    <t>MP10024</t>
  </si>
  <si>
    <t>LECHE EVAPORADA (UND: 1 L)</t>
  </si>
  <si>
    <t>MP10005</t>
  </si>
  <si>
    <t>HUEVO LIQUIDO REFRIGERADO</t>
  </si>
  <si>
    <t>INNOVO</t>
  </si>
  <si>
    <t>MP10037</t>
  </si>
  <si>
    <t>YEMA DE HUEVO PASTEURIZADA</t>
  </si>
  <si>
    <t>PRESERVANTE 1047S</t>
  </si>
  <si>
    <t>MP10043</t>
  </si>
  <si>
    <t>GELATINA PURA (PAQ:1 K)</t>
  </si>
  <si>
    <t>MAYCA</t>
  </si>
  <si>
    <t>Minutos</t>
  </si>
  <si>
    <t>1,- Mezclar todos los ingredientes del flan en el vaso de la licuadora y licuar por 3 minutos en velocidad alta hasta que todo se mezcle bien</t>
  </si>
  <si>
    <t>2,- Después de mezclar, dosifiquen en la olla.</t>
  </si>
  <si>
    <t>3,- Usar de inmediato y pesar 500gr de mezcla por cada molde, mezclar con un batidor cada 5 minutos para evitar que la condensada se separe.</t>
  </si>
  <si>
    <t xml:space="preserve">2, Se actualiaz procedimiento </t>
  </si>
  <si>
    <t>ESP-RE-POS-025</t>
  </si>
  <si>
    <t>01</t>
  </si>
  <si>
    <t>Caramelo para Flan 900g Spoon 907000012(SE00048)</t>
  </si>
  <si>
    <t>90100131</t>
  </si>
  <si>
    <t>SE00016</t>
  </si>
  <si>
    <t>EMPAQUE AZUCAR INDUSTRIAL</t>
  </si>
  <si>
    <t>VICTORIA</t>
  </si>
  <si>
    <t>Min.</t>
  </si>
  <si>
    <t>Und.</t>
  </si>
  <si>
    <t>1- colocar en la hornilla un sartén limpio, prender a llama media</t>
  </si>
  <si>
    <t>2- colocar el kilo de azúcar refinada y mover de vez en cuando hasta obtener que el azúcar se derrita por completo</t>
  </si>
  <si>
    <t>3- verter sobre los moldes a utilizar inmediatamente</t>
  </si>
  <si>
    <t>4- producto que se debe de manejar con sumo cuidado, peligroso una quemadura, no se guarda se aplica de inmediato</t>
  </si>
  <si>
    <t>ESP-RE-COCS-017</t>
  </si>
  <si>
    <t xml:space="preserve"> SE00005 - ALMIBAR</t>
  </si>
  <si>
    <t>Cocina</t>
  </si>
  <si>
    <t>AZUCAR BLANCO INDUSTRIAL KILO</t>
  </si>
  <si>
    <t>10100311</t>
  </si>
  <si>
    <t>MP10095</t>
  </si>
  <si>
    <t>CANELA EN ASTILLA</t>
  </si>
  <si>
    <t>PRIMA</t>
  </si>
  <si>
    <t>0810288</t>
  </si>
  <si>
    <t>MP10598</t>
  </si>
  <si>
    <t>JUGO DE NARANJA TB</t>
  </si>
  <si>
    <t>DOS PINOS</t>
  </si>
  <si>
    <t>1212410</t>
  </si>
  <si>
    <t>EM10259</t>
  </si>
  <si>
    <t>PLAST. AUTOAD 18 * 2000</t>
  </si>
  <si>
    <t>90</t>
  </si>
  <si>
    <t>Cm</t>
  </si>
  <si>
    <t>Porciones</t>
  </si>
  <si>
    <t>1 Colocar en una olla el agua, jugo de naranja, azúcar y mezclar bien. Añadir luego el preservante y disolverlo por completo.</t>
  </si>
  <si>
    <t>2 Llevar a fuego alto hasta obtener el herbor, dejar herbir unos 5 minutos.sacar la astilla de canela</t>
  </si>
  <si>
    <t>3 Despues de la cocción, retirar del fuego y colocar en un bote cubrir con plastico adhesivo y dejar enfirar. Guardar en Camaras de Refrige.</t>
  </si>
  <si>
    <t xml:space="preserve">Revision #2: Actualizacion del rendimiento de la receta. </t>
  </si>
  <si>
    <t>ESP-RE-BAS-027</t>
  </si>
  <si>
    <t xml:space="preserve"> SE00444 Batido Nucleo vainilla Dawn</t>
  </si>
  <si>
    <t>SE00443</t>
  </si>
  <si>
    <t>PREMEZCLA BATIDO NUCLEO VAINILLA DAWN</t>
  </si>
  <si>
    <t xml:space="preserve">HUEVO ENTERO PASTERI INNOVO ( CAJA: 10 K) </t>
  </si>
  <si>
    <t>MP10315</t>
  </si>
  <si>
    <t>PRESERVANTE MIXTO (UND:17 K)</t>
  </si>
  <si>
    <t>1, Colocar los liquidos en la batidora, posterior agregar los ingredientes secos</t>
  </si>
  <si>
    <t>2, Batir por 1 min en velocidad 1. Con paleta</t>
  </si>
  <si>
    <t>3, Batir 4 min en velocidad 3. con paleta</t>
  </si>
  <si>
    <t>ESP-RE-PRES-025</t>
  </si>
  <si>
    <t>SE00443 Premezcla Batido Nucleo Vainilla  Dawn</t>
  </si>
  <si>
    <t>Premezclas</t>
  </si>
  <si>
    <t>AZUCAR BLANCO INDUSTRIAL (SACO:50 K)</t>
  </si>
  <si>
    <t>LAICA</t>
  </si>
  <si>
    <t>MP10142</t>
  </si>
  <si>
    <t>CLARA DE HUEVO DESHIDRATADA</t>
  </si>
  <si>
    <t>MP10478</t>
  </si>
  <si>
    <t>HARINA SILVER CAKE</t>
  </si>
  <si>
    <t>FAHACASA</t>
  </si>
  <si>
    <t>MP10493</t>
  </si>
  <si>
    <t>COCENTRADO VAINILLA DAWN</t>
  </si>
  <si>
    <t>DAWN</t>
  </si>
  <si>
    <t>MP10481</t>
  </si>
  <si>
    <t>GOMA XANTANA</t>
  </si>
  <si>
    <t>MABAKER &amp; CHEF</t>
  </si>
  <si>
    <t>MP10494</t>
  </si>
  <si>
    <t>CMC</t>
  </si>
  <si>
    <t>UNIVERSAL DE ALIMENTOS</t>
  </si>
  <si>
    <t>MP10234</t>
  </si>
  <si>
    <t>LECHE POLVO INDUSTRIAL (SACO:25 KG)</t>
  </si>
  <si>
    <t>MP10085</t>
  </si>
  <si>
    <t>BICARBONATO DE SODIO (PAQ:2.5 K)</t>
  </si>
  <si>
    <t>MP10517</t>
  </si>
  <si>
    <t>ACTI EGG</t>
  </si>
  <si>
    <t>EM10013</t>
  </si>
  <si>
    <t>BOLSA 17x25 TRANSP KILO</t>
  </si>
  <si>
    <t>EM10133</t>
  </si>
  <si>
    <t>ETIQUETA ROJA LETRA ALERJENO (UND)</t>
  </si>
  <si>
    <t>EM10037</t>
  </si>
  <si>
    <t>BOLSA 8x12 TRANSPARENTE KILO</t>
  </si>
  <si>
    <t>1, En una bolsa 17x25 empacar el azucar. Etiquetar</t>
  </si>
  <si>
    <t>2, En una bolsa 17x25 empacar las harinas, concentrado,cmc, leche en polvo y la goma. Clara de huevo, acti egg. Etiquetar</t>
  </si>
  <si>
    <t>3, En una bolsa 8*12 pesar el preservante y el bicarbonato (se debe pesar justo antes de su uso)</t>
  </si>
  <si>
    <t>4, En una bolsa 8*12 pesar la clara</t>
  </si>
  <si>
    <t>ESP-RE-EMPS-048</t>
  </si>
  <si>
    <t>20100162(SE00340) Empaque Relleno de caramelo Spoon</t>
  </si>
  <si>
    <t>90100353</t>
  </si>
  <si>
    <t>SE00339</t>
  </si>
  <si>
    <t>RELLENO DE CARAMELO SPOON</t>
  </si>
  <si>
    <t>EM10307</t>
  </si>
  <si>
    <t>BOLSA MARMITA 14 x 20 (KILO)</t>
  </si>
  <si>
    <t>Bolsas</t>
  </si>
  <si>
    <t>1. Vaciar la marmita en bolsas de 4kg aprox.</t>
  </si>
  <si>
    <t>2. Amarrar la bolsa y etiquetar</t>
  </si>
  <si>
    <t>ESP-RE-COCS-054</t>
  </si>
  <si>
    <t>90100353(SE00339) Caramelo Spoon</t>
  </si>
  <si>
    <t>90100132</t>
  </si>
  <si>
    <t>SE00226</t>
  </si>
  <si>
    <t>EMPAQUE AZUCAR REFINO</t>
  </si>
  <si>
    <t>0310107</t>
  </si>
  <si>
    <t>MP10022</t>
  </si>
  <si>
    <t>LACTOCREMA GRANEL</t>
  </si>
  <si>
    <t>tanda</t>
  </si>
  <si>
    <r>
      <t>1.</t>
    </r>
    <r>
      <rPr>
        <sz val="11"/>
        <rFont val="Times New Roman"/>
        <family val="1"/>
      </rPr>
      <t>Colcoar el azucar en la marmita, encender en programacion "caramelo"</t>
    </r>
  </si>
  <si>
    <r>
      <t>2.</t>
    </r>
    <r>
      <rPr>
        <sz val="11"/>
        <rFont val="Times New Roman"/>
        <family val="1"/>
      </rPr>
      <t xml:space="preserve"> Cuando la marmita lo indique, agregar la lactocrema en cubos.</t>
    </r>
  </si>
  <si>
    <t>3. Cuando la marmita lo indique agregar la leche.</t>
  </si>
  <si>
    <t xml:space="preserve">4. Cocinar hasta que se termine el programa, cuidar que no se riegue. </t>
  </si>
  <si>
    <t>5. Preparase para el proceso de empaque.</t>
  </si>
  <si>
    <t>ESP-RE-POF-057</t>
  </si>
  <si>
    <t>Mezcla Sirope de Dulce de Leche(5350g) 910000006(SE00034)</t>
  </si>
  <si>
    <t>Mariela Barrantes Sánchez , Chef</t>
  </si>
  <si>
    <t>11400066</t>
  </si>
  <si>
    <t>MP10007</t>
  </si>
  <si>
    <t xml:space="preserve">MANJAR DE LECHE CONDENSADA </t>
  </si>
  <si>
    <t>1950765</t>
  </si>
  <si>
    <t>0702012</t>
  </si>
  <si>
    <t>EM10005</t>
  </si>
  <si>
    <t>ETIQ.FECHA VENCIMIENTO</t>
  </si>
  <si>
    <t>Unid</t>
  </si>
  <si>
    <t>1950705</t>
  </si>
  <si>
    <t xml:space="preserve">BOLSA 8x12 TRANSP </t>
  </si>
  <si>
    <t>1, Mezclar con ayuda de una espatula de goma, el manjar con el agua.</t>
  </si>
  <si>
    <t xml:space="preserve">2, Guardarlo en bolsa 8x12 y etiquetar. </t>
  </si>
  <si>
    <t>3, Usar inmediatamente o si no, guardar en camara de refigeración.</t>
  </si>
  <si>
    <t>Cuenta con 7 dias de vida util despues de su elaboración, guardar los sobrantes en bolsasa plasticas en refigeración.</t>
  </si>
  <si>
    <t xml:space="preserve">2, Actualización datos de receta, procedimiento y pesos finales. </t>
  </si>
  <si>
    <t xml:space="preserve">3, Se actualizan datos de ingredientes </t>
  </si>
  <si>
    <t xml:space="preserve">4, Se actualiza dato de vida util </t>
  </si>
  <si>
    <t>ESP-RE-DES-020</t>
  </si>
  <si>
    <t>Crema de Dulce de Leche(24500g) SE00032</t>
  </si>
  <si>
    <t>MP10165</t>
  </si>
  <si>
    <t>CREMA BETTER DULCE LECHE RICH (UND:4 K)</t>
  </si>
  <si>
    <t>4 GALON</t>
  </si>
  <si>
    <t>MP10048</t>
  </si>
  <si>
    <t>CREMA PRESTIGE GRAND (UND:4 K)</t>
  </si>
  <si>
    <t>2 GALON</t>
  </si>
  <si>
    <t>1.- Colocar en la top cream, la crema de dulce de leche y la prestige y el agua con el preservante. (Cumpliendo un temperatura de 5° liquida)</t>
  </si>
  <si>
    <t>2.- Batir por 21 minutos.</t>
  </si>
  <si>
    <t xml:space="preserve">3,- Una vez lista a una temperatura de 18° batida, retirar, etiquetar y guardar hasta que sean usadas. </t>
  </si>
  <si>
    <t>2, Actualización tiempo de preparación y procedimiento</t>
  </si>
  <si>
    <t>SE00784 Crema Ron</t>
  </si>
  <si>
    <t>ESP-RE-DES-090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</si>
</sst>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97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name val="Arial"/>
      <family val="2"/>
    </font>
    <font>
      <sz val="12"/>
      <name val="Century Gothic"/>
      <family val="2"/>
    </font>
    <font>
      <b/>
      <sz val="12"/>
      <color rgb="FFFF0000"/>
      <name val="Arial"/>
      <family val="2"/>
    </font>
    <font>
      <sz val="12"/>
      <color theme="1"/>
      <name val="Century Gothic"/>
      <family val="2"/>
    </font>
    <font>
      <sz val="12"/>
      <color indexed="8"/>
      <name val="Century Gothic"/>
      <family val="2"/>
    </font>
    <font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2"/>
      <color rgb="FF000000"/>
      <name val="Century Gothic"/>
      <family val="2"/>
    </font>
    <font>
      <sz val="12"/>
      <color rgb="FF000000"/>
      <name val="Aptos Narrow"/>
      <family val="2"/>
      <scheme val="minor"/>
    </font>
    <font>
      <b/>
      <i/>
      <sz val="14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Aptos Narrow"/>
      <family val="2"/>
      <scheme val="minor"/>
    </font>
    <font>
      <sz val="14"/>
      <color theme="1"/>
      <name val="Century Gothic"/>
      <family val="2"/>
    </font>
    <font>
      <sz val="14"/>
      <color indexed="8"/>
      <name val="Times New Roman"/>
      <family val="1"/>
    </font>
    <font>
      <sz val="14"/>
      <color indexed="8"/>
      <name val="Century Gothic"/>
      <family val="2"/>
    </font>
    <font>
      <sz val="10"/>
      <color theme="1"/>
      <name val="Century Gothic"/>
      <family val="2"/>
    </font>
    <font>
      <b/>
      <i/>
      <sz val="16"/>
      <name val="Century Gothic"/>
      <family val="2"/>
    </font>
    <font>
      <b/>
      <sz val="16"/>
      <color indexed="8"/>
      <name val="Arial"/>
      <family val="2"/>
    </font>
    <font>
      <sz val="9.85"/>
      <color indexed="8"/>
      <name val="Times New Roman"/>
      <family val="1"/>
    </font>
    <font>
      <sz val="11"/>
      <color indexed="8"/>
      <name val="Arial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name val="Calibri"/>
      <family val="2"/>
    </font>
    <font>
      <sz val="9.85"/>
      <color indexed="8"/>
      <name val="Arial"/>
      <family val="2"/>
    </font>
    <font>
      <sz val="11"/>
      <color theme="1"/>
      <name val="Segoe UI"/>
      <family val="2"/>
    </font>
    <font>
      <sz val="15"/>
      <name val="Century Gothic"/>
      <family val="2"/>
    </font>
    <font>
      <b/>
      <sz val="15"/>
      <name val="Century Gothic"/>
      <family val="2"/>
    </font>
    <font>
      <b/>
      <sz val="18"/>
      <name val="Century Gothic"/>
      <family val="2"/>
    </font>
    <font>
      <b/>
      <sz val="15"/>
      <name val="Arial"/>
      <family val="2"/>
    </font>
    <font>
      <b/>
      <sz val="15"/>
      <color rgb="FFFF0000"/>
      <name val="Arial"/>
      <family val="2"/>
    </font>
    <font>
      <b/>
      <sz val="15"/>
      <name val="Times New Roman"/>
      <family val="1"/>
    </font>
    <font>
      <b/>
      <sz val="15"/>
      <color indexed="8"/>
      <name val="Times New Roman"/>
      <family val="1"/>
    </font>
    <font>
      <sz val="15"/>
      <name val="Times New Roman"/>
      <family val="1"/>
    </font>
    <font>
      <sz val="15"/>
      <color theme="1"/>
      <name val="Century Gothic"/>
      <family val="2"/>
    </font>
    <font>
      <sz val="15"/>
      <color rgb="FF000000"/>
      <name val="Century Gothic"/>
      <family val="2"/>
    </font>
    <font>
      <sz val="15"/>
      <name val="Arial"/>
      <family val="2"/>
    </font>
    <font>
      <sz val="15"/>
      <color indexed="8"/>
      <name val="Century Gothic"/>
      <family val="2"/>
    </font>
    <font>
      <sz val="16"/>
      <color theme="1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1" fontId="10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10" fillId="0" borderId="0"/>
  </cellStyleXfs>
  <cellXfs count="1181">
    <xf numFmtId="0" fontId="0" fillId="0" borderId="0" xfId="0"/>
    <xf numFmtId="0" fontId="4" fillId="2" borderId="4" xfId="1" applyFont="1" applyFill="1" applyBorder="1" applyAlignment="1">
      <alignment horizontal="center"/>
    </xf>
    <xf numFmtId="49" fontId="4" fillId="2" borderId="8" xfId="1" applyNumberFormat="1" applyFont="1" applyFill="1" applyBorder="1" applyAlignment="1">
      <alignment horizontal="center"/>
    </xf>
    <xf numFmtId="0" fontId="0" fillId="0" borderId="7" xfId="0" applyBorder="1"/>
    <xf numFmtId="0" fontId="7" fillId="0" borderId="7" xfId="0" applyFont="1" applyBorder="1"/>
    <xf numFmtId="16" fontId="7" fillId="0" borderId="7" xfId="2" applyNumberFormat="1" applyFont="1" applyBorder="1" applyAlignment="1">
      <alignment horizontal="center"/>
    </xf>
    <xf numFmtId="1" fontId="7" fillId="0" borderId="7" xfId="2" applyNumberFormat="1" applyFont="1" applyBorder="1" applyAlignment="1">
      <alignment horizontal="center"/>
    </xf>
    <xf numFmtId="1" fontId="7" fillId="0" borderId="7" xfId="2" applyNumberFormat="1" applyFont="1" applyBorder="1" applyAlignment="1">
      <alignment horizontal="center" wrapText="1"/>
    </xf>
    <xf numFmtId="0" fontId="8" fillId="5" borderId="14" xfId="2" applyFont="1" applyFill="1" applyBorder="1" applyAlignment="1">
      <alignment horizontal="center"/>
    </xf>
    <xf numFmtId="1" fontId="7" fillId="0" borderId="13" xfId="2" applyNumberFormat="1" applyFont="1" applyBorder="1" applyAlignment="1">
      <alignment horizontal="center"/>
    </xf>
    <xf numFmtId="0" fontId="7" fillId="0" borderId="13" xfId="2" applyFont="1" applyBorder="1" applyAlignment="1">
      <alignment horizontal="center"/>
    </xf>
    <xf numFmtId="1" fontId="0" fillId="0" borderId="0" xfId="0" applyNumberFormat="1"/>
    <xf numFmtId="0" fontId="7" fillId="0" borderId="7" xfId="0" applyFont="1" applyBorder="1" applyAlignment="1">
      <alignment horizontal="center"/>
    </xf>
    <xf numFmtId="0" fontId="6" fillId="0" borderId="0" xfId="2"/>
    <xf numFmtId="0" fontId="7" fillId="0" borderId="7" xfId="2" applyFont="1" applyBorder="1" applyAlignment="1">
      <alignment horizontal="center"/>
    </xf>
    <xf numFmtId="0" fontId="7" fillId="0" borderId="8" xfId="2" applyFont="1" applyBorder="1" applyAlignment="1">
      <alignment horizontal="center"/>
    </xf>
    <xf numFmtId="49" fontId="9" fillId="2" borderId="5" xfId="2" applyNumberFormat="1" applyFont="1" applyFill="1" applyBorder="1" applyAlignment="1">
      <alignment horizontal="center" vertical="center"/>
    </xf>
    <xf numFmtId="49" fontId="9" fillId="2" borderId="0" xfId="2" applyNumberFormat="1" applyFont="1" applyFill="1" applyAlignment="1">
      <alignment horizontal="center" vertical="center"/>
    </xf>
    <xf numFmtId="0" fontId="7" fillId="0" borderId="0" xfId="2" applyFont="1"/>
    <xf numFmtId="1" fontId="7" fillId="2" borderId="0" xfId="2" applyNumberFormat="1" applyFont="1" applyFill="1" applyAlignment="1">
      <alignment horizontal="center"/>
    </xf>
    <xf numFmtId="164" fontId="7" fillId="2" borderId="0" xfId="2" applyNumberFormat="1" applyFont="1" applyFill="1" applyAlignment="1">
      <alignment horizontal="center" wrapText="1"/>
    </xf>
    <xf numFmtId="0" fontId="7" fillId="2" borderId="24" xfId="2" applyFont="1" applyFill="1" applyBorder="1" applyAlignment="1">
      <alignment horizontal="center"/>
    </xf>
    <xf numFmtId="0" fontId="7" fillId="4" borderId="25" xfId="2" applyFont="1" applyFill="1" applyBorder="1" applyAlignment="1">
      <alignment horizontal="center"/>
    </xf>
    <xf numFmtId="0" fontId="7" fillId="4" borderId="26" xfId="2" applyFont="1" applyFill="1" applyBorder="1" applyAlignment="1">
      <alignment horizontal="center"/>
    </xf>
    <xf numFmtId="0" fontId="7" fillId="4" borderId="26" xfId="2" applyFont="1" applyFill="1" applyBorder="1"/>
    <xf numFmtId="0" fontId="8" fillId="4" borderId="26" xfId="2" applyFont="1" applyFill="1" applyBorder="1" applyAlignment="1">
      <alignment horizontal="center"/>
    </xf>
    <xf numFmtId="1" fontId="8" fillId="4" borderId="26" xfId="2" applyNumberFormat="1" applyFont="1" applyFill="1" applyBorder="1" applyAlignment="1">
      <alignment horizontal="center"/>
    </xf>
    <xf numFmtId="164" fontId="7" fillId="4" borderId="26" xfId="2" applyNumberFormat="1" applyFont="1" applyFill="1" applyBorder="1" applyAlignment="1">
      <alignment horizontal="center" wrapText="1"/>
    </xf>
    <xf numFmtId="0" fontId="7" fillId="4" borderId="27" xfId="2" applyFont="1" applyFill="1" applyBorder="1" applyAlignment="1">
      <alignment horizontal="center"/>
    </xf>
    <xf numFmtId="0" fontId="7" fillId="0" borderId="31" xfId="2" applyFont="1" applyBorder="1" applyAlignment="1">
      <alignment horizontal="center"/>
    </xf>
    <xf numFmtId="0" fontId="8" fillId="0" borderId="7" xfId="2" applyFont="1" applyBorder="1" applyAlignment="1">
      <alignment horizontal="center"/>
    </xf>
    <xf numFmtId="1" fontId="7" fillId="0" borderId="16" xfId="2" applyNumberFormat="1" applyFont="1" applyBorder="1" applyAlignment="1">
      <alignment horizontal="center"/>
    </xf>
    <xf numFmtId="0" fontId="7" fillId="0" borderId="16" xfId="2" applyFont="1" applyBorder="1" applyAlignment="1">
      <alignment horizontal="center"/>
    </xf>
    <xf numFmtId="0" fontId="13" fillId="2" borderId="3" xfId="1" applyFont="1" applyFill="1" applyBorder="1" applyAlignment="1">
      <alignment horizontal="right"/>
    </xf>
    <xf numFmtId="0" fontId="11" fillId="2" borderId="4" xfId="1" applyFont="1" applyFill="1" applyBorder="1" applyAlignment="1">
      <alignment horizontal="center"/>
    </xf>
    <xf numFmtId="0" fontId="13" fillId="2" borderId="7" xfId="1" applyFont="1" applyFill="1" applyBorder="1" applyAlignment="1">
      <alignment horizontal="right"/>
    </xf>
    <xf numFmtId="49" fontId="11" fillId="2" borderId="8" xfId="1" applyNumberFormat="1" applyFont="1" applyFill="1" applyBorder="1" applyAlignment="1">
      <alignment horizontal="center"/>
    </xf>
    <xf numFmtId="0" fontId="11" fillId="2" borderId="13" xfId="1" applyFont="1" applyFill="1" applyBorder="1" applyAlignment="1">
      <alignment horizontal="right"/>
    </xf>
    <xf numFmtId="0" fontId="11" fillId="2" borderId="7" xfId="1" applyFont="1" applyFill="1" applyBorder="1" applyAlignment="1">
      <alignment horizontal="right"/>
    </xf>
    <xf numFmtId="14" fontId="15" fillId="2" borderId="0" xfId="1" applyNumberFormat="1" applyFont="1" applyFill="1" applyAlignment="1">
      <alignment horizontal="center" vertical="center" wrapText="1"/>
    </xf>
    <xf numFmtId="0" fontId="13" fillId="4" borderId="4" xfId="2" applyFont="1" applyFill="1" applyBorder="1" applyAlignment="1">
      <alignment horizontal="center" vertical="center" wrapText="1"/>
    </xf>
    <xf numFmtId="1" fontId="13" fillId="4" borderId="16" xfId="2" applyNumberFormat="1" applyFont="1" applyFill="1" applyBorder="1" applyAlignment="1">
      <alignment horizontal="center"/>
    </xf>
    <xf numFmtId="1" fontId="13" fillId="4" borderId="16" xfId="2" applyNumberFormat="1" applyFont="1" applyFill="1" applyBorder="1" applyAlignment="1">
      <alignment horizontal="center" wrapText="1"/>
    </xf>
    <xf numFmtId="0" fontId="13" fillId="4" borderId="17" xfId="2" applyFont="1" applyFill="1" applyBorder="1" applyAlignment="1">
      <alignment horizontal="center"/>
    </xf>
    <xf numFmtId="0" fontId="16" fillId="0" borderId="23" xfId="2" applyFont="1" applyBorder="1" applyAlignment="1">
      <alignment horizontal="center" vertical="center"/>
    </xf>
    <xf numFmtId="0" fontId="16" fillId="0" borderId="22" xfId="2" applyFont="1" applyBorder="1" applyAlignment="1">
      <alignment horizontal="center" vertical="center"/>
    </xf>
    <xf numFmtId="0" fontId="17" fillId="0" borderId="7" xfId="2" applyFont="1" applyBorder="1" applyAlignment="1">
      <alignment vertical="center"/>
    </xf>
    <xf numFmtId="0" fontId="16" fillId="0" borderId="7" xfId="2" applyFont="1" applyBorder="1" applyAlignment="1">
      <alignment horizontal="center" vertical="center"/>
    </xf>
    <xf numFmtId="1" fontId="16" fillId="0" borderId="7" xfId="2" applyNumberFormat="1" applyFont="1" applyBorder="1" applyAlignment="1">
      <alignment horizontal="center"/>
    </xf>
    <xf numFmtId="1" fontId="16" fillId="0" borderId="7" xfId="2" applyNumberFormat="1" applyFont="1" applyBorder="1" applyAlignment="1">
      <alignment horizontal="center" wrapText="1"/>
    </xf>
    <xf numFmtId="0" fontId="18" fillId="0" borderId="8" xfId="2" applyFont="1" applyBorder="1" applyAlignment="1">
      <alignment horizontal="center"/>
    </xf>
    <xf numFmtId="1" fontId="0" fillId="0" borderId="7" xfId="0" applyNumberFormat="1" applyBorder="1"/>
    <xf numFmtId="0" fontId="0" fillId="0" borderId="7" xfId="0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wrapText="1"/>
    </xf>
    <xf numFmtId="12" fontId="11" fillId="0" borderId="13" xfId="0" applyNumberFormat="1" applyFont="1" applyBorder="1" applyAlignment="1">
      <alignment horizontal="center"/>
    </xf>
    <xf numFmtId="0" fontId="11" fillId="0" borderId="7" xfId="0" applyFont="1" applyBorder="1" applyAlignment="1">
      <alignment horizontal="left" vertical="center"/>
    </xf>
    <xf numFmtId="0" fontId="19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49" fontId="18" fillId="0" borderId="23" xfId="2" applyNumberFormat="1" applyFont="1" applyBorder="1" applyAlignment="1">
      <alignment horizontal="center"/>
    </xf>
    <xf numFmtId="49" fontId="18" fillId="0" borderId="22" xfId="2" applyNumberFormat="1" applyFont="1" applyBorder="1" applyAlignment="1">
      <alignment horizontal="center"/>
    </xf>
    <xf numFmtId="0" fontId="20" fillId="5" borderId="7" xfId="2" applyFont="1" applyFill="1" applyBorder="1" applyAlignment="1">
      <alignment horizontal="left"/>
    </xf>
    <xf numFmtId="0" fontId="11" fillId="5" borderId="7" xfId="2" applyFont="1" applyFill="1" applyBorder="1" applyAlignment="1">
      <alignment horizontal="center"/>
    </xf>
    <xf numFmtId="1" fontId="18" fillId="0" borderId="7" xfId="2" applyNumberFormat="1" applyFont="1" applyBorder="1" applyAlignment="1">
      <alignment horizontal="center" wrapText="1"/>
    </xf>
    <xf numFmtId="1" fontId="11" fillId="0" borderId="7" xfId="0" applyNumberFormat="1" applyFont="1" applyBorder="1" applyAlignment="1">
      <alignment horizontal="center"/>
    </xf>
    <xf numFmtId="49" fontId="16" fillId="0" borderId="33" xfId="2" applyNumberFormat="1" applyFont="1" applyBorder="1" applyAlignment="1">
      <alignment horizontal="center"/>
    </xf>
    <xf numFmtId="49" fontId="16" fillId="0" borderId="34" xfId="2" applyNumberFormat="1" applyFont="1" applyBorder="1" applyAlignment="1">
      <alignment horizontal="center"/>
    </xf>
    <xf numFmtId="0" fontId="21" fillId="5" borderId="7" xfId="2" applyFont="1" applyFill="1" applyBorder="1" applyAlignment="1">
      <alignment vertical="center"/>
    </xf>
    <xf numFmtId="0" fontId="16" fillId="0" borderId="22" xfId="2" applyFont="1" applyBorder="1" applyAlignment="1">
      <alignment horizontal="center"/>
    </xf>
    <xf numFmtId="165" fontId="16" fillId="0" borderId="7" xfId="2" applyNumberFormat="1" applyFont="1" applyBorder="1" applyAlignment="1">
      <alignment horizontal="center"/>
    </xf>
    <xf numFmtId="49" fontId="18" fillId="0" borderId="23" xfId="0" applyNumberFormat="1" applyFont="1" applyBorder="1" applyAlignment="1">
      <alignment horizontal="center"/>
    </xf>
    <xf numFmtId="49" fontId="18" fillId="0" borderId="22" xfId="0" applyNumberFormat="1" applyFont="1" applyBorder="1" applyAlignment="1">
      <alignment horizontal="center"/>
    </xf>
    <xf numFmtId="49" fontId="22" fillId="0" borderId="7" xfId="0" applyNumberFormat="1" applyFont="1" applyBorder="1"/>
    <xf numFmtId="0" fontId="18" fillId="0" borderId="7" xfId="0" applyFont="1" applyBorder="1" applyAlignment="1">
      <alignment horizontal="center"/>
    </xf>
    <xf numFmtId="1" fontId="18" fillId="0" borderId="7" xfId="0" applyNumberFormat="1" applyFont="1" applyBorder="1" applyAlignment="1">
      <alignment horizontal="center"/>
    </xf>
    <xf numFmtId="1" fontId="18" fillId="0" borderId="7" xfId="0" applyNumberFormat="1" applyFont="1" applyBorder="1" applyAlignment="1">
      <alignment horizontal="center" wrapText="1"/>
    </xf>
    <xf numFmtId="166" fontId="13" fillId="5" borderId="7" xfId="4" applyNumberFormat="1" applyFont="1" applyFill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4" fillId="0" borderId="7" xfId="0" applyFont="1" applyBorder="1"/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1" fontId="18" fillId="0" borderId="7" xfId="2" applyNumberFormat="1" applyFont="1" applyBorder="1" applyAlignment="1">
      <alignment horizontal="center"/>
    </xf>
    <xf numFmtId="49" fontId="25" fillId="2" borderId="5" xfId="2" applyNumberFormat="1" applyFont="1" applyFill="1" applyBorder="1" applyAlignment="1">
      <alignment horizontal="center" vertical="center"/>
    </xf>
    <xf numFmtId="49" fontId="25" fillId="2" borderId="0" xfId="2" applyNumberFormat="1" applyFont="1" applyFill="1" applyAlignment="1">
      <alignment horizontal="center" vertical="center"/>
    </xf>
    <xf numFmtId="0" fontId="11" fillId="2" borderId="0" xfId="2" applyFont="1" applyFill="1"/>
    <xf numFmtId="1" fontId="11" fillId="2" borderId="0" xfId="2" applyNumberFormat="1" applyFont="1" applyFill="1" applyAlignment="1">
      <alignment horizontal="center"/>
    </xf>
    <xf numFmtId="164" fontId="11" fillId="2" borderId="0" xfId="2" applyNumberFormat="1" applyFont="1" applyFill="1" applyAlignment="1">
      <alignment horizontal="center" wrapText="1"/>
    </xf>
    <xf numFmtId="0" fontId="11" fillId="2" borderId="24" xfId="2" applyFont="1" applyFill="1" applyBorder="1" applyAlignment="1">
      <alignment horizontal="center"/>
    </xf>
    <xf numFmtId="0" fontId="11" fillId="4" borderId="25" xfId="2" applyFont="1" applyFill="1" applyBorder="1" applyAlignment="1">
      <alignment horizontal="center"/>
    </xf>
    <xf numFmtId="0" fontId="11" fillId="4" borderId="26" xfId="2" applyFont="1" applyFill="1" applyBorder="1" applyAlignment="1">
      <alignment horizontal="center"/>
    </xf>
    <xf numFmtId="0" fontId="11" fillId="4" borderId="26" xfId="2" applyFont="1" applyFill="1" applyBorder="1"/>
    <xf numFmtId="0" fontId="13" fillId="4" borderId="26" xfId="2" applyFont="1" applyFill="1" applyBorder="1" applyAlignment="1">
      <alignment horizontal="center"/>
    </xf>
    <xf numFmtId="1" fontId="13" fillId="4" borderId="26" xfId="2" applyNumberFormat="1" applyFont="1" applyFill="1" applyBorder="1" applyAlignment="1">
      <alignment horizontal="center"/>
    </xf>
    <xf numFmtId="164" fontId="11" fillId="4" borderId="26" xfId="2" applyNumberFormat="1" applyFont="1" applyFill="1" applyBorder="1" applyAlignment="1">
      <alignment horizontal="center" wrapText="1"/>
    </xf>
    <xf numFmtId="0" fontId="11" fillId="4" borderId="27" xfId="2" applyFont="1" applyFill="1" applyBorder="1" applyAlignment="1">
      <alignment horizontal="center"/>
    </xf>
    <xf numFmtId="1" fontId="13" fillId="0" borderId="13" xfId="0" applyNumberFormat="1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1" fontId="11" fillId="0" borderId="16" xfId="0" applyNumberFormat="1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27" fillId="2" borderId="3" xfId="1" applyFont="1" applyFill="1" applyBorder="1" applyAlignment="1">
      <alignment horizontal="right"/>
    </xf>
    <xf numFmtId="0" fontId="27" fillId="2" borderId="7" xfId="1" applyFont="1" applyFill="1" applyBorder="1" applyAlignment="1">
      <alignment horizontal="right"/>
    </xf>
    <xf numFmtId="0" fontId="6" fillId="2" borderId="7" xfId="1" applyFont="1" applyFill="1" applyBorder="1" applyAlignment="1">
      <alignment horizontal="right"/>
    </xf>
    <xf numFmtId="0" fontId="6" fillId="2" borderId="16" xfId="1" applyFont="1" applyFill="1" applyBorder="1" applyAlignment="1">
      <alignment horizontal="right"/>
    </xf>
    <xf numFmtId="1" fontId="27" fillId="4" borderId="16" xfId="2" applyNumberFormat="1" applyFont="1" applyFill="1" applyBorder="1" applyAlignment="1">
      <alignment horizontal="center"/>
    </xf>
    <xf numFmtId="1" fontId="27" fillId="4" borderId="16" xfId="2" applyNumberFormat="1" applyFont="1" applyFill="1" applyBorder="1" applyAlignment="1">
      <alignment horizontal="center" wrapText="1"/>
    </xf>
    <xf numFmtId="0" fontId="27" fillId="4" borderId="17" xfId="2" applyFont="1" applyFill="1" applyBorder="1" applyAlignment="1">
      <alignment horizontal="center"/>
    </xf>
    <xf numFmtId="0" fontId="6" fillId="0" borderId="13" xfId="2" applyBorder="1" applyAlignment="1">
      <alignment horizontal="center"/>
    </xf>
    <xf numFmtId="0" fontId="6" fillId="0" borderId="7" xfId="2" applyBorder="1" applyAlignment="1">
      <alignment horizontal="center"/>
    </xf>
    <xf numFmtId="0" fontId="12" fillId="2" borderId="3" xfId="1" applyFont="1" applyFill="1" applyBorder="1" applyAlignment="1">
      <alignment horizontal="right"/>
    </xf>
    <xf numFmtId="0" fontId="31" fillId="2" borderId="4" xfId="1" applyFont="1" applyFill="1" applyBorder="1" applyAlignment="1">
      <alignment horizontal="center"/>
    </xf>
    <xf numFmtId="0" fontId="12" fillId="2" borderId="7" xfId="1" applyFont="1" applyFill="1" applyBorder="1" applyAlignment="1">
      <alignment horizontal="right"/>
    </xf>
    <xf numFmtId="49" fontId="31" fillId="2" borderId="8" xfId="1" applyNumberFormat="1" applyFont="1" applyFill="1" applyBorder="1" applyAlignment="1">
      <alignment horizontal="center"/>
    </xf>
    <xf numFmtId="0" fontId="31" fillId="2" borderId="13" xfId="1" applyFont="1" applyFill="1" applyBorder="1" applyAlignment="1">
      <alignment horizontal="right"/>
    </xf>
    <xf numFmtId="0" fontId="31" fillId="2" borderId="7" xfId="1" applyFont="1" applyFill="1" applyBorder="1" applyAlignment="1">
      <alignment horizontal="right"/>
    </xf>
    <xf numFmtId="14" fontId="32" fillId="2" borderId="0" xfId="1" applyNumberFormat="1" applyFont="1" applyFill="1" applyAlignment="1">
      <alignment horizontal="center" vertical="center" wrapText="1"/>
    </xf>
    <xf numFmtId="0" fontId="12" fillId="4" borderId="4" xfId="2" applyFont="1" applyFill="1" applyBorder="1" applyAlignment="1">
      <alignment horizontal="center" vertical="center" wrapText="1"/>
    </xf>
    <xf numFmtId="1" fontId="12" fillId="4" borderId="16" xfId="2" applyNumberFormat="1" applyFont="1" applyFill="1" applyBorder="1" applyAlignment="1">
      <alignment horizontal="center"/>
    </xf>
    <xf numFmtId="1" fontId="12" fillId="4" borderId="16" xfId="2" applyNumberFormat="1" applyFont="1" applyFill="1" applyBorder="1" applyAlignment="1">
      <alignment horizontal="center" wrapText="1"/>
    </xf>
    <xf numFmtId="0" fontId="12" fillId="4" borderId="17" xfId="2" applyFont="1" applyFill="1" applyBorder="1" applyAlignment="1">
      <alignment horizontal="center"/>
    </xf>
    <xf numFmtId="0" fontId="20" fillId="0" borderId="23" xfId="2" applyFont="1" applyBorder="1" applyAlignment="1">
      <alignment horizontal="center" vertical="center"/>
    </xf>
    <xf numFmtId="0" fontId="20" fillId="0" borderId="22" xfId="2" applyFont="1" applyBorder="1" applyAlignment="1">
      <alignment horizontal="center" vertical="center"/>
    </xf>
    <xf numFmtId="0" fontId="21" fillId="0" borderId="7" xfId="2" applyFont="1" applyBorder="1" applyAlignment="1">
      <alignment vertical="center"/>
    </xf>
    <xf numFmtId="0" fontId="20" fillId="0" borderId="7" xfId="2" applyFont="1" applyBorder="1" applyAlignment="1">
      <alignment horizontal="center" vertical="center"/>
    </xf>
    <xf numFmtId="1" fontId="20" fillId="0" borderId="7" xfId="2" applyNumberFormat="1" applyFont="1" applyBorder="1" applyAlignment="1">
      <alignment horizontal="center"/>
    </xf>
    <xf numFmtId="1" fontId="20" fillId="0" borderId="7" xfId="2" applyNumberFormat="1" applyFont="1" applyBorder="1" applyAlignment="1">
      <alignment horizontal="center" wrapText="1"/>
    </xf>
    <xf numFmtId="0" fontId="19" fillId="0" borderId="8" xfId="2" applyFont="1" applyBorder="1" applyAlignment="1">
      <alignment horizontal="center"/>
    </xf>
    <xf numFmtId="1" fontId="19" fillId="0" borderId="7" xfId="2" applyNumberFormat="1" applyFont="1" applyBorder="1" applyAlignment="1">
      <alignment horizontal="center" wrapText="1"/>
    </xf>
    <xf numFmtId="0" fontId="31" fillId="0" borderId="7" xfId="0" applyFont="1" applyBorder="1" applyAlignment="1">
      <alignment horizontal="center"/>
    </xf>
    <xf numFmtId="0" fontId="19" fillId="0" borderId="7" xfId="2" applyFont="1" applyBorder="1" applyAlignment="1">
      <alignment horizontal="center"/>
    </xf>
    <xf numFmtId="49" fontId="19" fillId="0" borderId="23" xfId="2" applyNumberFormat="1" applyFont="1" applyBorder="1" applyAlignment="1">
      <alignment horizontal="center"/>
    </xf>
    <xf numFmtId="49" fontId="19" fillId="0" borderId="22" xfId="2" applyNumberFormat="1" applyFont="1" applyBorder="1" applyAlignment="1">
      <alignment horizontal="center"/>
    </xf>
    <xf numFmtId="165" fontId="19" fillId="0" borderId="7" xfId="2" applyNumberFormat="1" applyFont="1" applyBorder="1" applyAlignment="1">
      <alignment horizontal="center"/>
    </xf>
    <xf numFmtId="0" fontId="33" fillId="5" borderId="23" xfId="0" applyFont="1" applyFill="1" applyBorder="1" applyAlignment="1">
      <alignment horizontal="center"/>
    </xf>
    <xf numFmtId="0" fontId="33" fillId="5" borderId="30" xfId="0" applyFont="1" applyFill="1" applyBorder="1" applyAlignment="1">
      <alignment horizontal="center"/>
    </xf>
    <xf numFmtId="0" fontId="33" fillId="5" borderId="13" xfId="0" applyFont="1" applyFill="1" applyBorder="1"/>
    <xf numFmtId="0" fontId="31" fillId="5" borderId="22" xfId="0" applyFont="1" applyFill="1" applyBorder="1" applyAlignment="1">
      <alignment horizontal="center"/>
    </xf>
    <xf numFmtId="1" fontId="31" fillId="5" borderId="13" xfId="0" applyNumberFormat="1" applyFont="1" applyFill="1" applyBorder="1" applyAlignment="1">
      <alignment horizontal="center"/>
    </xf>
    <xf numFmtId="1" fontId="31" fillId="5" borderId="13" xfId="0" applyNumberFormat="1" applyFont="1" applyFill="1" applyBorder="1" applyAlignment="1">
      <alignment horizontal="center" wrapText="1"/>
    </xf>
    <xf numFmtId="0" fontId="1" fillId="0" borderId="0" xfId="0" applyFont="1"/>
    <xf numFmtId="1" fontId="31" fillId="0" borderId="13" xfId="0" applyNumberFormat="1" applyFont="1" applyBorder="1" applyAlignment="1">
      <alignment horizontal="center"/>
    </xf>
    <xf numFmtId="1" fontId="31" fillId="0" borderId="7" xfId="0" applyNumberFormat="1" applyFont="1" applyBorder="1" applyAlignment="1">
      <alignment horizontal="center"/>
    </xf>
    <xf numFmtId="49" fontId="20" fillId="0" borderId="33" xfId="2" applyNumberFormat="1" applyFont="1" applyBorder="1" applyAlignment="1">
      <alignment horizontal="center"/>
    </xf>
    <xf numFmtId="49" fontId="20" fillId="0" borderId="34" xfId="2" applyNumberFormat="1" applyFont="1" applyBorder="1" applyAlignment="1">
      <alignment horizontal="center"/>
    </xf>
    <xf numFmtId="0" fontId="20" fillId="0" borderId="22" xfId="2" applyFont="1" applyBorder="1" applyAlignment="1">
      <alignment horizontal="center"/>
    </xf>
    <xf numFmtId="165" fontId="20" fillId="0" borderId="7" xfId="2" applyNumberFormat="1" applyFont="1" applyBorder="1" applyAlignment="1">
      <alignment horizontal="center"/>
    </xf>
    <xf numFmtId="1" fontId="19" fillId="0" borderId="7" xfId="0" applyNumberFormat="1" applyFont="1" applyBorder="1" applyAlignment="1">
      <alignment horizontal="center"/>
    </xf>
    <xf numFmtId="1" fontId="19" fillId="0" borderId="7" xfId="0" applyNumberFormat="1" applyFont="1" applyBorder="1" applyAlignment="1">
      <alignment horizontal="center" wrapText="1"/>
    </xf>
    <xf numFmtId="166" fontId="12" fillId="5" borderId="7" xfId="4" applyNumberFormat="1" applyFont="1" applyFill="1" applyBorder="1" applyAlignment="1">
      <alignment horizontal="center"/>
    </xf>
    <xf numFmtId="49" fontId="19" fillId="0" borderId="7" xfId="2" applyNumberFormat="1" applyFont="1" applyBorder="1"/>
    <xf numFmtId="49" fontId="34" fillId="2" borderId="5" xfId="2" applyNumberFormat="1" applyFont="1" applyFill="1" applyBorder="1" applyAlignment="1">
      <alignment horizontal="center" vertical="center"/>
    </xf>
    <xf numFmtId="49" fontId="34" fillId="2" borderId="0" xfId="2" applyNumberFormat="1" applyFont="1" applyFill="1" applyAlignment="1">
      <alignment horizontal="center" vertical="center"/>
    </xf>
    <xf numFmtId="0" fontId="31" fillId="2" borderId="0" xfId="2" applyFont="1" applyFill="1"/>
    <xf numFmtId="1" fontId="31" fillId="2" borderId="0" xfId="2" applyNumberFormat="1" applyFont="1" applyFill="1" applyAlignment="1">
      <alignment horizontal="center"/>
    </xf>
    <xf numFmtId="164" fontId="31" fillId="2" borderId="0" xfId="2" applyNumberFormat="1" applyFont="1" applyFill="1" applyAlignment="1">
      <alignment horizontal="center" wrapText="1"/>
    </xf>
    <xf numFmtId="0" fontId="31" fillId="2" borderId="24" xfId="2" applyFont="1" applyFill="1" applyBorder="1" applyAlignment="1">
      <alignment horizontal="center"/>
    </xf>
    <xf numFmtId="0" fontId="31" fillId="4" borderId="25" xfId="2" applyFont="1" applyFill="1" applyBorder="1" applyAlignment="1">
      <alignment horizontal="center"/>
    </xf>
    <xf numFmtId="0" fontId="31" fillId="4" borderId="26" xfId="2" applyFont="1" applyFill="1" applyBorder="1" applyAlignment="1">
      <alignment horizontal="center"/>
    </xf>
    <xf numFmtId="0" fontId="31" fillId="4" borderId="26" xfId="2" applyFont="1" applyFill="1" applyBorder="1"/>
    <xf numFmtId="0" fontId="12" fillId="4" borderId="26" xfId="2" applyFont="1" applyFill="1" applyBorder="1" applyAlignment="1">
      <alignment horizontal="center"/>
    </xf>
    <xf numFmtId="1" fontId="12" fillId="4" borderId="26" xfId="2" applyNumberFormat="1" applyFont="1" applyFill="1" applyBorder="1" applyAlignment="1">
      <alignment horizontal="center"/>
    </xf>
    <xf numFmtId="164" fontId="31" fillId="4" borderId="26" xfId="2" applyNumberFormat="1" applyFont="1" applyFill="1" applyBorder="1" applyAlignment="1">
      <alignment horizontal="center" wrapText="1"/>
    </xf>
    <xf numFmtId="0" fontId="31" fillId="4" borderId="27" xfId="2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1" fontId="31" fillId="0" borderId="16" xfId="0" applyNumberFormat="1" applyFont="1" applyBorder="1" applyAlignment="1">
      <alignment horizontal="center"/>
    </xf>
    <xf numFmtId="0" fontId="31" fillId="0" borderId="16" xfId="0" applyFont="1" applyBorder="1" applyAlignment="1">
      <alignment horizontal="center"/>
    </xf>
    <xf numFmtId="0" fontId="0" fillId="5" borderId="7" xfId="0" applyFill="1" applyBorder="1"/>
    <xf numFmtId="0" fontId="0" fillId="0" borderId="0" xfId="0" applyAlignment="1">
      <alignment horizontal="center"/>
    </xf>
    <xf numFmtId="0" fontId="6" fillId="0" borderId="7" xfId="0" applyFont="1" applyBorder="1" applyAlignment="1">
      <alignment horizontal="center"/>
    </xf>
    <xf numFmtId="0" fontId="35" fillId="5" borderId="0" xfId="0" applyFont="1" applyFill="1" applyAlignment="1">
      <alignment vertical="center"/>
    </xf>
    <xf numFmtId="0" fontId="22" fillId="9" borderId="7" xfId="0" applyFont="1" applyFill="1" applyBorder="1" applyAlignment="1">
      <alignment horizontal="center" vertical="center" wrapText="1"/>
    </xf>
    <xf numFmtId="0" fontId="22" fillId="9" borderId="7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43" fontId="22" fillId="0" borderId="7" xfId="4" applyFont="1" applyFill="1" applyBorder="1" applyAlignment="1">
      <alignment horizontal="center" vertical="center"/>
    </xf>
    <xf numFmtId="43" fontId="22" fillId="0" borderId="0" xfId="4" applyFont="1" applyFill="1" applyBorder="1" applyAlignment="1">
      <alignment horizontal="center" vertical="center"/>
    </xf>
    <xf numFmtId="43" fontId="37" fillId="0" borderId="0" xfId="4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168" fontId="40" fillId="0" borderId="0" xfId="0" applyNumberFormat="1" applyFont="1" applyAlignment="1">
      <alignment horizontal="center" vertical="center" wrapText="1"/>
    </xf>
    <xf numFmtId="0" fontId="22" fillId="10" borderId="50" xfId="0" applyFont="1" applyFill="1" applyBorder="1" applyAlignment="1">
      <alignment horizontal="center" vertical="center"/>
    </xf>
    <xf numFmtId="0" fontId="22" fillId="10" borderId="51" xfId="0" applyFont="1" applyFill="1" applyBorder="1" applyAlignment="1">
      <alignment horizontal="center" vertical="center"/>
    </xf>
    <xf numFmtId="0" fontId="22" fillId="10" borderId="51" xfId="0" applyFont="1" applyFill="1" applyBorder="1" applyAlignment="1">
      <alignment horizontal="center" vertical="center" wrapText="1"/>
    </xf>
    <xf numFmtId="0" fontId="22" fillId="10" borderId="52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2" fontId="41" fillId="0" borderId="0" xfId="0" applyNumberFormat="1" applyFont="1" applyAlignment="1">
      <alignment horizontal="center"/>
    </xf>
    <xf numFmtId="4" fontId="41" fillId="0" borderId="0" xfId="6" applyNumberFormat="1" applyFont="1" applyFill="1" applyAlignment="1">
      <alignment horizontal="center" vertical="center"/>
    </xf>
    <xf numFmtId="4" fontId="22" fillId="0" borderId="0" xfId="6" applyNumberFormat="1" applyFont="1" applyFill="1" applyAlignment="1">
      <alignment horizontal="center" vertical="center"/>
    </xf>
    <xf numFmtId="10" fontId="22" fillId="0" borderId="0" xfId="3" applyNumberFormat="1" applyFont="1" applyFill="1" applyAlignment="1">
      <alignment vertical="center"/>
    </xf>
    <xf numFmtId="49" fontId="22" fillId="0" borderId="0" xfId="0" applyNumberFormat="1" applyFont="1" applyAlignment="1">
      <alignment horizontal="center" vertical="center"/>
    </xf>
    <xf numFmtId="10" fontId="36" fillId="0" borderId="0" xfId="3" applyNumberFormat="1" applyFont="1" applyFill="1" applyAlignment="1">
      <alignment vertical="center"/>
    </xf>
    <xf numFmtId="0" fontId="35" fillId="0" borderId="0" xfId="0" applyFont="1"/>
    <xf numFmtId="49" fontId="22" fillId="0" borderId="0" xfId="0" applyNumberFormat="1" applyFont="1" applyAlignment="1">
      <alignment horizontal="center"/>
    </xf>
    <xf numFmtId="169" fontId="35" fillId="0" borderId="0" xfId="0" applyNumberFormat="1" applyFont="1" applyAlignment="1">
      <alignment vertical="center"/>
    </xf>
    <xf numFmtId="0" fontId="35" fillId="0" borderId="0" xfId="0" applyFont="1" applyAlignment="1">
      <alignment horizontal="left" vertical="center"/>
    </xf>
    <xf numFmtId="43" fontId="35" fillId="0" borderId="0" xfId="4" applyFont="1" applyFill="1" applyAlignment="1">
      <alignment vertical="center"/>
    </xf>
    <xf numFmtId="49" fontId="42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4" fontId="22" fillId="0" borderId="0" xfId="4" applyNumberFormat="1" applyFont="1" applyFill="1" applyAlignment="1">
      <alignment vertical="center"/>
    </xf>
    <xf numFmtId="43" fontId="43" fillId="0" borderId="0" xfId="4" applyFont="1" applyFill="1" applyAlignment="1">
      <alignment horizontal="center" vertical="center"/>
    </xf>
    <xf numFmtId="10" fontId="36" fillId="10" borderId="53" xfId="3" applyNumberFormat="1" applyFont="1" applyFill="1" applyBorder="1" applyAlignment="1">
      <alignment vertical="center"/>
    </xf>
    <xf numFmtId="0" fontId="35" fillId="10" borderId="26" xfId="0" applyFont="1" applyFill="1" applyBorder="1" applyAlignment="1">
      <alignment vertical="center"/>
    </xf>
    <xf numFmtId="0" fontId="35" fillId="10" borderId="53" xfId="0" applyFont="1" applyFill="1" applyBorder="1" applyAlignment="1">
      <alignment vertical="center"/>
    </xf>
    <xf numFmtId="43" fontId="43" fillId="10" borderId="54" xfId="4" applyFont="1" applyFill="1" applyBorder="1" applyAlignment="1">
      <alignment horizontal="center" vertical="center"/>
    </xf>
    <xf numFmtId="43" fontId="45" fillId="0" borderId="0" xfId="4" applyFont="1" applyFill="1" applyBorder="1" applyAlignment="1">
      <alignment horizontal="right"/>
    </xf>
    <xf numFmtId="0" fontId="35" fillId="10" borderId="54" xfId="0" applyFont="1" applyFill="1" applyBorder="1" applyAlignment="1">
      <alignment vertical="center"/>
    </xf>
    <xf numFmtId="10" fontId="36" fillId="10" borderId="54" xfId="3" applyNumberFormat="1" applyFont="1" applyFill="1" applyBorder="1" applyAlignment="1">
      <alignment vertical="center"/>
    </xf>
    <xf numFmtId="0" fontId="44" fillId="0" borderId="0" xfId="0" applyFont="1" applyAlignment="1">
      <alignment horizontal="right"/>
    </xf>
    <xf numFmtId="0" fontId="44" fillId="0" borderId="0" xfId="0" applyFont="1"/>
    <xf numFmtId="9" fontId="44" fillId="0" borderId="0" xfId="0" applyNumberFormat="1" applyFont="1"/>
    <xf numFmtId="9" fontId="46" fillId="0" borderId="0" xfId="3" applyFont="1" applyFill="1" applyAlignment="1">
      <alignment horizontal="center"/>
    </xf>
    <xf numFmtId="0" fontId="43" fillId="0" borderId="0" xfId="0" applyFont="1" applyAlignment="1">
      <alignment horizontal="right" vertical="center"/>
    </xf>
    <xf numFmtId="4" fontId="43" fillId="0" borderId="0" xfId="4" applyNumberFormat="1" applyFont="1" applyFill="1" applyAlignment="1">
      <alignment vertical="center"/>
    </xf>
    <xf numFmtId="4" fontId="43" fillId="0" borderId="0" xfId="6" applyNumberFormat="1" applyFont="1" applyAlignment="1">
      <alignment horizontal="center" vertical="center"/>
    </xf>
    <xf numFmtId="0" fontId="47" fillId="0" borderId="0" xfId="0" applyFont="1" applyAlignment="1">
      <alignment horizontal="right"/>
    </xf>
    <xf numFmtId="0" fontId="48" fillId="0" borderId="0" xfId="0" applyFont="1" applyAlignment="1">
      <alignment horizontal="right"/>
    </xf>
    <xf numFmtId="0" fontId="48" fillId="0" borderId="24" xfId="0" applyFont="1" applyBorder="1" applyAlignment="1">
      <alignment horizontal="right"/>
    </xf>
    <xf numFmtId="43" fontId="49" fillId="3" borderId="55" xfId="4" applyFont="1" applyFill="1" applyBorder="1" applyAlignment="1">
      <alignment horizontal="right"/>
    </xf>
    <xf numFmtId="43" fontId="49" fillId="0" borderId="0" xfId="4" applyFont="1" applyFill="1" applyBorder="1" applyAlignment="1">
      <alignment horizontal="right"/>
    </xf>
    <xf numFmtId="43" fontId="22" fillId="0" borderId="7" xfId="4" applyFont="1" applyFill="1" applyBorder="1" applyAlignment="1">
      <alignment vertical="center"/>
    </xf>
    <xf numFmtId="0" fontId="50" fillId="0" borderId="0" xfId="0" applyFont="1" applyAlignment="1">
      <alignment horizontal="left" vertical="center"/>
    </xf>
    <xf numFmtId="4" fontId="43" fillId="0" borderId="0" xfId="6" applyNumberFormat="1" applyFont="1" applyFill="1" applyAlignment="1">
      <alignment horizontal="center" vertical="center"/>
    </xf>
    <xf numFmtId="10" fontId="51" fillId="0" borderId="0" xfId="3" applyNumberFormat="1" applyFont="1" applyFill="1" applyAlignment="1">
      <alignment horizontal="right"/>
    </xf>
    <xf numFmtId="170" fontId="22" fillId="10" borderId="7" xfId="4" applyNumberFormat="1" applyFont="1" applyFill="1" applyBorder="1" applyAlignment="1">
      <alignment vertical="center"/>
    </xf>
    <xf numFmtId="4" fontId="35" fillId="0" borderId="0" xfId="0" applyNumberFormat="1" applyFont="1" applyAlignment="1">
      <alignment horizontal="center" vertical="center"/>
    </xf>
    <xf numFmtId="43" fontId="22" fillId="11" borderId="7" xfId="4" applyFont="1" applyFill="1" applyBorder="1" applyAlignment="1">
      <alignment vertical="center"/>
    </xf>
    <xf numFmtId="167" fontId="52" fillId="0" borderId="0" xfId="0" applyNumberFormat="1" applyFont="1" applyAlignment="1">
      <alignment horizontal="center" vertical="center"/>
    </xf>
    <xf numFmtId="0" fontId="35" fillId="5" borderId="0" xfId="0" applyFont="1" applyFill="1" applyAlignment="1">
      <alignment horizontal="center" vertical="center"/>
    </xf>
    <xf numFmtId="4" fontId="22" fillId="0" borderId="0" xfId="0" applyNumberFormat="1" applyFont="1" applyAlignment="1">
      <alignment horizontal="center" vertical="center"/>
    </xf>
    <xf numFmtId="0" fontId="36" fillId="10" borderId="56" xfId="0" applyFont="1" applyFill="1" applyBorder="1" applyAlignment="1">
      <alignment vertical="center"/>
    </xf>
    <xf numFmtId="0" fontId="54" fillId="0" borderId="0" xfId="0" applyFont="1" applyAlignment="1">
      <alignment vertical="center"/>
    </xf>
    <xf numFmtId="2" fontId="51" fillId="0" borderId="0" xfId="4" applyNumberFormat="1" applyFont="1" applyFill="1" applyBorder="1" applyAlignment="1">
      <alignment horizontal="center"/>
    </xf>
    <xf numFmtId="2" fontId="48" fillId="0" borderId="0" xfId="4" applyNumberFormat="1" applyFont="1" applyFill="1" applyBorder="1" applyAlignment="1">
      <alignment horizontal="center"/>
    </xf>
    <xf numFmtId="0" fontId="35" fillId="10" borderId="56" xfId="0" applyFont="1" applyFill="1" applyBorder="1" applyAlignment="1">
      <alignment vertical="center"/>
    </xf>
    <xf numFmtId="10" fontId="35" fillId="0" borderId="0" xfId="3" applyNumberFormat="1" applyFont="1" applyFill="1" applyAlignment="1">
      <alignment vertical="center"/>
    </xf>
    <xf numFmtId="4" fontId="35" fillId="0" borderId="0" xfId="4" applyNumberFormat="1" applyFont="1" applyFill="1" applyAlignment="1">
      <alignment vertical="center"/>
    </xf>
    <xf numFmtId="43" fontId="49" fillId="10" borderId="26" xfId="4" applyFont="1" applyFill="1" applyBorder="1" applyAlignment="1">
      <alignment horizontal="right"/>
    </xf>
    <xf numFmtId="0" fontId="22" fillId="10" borderId="27" xfId="0" applyFont="1" applyFill="1" applyBorder="1" applyAlignment="1">
      <alignment horizontal="right" vertical="center"/>
    </xf>
    <xf numFmtId="10" fontId="55" fillId="0" borderId="0" xfId="4" applyNumberFormat="1" applyFont="1" applyFill="1" applyAlignment="1">
      <alignment vertical="center"/>
    </xf>
    <xf numFmtId="10" fontId="36" fillId="0" borderId="0" xfId="3" applyNumberFormat="1" applyFont="1" applyFill="1" applyBorder="1" applyAlignment="1">
      <alignment vertical="center"/>
    </xf>
    <xf numFmtId="167" fontId="56" fillId="0" borderId="0" xfId="0" applyNumberFormat="1" applyFont="1" applyAlignment="1">
      <alignment horizontal="center" vertical="center"/>
    </xf>
    <xf numFmtId="0" fontId="35" fillId="5" borderId="55" xfId="0" applyFont="1" applyFill="1" applyBorder="1" applyAlignment="1">
      <alignment horizontal="center" vertical="center"/>
    </xf>
    <xf numFmtId="43" fontId="57" fillId="0" borderId="0" xfId="4" applyFont="1" applyFill="1" applyAlignment="1">
      <alignment vertical="center"/>
    </xf>
    <xf numFmtId="4" fontId="58" fillId="0" borderId="0" xfId="6" applyNumberFormat="1" applyFont="1" applyFill="1" applyAlignment="1">
      <alignment horizontal="center" vertical="center" wrapText="1"/>
    </xf>
    <xf numFmtId="9" fontId="35" fillId="0" borderId="0" xfId="4" applyNumberFormat="1" applyFont="1" applyFill="1" applyAlignment="1">
      <alignment vertical="center"/>
    </xf>
    <xf numFmtId="0" fontId="43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42" fillId="0" borderId="0" xfId="0" applyFont="1" applyAlignment="1">
      <alignment horizontal="right" vertical="center"/>
    </xf>
    <xf numFmtId="4" fontId="42" fillId="0" borderId="0" xfId="4" applyNumberFormat="1" applyFont="1" applyFill="1" applyAlignment="1">
      <alignment vertical="center"/>
    </xf>
    <xf numFmtId="4" fontId="22" fillId="13" borderId="55" xfId="4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43" fontId="24" fillId="0" borderId="0" xfId="4" applyFont="1" applyFill="1" applyAlignment="1">
      <alignment vertical="center"/>
    </xf>
    <xf numFmtId="9" fontId="24" fillId="0" borderId="0" xfId="4" applyNumberFormat="1" applyFont="1" applyFill="1" applyAlignment="1">
      <alignment vertical="center"/>
    </xf>
    <xf numFmtId="4" fontId="22" fillId="0" borderId="0" xfId="4" applyNumberFormat="1" applyFont="1" applyFill="1" applyAlignment="1">
      <alignment horizontal="center" vertical="center"/>
    </xf>
    <xf numFmtId="10" fontId="52" fillId="0" borderId="0" xfId="3" applyNumberFormat="1" applyFont="1" applyFill="1" applyAlignment="1">
      <alignment vertical="center"/>
    </xf>
    <xf numFmtId="43" fontId="52" fillId="0" borderId="0" xfId="4" applyFont="1" applyFill="1" applyBorder="1" applyAlignment="1">
      <alignment vertical="center"/>
    </xf>
    <xf numFmtId="4" fontId="35" fillId="0" borderId="0" xfId="0" applyNumberFormat="1" applyFont="1" applyAlignment="1">
      <alignment horizontal="center"/>
    </xf>
    <xf numFmtId="43" fontId="35" fillId="0" borderId="0" xfId="4" applyFont="1" applyFill="1" applyBorder="1"/>
    <xf numFmtId="10" fontId="52" fillId="0" borderId="0" xfId="3" applyNumberFormat="1" applyFont="1" applyFill="1" applyBorder="1" applyAlignment="1">
      <alignment vertical="center"/>
    </xf>
    <xf numFmtId="0" fontId="52" fillId="0" borderId="0" xfId="0" applyFont="1" applyAlignment="1">
      <alignment horizontal="right"/>
    </xf>
    <xf numFmtId="43" fontId="35" fillId="0" borderId="0" xfId="4" applyFont="1" applyFill="1" applyBorder="1" applyAlignment="1">
      <alignment horizontal="center"/>
    </xf>
    <xf numFmtId="9" fontId="61" fillId="0" borderId="0" xfId="0" applyNumberFormat="1" applyFont="1" applyAlignment="1">
      <alignment horizontal="left"/>
    </xf>
    <xf numFmtId="4" fontId="22" fillId="0" borderId="0" xfId="0" applyNumberFormat="1" applyFont="1" applyAlignment="1">
      <alignment horizontal="center"/>
    </xf>
    <xf numFmtId="167" fontId="22" fillId="0" borderId="0" xfId="0" applyNumberFormat="1" applyFont="1"/>
    <xf numFmtId="0" fontId="33" fillId="5" borderId="7" xfId="0" applyFont="1" applyFill="1" applyBorder="1" applyAlignment="1">
      <alignment horizontal="center"/>
    </xf>
    <xf numFmtId="1" fontId="31" fillId="5" borderId="7" xfId="0" applyNumberFormat="1" applyFont="1" applyFill="1" applyBorder="1" applyAlignment="1">
      <alignment horizontal="center"/>
    </xf>
    <xf numFmtId="1" fontId="31" fillId="5" borderId="7" xfId="0" applyNumberFormat="1" applyFont="1" applyFill="1" applyBorder="1" applyAlignment="1">
      <alignment horizontal="center" wrapText="1"/>
    </xf>
    <xf numFmtId="0" fontId="31" fillId="0" borderId="13" xfId="0" applyFont="1" applyBorder="1" applyAlignment="1">
      <alignment horizontal="center" wrapText="1"/>
    </xf>
    <xf numFmtId="12" fontId="31" fillId="0" borderId="13" xfId="0" applyNumberFormat="1" applyFont="1" applyBorder="1" applyAlignment="1">
      <alignment horizontal="center"/>
    </xf>
    <xf numFmtId="0" fontId="33" fillId="5" borderId="22" xfId="0" applyFont="1" applyFill="1" applyBorder="1" applyAlignment="1">
      <alignment horizontal="center"/>
    </xf>
    <xf numFmtId="0" fontId="33" fillId="5" borderId="7" xfId="0" applyFont="1" applyFill="1" applyBorder="1"/>
    <xf numFmtId="0" fontId="31" fillId="5" borderId="7" xfId="0" applyFont="1" applyFill="1" applyBorder="1" applyAlignment="1">
      <alignment horizontal="center"/>
    </xf>
    <xf numFmtId="0" fontId="62" fillId="0" borderId="7" xfId="0" applyFont="1" applyBorder="1" applyAlignment="1">
      <alignment horizontal="center"/>
    </xf>
    <xf numFmtId="0" fontId="62" fillId="0" borderId="7" xfId="0" applyFont="1" applyBorder="1" applyAlignment="1">
      <alignment horizontal="center" vertical="center"/>
    </xf>
    <xf numFmtId="0" fontId="62" fillId="6" borderId="7" xfId="0" applyFont="1" applyFill="1" applyBorder="1"/>
    <xf numFmtId="0" fontId="31" fillId="0" borderId="7" xfId="0" applyFont="1" applyBorder="1" applyAlignment="1">
      <alignment horizontal="center" wrapText="1"/>
    </xf>
    <xf numFmtId="0" fontId="62" fillId="6" borderId="0" xfId="0" applyFont="1" applyFill="1" applyAlignment="1">
      <alignment horizontal="center"/>
    </xf>
    <xf numFmtId="0" fontId="62" fillId="6" borderId="0" xfId="0" applyFont="1" applyFill="1"/>
    <xf numFmtId="0" fontId="12" fillId="6" borderId="7" xfId="0" applyFont="1" applyFill="1" applyBorder="1" applyAlignment="1">
      <alignment horizontal="left"/>
    </xf>
    <xf numFmtId="0" fontId="31" fillId="0" borderId="13" xfId="0" applyFont="1" applyBorder="1" applyAlignment="1">
      <alignment horizontal="center"/>
    </xf>
    <xf numFmtId="0" fontId="62" fillId="6" borderId="7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16" fontId="19" fillId="0" borderId="22" xfId="0" applyNumberFormat="1" applyFont="1" applyBorder="1" applyAlignment="1">
      <alignment horizontal="center"/>
    </xf>
    <xf numFmtId="1" fontId="31" fillId="5" borderId="7" xfId="2" applyNumberFormat="1" applyFont="1" applyFill="1" applyBorder="1" applyAlignment="1">
      <alignment horizontal="center"/>
    </xf>
    <xf numFmtId="1" fontId="31" fillId="5" borderId="7" xfId="2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6" fontId="31" fillId="5" borderId="7" xfId="0" applyNumberFormat="1" applyFont="1" applyFill="1" applyBorder="1" applyAlignment="1">
      <alignment horizontal="center"/>
    </xf>
    <xf numFmtId="0" fontId="31" fillId="2" borderId="7" xfId="0" applyFont="1" applyFill="1" applyBorder="1" applyAlignment="1">
      <alignment horizontal="center"/>
    </xf>
    <xf numFmtId="1" fontId="31" fillId="0" borderId="13" xfId="0" applyNumberFormat="1" applyFont="1" applyBorder="1" applyAlignment="1">
      <alignment horizontal="center" wrapText="1"/>
    </xf>
    <xf numFmtId="16" fontId="31" fillId="0" borderId="7" xfId="0" applyNumberFormat="1" applyFont="1" applyBorder="1" applyAlignment="1">
      <alignment horizontal="center"/>
    </xf>
    <xf numFmtId="1" fontId="31" fillId="0" borderId="7" xfId="0" applyNumberFormat="1" applyFont="1" applyBorder="1" applyAlignment="1">
      <alignment horizontal="center" wrapText="1"/>
    </xf>
    <xf numFmtId="49" fontId="19" fillId="0" borderId="7" xfId="2" applyNumberFormat="1" applyFont="1" applyBorder="1" applyAlignment="1">
      <alignment horizontal="center"/>
    </xf>
    <xf numFmtId="16" fontId="19" fillId="0" borderId="7" xfId="2" applyNumberFormat="1" applyFont="1" applyBorder="1" applyAlignment="1">
      <alignment horizontal="center"/>
    </xf>
    <xf numFmtId="1" fontId="31" fillId="0" borderId="13" xfId="2" applyNumberFormat="1" applyFont="1" applyBorder="1" applyAlignment="1">
      <alignment horizontal="center"/>
    </xf>
    <xf numFmtId="0" fontId="31" fillId="0" borderId="13" xfId="2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9" fillId="0" borderId="11" xfId="0" applyFont="1" applyBorder="1" applyAlignment="1">
      <alignment horizontal="center"/>
    </xf>
    <xf numFmtId="0" fontId="19" fillId="0" borderId="7" xfId="0" applyFont="1" applyBorder="1" applyAlignment="1">
      <alignment horizontal="center" wrapText="1"/>
    </xf>
    <xf numFmtId="1" fontId="1" fillId="0" borderId="7" xfId="0" applyNumberFormat="1" applyFont="1" applyBorder="1" applyAlignment="1">
      <alignment horizontal="left" vertical="center"/>
    </xf>
    <xf numFmtId="12" fontId="19" fillId="0" borderId="7" xfId="2" applyNumberFormat="1" applyFont="1" applyBorder="1" applyAlignment="1">
      <alignment horizontal="center"/>
    </xf>
    <xf numFmtId="0" fontId="19" fillId="5" borderId="23" xfId="0" applyFont="1" applyFill="1" applyBorder="1" applyAlignment="1">
      <alignment horizontal="center"/>
    </xf>
    <xf numFmtId="0" fontId="63" fillId="5" borderId="0" xfId="0" applyFont="1" applyFill="1" applyAlignment="1">
      <alignment horizontal="center"/>
    </xf>
    <xf numFmtId="1" fontId="19" fillId="5" borderId="7" xfId="0" applyNumberFormat="1" applyFont="1" applyFill="1" applyBorder="1"/>
    <xf numFmtId="0" fontId="19" fillId="5" borderId="7" xfId="0" applyFont="1" applyFill="1" applyBorder="1" applyAlignment="1">
      <alignment horizontal="center"/>
    </xf>
    <xf numFmtId="0" fontId="19" fillId="5" borderId="7" xfId="0" applyFont="1" applyFill="1" applyBorder="1" applyAlignment="1">
      <alignment horizontal="center" wrapText="1"/>
    </xf>
    <xf numFmtId="1" fontId="19" fillId="0" borderId="7" xfId="2" applyNumberFormat="1" applyFont="1" applyBorder="1" applyAlignment="1">
      <alignment horizontal="center"/>
    </xf>
    <xf numFmtId="0" fontId="14" fillId="2" borderId="3" xfId="1" applyFont="1" applyFill="1" applyBorder="1" applyAlignment="1">
      <alignment horizontal="right"/>
    </xf>
    <xf numFmtId="0" fontId="14" fillId="2" borderId="7" xfId="1" applyFont="1" applyFill="1" applyBorder="1" applyAlignment="1">
      <alignment horizontal="right"/>
    </xf>
    <xf numFmtId="0" fontId="4" fillId="2" borderId="13" xfId="1" applyFont="1" applyFill="1" applyBorder="1" applyAlignment="1">
      <alignment horizontal="right"/>
    </xf>
    <xf numFmtId="0" fontId="4" fillId="2" borderId="7" xfId="1" applyFont="1" applyFill="1" applyBorder="1" applyAlignment="1">
      <alignment horizontal="right"/>
    </xf>
    <xf numFmtId="14" fontId="5" fillId="2" borderId="0" xfId="1" applyNumberFormat="1" applyFont="1" applyFill="1" applyAlignment="1">
      <alignment horizontal="center" vertical="center" wrapText="1"/>
    </xf>
    <xf numFmtId="0" fontId="14" fillId="4" borderId="4" xfId="2" applyFont="1" applyFill="1" applyBorder="1" applyAlignment="1">
      <alignment horizontal="center" vertical="center" wrapText="1"/>
    </xf>
    <xf numFmtId="1" fontId="14" fillId="4" borderId="16" xfId="2" applyNumberFormat="1" applyFont="1" applyFill="1" applyBorder="1" applyAlignment="1">
      <alignment horizontal="center"/>
    </xf>
    <xf numFmtId="1" fontId="14" fillId="4" borderId="16" xfId="2" applyNumberFormat="1" applyFont="1" applyFill="1" applyBorder="1" applyAlignment="1">
      <alignment horizontal="center" wrapText="1"/>
    </xf>
    <xf numFmtId="0" fontId="14" fillId="4" borderId="17" xfId="2" applyFont="1" applyFill="1" applyBorder="1" applyAlignment="1">
      <alignment horizontal="center"/>
    </xf>
    <xf numFmtId="0" fontId="65" fillId="0" borderId="23" xfId="2" applyFont="1" applyBorder="1" applyAlignment="1">
      <alignment horizontal="center" vertical="center"/>
    </xf>
    <xf numFmtId="0" fontId="65" fillId="0" borderId="22" xfId="2" applyFont="1" applyBorder="1" applyAlignment="1">
      <alignment horizontal="center" vertical="center"/>
    </xf>
    <xf numFmtId="0" fontId="66" fillId="0" borderId="7" xfId="2" applyFont="1" applyBorder="1" applyAlignment="1">
      <alignment vertical="center"/>
    </xf>
    <xf numFmtId="0" fontId="65" fillId="0" borderId="7" xfId="2" applyFont="1" applyBorder="1" applyAlignment="1">
      <alignment horizontal="center" vertical="center"/>
    </xf>
    <xf numFmtId="1" fontId="65" fillId="0" borderId="7" xfId="2" applyNumberFormat="1" applyFont="1" applyBorder="1" applyAlignment="1">
      <alignment horizontal="center"/>
    </xf>
    <xf numFmtId="1" fontId="65" fillId="0" borderId="7" xfId="2" applyNumberFormat="1" applyFont="1" applyBorder="1" applyAlignment="1">
      <alignment horizontal="center" wrapText="1"/>
    </xf>
    <xf numFmtId="0" fontId="67" fillId="0" borderId="8" xfId="2" applyFont="1" applyBorder="1" applyAlignment="1">
      <alignment horizontal="center"/>
    </xf>
    <xf numFmtId="1" fontId="68" fillId="0" borderId="7" xfId="0" applyNumberFormat="1" applyFont="1" applyBorder="1"/>
    <xf numFmtId="0" fontId="68" fillId="0" borderId="7" xfId="0" applyFont="1" applyBorder="1" applyAlignment="1">
      <alignment horizontal="center"/>
    </xf>
    <xf numFmtId="0" fontId="68" fillId="0" borderId="7" xfId="0" applyFont="1" applyBorder="1"/>
    <xf numFmtId="0" fontId="4" fillId="0" borderId="7" xfId="0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wrapText="1"/>
    </xf>
    <xf numFmtId="12" fontId="4" fillId="0" borderId="13" xfId="0" applyNumberFormat="1" applyFont="1" applyBorder="1" applyAlignment="1">
      <alignment horizontal="center"/>
    </xf>
    <xf numFmtId="0" fontId="4" fillId="0" borderId="7" xfId="0" applyFont="1" applyBorder="1" applyAlignment="1">
      <alignment horizontal="left" vertical="center"/>
    </xf>
    <xf numFmtId="0" fontId="68" fillId="0" borderId="22" xfId="0" applyFont="1" applyBorder="1" applyAlignment="1">
      <alignment horizontal="center"/>
    </xf>
    <xf numFmtId="0" fontId="67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49" fontId="67" fillId="0" borderId="23" xfId="2" applyNumberFormat="1" applyFont="1" applyBorder="1" applyAlignment="1">
      <alignment horizontal="center"/>
    </xf>
    <xf numFmtId="49" fontId="67" fillId="0" borderId="22" xfId="2" applyNumberFormat="1" applyFont="1" applyBorder="1" applyAlignment="1">
      <alignment horizontal="center"/>
    </xf>
    <xf numFmtId="0" fontId="65" fillId="5" borderId="7" xfId="2" applyFont="1" applyFill="1" applyBorder="1" applyAlignment="1">
      <alignment horizontal="left"/>
    </xf>
    <xf numFmtId="0" fontId="4" fillId="5" borderId="7" xfId="2" applyFont="1" applyFill="1" applyBorder="1" applyAlignment="1">
      <alignment horizontal="center"/>
    </xf>
    <xf numFmtId="1" fontId="68" fillId="0" borderId="22" xfId="0" applyNumberFormat="1" applyFont="1" applyBorder="1"/>
    <xf numFmtId="0" fontId="67" fillId="0" borderId="7" xfId="2" applyFont="1" applyBorder="1" applyAlignment="1">
      <alignment horizontal="center"/>
    </xf>
    <xf numFmtId="165" fontId="67" fillId="0" borderId="7" xfId="2" applyNumberFormat="1" applyFont="1" applyBorder="1" applyAlignment="1">
      <alignment horizontal="center"/>
    </xf>
    <xf numFmtId="1" fontId="67" fillId="0" borderId="7" xfId="2" applyNumberFormat="1" applyFont="1" applyBorder="1" applyAlignment="1">
      <alignment horizontal="center" wrapText="1"/>
    </xf>
    <xf numFmtId="0" fontId="69" fillId="5" borderId="23" xfId="0" applyFont="1" applyFill="1" applyBorder="1" applyAlignment="1">
      <alignment horizontal="center"/>
    </xf>
    <xf numFmtId="0" fontId="69" fillId="5" borderId="30" xfId="0" applyFont="1" applyFill="1" applyBorder="1" applyAlignment="1">
      <alignment horizontal="center"/>
    </xf>
    <xf numFmtId="0" fontId="69" fillId="5" borderId="13" xfId="0" applyFont="1" applyFill="1" applyBorder="1"/>
    <xf numFmtId="0" fontId="4" fillId="5" borderId="22" xfId="0" applyFont="1" applyFill="1" applyBorder="1" applyAlignment="1">
      <alignment horizontal="center"/>
    </xf>
    <xf numFmtId="1" fontId="4" fillId="5" borderId="13" xfId="0" applyNumberFormat="1" applyFont="1" applyFill="1" applyBorder="1" applyAlignment="1">
      <alignment horizontal="center"/>
    </xf>
    <xf numFmtId="1" fontId="4" fillId="5" borderId="13" xfId="0" applyNumberFormat="1" applyFont="1" applyFill="1" applyBorder="1" applyAlignment="1">
      <alignment horizontal="center" wrapText="1"/>
    </xf>
    <xf numFmtId="16" fontId="4" fillId="0" borderId="7" xfId="0" applyNumberFormat="1" applyFont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1" fontId="4" fillId="0" borderId="7" xfId="0" applyNumberFormat="1" applyFont="1" applyBorder="1" applyAlignment="1">
      <alignment horizontal="center" wrapText="1"/>
    </xf>
    <xf numFmtId="49" fontId="65" fillId="0" borderId="33" xfId="2" applyNumberFormat="1" applyFont="1" applyBorder="1" applyAlignment="1">
      <alignment horizontal="center"/>
    </xf>
    <xf numFmtId="49" fontId="65" fillId="0" borderId="34" xfId="2" applyNumberFormat="1" applyFont="1" applyBorder="1" applyAlignment="1">
      <alignment horizontal="center"/>
    </xf>
    <xf numFmtId="0" fontId="66" fillId="5" borderId="7" xfId="2" applyFont="1" applyFill="1" applyBorder="1" applyAlignment="1">
      <alignment vertical="center"/>
    </xf>
    <xf numFmtId="0" fontId="65" fillId="0" borderId="22" xfId="2" applyFont="1" applyBorder="1" applyAlignment="1">
      <alignment horizontal="center"/>
    </xf>
    <xf numFmtId="165" fontId="65" fillId="0" borderId="7" xfId="2" applyNumberFormat="1" applyFont="1" applyBorder="1" applyAlignment="1">
      <alignment horizontal="center"/>
    </xf>
    <xf numFmtId="49" fontId="67" fillId="0" borderId="23" xfId="0" applyNumberFormat="1" applyFont="1" applyBorder="1" applyAlignment="1">
      <alignment horizontal="center"/>
    </xf>
    <xf numFmtId="49" fontId="67" fillId="0" borderId="22" xfId="0" applyNumberFormat="1" applyFont="1" applyBorder="1" applyAlignment="1">
      <alignment horizontal="center"/>
    </xf>
    <xf numFmtId="49" fontId="65" fillId="0" borderId="7" xfId="0" applyNumberFormat="1" applyFont="1" applyBorder="1"/>
    <xf numFmtId="1" fontId="67" fillId="0" borderId="7" xfId="0" applyNumberFormat="1" applyFont="1" applyBorder="1" applyAlignment="1">
      <alignment horizontal="center"/>
    </xf>
    <xf numFmtId="1" fontId="67" fillId="0" borderId="7" xfId="0" applyNumberFormat="1" applyFont="1" applyBorder="1" applyAlignment="1">
      <alignment horizontal="center" wrapText="1"/>
    </xf>
    <xf numFmtId="166" fontId="14" fillId="5" borderId="7" xfId="4" applyNumberFormat="1" applyFont="1" applyFill="1" applyBorder="1" applyAlignment="1">
      <alignment horizontal="center"/>
    </xf>
    <xf numFmtId="0" fontId="70" fillId="0" borderId="23" xfId="0" applyFont="1" applyBorder="1" applyAlignment="1">
      <alignment horizontal="center"/>
    </xf>
    <xf numFmtId="0" fontId="70" fillId="0" borderId="22" xfId="0" applyFont="1" applyBorder="1" applyAlignment="1">
      <alignment horizontal="center"/>
    </xf>
    <xf numFmtId="0" fontId="70" fillId="0" borderId="7" xfId="0" applyFont="1" applyBorder="1"/>
    <xf numFmtId="0" fontId="68" fillId="0" borderId="7" xfId="0" applyFont="1" applyBorder="1" applyAlignment="1">
      <alignment horizontal="center" vertical="center"/>
    </xf>
    <xf numFmtId="0" fontId="68" fillId="0" borderId="7" xfId="0" applyFont="1" applyBorder="1" applyAlignment="1">
      <alignment horizontal="left" vertical="center"/>
    </xf>
    <xf numFmtId="12" fontId="67" fillId="0" borderId="7" xfId="2" applyNumberFormat="1" applyFont="1" applyBorder="1" applyAlignment="1">
      <alignment horizontal="center"/>
    </xf>
    <xf numFmtId="1" fontId="67" fillId="0" borderId="7" xfId="2" applyNumberFormat="1" applyFont="1" applyBorder="1" applyAlignment="1">
      <alignment horizontal="center"/>
    </xf>
    <xf numFmtId="0" fontId="4" fillId="0" borderId="7" xfId="0" quotePrefix="1" applyFont="1" applyBorder="1" applyAlignment="1">
      <alignment horizontal="center"/>
    </xf>
    <xf numFmtId="0" fontId="4" fillId="0" borderId="7" xfId="0" quotePrefix="1" applyFont="1" applyBorder="1"/>
    <xf numFmtId="49" fontId="71" fillId="2" borderId="5" xfId="2" applyNumberFormat="1" applyFont="1" applyFill="1" applyBorder="1" applyAlignment="1">
      <alignment horizontal="center" vertical="center"/>
    </xf>
    <xf numFmtId="49" fontId="71" fillId="2" borderId="0" xfId="2" applyNumberFormat="1" applyFont="1" applyFill="1" applyAlignment="1">
      <alignment horizontal="center" vertical="center"/>
    </xf>
    <xf numFmtId="0" fontId="4" fillId="2" borderId="0" xfId="2" applyFont="1" applyFill="1"/>
    <xf numFmtId="1" fontId="4" fillId="2" borderId="0" xfId="2" applyNumberFormat="1" applyFont="1" applyFill="1" applyAlignment="1">
      <alignment horizontal="center"/>
    </xf>
    <xf numFmtId="164" fontId="4" fillId="2" borderId="0" xfId="2" applyNumberFormat="1" applyFont="1" applyFill="1" applyAlignment="1">
      <alignment horizontal="center" wrapText="1"/>
    </xf>
    <xf numFmtId="0" fontId="4" fillId="2" borderId="24" xfId="2" applyFont="1" applyFill="1" applyBorder="1" applyAlignment="1">
      <alignment horizontal="center"/>
    </xf>
    <xf numFmtId="0" fontId="4" fillId="4" borderId="25" xfId="2" applyFont="1" applyFill="1" applyBorder="1" applyAlignment="1">
      <alignment horizontal="center"/>
    </xf>
    <xf numFmtId="0" fontId="4" fillId="4" borderId="26" xfId="2" applyFont="1" applyFill="1" applyBorder="1" applyAlignment="1">
      <alignment horizontal="center"/>
    </xf>
    <xf numFmtId="0" fontId="4" fillId="4" borderId="26" xfId="2" applyFont="1" applyFill="1" applyBorder="1"/>
    <xf numFmtId="0" fontId="14" fillId="4" borderId="26" xfId="2" applyFont="1" applyFill="1" applyBorder="1" applyAlignment="1">
      <alignment horizontal="center"/>
    </xf>
    <xf numFmtId="1" fontId="14" fillId="4" borderId="26" xfId="2" applyNumberFormat="1" applyFont="1" applyFill="1" applyBorder="1" applyAlignment="1">
      <alignment horizontal="center"/>
    </xf>
    <xf numFmtId="164" fontId="4" fillId="4" borderId="26" xfId="2" applyNumberFormat="1" applyFont="1" applyFill="1" applyBorder="1" applyAlignment="1">
      <alignment horizontal="center" wrapText="1"/>
    </xf>
    <xf numFmtId="0" fontId="4" fillId="4" borderId="27" xfId="2" applyFont="1" applyFill="1" applyBorder="1" applyAlignment="1">
      <alignment horizontal="center"/>
    </xf>
    <xf numFmtId="1" fontId="14" fillId="0" borderId="13" xfId="0" applyNumberFormat="1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1" fontId="4" fillId="0" borderId="16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49" fontId="70" fillId="5" borderId="7" xfId="2" applyNumberFormat="1" applyFont="1" applyFill="1" applyBorder="1" applyAlignment="1">
      <alignment horizontal="center"/>
    </xf>
    <xf numFmtId="0" fontId="70" fillId="0" borderId="7" xfId="2" applyFont="1" applyBorder="1" applyAlignment="1">
      <alignment horizontal="left" wrapText="1"/>
    </xf>
    <xf numFmtId="16" fontId="67" fillId="0" borderId="7" xfId="2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/>
    </xf>
    <xf numFmtId="0" fontId="2" fillId="5" borderId="7" xfId="0" applyFont="1" applyFill="1" applyBorder="1"/>
    <xf numFmtId="16" fontId="67" fillId="2" borderId="7" xfId="0" applyNumberFormat="1" applyFont="1" applyFill="1" applyBorder="1" applyAlignment="1">
      <alignment horizontal="center"/>
    </xf>
    <xf numFmtId="1" fontId="67" fillId="2" borderId="7" xfId="0" applyNumberFormat="1" applyFont="1" applyFill="1" applyBorder="1" applyAlignment="1">
      <alignment horizontal="center"/>
    </xf>
    <xf numFmtId="1" fontId="67" fillId="2" borderId="7" xfId="0" applyNumberFormat="1" applyFont="1" applyFill="1" applyBorder="1" applyAlignment="1">
      <alignment horizontal="center" wrapText="1"/>
    </xf>
    <xf numFmtId="0" fontId="2" fillId="0" borderId="23" xfId="0" quotePrefix="1" applyFont="1" applyBorder="1" applyAlignment="1">
      <alignment horizontal="center"/>
    </xf>
    <xf numFmtId="0" fontId="2" fillId="0" borderId="22" xfId="0" quotePrefix="1" applyFont="1" applyBorder="1" applyAlignment="1">
      <alignment horizontal="center"/>
    </xf>
    <xf numFmtId="0" fontId="2" fillId="0" borderId="7" xfId="0" quotePrefix="1" applyFont="1" applyBorder="1"/>
    <xf numFmtId="0" fontId="2" fillId="0" borderId="7" xfId="0" applyFont="1" applyBorder="1" applyAlignment="1">
      <alignment horizontal="center"/>
    </xf>
    <xf numFmtId="1" fontId="2" fillId="0" borderId="7" xfId="0" applyNumberFormat="1" applyFont="1" applyBorder="1"/>
    <xf numFmtId="0" fontId="2" fillId="0" borderId="7" xfId="0" applyFont="1" applyBorder="1"/>
    <xf numFmtId="49" fontId="4" fillId="5" borderId="13" xfId="0" applyNumberFormat="1" applyFont="1" applyFill="1" applyBorder="1" applyAlignment="1">
      <alignment horizontal="center"/>
    </xf>
    <xf numFmtId="1" fontId="4" fillId="5" borderId="7" xfId="2" applyNumberFormat="1" applyFont="1" applyFill="1" applyBorder="1" applyAlignment="1">
      <alignment horizontal="center"/>
    </xf>
    <xf numFmtId="1" fontId="4" fillId="5" borderId="7" xfId="2" applyNumberFormat="1" applyFont="1" applyFill="1" applyBorder="1" applyAlignment="1">
      <alignment horizontal="center" wrapText="1"/>
    </xf>
    <xf numFmtId="1" fontId="4" fillId="5" borderId="7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" fontId="4" fillId="5" borderId="7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1" fontId="4" fillId="0" borderId="13" xfId="0" applyNumberFormat="1" applyFont="1" applyBorder="1" applyAlignment="1">
      <alignment horizontal="center" wrapText="1"/>
    </xf>
    <xf numFmtId="1" fontId="4" fillId="0" borderId="13" xfId="0" applyNumberFormat="1" applyFont="1" applyBorder="1" applyAlignment="1">
      <alignment horizontal="center"/>
    </xf>
    <xf numFmtId="49" fontId="67" fillId="0" borderId="7" xfId="0" applyNumberFormat="1" applyFont="1" applyBorder="1" applyAlignment="1">
      <alignment horizontal="center"/>
    </xf>
    <xf numFmtId="49" fontId="67" fillId="0" borderId="7" xfId="0" applyNumberFormat="1" applyFont="1" applyBorder="1"/>
    <xf numFmtId="0" fontId="68" fillId="0" borderId="7" xfId="5" applyFont="1" applyBorder="1" applyAlignment="1">
      <alignment horizontal="center"/>
    </xf>
    <xf numFmtId="0" fontId="68" fillId="0" borderId="7" xfId="5" applyFont="1" applyBorder="1" applyAlignment="1">
      <alignment horizontal="left"/>
    </xf>
    <xf numFmtId="16" fontId="67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49" fontId="67" fillId="0" borderId="7" xfId="2" applyNumberFormat="1" applyFont="1" applyBorder="1"/>
    <xf numFmtId="49" fontId="24" fillId="5" borderId="7" xfId="2" applyNumberFormat="1" applyFont="1" applyFill="1" applyBorder="1" applyAlignment="1">
      <alignment horizontal="center"/>
    </xf>
    <xf numFmtId="0" fontId="24" fillId="0" borderId="7" xfId="2" applyFont="1" applyBorder="1" applyAlignment="1">
      <alignment horizontal="left" wrapText="1"/>
    </xf>
    <xf numFmtId="16" fontId="35" fillId="0" borderId="7" xfId="2" applyNumberFormat="1" applyFont="1" applyBorder="1" applyAlignment="1">
      <alignment horizontal="center"/>
    </xf>
    <xf numFmtId="1" fontId="35" fillId="0" borderId="7" xfId="2" applyNumberFormat="1" applyFont="1" applyBorder="1" applyAlignment="1">
      <alignment horizontal="center"/>
    </xf>
    <xf numFmtId="1" fontId="35" fillId="0" borderId="7" xfId="2" applyNumberFormat="1" applyFont="1" applyBorder="1" applyAlignment="1">
      <alignment horizontal="center" wrapText="1"/>
    </xf>
    <xf numFmtId="0" fontId="0" fillId="0" borderId="7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16" fontId="18" fillId="2" borderId="7" xfId="0" applyNumberFormat="1" applyFont="1" applyFill="1" applyBorder="1" applyAlignment="1">
      <alignment horizontal="center"/>
    </xf>
    <xf numFmtId="1" fontId="19" fillId="2" borderId="7" xfId="0" applyNumberFormat="1" applyFont="1" applyFill="1" applyBorder="1" applyAlignment="1">
      <alignment horizontal="center"/>
    </xf>
    <xf numFmtId="1" fontId="18" fillId="2" borderId="7" xfId="0" applyNumberFormat="1" applyFont="1" applyFill="1" applyBorder="1" applyAlignment="1">
      <alignment horizontal="center" wrapText="1"/>
    </xf>
    <xf numFmtId="0" fontId="6" fillId="0" borderId="23" xfId="0" quotePrefix="1" applyFont="1" applyBorder="1" applyAlignment="1">
      <alignment horizontal="center"/>
    </xf>
    <xf numFmtId="0" fontId="6" fillId="0" borderId="22" xfId="0" quotePrefix="1" applyFont="1" applyBorder="1" applyAlignment="1">
      <alignment horizontal="center"/>
    </xf>
    <xf numFmtId="0" fontId="6" fillId="0" borderId="7" xfId="0" quotePrefix="1" applyFont="1" applyBorder="1"/>
    <xf numFmtId="0" fontId="0" fillId="0" borderId="23" xfId="0" quotePrefix="1" applyBorder="1" applyAlignment="1">
      <alignment horizontal="center"/>
    </xf>
    <xf numFmtId="0" fontId="0" fillId="0" borderId="22" xfId="0" quotePrefix="1" applyBorder="1" applyAlignment="1">
      <alignment horizontal="center"/>
    </xf>
    <xf numFmtId="0" fontId="18" fillId="0" borderId="7" xfId="2" applyFont="1" applyBorder="1" applyAlignment="1">
      <alignment horizontal="center"/>
    </xf>
    <xf numFmtId="165" fontId="18" fillId="0" borderId="7" xfId="2" applyNumberFormat="1" applyFont="1" applyBorder="1" applyAlignment="1">
      <alignment horizontal="center"/>
    </xf>
    <xf numFmtId="0" fontId="72" fillId="5" borderId="23" xfId="0" applyFont="1" applyFill="1" applyBorder="1" applyAlignment="1">
      <alignment horizontal="center"/>
    </xf>
    <xf numFmtId="0" fontId="72" fillId="5" borderId="30" xfId="0" applyFont="1" applyFill="1" applyBorder="1" applyAlignment="1">
      <alignment horizontal="center"/>
    </xf>
    <xf numFmtId="0" fontId="72" fillId="5" borderId="13" xfId="0" applyFont="1" applyFill="1" applyBorder="1"/>
    <xf numFmtId="0" fontId="11" fillId="5" borderId="22" xfId="0" applyFont="1" applyFill="1" applyBorder="1" applyAlignment="1">
      <alignment horizontal="center"/>
    </xf>
    <xf numFmtId="1" fontId="11" fillId="5" borderId="13" xfId="0" applyNumberFormat="1" applyFont="1" applyFill="1" applyBorder="1" applyAlignment="1">
      <alignment horizontal="center"/>
    </xf>
    <xf numFmtId="1" fontId="11" fillId="5" borderId="13" xfId="0" applyNumberFormat="1" applyFont="1" applyFill="1" applyBorder="1" applyAlignment="1">
      <alignment horizontal="center" wrapText="1"/>
    </xf>
    <xf numFmtId="49" fontId="11" fillId="5" borderId="13" xfId="0" applyNumberFormat="1" applyFont="1" applyFill="1" applyBorder="1" applyAlignment="1">
      <alignment horizontal="center"/>
    </xf>
    <xf numFmtId="1" fontId="11" fillId="5" borderId="7" xfId="2" applyNumberFormat="1" applyFont="1" applyFill="1" applyBorder="1" applyAlignment="1">
      <alignment horizontal="center"/>
    </xf>
    <xf numFmtId="1" fontId="11" fillId="5" borderId="7" xfId="2" applyNumberFormat="1" applyFont="1" applyFill="1" applyBorder="1" applyAlignment="1">
      <alignment horizontal="center" wrapText="1"/>
    </xf>
    <xf numFmtId="1" fontId="11" fillId="5" borderId="7" xfId="0" applyNumberFormat="1" applyFont="1" applyFill="1" applyBorder="1" applyAlignment="1">
      <alignment horizontal="center"/>
    </xf>
    <xf numFmtId="16" fontId="11" fillId="5" borderId="7" xfId="0" applyNumberFormat="1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1" fontId="11" fillId="0" borderId="13" xfId="0" applyNumberFormat="1" applyFont="1" applyBorder="1" applyAlignment="1">
      <alignment horizontal="center" wrapText="1"/>
    </xf>
    <xf numFmtId="16" fontId="11" fillId="0" borderId="7" xfId="0" applyNumberFormat="1" applyFont="1" applyBorder="1" applyAlignment="1">
      <alignment horizontal="center"/>
    </xf>
    <xf numFmtId="1" fontId="11" fillId="0" borderId="13" xfId="0" applyNumberFormat="1" applyFont="1" applyBorder="1" applyAlignment="1">
      <alignment horizontal="center"/>
    </xf>
    <xf numFmtId="1" fontId="11" fillId="0" borderId="7" xfId="0" applyNumberFormat="1" applyFont="1" applyBorder="1" applyAlignment="1">
      <alignment horizontal="center" wrapText="1"/>
    </xf>
    <xf numFmtId="49" fontId="18" fillId="0" borderId="7" xfId="0" applyNumberFormat="1" applyFont="1" applyBorder="1" applyAlignment="1">
      <alignment horizontal="center"/>
    </xf>
    <xf numFmtId="49" fontId="35" fillId="0" borderId="7" xfId="0" applyNumberFormat="1" applyFont="1" applyBorder="1"/>
    <xf numFmtId="0" fontId="10" fillId="0" borderId="7" xfId="5" applyBorder="1" applyAlignment="1">
      <alignment horizontal="center"/>
    </xf>
    <xf numFmtId="0" fontId="10" fillId="0" borderId="7" xfId="5" applyBorder="1" applyAlignment="1">
      <alignment horizontal="left"/>
    </xf>
    <xf numFmtId="16" fontId="18" fillId="0" borderId="7" xfId="0" applyNumberFormat="1" applyFont="1" applyBorder="1" applyAlignment="1">
      <alignment horizontal="center"/>
    </xf>
    <xf numFmtId="12" fontId="18" fillId="0" borderId="7" xfId="2" applyNumberFormat="1" applyFont="1" applyBorder="1" applyAlignment="1">
      <alignment horizontal="center"/>
    </xf>
    <xf numFmtId="0" fontId="11" fillId="0" borderId="7" xfId="0" quotePrefix="1" applyFont="1" applyBorder="1" applyAlignment="1">
      <alignment horizontal="center"/>
    </xf>
    <xf numFmtId="0" fontId="11" fillId="0" borderId="7" xfId="0" quotePrefix="1" applyFont="1" applyBorder="1"/>
    <xf numFmtId="49" fontId="35" fillId="0" borderId="7" xfId="2" applyNumberFormat="1" applyFont="1" applyBorder="1"/>
    <xf numFmtId="0" fontId="18" fillId="0" borderId="34" xfId="0" applyFont="1" applyBorder="1" applyAlignment="1">
      <alignment horizontal="left"/>
    </xf>
    <xf numFmtId="0" fontId="8" fillId="0" borderId="23" xfId="2" applyFont="1" applyBorder="1" applyAlignment="1">
      <alignment horizontal="center" vertical="center"/>
    </xf>
    <xf numFmtId="0" fontId="8" fillId="0" borderId="22" xfId="2" applyFont="1" applyBorder="1" applyAlignment="1">
      <alignment horizontal="center" vertical="center"/>
    </xf>
    <xf numFmtId="0" fontId="74" fillId="0" borderId="7" xfId="2" applyFont="1" applyBorder="1" applyAlignment="1">
      <alignment vertical="center"/>
    </xf>
    <xf numFmtId="0" fontId="8" fillId="0" borderId="7" xfId="2" applyFont="1" applyBorder="1" applyAlignment="1">
      <alignment horizontal="center" vertical="center"/>
    </xf>
    <xf numFmtId="1" fontId="8" fillId="0" borderId="7" xfId="2" applyNumberFormat="1" applyFont="1" applyBorder="1" applyAlignment="1">
      <alignment horizontal="center"/>
    </xf>
    <xf numFmtId="1" fontId="8" fillId="0" borderId="7" xfId="2" applyNumberFormat="1" applyFont="1" applyBorder="1" applyAlignment="1">
      <alignment horizontal="center" wrapText="1"/>
    </xf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16" fontId="7" fillId="5" borderId="13" xfId="0" applyNumberFormat="1" applyFont="1" applyFill="1" applyBorder="1" applyAlignment="1">
      <alignment horizontal="center"/>
    </xf>
    <xf numFmtId="1" fontId="7" fillId="5" borderId="13" xfId="0" applyNumberFormat="1" applyFont="1" applyFill="1" applyBorder="1" applyAlignment="1">
      <alignment horizontal="center"/>
    </xf>
    <xf numFmtId="1" fontId="7" fillId="0" borderId="13" xfId="0" applyNumberFormat="1" applyFont="1" applyBorder="1" applyAlignment="1">
      <alignment horizontal="center" wrapText="1"/>
    </xf>
    <xf numFmtId="2" fontId="8" fillId="0" borderId="7" xfId="2" applyNumberFormat="1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16" fontId="7" fillId="5" borderId="7" xfId="0" applyNumberFormat="1" applyFont="1" applyFill="1" applyBorder="1" applyAlignment="1">
      <alignment horizontal="center"/>
    </xf>
    <xf numFmtId="1" fontId="7" fillId="5" borderId="7" xfId="0" applyNumberFormat="1" applyFont="1" applyFill="1" applyBorder="1" applyAlignment="1">
      <alignment horizontal="center"/>
    </xf>
    <xf numFmtId="1" fontId="7" fillId="0" borderId="7" xfId="0" applyNumberFormat="1" applyFont="1" applyBorder="1" applyAlignment="1">
      <alignment horizontal="center" wrapText="1"/>
    </xf>
    <xf numFmtId="49" fontId="7" fillId="0" borderId="23" xfId="2" applyNumberFormat="1" applyFont="1" applyBorder="1" applyAlignment="1">
      <alignment horizontal="center"/>
    </xf>
    <xf numFmtId="49" fontId="7" fillId="0" borderId="22" xfId="2" applyNumberFormat="1" applyFont="1" applyBorder="1" applyAlignment="1">
      <alignment horizontal="center"/>
    </xf>
    <xf numFmtId="0" fontId="8" fillId="5" borderId="7" xfId="2" applyFont="1" applyFill="1" applyBorder="1" applyAlignment="1">
      <alignment horizontal="left"/>
    </xf>
    <xf numFmtId="165" fontId="7" fillId="0" borderId="7" xfId="2" applyNumberFormat="1" applyFont="1" applyBorder="1" applyAlignment="1">
      <alignment horizontal="center"/>
    </xf>
    <xf numFmtId="0" fontId="7" fillId="0" borderId="23" xfId="7" applyFont="1" applyBorder="1" applyAlignment="1">
      <alignment horizontal="center"/>
    </xf>
    <xf numFmtId="0" fontId="7" fillId="5" borderId="7" xfId="7" applyFont="1" applyFill="1" applyBorder="1"/>
    <xf numFmtId="16" fontId="7" fillId="0" borderId="7" xfId="7" applyNumberFormat="1" applyFont="1" applyBorder="1" applyAlignment="1">
      <alignment horizontal="center"/>
    </xf>
    <xf numFmtId="49" fontId="8" fillId="0" borderId="33" xfId="2" applyNumberFormat="1" applyFont="1" applyBorder="1" applyAlignment="1">
      <alignment horizontal="center"/>
    </xf>
    <xf numFmtId="49" fontId="8" fillId="0" borderId="34" xfId="2" applyNumberFormat="1" applyFont="1" applyBorder="1" applyAlignment="1">
      <alignment horizontal="center"/>
    </xf>
    <xf numFmtId="0" fontId="74" fillId="5" borderId="7" xfId="2" applyFont="1" applyFill="1" applyBorder="1" applyAlignment="1">
      <alignment vertical="center"/>
    </xf>
    <xf numFmtId="0" fontId="8" fillId="0" borderId="22" xfId="2" applyFont="1" applyBorder="1" applyAlignment="1">
      <alignment horizontal="center"/>
    </xf>
    <xf numFmtId="1" fontId="7" fillId="0" borderId="7" xfId="0" applyNumberFormat="1" applyFont="1" applyBorder="1" applyAlignment="1">
      <alignment horizontal="center"/>
    </xf>
    <xf numFmtId="16" fontId="7" fillId="0" borderId="7" xfId="0" applyNumberFormat="1" applyFont="1" applyBorder="1" applyAlignment="1">
      <alignment horizontal="center"/>
    </xf>
    <xf numFmtId="49" fontId="7" fillId="0" borderId="7" xfId="0" applyNumberFormat="1" applyFont="1" applyBorder="1" applyAlignment="1">
      <alignment horizontal="center"/>
    </xf>
    <xf numFmtId="49" fontId="7" fillId="5" borderId="23" xfId="2" applyNumberFormat="1" applyFont="1" applyFill="1" applyBorder="1" applyAlignment="1">
      <alignment horizontal="center"/>
    </xf>
    <xf numFmtId="49" fontId="7" fillId="5" borderId="22" xfId="2" applyNumberFormat="1" applyFont="1" applyFill="1" applyBorder="1" applyAlignment="1">
      <alignment horizontal="center"/>
    </xf>
    <xf numFmtId="49" fontId="7" fillId="5" borderId="7" xfId="2" applyNumberFormat="1" applyFont="1" applyFill="1" applyBorder="1"/>
    <xf numFmtId="49" fontId="7" fillId="0" borderId="7" xfId="2" applyNumberFormat="1" applyFont="1" applyBorder="1"/>
    <xf numFmtId="0" fontId="7" fillId="2" borderId="0" xfId="2" applyFont="1" applyFill="1"/>
    <xf numFmtId="0" fontId="11" fillId="2" borderId="0" xfId="2" applyFont="1" applyFill="1" applyAlignment="1">
      <alignment horizontal="left" indent="1"/>
    </xf>
    <xf numFmtId="1" fontId="7" fillId="0" borderId="13" xfId="0" applyNumberFormat="1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9" fontId="11" fillId="2" borderId="0" xfId="8" applyFont="1" applyFill="1"/>
    <xf numFmtId="1" fontId="7" fillId="0" borderId="16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0" fillId="0" borderId="22" xfId="0" applyBorder="1" applyAlignment="1">
      <alignment horizontal="center"/>
    </xf>
    <xf numFmtId="1" fontId="0" fillId="0" borderId="22" xfId="0" applyNumberFormat="1" applyBorder="1"/>
    <xf numFmtId="0" fontId="6" fillId="0" borderId="61" xfId="2" applyBorder="1" applyAlignment="1">
      <alignment horizontal="center" vertical="center"/>
    </xf>
    <xf numFmtId="0" fontId="6" fillId="0" borderId="7" xfId="2" applyBorder="1" applyAlignment="1">
      <alignment horizontal="center" vertical="center"/>
    </xf>
    <xf numFmtId="0" fontId="6" fillId="0" borderId="62" xfId="2" applyBorder="1" applyAlignment="1">
      <alignment horizontal="left" vertical="center"/>
    </xf>
    <xf numFmtId="16" fontId="11" fillId="0" borderId="13" xfId="2" applyNumberFormat="1" applyFont="1" applyBorder="1" applyAlignment="1">
      <alignment horizontal="center"/>
    </xf>
    <xf numFmtId="1" fontId="11" fillId="0" borderId="7" xfId="2" applyNumberFormat="1" applyFont="1" applyBorder="1" applyAlignment="1">
      <alignment horizontal="center"/>
    </xf>
    <xf numFmtId="1" fontId="11" fillId="0" borderId="7" xfId="2" applyNumberFormat="1" applyFont="1" applyBorder="1" applyAlignment="1">
      <alignment horizontal="center" wrapText="1"/>
    </xf>
    <xf numFmtId="0" fontId="11" fillId="0" borderId="20" xfId="2" quotePrefix="1" applyFont="1" applyBorder="1" applyAlignment="1">
      <alignment horizontal="center"/>
    </xf>
    <xf numFmtId="0" fontId="11" fillId="0" borderId="7" xfId="2" quotePrefix="1" applyFont="1" applyBorder="1" applyAlignment="1">
      <alignment horizontal="center"/>
    </xf>
    <xf numFmtId="0" fontId="11" fillId="0" borderId="22" xfId="2" quotePrefix="1" applyFont="1" applyBorder="1"/>
    <xf numFmtId="16" fontId="11" fillId="0" borderId="7" xfId="2" applyNumberFormat="1" applyFont="1" applyBorder="1" applyAlignment="1">
      <alignment horizontal="center"/>
    </xf>
    <xf numFmtId="0" fontId="0" fillId="0" borderId="7" xfId="0" applyBorder="1" applyAlignment="1">
      <alignment horizontal="left"/>
    </xf>
    <xf numFmtId="0" fontId="75" fillId="0" borderId="7" xfId="0" applyFont="1" applyBorder="1" applyAlignment="1">
      <alignment horizontal="center" vertical="center"/>
    </xf>
    <xf numFmtId="0" fontId="20" fillId="0" borderId="7" xfId="0" applyFont="1" applyBorder="1"/>
    <xf numFmtId="1" fontId="13" fillId="5" borderId="63" xfId="2" applyNumberFormat="1" applyFont="1" applyFill="1" applyBorder="1" applyAlignment="1">
      <alignment horizontal="center" wrapText="1"/>
    </xf>
    <xf numFmtId="0" fontId="35" fillId="0" borderId="7" xfId="0" applyFont="1" applyBorder="1" applyAlignment="1">
      <alignment horizontal="center" vertical="center"/>
    </xf>
    <xf numFmtId="0" fontId="23" fillId="0" borderId="7" xfId="0" applyFont="1" applyBorder="1" applyAlignment="1">
      <alignment vertical="center"/>
    </xf>
    <xf numFmtId="1" fontId="16" fillId="0" borderId="7" xfId="0" applyNumberFormat="1" applyFont="1" applyBorder="1" applyAlignment="1">
      <alignment horizontal="center"/>
    </xf>
    <xf numFmtId="2" fontId="16" fillId="0" borderId="7" xfId="2" applyNumberFormat="1" applyFon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2" fontId="16" fillId="0" borderId="7" xfId="2" applyNumberFormat="1" applyFont="1" applyBorder="1" applyAlignment="1">
      <alignment horizontal="center" wrapText="1"/>
    </xf>
    <xf numFmtId="0" fontId="6" fillId="0" borderId="23" xfId="7" applyBorder="1" applyAlignment="1">
      <alignment horizontal="center"/>
    </xf>
    <xf numFmtId="0" fontId="6" fillId="5" borderId="7" xfId="7" applyFill="1" applyBorder="1"/>
    <xf numFmtId="16" fontId="18" fillId="0" borderId="7" xfId="7" applyNumberFormat="1" applyFont="1" applyBorder="1" applyAlignment="1">
      <alignment horizontal="center"/>
    </xf>
    <xf numFmtId="0" fontId="6" fillId="0" borderId="7" xfId="7" applyBorder="1" applyAlignment="1">
      <alignment horizontal="center"/>
    </xf>
    <xf numFmtId="1" fontId="18" fillId="0" borderId="7" xfId="7" applyNumberFormat="1" applyFont="1" applyBorder="1" applyAlignment="1">
      <alignment horizontal="center"/>
    </xf>
    <xf numFmtId="1" fontId="18" fillId="0" borderId="7" xfId="7" applyNumberFormat="1" applyFont="1" applyBorder="1" applyAlignment="1">
      <alignment horizontal="center" wrapText="1"/>
    </xf>
    <xf numFmtId="16" fontId="18" fillId="0" borderId="22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30" fillId="0" borderId="30" xfId="0" applyFont="1" applyBorder="1" applyAlignment="1">
      <alignment horizontal="center"/>
    </xf>
    <xf numFmtId="0" fontId="30" fillId="0" borderId="30" xfId="0" applyFont="1" applyBorder="1" applyAlignment="1">
      <alignment horizontal="left"/>
    </xf>
    <xf numFmtId="0" fontId="76" fillId="0" borderId="12" xfId="2" applyFont="1" applyBorder="1" applyAlignment="1">
      <alignment horizontal="center" vertical="center"/>
    </xf>
    <xf numFmtId="0" fontId="76" fillId="0" borderId="30" xfId="2" applyFont="1" applyBorder="1" applyAlignment="1">
      <alignment horizontal="center" vertical="center"/>
    </xf>
    <xf numFmtId="0" fontId="30" fillId="0" borderId="13" xfId="2" applyFont="1" applyBorder="1"/>
    <xf numFmtId="0" fontId="30" fillId="0" borderId="13" xfId="2" applyFont="1" applyBorder="1" applyAlignment="1">
      <alignment horizontal="center"/>
    </xf>
    <xf numFmtId="1" fontId="30" fillId="0" borderId="7" xfId="2" applyNumberFormat="1" applyFont="1" applyBorder="1" applyAlignment="1">
      <alignment horizontal="center"/>
    </xf>
    <xf numFmtId="1" fontId="30" fillId="0" borderId="7" xfId="2" applyNumberFormat="1" applyFont="1" applyBorder="1" applyAlignment="1">
      <alignment horizontal="center" wrapText="1"/>
    </xf>
    <xf numFmtId="1" fontId="13" fillId="5" borderId="7" xfId="2" applyNumberFormat="1" applyFont="1" applyFill="1" applyBorder="1" applyAlignment="1">
      <alignment horizontal="center" wrapText="1"/>
    </xf>
    <xf numFmtId="0" fontId="77" fillId="0" borderId="23" xfId="0" quotePrefix="1" applyFont="1" applyBorder="1" applyAlignment="1">
      <alignment horizontal="center"/>
    </xf>
    <xf numFmtId="0" fontId="77" fillId="0" borderId="22" xfId="0" quotePrefix="1" applyFont="1" applyBorder="1" applyAlignment="1">
      <alignment horizontal="center"/>
    </xf>
    <xf numFmtId="0" fontId="78" fillId="0" borderId="7" xfId="0" quotePrefix="1" applyFont="1" applyBorder="1"/>
    <xf numFmtId="0" fontId="13" fillId="5" borderId="7" xfId="0" applyFont="1" applyFill="1" applyBorder="1" applyAlignment="1">
      <alignment horizontal="center" vertical="center"/>
    </xf>
    <xf numFmtId="1" fontId="11" fillId="5" borderId="7" xfId="0" applyNumberFormat="1" applyFont="1" applyFill="1" applyBorder="1" applyAlignment="1">
      <alignment horizontal="center" wrapText="1"/>
    </xf>
    <xf numFmtId="49" fontId="18" fillId="5" borderId="23" xfId="2" applyNumberFormat="1" applyFont="1" applyFill="1" applyBorder="1" applyAlignment="1">
      <alignment horizontal="center"/>
    </xf>
    <xf numFmtId="49" fontId="18" fillId="5" borderId="22" xfId="2" applyNumberFormat="1" applyFont="1" applyFill="1" applyBorder="1" applyAlignment="1">
      <alignment horizontal="center"/>
    </xf>
    <xf numFmtId="49" fontId="35" fillId="5" borderId="7" xfId="2" applyNumberFormat="1" applyFont="1" applyFill="1" applyBorder="1"/>
    <xf numFmtId="1" fontId="6" fillId="0" borderId="13" xfId="0" applyNumberFormat="1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" fontId="27" fillId="0" borderId="7" xfId="0" applyNumberFormat="1" applyFont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1" fontId="6" fillId="0" borderId="16" xfId="0" applyNumberFormat="1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9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0" fontId="80" fillId="0" borderId="12" xfId="0" applyFont="1" applyBorder="1" applyAlignment="1">
      <alignment horizontal="center" vertical="center"/>
    </xf>
    <xf numFmtId="0" fontId="80" fillId="0" borderId="30" xfId="0" applyFont="1" applyBorder="1" applyAlignment="1">
      <alignment horizontal="center" vertical="center"/>
    </xf>
    <xf numFmtId="0" fontId="81" fillId="0" borderId="0" xfId="0" applyFont="1" applyAlignment="1">
      <alignment horizontal="center"/>
    </xf>
    <xf numFmtId="49" fontId="6" fillId="0" borderId="7" xfId="9" applyNumberFormat="1" applyBorder="1"/>
    <xf numFmtId="16" fontId="30" fillId="0" borderId="7" xfId="9" applyNumberFormat="1" applyFont="1" applyBorder="1" applyAlignment="1">
      <alignment horizontal="center"/>
    </xf>
    <xf numFmtId="1" fontId="30" fillId="0" borderId="7" xfId="9" applyNumberFormat="1" applyFont="1" applyBorder="1" applyAlignment="1">
      <alignment horizontal="center"/>
    </xf>
    <xf numFmtId="49" fontId="18" fillId="0" borderId="23" xfId="10" applyNumberFormat="1" applyFont="1" applyBorder="1" applyAlignment="1">
      <alignment horizontal="center"/>
    </xf>
    <xf numFmtId="49" fontId="18" fillId="0" borderId="22" xfId="10" applyNumberFormat="1" applyFont="1" applyBorder="1" applyAlignment="1">
      <alignment horizontal="center"/>
    </xf>
    <xf numFmtId="49" fontId="35" fillId="0" borderId="7" xfId="10" applyNumberFormat="1" applyFont="1" applyBorder="1"/>
    <xf numFmtId="0" fontId="18" fillId="0" borderId="7" xfId="1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2" fontId="11" fillId="0" borderId="13" xfId="2" applyNumberFormat="1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2" fontId="18" fillId="0" borderId="7" xfId="2" applyNumberFormat="1" applyFont="1" applyBorder="1" applyAlignment="1">
      <alignment horizontal="center"/>
    </xf>
    <xf numFmtId="0" fontId="10" fillId="0" borderId="23" xfId="5" applyBorder="1" applyAlignment="1">
      <alignment horizontal="center"/>
    </xf>
    <xf numFmtId="0" fontId="0" fillId="0" borderId="22" xfId="5" applyFont="1" applyBorder="1" applyAlignment="1">
      <alignment horizontal="center"/>
    </xf>
    <xf numFmtId="0" fontId="10" fillId="0" borderId="7" xfId="5" applyBorder="1"/>
    <xf numFmtId="0" fontId="10" fillId="0" borderId="7" xfId="5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83" fillId="2" borderId="3" xfId="1" applyFont="1" applyFill="1" applyBorder="1" applyAlignment="1">
      <alignment horizontal="right"/>
    </xf>
    <xf numFmtId="0" fontId="82" fillId="2" borderId="4" xfId="1" applyFont="1" applyFill="1" applyBorder="1" applyAlignment="1">
      <alignment horizontal="center"/>
    </xf>
    <xf numFmtId="0" fontId="83" fillId="2" borderId="7" xfId="1" applyFont="1" applyFill="1" applyBorder="1" applyAlignment="1">
      <alignment horizontal="right"/>
    </xf>
    <xf numFmtId="49" fontId="82" fillId="2" borderId="8" xfId="1" applyNumberFormat="1" applyFont="1" applyFill="1" applyBorder="1" applyAlignment="1">
      <alignment horizontal="center"/>
    </xf>
    <xf numFmtId="0" fontId="82" fillId="2" borderId="13" xfId="1" applyFont="1" applyFill="1" applyBorder="1" applyAlignment="1">
      <alignment horizontal="right"/>
    </xf>
    <xf numFmtId="0" fontId="82" fillId="2" borderId="7" xfId="1" applyFont="1" applyFill="1" applyBorder="1" applyAlignment="1">
      <alignment horizontal="right"/>
    </xf>
    <xf numFmtId="14" fontId="86" fillId="2" borderId="0" xfId="1" applyNumberFormat="1" applyFont="1" applyFill="1" applyAlignment="1">
      <alignment horizontal="center" vertical="center" wrapText="1"/>
    </xf>
    <xf numFmtId="0" fontId="83" fillId="4" borderId="4" xfId="2" applyFont="1" applyFill="1" applyBorder="1" applyAlignment="1">
      <alignment horizontal="center" vertical="center" wrapText="1"/>
    </xf>
    <xf numFmtId="1" fontId="83" fillId="4" borderId="16" xfId="2" applyNumberFormat="1" applyFont="1" applyFill="1" applyBorder="1" applyAlignment="1">
      <alignment horizontal="center"/>
    </xf>
    <xf numFmtId="1" fontId="83" fillId="4" borderId="16" xfId="2" applyNumberFormat="1" applyFont="1" applyFill="1" applyBorder="1" applyAlignment="1">
      <alignment horizontal="center" wrapText="1"/>
    </xf>
    <xf numFmtId="0" fontId="83" fillId="4" borderId="17" xfId="2" applyFont="1" applyFill="1" applyBorder="1" applyAlignment="1">
      <alignment horizontal="center"/>
    </xf>
    <xf numFmtId="0" fontId="87" fillId="0" borderId="23" xfId="2" applyFont="1" applyBorder="1" applyAlignment="1">
      <alignment horizontal="center" vertical="center"/>
    </xf>
    <xf numFmtId="0" fontId="87" fillId="0" borderId="22" xfId="2" applyFont="1" applyBorder="1" applyAlignment="1">
      <alignment horizontal="center" vertical="center"/>
    </xf>
    <xf numFmtId="0" fontId="88" fillId="0" borderId="7" xfId="2" applyFont="1" applyBorder="1" applyAlignment="1">
      <alignment vertical="center"/>
    </xf>
    <xf numFmtId="0" fontId="87" fillId="0" borderId="7" xfId="2" applyFont="1" applyBorder="1" applyAlignment="1">
      <alignment horizontal="center" vertical="center"/>
    </xf>
    <xf numFmtId="1" fontId="87" fillId="0" borderId="7" xfId="2" applyNumberFormat="1" applyFont="1" applyBorder="1" applyAlignment="1">
      <alignment horizontal="center"/>
    </xf>
    <xf numFmtId="1" fontId="87" fillId="0" borderId="7" xfId="2" applyNumberFormat="1" applyFont="1" applyBorder="1" applyAlignment="1">
      <alignment horizontal="center" wrapText="1"/>
    </xf>
    <xf numFmtId="0" fontId="89" fillId="0" borderId="8" xfId="2" applyFont="1" applyBorder="1" applyAlignment="1">
      <alignment horizontal="center"/>
    </xf>
    <xf numFmtId="0" fontId="90" fillId="5" borderId="23" xfId="0" applyFont="1" applyFill="1" applyBorder="1" applyAlignment="1">
      <alignment horizontal="center"/>
    </xf>
    <xf numFmtId="0" fontId="90" fillId="5" borderId="7" xfId="0" applyFont="1" applyFill="1" applyBorder="1" applyAlignment="1">
      <alignment horizontal="center"/>
    </xf>
    <xf numFmtId="0" fontId="90" fillId="5" borderId="13" xfId="0" applyFont="1" applyFill="1" applyBorder="1"/>
    <xf numFmtId="0" fontId="82" fillId="5" borderId="22" xfId="0" applyFont="1" applyFill="1" applyBorder="1" applyAlignment="1">
      <alignment horizontal="center"/>
    </xf>
    <xf numFmtId="1" fontId="82" fillId="5" borderId="7" xfId="0" applyNumberFormat="1" applyFont="1" applyFill="1" applyBorder="1" applyAlignment="1">
      <alignment horizontal="center"/>
    </xf>
    <xf numFmtId="1" fontId="82" fillId="5" borderId="7" xfId="0" applyNumberFormat="1" applyFont="1" applyFill="1" applyBorder="1" applyAlignment="1">
      <alignment horizontal="center" wrapText="1"/>
    </xf>
    <xf numFmtId="0" fontId="82" fillId="0" borderId="13" xfId="0" applyFont="1" applyBorder="1" applyAlignment="1">
      <alignment horizontal="center" wrapText="1"/>
    </xf>
    <xf numFmtId="12" fontId="82" fillId="0" borderId="13" xfId="0" applyNumberFormat="1" applyFont="1" applyBorder="1" applyAlignment="1">
      <alignment horizontal="center"/>
    </xf>
    <xf numFmtId="0" fontId="90" fillId="5" borderId="22" xfId="0" applyFont="1" applyFill="1" applyBorder="1" applyAlignment="1">
      <alignment horizontal="center"/>
    </xf>
    <xf numFmtId="0" fontId="90" fillId="5" borderId="7" xfId="0" applyFont="1" applyFill="1" applyBorder="1"/>
    <xf numFmtId="1" fontId="82" fillId="5" borderId="13" xfId="0" applyNumberFormat="1" applyFont="1" applyFill="1" applyBorder="1" applyAlignment="1">
      <alignment horizontal="center"/>
    </xf>
    <xf numFmtId="1" fontId="82" fillId="5" borderId="13" xfId="0" applyNumberFormat="1" applyFont="1" applyFill="1" applyBorder="1" applyAlignment="1">
      <alignment horizontal="center" wrapText="1"/>
    </xf>
    <xf numFmtId="0" fontId="82" fillId="0" borderId="7" xfId="0" applyFont="1" applyBorder="1" applyAlignment="1">
      <alignment horizontal="center"/>
    </xf>
    <xf numFmtId="0" fontId="83" fillId="6" borderId="7" xfId="0" applyFont="1" applyFill="1" applyBorder="1" applyAlignment="1">
      <alignment horizontal="left"/>
    </xf>
    <xf numFmtId="0" fontId="82" fillId="0" borderId="13" xfId="0" applyFont="1" applyBorder="1" applyAlignment="1">
      <alignment horizontal="center"/>
    </xf>
    <xf numFmtId="0" fontId="7" fillId="0" borderId="0" xfId="0" applyFont="1"/>
    <xf numFmtId="0" fontId="91" fillId="0" borderId="7" xfId="0" applyFont="1" applyBorder="1" applyAlignment="1">
      <alignment horizontal="center" vertical="center"/>
    </xf>
    <xf numFmtId="0" fontId="91" fillId="6" borderId="7" xfId="0" applyFont="1" applyFill="1" applyBorder="1" applyAlignment="1">
      <alignment horizontal="left" vertical="center"/>
    </xf>
    <xf numFmtId="0" fontId="82" fillId="0" borderId="7" xfId="0" applyFont="1" applyBorder="1" applyAlignment="1">
      <alignment horizontal="center" wrapText="1"/>
    </xf>
    <xf numFmtId="0" fontId="91" fillId="0" borderId="7" xfId="0" applyFont="1" applyBorder="1" applyAlignment="1">
      <alignment horizontal="center"/>
    </xf>
    <xf numFmtId="0" fontId="91" fillId="6" borderId="7" xfId="0" applyFont="1" applyFill="1" applyBorder="1"/>
    <xf numFmtId="0" fontId="92" fillId="0" borderId="7" xfId="0" applyFont="1" applyBorder="1" applyAlignment="1">
      <alignment horizontal="center"/>
    </xf>
    <xf numFmtId="0" fontId="92" fillId="0" borderId="7" xfId="0" applyFont="1" applyBorder="1"/>
    <xf numFmtId="16" fontId="89" fillId="0" borderId="22" xfId="0" applyNumberFormat="1" applyFont="1" applyBorder="1" applyAlignment="1">
      <alignment horizontal="center"/>
    </xf>
    <xf numFmtId="1" fontId="89" fillId="0" borderId="7" xfId="0" applyNumberFormat="1" applyFont="1" applyBorder="1" applyAlignment="1">
      <alignment horizontal="center"/>
    </xf>
    <xf numFmtId="1" fontId="89" fillId="0" borderId="7" xfId="0" applyNumberFormat="1" applyFont="1" applyBorder="1" applyAlignment="1">
      <alignment horizontal="center" wrapText="1"/>
    </xf>
    <xf numFmtId="49" fontId="89" fillId="0" borderId="23" xfId="2" applyNumberFormat="1" applyFont="1" applyBorder="1" applyAlignment="1">
      <alignment horizontal="center"/>
    </xf>
    <xf numFmtId="49" fontId="89" fillId="0" borderId="22" xfId="2" applyNumberFormat="1" applyFont="1" applyBorder="1" applyAlignment="1">
      <alignment horizontal="center"/>
    </xf>
    <xf numFmtId="0" fontId="87" fillId="5" borderId="7" xfId="2" applyFont="1" applyFill="1" applyBorder="1" applyAlignment="1">
      <alignment horizontal="left"/>
    </xf>
    <xf numFmtId="0" fontId="89" fillId="0" borderId="7" xfId="2" applyFont="1" applyBorder="1" applyAlignment="1">
      <alignment horizontal="center"/>
    </xf>
    <xf numFmtId="165" fontId="89" fillId="0" borderId="7" xfId="2" applyNumberFormat="1" applyFont="1" applyBorder="1" applyAlignment="1">
      <alignment horizontal="center"/>
    </xf>
    <xf numFmtId="1" fontId="89" fillId="0" borderId="7" xfId="2" applyNumberFormat="1" applyFont="1" applyBorder="1" applyAlignment="1">
      <alignment horizontal="center" wrapText="1"/>
    </xf>
    <xf numFmtId="0" fontId="90" fillId="5" borderId="30" xfId="0" applyFont="1" applyFill="1" applyBorder="1" applyAlignment="1">
      <alignment horizontal="center"/>
    </xf>
    <xf numFmtId="1" fontId="82" fillId="5" borderId="7" xfId="2" applyNumberFormat="1" applyFont="1" applyFill="1" applyBorder="1" applyAlignment="1">
      <alignment horizontal="center"/>
    </xf>
    <xf numFmtId="1" fontId="82" fillId="5" borderId="7" xfId="2" applyNumberFormat="1" applyFont="1" applyFill="1" applyBorder="1" applyAlignment="1">
      <alignment horizontal="center" wrapText="1"/>
    </xf>
    <xf numFmtId="0" fontId="92" fillId="0" borderId="0" xfId="0" applyFont="1" applyAlignment="1">
      <alignment horizontal="center"/>
    </xf>
    <xf numFmtId="0" fontId="92" fillId="0" borderId="0" xfId="0" applyFont="1"/>
    <xf numFmtId="16" fontId="82" fillId="5" borderId="7" xfId="0" applyNumberFormat="1" applyFont="1" applyFill="1" applyBorder="1" applyAlignment="1">
      <alignment horizontal="center"/>
    </xf>
    <xf numFmtId="0" fontId="82" fillId="2" borderId="7" xfId="0" applyFont="1" applyFill="1" applyBorder="1" applyAlignment="1">
      <alignment horizontal="center"/>
    </xf>
    <xf numFmtId="1" fontId="82" fillId="0" borderId="13" xfId="0" applyNumberFormat="1" applyFont="1" applyBorder="1" applyAlignment="1">
      <alignment horizontal="center" wrapText="1"/>
    </xf>
    <xf numFmtId="16" fontId="82" fillId="0" borderId="7" xfId="0" applyNumberFormat="1" applyFont="1" applyBorder="1" applyAlignment="1">
      <alignment horizontal="center"/>
    </xf>
    <xf numFmtId="1" fontId="82" fillId="0" borderId="13" xfId="0" applyNumberFormat="1" applyFont="1" applyBorder="1" applyAlignment="1">
      <alignment horizontal="center"/>
    </xf>
    <xf numFmtId="1" fontId="82" fillId="0" borderId="7" xfId="0" applyNumberFormat="1" applyFont="1" applyBorder="1" applyAlignment="1">
      <alignment horizontal="center"/>
    </xf>
    <xf numFmtId="1" fontId="82" fillId="0" borderId="7" xfId="0" applyNumberFormat="1" applyFont="1" applyBorder="1" applyAlignment="1">
      <alignment horizontal="center" wrapText="1"/>
    </xf>
    <xf numFmtId="49" fontId="87" fillId="0" borderId="33" xfId="2" applyNumberFormat="1" applyFont="1" applyBorder="1" applyAlignment="1">
      <alignment horizontal="center"/>
    </xf>
    <xf numFmtId="49" fontId="87" fillId="0" borderId="34" xfId="2" applyNumberFormat="1" applyFont="1" applyBorder="1" applyAlignment="1">
      <alignment horizontal="center"/>
    </xf>
    <xf numFmtId="0" fontId="88" fillId="5" borderId="7" xfId="2" applyFont="1" applyFill="1" applyBorder="1" applyAlignment="1">
      <alignment vertical="center"/>
    </xf>
    <xf numFmtId="0" fontId="87" fillId="0" borderId="22" xfId="2" applyFont="1" applyBorder="1" applyAlignment="1">
      <alignment horizontal="center"/>
    </xf>
    <xf numFmtId="165" fontId="87" fillId="0" borderId="7" xfId="2" applyNumberFormat="1" applyFont="1" applyBorder="1" applyAlignment="1">
      <alignment horizontal="center"/>
    </xf>
    <xf numFmtId="49" fontId="89" fillId="0" borderId="7" xfId="2" applyNumberFormat="1" applyFont="1" applyBorder="1" applyAlignment="1">
      <alignment horizontal="center"/>
    </xf>
    <xf numFmtId="49" fontId="89" fillId="0" borderId="7" xfId="2" applyNumberFormat="1" applyFont="1" applyBorder="1"/>
    <xf numFmtId="16" fontId="89" fillId="0" borderId="7" xfId="2" applyNumberFormat="1" applyFont="1" applyBorder="1" applyAlignment="1">
      <alignment horizontal="center"/>
    </xf>
    <xf numFmtId="1" fontId="82" fillId="0" borderId="13" xfId="2" applyNumberFormat="1" applyFont="1" applyBorder="1" applyAlignment="1">
      <alignment horizontal="center"/>
    </xf>
    <xf numFmtId="0" fontId="82" fillId="0" borderId="13" xfId="2" applyFont="1" applyBorder="1" applyAlignment="1">
      <alignment horizontal="center"/>
    </xf>
    <xf numFmtId="166" fontId="83" fillId="5" borderId="7" xfId="4" applyNumberFormat="1" applyFont="1" applyFill="1" applyBorder="1" applyAlignment="1">
      <alignment horizontal="center"/>
    </xf>
    <xf numFmtId="0" fontId="92" fillId="0" borderId="7" xfId="0" applyFont="1" applyBorder="1" applyAlignment="1">
      <alignment horizontal="center" vertical="center"/>
    </xf>
    <xf numFmtId="0" fontId="92" fillId="0" borderId="7" xfId="0" applyFont="1" applyBorder="1" applyAlignment="1">
      <alignment horizontal="left" vertical="center"/>
    </xf>
    <xf numFmtId="0" fontId="89" fillId="0" borderId="7" xfId="0" applyFont="1" applyBorder="1" applyAlignment="1">
      <alignment horizontal="center"/>
    </xf>
    <xf numFmtId="0" fontId="89" fillId="0" borderId="11" xfId="0" applyFont="1" applyBorder="1" applyAlignment="1">
      <alignment horizontal="center"/>
    </xf>
    <xf numFmtId="0" fontId="89" fillId="0" borderId="7" xfId="0" applyFont="1" applyBorder="1" applyAlignment="1">
      <alignment horizontal="center" wrapText="1"/>
    </xf>
    <xf numFmtId="1" fontId="92" fillId="0" borderId="7" xfId="0" applyNumberFormat="1" applyFont="1" applyBorder="1" applyAlignment="1">
      <alignment horizontal="left" vertical="center"/>
    </xf>
    <xf numFmtId="12" fontId="89" fillId="0" borderId="7" xfId="2" applyNumberFormat="1" applyFont="1" applyBorder="1" applyAlignment="1">
      <alignment horizontal="center"/>
    </xf>
    <xf numFmtId="49" fontId="93" fillId="2" borderId="5" xfId="2" applyNumberFormat="1" applyFont="1" applyFill="1" applyBorder="1" applyAlignment="1">
      <alignment horizontal="center" vertical="center"/>
    </xf>
    <xf numFmtId="49" fontId="93" fillId="2" borderId="0" xfId="2" applyNumberFormat="1" applyFont="1" applyFill="1" applyAlignment="1">
      <alignment horizontal="center" vertical="center"/>
    </xf>
    <xf numFmtId="0" fontId="82" fillId="2" borderId="0" xfId="2" applyFont="1" applyFill="1"/>
    <xf numFmtId="1" fontId="82" fillId="2" borderId="0" xfId="2" applyNumberFormat="1" applyFont="1" applyFill="1" applyAlignment="1">
      <alignment horizontal="center"/>
    </xf>
    <xf numFmtId="164" fontId="82" fillId="2" borderId="0" xfId="2" applyNumberFormat="1" applyFont="1" applyFill="1" applyAlignment="1">
      <alignment horizontal="center" wrapText="1"/>
    </xf>
    <xf numFmtId="0" fontId="82" fillId="2" borderId="24" xfId="2" applyFont="1" applyFill="1" applyBorder="1" applyAlignment="1">
      <alignment horizontal="center"/>
    </xf>
    <xf numFmtId="0" fontId="82" fillId="4" borderId="25" xfId="2" applyFont="1" applyFill="1" applyBorder="1" applyAlignment="1">
      <alignment horizontal="center"/>
    </xf>
    <xf numFmtId="0" fontId="82" fillId="4" borderId="26" xfId="2" applyFont="1" applyFill="1" applyBorder="1" applyAlignment="1">
      <alignment horizontal="center"/>
    </xf>
    <xf numFmtId="0" fontId="82" fillId="4" borderId="26" xfId="2" applyFont="1" applyFill="1" applyBorder="1"/>
    <xf numFmtId="0" fontId="83" fillId="4" borderId="26" xfId="2" applyFont="1" applyFill="1" applyBorder="1" applyAlignment="1">
      <alignment horizontal="center"/>
    </xf>
    <xf numFmtId="1" fontId="83" fillId="4" borderId="26" xfId="2" applyNumberFormat="1" applyFont="1" applyFill="1" applyBorder="1" applyAlignment="1">
      <alignment horizontal="center"/>
    </xf>
    <xf numFmtId="164" fontId="82" fillId="4" borderId="26" xfId="2" applyNumberFormat="1" applyFont="1" applyFill="1" applyBorder="1" applyAlignment="1">
      <alignment horizontal="center" wrapText="1"/>
    </xf>
    <xf numFmtId="0" fontId="82" fillId="4" borderId="27" xfId="2" applyFont="1" applyFill="1" applyBorder="1" applyAlignment="1">
      <alignment horizontal="center"/>
    </xf>
    <xf numFmtId="0" fontId="82" fillId="0" borderId="31" xfId="0" applyFont="1" applyBorder="1" applyAlignment="1">
      <alignment horizontal="center"/>
    </xf>
    <xf numFmtId="1" fontId="82" fillId="0" borderId="16" xfId="0" applyNumberFormat="1" applyFont="1" applyBorder="1" applyAlignment="1">
      <alignment horizontal="center"/>
    </xf>
    <xf numFmtId="0" fontId="82" fillId="0" borderId="16" xfId="0" applyFont="1" applyBorder="1" applyAlignment="1">
      <alignment horizontal="center"/>
    </xf>
    <xf numFmtId="14" fontId="4" fillId="2" borderId="9" xfId="1" applyNumberFormat="1" applyFont="1" applyFill="1" applyBorder="1" applyAlignment="1">
      <alignment horizontal="center" vertical="center" wrapText="1"/>
    </xf>
    <xf numFmtId="14" fontId="4" fillId="2" borderId="10" xfId="1" applyNumberFormat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8" fillId="0" borderId="28" xfId="2" applyFont="1" applyBorder="1" applyAlignment="1">
      <alignment horizontal="right"/>
    </xf>
    <xf numFmtId="0" fontId="8" fillId="0" borderId="29" xfId="2" applyFont="1" applyBorder="1" applyAlignment="1">
      <alignment horizontal="right"/>
    </xf>
    <xf numFmtId="0" fontId="8" fillId="0" borderId="30" xfId="2" applyFont="1" applyBorder="1" applyAlignment="1">
      <alignment horizontal="right"/>
    </xf>
    <xf numFmtId="164" fontId="7" fillId="0" borderId="13" xfId="2" applyNumberFormat="1" applyFont="1" applyBorder="1" applyAlignment="1">
      <alignment horizontal="right"/>
    </xf>
    <xf numFmtId="0" fontId="7" fillId="2" borderId="31" xfId="2" applyFont="1" applyFill="1" applyBorder="1" applyAlignment="1">
      <alignment horizontal="center"/>
    </xf>
    <xf numFmtId="0" fontId="7" fillId="2" borderId="32" xfId="2" applyFont="1" applyFill="1" applyBorder="1" applyAlignment="1">
      <alignment horizontal="center"/>
    </xf>
    <xf numFmtId="0" fontId="8" fillId="0" borderId="33" xfId="2" applyFont="1" applyBorder="1" applyAlignment="1">
      <alignment horizontal="right"/>
    </xf>
    <xf numFmtId="0" fontId="8" fillId="0" borderId="34" xfId="2" applyFont="1" applyBorder="1" applyAlignment="1">
      <alignment horizontal="right"/>
    </xf>
    <xf numFmtId="0" fontId="8" fillId="0" borderId="22" xfId="2" applyFont="1" applyBorder="1" applyAlignment="1">
      <alignment horizontal="right"/>
    </xf>
    <xf numFmtId="0" fontId="7" fillId="0" borderId="7" xfId="2" applyFont="1" applyBorder="1" applyAlignment="1">
      <alignment horizontal="right"/>
    </xf>
    <xf numFmtId="164" fontId="7" fillId="0" borderId="20" xfId="2" applyNumberFormat="1" applyFont="1" applyBorder="1" applyAlignment="1">
      <alignment horizontal="center"/>
    </xf>
    <xf numFmtId="164" fontId="7" fillId="0" borderId="21" xfId="2" applyNumberFormat="1" applyFont="1" applyBorder="1" applyAlignment="1">
      <alignment horizontal="center"/>
    </xf>
    <xf numFmtId="164" fontId="7" fillId="0" borderId="20" xfId="2" applyNumberFormat="1" applyFont="1" applyBorder="1" applyAlignment="1">
      <alignment horizontal="right" wrapText="1"/>
    </xf>
    <xf numFmtId="164" fontId="7" fillId="0" borderId="22" xfId="2" applyNumberFormat="1" applyFont="1" applyBorder="1" applyAlignment="1">
      <alignment horizontal="right" wrapText="1"/>
    </xf>
    <xf numFmtId="0" fontId="8" fillId="0" borderId="35" xfId="2" applyFont="1" applyBorder="1" applyAlignment="1">
      <alignment horizontal="right"/>
    </xf>
    <xf numFmtId="0" fontId="8" fillId="0" borderId="36" xfId="2" applyFont="1" applyBorder="1" applyAlignment="1">
      <alignment horizontal="right"/>
    </xf>
    <xf numFmtId="0" fontId="8" fillId="0" borderId="16" xfId="2" applyFont="1" applyBorder="1" applyAlignment="1">
      <alignment horizontal="right"/>
    </xf>
    <xf numFmtId="0" fontId="7" fillId="0" borderId="16" xfId="2" applyFont="1" applyBorder="1" applyAlignment="1">
      <alignment horizontal="right"/>
    </xf>
    <xf numFmtId="164" fontId="7" fillId="0" borderId="37" xfId="2" applyNumberFormat="1" applyFont="1" applyBorder="1" applyAlignment="1">
      <alignment horizontal="center"/>
    </xf>
    <xf numFmtId="164" fontId="7" fillId="0" borderId="38" xfId="2" applyNumberFormat="1" applyFont="1" applyBorder="1" applyAlignment="1">
      <alignment horizontal="center"/>
    </xf>
    <xf numFmtId="0" fontId="8" fillId="4" borderId="25" xfId="2" applyFont="1" applyFill="1" applyBorder="1" applyAlignment="1">
      <alignment horizontal="center"/>
    </xf>
    <xf numFmtId="0" fontId="8" fillId="4" borderId="26" xfId="2" applyFont="1" applyFill="1" applyBorder="1" applyAlignment="1">
      <alignment horizontal="center"/>
    </xf>
    <xf numFmtId="0" fontId="8" fillId="4" borderId="27" xfId="2" applyFont="1" applyFill="1" applyBorder="1" applyAlignment="1">
      <alignment horizontal="center"/>
    </xf>
    <xf numFmtId="0" fontId="7" fillId="0" borderId="28" xfId="2" applyFont="1" applyBorder="1" applyAlignment="1">
      <alignment horizontal="left" wrapText="1"/>
    </xf>
    <xf numFmtId="0" fontId="7" fillId="0" borderId="29" xfId="2" applyFont="1" applyBorder="1" applyAlignment="1">
      <alignment horizontal="left" wrapText="1"/>
    </xf>
    <xf numFmtId="0" fontId="7" fillId="0" borderId="34" xfId="0" applyFont="1" applyBorder="1" applyAlignment="1">
      <alignment horizontal="left"/>
    </xf>
    <xf numFmtId="0" fontId="7" fillId="0" borderId="28" xfId="2" applyFont="1" applyBorder="1" applyAlignment="1">
      <alignment horizontal="left"/>
    </xf>
    <xf numFmtId="0" fontId="7" fillId="0" borderId="29" xfId="2" applyFont="1" applyBorder="1" applyAlignment="1">
      <alignment horizontal="left"/>
    </xf>
    <xf numFmtId="0" fontId="7" fillId="0" borderId="32" xfId="2" applyFont="1" applyBorder="1" applyAlignment="1">
      <alignment horizontal="left"/>
    </xf>
    <xf numFmtId="0" fontId="8" fillId="7" borderId="28" xfId="2" applyFont="1" applyFill="1" applyBorder="1" applyAlignment="1">
      <alignment horizontal="center"/>
    </xf>
    <xf numFmtId="0" fontId="8" fillId="7" borderId="29" xfId="2" applyFont="1" applyFill="1" applyBorder="1" applyAlignment="1">
      <alignment horizontal="center"/>
    </xf>
    <xf numFmtId="0" fontId="8" fillId="7" borderId="32" xfId="2" applyFont="1" applyFill="1" applyBorder="1" applyAlignment="1">
      <alignment horizontal="center"/>
    </xf>
    <xf numFmtId="0" fontId="7" fillId="0" borderId="33" xfId="2" applyFont="1" applyBorder="1" applyAlignment="1">
      <alignment horizontal="left" wrapText="1"/>
    </xf>
    <xf numFmtId="0" fontId="7" fillId="0" borderId="34" xfId="2" applyFont="1" applyBorder="1" applyAlignment="1">
      <alignment horizontal="left" wrapText="1"/>
    </xf>
    <xf numFmtId="0" fontId="7" fillId="0" borderId="21" xfId="2" applyFont="1" applyBorder="1" applyAlignment="1">
      <alignment horizontal="left" wrapText="1"/>
    </xf>
    <xf numFmtId="0" fontId="22" fillId="0" borderId="0" xfId="0" applyFont="1" applyAlignment="1">
      <alignment horizontal="center" vertical="center"/>
    </xf>
    <xf numFmtId="0" fontId="38" fillId="0" borderId="44" xfId="0" applyFont="1" applyBorder="1" applyAlignment="1">
      <alignment horizontal="center" vertical="center"/>
    </xf>
    <xf numFmtId="0" fontId="39" fillId="0" borderId="25" xfId="0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center" vertical="center" wrapText="1"/>
    </xf>
    <xf numFmtId="0" fontId="40" fillId="0" borderId="26" xfId="0" applyFont="1" applyBorder="1" applyAlignment="1">
      <alignment horizontal="right" vertical="center" wrapText="1"/>
    </xf>
    <xf numFmtId="0" fontId="52" fillId="0" borderId="7" xfId="0" applyFont="1" applyBorder="1" applyAlignment="1">
      <alignment horizontal="right" vertical="center"/>
    </xf>
    <xf numFmtId="0" fontId="53" fillId="0" borderId="5" xfId="0" applyFont="1" applyBorder="1" applyAlignment="1">
      <alignment horizontal="right"/>
    </xf>
    <xf numFmtId="0" fontId="53" fillId="0" borderId="0" xfId="0" applyFont="1" applyAlignment="1">
      <alignment horizontal="right"/>
    </xf>
    <xf numFmtId="0" fontId="53" fillId="0" borderId="24" xfId="0" applyFont="1" applyBorder="1" applyAlignment="1">
      <alignment horizontal="right"/>
    </xf>
    <xf numFmtId="0" fontId="22" fillId="0" borderId="0" xfId="0" applyFont="1" applyAlignment="1">
      <alignment horizontal="right" vertical="center"/>
    </xf>
    <xf numFmtId="0" fontId="44" fillId="0" borderId="1" xfId="0" applyFont="1" applyBorder="1" applyAlignment="1">
      <alignment horizontal="right"/>
    </xf>
    <xf numFmtId="0" fontId="44" fillId="0" borderId="39" xfId="0" applyFont="1" applyBorder="1" applyAlignment="1">
      <alignment horizontal="right"/>
    </xf>
    <xf numFmtId="0" fontId="35" fillId="0" borderId="7" xfId="0" applyFont="1" applyBorder="1" applyAlignment="1">
      <alignment horizontal="right" vertical="center"/>
    </xf>
    <xf numFmtId="0" fontId="44" fillId="0" borderId="0" xfId="0" applyFont="1" applyAlignment="1">
      <alignment horizontal="right"/>
    </xf>
    <xf numFmtId="0" fontId="43" fillId="0" borderId="0" xfId="0" applyFont="1" applyAlignment="1">
      <alignment horizontal="center" vertical="center"/>
    </xf>
    <xf numFmtId="0" fontId="59" fillId="0" borderId="25" xfId="0" applyFont="1" applyBorder="1" applyAlignment="1">
      <alignment horizontal="right" vertical="center"/>
    </xf>
    <xf numFmtId="0" fontId="59" fillId="0" borderId="26" xfId="0" applyFont="1" applyBorder="1" applyAlignment="1">
      <alignment horizontal="right" vertical="center"/>
    </xf>
    <xf numFmtId="0" fontId="59" fillId="0" borderId="27" xfId="0" applyFont="1" applyBorder="1" applyAlignment="1">
      <alignment horizontal="right" vertical="center"/>
    </xf>
    <xf numFmtId="0" fontId="60" fillId="0" borderId="0" xfId="0" applyFont="1" applyAlignment="1">
      <alignment horizontal="right"/>
    </xf>
    <xf numFmtId="0" fontId="51" fillId="0" borderId="44" xfId="0" applyFont="1" applyBorder="1" applyAlignment="1">
      <alignment horizontal="right"/>
    </xf>
    <xf numFmtId="0" fontId="43" fillId="0" borderId="0" xfId="0" applyFont="1" applyAlignment="1">
      <alignment horizontal="right" vertical="center"/>
    </xf>
    <xf numFmtId="0" fontId="49" fillId="10" borderId="25" xfId="0" applyFont="1" applyFill="1" applyBorder="1" applyAlignment="1">
      <alignment horizontal="right"/>
    </xf>
    <xf numFmtId="0" fontId="49" fillId="10" borderId="26" xfId="0" applyFont="1" applyFill="1" applyBorder="1" applyAlignment="1">
      <alignment horizontal="right"/>
    </xf>
    <xf numFmtId="0" fontId="35" fillId="0" borderId="0" xfId="0" applyFont="1" applyAlignment="1">
      <alignment horizontal="right" vertical="center"/>
    </xf>
    <xf numFmtId="0" fontId="22" fillId="0" borderId="44" xfId="0" applyFont="1" applyBorder="1" applyAlignment="1">
      <alignment horizontal="right" vertical="center"/>
    </xf>
    <xf numFmtId="0" fontId="22" fillId="0" borderId="49" xfId="0" applyFont="1" applyBorder="1" applyAlignment="1">
      <alignment horizontal="right" vertical="center"/>
    </xf>
    <xf numFmtId="0" fontId="22" fillId="12" borderId="25" xfId="0" applyFont="1" applyFill="1" applyBorder="1" applyAlignment="1">
      <alignment horizontal="right" vertical="center"/>
    </xf>
    <xf numFmtId="0" fontId="22" fillId="12" borderId="26" xfId="0" applyFont="1" applyFill="1" applyBorder="1" applyAlignment="1">
      <alignment horizontal="right" vertical="center"/>
    </xf>
    <xf numFmtId="0" fontId="22" fillId="12" borderId="27" xfId="0" applyFont="1" applyFill="1" applyBorder="1" applyAlignment="1">
      <alignment horizontal="right" vertical="center"/>
    </xf>
    <xf numFmtId="4" fontId="58" fillId="0" borderId="0" xfId="6" applyNumberFormat="1" applyFont="1" applyFill="1" applyAlignment="1">
      <alignment horizontal="center" vertical="center" wrapText="1"/>
    </xf>
    <xf numFmtId="14" fontId="31" fillId="2" borderId="9" xfId="1" applyNumberFormat="1" applyFont="1" applyFill="1" applyBorder="1" applyAlignment="1">
      <alignment horizontal="center" vertical="center" wrapText="1"/>
    </xf>
    <xf numFmtId="14" fontId="31" fillId="2" borderId="10" xfId="1" applyNumberFormat="1" applyFont="1" applyFill="1" applyBorder="1" applyAlignment="1">
      <alignment horizontal="center" vertical="center" wrapText="1"/>
    </xf>
    <xf numFmtId="14" fontId="31" fillId="2" borderId="14" xfId="1" applyNumberFormat="1" applyFont="1" applyFill="1" applyBorder="1" applyAlignment="1">
      <alignment horizontal="center" vertical="center" wrapText="1"/>
    </xf>
    <xf numFmtId="0" fontId="31" fillId="2" borderId="18" xfId="1" applyFont="1" applyFill="1" applyBorder="1" applyAlignment="1">
      <alignment horizontal="left"/>
    </xf>
    <xf numFmtId="0" fontId="31" fillId="2" borderId="42" xfId="1" applyFont="1" applyFill="1" applyBorder="1" applyAlignment="1">
      <alignment horizontal="left"/>
    </xf>
    <xf numFmtId="0" fontId="31" fillId="2" borderId="19" xfId="1" applyFont="1" applyFill="1" applyBorder="1" applyAlignment="1">
      <alignment horizontal="left"/>
    </xf>
    <xf numFmtId="0" fontId="31" fillId="2" borderId="20" xfId="1" applyFont="1" applyFill="1" applyBorder="1" applyAlignment="1">
      <alignment horizontal="left"/>
    </xf>
    <xf numFmtId="0" fontId="31" fillId="2" borderId="34" xfId="1" applyFont="1" applyFill="1" applyBorder="1" applyAlignment="1">
      <alignment horizontal="left"/>
    </xf>
    <xf numFmtId="0" fontId="31" fillId="2" borderId="22" xfId="1" applyFont="1" applyFill="1" applyBorder="1" applyAlignment="1">
      <alignment horizontal="left"/>
    </xf>
    <xf numFmtId="0" fontId="31" fillId="2" borderId="1" xfId="1" applyFont="1" applyFill="1" applyBorder="1" applyAlignment="1">
      <alignment horizontal="center"/>
    </xf>
    <xf numFmtId="0" fontId="31" fillId="2" borderId="39" xfId="1" applyFont="1" applyFill="1" applyBorder="1" applyAlignment="1">
      <alignment horizontal="center"/>
    </xf>
    <xf numFmtId="0" fontId="31" fillId="2" borderId="5" xfId="1" applyFont="1" applyFill="1" applyBorder="1" applyAlignment="1">
      <alignment horizontal="center"/>
    </xf>
    <xf numFmtId="0" fontId="31" fillId="2" borderId="0" xfId="1" applyFont="1" applyFill="1" applyAlignment="1">
      <alignment horizontal="center"/>
    </xf>
    <xf numFmtId="0" fontId="31" fillId="2" borderId="28" xfId="1" applyFont="1" applyFill="1" applyBorder="1" applyAlignment="1">
      <alignment horizontal="center"/>
    </xf>
    <xf numFmtId="0" fontId="31" fillId="2" borderId="29" xfId="1" applyFont="1" applyFill="1" applyBorder="1" applyAlignment="1">
      <alignment horizontal="center"/>
    </xf>
    <xf numFmtId="0" fontId="12" fillId="2" borderId="3" xfId="1" applyFont="1" applyFill="1" applyBorder="1" applyAlignment="1">
      <alignment horizontal="center"/>
    </xf>
    <xf numFmtId="0" fontId="12" fillId="2" borderId="37" xfId="1" applyFont="1" applyFill="1" applyBorder="1" applyAlignment="1">
      <alignment horizontal="center"/>
    </xf>
    <xf numFmtId="0" fontId="12" fillId="2" borderId="40" xfId="1" applyFont="1" applyFill="1" applyBorder="1" applyAlignment="1">
      <alignment horizontal="center"/>
    </xf>
    <xf numFmtId="0" fontId="12" fillId="2" borderId="36" xfId="1" applyFont="1" applyFill="1" applyBorder="1" applyAlignment="1">
      <alignment horizontal="center"/>
    </xf>
    <xf numFmtId="0" fontId="12" fillId="3" borderId="25" xfId="1" applyFont="1" applyFill="1" applyBorder="1" applyAlignment="1">
      <alignment horizontal="center" vertical="center" wrapText="1"/>
    </xf>
    <xf numFmtId="0" fontId="12" fillId="3" borderId="26" xfId="1" applyFont="1" applyFill="1" applyBorder="1" applyAlignment="1">
      <alignment horizontal="center" vertical="center" wrapText="1"/>
    </xf>
    <xf numFmtId="0" fontId="12" fillId="3" borderId="27" xfId="1" applyFont="1" applyFill="1" applyBorder="1" applyAlignment="1">
      <alignment horizontal="center" vertical="center" wrapText="1"/>
    </xf>
    <xf numFmtId="0" fontId="12" fillId="2" borderId="41" xfId="1" applyFont="1" applyFill="1" applyBorder="1" applyAlignment="1">
      <alignment horizontal="right" vertical="top" wrapText="1"/>
    </xf>
    <xf numFmtId="0" fontId="12" fillId="2" borderId="6" xfId="1" applyFont="1" applyFill="1" applyBorder="1" applyAlignment="1">
      <alignment horizontal="right" vertical="top" wrapText="1"/>
    </xf>
    <xf numFmtId="0" fontId="12" fillId="2" borderId="43" xfId="1" applyFont="1" applyFill="1" applyBorder="1" applyAlignment="1">
      <alignment horizontal="right" vertical="top" wrapText="1"/>
    </xf>
    <xf numFmtId="0" fontId="28" fillId="2" borderId="0" xfId="1" applyFont="1" applyFill="1" applyAlignment="1">
      <alignment horizontal="right"/>
    </xf>
    <xf numFmtId="0" fontId="32" fillId="2" borderId="44" xfId="1" applyFont="1" applyFill="1" applyBorder="1" applyAlignment="1">
      <alignment horizontal="center"/>
    </xf>
    <xf numFmtId="0" fontId="28" fillId="2" borderId="0" xfId="1" applyFont="1" applyFill="1"/>
    <xf numFmtId="0" fontId="12" fillId="4" borderId="45" xfId="2" applyFont="1" applyFill="1" applyBorder="1" applyAlignment="1">
      <alignment horizontal="center" vertical="center"/>
    </xf>
    <xf numFmtId="0" fontId="12" fillId="4" borderId="35" xfId="2" applyFont="1" applyFill="1" applyBorder="1" applyAlignment="1">
      <alignment horizontal="center" vertical="center"/>
    </xf>
    <xf numFmtId="0" fontId="12" fillId="4" borderId="45" xfId="2" applyFont="1" applyFill="1" applyBorder="1" applyAlignment="1">
      <alignment horizontal="center" vertical="center" wrapText="1"/>
    </xf>
    <xf numFmtId="0" fontId="12" fillId="4" borderId="35" xfId="2" applyFont="1" applyFill="1" applyBorder="1" applyAlignment="1">
      <alignment horizontal="center" vertical="center" wrapText="1"/>
    </xf>
    <xf numFmtId="0" fontId="12" fillId="4" borderId="3" xfId="2" applyFont="1" applyFill="1" applyBorder="1" applyAlignment="1">
      <alignment horizontal="center" vertical="center"/>
    </xf>
    <xf numFmtId="0" fontId="12" fillId="4" borderId="16" xfId="2" applyFont="1" applyFill="1" applyBorder="1" applyAlignment="1">
      <alignment horizontal="center" vertical="center"/>
    </xf>
    <xf numFmtId="0" fontId="12" fillId="0" borderId="28" xfId="2" applyFont="1" applyBorder="1" applyAlignment="1">
      <alignment horizontal="right"/>
    </xf>
    <xf numFmtId="0" fontId="12" fillId="0" borderId="29" xfId="2" applyFont="1" applyBorder="1" applyAlignment="1">
      <alignment horizontal="right"/>
    </xf>
    <xf numFmtId="0" fontId="12" fillId="0" borderId="30" xfId="2" applyFont="1" applyBorder="1" applyAlignment="1">
      <alignment horizontal="right"/>
    </xf>
    <xf numFmtId="164" fontId="31" fillId="0" borderId="13" xfId="2" applyNumberFormat="1" applyFont="1" applyBorder="1" applyAlignment="1">
      <alignment horizontal="right"/>
    </xf>
    <xf numFmtId="0" fontId="31" fillId="2" borderId="31" xfId="2" applyFont="1" applyFill="1" applyBorder="1" applyAlignment="1">
      <alignment horizontal="center"/>
    </xf>
    <xf numFmtId="0" fontId="31" fillId="2" borderId="32" xfId="2" applyFont="1" applyFill="1" applyBorder="1" applyAlignment="1">
      <alignment horizontal="center"/>
    </xf>
    <xf numFmtId="0" fontId="12" fillId="0" borderId="33" xfId="2" applyFont="1" applyBorder="1" applyAlignment="1">
      <alignment horizontal="right"/>
    </xf>
    <xf numFmtId="0" fontId="12" fillId="0" borderId="34" xfId="2" applyFont="1" applyBorder="1" applyAlignment="1">
      <alignment horizontal="right"/>
    </xf>
    <xf numFmtId="0" fontId="12" fillId="0" borderId="22" xfId="2" applyFont="1" applyBorder="1" applyAlignment="1">
      <alignment horizontal="right"/>
    </xf>
    <xf numFmtId="0" fontId="31" fillId="0" borderId="7" xfId="2" applyFont="1" applyBorder="1" applyAlignment="1">
      <alignment horizontal="right"/>
    </xf>
    <xf numFmtId="164" fontId="31" fillId="0" borderId="20" xfId="2" applyNumberFormat="1" applyFont="1" applyBorder="1" applyAlignment="1">
      <alignment horizontal="center"/>
    </xf>
    <xf numFmtId="164" fontId="31" fillId="0" borderId="21" xfId="2" applyNumberFormat="1" applyFont="1" applyBorder="1" applyAlignment="1">
      <alignment horizontal="center"/>
    </xf>
    <xf numFmtId="0" fontId="31" fillId="0" borderId="12" xfId="0" applyFont="1" applyBorder="1" applyAlignment="1">
      <alignment horizontal="left"/>
    </xf>
    <xf numFmtId="0" fontId="31" fillId="0" borderId="30" xfId="0" applyFont="1" applyBorder="1" applyAlignment="1">
      <alignment horizontal="left"/>
    </xf>
    <xf numFmtId="0" fontId="31" fillId="0" borderId="13" xfId="0" applyFont="1" applyBorder="1" applyAlignment="1">
      <alignment horizontal="left"/>
    </xf>
    <xf numFmtId="0" fontId="31" fillId="0" borderId="14" xfId="0" applyFont="1" applyBorder="1" applyAlignment="1">
      <alignment horizontal="left"/>
    </xf>
    <xf numFmtId="164" fontId="31" fillId="0" borderId="20" xfId="2" applyNumberFormat="1" applyFont="1" applyBorder="1" applyAlignment="1">
      <alignment horizontal="right" wrapText="1"/>
    </xf>
    <xf numFmtId="164" fontId="31" fillId="0" borderId="22" xfId="2" applyNumberFormat="1" applyFont="1" applyBorder="1" applyAlignment="1">
      <alignment horizontal="right" wrapText="1"/>
    </xf>
    <xf numFmtId="164" fontId="31" fillId="0" borderId="20" xfId="0" applyNumberFormat="1" applyFont="1" applyBorder="1" applyAlignment="1">
      <alignment horizontal="center" wrapText="1"/>
    </xf>
    <xf numFmtId="164" fontId="31" fillId="0" borderId="21" xfId="0" applyNumberFormat="1" applyFont="1" applyBorder="1" applyAlignment="1">
      <alignment horizontal="center" wrapText="1"/>
    </xf>
    <xf numFmtId="0" fontId="12" fillId="0" borderId="35" xfId="2" applyFont="1" applyBorder="1" applyAlignment="1">
      <alignment horizontal="right"/>
    </xf>
    <xf numFmtId="0" fontId="12" fillId="0" borderId="36" xfId="2" applyFont="1" applyBorder="1" applyAlignment="1">
      <alignment horizontal="right"/>
    </xf>
    <xf numFmtId="0" fontId="12" fillId="0" borderId="16" xfId="2" applyFont="1" applyBorder="1" applyAlignment="1">
      <alignment horizontal="right"/>
    </xf>
    <xf numFmtId="0" fontId="31" fillId="0" borderId="16" xfId="2" applyFont="1" applyBorder="1" applyAlignment="1">
      <alignment horizontal="right"/>
    </xf>
    <xf numFmtId="0" fontId="12" fillId="4" borderId="25" xfId="2" applyFont="1" applyFill="1" applyBorder="1" applyAlignment="1">
      <alignment horizontal="left"/>
    </xf>
    <xf numFmtId="0" fontId="12" fillId="4" borderId="26" xfId="2" applyFont="1" applyFill="1" applyBorder="1" applyAlignment="1">
      <alignment horizontal="left"/>
    </xf>
    <xf numFmtId="0" fontId="12" fillId="4" borderId="27" xfId="2" applyFont="1" applyFill="1" applyBorder="1" applyAlignment="1">
      <alignment horizontal="left"/>
    </xf>
    <xf numFmtId="0" fontId="20" fillId="0" borderId="33" xfId="0" applyFont="1" applyBorder="1" applyAlignment="1">
      <alignment horizontal="left"/>
    </xf>
    <xf numFmtId="0" fontId="20" fillId="0" borderId="34" xfId="0" applyFont="1" applyBorder="1" applyAlignment="1">
      <alignment horizontal="left"/>
    </xf>
    <xf numFmtId="0" fontId="20" fillId="0" borderId="21" xfId="0" applyFont="1" applyBorder="1" applyAlignment="1">
      <alignment horizontal="left"/>
    </xf>
    <xf numFmtId="0" fontId="12" fillId="8" borderId="46" xfId="1" applyFont="1" applyFill="1" applyBorder="1" applyAlignment="1">
      <alignment horizontal="left"/>
    </xf>
    <xf numFmtId="0" fontId="12" fillId="8" borderId="39" xfId="1" applyFont="1" applyFill="1" applyBorder="1" applyAlignment="1">
      <alignment horizontal="left"/>
    </xf>
    <xf numFmtId="0" fontId="31" fillId="2" borderId="47" xfId="1" applyFont="1" applyFill="1" applyBorder="1" applyAlignment="1">
      <alignment horizontal="left"/>
    </xf>
    <xf numFmtId="0" fontId="31" fillId="2" borderId="0" xfId="1" applyFont="1" applyFill="1" applyAlignment="1">
      <alignment horizontal="left"/>
    </xf>
    <xf numFmtId="0" fontId="31" fillId="0" borderId="33" xfId="0" applyFont="1" applyBorder="1" applyAlignment="1">
      <alignment horizontal="left"/>
    </xf>
    <xf numFmtId="0" fontId="31" fillId="0" borderId="34" xfId="0" applyFont="1" applyBorder="1" applyAlignment="1">
      <alignment horizontal="left"/>
    </xf>
    <xf numFmtId="0" fontId="31" fillId="0" borderId="21" xfId="0" applyFont="1" applyBorder="1" applyAlignment="1">
      <alignment horizontal="left"/>
    </xf>
    <xf numFmtId="0" fontId="19" fillId="0" borderId="28" xfId="0" applyFont="1" applyBorder="1" applyAlignment="1">
      <alignment horizontal="left"/>
    </xf>
    <xf numFmtId="0" fontId="19" fillId="0" borderId="29" xfId="0" applyFont="1" applyBorder="1" applyAlignment="1">
      <alignment horizontal="left"/>
    </xf>
    <xf numFmtId="0" fontId="19" fillId="0" borderId="32" xfId="0" applyFont="1" applyBorder="1" applyAlignment="1">
      <alignment horizontal="left"/>
    </xf>
    <xf numFmtId="0" fontId="19" fillId="0" borderId="48" xfId="0" applyFont="1" applyBorder="1" applyAlignment="1">
      <alignment horizontal="left"/>
    </xf>
    <xf numFmtId="0" fontId="19" fillId="0" borderId="44" xfId="0" applyFont="1" applyBorder="1" applyAlignment="1">
      <alignment horizontal="left"/>
    </xf>
    <xf numFmtId="0" fontId="19" fillId="0" borderId="49" xfId="0" applyFont="1" applyBorder="1" applyAlignment="1">
      <alignment horizontal="left"/>
    </xf>
    <xf numFmtId="0" fontId="31" fillId="0" borderId="33" xfId="0" applyFont="1" applyBorder="1" applyAlignment="1">
      <alignment horizontal="left" wrapText="1"/>
    </xf>
    <xf numFmtId="0" fontId="31" fillId="0" borderId="34" xfId="0" applyFont="1" applyBorder="1" applyAlignment="1">
      <alignment horizontal="left" wrapText="1"/>
    </xf>
    <xf numFmtId="0" fontId="31" fillId="0" borderId="22" xfId="0" applyFont="1" applyBorder="1" applyAlignment="1">
      <alignment horizontal="left" wrapText="1"/>
    </xf>
    <xf numFmtId="0" fontId="31" fillId="0" borderId="57" xfId="0" applyFont="1" applyBorder="1" applyAlignment="1">
      <alignment horizontal="left"/>
    </xf>
    <xf numFmtId="0" fontId="31" fillId="0" borderId="40" xfId="0" applyFont="1" applyBorder="1" applyAlignment="1">
      <alignment horizontal="left"/>
    </xf>
    <xf numFmtId="0" fontId="31" fillId="0" borderId="38" xfId="0" applyFont="1" applyBorder="1" applyAlignment="1">
      <alignment horizontal="left"/>
    </xf>
    <xf numFmtId="14" fontId="82" fillId="2" borderId="9" xfId="1" applyNumberFormat="1" applyFont="1" applyFill="1" applyBorder="1" applyAlignment="1">
      <alignment horizontal="center" vertical="center" wrapText="1"/>
    </xf>
    <xf numFmtId="14" fontId="82" fillId="2" borderId="10" xfId="1" applyNumberFormat="1" applyFont="1" applyFill="1" applyBorder="1" applyAlignment="1">
      <alignment horizontal="center" vertical="center" wrapText="1"/>
    </xf>
    <xf numFmtId="14" fontId="82" fillId="2" borderId="14" xfId="1" applyNumberFormat="1" applyFont="1" applyFill="1" applyBorder="1" applyAlignment="1">
      <alignment horizontal="center" vertical="center" wrapText="1"/>
    </xf>
    <xf numFmtId="0" fontId="82" fillId="2" borderId="18" xfId="1" applyFont="1" applyFill="1" applyBorder="1" applyAlignment="1">
      <alignment horizontal="left"/>
    </xf>
    <xf numFmtId="0" fontId="82" fillId="2" borderId="42" xfId="1" applyFont="1" applyFill="1" applyBorder="1" applyAlignment="1">
      <alignment horizontal="left"/>
    </xf>
    <xf numFmtId="0" fontId="82" fillId="2" borderId="19" xfId="1" applyFont="1" applyFill="1" applyBorder="1" applyAlignment="1">
      <alignment horizontal="left"/>
    </xf>
    <xf numFmtId="0" fontId="82" fillId="2" borderId="20" xfId="1" applyFont="1" applyFill="1" applyBorder="1" applyAlignment="1">
      <alignment horizontal="left"/>
    </xf>
    <xf numFmtId="0" fontId="82" fillId="2" borderId="34" xfId="1" applyFont="1" applyFill="1" applyBorder="1" applyAlignment="1">
      <alignment horizontal="left"/>
    </xf>
    <xf numFmtId="0" fontId="82" fillId="2" borderId="22" xfId="1" applyFont="1" applyFill="1" applyBorder="1" applyAlignment="1">
      <alignment horizontal="left"/>
    </xf>
    <xf numFmtId="0" fontId="82" fillId="2" borderId="1" xfId="1" applyFont="1" applyFill="1" applyBorder="1" applyAlignment="1">
      <alignment horizontal="center"/>
    </xf>
    <xf numFmtId="0" fontId="82" fillId="2" borderId="39" xfId="1" applyFont="1" applyFill="1" applyBorder="1" applyAlignment="1">
      <alignment horizontal="center"/>
    </xf>
    <xf numFmtId="0" fontId="82" fillId="2" borderId="5" xfId="1" applyFont="1" applyFill="1" applyBorder="1" applyAlignment="1">
      <alignment horizontal="center"/>
    </xf>
    <xf numFmtId="0" fontId="82" fillId="2" borderId="0" xfId="1" applyFont="1" applyFill="1" applyAlignment="1">
      <alignment horizontal="center"/>
    </xf>
    <xf numFmtId="0" fontId="82" fillId="2" borderId="28" xfId="1" applyFont="1" applyFill="1" applyBorder="1" applyAlignment="1">
      <alignment horizontal="center"/>
    </xf>
    <xf numFmtId="0" fontId="82" fillId="2" borderId="29" xfId="1" applyFont="1" applyFill="1" applyBorder="1" applyAlignment="1">
      <alignment horizontal="center"/>
    </xf>
    <xf numFmtId="0" fontId="83" fillId="2" borderId="3" xfId="1" applyFont="1" applyFill="1" applyBorder="1" applyAlignment="1">
      <alignment horizontal="center"/>
    </xf>
    <xf numFmtId="0" fontId="83" fillId="2" borderId="37" xfId="1" applyFont="1" applyFill="1" applyBorder="1" applyAlignment="1">
      <alignment horizontal="center"/>
    </xf>
    <xf numFmtId="0" fontId="83" fillId="2" borderId="40" xfId="1" applyFont="1" applyFill="1" applyBorder="1" applyAlignment="1">
      <alignment horizontal="center"/>
    </xf>
    <xf numFmtId="0" fontId="83" fillId="2" borderId="36" xfId="1" applyFont="1" applyFill="1" applyBorder="1" applyAlignment="1">
      <alignment horizontal="center"/>
    </xf>
    <xf numFmtId="0" fontId="84" fillId="3" borderId="25" xfId="1" applyFont="1" applyFill="1" applyBorder="1" applyAlignment="1">
      <alignment horizontal="center" vertical="center" wrapText="1"/>
    </xf>
    <xf numFmtId="0" fontId="84" fillId="3" borderId="26" xfId="1" applyFont="1" applyFill="1" applyBorder="1" applyAlignment="1">
      <alignment horizontal="center" vertical="center" wrapText="1"/>
    </xf>
    <xf numFmtId="0" fontId="84" fillId="3" borderId="27" xfId="1" applyFont="1" applyFill="1" applyBorder="1" applyAlignment="1">
      <alignment horizontal="center" vertical="center" wrapText="1"/>
    </xf>
    <xf numFmtId="0" fontId="83" fillId="2" borderId="41" xfId="1" applyFont="1" applyFill="1" applyBorder="1" applyAlignment="1">
      <alignment horizontal="right" vertical="top" wrapText="1"/>
    </xf>
    <xf numFmtId="0" fontId="83" fillId="2" borderId="6" xfId="1" applyFont="1" applyFill="1" applyBorder="1" applyAlignment="1">
      <alignment horizontal="right" vertical="top" wrapText="1"/>
    </xf>
    <xf numFmtId="0" fontId="83" fillId="2" borderId="43" xfId="1" applyFont="1" applyFill="1" applyBorder="1" applyAlignment="1">
      <alignment horizontal="right" vertical="top" wrapText="1"/>
    </xf>
    <xf numFmtId="0" fontId="85" fillId="2" borderId="0" xfId="1" applyFont="1" applyFill="1" applyAlignment="1">
      <alignment horizontal="right"/>
    </xf>
    <xf numFmtId="0" fontId="86" fillId="2" borderId="44" xfId="1" applyFont="1" applyFill="1" applyBorder="1" applyAlignment="1">
      <alignment horizontal="center"/>
    </xf>
    <xf numFmtId="0" fontId="85" fillId="2" borderId="0" xfId="1" applyFont="1" applyFill="1"/>
    <xf numFmtId="0" fontId="83" fillId="4" borderId="45" xfId="2" applyFont="1" applyFill="1" applyBorder="1" applyAlignment="1">
      <alignment horizontal="center" vertical="center"/>
    </xf>
    <xf numFmtId="0" fontId="83" fillId="4" borderId="35" xfId="2" applyFont="1" applyFill="1" applyBorder="1" applyAlignment="1">
      <alignment horizontal="center" vertical="center"/>
    </xf>
    <xf numFmtId="0" fontId="83" fillId="4" borderId="45" xfId="2" applyFont="1" applyFill="1" applyBorder="1" applyAlignment="1">
      <alignment horizontal="center" vertical="center" wrapText="1"/>
    </xf>
    <xf numFmtId="0" fontId="83" fillId="4" borderId="35" xfId="2" applyFont="1" applyFill="1" applyBorder="1" applyAlignment="1">
      <alignment horizontal="center" vertical="center" wrapText="1"/>
    </xf>
    <xf numFmtId="0" fontId="83" fillId="4" borderId="3" xfId="2" applyFont="1" applyFill="1" applyBorder="1" applyAlignment="1">
      <alignment horizontal="center" vertical="center"/>
    </xf>
    <xf numFmtId="0" fontId="83" fillId="4" borderId="16" xfId="2" applyFont="1" applyFill="1" applyBorder="1" applyAlignment="1">
      <alignment horizontal="center" vertical="center"/>
    </xf>
    <xf numFmtId="0" fontId="83" fillId="0" borderId="28" xfId="2" applyFont="1" applyBorder="1" applyAlignment="1">
      <alignment horizontal="right"/>
    </xf>
    <xf numFmtId="0" fontId="83" fillId="0" borderId="29" xfId="2" applyFont="1" applyBorder="1" applyAlignment="1">
      <alignment horizontal="right"/>
    </xf>
    <xf numFmtId="0" fontId="83" fillId="0" borderId="30" xfId="2" applyFont="1" applyBorder="1" applyAlignment="1">
      <alignment horizontal="right"/>
    </xf>
    <xf numFmtId="164" fontId="82" fillId="0" borderId="13" xfId="2" applyNumberFormat="1" applyFont="1" applyBorder="1" applyAlignment="1">
      <alignment horizontal="right"/>
    </xf>
    <xf numFmtId="0" fontId="82" fillId="2" borderId="31" xfId="2" applyFont="1" applyFill="1" applyBorder="1" applyAlignment="1">
      <alignment horizontal="center"/>
    </xf>
    <xf numFmtId="0" fontId="82" fillId="2" borderId="32" xfId="2" applyFont="1" applyFill="1" applyBorder="1" applyAlignment="1">
      <alignment horizontal="center"/>
    </xf>
    <xf numFmtId="0" fontId="83" fillId="0" borderId="33" xfId="2" applyFont="1" applyBorder="1" applyAlignment="1">
      <alignment horizontal="right"/>
    </xf>
    <xf numFmtId="0" fontId="83" fillId="0" borderId="34" xfId="2" applyFont="1" applyBorder="1" applyAlignment="1">
      <alignment horizontal="right"/>
    </xf>
    <xf numFmtId="0" fontId="83" fillId="0" borderId="22" xfId="2" applyFont="1" applyBorder="1" applyAlignment="1">
      <alignment horizontal="right"/>
    </xf>
    <xf numFmtId="0" fontId="82" fillId="0" borderId="7" xfId="2" applyFont="1" applyBorder="1" applyAlignment="1">
      <alignment horizontal="right"/>
    </xf>
    <xf numFmtId="164" fontId="82" fillId="0" borderId="20" xfId="2" applyNumberFormat="1" applyFont="1" applyBorder="1" applyAlignment="1">
      <alignment horizontal="center"/>
    </xf>
    <xf numFmtId="164" fontId="82" fillId="0" borderId="21" xfId="2" applyNumberFormat="1" applyFont="1" applyBorder="1" applyAlignment="1">
      <alignment horizontal="center"/>
    </xf>
    <xf numFmtId="0" fontId="82" fillId="0" borderId="12" xfId="2" applyFont="1" applyBorder="1" applyAlignment="1">
      <alignment horizontal="left"/>
    </xf>
    <xf numFmtId="0" fontId="82" fillId="0" borderId="30" xfId="2" applyFont="1" applyBorder="1" applyAlignment="1">
      <alignment horizontal="left"/>
    </xf>
    <xf numFmtId="0" fontId="82" fillId="0" borderId="13" xfId="2" applyFont="1" applyBorder="1" applyAlignment="1">
      <alignment horizontal="left"/>
    </xf>
    <xf numFmtId="0" fontId="82" fillId="0" borderId="14" xfId="2" applyFont="1" applyBorder="1" applyAlignment="1">
      <alignment horizontal="left"/>
    </xf>
    <xf numFmtId="164" fontId="82" fillId="0" borderId="20" xfId="2" applyNumberFormat="1" applyFont="1" applyBorder="1" applyAlignment="1">
      <alignment horizontal="right" wrapText="1"/>
    </xf>
    <xf numFmtId="164" fontId="82" fillId="0" borderId="22" xfId="2" applyNumberFormat="1" applyFont="1" applyBorder="1" applyAlignment="1">
      <alignment horizontal="right" wrapText="1"/>
    </xf>
    <xf numFmtId="164" fontId="82" fillId="0" borderId="20" xfId="0" applyNumberFormat="1" applyFont="1" applyBorder="1" applyAlignment="1">
      <alignment horizontal="center" wrapText="1"/>
    </xf>
    <xf numFmtId="164" fontId="82" fillId="0" borderId="21" xfId="0" applyNumberFormat="1" applyFont="1" applyBorder="1" applyAlignment="1">
      <alignment horizontal="center" wrapText="1"/>
    </xf>
    <xf numFmtId="0" fontId="83" fillId="0" borderId="35" xfId="2" applyFont="1" applyBorder="1" applyAlignment="1">
      <alignment horizontal="right"/>
    </xf>
    <xf numFmtId="0" fontId="83" fillId="0" borderId="36" xfId="2" applyFont="1" applyBorder="1" applyAlignment="1">
      <alignment horizontal="right"/>
    </xf>
    <xf numFmtId="0" fontId="83" fillId="0" borderId="16" xfId="2" applyFont="1" applyBorder="1" applyAlignment="1">
      <alignment horizontal="right"/>
    </xf>
    <xf numFmtId="0" fontId="82" fillId="0" borderId="16" xfId="2" applyFont="1" applyBorder="1" applyAlignment="1">
      <alignment horizontal="right"/>
    </xf>
    <xf numFmtId="0" fontId="83" fillId="4" borderId="25" xfId="2" applyFont="1" applyFill="1" applyBorder="1" applyAlignment="1">
      <alignment horizontal="center"/>
    </xf>
    <xf numFmtId="0" fontId="83" fillId="4" borderId="26" xfId="2" applyFont="1" applyFill="1" applyBorder="1" applyAlignment="1">
      <alignment horizontal="center"/>
    </xf>
    <xf numFmtId="0" fontId="83" fillId="4" borderId="27" xfId="2" applyFont="1" applyFill="1" applyBorder="1" applyAlignment="1">
      <alignment horizontal="center"/>
    </xf>
    <xf numFmtId="0" fontId="82" fillId="2" borderId="7" xfId="1" applyFont="1" applyFill="1" applyBorder="1" applyAlignment="1">
      <alignment horizontal="left"/>
    </xf>
    <xf numFmtId="0" fontId="83" fillId="0" borderId="12" xfId="2" applyFont="1" applyBorder="1" applyAlignment="1">
      <alignment horizontal="center"/>
    </xf>
    <xf numFmtId="0" fontId="83" fillId="0" borderId="30" xfId="2" applyFont="1" applyBorder="1" applyAlignment="1">
      <alignment horizontal="center"/>
    </xf>
    <xf numFmtId="0" fontId="83" fillId="0" borderId="13" xfId="2" applyFont="1" applyBorder="1" applyAlignment="1">
      <alignment horizontal="center"/>
    </xf>
    <xf numFmtId="0" fontId="83" fillId="0" borderId="14" xfId="2" applyFont="1" applyBorder="1" applyAlignment="1">
      <alignment horizontal="center"/>
    </xf>
    <xf numFmtId="0" fontId="82" fillId="0" borderId="15" xfId="2" applyFont="1" applyBorder="1" applyAlignment="1">
      <alignment horizontal="left" wrapText="1"/>
    </xf>
    <xf numFmtId="0" fontId="82" fillId="0" borderId="41" xfId="2" applyFont="1" applyBorder="1" applyAlignment="1">
      <alignment horizontal="left" wrapText="1"/>
    </xf>
    <xf numFmtId="0" fontId="82" fillId="0" borderId="11" xfId="2" applyFont="1" applyBorder="1" applyAlignment="1">
      <alignment horizontal="left" wrapText="1"/>
    </xf>
    <xf numFmtId="0" fontId="82" fillId="0" borderId="9" xfId="2" applyFont="1" applyBorder="1" applyAlignment="1">
      <alignment horizontal="left" wrapText="1"/>
    </xf>
    <xf numFmtId="0" fontId="82" fillId="0" borderId="23" xfId="0" applyFont="1" applyBorder="1" applyAlignment="1">
      <alignment horizontal="left"/>
    </xf>
    <xf numFmtId="0" fontId="82" fillId="0" borderId="22" xfId="0" applyFont="1" applyBorder="1" applyAlignment="1">
      <alignment horizontal="left"/>
    </xf>
    <xf numFmtId="0" fontId="82" fillId="0" borderId="7" xfId="0" applyFont="1" applyBorder="1" applyAlignment="1">
      <alignment horizontal="left"/>
    </xf>
    <xf numFmtId="0" fontId="82" fillId="0" borderId="8" xfId="0" applyFont="1" applyBorder="1" applyAlignment="1">
      <alignment horizontal="left"/>
    </xf>
    <xf numFmtId="0" fontId="83" fillId="8" borderId="46" xfId="1" applyFont="1" applyFill="1" applyBorder="1" applyAlignment="1">
      <alignment horizontal="center"/>
    </xf>
    <xf numFmtId="0" fontId="83" fillId="8" borderId="39" xfId="1" applyFont="1" applyFill="1" applyBorder="1" applyAlignment="1">
      <alignment horizontal="center"/>
    </xf>
    <xf numFmtId="14" fontId="11" fillId="2" borderId="9" xfId="1" applyNumberFormat="1" applyFont="1" applyFill="1" applyBorder="1" applyAlignment="1">
      <alignment horizontal="center" vertical="center" wrapText="1"/>
    </xf>
    <xf numFmtId="14" fontId="11" fillId="2" borderId="10" xfId="1" applyNumberFormat="1" applyFont="1" applyFill="1" applyBorder="1" applyAlignment="1">
      <alignment horizontal="center" vertical="center" wrapText="1"/>
    </xf>
    <xf numFmtId="14" fontId="11" fillId="2" borderId="14" xfId="1" applyNumberFormat="1" applyFont="1" applyFill="1" applyBorder="1" applyAlignment="1">
      <alignment horizontal="center" vertical="center" wrapText="1"/>
    </xf>
    <xf numFmtId="0" fontId="11" fillId="2" borderId="18" xfId="1" applyFont="1" applyFill="1" applyBorder="1" applyAlignment="1">
      <alignment horizontal="left"/>
    </xf>
    <xf numFmtId="0" fontId="11" fillId="2" borderId="42" xfId="1" applyFont="1" applyFill="1" applyBorder="1" applyAlignment="1">
      <alignment horizontal="left"/>
    </xf>
    <xf numFmtId="0" fontId="11" fillId="2" borderId="19" xfId="1" applyFont="1" applyFill="1" applyBorder="1" applyAlignment="1">
      <alignment horizontal="left"/>
    </xf>
    <xf numFmtId="0" fontId="11" fillId="2" borderId="20" xfId="1" applyFont="1" applyFill="1" applyBorder="1" applyAlignment="1">
      <alignment horizontal="left"/>
    </xf>
    <xf numFmtId="0" fontId="11" fillId="2" borderId="34" xfId="1" applyFont="1" applyFill="1" applyBorder="1" applyAlignment="1">
      <alignment horizontal="left"/>
    </xf>
    <xf numFmtId="0" fontId="11" fillId="2" borderId="22" xfId="1" applyFont="1" applyFill="1" applyBorder="1" applyAlignment="1">
      <alignment horizontal="left"/>
    </xf>
    <xf numFmtId="0" fontId="11" fillId="2" borderId="1" xfId="1" applyFont="1" applyFill="1" applyBorder="1" applyAlignment="1">
      <alignment horizontal="center"/>
    </xf>
    <xf numFmtId="0" fontId="11" fillId="2" borderId="39" xfId="1" applyFont="1" applyFill="1" applyBorder="1" applyAlignment="1">
      <alignment horizontal="center"/>
    </xf>
    <xf numFmtId="0" fontId="11" fillId="2" borderId="5" xfId="1" applyFont="1" applyFill="1" applyBorder="1" applyAlignment="1">
      <alignment horizontal="center"/>
    </xf>
    <xf numFmtId="0" fontId="11" fillId="2" borderId="0" xfId="1" applyFont="1" applyFill="1" applyAlignment="1">
      <alignment horizontal="center"/>
    </xf>
    <xf numFmtId="0" fontId="11" fillId="2" borderId="28" xfId="1" applyFont="1" applyFill="1" applyBorder="1" applyAlignment="1">
      <alignment horizontal="center"/>
    </xf>
    <xf numFmtId="0" fontId="11" fillId="2" borderId="29" xfId="1" applyFont="1" applyFill="1" applyBorder="1" applyAlignment="1">
      <alignment horizontal="center"/>
    </xf>
    <xf numFmtId="0" fontId="12" fillId="2" borderId="11" xfId="1" applyFont="1" applyFill="1" applyBorder="1" applyAlignment="1">
      <alignment horizontal="center"/>
    </xf>
    <xf numFmtId="0" fontId="14" fillId="3" borderId="25" xfId="1" applyFont="1" applyFill="1" applyBorder="1" applyAlignment="1">
      <alignment horizontal="center" vertical="center" wrapText="1"/>
    </xf>
    <xf numFmtId="0" fontId="14" fillId="3" borderId="26" xfId="1" applyFont="1" applyFill="1" applyBorder="1" applyAlignment="1">
      <alignment horizontal="center" vertical="center" wrapText="1"/>
    </xf>
    <xf numFmtId="0" fontId="14" fillId="3" borderId="27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right" vertical="top" wrapText="1"/>
    </xf>
    <xf numFmtId="0" fontId="13" fillId="2" borderId="6" xfId="1" applyFont="1" applyFill="1" applyBorder="1" applyAlignment="1">
      <alignment horizontal="right" vertical="top" wrapText="1"/>
    </xf>
    <xf numFmtId="0" fontId="13" fillId="2" borderId="43" xfId="1" applyFont="1" applyFill="1" applyBorder="1" applyAlignment="1">
      <alignment horizontal="right" vertical="top" wrapText="1"/>
    </xf>
    <xf numFmtId="0" fontId="3" fillId="2" borderId="0" xfId="1" applyFont="1" applyFill="1" applyAlignment="1">
      <alignment horizontal="right"/>
    </xf>
    <xf numFmtId="0" fontId="15" fillId="2" borderId="44" xfId="1" applyFont="1" applyFill="1" applyBorder="1" applyAlignment="1">
      <alignment horizontal="center"/>
    </xf>
    <xf numFmtId="0" fontId="3" fillId="2" borderId="0" xfId="1" applyFont="1" applyFill="1"/>
    <xf numFmtId="0" fontId="13" fillId="4" borderId="45" xfId="2" applyFont="1" applyFill="1" applyBorder="1" applyAlignment="1">
      <alignment horizontal="center" vertical="center"/>
    </xf>
    <xf numFmtId="0" fontId="13" fillId="4" borderId="35" xfId="2" applyFont="1" applyFill="1" applyBorder="1" applyAlignment="1">
      <alignment horizontal="center" vertical="center"/>
    </xf>
    <xf numFmtId="0" fontId="13" fillId="4" borderId="45" xfId="2" applyFont="1" applyFill="1" applyBorder="1" applyAlignment="1">
      <alignment horizontal="center" vertical="center" wrapText="1"/>
    </xf>
    <xf numFmtId="0" fontId="13" fillId="4" borderId="35" xfId="2" applyFont="1" applyFill="1" applyBorder="1" applyAlignment="1">
      <alignment horizontal="center" vertical="center" wrapText="1"/>
    </xf>
    <xf numFmtId="0" fontId="13" fillId="4" borderId="3" xfId="2" applyFont="1" applyFill="1" applyBorder="1" applyAlignment="1">
      <alignment horizontal="center" vertical="center"/>
    </xf>
    <xf numFmtId="0" fontId="13" fillId="4" borderId="16" xfId="2" applyFont="1" applyFill="1" applyBorder="1" applyAlignment="1">
      <alignment horizontal="center" vertical="center"/>
    </xf>
    <xf numFmtId="0" fontId="13" fillId="0" borderId="28" xfId="2" applyFont="1" applyBorder="1" applyAlignment="1">
      <alignment horizontal="right"/>
    </xf>
    <xf numFmtId="0" fontId="13" fillId="0" borderId="29" xfId="2" applyFont="1" applyBorder="1" applyAlignment="1">
      <alignment horizontal="right"/>
    </xf>
    <xf numFmtId="0" fontId="13" fillId="0" borderId="30" xfId="2" applyFont="1" applyBorder="1" applyAlignment="1">
      <alignment horizontal="right"/>
    </xf>
    <xf numFmtId="164" fontId="11" fillId="0" borderId="13" xfId="2" applyNumberFormat="1" applyFont="1" applyBorder="1" applyAlignment="1">
      <alignment horizontal="right"/>
    </xf>
    <xf numFmtId="0" fontId="11" fillId="2" borderId="31" xfId="2" applyFont="1" applyFill="1" applyBorder="1" applyAlignment="1">
      <alignment horizontal="center"/>
    </xf>
    <xf numFmtId="0" fontId="11" fillId="2" borderId="32" xfId="2" applyFont="1" applyFill="1" applyBorder="1" applyAlignment="1">
      <alignment horizontal="center"/>
    </xf>
    <xf numFmtId="0" fontId="13" fillId="0" borderId="33" xfId="2" applyFont="1" applyBorder="1" applyAlignment="1">
      <alignment horizontal="right"/>
    </xf>
    <xf numFmtId="0" fontId="13" fillId="0" borderId="34" xfId="2" applyFont="1" applyBorder="1" applyAlignment="1">
      <alignment horizontal="right"/>
    </xf>
    <xf numFmtId="0" fontId="13" fillId="0" borderId="22" xfId="2" applyFont="1" applyBorder="1" applyAlignment="1">
      <alignment horizontal="right"/>
    </xf>
    <xf numFmtId="0" fontId="11" fillId="0" borderId="7" xfId="2" applyFont="1" applyBorder="1" applyAlignment="1">
      <alignment horizontal="right"/>
    </xf>
    <xf numFmtId="164" fontId="11" fillId="0" borderId="20" xfId="2" applyNumberFormat="1" applyFont="1" applyBorder="1" applyAlignment="1">
      <alignment horizontal="center"/>
    </xf>
    <xf numFmtId="164" fontId="11" fillId="0" borderId="21" xfId="2" applyNumberFormat="1" applyFont="1" applyBorder="1" applyAlignment="1">
      <alignment horizontal="center"/>
    </xf>
    <xf numFmtId="0" fontId="19" fillId="0" borderId="33" xfId="2" applyFont="1" applyBorder="1" applyAlignment="1">
      <alignment horizontal="left"/>
    </xf>
    <xf numFmtId="0" fontId="19" fillId="0" borderId="34" xfId="2" applyFont="1" applyBorder="1" applyAlignment="1">
      <alignment horizontal="left"/>
    </xf>
    <xf numFmtId="0" fontId="19" fillId="0" borderId="21" xfId="2" applyFont="1" applyBorder="1" applyAlignment="1">
      <alignment horizontal="left"/>
    </xf>
    <xf numFmtId="164" fontId="11" fillId="0" borderId="20" xfId="2" applyNumberFormat="1" applyFont="1" applyBorder="1" applyAlignment="1">
      <alignment horizontal="right" wrapText="1"/>
    </xf>
    <xf numFmtId="164" fontId="11" fillId="0" borderId="22" xfId="2" applyNumberFormat="1" applyFont="1" applyBorder="1" applyAlignment="1">
      <alignment horizontal="right" wrapText="1"/>
    </xf>
    <xf numFmtId="0" fontId="13" fillId="0" borderId="35" xfId="2" applyFont="1" applyBorder="1" applyAlignment="1">
      <alignment horizontal="right"/>
    </xf>
    <xf numFmtId="0" fontId="13" fillId="0" borderId="36" xfId="2" applyFont="1" applyBorder="1" applyAlignment="1">
      <alignment horizontal="right"/>
    </xf>
    <xf numFmtId="0" fontId="13" fillId="0" borderId="16" xfId="2" applyFont="1" applyBorder="1" applyAlignment="1">
      <alignment horizontal="right"/>
    </xf>
    <xf numFmtId="0" fontId="11" fillId="0" borderId="16" xfId="2" applyFont="1" applyBorder="1" applyAlignment="1">
      <alignment horizontal="right"/>
    </xf>
    <xf numFmtId="164" fontId="11" fillId="0" borderId="37" xfId="2" applyNumberFormat="1" applyFont="1" applyBorder="1" applyAlignment="1">
      <alignment horizontal="center"/>
    </xf>
    <xf numFmtId="164" fontId="11" fillId="0" borderId="38" xfId="2" applyNumberFormat="1" applyFont="1" applyBorder="1" applyAlignment="1">
      <alignment horizontal="center"/>
    </xf>
    <xf numFmtId="0" fontId="13" fillId="4" borderId="25" xfId="2" applyFont="1" applyFill="1" applyBorder="1" applyAlignment="1">
      <alignment horizontal="left"/>
    </xf>
    <xf numFmtId="0" fontId="13" fillId="4" borderId="26" xfId="2" applyFont="1" applyFill="1" applyBorder="1" applyAlignment="1">
      <alignment horizontal="left"/>
    </xf>
    <xf numFmtId="0" fontId="13" fillId="4" borderId="27" xfId="2" applyFont="1" applyFill="1" applyBorder="1" applyAlignment="1">
      <alignment horizontal="left"/>
    </xf>
    <xf numFmtId="0" fontId="11" fillId="0" borderId="57" xfId="2" applyFont="1" applyBorder="1" applyAlignment="1">
      <alignment horizontal="left"/>
    </xf>
    <xf numFmtId="0" fontId="11" fillId="0" borderId="40" xfId="2" applyFont="1" applyBorder="1" applyAlignment="1">
      <alignment horizontal="left"/>
    </xf>
    <xf numFmtId="0" fontId="11" fillId="0" borderId="38" xfId="2" applyFont="1" applyBorder="1" applyAlignment="1">
      <alignment horizontal="left"/>
    </xf>
    <xf numFmtId="0" fontId="13" fillId="8" borderId="46" xfId="1" applyFont="1" applyFill="1" applyBorder="1" applyAlignment="1">
      <alignment horizontal="center"/>
    </xf>
    <xf numFmtId="0" fontId="13" fillId="8" borderId="39" xfId="1" applyFont="1" applyFill="1" applyBorder="1" applyAlignment="1">
      <alignment horizontal="center"/>
    </xf>
    <xf numFmtId="0" fontId="11" fillId="2" borderId="47" xfId="1" applyFont="1" applyFill="1" applyBorder="1" applyAlignment="1">
      <alignment horizontal="left"/>
    </xf>
    <xf numFmtId="0" fontId="11" fillId="2" borderId="0" xfId="1" applyFont="1" applyFill="1" applyAlignment="1">
      <alignment horizontal="left"/>
    </xf>
    <xf numFmtId="0" fontId="26" fillId="0" borderId="28" xfId="2" applyFont="1" applyBorder="1" applyAlignment="1">
      <alignment horizontal="left" wrapText="1"/>
    </xf>
    <xf numFmtId="0" fontId="26" fillId="0" borderId="29" xfId="2" applyFont="1" applyBorder="1" applyAlignment="1">
      <alignment horizontal="left" wrapText="1"/>
    </xf>
    <xf numFmtId="0" fontId="26" fillId="0" borderId="32" xfId="2" applyFont="1" applyBorder="1" applyAlignment="1">
      <alignment horizontal="left" wrapText="1"/>
    </xf>
    <xf numFmtId="0" fontId="35" fillId="0" borderId="33" xfId="0" applyFont="1" applyBorder="1" applyAlignment="1">
      <alignment horizontal="left"/>
    </xf>
    <xf numFmtId="0" fontId="35" fillId="0" borderId="34" xfId="0" applyFont="1" applyBorder="1" applyAlignment="1">
      <alignment horizontal="left"/>
    </xf>
    <xf numFmtId="0" fontId="35" fillId="0" borderId="21" xfId="0" applyFont="1" applyBorder="1" applyAlignment="1">
      <alignment horizontal="left"/>
    </xf>
    <xf numFmtId="0" fontId="11" fillId="0" borderId="33" xfId="2" applyFont="1" applyBorder="1" applyAlignment="1">
      <alignment horizontal="left" wrapText="1"/>
    </xf>
    <xf numFmtId="0" fontId="11" fillId="0" borderId="34" xfId="2" applyFont="1" applyBorder="1" applyAlignment="1">
      <alignment horizontal="left" wrapText="1"/>
    </xf>
    <xf numFmtId="0" fontId="11" fillId="0" borderId="21" xfId="2" applyFont="1" applyBorder="1" applyAlignment="1">
      <alignment horizontal="left" wrapText="1"/>
    </xf>
    <xf numFmtId="0" fontId="30" fillId="0" borderId="28" xfId="2" applyFont="1" applyBorder="1" applyAlignment="1">
      <alignment horizontal="left"/>
    </xf>
    <xf numFmtId="0" fontId="30" fillId="0" borderId="29" xfId="2" applyFont="1" applyBorder="1" applyAlignment="1">
      <alignment horizontal="left"/>
    </xf>
    <xf numFmtId="0" fontId="30" fillId="0" borderId="32" xfId="2" applyFont="1" applyBorder="1" applyAlignment="1">
      <alignment horizontal="left"/>
    </xf>
    <xf numFmtId="0" fontId="16" fillId="0" borderId="28" xfId="0" applyFont="1" applyBorder="1" applyAlignment="1">
      <alignment horizontal="left" wrapText="1"/>
    </xf>
    <xf numFmtId="0" fontId="16" fillId="0" borderId="29" xfId="0" applyFont="1" applyBorder="1" applyAlignment="1">
      <alignment horizontal="left" wrapText="1"/>
    </xf>
    <xf numFmtId="0" fontId="18" fillId="0" borderId="29" xfId="0" applyFont="1" applyBorder="1" applyAlignment="1">
      <alignment horizontal="left" wrapText="1"/>
    </xf>
    <xf numFmtId="0" fontId="18" fillId="0" borderId="32" xfId="0" applyFont="1" applyBorder="1" applyAlignment="1">
      <alignment horizontal="left" wrapText="1"/>
    </xf>
    <xf numFmtId="0" fontId="16" fillId="0" borderId="33" xfId="0" applyFont="1" applyBorder="1" applyAlignment="1">
      <alignment horizontal="left" wrapText="1"/>
    </xf>
    <xf numFmtId="0" fontId="16" fillId="0" borderId="34" xfId="0" applyFont="1" applyBorder="1" applyAlignment="1">
      <alignment horizontal="left" wrapText="1"/>
    </xf>
    <xf numFmtId="0" fontId="18" fillId="0" borderId="34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30" fillId="0" borderId="48" xfId="2" applyFont="1" applyBorder="1" applyAlignment="1">
      <alignment horizontal="left"/>
    </xf>
    <xf numFmtId="0" fontId="30" fillId="0" borderId="44" xfId="2" applyFont="1" applyBorder="1" applyAlignment="1">
      <alignment horizontal="left"/>
    </xf>
    <xf numFmtId="0" fontId="30" fillId="0" borderId="49" xfId="2" applyFont="1" applyBorder="1" applyAlignment="1">
      <alignment horizontal="left"/>
    </xf>
    <xf numFmtId="0" fontId="11" fillId="0" borderId="35" xfId="2" applyFont="1" applyBorder="1" applyAlignment="1">
      <alignment horizontal="left"/>
    </xf>
    <xf numFmtId="0" fontId="11" fillId="0" borderId="36" xfId="2" applyFont="1" applyBorder="1" applyAlignment="1">
      <alignment horizontal="left"/>
    </xf>
    <xf numFmtId="0" fontId="11" fillId="0" borderId="16" xfId="2" applyFont="1" applyBorder="1" applyAlignment="1">
      <alignment horizontal="left"/>
    </xf>
    <xf numFmtId="0" fontId="11" fillId="0" borderId="17" xfId="2" applyFont="1" applyBorder="1" applyAlignment="1">
      <alignment horizontal="left"/>
    </xf>
    <xf numFmtId="0" fontId="11" fillId="0" borderId="20" xfId="0" applyFont="1" applyBorder="1" applyAlignment="1">
      <alignment horizontal="left" wrapText="1"/>
    </xf>
    <xf numFmtId="0" fontId="11" fillId="0" borderId="34" xfId="0" applyFont="1" applyBorder="1" applyAlignment="1">
      <alignment horizontal="left" wrapText="1"/>
    </xf>
    <xf numFmtId="0" fontId="11" fillId="0" borderId="22" xfId="0" applyFont="1" applyBorder="1" applyAlignment="1">
      <alignment horizontal="left" wrapText="1"/>
    </xf>
    <xf numFmtId="0" fontId="11" fillId="0" borderId="12" xfId="2" applyFont="1" applyBorder="1" applyAlignment="1">
      <alignment horizontal="left"/>
    </xf>
    <xf numFmtId="0" fontId="11" fillId="0" borderId="30" xfId="2" applyFont="1" applyBorder="1" applyAlignment="1">
      <alignment horizontal="left"/>
    </xf>
    <xf numFmtId="0" fontId="11" fillId="0" borderId="13" xfId="2" applyFont="1" applyBorder="1" applyAlignment="1">
      <alignment horizontal="left"/>
    </xf>
    <xf numFmtId="0" fontId="11" fillId="0" borderId="14" xfId="2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30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12" xfId="2" applyFont="1" applyBorder="1" applyAlignment="1">
      <alignment horizontal="left" wrapText="1"/>
    </xf>
    <xf numFmtId="0" fontId="11" fillId="0" borderId="30" xfId="2" applyFont="1" applyBorder="1" applyAlignment="1">
      <alignment horizontal="left" wrapText="1"/>
    </xf>
    <xf numFmtId="0" fontId="11" fillId="0" borderId="13" xfId="2" applyFont="1" applyBorder="1" applyAlignment="1">
      <alignment horizontal="left" wrapText="1"/>
    </xf>
    <xf numFmtId="0" fontId="11" fillId="0" borderId="14" xfId="2" applyFont="1" applyBorder="1" applyAlignment="1">
      <alignment horizontal="left" wrapText="1"/>
    </xf>
    <xf numFmtId="164" fontId="11" fillId="0" borderId="20" xfId="0" applyNumberFormat="1" applyFont="1" applyBorder="1" applyAlignment="1">
      <alignment horizontal="center" wrapText="1"/>
    </xf>
    <xf numFmtId="164" fontId="11" fillId="0" borderId="21" xfId="0" applyNumberFormat="1" applyFont="1" applyBorder="1" applyAlignment="1">
      <alignment horizontal="center" wrapText="1"/>
    </xf>
    <xf numFmtId="0" fontId="29" fillId="3" borderId="20" xfId="1" applyFont="1" applyFill="1" applyBorder="1" applyAlignment="1">
      <alignment horizontal="center" vertical="center" wrapText="1"/>
    </xf>
    <xf numFmtId="0" fontId="29" fillId="3" borderId="34" xfId="1" applyFont="1" applyFill="1" applyBorder="1" applyAlignment="1">
      <alignment horizontal="center" vertical="center" wrapText="1"/>
    </xf>
    <xf numFmtId="0" fontId="29" fillId="3" borderId="22" xfId="1" applyFont="1" applyFill="1" applyBorder="1" applyAlignment="1">
      <alignment horizontal="center" vertical="center" wrapText="1"/>
    </xf>
    <xf numFmtId="0" fontId="27" fillId="4" borderId="45" xfId="2" applyFont="1" applyFill="1" applyBorder="1" applyAlignment="1">
      <alignment horizontal="center" vertical="center"/>
    </xf>
    <xf numFmtId="0" fontId="27" fillId="4" borderId="15" xfId="2" applyFont="1" applyFill="1" applyBorder="1" applyAlignment="1">
      <alignment horizontal="center" vertical="center"/>
    </xf>
    <xf numFmtId="0" fontId="27" fillId="4" borderId="3" xfId="2" applyFont="1" applyFill="1" applyBorder="1" applyAlignment="1">
      <alignment horizontal="center" vertical="center"/>
    </xf>
    <xf numFmtId="0" fontId="27" fillId="4" borderId="11" xfId="2" applyFont="1" applyFill="1" applyBorder="1" applyAlignment="1">
      <alignment horizontal="center" vertical="center"/>
    </xf>
    <xf numFmtId="0" fontId="27" fillId="4" borderId="16" xfId="2" applyFont="1" applyFill="1" applyBorder="1" applyAlignment="1">
      <alignment horizontal="center" vertical="center"/>
    </xf>
    <xf numFmtId="0" fontId="0" fillId="2" borderId="7" xfId="1" applyFont="1" applyFill="1" applyBorder="1" applyAlignment="1">
      <alignment horizontal="left"/>
    </xf>
    <xf numFmtId="0" fontId="6" fillId="2" borderId="7" xfId="1" applyFont="1" applyFill="1" applyBorder="1" applyAlignment="1">
      <alignment horizontal="left"/>
    </xf>
    <xf numFmtId="0" fontId="0" fillId="2" borderId="16" xfId="1" applyFont="1" applyFill="1" applyBorder="1" applyAlignment="1">
      <alignment horizontal="left"/>
    </xf>
    <xf numFmtId="0" fontId="6" fillId="2" borderId="16" xfId="1" applyFont="1" applyFill="1" applyBorder="1" applyAlignment="1">
      <alignment horizontal="left"/>
    </xf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6" fillId="2" borderId="48" xfId="1" applyFont="1" applyFill="1" applyBorder="1" applyAlignment="1">
      <alignment horizontal="center"/>
    </xf>
    <xf numFmtId="0" fontId="6" fillId="2" borderId="43" xfId="1" applyFont="1" applyFill="1" applyBorder="1" applyAlignment="1">
      <alignment horizontal="center"/>
    </xf>
    <xf numFmtId="0" fontId="27" fillId="2" borderId="7" xfId="1" applyFont="1" applyFill="1" applyBorder="1" applyAlignment="1">
      <alignment horizontal="right" vertical="top" wrapText="1"/>
    </xf>
    <xf numFmtId="0" fontId="27" fillId="2" borderId="16" xfId="1" applyFont="1" applyFill="1" applyBorder="1" applyAlignment="1">
      <alignment horizontal="right" vertical="top" wrapText="1"/>
    </xf>
    <xf numFmtId="0" fontId="73" fillId="4" borderId="25" xfId="1" applyFont="1" applyFill="1" applyBorder="1" applyAlignment="1">
      <alignment horizontal="center" vertical="center" wrapText="1"/>
    </xf>
    <xf numFmtId="0" fontId="73" fillId="4" borderId="26" xfId="1" applyFont="1" applyFill="1" applyBorder="1" applyAlignment="1">
      <alignment horizontal="center" vertical="center" wrapText="1"/>
    </xf>
    <xf numFmtId="0" fontId="73" fillId="4" borderId="27" xfId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/>
    </xf>
    <xf numFmtId="0" fontId="8" fillId="4" borderId="25" xfId="2" applyFont="1" applyFill="1" applyBorder="1" applyAlignment="1">
      <alignment horizontal="left"/>
    </xf>
    <xf numFmtId="0" fontId="8" fillId="4" borderId="26" xfId="2" applyFont="1" applyFill="1" applyBorder="1" applyAlignment="1">
      <alignment horizontal="left"/>
    </xf>
    <xf numFmtId="0" fontId="8" fillId="4" borderId="27" xfId="2" applyFont="1" applyFill="1" applyBorder="1" applyAlignment="1">
      <alignment horizontal="left"/>
    </xf>
    <xf numFmtId="0" fontId="7" fillId="0" borderId="57" xfId="2" applyFont="1" applyBorder="1" applyAlignment="1">
      <alignment horizontal="left"/>
    </xf>
    <xf numFmtId="0" fontId="7" fillId="0" borderId="40" xfId="2" applyFont="1" applyBorder="1" applyAlignment="1">
      <alignment horizontal="left"/>
    </xf>
    <xf numFmtId="0" fontId="7" fillId="0" borderId="38" xfId="2" applyFont="1" applyBorder="1" applyAlignment="1">
      <alignment horizontal="left"/>
    </xf>
    <xf numFmtId="0" fontId="8" fillId="8" borderId="46" xfId="1" applyFont="1" applyFill="1" applyBorder="1" applyAlignment="1">
      <alignment horizontal="center"/>
    </xf>
    <xf numFmtId="0" fontId="8" fillId="8" borderId="39" xfId="1" applyFont="1" applyFill="1" applyBorder="1" applyAlignment="1">
      <alignment horizontal="center"/>
    </xf>
    <xf numFmtId="0" fontId="7" fillId="2" borderId="47" xfId="1" applyFont="1" applyFill="1" applyBorder="1" applyAlignment="1">
      <alignment horizontal="left"/>
    </xf>
    <xf numFmtId="0" fontId="7" fillId="2" borderId="0" xfId="1" applyFont="1" applyFill="1" applyAlignment="1">
      <alignment horizontal="left"/>
    </xf>
    <xf numFmtId="0" fontId="7" fillId="0" borderId="7" xfId="0" applyFont="1" applyBorder="1" applyAlignment="1">
      <alignment horizontal="left" wrapText="1"/>
    </xf>
    <xf numFmtId="0" fontId="7" fillId="0" borderId="33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14" fontId="4" fillId="2" borderId="14" xfId="1" applyNumberFormat="1" applyFont="1" applyFill="1" applyBorder="1" applyAlignment="1">
      <alignment horizontal="center" vertical="center" wrapText="1"/>
    </xf>
    <xf numFmtId="0" fontId="4" fillId="2" borderId="18" xfId="1" applyFont="1" applyFill="1" applyBorder="1" applyAlignment="1">
      <alignment horizontal="left"/>
    </xf>
    <xf numFmtId="0" fontId="4" fillId="2" borderId="42" xfId="1" applyFont="1" applyFill="1" applyBorder="1" applyAlignment="1">
      <alignment horizontal="left"/>
    </xf>
    <xf numFmtId="0" fontId="4" fillId="2" borderId="19" xfId="1" applyFont="1" applyFill="1" applyBorder="1" applyAlignment="1">
      <alignment horizontal="left"/>
    </xf>
    <xf numFmtId="0" fontId="4" fillId="2" borderId="20" xfId="1" applyFont="1" applyFill="1" applyBorder="1" applyAlignment="1">
      <alignment horizontal="left"/>
    </xf>
    <xf numFmtId="0" fontId="4" fillId="2" borderId="34" xfId="1" applyFont="1" applyFill="1" applyBorder="1" applyAlignment="1">
      <alignment horizontal="left"/>
    </xf>
    <xf numFmtId="0" fontId="4" fillId="2" borderId="22" xfId="1" applyFont="1" applyFill="1" applyBorder="1" applyAlignment="1">
      <alignment horizontal="left"/>
    </xf>
    <xf numFmtId="0" fontId="4" fillId="2" borderId="1" xfId="1" applyFont="1" applyFill="1" applyBorder="1" applyAlignment="1">
      <alignment horizontal="center"/>
    </xf>
    <xf numFmtId="0" fontId="4" fillId="2" borderId="39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28" xfId="1" applyFont="1" applyFill="1" applyBorder="1" applyAlignment="1">
      <alignment horizontal="center"/>
    </xf>
    <xf numFmtId="0" fontId="4" fillId="2" borderId="29" xfId="1" applyFont="1" applyFill="1" applyBorder="1" applyAlignment="1">
      <alignment horizontal="center"/>
    </xf>
    <xf numFmtId="0" fontId="14" fillId="2" borderId="3" xfId="1" applyFont="1" applyFill="1" applyBorder="1" applyAlignment="1">
      <alignment horizontal="center"/>
    </xf>
    <xf numFmtId="0" fontId="14" fillId="2" borderId="37" xfId="1" applyFont="1" applyFill="1" applyBorder="1" applyAlignment="1">
      <alignment horizontal="center"/>
    </xf>
    <xf numFmtId="0" fontId="14" fillId="2" borderId="40" xfId="1" applyFont="1" applyFill="1" applyBorder="1" applyAlignment="1">
      <alignment horizontal="center"/>
    </xf>
    <xf numFmtId="0" fontId="14" fillId="2" borderId="36" xfId="1" applyFont="1" applyFill="1" applyBorder="1" applyAlignment="1">
      <alignment horizontal="center"/>
    </xf>
    <xf numFmtId="0" fontId="14" fillId="2" borderId="41" xfId="1" applyFont="1" applyFill="1" applyBorder="1" applyAlignment="1">
      <alignment horizontal="right" vertical="top" wrapText="1"/>
    </xf>
    <xf numFmtId="0" fontId="14" fillId="2" borderId="6" xfId="1" applyFont="1" applyFill="1" applyBorder="1" applyAlignment="1">
      <alignment horizontal="right" vertical="top" wrapText="1"/>
    </xf>
    <xf numFmtId="0" fontId="14" fillId="2" borderId="43" xfId="1" applyFont="1" applyFill="1" applyBorder="1" applyAlignment="1">
      <alignment horizontal="right" vertical="top" wrapText="1"/>
    </xf>
    <xf numFmtId="0" fontId="5" fillId="2" borderId="44" xfId="1" applyFont="1" applyFill="1" applyBorder="1" applyAlignment="1">
      <alignment horizontal="center"/>
    </xf>
    <xf numFmtId="0" fontId="14" fillId="4" borderId="45" xfId="2" applyFont="1" applyFill="1" applyBorder="1" applyAlignment="1">
      <alignment horizontal="center" vertical="center"/>
    </xf>
    <xf numFmtId="0" fontId="14" fillId="4" borderId="35" xfId="2" applyFont="1" applyFill="1" applyBorder="1" applyAlignment="1">
      <alignment horizontal="center" vertical="center"/>
    </xf>
    <xf numFmtId="0" fontId="14" fillId="4" borderId="45" xfId="2" applyFont="1" applyFill="1" applyBorder="1" applyAlignment="1">
      <alignment horizontal="center" vertical="center" wrapText="1"/>
    </xf>
    <xf numFmtId="0" fontId="14" fillId="4" borderId="35" xfId="2" applyFont="1" applyFill="1" applyBorder="1" applyAlignment="1">
      <alignment horizontal="center" vertical="center" wrapText="1"/>
    </xf>
    <xf numFmtId="0" fontId="14" fillId="4" borderId="3" xfId="2" applyFont="1" applyFill="1" applyBorder="1" applyAlignment="1">
      <alignment horizontal="center" vertical="center"/>
    </xf>
    <xf numFmtId="0" fontId="14" fillId="4" borderId="16" xfId="2" applyFont="1" applyFill="1" applyBorder="1" applyAlignment="1">
      <alignment horizontal="center" vertical="center"/>
    </xf>
    <xf numFmtId="0" fontId="14" fillId="0" borderId="28" xfId="2" applyFont="1" applyBorder="1" applyAlignment="1">
      <alignment horizontal="right"/>
    </xf>
    <xf numFmtId="0" fontId="14" fillId="0" borderId="29" xfId="2" applyFont="1" applyBorder="1" applyAlignment="1">
      <alignment horizontal="right"/>
    </xf>
    <xf numFmtId="0" fontId="14" fillId="0" borderId="30" xfId="2" applyFont="1" applyBorder="1" applyAlignment="1">
      <alignment horizontal="right"/>
    </xf>
    <xf numFmtId="164" fontId="4" fillId="0" borderId="13" xfId="2" applyNumberFormat="1" applyFont="1" applyBorder="1" applyAlignment="1">
      <alignment horizontal="right"/>
    </xf>
    <xf numFmtId="0" fontId="4" fillId="2" borderId="31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14" fillId="0" borderId="33" xfId="2" applyFont="1" applyBorder="1" applyAlignment="1">
      <alignment horizontal="right"/>
    </xf>
    <xf numFmtId="0" fontId="14" fillId="0" borderId="34" xfId="2" applyFont="1" applyBorder="1" applyAlignment="1">
      <alignment horizontal="right"/>
    </xf>
    <xf numFmtId="0" fontId="14" fillId="0" borderId="22" xfId="2" applyFont="1" applyBorder="1" applyAlignment="1">
      <alignment horizontal="right"/>
    </xf>
    <xf numFmtId="0" fontId="4" fillId="0" borderId="7" xfId="2" applyFont="1" applyBorder="1" applyAlignment="1">
      <alignment horizontal="right"/>
    </xf>
    <xf numFmtId="164" fontId="4" fillId="0" borderId="20" xfId="2" applyNumberFormat="1" applyFont="1" applyBorder="1" applyAlignment="1">
      <alignment horizontal="center"/>
    </xf>
    <xf numFmtId="164" fontId="4" fillId="0" borderId="21" xfId="2" applyNumberFormat="1" applyFont="1" applyBorder="1" applyAlignment="1">
      <alignment horizontal="center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164" fontId="4" fillId="0" borderId="20" xfId="2" applyNumberFormat="1" applyFont="1" applyBorder="1" applyAlignment="1">
      <alignment horizontal="right" wrapText="1"/>
    </xf>
    <xf numFmtId="164" fontId="4" fillId="0" borderId="22" xfId="2" applyNumberFormat="1" applyFont="1" applyBorder="1" applyAlignment="1">
      <alignment horizontal="right" wrapText="1"/>
    </xf>
    <xf numFmtId="164" fontId="4" fillId="0" borderId="20" xfId="0" applyNumberFormat="1" applyFont="1" applyBorder="1" applyAlignment="1">
      <alignment horizontal="center" wrapText="1"/>
    </xf>
    <xf numFmtId="164" fontId="4" fillId="0" borderId="21" xfId="0" applyNumberFormat="1" applyFont="1" applyBorder="1" applyAlignment="1">
      <alignment horizontal="center" wrapText="1"/>
    </xf>
    <xf numFmtId="0" fontId="14" fillId="0" borderId="35" xfId="2" applyFont="1" applyBorder="1" applyAlignment="1">
      <alignment horizontal="right"/>
    </xf>
    <xf numFmtId="0" fontId="14" fillId="0" borderId="36" xfId="2" applyFont="1" applyBorder="1" applyAlignment="1">
      <alignment horizontal="right"/>
    </xf>
    <xf numFmtId="0" fontId="14" fillId="0" borderId="16" xfId="2" applyFont="1" applyBorder="1" applyAlignment="1">
      <alignment horizontal="right"/>
    </xf>
    <xf numFmtId="0" fontId="4" fillId="0" borderId="16" xfId="2" applyFont="1" applyBorder="1" applyAlignment="1">
      <alignment horizontal="right"/>
    </xf>
    <xf numFmtId="0" fontId="14" fillId="4" borderId="25" xfId="2" applyFont="1" applyFill="1" applyBorder="1" applyAlignment="1">
      <alignment horizontal="left"/>
    </xf>
    <xf numFmtId="0" fontId="14" fillId="4" borderId="26" xfId="2" applyFont="1" applyFill="1" applyBorder="1" applyAlignment="1">
      <alignment horizontal="left"/>
    </xf>
    <xf numFmtId="0" fontId="14" fillId="4" borderId="27" xfId="2" applyFont="1" applyFill="1" applyBorder="1" applyAlignment="1">
      <alignment horizontal="left"/>
    </xf>
    <xf numFmtId="0" fontId="14" fillId="8" borderId="46" xfId="1" applyFont="1" applyFill="1" applyBorder="1" applyAlignment="1">
      <alignment horizontal="center"/>
    </xf>
    <xf numFmtId="0" fontId="14" fillId="8" borderId="39" xfId="1" applyFont="1" applyFill="1" applyBorder="1" applyAlignment="1">
      <alignment horizontal="center"/>
    </xf>
    <xf numFmtId="0" fontId="4" fillId="2" borderId="47" xfId="1" applyFont="1" applyFill="1" applyBorder="1" applyAlignment="1">
      <alignment horizontal="left"/>
    </xf>
    <xf numFmtId="0" fontId="4" fillId="2" borderId="0" xfId="1" applyFont="1" applyFill="1" applyAlignment="1">
      <alignment horizontal="left"/>
    </xf>
    <xf numFmtId="0" fontId="4" fillId="0" borderId="58" xfId="0" applyFont="1" applyBorder="1" applyAlignment="1">
      <alignment vertical="center" wrapText="1"/>
    </xf>
    <xf numFmtId="0" fontId="4" fillId="0" borderId="59" xfId="0" applyFont="1" applyBorder="1" applyAlignment="1">
      <alignment vertical="center" wrapText="1"/>
    </xf>
    <xf numFmtId="0" fontId="4" fillId="0" borderId="60" xfId="0" applyFont="1" applyBorder="1" applyAlignment="1">
      <alignment vertical="center" wrapText="1"/>
    </xf>
    <xf numFmtId="0" fontId="4" fillId="0" borderId="33" xfId="2" applyFont="1" applyBorder="1" applyAlignment="1">
      <alignment horizontal="center" vertical="center"/>
    </xf>
    <xf numFmtId="0" fontId="4" fillId="0" borderId="34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12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67" fillId="0" borderId="33" xfId="2" applyFont="1" applyBorder="1" applyAlignment="1">
      <alignment horizontal="left" wrapText="1"/>
    </xf>
    <xf numFmtId="0" fontId="67" fillId="0" borderId="34" xfId="2" applyFont="1" applyBorder="1" applyAlignment="1">
      <alignment horizontal="left" wrapText="1"/>
    </xf>
    <xf numFmtId="0" fontId="67" fillId="0" borderId="21" xfId="2" applyFont="1" applyBorder="1" applyAlignment="1">
      <alignment horizontal="left" wrapText="1"/>
    </xf>
    <xf numFmtId="0" fontId="14" fillId="0" borderId="28" xfId="2" applyFont="1" applyBorder="1" applyAlignment="1">
      <alignment horizontal="left" wrapText="1"/>
    </xf>
    <xf numFmtId="0" fontId="14" fillId="0" borderId="29" xfId="2" applyFont="1" applyBorder="1" applyAlignment="1">
      <alignment horizontal="left" wrapText="1"/>
    </xf>
    <xf numFmtId="0" fontId="14" fillId="0" borderId="32" xfId="2" applyFont="1" applyBorder="1" applyAlignment="1">
      <alignment horizontal="left" wrapText="1"/>
    </xf>
    <xf numFmtId="0" fontId="65" fillId="0" borderId="33" xfId="0" applyFont="1" applyBorder="1" applyAlignment="1">
      <alignment horizontal="left"/>
    </xf>
    <xf numFmtId="0" fontId="65" fillId="0" borderId="34" xfId="0" applyFont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14" fillId="3" borderId="50" xfId="1" applyFont="1" applyFill="1" applyBorder="1" applyAlignment="1">
      <alignment horizontal="center"/>
    </xf>
    <xf numFmtId="0" fontId="14" fillId="3" borderId="51" xfId="1" applyFont="1" applyFill="1" applyBorder="1" applyAlignment="1">
      <alignment horizontal="center"/>
    </xf>
    <xf numFmtId="0" fontId="14" fillId="3" borderId="52" xfId="1" applyFont="1" applyFill="1" applyBorder="1" applyAlignment="1">
      <alignment horizontal="center"/>
    </xf>
    <xf numFmtId="0" fontId="18" fillId="0" borderId="34" xfId="0" applyFont="1" applyBorder="1" applyAlignment="1">
      <alignment horizontal="left"/>
    </xf>
    <xf numFmtId="0" fontId="18" fillId="0" borderId="33" xfId="0" applyFont="1" applyBorder="1" applyAlignment="1">
      <alignment horizontal="left"/>
    </xf>
    <xf numFmtId="0" fontId="18" fillId="0" borderId="21" xfId="0" applyFont="1" applyBorder="1" applyAlignment="1">
      <alignment horizontal="left"/>
    </xf>
    <xf numFmtId="0" fontId="18" fillId="0" borderId="28" xfId="0" applyFont="1" applyBorder="1" applyAlignment="1">
      <alignment horizontal="left"/>
    </xf>
    <xf numFmtId="0" fontId="18" fillId="0" borderId="29" xfId="0" applyFont="1" applyBorder="1" applyAlignment="1">
      <alignment horizontal="left"/>
    </xf>
    <xf numFmtId="0" fontId="18" fillId="0" borderId="32" xfId="0" applyFont="1" applyBorder="1" applyAlignment="1">
      <alignment horizontal="left"/>
    </xf>
    <xf numFmtId="0" fontId="16" fillId="0" borderId="33" xfId="0" applyFont="1" applyBorder="1" applyAlignment="1">
      <alignment horizontal="left"/>
    </xf>
    <xf numFmtId="0" fontId="16" fillId="0" borderId="34" xfId="0" applyFont="1" applyBorder="1" applyAlignment="1">
      <alignment horizontal="left"/>
    </xf>
    <xf numFmtId="0" fontId="16" fillId="0" borderId="21" xfId="0" applyFont="1" applyBorder="1" applyAlignment="1">
      <alignment horizontal="left"/>
    </xf>
    <xf numFmtId="0" fontId="12" fillId="8" borderId="46" xfId="1" applyFont="1" applyFill="1" applyBorder="1" applyAlignment="1">
      <alignment horizontal="center"/>
    </xf>
    <xf numFmtId="0" fontId="12" fillId="8" borderId="39" xfId="1" applyFont="1" applyFill="1" applyBorder="1" applyAlignment="1">
      <alignment horizontal="center"/>
    </xf>
    <xf numFmtId="0" fontId="31" fillId="0" borderId="23" xfId="0" applyFont="1" applyBorder="1" applyAlignment="1">
      <alignment horizontal="left"/>
    </xf>
    <xf numFmtId="0" fontId="31" fillId="0" borderId="22" xfId="0" applyFont="1" applyBorder="1" applyAlignment="1">
      <alignment horizontal="left"/>
    </xf>
    <xf numFmtId="0" fontId="31" fillId="0" borderId="7" xfId="0" applyFont="1" applyBorder="1" applyAlignment="1">
      <alignment horizontal="left"/>
    </xf>
    <xf numFmtId="0" fontId="31" fillId="0" borderId="8" xfId="0" applyFont="1" applyBorder="1" applyAlignment="1">
      <alignment horizontal="left"/>
    </xf>
    <xf numFmtId="0" fontId="64" fillId="3" borderId="7" xfId="1" applyFont="1" applyFill="1" applyBorder="1" applyAlignment="1">
      <alignment horizontal="center" vertical="center" wrapText="1"/>
    </xf>
    <xf numFmtId="0" fontId="4" fillId="0" borderId="7" xfId="2" applyFont="1" applyBorder="1" applyAlignment="1">
      <alignment horizontal="left"/>
    </xf>
    <xf numFmtId="0" fontId="67" fillId="0" borderId="28" xfId="0" applyFont="1" applyBorder="1" applyAlignment="1">
      <alignment horizontal="left"/>
    </xf>
    <xf numFmtId="0" fontId="67" fillId="0" borderId="29" xfId="0" applyFont="1" applyBorder="1" applyAlignment="1">
      <alignment horizontal="left"/>
    </xf>
    <xf numFmtId="0" fontId="67" fillId="0" borderId="32" xfId="0" applyFont="1" applyBorder="1" applyAlignment="1">
      <alignment horizontal="left"/>
    </xf>
    <xf numFmtId="0" fontId="67" fillId="0" borderId="33" xfId="0" applyFont="1" applyBorder="1" applyAlignment="1">
      <alignment horizontal="left"/>
    </xf>
    <xf numFmtId="0" fontId="67" fillId="0" borderId="34" xfId="0" applyFont="1" applyBorder="1" applyAlignment="1">
      <alignment horizontal="left"/>
    </xf>
    <xf numFmtId="0" fontId="67" fillId="0" borderId="21" xfId="0" applyFont="1" applyBorder="1" applyAlignment="1">
      <alignment horizontal="left"/>
    </xf>
    <xf numFmtId="0" fontId="4" fillId="0" borderId="20" xfId="0" applyFont="1" applyBorder="1" applyAlignment="1">
      <alignment horizontal="left" wrapText="1"/>
    </xf>
    <xf numFmtId="0" fontId="4" fillId="0" borderId="34" xfId="0" applyFont="1" applyBorder="1" applyAlignment="1">
      <alignment horizontal="left" wrapText="1"/>
    </xf>
    <xf numFmtId="0" fontId="4" fillId="0" borderId="22" xfId="0" applyFont="1" applyBorder="1" applyAlignment="1">
      <alignment horizontal="left" wrapText="1"/>
    </xf>
    <xf numFmtId="0" fontId="4" fillId="2" borderId="7" xfId="1" applyFont="1" applyFill="1" applyBorder="1" applyAlignment="1">
      <alignment horizontal="left"/>
    </xf>
    <xf numFmtId="0" fontId="94" fillId="0" borderId="0" xfId="0" applyFont="1" applyAlignment="1">
      <alignment horizontal="center"/>
    </xf>
    <xf numFmtId="0" fontId="95" fillId="3" borderId="7" xfId="1" applyFont="1" applyFill="1" applyBorder="1" applyAlignment="1">
      <alignment horizontal="center" vertical="center" wrapText="1"/>
    </xf>
    <xf numFmtId="0" fontId="96" fillId="3" borderId="7" xfId="1" applyFont="1" applyFill="1" applyBorder="1" applyAlignment="1">
      <alignment horizontal="center" vertical="center" wrapText="1"/>
    </xf>
    <xf numFmtId="0" fontId="94" fillId="0" borderId="7" xfId="0" applyFont="1" applyBorder="1"/>
    <xf numFmtId="0" fontId="7" fillId="0" borderId="0" xfId="2" applyFont="1" applyAlignment="1">
      <alignment horizontal="center" vertical="center"/>
    </xf>
    <xf numFmtId="0" fontId="94" fillId="0" borderId="13" xfId="2" applyFont="1" applyBorder="1" applyAlignment="1">
      <alignment horizontal="center"/>
    </xf>
    <xf numFmtId="0" fontId="8" fillId="0" borderId="29" xfId="2" applyFont="1" applyBorder="1" applyAlignment="1">
      <alignment horizontal="left" wrapText="1"/>
    </xf>
    <xf numFmtId="0" fontId="8" fillId="0" borderId="32" xfId="2" applyFont="1" applyBorder="1" applyAlignment="1">
      <alignment horizontal="left" wrapText="1"/>
    </xf>
    <xf numFmtId="0" fontId="8" fillId="0" borderId="28" xfId="2" applyFont="1" applyBorder="1" applyAlignment="1">
      <alignment horizontal="left" wrapText="1"/>
    </xf>
    <xf numFmtId="0" fontId="7" fillId="0" borderId="48" xfId="2" applyFont="1" applyBorder="1" applyAlignment="1">
      <alignment horizontal="left"/>
    </xf>
    <xf numFmtId="0" fontId="7" fillId="0" borderId="44" xfId="2" applyFont="1" applyBorder="1" applyAlignment="1">
      <alignment horizontal="left"/>
    </xf>
    <xf numFmtId="0" fontId="7" fillId="0" borderId="49" xfId="2" applyFont="1" applyBorder="1" applyAlignment="1">
      <alignment horizontal="left"/>
    </xf>
    <xf numFmtId="0" fontId="27" fillId="4" borderId="14" xfId="2" applyFont="1" applyFill="1" applyBorder="1" applyAlignment="1">
      <alignment horizontal="center" vertical="center" wrapText="1"/>
    </xf>
    <xf numFmtId="14" fontId="32" fillId="2" borderId="7" xfId="1" applyNumberFormat="1" applyFont="1" applyFill="1" applyBorder="1" applyAlignment="1">
      <alignment horizontal="center" vertical="center" wrapText="1"/>
    </xf>
  </cellXfs>
  <cellStyles count="11">
    <cellStyle name="Millares" xfId="4" builtinId="3"/>
    <cellStyle name="Millares [0]" xfId="6" builtinId="6"/>
    <cellStyle name="Normal" xfId="0" builtinId="0"/>
    <cellStyle name="Normal 2" xfId="2" xr:uid="{AE653D8E-2491-4A45-97FD-069F84894B4C}"/>
    <cellStyle name="Normal 2 2" xfId="9" xr:uid="{748B9A45-D89B-4652-9A03-25949CBAD19A}"/>
    <cellStyle name="Normal 3" xfId="5" xr:uid="{7C7C212D-E753-4B8C-9C37-4363235C0835}"/>
    <cellStyle name="Normal 3 2" xfId="7" xr:uid="{1815C475-87DB-45B3-9495-F214879C6AB8}"/>
    <cellStyle name="Normal 4" xfId="10" xr:uid="{5F11AE46-91B0-4752-B46A-3A5A2D44F641}"/>
    <cellStyle name="Normal_CRITERIOS DE EVALUACION PT DE GB 2" xfId="1" xr:uid="{C67B9BC7-195C-469A-8DED-41518659D955}"/>
    <cellStyle name="Porcentaje 2" xfId="3" xr:uid="{DB8877DD-4D08-4D11-8203-DD6722510FD5}"/>
    <cellStyle name="Porcentaje 2 2" xfId="8" xr:uid="{15022090-2757-451F-A287-3ED7D69AAB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111125</xdr:colOff>
      <xdr:row>0</xdr:row>
      <xdr:rowOff>170815</xdr:rowOff>
    </xdr:from>
    <xdr:to>
      <xdr:col>1</xdr:col>
      <xdr:colOff>819578</xdr:colOff>
      <xdr:row>6</xdr:row>
      <xdr:rowOff>113824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75D666ED-2079-4ED5-84C0-75011CFDF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125" y="170815"/>
          <a:ext cx="1744773" cy="10402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347662</xdr:colOff>
      <xdr:row>0</xdr:row>
      <xdr:rowOff>73818</xdr:rowOff>
    </xdr:from>
    <xdr:to>
      <xdr:col>1</xdr:col>
      <xdr:colOff>904874</xdr:colOff>
      <xdr:row>4</xdr:row>
      <xdr:rowOff>144304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0D079B3C-3E0A-4146-959E-27CB1E4FA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" y="73818"/>
          <a:ext cx="1715452" cy="832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122464</xdr:colOff>
      <xdr:row>1</xdr:row>
      <xdr:rowOff>144237</xdr:rowOff>
    </xdr:from>
    <xdr:to>
      <xdr:col>1</xdr:col>
      <xdr:colOff>666474</xdr:colOff>
      <xdr:row>5</xdr:row>
      <xdr:rowOff>89808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ACE54B61-7BF1-4008-B4DC-353D74619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" y="365217"/>
          <a:ext cx="1496510" cy="6847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37146</xdr:colOff>
      <xdr:row>0</xdr:row>
      <xdr:rowOff>173355</xdr:rowOff>
    </xdr:from>
    <xdr:ext cx="1627365" cy="755332"/>
    <xdr:pic>
      <xdr:nvPicPr>
        <xdr:cNvPr id="2" name="Imagen 1">
          <a:extLst>
            <a:ext uri="{FF2B5EF4-FFF2-40B4-BE49-F238E27FC236}">
              <a16:creationId xmlns:a16="http://schemas.microsoft.com/office/drawing/2014/main" id="{CF547B2F-B274-4148-8CE6-CCA941007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6" y="173355"/>
          <a:ext cx="1627365" cy="7553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156482</xdr:colOff>
      <xdr:row>1</xdr:row>
      <xdr:rowOff>163286</xdr:rowOff>
    </xdr:from>
    <xdr:to>
      <xdr:col>1</xdr:col>
      <xdr:colOff>563062</xdr:colOff>
      <xdr:row>4</xdr:row>
      <xdr:rowOff>166007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0C103594-89EC-45DD-A310-FEC43442B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82" y="384266"/>
          <a:ext cx="1252400" cy="551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F6AD-853C-433A-BD48-BAD4265C53AC}">
  <dimension ref="A1:Q100"/>
  <sheetViews>
    <sheetView topLeftCell="A51" workbookViewId="0">
      <selection activeCell="O67" sqref="O67"/>
    </sheetView>
  </sheetViews>
  <sheetFormatPr baseColWidth="10" defaultColWidth="8.42578125" defaultRowHeight="12.75" x14ac:dyDescent="0.25"/>
  <cols>
    <col min="1" max="1" width="10" style="176" bestFit="1" customWidth="1"/>
    <col min="2" max="2" width="44.28515625" style="176" bestFit="1" customWidth="1"/>
    <col min="3" max="3" width="10.42578125" style="176" bestFit="1" customWidth="1"/>
    <col min="4" max="4" width="10.42578125" style="176" customWidth="1"/>
    <col min="5" max="5" width="11" style="176" customWidth="1"/>
    <col min="6" max="6" width="9.5703125" style="176" bestFit="1" customWidth="1"/>
    <col min="7" max="7" width="10.85546875" style="258" customWidth="1"/>
    <col min="8" max="8" width="10.42578125" style="249" bestFit="1" customWidth="1"/>
    <col min="9" max="9" width="4.5703125" style="249" customWidth="1"/>
    <col min="10" max="10" width="1.85546875" style="175" customWidth="1"/>
    <col min="11" max="11" width="7" style="176" bestFit="1" customWidth="1"/>
    <col min="12" max="12" width="6.28515625" style="176" customWidth="1"/>
    <col min="13" max="13" width="20.42578125" style="176" customWidth="1"/>
    <col min="14" max="14" width="6.42578125" style="176" bestFit="1" customWidth="1"/>
    <col min="15" max="16" width="8.42578125" style="176"/>
    <col min="17" max="17" width="3.28515625" style="176" customWidth="1"/>
    <col min="18" max="16384" width="8.42578125" style="176"/>
  </cols>
  <sheetData>
    <row r="1" spans="1:10" ht="27.75" customHeight="1" x14ac:dyDescent="0.25">
      <c r="A1" s="171"/>
      <c r="B1" s="171"/>
      <c r="C1" s="171"/>
      <c r="D1" s="171"/>
      <c r="E1" s="172" t="s">
        <v>93</v>
      </c>
      <c r="F1" s="173" t="s">
        <v>94</v>
      </c>
      <c r="G1" s="173" t="s">
        <v>95</v>
      </c>
      <c r="H1" s="173" t="s">
        <v>96</v>
      </c>
      <c r="I1" s="174"/>
    </row>
    <row r="2" spans="1:10" ht="30.75" customHeight="1" x14ac:dyDescent="0.25">
      <c r="A2" s="171"/>
      <c r="B2" s="171"/>
      <c r="C2" s="171"/>
      <c r="D2" s="171"/>
      <c r="E2" s="177">
        <f>IFERROR(O71,"")</f>
        <v>6363.585418884918</v>
      </c>
      <c r="F2" s="177">
        <f>IFERROR(H62,"")</f>
        <v>4508.9878632593354</v>
      </c>
      <c r="G2" s="177">
        <f>IFERROR(H63,"")</f>
        <v>647.63500074571232</v>
      </c>
      <c r="H2" s="177">
        <f>IFERROR(H65,"")</f>
        <v>580.8507295359376</v>
      </c>
      <c r="I2" s="178"/>
    </row>
    <row r="3" spans="1:10" ht="15" customHeight="1" x14ac:dyDescent="0.25">
      <c r="A3" s="171"/>
      <c r="B3" s="171"/>
      <c r="C3" s="171"/>
      <c r="D3" s="171"/>
      <c r="E3" s="171"/>
      <c r="F3" s="179"/>
      <c r="G3" s="179"/>
      <c r="H3" s="179"/>
      <c r="I3" s="179"/>
    </row>
    <row r="4" spans="1:10" ht="24.75" customHeight="1" thickBot="1" x14ac:dyDescent="0.3">
      <c r="A4" s="727"/>
      <c r="B4" s="727"/>
      <c r="C4" s="727"/>
      <c r="D4" s="727"/>
      <c r="E4" s="727"/>
      <c r="F4" s="727"/>
      <c r="G4" s="727"/>
      <c r="H4" s="727"/>
      <c r="I4" s="180"/>
    </row>
    <row r="5" spans="1:10" ht="19.5" customHeight="1" thickBot="1" x14ac:dyDescent="0.3">
      <c r="A5" s="728" t="s">
        <v>97</v>
      </c>
      <c r="B5" s="729"/>
      <c r="C5" s="729"/>
      <c r="D5" s="729"/>
      <c r="E5" s="729"/>
      <c r="F5" s="729"/>
      <c r="G5" s="729"/>
      <c r="H5" s="730"/>
      <c r="I5" s="181"/>
    </row>
    <row r="6" spans="1:10" ht="19.5" thickBot="1" x14ac:dyDescent="0.3">
      <c r="A6" s="181"/>
      <c r="B6" s="181"/>
      <c r="C6" s="181"/>
      <c r="D6" s="181"/>
      <c r="E6" s="181"/>
      <c r="F6" s="731" t="s">
        <v>98</v>
      </c>
      <c r="G6" s="731"/>
      <c r="H6" s="182">
        <f ca="1">TODAY()</f>
        <v>46056</v>
      </c>
      <c r="I6" s="182"/>
    </row>
    <row r="7" spans="1:10" ht="26.25" hidden="1" thickBot="1" x14ac:dyDescent="0.3">
      <c r="A7" s="183" t="s">
        <v>99</v>
      </c>
      <c r="B7" s="184" t="s">
        <v>100</v>
      </c>
      <c r="C7" s="184" t="s">
        <v>99</v>
      </c>
      <c r="D7" s="185" t="s">
        <v>101</v>
      </c>
      <c r="E7" s="185" t="s">
        <v>102</v>
      </c>
      <c r="F7" s="185" t="s">
        <v>103</v>
      </c>
      <c r="G7" s="185" t="s">
        <v>104</v>
      </c>
      <c r="H7" s="186" t="s">
        <v>105</v>
      </c>
      <c r="I7" s="187"/>
    </row>
    <row r="8" spans="1:10" ht="13.5" hidden="1" x14ac:dyDescent="0.25">
      <c r="A8" s="188"/>
      <c r="B8" s="176" t="str">
        <f>IFERROR(VLOOKUP(H8,'[1]Consolidado MP Planta'!$A$2:$M$823,3,0),"")</f>
        <v/>
      </c>
      <c r="C8" s="189">
        <f>+A8</f>
        <v>0</v>
      </c>
      <c r="D8" s="190" t="str">
        <f>IFERROR(VLOOKUP(H8,'[1]Consolidado MP Planta'!$A$2:$M$823,13,0),"")</f>
        <v/>
      </c>
      <c r="E8" s="190" t="str">
        <f>IFERROR(VLOOKUP(H8,'[1]Consolidado MP Planta'!$A$2:$M$823,12,0),"")</f>
        <v/>
      </c>
      <c r="F8" s="190" t="str">
        <f>IFERROR(C8*E8,"")</f>
        <v/>
      </c>
      <c r="G8" s="191" t="str">
        <f t="shared" ref="G8:G14" si="0">IFERROR(F8/$F$75,"")</f>
        <v/>
      </c>
      <c r="H8" s="192"/>
      <c r="I8" s="192"/>
      <c r="J8" s="193"/>
    </row>
    <row r="9" spans="1:10" ht="13.5" hidden="1" x14ac:dyDescent="0.25">
      <c r="A9" s="188"/>
      <c r="B9" s="176" t="str">
        <f>IFERROR(VLOOKUP(H9,'[1]Consolidado MP Planta'!$A$2:$M$823,3,0),"")</f>
        <v/>
      </c>
      <c r="C9" s="189">
        <f t="shared" ref="C9:C14" si="1">+A9</f>
        <v>0</v>
      </c>
      <c r="D9" s="190" t="str">
        <f>IFERROR(VLOOKUP(H9,'[1]Consolidado MP Planta'!$A$2:$M$823,13,0),"")</f>
        <v/>
      </c>
      <c r="E9" s="190" t="str">
        <f>IFERROR(VLOOKUP(H9,'[1]Consolidado MP Planta'!$A$2:$M$823,12,0),"")</f>
        <v/>
      </c>
      <c r="F9" s="190" t="str">
        <f t="shared" ref="F9:F14" si="2">IFERROR(C9*E9,"")</f>
        <v/>
      </c>
      <c r="G9" s="191" t="str">
        <f t="shared" si="0"/>
        <v/>
      </c>
      <c r="H9" s="192"/>
      <c r="I9" s="192"/>
      <c r="J9" s="193"/>
    </row>
    <row r="10" spans="1:10" ht="13.5" hidden="1" x14ac:dyDescent="0.25">
      <c r="A10" s="188"/>
      <c r="B10" s="176" t="str">
        <f>IFERROR(VLOOKUP(H10,'[1]Consolidado MP Planta'!$A$2:$M$823,3,0),"")</f>
        <v/>
      </c>
      <c r="C10" s="189">
        <f t="shared" si="1"/>
        <v>0</v>
      </c>
      <c r="D10" s="190" t="str">
        <f>IFERROR(VLOOKUP(H10,'[1]Consolidado MP Planta'!$A$2:$M$823,13,0),"")</f>
        <v/>
      </c>
      <c r="E10" s="190" t="str">
        <f>IFERROR(VLOOKUP(H10,'[1]Consolidado MP Planta'!$A$2:$M$823,12,0),"")</f>
        <v/>
      </c>
      <c r="F10" s="190" t="str">
        <f t="shared" si="2"/>
        <v/>
      </c>
      <c r="G10" s="191" t="str">
        <f t="shared" si="0"/>
        <v/>
      </c>
      <c r="H10" s="192"/>
      <c r="I10" s="192"/>
      <c r="J10" s="193"/>
    </row>
    <row r="11" spans="1:10" ht="13.5" hidden="1" x14ac:dyDescent="0.25">
      <c r="A11" s="188"/>
      <c r="B11" s="176" t="str">
        <f>IFERROR(VLOOKUP(H11,'[1]Consolidado MP Planta'!$A$2:$M$823,3,0),"")</f>
        <v/>
      </c>
      <c r="C11" s="189">
        <f t="shared" si="1"/>
        <v>0</v>
      </c>
      <c r="D11" s="190" t="str">
        <f>IFERROR(VLOOKUP(H11,'[1]Consolidado MP Planta'!$A$2:$M$823,13,0),"")</f>
        <v/>
      </c>
      <c r="E11" s="190" t="str">
        <f>IFERROR(VLOOKUP(H11,'[1]Consolidado MP Planta'!$A$2:$M$823,12,0),"")</f>
        <v/>
      </c>
      <c r="F11" s="190" t="str">
        <f t="shared" si="2"/>
        <v/>
      </c>
      <c r="G11" s="191" t="str">
        <f t="shared" si="0"/>
        <v/>
      </c>
      <c r="H11" s="192"/>
      <c r="I11" s="192"/>
      <c r="J11" s="193"/>
    </row>
    <row r="12" spans="1:10" ht="13.5" hidden="1" x14ac:dyDescent="0.25">
      <c r="A12" s="188"/>
      <c r="B12" s="176" t="str">
        <f>IFERROR(VLOOKUP(H12,'[1]Consolidado MP Planta'!$A$2:$M$823,3,0),"")</f>
        <v/>
      </c>
      <c r="C12" s="189">
        <f t="shared" si="1"/>
        <v>0</v>
      </c>
      <c r="D12" s="190" t="str">
        <f>IFERROR(VLOOKUP(H12,'[1]Consolidado MP Planta'!$A$2:$M$823,13,0),"")</f>
        <v/>
      </c>
      <c r="E12" s="190" t="str">
        <f>IFERROR(VLOOKUP(H12,'[1]Consolidado MP Planta'!$A$2:$M$823,12,0),"")</f>
        <v/>
      </c>
      <c r="F12" s="190" t="str">
        <f t="shared" si="2"/>
        <v/>
      </c>
      <c r="G12" s="191" t="str">
        <f t="shared" si="0"/>
        <v/>
      </c>
      <c r="H12" s="192"/>
      <c r="I12" s="192"/>
      <c r="J12" s="193"/>
    </row>
    <row r="13" spans="1:10" ht="13.5" hidden="1" x14ac:dyDescent="0.25">
      <c r="A13" s="188"/>
      <c r="B13" s="176" t="str">
        <f>IFERROR(VLOOKUP(H13,'[1]Consolidado MP Planta'!$A$2:$M$823,3,0),"")</f>
        <v/>
      </c>
      <c r="C13" s="189">
        <f t="shared" si="1"/>
        <v>0</v>
      </c>
      <c r="D13" s="190" t="str">
        <f>IFERROR(VLOOKUP(H13,'[1]Consolidado MP Planta'!$A$2:$M$823,13,0),"")</f>
        <v/>
      </c>
      <c r="E13" s="190" t="str">
        <f>IFERROR(VLOOKUP(H13,'[1]Consolidado MP Planta'!$A$2:$M$823,12,0),"")</f>
        <v/>
      </c>
      <c r="F13" s="190" t="str">
        <f t="shared" si="2"/>
        <v/>
      </c>
      <c r="G13" s="191" t="str">
        <f t="shared" si="0"/>
        <v/>
      </c>
      <c r="H13" s="192"/>
      <c r="I13" s="192"/>
      <c r="J13" s="193"/>
    </row>
    <row r="14" spans="1:10" ht="13.5" hidden="1" x14ac:dyDescent="0.25">
      <c r="A14" s="188"/>
      <c r="B14" s="176" t="str">
        <f>IFERROR(VLOOKUP(H14,'[1]Consolidado MP Planta'!$A$2:$M$823,3,0),"")</f>
        <v/>
      </c>
      <c r="C14" s="189">
        <f t="shared" si="1"/>
        <v>0</v>
      </c>
      <c r="D14" s="190" t="str">
        <f>IFERROR(VLOOKUP(H14,'[1]Consolidado MP Planta'!$A$2:$M$823,13,0),"")</f>
        <v/>
      </c>
      <c r="E14" s="190" t="str">
        <f>IFERROR(VLOOKUP(H14,'[1]Consolidado MP Planta'!$A$2:$M$823,12,0),"")</f>
        <v/>
      </c>
      <c r="F14" s="190" t="str">
        <f t="shared" si="2"/>
        <v/>
      </c>
      <c r="G14" s="191" t="str">
        <f t="shared" si="0"/>
        <v/>
      </c>
      <c r="H14" s="192"/>
      <c r="I14" s="192"/>
      <c r="J14" s="193"/>
    </row>
    <row r="15" spans="1:10" ht="14.25" hidden="1" thickBot="1" x14ac:dyDescent="0.3">
      <c r="A15" s="188"/>
      <c r="B15" s="176" t="str">
        <f>IFERROR(VLOOKUP(H15,[2]Hoja2!$A$2:$G$589,2,0),"")</f>
        <v/>
      </c>
      <c r="C15" s="189"/>
      <c r="D15" s="190"/>
      <c r="E15" s="190"/>
      <c r="F15" s="190"/>
      <c r="G15" s="191"/>
      <c r="H15" s="192"/>
      <c r="I15" s="192"/>
      <c r="J15" s="193"/>
    </row>
    <row r="16" spans="1:10" ht="26.25" thickBot="1" x14ac:dyDescent="0.3">
      <c r="A16" s="183" t="s">
        <v>99</v>
      </c>
      <c r="B16" s="184" t="s">
        <v>106</v>
      </c>
      <c r="C16" s="184" t="s">
        <v>99</v>
      </c>
      <c r="D16" s="185" t="s">
        <v>101</v>
      </c>
      <c r="E16" s="185" t="s">
        <v>102</v>
      </c>
      <c r="F16" s="185" t="s">
        <v>103</v>
      </c>
      <c r="G16" s="185" t="s">
        <v>104</v>
      </c>
      <c r="H16" s="186" t="s">
        <v>105</v>
      </c>
      <c r="I16" s="187"/>
      <c r="J16" s="193"/>
    </row>
    <row r="17" spans="1:12" ht="13.5" x14ac:dyDescent="0.25">
      <c r="A17" s="188">
        <v>1</v>
      </c>
      <c r="B17" s="176" t="s">
        <v>58</v>
      </c>
      <c r="C17" s="189">
        <f>+A17</f>
        <v>1</v>
      </c>
      <c r="D17" s="189" t="s">
        <v>151</v>
      </c>
      <c r="E17" s="190">
        <f>+'Costo Rosquete'!H53</f>
        <v>733.49572649572644</v>
      </c>
      <c r="F17" s="190">
        <f>IFERROR(E17*C17,"")</f>
        <v>733.49572649572644</v>
      </c>
      <c r="G17" s="191">
        <f t="shared" ref="G17:G26" si="3">IFERROR(F17/$F$75,"")</f>
        <v>0.13024173179036039</v>
      </c>
      <c r="H17" s="192" t="s">
        <v>59</v>
      </c>
      <c r="I17" s="192"/>
      <c r="J17" s="193"/>
    </row>
    <row r="18" spans="1:12" ht="13.5" x14ac:dyDescent="0.25">
      <c r="A18" s="188">
        <v>200</v>
      </c>
      <c r="B18" s="176" t="s">
        <v>62</v>
      </c>
      <c r="C18" s="189">
        <f t="shared" ref="C18:C26" si="4">+A18</f>
        <v>200</v>
      </c>
      <c r="D18" s="189" t="s">
        <v>144</v>
      </c>
      <c r="E18" s="190">
        <f>+'Costo almibar flor de caña '!E69</f>
        <v>4.5328859060402689</v>
      </c>
      <c r="F18" s="190">
        <f t="shared" ref="F18:F26" si="5">IFERROR(E18*C18,"")</f>
        <v>906.57718120805373</v>
      </c>
      <c r="G18" s="191">
        <f t="shared" si="3"/>
        <v>0.16097460123763682</v>
      </c>
      <c r="H18" s="192" t="s">
        <v>59</v>
      </c>
      <c r="I18" s="192"/>
      <c r="J18" s="193"/>
    </row>
    <row r="19" spans="1:12" ht="13.5" x14ac:dyDescent="0.25">
      <c r="A19" s="188">
        <v>1</v>
      </c>
      <c r="B19" s="176" t="s">
        <v>60</v>
      </c>
      <c r="C19" s="189">
        <f>+A19</f>
        <v>1</v>
      </c>
      <c r="D19" s="189" t="s">
        <v>152</v>
      </c>
      <c r="E19" s="190">
        <f>+'Costo Flan'!H53</f>
        <v>1172.864</v>
      </c>
      <c r="F19" s="190">
        <f>IFERROR(E19*C19,"")</f>
        <v>1172.864</v>
      </c>
      <c r="G19" s="191">
        <f t="shared" si="3"/>
        <v>0.20825729857263081</v>
      </c>
      <c r="H19" s="192" t="s">
        <v>59</v>
      </c>
      <c r="I19" s="192"/>
      <c r="J19" s="193"/>
    </row>
    <row r="20" spans="1:12" ht="13.5" x14ac:dyDescent="0.25">
      <c r="A20" s="188">
        <v>150</v>
      </c>
      <c r="B20" s="176" t="s">
        <v>64</v>
      </c>
      <c r="C20" s="189">
        <f>+A20</f>
        <v>150</v>
      </c>
      <c r="D20" s="189" t="s">
        <v>144</v>
      </c>
      <c r="E20" s="190">
        <v>2.23</v>
      </c>
      <c r="F20" s="190">
        <f>IFERROR(E20*C20,"")</f>
        <v>334.5</v>
      </c>
      <c r="G20" s="191">
        <f t="shared" si="3"/>
        <v>5.9394837229674542E-2</v>
      </c>
      <c r="H20" s="192" t="s">
        <v>63</v>
      </c>
      <c r="I20" s="192"/>
      <c r="J20" s="193"/>
    </row>
    <row r="21" spans="1:12" ht="13.5" x14ac:dyDescent="0.25">
      <c r="A21" s="188">
        <v>145</v>
      </c>
      <c r="B21" s="176" t="s">
        <v>92</v>
      </c>
      <c r="C21" s="189">
        <f>+A21</f>
        <v>145</v>
      </c>
      <c r="D21" s="189" t="s">
        <v>144</v>
      </c>
      <c r="E21" s="190">
        <f>+'Costo semillas bañ belcolad'!E69</f>
        <v>4.1254088888888889</v>
      </c>
      <c r="F21" s="190">
        <f>IFERROR(E21*C21,"")</f>
        <v>598.18428888888889</v>
      </c>
      <c r="G21" s="191">
        <f t="shared" si="3"/>
        <v>0.10621542144067017</v>
      </c>
      <c r="H21" s="192" t="s">
        <v>59</v>
      </c>
      <c r="I21" s="192"/>
      <c r="J21" s="193"/>
    </row>
    <row r="22" spans="1:12" ht="13.5" x14ac:dyDescent="0.25">
      <c r="A22" s="188">
        <v>50</v>
      </c>
      <c r="B22" s="176" t="s">
        <v>66</v>
      </c>
      <c r="C22" s="189">
        <f t="shared" si="4"/>
        <v>50</v>
      </c>
      <c r="D22" s="189" t="s">
        <v>144</v>
      </c>
      <c r="E22" s="190">
        <f>+'Costo Crema Ron'!E69</f>
        <v>4.466333333333333</v>
      </c>
      <c r="F22" s="190">
        <f t="shared" si="5"/>
        <v>223.31666666666666</v>
      </c>
      <c r="G22" s="191">
        <f t="shared" si="3"/>
        <v>3.9652786449447391E-2</v>
      </c>
      <c r="H22" s="192" t="s">
        <v>59</v>
      </c>
      <c r="I22" s="192"/>
      <c r="J22" s="193"/>
    </row>
    <row r="23" spans="1:12" ht="13.5" x14ac:dyDescent="0.25">
      <c r="A23" s="188">
        <v>220</v>
      </c>
      <c r="B23" s="176" t="s">
        <v>68</v>
      </c>
      <c r="C23" s="189">
        <f t="shared" ref="C23:C24" si="6">+A23</f>
        <v>220</v>
      </c>
      <c r="D23" s="189" t="s">
        <v>144</v>
      </c>
      <c r="E23" s="190">
        <v>2.2999999999999998</v>
      </c>
      <c r="F23" s="190">
        <f t="shared" ref="F23:F24" si="7">IFERROR(E23*C23,"")</f>
        <v>505.99999999999994</v>
      </c>
      <c r="G23" s="191">
        <f t="shared" si="3"/>
        <v>8.9846898768954603E-2</v>
      </c>
      <c r="H23" s="192" t="s">
        <v>67</v>
      </c>
      <c r="I23" s="192"/>
      <c r="J23" s="193"/>
    </row>
    <row r="24" spans="1:12" ht="13.5" x14ac:dyDescent="0.25">
      <c r="A24" s="188">
        <v>15</v>
      </c>
      <c r="B24" s="176" t="s">
        <v>70</v>
      </c>
      <c r="C24" s="189">
        <f t="shared" si="6"/>
        <v>15</v>
      </c>
      <c r="D24" s="189" t="s">
        <v>144</v>
      </c>
      <c r="E24" s="190">
        <v>2.27</v>
      </c>
      <c r="F24" s="190">
        <f t="shared" si="7"/>
        <v>34.049999999999997</v>
      </c>
      <c r="G24" s="191">
        <f t="shared" si="3"/>
        <v>6.0460215475946731E-3</v>
      </c>
      <c r="H24" s="192" t="s">
        <v>69</v>
      </c>
      <c r="I24" s="192"/>
      <c r="J24" s="193"/>
    </row>
    <row r="25" spans="1:12" ht="13.5" x14ac:dyDescent="0.25">
      <c r="A25" s="188"/>
      <c r="B25" s="176" t="str">
        <f>IFERROR(VLOOKUP(H25,[1]SEMIELABORADOS!$A$2:$M$6000,2,0),"")</f>
        <v/>
      </c>
      <c r="C25" s="189">
        <f t="shared" si="4"/>
        <v>0</v>
      </c>
      <c r="D25" s="189" t="str">
        <f>IFERROR(VLOOKUP(H25,[1]SEMIELABORADOS!$A$2:$M$6000,6,0),"")</f>
        <v/>
      </c>
      <c r="E25" s="190" t="str">
        <f>IFERROR(VLOOKUP(H25,[1]SEMIELABORADOS!$A$2:$H$65536,8,0),"")</f>
        <v/>
      </c>
      <c r="F25" s="190" t="str">
        <f t="shared" si="5"/>
        <v/>
      </c>
      <c r="G25" s="191" t="str">
        <f t="shared" si="3"/>
        <v/>
      </c>
      <c r="H25" s="192"/>
      <c r="I25" s="192"/>
      <c r="J25" s="193"/>
    </row>
    <row r="26" spans="1:12" ht="13.5" x14ac:dyDescent="0.25">
      <c r="A26" s="188"/>
      <c r="B26" s="176" t="str">
        <f>IFERROR(VLOOKUP(H26,[1]SEMIELABORADOS!$A$2:$M$6000,2,0),"")</f>
        <v/>
      </c>
      <c r="C26" s="189">
        <f t="shared" si="4"/>
        <v>0</v>
      </c>
      <c r="D26" s="189" t="str">
        <f>IFERROR(VLOOKUP(H26,[1]SEMIELABORADOS!$A$2:$M$6000,6,0),"")</f>
        <v/>
      </c>
      <c r="E26" s="190" t="str">
        <f>IFERROR(VLOOKUP(H26,[1]SEMIELABORADOS!$A$2:$H$65536,8,0),"")</f>
        <v/>
      </c>
      <c r="F26" s="190" t="str">
        <f t="shared" si="5"/>
        <v/>
      </c>
      <c r="G26" s="191" t="str">
        <f t="shared" si="3"/>
        <v/>
      </c>
      <c r="H26" s="192"/>
      <c r="I26" s="192"/>
      <c r="J26" s="193"/>
    </row>
    <row r="27" spans="1:12" ht="14.25" thickBot="1" x14ac:dyDescent="0.3">
      <c r="A27" s="188"/>
      <c r="C27" s="189"/>
      <c r="D27" s="189"/>
      <c r="E27" s="190"/>
      <c r="F27" s="190"/>
      <c r="G27" s="191"/>
      <c r="H27" s="192"/>
      <c r="I27" s="192"/>
      <c r="J27" s="193"/>
    </row>
    <row r="28" spans="1:12" ht="26.25" thickBot="1" x14ac:dyDescent="0.3">
      <c r="A28" s="183" t="s">
        <v>99</v>
      </c>
      <c r="B28" s="184" t="s">
        <v>22</v>
      </c>
      <c r="C28" s="184" t="s">
        <v>99</v>
      </c>
      <c r="D28" s="185" t="s">
        <v>101</v>
      </c>
      <c r="E28" s="185" t="s">
        <v>102</v>
      </c>
      <c r="F28" s="185" t="s">
        <v>103</v>
      </c>
      <c r="G28" s="185" t="s">
        <v>104</v>
      </c>
      <c r="H28" s="186" t="s">
        <v>105</v>
      </c>
      <c r="I28" s="187"/>
    </row>
    <row r="29" spans="1:12" ht="13.5" x14ac:dyDescent="0.25">
      <c r="A29" s="188">
        <v>1</v>
      </c>
      <c r="B29" s="194" t="str">
        <f>IFERROR(VLOOKUP(H29,'[1]Consolidado MP Planta'!$A$2:$M$823,3,0),"")</f>
        <v>QUEQUERA RED  BASE/DOMO 10 (CAJA:50)</v>
      </c>
      <c r="C29" s="189">
        <f t="shared" ref="C29:C35" si="8">+A29</f>
        <v>1</v>
      </c>
      <c r="D29" s="190" t="str">
        <f>IFERROR(VLOOKUP(H29,'[1]Consolidado MP Planta'!$A$2:$M$823,13,0),"")</f>
        <v>UND</v>
      </c>
      <c r="E29" s="190">
        <v>415</v>
      </c>
      <c r="F29" s="190">
        <f t="shared" ref="F29:F35" si="9">IFERROR(C29*E29,"")</f>
        <v>415</v>
      </c>
      <c r="G29" s="191">
        <f t="shared" ref="G29:G35" si="10">IFERROR(F29/$F$75,"")</f>
        <v>7.3688662033826416E-2</v>
      </c>
      <c r="H29" s="195" t="s">
        <v>153</v>
      </c>
      <c r="I29" s="195"/>
      <c r="J29" s="193"/>
      <c r="K29" s="726"/>
      <c r="L29" s="726"/>
    </row>
    <row r="30" spans="1:12" ht="13.5" x14ac:dyDescent="0.25">
      <c r="A30" s="188">
        <v>1</v>
      </c>
      <c r="B30" s="194" t="str">
        <f>IFERROR(VLOOKUP(H30,'[1]Consolidado MP Planta'!$A$2:$M$823,3,0),"")</f>
        <v>ORLA CARTON 10" DORADA (UND)</v>
      </c>
      <c r="C30" s="189">
        <f t="shared" si="8"/>
        <v>1</v>
      </c>
      <c r="D30" s="190" t="str">
        <f>IFERROR(VLOOKUP(H30,'[1]Consolidado MP Planta'!$A$2:$M$823,13,0),"")</f>
        <v>Und</v>
      </c>
      <c r="E30" s="190">
        <v>137</v>
      </c>
      <c r="F30" s="190">
        <f t="shared" si="9"/>
        <v>137</v>
      </c>
      <c r="G30" s="191">
        <f t="shared" si="10"/>
        <v>2.4326136623214985E-2</v>
      </c>
      <c r="H30" s="195" t="s">
        <v>24</v>
      </c>
      <c r="I30" s="195"/>
      <c r="J30" s="193"/>
      <c r="K30" s="726"/>
      <c r="L30" s="726"/>
    </row>
    <row r="31" spans="1:12" ht="13.5" x14ac:dyDescent="0.25">
      <c r="A31" s="188">
        <v>1</v>
      </c>
      <c r="B31" s="194" t="str">
        <f>IFERROR(VLOOKUP(H31,'[1]Consolidado MP Planta'!$A$2:$M$823,3,0),"")</f>
        <v>ETIQUETA BLANCA R-153 (UND)</v>
      </c>
      <c r="C31" s="189">
        <f t="shared" ref="C31" si="11">+A31</f>
        <v>1</v>
      </c>
      <c r="D31" s="190" t="str">
        <f>IFERROR(VLOOKUP(H31,'[1]Consolidado MP Planta'!$A$2:$M$823,13,0),"")</f>
        <v>Und</v>
      </c>
      <c r="E31" s="190">
        <f>IFERROR(VLOOKUP(H31,'[1]Consolidado MP Planta'!$A$2:$M$823,12,0),"")</f>
        <v>0.39</v>
      </c>
      <c r="F31" s="190">
        <f t="shared" ref="F31" si="12">IFERROR(C31*E31,"")</f>
        <v>0.39</v>
      </c>
      <c r="G31" s="191">
        <f t="shared" si="10"/>
        <v>6.9249586007692296E-5</v>
      </c>
      <c r="H31" s="195" t="s">
        <v>154</v>
      </c>
      <c r="I31" s="195"/>
      <c r="J31" s="193"/>
      <c r="K31" s="174"/>
      <c r="L31" s="174"/>
    </row>
    <row r="32" spans="1:12" ht="13.5" x14ac:dyDescent="0.25">
      <c r="A32" s="188">
        <v>1</v>
      </c>
      <c r="B32" s="194" t="str">
        <f>IFERROR(VLOOKUP(H32,'[1]Consolidado MP Planta'!$A$2:$M$823,3,0),"")</f>
        <v>ETIQUETA BLANCA 2 5/8X1 15/16 (UND)</v>
      </c>
      <c r="C32" s="189">
        <f t="shared" si="8"/>
        <v>1</v>
      </c>
      <c r="D32" s="190" t="str">
        <f>IFERROR(VLOOKUP(H32,'[1]Consolidado MP Planta'!$A$2:$M$823,13,0),"")</f>
        <v>Und</v>
      </c>
      <c r="E32" s="190">
        <f>IFERROR(VLOOKUP(H32,'[1]Consolidado MP Planta'!$A$2:$M$823,12,0),"")</f>
        <v>2.1280000000000001</v>
      </c>
      <c r="F32" s="190">
        <f t="shared" si="9"/>
        <v>2.1280000000000001</v>
      </c>
      <c r="G32" s="191">
        <f t="shared" si="10"/>
        <v>3.7785415134453641E-4</v>
      </c>
      <c r="H32" s="195" t="s">
        <v>155</v>
      </c>
      <c r="I32" s="195"/>
      <c r="J32" s="193"/>
      <c r="K32" s="726"/>
      <c r="L32" s="726"/>
    </row>
    <row r="33" spans="1:12" ht="13.5" x14ac:dyDescent="0.25">
      <c r="A33" s="188">
        <v>1</v>
      </c>
      <c r="B33" s="194" t="str">
        <f>IFERROR(VLOOKUP(H33,'[1]Consolidado MP Planta'!$A$2:$M$823,3,0),"")</f>
        <v>ETIQ.BLANCA 1 1/4 * 3/4 (UND)</v>
      </c>
      <c r="C33" s="189">
        <f t="shared" si="8"/>
        <v>1</v>
      </c>
      <c r="D33" s="190" t="str">
        <f>IFERROR(VLOOKUP(H33,'[1]Consolidado MP Planta'!$A$2:$M$823,13,0),"")</f>
        <v>Und</v>
      </c>
      <c r="E33" s="190">
        <f>IFERROR(VLOOKUP(H33,'[1]Consolidado MP Planta'!$A$2:$M$823,12,0),"")</f>
        <v>0.57999999999999996</v>
      </c>
      <c r="F33" s="190">
        <f t="shared" si="9"/>
        <v>0.57999999999999996</v>
      </c>
      <c r="G33" s="191">
        <f t="shared" si="10"/>
        <v>1.0298656380631161E-4</v>
      </c>
      <c r="H33" s="195" t="s">
        <v>150</v>
      </c>
      <c r="I33" s="195"/>
      <c r="J33" s="193"/>
      <c r="K33" s="726"/>
      <c r="L33" s="726"/>
    </row>
    <row r="34" spans="1:12" ht="13.5" x14ac:dyDescent="0.25">
      <c r="A34" s="188">
        <v>1</v>
      </c>
      <c r="B34" s="194" t="s">
        <v>156</v>
      </c>
      <c r="C34" s="189">
        <f t="shared" si="8"/>
        <v>1</v>
      </c>
      <c r="D34" s="190" t="s">
        <v>147</v>
      </c>
      <c r="E34" s="190">
        <v>75</v>
      </c>
      <c r="F34" s="190">
        <f t="shared" si="9"/>
        <v>75</v>
      </c>
      <c r="G34" s="191">
        <f t="shared" si="10"/>
        <v>1.3317228078402365E-2</v>
      </c>
      <c r="H34" s="195" t="s">
        <v>146</v>
      </c>
      <c r="I34" s="195"/>
      <c r="J34" s="193"/>
      <c r="K34" s="196"/>
      <c r="L34" s="197"/>
    </row>
    <row r="35" spans="1:12" ht="13.5" x14ac:dyDescent="0.25">
      <c r="A35" s="188"/>
      <c r="B35" s="194" t="str">
        <f>IFERROR(VLOOKUP(H35,'[1]Consolidado MP Planta'!$A$2:$M$823,3,0),"")</f>
        <v/>
      </c>
      <c r="C35" s="189">
        <f t="shared" si="8"/>
        <v>0</v>
      </c>
      <c r="D35" s="190" t="str">
        <f>IFERROR(VLOOKUP(H35,'[1]Consolidado MP Planta'!$A$2:$M$823,13,0),"")</f>
        <v/>
      </c>
      <c r="E35" s="190" t="str">
        <f>IFERROR(VLOOKUP(H35,'[1]Consolidado MP Planta'!$A$2:$M$823,12,0),"")</f>
        <v/>
      </c>
      <c r="F35" s="190" t="str">
        <f t="shared" si="9"/>
        <v/>
      </c>
      <c r="G35" s="191" t="str">
        <f t="shared" si="10"/>
        <v/>
      </c>
      <c r="H35" s="195"/>
      <c r="I35" s="195"/>
      <c r="J35" s="193"/>
    </row>
    <row r="36" spans="1:12" ht="14.25" thickBot="1" x14ac:dyDescent="0.3">
      <c r="A36" s="188"/>
      <c r="B36" s="194"/>
      <c r="C36" s="189"/>
      <c r="D36" s="190"/>
      <c r="E36" s="190"/>
      <c r="F36" s="190"/>
      <c r="G36" s="191"/>
      <c r="H36" s="195"/>
      <c r="I36" s="195"/>
      <c r="J36" s="193"/>
    </row>
    <row r="37" spans="1:12" ht="26.25" thickBot="1" x14ac:dyDescent="0.25">
      <c r="A37" s="183" t="s">
        <v>99</v>
      </c>
      <c r="B37" s="184" t="s">
        <v>107</v>
      </c>
      <c r="C37" s="184" t="s">
        <v>99</v>
      </c>
      <c r="D37" s="185" t="s">
        <v>101</v>
      </c>
      <c r="E37" s="185" t="s">
        <v>102</v>
      </c>
      <c r="F37" s="185" t="s">
        <v>103</v>
      </c>
      <c r="G37" s="185" t="s">
        <v>104</v>
      </c>
      <c r="H37" s="186" t="s">
        <v>105</v>
      </c>
      <c r="I37" s="195"/>
      <c r="J37" s="193"/>
    </row>
    <row r="38" spans="1:12" ht="13.5" x14ac:dyDescent="0.25">
      <c r="A38" s="188">
        <f t="shared" ref="A38:A46" si="13">+A17</f>
        <v>1</v>
      </c>
      <c r="B38" s="194" t="s">
        <v>58</v>
      </c>
      <c r="C38" s="189">
        <f>+A38</f>
        <v>1</v>
      </c>
      <c r="D38" s="190" t="s">
        <v>152</v>
      </c>
      <c r="E38" s="190">
        <f>+'Costo Rosquete'!H54</f>
        <v>9.4355555555555561</v>
      </c>
      <c r="F38" s="190">
        <f>IFERROR(E38*C38,"")</f>
        <v>9.4355555555555561</v>
      </c>
      <c r="G38" s="191">
        <f t="shared" ref="G38:G43" si="14">IFERROR(F38/$F$75,"")</f>
        <v>1.6754059383969316E-3</v>
      </c>
      <c r="H38" s="195" t="s">
        <v>59</v>
      </c>
      <c r="I38" s="195"/>
      <c r="J38" s="193"/>
    </row>
    <row r="39" spans="1:12" ht="13.5" x14ac:dyDescent="0.25">
      <c r="A39" s="188">
        <f t="shared" si="13"/>
        <v>200</v>
      </c>
      <c r="B39" s="194" t="s">
        <v>62</v>
      </c>
      <c r="C39" s="189">
        <f t="shared" ref="C39:C47" si="15">+A39</f>
        <v>200</v>
      </c>
      <c r="D39" s="190" t="s">
        <v>144</v>
      </c>
      <c r="E39" s="190">
        <f>+'Costo almibar flor de caña '!E76</f>
        <v>4.9838926174496645E-3</v>
      </c>
      <c r="F39" s="190">
        <f t="shared" ref="F39:F47" si="16">IFERROR(E39*C39,"")</f>
        <v>0.9967785234899329</v>
      </c>
      <c r="G39" s="191">
        <f t="shared" si="14"/>
        <v>1.7699102587958113E-4</v>
      </c>
      <c r="H39" s="195" t="s">
        <v>59</v>
      </c>
      <c r="I39" s="195"/>
      <c r="J39" s="193"/>
    </row>
    <row r="40" spans="1:12" ht="13.5" x14ac:dyDescent="0.25">
      <c r="A40" s="188">
        <f t="shared" si="13"/>
        <v>1</v>
      </c>
      <c r="B40" s="176" t="s">
        <v>60</v>
      </c>
      <c r="C40" s="189">
        <f t="shared" si="15"/>
        <v>1</v>
      </c>
      <c r="D40" s="190" t="s">
        <v>152</v>
      </c>
      <c r="E40" s="190">
        <f>+'Costo Flan'!H54</f>
        <v>1.5680000000000001</v>
      </c>
      <c r="F40" s="190">
        <f t="shared" si="16"/>
        <v>1.5680000000000001</v>
      </c>
      <c r="G40" s="191">
        <f t="shared" si="14"/>
        <v>2.7841884835913208E-4</v>
      </c>
      <c r="H40" s="195" t="s">
        <v>59</v>
      </c>
      <c r="I40" s="195"/>
      <c r="J40" s="193"/>
    </row>
    <row r="41" spans="1:12" ht="13.5" x14ac:dyDescent="0.25">
      <c r="A41" s="188">
        <f t="shared" si="13"/>
        <v>150</v>
      </c>
      <c r="B41" s="194" t="s">
        <v>64</v>
      </c>
      <c r="C41" s="189">
        <f>+A41</f>
        <v>150</v>
      </c>
      <c r="D41" s="190" t="s">
        <v>144</v>
      </c>
      <c r="E41" s="190">
        <v>0.02</v>
      </c>
      <c r="F41" s="190">
        <f>IFERROR(E41*C41,"")</f>
        <v>3</v>
      </c>
      <c r="G41" s="191">
        <f t="shared" si="14"/>
        <v>5.3268912313609456E-4</v>
      </c>
      <c r="H41" s="195" t="s">
        <v>63</v>
      </c>
      <c r="I41" s="195"/>
      <c r="J41" s="193"/>
    </row>
    <row r="42" spans="1:12" ht="13.5" x14ac:dyDescent="0.25">
      <c r="A42" s="188">
        <f t="shared" si="13"/>
        <v>145</v>
      </c>
      <c r="B42" s="194" t="s">
        <v>92</v>
      </c>
      <c r="C42" s="189">
        <f>+A42</f>
        <v>145</v>
      </c>
      <c r="D42" s="190" t="s">
        <v>144</v>
      </c>
      <c r="E42" s="190">
        <f>+'Costo semillas bañ belcolad'!E76</f>
        <v>0</v>
      </c>
      <c r="F42" s="190">
        <f>IFERROR(E42*C42,"")</f>
        <v>0</v>
      </c>
      <c r="G42" s="191">
        <f t="shared" si="14"/>
        <v>0</v>
      </c>
      <c r="H42" s="195" t="s">
        <v>59</v>
      </c>
      <c r="I42" s="195"/>
      <c r="J42" s="193"/>
    </row>
    <row r="43" spans="1:12" ht="13.5" x14ac:dyDescent="0.25">
      <c r="A43" s="188">
        <f t="shared" si="13"/>
        <v>50</v>
      </c>
      <c r="B43" s="194" t="s">
        <v>66</v>
      </c>
      <c r="C43" s="189">
        <f t="shared" si="15"/>
        <v>50</v>
      </c>
      <c r="D43" s="190" t="s">
        <v>144</v>
      </c>
      <c r="E43" s="190">
        <f>+'Costo Crema Ron'!E76</f>
        <v>6.7333333333333334E-3</v>
      </c>
      <c r="F43" s="190">
        <f t="shared" si="16"/>
        <v>0.33666666666666667</v>
      </c>
      <c r="G43" s="191">
        <f t="shared" si="14"/>
        <v>5.9779557151939505E-5</v>
      </c>
      <c r="H43" s="195" t="s">
        <v>59</v>
      </c>
      <c r="I43" s="195"/>
      <c r="J43" s="193"/>
    </row>
    <row r="44" spans="1:12" ht="13.5" x14ac:dyDescent="0.25">
      <c r="A44" s="188">
        <f t="shared" si="13"/>
        <v>220</v>
      </c>
      <c r="B44" s="194" t="s">
        <v>68</v>
      </c>
      <c r="C44" s="189">
        <f t="shared" ref="C44:C46" si="17">+A44</f>
        <v>220</v>
      </c>
      <c r="D44" s="190" t="s">
        <v>144</v>
      </c>
      <c r="E44" s="190">
        <v>0.01</v>
      </c>
      <c r="F44" s="190">
        <f t="shared" ref="F44:F46" si="18">IFERROR(E44*C44,"")</f>
        <v>2.2000000000000002</v>
      </c>
      <c r="G44" s="191">
        <f t="shared" ref="G44:G46" si="19">IFERROR(F44/$F$75,"")</f>
        <v>3.9063869029980273E-4</v>
      </c>
      <c r="H44" s="195" t="s">
        <v>67</v>
      </c>
      <c r="I44" s="195"/>
      <c r="J44" s="193"/>
    </row>
    <row r="45" spans="1:12" ht="13.5" x14ac:dyDescent="0.25">
      <c r="A45" s="188">
        <f t="shared" si="13"/>
        <v>15</v>
      </c>
      <c r="B45" s="194" t="s">
        <v>70</v>
      </c>
      <c r="C45" s="189">
        <f t="shared" si="17"/>
        <v>15</v>
      </c>
      <c r="D45" s="190" t="s">
        <v>144</v>
      </c>
      <c r="E45" s="190">
        <v>0</v>
      </c>
      <c r="F45" s="190">
        <f t="shared" si="18"/>
        <v>0</v>
      </c>
      <c r="G45" s="191">
        <f t="shared" si="19"/>
        <v>0</v>
      </c>
      <c r="H45" s="195" t="s">
        <v>69</v>
      </c>
      <c r="I45" s="195"/>
      <c r="J45" s="193"/>
    </row>
    <row r="46" spans="1:12" ht="13.5" x14ac:dyDescent="0.25">
      <c r="A46" s="188">
        <f t="shared" si="13"/>
        <v>0</v>
      </c>
      <c r="B46" s="194" t="str">
        <f>IFERROR(VLOOKUP(H46,[1]SEMIELABORADOS!$A$2:$M$6000,2,0),"")</f>
        <v/>
      </c>
      <c r="C46" s="189">
        <f t="shared" si="17"/>
        <v>0</v>
      </c>
      <c r="D46" s="190" t="str">
        <f>IFERROR(VLOOKUP(H46,[1]SEMIELABORADOS!$A$2:$M$6000,6,0),"")</f>
        <v/>
      </c>
      <c r="E46" s="190" t="str">
        <f>IFERROR(VLOOKUP(H46,[1]SEMIELABORADOS!$A$2:$M$65536,10,0),"")</f>
        <v/>
      </c>
      <c r="F46" s="190" t="str">
        <f t="shared" si="18"/>
        <v/>
      </c>
      <c r="G46" s="191" t="str">
        <f t="shared" si="19"/>
        <v/>
      </c>
      <c r="H46" s="195"/>
      <c r="I46" s="195"/>
      <c r="J46" s="193"/>
    </row>
    <row r="47" spans="1:12" ht="13.5" x14ac:dyDescent="0.25">
      <c r="A47" s="188">
        <f>+A25</f>
        <v>0</v>
      </c>
      <c r="B47" s="194" t="str">
        <f>IFERROR(VLOOKUP(H47,[1]SEMIELABORADOS!$A$2:$M$6000,2,0),"")</f>
        <v/>
      </c>
      <c r="C47" s="189">
        <f t="shared" si="15"/>
        <v>0</v>
      </c>
      <c r="D47" s="190" t="str">
        <f>IFERROR(VLOOKUP(H47,[1]SEMIELABORADOS!$A$2:$M$6000,6,0),"")</f>
        <v/>
      </c>
      <c r="E47" s="190" t="str">
        <f>IFERROR(VLOOKUP(H47,[1]SEMIELABORADOS!$A$2:$M$65536,10,0),"")</f>
        <v/>
      </c>
      <c r="F47" s="190" t="str">
        <f t="shared" si="16"/>
        <v/>
      </c>
      <c r="G47" s="191" t="str">
        <f>IFERROR(F47/$F$75,"")</f>
        <v/>
      </c>
      <c r="H47" s="195"/>
      <c r="I47" s="195"/>
      <c r="J47" s="193"/>
    </row>
    <row r="48" spans="1:12" ht="14.25" thickBot="1" x14ac:dyDescent="0.3">
      <c r="A48" s="188"/>
      <c r="B48" s="194"/>
      <c r="C48" s="189"/>
      <c r="D48" s="190"/>
      <c r="E48" s="190"/>
      <c r="F48" s="190"/>
      <c r="G48" s="191"/>
      <c r="H48" s="195"/>
      <c r="I48" s="195"/>
      <c r="J48" s="193"/>
    </row>
    <row r="49" spans="1:17" ht="26.25" thickBot="1" x14ac:dyDescent="0.3">
      <c r="A49" s="183" t="s">
        <v>99</v>
      </c>
      <c r="B49" s="184" t="s">
        <v>108</v>
      </c>
      <c r="C49" s="184" t="s">
        <v>99</v>
      </c>
      <c r="D49" s="185" t="s">
        <v>101</v>
      </c>
      <c r="E49" s="185" t="s">
        <v>102</v>
      </c>
      <c r="F49" s="185" t="s">
        <v>103</v>
      </c>
      <c r="G49" s="185" t="s">
        <v>104</v>
      </c>
      <c r="H49" s="186" t="s">
        <v>105</v>
      </c>
      <c r="I49" s="187"/>
      <c r="J49" s="193"/>
    </row>
    <row r="50" spans="1:17" ht="13.5" x14ac:dyDescent="0.25">
      <c r="A50" s="188">
        <f t="shared" ref="A50:A55" si="20">+A38</f>
        <v>1</v>
      </c>
      <c r="B50" s="194" t="s">
        <v>58</v>
      </c>
      <c r="C50" s="189">
        <f>+A50</f>
        <v>1</v>
      </c>
      <c r="D50" s="190" t="s">
        <v>152</v>
      </c>
      <c r="E50" s="190">
        <f>+'Costo Rosquete'!H56</f>
        <v>30.846153846153847</v>
      </c>
      <c r="F50" s="190">
        <f>IFERROR(E50*C50,"")</f>
        <v>30.846153846153847</v>
      </c>
      <c r="G50" s="191">
        <f t="shared" ref="G50:G55" si="21">IFERROR(F50/$F$75,"")</f>
        <v>5.4771368814762545E-3</v>
      </c>
      <c r="H50" s="195" t="s">
        <v>59</v>
      </c>
      <c r="I50" s="187"/>
      <c r="J50" s="193"/>
    </row>
    <row r="51" spans="1:17" ht="13.5" x14ac:dyDescent="0.25">
      <c r="A51" s="188">
        <f t="shared" si="20"/>
        <v>200</v>
      </c>
      <c r="B51" s="194" t="s">
        <v>62</v>
      </c>
      <c r="C51" s="189">
        <f t="shared" ref="C51:C59" si="22">+A51</f>
        <v>200</v>
      </c>
      <c r="D51" s="190" t="s">
        <v>144</v>
      </c>
      <c r="E51" s="190">
        <f>+'Costo almibar flor de caña '!E74</f>
        <v>3.4765100671140942E-2</v>
      </c>
      <c r="F51" s="190">
        <f t="shared" ref="F51:F59" si="23">IFERROR(E51*C51,"")</f>
        <v>6.9530201342281881</v>
      </c>
      <c r="G51" s="191">
        <f t="shared" si="21"/>
        <v>1.2345993994832081E-3</v>
      </c>
      <c r="H51" s="195" t="s">
        <v>59</v>
      </c>
      <c r="I51" s="187"/>
      <c r="J51" s="193"/>
      <c r="M51" s="198"/>
    </row>
    <row r="52" spans="1:17" ht="13.5" x14ac:dyDescent="0.25">
      <c r="A52" s="188">
        <f t="shared" si="20"/>
        <v>1</v>
      </c>
      <c r="B52" s="176" t="s">
        <v>60</v>
      </c>
      <c r="C52" s="189">
        <f t="shared" si="22"/>
        <v>1</v>
      </c>
      <c r="D52" s="190" t="s">
        <v>152</v>
      </c>
      <c r="E52" s="190">
        <f>+'Costo Flan'!H56</f>
        <v>87.317999999999998</v>
      </c>
      <c r="F52" s="190">
        <f t="shared" si="23"/>
        <v>87.317999999999998</v>
      </c>
      <c r="G52" s="191">
        <f t="shared" si="21"/>
        <v>1.5504449617999167E-2</v>
      </c>
      <c r="H52" s="195" t="s">
        <v>59</v>
      </c>
      <c r="I52" s="187"/>
      <c r="J52" s="193"/>
    </row>
    <row r="53" spans="1:17" ht="13.5" x14ac:dyDescent="0.25">
      <c r="A53" s="188">
        <f t="shared" si="20"/>
        <v>150</v>
      </c>
      <c r="B53" s="194" t="s">
        <v>64</v>
      </c>
      <c r="C53" s="189">
        <f t="shared" si="22"/>
        <v>150</v>
      </c>
      <c r="D53" s="190" t="s">
        <v>144</v>
      </c>
      <c r="E53" s="190">
        <v>0.14000000000000001</v>
      </c>
      <c r="F53" s="190">
        <f t="shared" si="23"/>
        <v>21.000000000000004</v>
      </c>
      <c r="G53" s="191">
        <f t="shared" si="21"/>
        <v>3.7288238619526625E-3</v>
      </c>
      <c r="H53" s="195" t="s">
        <v>63</v>
      </c>
      <c r="I53" s="187"/>
      <c r="J53" s="193"/>
    </row>
    <row r="54" spans="1:17" ht="13.5" x14ac:dyDescent="0.25">
      <c r="A54" s="188">
        <f t="shared" si="20"/>
        <v>145</v>
      </c>
      <c r="B54" s="194" t="s">
        <v>92</v>
      </c>
      <c r="C54" s="189">
        <f t="shared" si="22"/>
        <v>145</v>
      </c>
      <c r="D54" s="190" t="s">
        <v>144</v>
      </c>
      <c r="E54" s="190">
        <f>+'Costo semillas bañ belcolad'!E74</f>
        <v>0.28062222222222222</v>
      </c>
      <c r="F54" s="190">
        <f t="shared" si="23"/>
        <v>40.690222222222225</v>
      </c>
      <c r="G54" s="191">
        <f t="shared" si="21"/>
        <v>7.2250795985894624E-3</v>
      </c>
      <c r="H54" s="195" t="s">
        <v>59</v>
      </c>
      <c r="I54" s="187"/>
      <c r="J54" s="193"/>
    </row>
    <row r="55" spans="1:17" ht="13.5" x14ac:dyDescent="0.25">
      <c r="A55" s="188">
        <f t="shared" si="20"/>
        <v>50</v>
      </c>
      <c r="B55" s="194" t="s">
        <v>66</v>
      </c>
      <c r="C55" s="189">
        <f t="shared" si="22"/>
        <v>50</v>
      </c>
      <c r="D55" s="190" t="s">
        <v>144</v>
      </c>
      <c r="E55" s="190">
        <f>+'Costo Crema Ron'!E74</f>
        <v>4.5866666666666667E-2</v>
      </c>
      <c r="F55" s="190">
        <f t="shared" si="23"/>
        <v>2.2933333333333334</v>
      </c>
      <c r="G55" s="191">
        <f t="shared" si="21"/>
        <v>4.072112407973701E-4</v>
      </c>
      <c r="H55" s="195" t="s">
        <v>59</v>
      </c>
      <c r="I55" s="187"/>
      <c r="J55" s="193"/>
    </row>
    <row r="56" spans="1:17" ht="13.5" x14ac:dyDescent="0.25">
      <c r="A56" s="188">
        <f t="shared" ref="A56:A58" si="24">+A44</f>
        <v>220</v>
      </c>
      <c r="B56" s="194" t="s">
        <v>68</v>
      </c>
      <c r="C56" s="189">
        <f t="shared" ref="C56:C58" si="25">+A56</f>
        <v>220</v>
      </c>
      <c r="D56" s="190" t="s">
        <v>144</v>
      </c>
      <c r="E56" s="190">
        <v>0.03</v>
      </c>
      <c r="F56" s="190">
        <f t="shared" ref="F56:F58" si="26">IFERROR(E56*C56,"")</f>
        <v>6.6</v>
      </c>
      <c r="G56" s="191">
        <f t="shared" ref="G56:G58" si="27">IFERROR(F56/$F$75,"")</f>
        <v>1.1719160708994079E-3</v>
      </c>
      <c r="H56" s="195" t="s">
        <v>67</v>
      </c>
      <c r="I56" s="187"/>
      <c r="J56" s="193"/>
    </row>
    <row r="57" spans="1:17" ht="13.5" x14ac:dyDescent="0.25">
      <c r="A57" s="188">
        <f t="shared" si="24"/>
        <v>15</v>
      </c>
      <c r="B57" s="194" t="s">
        <v>70</v>
      </c>
      <c r="C57" s="189">
        <f t="shared" si="25"/>
        <v>15</v>
      </c>
      <c r="D57" s="190" t="s">
        <v>144</v>
      </c>
      <c r="E57" s="190">
        <v>0.01</v>
      </c>
      <c r="F57" s="190">
        <f t="shared" si="26"/>
        <v>0.15</v>
      </c>
      <c r="G57" s="191">
        <f t="shared" si="27"/>
        <v>2.6634456156804728E-5</v>
      </c>
      <c r="H57" s="195" t="s">
        <v>69</v>
      </c>
      <c r="I57" s="187"/>
      <c r="J57" s="193"/>
    </row>
    <row r="58" spans="1:17" ht="13.5" x14ac:dyDescent="0.25">
      <c r="A58" s="188">
        <f t="shared" si="24"/>
        <v>0</v>
      </c>
      <c r="B58" s="194" t="str">
        <f>IFERROR(VLOOKUP(H58,[1]SEMIELABORADOS!$A$2:$M$6000,2,0),"")</f>
        <v/>
      </c>
      <c r="C58" s="189">
        <f t="shared" si="25"/>
        <v>0</v>
      </c>
      <c r="D58" s="190" t="str">
        <f>IFERROR(VLOOKUP(H58,[1]SEMIELABORADOS!$A$2:$M$6000,6,0),"")</f>
        <v/>
      </c>
      <c r="E58" s="190" t="str">
        <f>IFERROR(VLOOKUP(H58,[1]SEMIELABORADOS!$A$2:$M$65536,12,0),"")</f>
        <v/>
      </c>
      <c r="F58" s="190" t="str">
        <f t="shared" si="26"/>
        <v/>
      </c>
      <c r="G58" s="191" t="str">
        <f t="shared" si="27"/>
        <v/>
      </c>
      <c r="H58" s="195"/>
      <c r="I58" s="187"/>
      <c r="J58" s="193"/>
    </row>
    <row r="59" spans="1:17" ht="13.5" x14ac:dyDescent="0.25">
      <c r="A59" s="188">
        <f t="shared" ref="A59" si="28">+A47</f>
        <v>0</v>
      </c>
      <c r="B59" s="194" t="str">
        <f>IFERROR(VLOOKUP(H59,[1]SEMIELABORADOS!$A$2:$M$6000,2,0),"")</f>
        <v/>
      </c>
      <c r="C59" s="189">
        <f t="shared" si="22"/>
        <v>0</v>
      </c>
      <c r="D59" s="190" t="str">
        <f>IFERROR(VLOOKUP(H59,[1]SEMIELABORADOS!$A$2:$M$6000,6,0),"")</f>
        <v/>
      </c>
      <c r="E59" s="190" t="str">
        <f>IFERROR(VLOOKUP(H59,[1]SEMIELABORADOS!$A$2:$M$65536,12,0),"")</f>
        <v/>
      </c>
      <c r="F59" s="190" t="str">
        <f t="shared" si="23"/>
        <v/>
      </c>
      <c r="G59" s="191" t="str">
        <f>IFERROR(F59/$F$75,"")</f>
        <v/>
      </c>
      <c r="H59" s="194"/>
      <c r="I59" s="187"/>
      <c r="J59" s="193"/>
    </row>
    <row r="60" spans="1:17" ht="13.5" x14ac:dyDescent="0.25">
      <c r="A60" s="188">
        <v>1</v>
      </c>
      <c r="B60" s="194" t="s">
        <v>109</v>
      </c>
      <c r="C60" s="189">
        <f>+A60</f>
        <v>1</v>
      </c>
      <c r="D60" s="189" t="s">
        <v>110</v>
      </c>
      <c r="E60" s="190">
        <f>+F74</f>
        <v>385</v>
      </c>
      <c r="F60" s="190">
        <f>IFERROR(C60*E60,"")</f>
        <v>385</v>
      </c>
      <c r="G60" s="191">
        <f>IFERROR(F60/$F$75,"")</f>
        <v>6.8361770802465471E-2</v>
      </c>
      <c r="H60" s="199"/>
      <c r="I60" s="199"/>
      <c r="J60" s="193"/>
    </row>
    <row r="61" spans="1:17" ht="14.25" thickBot="1" x14ac:dyDescent="0.3">
      <c r="A61" s="188"/>
      <c r="B61" s="194"/>
      <c r="C61" s="189"/>
      <c r="D61" s="189"/>
      <c r="E61" s="190"/>
      <c r="F61" s="190"/>
      <c r="G61" s="191"/>
      <c r="H61" s="199"/>
      <c r="I61" s="199"/>
      <c r="J61" s="193"/>
    </row>
    <row r="62" spans="1:17" ht="13.5" thickBot="1" x14ac:dyDescent="0.3">
      <c r="A62" s="200"/>
      <c r="B62" s="736" t="s">
        <v>111</v>
      </c>
      <c r="C62" s="736"/>
      <c r="D62" s="736"/>
      <c r="E62" s="736"/>
      <c r="F62" s="202">
        <f>SUM(F8:F14,F17:F26)</f>
        <v>4508.9878632593354</v>
      </c>
      <c r="G62" s="191">
        <f>+F62/$F$75</f>
        <v>0.80062959703696934</v>
      </c>
      <c r="H62" s="203">
        <f>+F62/$D$69</f>
        <v>4508.9878632593354</v>
      </c>
      <c r="I62" s="203"/>
      <c r="J62" s="204"/>
      <c r="K62" s="205"/>
      <c r="L62" s="205"/>
      <c r="M62" s="205"/>
      <c r="N62" s="205"/>
      <c r="O62" s="205"/>
      <c r="P62" s="205"/>
      <c r="Q62" s="206"/>
    </row>
    <row r="63" spans="1:17" x14ac:dyDescent="0.2">
      <c r="A63" s="200"/>
      <c r="B63" s="736" t="s">
        <v>112</v>
      </c>
      <c r="C63" s="736"/>
      <c r="D63" s="736"/>
      <c r="E63" s="736"/>
      <c r="F63" s="202">
        <f>SUM(F29:F35,F38:F47)</f>
        <v>647.63500074571232</v>
      </c>
      <c r="G63" s="191">
        <f>+F63/$F$75</f>
        <v>0.11499604021982582</v>
      </c>
      <c r="H63" s="203">
        <f>+F63/$D$69</f>
        <v>647.63500074571232</v>
      </c>
      <c r="I63" s="203"/>
      <c r="J63" s="207"/>
      <c r="K63" s="737" t="s">
        <v>113</v>
      </c>
      <c r="L63" s="738"/>
      <c r="M63" s="738"/>
      <c r="N63" s="738"/>
      <c r="O63" s="208">
        <f>+F64</f>
        <v>5156.6228640050476</v>
      </c>
      <c r="P63" s="208"/>
      <c r="Q63" s="209"/>
    </row>
    <row r="64" spans="1:17" x14ac:dyDescent="0.2">
      <c r="A64" s="200"/>
      <c r="B64" s="736" t="s">
        <v>114</v>
      </c>
      <c r="C64" s="736"/>
      <c r="D64" s="736"/>
      <c r="E64" s="736"/>
      <c r="F64" s="202">
        <f>+F62+F63</f>
        <v>5156.6228640050476</v>
      </c>
      <c r="G64" s="191">
        <f>+F64/$F$75</f>
        <v>0.91562563725679513</v>
      </c>
      <c r="H64" s="203">
        <f>+F64/$D$69</f>
        <v>5156.6228640050476</v>
      </c>
      <c r="I64" s="203"/>
      <c r="J64" s="210"/>
      <c r="K64" s="211"/>
      <c r="M64" s="212" t="s">
        <v>115</v>
      </c>
      <c r="N64" s="213"/>
      <c r="O64" s="208">
        <f>+H65</f>
        <v>580.8507295359376</v>
      </c>
      <c r="P64" s="208"/>
      <c r="Q64" s="209"/>
    </row>
    <row r="65" spans="1:17" ht="13.5" thickBot="1" x14ac:dyDescent="0.25">
      <c r="A65" s="200"/>
      <c r="B65" s="201"/>
      <c r="C65" s="736" t="s">
        <v>116</v>
      </c>
      <c r="D65" s="736"/>
      <c r="E65" s="736"/>
      <c r="F65" s="202">
        <f>SUM(F50:F60)</f>
        <v>580.8507295359376</v>
      </c>
      <c r="G65" s="191">
        <f>+F65/$F$75</f>
        <v>0.1031376219298198</v>
      </c>
      <c r="H65" s="203">
        <f>+F65/$D$69</f>
        <v>580.8507295359376</v>
      </c>
      <c r="I65" s="203"/>
      <c r="J65" s="210"/>
      <c r="K65" s="211"/>
      <c r="L65" s="211"/>
      <c r="M65" s="211" t="s">
        <v>117</v>
      </c>
      <c r="N65" s="214"/>
      <c r="O65" s="208">
        <f>O63*N65</f>
        <v>0</v>
      </c>
      <c r="P65" s="208"/>
      <c r="Q65" s="209"/>
    </row>
    <row r="66" spans="1:17" ht="13.5" thickBot="1" x14ac:dyDescent="0.25">
      <c r="A66" s="200"/>
      <c r="B66" s="215"/>
      <c r="C66" s="215"/>
      <c r="D66" s="215"/>
      <c r="E66" s="215"/>
      <c r="F66" s="216"/>
      <c r="G66" s="191"/>
      <c r="H66" s="217"/>
      <c r="I66" s="203"/>
      <c r="J66" s="210"/>
      <c r="K66" s="218"/>
      <c r="M66" s="219" t="s">
        <v>118</v>
      </c>
      <c r="N66" s="220"/>
      <c r="O66" s="221">
        <f>SUM(O63:O65)</f>
        <v>5737.4735935409853</v>
      </c>
      <c r="P66" s="222"/>
      <c r="Q66" s="209"/>
    </row>
    <row r="67" spans="1:17" x14ac:dyDescent="0.2">
      <c r="B67" s="739" t="s">
        <v>119</v>
      </c>
      <c r="C67" s="739"/>
      <c r="D67" s="223">
        <v>1900</v>
      </c>
      <c r="E67" s="224"/>
      <c r="G67" s="191"/>
      <c r="H67" s="217">
        <f>+H65/77</f>
        <v>7.5435159679991894</v>
      </c>
      <c r="I67" s="225"/>
      <c r="J67" s="210"/>
      <c r="K67" s="218"/>
      <c r="L67" s="211"/>
      <c r="M67" s="211" t="s">
        <v>120</v>
      </c>
      <c r="N67" s="226"/>
      <c r="O67" s="208">
        <f>+H68</f>
        <v>626.11182534393276</v>
      </c>
      <c r="P67" s="208"/>
      <c r="Q67" s="209"/>
    </row>
    <row r="68" spans="1:17" x14ac:dyDescent="0.2">
      <c r="B68" s="739" t="s">
        <v>121</v>
      </c>
      <c r="C68" s="739"/>
      <c r="D68" s="227">
        <v>1900</v>
      </c>
      <c r="E68" s="224"/>
      <c r="G68" s="191"/>
      <c r="H68" s="217">
        <f>+H67*83</f>
        <v>626.11182534393276</v>
      </c>
      <c r="I68" s="225"/>
      <c r="J68" s="210"/>
      <c r="K68" s="218"/>
      <c r="L68" s="211"/>
      <c r="M68" s="740" t="s">
        <v>118</v>
      </c>
      <c r="N68" s="740"/>
      <c r="O68" s="208">
        <f>SUM(O66:O67)</f>
        <v>6363.585418884918</v>
      </c>
      <c r="P68" s="208"/>
      <c r="Q68" s="209"/>
    </row>
    <row r="69" spans="1:17" ht="13.5" thickBot="1" x14ac:dyDescent="0.25">
      <c r="B69" s="732" t="s">
        <v>122</v>
      </c>
      <c r="C69" s="732"/>
      <c r="D69" s="223">
        <f>+D67/D68</f>
        <v>1</v>
      </c>
      <c r="E69" s="224"/>
      <c r="F69" s="228"/>
      <c r="G69" s="191"/>
      <c r="H69" s="217"/>
      <c r="I69" s="225"/>
      <c r="J69" s="210"/>
      <c r="K69" s="218"/>
      <c r="L69" s="740"/>
      <c r="M69" s="740"/>
      <c r="N69" s="226"/>
      <c r="O69" s="208">
        <f>+O68*N69</f>
        <v>0</v>
      </c>
      <c r="P69" s="208"/>
      <c r="Q69" s="209"/>
    </row>
    <row r="70" spans="1:17" ht="13.5" thickBot="1" x14ac:dyDescent="0.25">
      <c r="B70" s="732" t="s">
        <v>123</v>
      </c>
      <c r="C70" s="732"/>
      <c r="D70" s="229"/>
      <c r="E70" s="224"/>
      <c r="F70" s="228"/>
      <c r="G70" s="191"/>
      <c r="H70" s="217"/>
      <c r="I70" s="225"/>
      <c r="J70" s="210"/>
      <c r="K70" s="733" t="s">
        <v>124</v>
      </c>
      <c r="L70" s="734"/>
      <c r="M70" s="734"/>
      <c r="N70" s="735"/>
      <c r="O70" s="221">
        <f>SUM(O68:O69)</f>
        <v>6363.585418884918</v>
      </c>
      <c r="P70" s="230" t="s">
        <v>125</v>
      </c>
      <c r="Q70" s="209"/>
    </row>
    <row r="71" spans="1:17" ht="13.5" thickBot="1" x14ac:dyDescent="0.25">
      <c r="C71" s="200" t="s">
        <v>126</v>
      </c>
      <c r="D71" s="231"/>
      <c r="E71" s="174" t="s">
        <v>127</v>
      </c>
      <c r="F71" s="232" t="s">
        <v>128</v>
      </c>
      <c r="G71" s="191"/>
      <c r="H71" s="217"/>
      <c r="I71" s="225"/>
      <c r="J71" s="233"/>
      <c r="K71" s="234"/>
      <c r="L71" s="746" t="s">
        <v>129</v>
      </c>
      <c r="M71" s="746"/>
      <c r="N71" s="746"/>
      <c r="O71" s="235">
        <f>+O70/D69</f>
        <v>6363.585418884918</v>
      </c>
      <c r="P71" s="236">
        <f>+O71/D68</f>
        <v>3.349255483623641</v>
      </c>
      <c r="Q71" s="237"/>
    </row>
    <row r="72" spans="1:17" ht="13.5" thickBot="1" x14ac:dyDescent="0.25">
      <c r="B72" s="747" t="s">
        <v>114</v>
      </c>
      <c r="C72" s="747"/>
      <c r="D72" s="747"/>
      <c r="E72" s="238">
        <f>+F72/F72</f>
        <v>1</v>
      </c>
      <c r="F72" s="239">
        <f>SUM(F64)</f>
        <v>5156.6228640050476</v>
      </c>
      <c r="G72" s="191">
        <f>+F72/$F$75</f>
        <v>0.91562563725679513</v>
      </c>
      <c r="H72" s="217"/>
      <c r="I72" s="225"/>
      <c r="K72" s="748"/>
      <c r="L72" s="749"/>
      <c r="M72" s="749"/>
      <c r="N72" s="749"/>
      <c r="O72" s="240"/>
      <c r="P72" s="241"/>
    </row>
    <row r="73" spans="1:17" ht="13.5" thickBot="1" x14ac:dyDescent="0.3">
      <c r="B73" s="750" t="s">
        <v>130</v>
      </c>
      <c r="C73" s="750"/>
      <c r="D73" s="750"/>
      <c r="E73" s="242">
        <v>0.02</v>
      </c>
      <c r="F73" s="239">
        <f>+F62*E73</f>
        <v>90.179757265186709</v>
      </c>
      <c r="G73" s="191">
        <f>+F73/$F$75</f>
        <v>1.6012591940739385E-2</v>
      </c>
      <c r="H73" s="203"/>
      <c r="I73" s="225"/>
      <c r="J73" s="243"/>
      <c r="O73" s="244"/>
      <c r="P73" s="201"/>
    </row>
    <row r="74" spans="1:17" ht="13.5" thickBot="1" x14ac:dyDescent="0.3">
      <c r="B74" s="751" t="s">
        <v>131</v>
      </c>
      <c r="C74" s="752"/>
      <c r="D74" s="245">
        <v>5</v>
      </c>
      <c r="E74" s="246">
        <v>77</v>
      </c>
      <c r="F74" s="239">
        <f>+E74*D74</f>
        <v>385</v>
      </c>
      <c r="G74" s="191">
        <f>+F74/$F$75</f>
        <v>6.8361770802465471E-2</v>
      </c>
      <c r="H74" s="203"/>
      <c r="I74" s="203"/>
      <c r="J74" s="193"/>
    </row>
    <row r="75" spans="1:17" ht="13.5" thickBot="1" x14ac:dyDescent="0.3">
      <c r="B75" s="753" t="s">
        <v>132</v>
      </c>
      <c r="C75" s="754"/>
      <c r="D75" s="754"/>
      <c r="E75" s="755"/>
      <c r="F75" s="216">
        <f>SUM(F72:F74)</f>
        <v>5631.8026212702343</v>
      </c>
      <c r="G75" s="191">
        <f>+F75/$F$75</f>
        <v>1</v>
      </c>
      <c r="H75" s="756"/>
      <c r="I75" s="203"/>
      <c r="J75" s="193"/>
      <c r="M75" s="176" t="s">
        <v>133</v>
      </c>
    </row>
    <row r="76" spans="1:17" x14ac:dyDescent="0.25">
      <c r="C76" s="198"/>
      <c r="D76" s="198"/>
      <c r="E76" s="248"/>
      <c r="F76" s="239"/>
      <c r="G76" s="191"/>
      <c r="H76" s="756"/>
      <c r="I76" s="247"/>
      <c r="J76" s="176"/>
      <c r="M76" s="176" t="s">
        <v>134</v>
      </c>
    </row>
    <row r="77" spans="1:17" ht="13.5" thickBot="1" x14ac:dyDescent="0.3">
      <c r="B77" s="741" t="s">
        <v>135</v>
      </c>
      <c r="C77" s="741"/>
      <c r="D77" s="741"/>
      <c r="E77" s="741"/>
      <c r="F77" s="741"/>
      <c r="G77" s="191"/>
      <c r="H77" s="250"/>
      <c r="I77" s="247"/>
      <c r="J77" s="176"/>
      <c r="M77" s="176" t="s">
        <v>136</v>
      </c>
    </row>
    <row r="78" spans="1:17" ht="13.5" thickBot="1" x14ac:dyDescent="0.3">
      <c r="B78" s="251" t="s">
        <v>137</v>
      </c>
      <c r="C78" s="252">
        <f>+F62</f>
        <v>4508.9878632593354</v>
      </c>
      <c r="D78" s="252">
        <f>+D67</f>
        <v>1900</v>
      </c>
      <c r="E78" s="253">
        <f>+C78/D78</f>
        <v>2.3731515069785978</v>
      </c>
      <c r="F78" s="191"/>
      <c r="G78" s="250"/>
      <c r="H78" s="193"/>
      <c r="I78" s="250"/>
      <c r="J78" s="176"/>
    </row>
    <row r="79" spans="1:17" x14ac:dyDescent="0.25">
      <c r="B79" s="254"/>
      <c r="C79" s="255"/>
      <c r="D79" s="256"/>
      <c r="E79" s="239"/>
      <c r="F79" s="191"/>
      <c r="G79" s="250"/>
      <c r="H79" s="193"/>
      <c r="I79" s="193"/>
      <c r="J79" s="176"/>
    </row>
    <row r="80" spans="1:17" x14ac:dyDescent="0.25">
      <c r="B80" s="251" t="s">
        <v>138</v>
      </c>
      <c r="C80" s="252">
        <f>SUM(F72:F73)</f>
        <v>5246.8026212702343</v>
      </c>
      <c r="D80" s="252">
        <f>+D67</f>
        <v>1900</v>
      </c>
      <c r="E80" s="257">
        <f>+C80/D80</f>
        <v>2.7614750638264391</v>
      </c>
      <c r="F80" s="191"/>
      <c r="G80" s="250"/>
      <c r="H80" s="193"/>
      <c r="I80" s="193"/>
      <c r="J80" s="176"/>
    </row>
    <row r="81" spans="2:10" x14ac:dyDescent="0.25">
      <c r="B81" s="251"/>
      <c r="C81" s="252"/>
      <c r="D81" s="252"/>
      <c r="E81" s="257"/>
      <c r="F81" s="191"/>
      <c r="G81" s="250"/>
      <c r="H81" s="193"/>
      <c r="I81" s="193"/>
      <c r="J81" s="176"/>
    </row>
    <row r="82" spans="2:10" ht="13.5" thickBot="1" x14ac:dyDescent="0.3">
      <c r="B82" s="251" t="s">
        <v>139</v>
      </c>
      <c r="C82" s="252">
        <f>+F74</f>
        <v>385</v>
      </c>
      <c r="D82" s="252">
        <f>+D67</f>
        <v>1900</v>
      </c>
      <c r="E82" s="257">
        <f>+C82/D82</f>
        <v>0.20263157894736841</v>
      </c>
      <c r="F82" s="191"/>
      <c r="G82" s="250"/>
      <c r="H82" s="193"/>
      <c r="I82" s="193"/>
      <c r="J82" s="176"/>
    </row>
    <row r="83" spans="2:10" ht="13.5" thickBot="1" x14ac:dyDescent="0.3">
      <c r="B83" s="251" t="s">
        <v>140</v>
      </c>
      <c r="C83" s="252">
        <f>+F65</f>
        <v>580.8507295359376</v>
      </c>
      <c r="D83" s="252">
        <f>+D82</f>
        <v>1900</v>
      </c>
      <c r="E83" s="253">
        <f>+C83/D83</f>
        <v>0.30571091028207242</v>
      </c>
      <c r="F83" s="191"/>
      <c r="G83" s="250"/>
      <c r="H83" s="193"/>
      <c r="I83" s="193"/>
      <c r="J83" s="176"/>
    </row>
    <row r="84" spans="2:10" ht="13.5" thickBot="1" x14ac:dyDescent="0.3">
      <c r="B84" s="215"/>
      <c r="C84" s="216"/>
      <c r="D84" s="216"/>
      <c r="E84" s="257"/>
      <c r="F84" s="191"/>
      <c r="G84" s="250"/>
      <c r="H84" s="193"/>
      <c r="I84" s="193"/>
      <c r="J84" s="176"/>
    </row>
    <row r="85" spans="2:10" ht="13.5" thickBot="1" x14ac:dyDescent="0.3">
      <c r="B85" s="251" t="s">
        <v>141</v>
      </c>
      <c r="C85" s="252">
        <f>+F63</f>
        <v>647.63500074571232</v>
      </c>
      <c r="D85" s="252">
        <f>+D83</f>
        <v>1900</v>
      </c>
      <c r="E85" s="253">
        <f>+C85/D85</f>
        <v>0.34086052670826966</v>
      </c>
      <c r="F85" s="191"/>
      <c r="G85" s="250"/>
      <c r="H85" s="193"/>
      <c r="I85" s="193"/>
      <c r="J85" s="193"/>
    </row>
    <row r="86" spans="2:10" ht="13.5" thickBot="1" x14ac:dyDescent="0.3">
      <c r="B86" s="215"/>
      <c r="C86" s="216"/>
      <c r="D86" s="216"/>
      <c r="E86" s="257"/>
      <c r="F86" s="191"/>
      <c r="G86" s="250"/>
      <c r="H86" s="193"/>
      <c r="I86" s="193"/>
    </row>
    <row r="87" spans="2:10" ht="13.5" thickBot="1" x14ac:dyDescent="0.3">
      <c r="B87" s="742" t="s">
        <v>142</v>
      </c>
      <c r="C87" s="743"/>
      <c r="D87" s="744"/>
      <c r="E87" s="253">
        <f>+E78+E83</f>
        <v>2.6788624172606701</v>
      </c>
      <c r="G87" s="191"/>
      <c r="H87" s="250"/>
      <c r="I87" s="193"/>
      <c r="J87" s="257"/>
    </row>
    <row r="88" spans="2:10" x14ac:dyDescent="0.25">
      <c r="I88" s="250"/>
      <c r="J88" s="176"/>
    </row>
    <row r="89" spans="2:10" ht="13.5" thickBot="1" x14ac:dyDescent="0.3">
      <c r="B89" s="741" t="s">
        <v>143</v>
      </c>
      <c r="C89" s="741"/>
      <c r="D89" s="741"/>
      <c r="E89" s="741"/>
      <c r="F89" s="741"/>
      <c r="G89" s="191"/>
      <c r="H89" s="250"/>
      <c r="J89" s="176"/>
    </row>
    <row r="90" spans="2:10" ht="13.5" thickBot="1" x14ac:dyDescent="0.3">
      <c r="B90" s="251" t="s">
        <v>137</v>
      </c>
      <c r="C90" s="252">
        <f>+C78</f>
        <v>4508.9878632593354</v>
      </c>
      <c r="D90" s="252">
        <f>+D69</f>
        <v>1</v>
      </c>
      <c r="E90" s="253">
        <f>+C90/D90</f>
        <v>4508.9878632593354</v>
      </c>
      <c r="F90" s="191"/>
      <c r="G90" s="250"/>
      <c r="H90" s="193"/>
      <c r="I90" s="250"/>
      <c r="J90" s="176"/>
    </row>
    <row r="91" spans="2:10" x14ac:dyDescent="0.25">
      <c r="B91" s="254"/>
      <c r="C91" s="255"/>
      <c r="D91" s="256"/>
      <c r="E91" s="239"/>
      <c r="F91" s="191"/>
      <c r="G91" s="250"/>
      <c r="H91" s="193"/>
      <c r="I91" s="193"/>
      <c r="J91" s="176"/>
    </row>
    <row r="92" spans="2:10" x14ac:dyDescent="0.25">
      <c r="B92" s="251" t="s">
        <v>138</v>
      </c>
      <c r="C92" s="252">
        <f>+C80</f>
        <v>5246.8026212702343</v>
      </c>
      <c r="D92" s="252">
        <f>+D69</f>
        <v>1</v>
      </c>
      <c r="E92" s="257">
        <f>+C92/D92</f>
        <v>5246.8026212702343</v>
      </c>
      <c r="F92" s="191"/>
      <c r="G92" s="250"/>
      <c r="H92" s="193"/>
      <c r="I92" s="193"/>
      <c r="J92" s="176"/>
    </row>
    <row r="93" spans="2:10" x14ac:dyDescent="0.25">
      <c r="B93" s="251"/>
      <c r="C93" s="252"/>
      <c r="D93" s="252"/>
      <c r="E93" s="257"/>
      <c r="F93" s="191"/>
      <c r="G93" s="250"/>
      <c r="H93" s="193"/>
      <c r="I93" s="193"/>
      <c r="J93" s="176"/>
    </row>
    <row r="94" spans="2:10" ht="13.5" thickBot="1" x14ac:dyDescent="0.3">
      <c r="B94" s="251" t="s">
        <v>140</v>
      </c>
      <c r="C94" s="252">
        <f>+C82</f>
        <v>385</v>
      </c>
      <c r="D94" s="252">
        <f>+D69</f>
        <v>1</v>
      </c>
      <c r="E94" s="257">
        <f>+C94/D94</f>
        <v>385</v>
      </c>
      <c r="F94" s="259"/>
      <c r="G94" s="249"/>
      <c r="H94" s="175"/>
      <c r="I94" s="193"/>
    </row>
    <row r="95" spans="2:10" ht="13.5" thickBot="1" x14ac:dyDescent="0.3">
      <c r="B95" s="251" t="s">
        <v>140</v>
      </c>
      <c r="C95" s="252">
        <f>+C83</f>
        <v>580.8507295359376</v>
      </c>
      <c r="D95" s="252">
        <f>+D94</f>
        <v>1</v>
      </c>
      <c r="E95" s="253">
        <f>+C95/D95</f>
        <v>580.8507295359376</v>
      </c>
      <c r="F95" s="258"/>
      <c r="G95" s="249"/>
      <c r="H95" s="175"/>
      <c r="I95" s="175"/>
    </row>
    <row r="96" spans="2:10" x14ac:dyDescent="0.25">
      <c r="I96" s="175"/>
    </row>
    <row r="97" spans="1:7" x14ac:dyDescent="0.2">
      <c r="A97" s="745"/>
      <c r="B97" s="745"/>
      <c r="C97" s="260"/>
      <c r="D97" s="260"/>
      <c r="E97" s="261"/>
      <c r="G97" s="262"/>
    </row>
    <row r="98" spans="1:7" x14ac:dyDescent="0.2">
      <c r="A98" s="194"/>
      <c r="B98" s="263"/>
      <c r="C98" s="264"/>
      <c r="D98" s="264"/>
      <c r="E98" s="265"/>
      <c r="G98" s="262"/>
    </row>
    <row r="99" spans="1:7" x14ac:dyDescent="0.2">
      <c r="A99" s="194"/>
      <c r="B99" s="263"/>
      <c r="C99" s="266"/>
      <c r="D99" s="266"/>
      <c r="E99" s="194"/>
      <c r="G99" s="262"/>
    </row>
    <row r="100" spans="1:7" x14ac:dyDescent="0.2">
      <c r="A100" s="194"/>
      <c r="B100" s="263"/>
      <c r="C100" s="267"/>
      <c r="D100" s="267"/>
      <c r="E100" s="194"/>
      <c r="G100" s="262"/>
    </row>
  </sheetData>
  <mergeCells count="30">
    <mergeCell ref="B77:F77"/>
    <mergeCell ref="B87:D87"/>
    <mergeCell ref="B89:F89"/>
    <mergeCell ref="A97:B97"/>
    <mergeCell ref="L71:N71"/>
    <mergeCell ref="B72:D72"/>
    <mergeCell ref="K72:N72"/>
    <mergeCell ref="B73:D73"/>
    <mergeCell ref="B74:C74"/>
    <mergeCell ref="B75:E75"/>
    <mergeCell ref="H75:H76"/>
    <mergeCell ref="B70:C70"/>
    <mergeCell ref="K70:N70"/>
    <mergeCell ref="K33:L33"/>
    <mergeCell ref="B62:E62"/>
    <mergeCell ref="B63:E63"/>
    <mergeCell ref="K63:N63"/>
    <mergeCell ref="B64:E64"/>
    <mergeCell ref="C65:E65"/>
    <mergeCell ref="B67:C67"/>
    <mergeCell ref="B68:C68"/>
    <mergeCell ref="M68:N68"/>
    <mergeCell ref="B69:C69"/>
    <mergeCell ref="L69:M69"/>
    <mergeCell ref="K32:L32"/>
    <mergeCell ref="A4:H4"/>
    <mergeCell ref="A5:H5"/>
    <mergeCell ref="F6:G6"/>
    <mergeCell ref="K29:L29"/>
    <mergeCell ref="K30:L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DE57-50D6-418D-9367-F55D454DE2AD}">
  <dimension ref="A1:I58"/>
  <sheetViews>
    <sheetView zoomScale="70" zoomScaleNormal="70" workbookViewId="0">
      <selection sqref="A1:XFD1048576"/>
    </sheetView>
  </sheetViews>
  <sheetFormatPr baseColWidth="10" defaultRowHeight="15" x14ac:dyDescent="0.25"/>
  <cols>
    <col min="2" max="2" width="13.42578125" bestFit="1" customWidth="1"/>
    <col min="3" max="3" width="49" customWidth="1"/>
    <col min="4" max="4" width="34.28515625" bestFit="1" customWidth="1"/>
    <col min="8" max="8" width="33.7109375" bestFit="1" customWidth="1"/>
    <col min="9" max="9" width="22.28515625" bestFit="1" customWidth="1"/>
  </cols>
  <sheetData>
    <row r="1" spans="1:9" ht="17.25" x14ac:dyDescent="0.3">
      <c r="A1" s="766"/>
      <c r="B1" s="767"/>
      <c r="C1" s="772" t="s">
        <v>0</v>
      </c>
      <c r="D1" s="772"/>
      <c r="E1" s="772"/>
      <c r="F1" s="772"/>
      <c r="G1" s="772"/>
      <c r="H1" s="111" t="s">
        <v>1</v>
      </c>
      <c r="I1" s="112" t="s">
        <v>345</v>
      </c>
    </row>
    <row r="2" spans="1:9" ht="18" customHeight="1" thickBot="1" x14ac:dyDescent="0.35">
      <c r="A2" s="768"/>
      <c r="B2" s="769"/>
      <c r="C2" s="773" t="s">
        <v>2</v>
      </c>
      <c r="D2" s="774"/>
      <c r="E2" s="774"/>
      <c r="F2" s="774"/>
      <c r="G2" s="775"/>
      <c r="H2" s="113" t="s">
        <v>3</v>
      </c>
      <c r="I2" s="114" t="s">
        <v>200</v>
      </c>
    </row>
    <row r="3" spans="1:9" ht="31.5" customHeight="1" thickBot="1" x14ac:dyDescent="0.3">
      <c r="A3" s="768"/>
      <c r="B3" s="769"/>
      <c r="C3" s="776" t="s">
        <v>346</v>
      </c>
      <c r="D3" s="777"/>
      <c r="E3" s="777"/>
      <c r="F3" s="777"/>
      <c r="G3" s="778"/>
      <c r="H3" s="779" t="s">
        <v>4</v>
      </c>
      <c r="I3" s="757">
        <v>45613</v>
      </c>
    </row>
    <row r="4" spans="1:9" ht="18" customHeight="1" x14ac:dyDescent="0.3">
      <c r="A4" s="768"/>
      <c r="B4" s="769"/>
      <c r="C4" s="115" t="s">
        <v>5</v>
      </c>
      <c r="D4" s="760" t="s">
        <v>38</v>
      </c>
      <c r="E4" s="761"/>
      <c r="F4" s="761"/>
      <c r="G4" s="762"/>
      <c r="H4" s="780"/>
      <c r="I4" s="758"/>
    </row>
    <row r="5" spans="1:9" ht="18" thickBot="1" x14ac:dyDescent="0.35">
      <c r="A5" s="770"/>
      <c r="B5" s="771"/>
      <c r="C5" s="116" t="s">
        <v>7</v>
      </c>
      <c r="D5" s="763" t="s">
        <v>39</v>
      </c>
      <c r="E5" s="764"/>
      <c r="F5" s="764"/>
      <c r="G5" s="765"/>
      <c r="H5" s="781"/>
      <c r="I5" s="759"/>
    </row>
    <row r="6" spans="1:9" ht="16.5" thickBot="1" x14ac:dyDescent="0.3">
      <c r="A6" s="782" t="s">
        <v>9</v>
      </c>
      <c r="B6" s="782"/>
      <c r="C6" s="782"/>
      <c r="D6" s="783" t="s">
        <v>46</v>
      </c>
      <c r="E6" s="783"/>
      <c r="F6" s="783"/>
      <c r="G6" s="784" t="s">
        <v>10</v>
      </c>
      <c r="H6" s="784"/>
      <c r="I6" s="117" t="s">
        <v>161</v>
      </c>
    </row>
    <row r="7" spans="1:9" x14ac:dyDescent="0.25">
      <c r="A7" s="785" t="s">
        <v>12</v>
      </c>
      <c r="B7" s="787" t="s">
        <v>41</v>
      </c>
      <c r="C7" s="789" t="s">
        <v>13</v>
      </c>
      <c r="D7" s="789" t="s">
        <v>14</v>
      </c>
      <c r="E7" s="789" t="s">
        <v>15</v>
      </c>
      <c r="F7" s="789"/>
      <c r="G7" s="789" t="s">
        <v>16</v>
      </c>
      <c r="H7" s="789"/>
      <c r="I7" s="118" t="s">
        <v>17</v>
      </c>
    </row>
    <row r="8" spans="1:9" ht="31.5" thickBot="1" x14ac:dyDescent="0.3">
      <c r="A8" s="786"/>
      <c r="B8" s="788"/>
      <c r="C8" s="790"/>
      <c r="D8" s="790"/>
      <c r="E8" s="119" t="s">
        <v>18</v>
      </c>
      <c r="F8" s="120" t="s">
        <v>19</v>
      </c>
      <c r="G8" s="119" t="s">
        <v>18</v>
      </c>
      <c r="H8" s="120" t="s">
        <v>19</v>
      </c>
      <c r="I8" s="121" t="s">
        <v>20</v>
      </c>
    </row>
    <row r="9" spans="1:9" ht="15.75" x14ac:dyDescent="0.25">
      <c r="A9" s="122"/>
      <c r="B9" s="123"/>
      <c r="C9" s="124" t="s">
        <v>42</v>
      </c>
      <c r="D9" s="125"/>
      <c r="E9" s="126"/>
      <c r="F9" s="127"/>
      <c r="G9" s="126"/>
      <c r="H9" s="127"/>
      <c r="I9" s="128"/>
    </row>
    <row r="10" spans="1:9" ht="18" customHeight="1" x14ac:dyDescent="0.3">
      <c r="A10" s="135">
        <v>11400029</v>
      </c>
      <c r="B10" s="268" t="s">
        <v>347</v>
      </c>
      <c r="C10" s="137" t="s">
        <v>348</v>
      </c>
      <c r="D10" s="138" t="s">
        <v>182</v>
      </c>
      <c r="E10" s="269">
        <v>16000</v>
      </c>
      <c r="F10" s="270" t="s">
        <v>21</v>
      </c>
      <c r="G10" s="271"/>
      <c r="H10" s="272" t="s">
        <v>349</v>
      </c>
      <c r="I10" s="128"/>
    </row>
    <row r="11" spans="1:9" ht="17.25" x14ac:dyDescent="0.3">
      <c r="A11" s="135">
        <v>11400031</v>
      </c>
      <c r="B11" s="273" t="s">
        <v>350</v>
      </c>
      <c r="C11" s="274" t="s">
        <v>351</v>
      </c>
      <c r="D11" s="138" t="s">
        <v>182</v>
      </c>
      <c r="E11" s="139">
        <v>8000</v>
      </c>
      <c r="F11" s="140" t="s">
        <v>21</v>
      </c>
      <c r="G11" s="271"/>
      <c r="H11" s="272" t="s">
        <v>352</v>
      </c>
      <c r="I11" s="128"/>
    </row>
    <row r="12" spans="1:9" ht="17.25" x14ac:dyDescent="0.3">
      <c r="A12" s="135" t="s">
        <v>183</v>
      </c>
      <c r="B12" s="273"/>
      <c r="C12" s="274" t="s">
        <v>89</v>
      </c>
      <c r="D12" s="138" t="s">
        <v>45</v>
      </c>
      <c r="E12" s="139">
        <v>1000</v>
      </c>
      <c r="F12" s="140" t="s">
        <v>21</v>
      </c>
      <c r="G12" s="130"/>
      <c r="H12" s="272"/>
      <c r="I12" s="128"/>
    </row>
    <row r="13" spans="1:9" ht="17.25" x14ac:dyDescent="0.3">
      <c r="A13" s="135">
        <v>1212410</v>
      </c>
      <c r="B13" s="273" t="s">
        <v>185</v>
      </c>
      <c r="C13" s="274" t="s">
        <v>186</v>
      </c>
      <c r="D13" s="138" t="s">
        <v>187</v>
      </c>
      <c r="E13" s="139">
        <v>22</v>
      </c>
      <c r="F13" s="140" t="s">
        <v>21</v>
      </c>
      <c r="G13" s="130"/>
      <c r="H13" s="272"/>
      <c r="I13" s="128"/>
    </row>
    <row r="14" spans="1:9" ht="17.25" x14ac:dyDescent="0.3">
      <c r="A14" s="276"/>
      <c r="B14" s="277"/>
      <c r="C14" s="278"/>
      <c r="D14" s="130"/>
      <c r="E14" s="130"/>
      <c r="F14" s="279"/>
      <c r="G14" s="130"/>
      <c r="H14" s="272"/>
      <c r="I14" s="128"/>
    </row>
    <row r="15" spans="1:9" ht="17.25" x14ac:dyDescent="0.3">
      <c r="A15" s="280"/>
      <c r="B15" s="277"/>
      <c r="C15" s="281"/>
      <c r="D15" s="130"/>
      <c r="E15" s="130"/>
      <c r="F15" s="279"/>
      <c r="G15" s="130"/>
      <c r="H15" s="272"/>
      <c r="I15" s="128"/>
    </row>
    <row r="16" spans="1:9" ht="17.25" x14ac:dyDescent="0.3">
      <c r="A16" s="130"/>
      <c r="B16" s="130"/>
      <c r="C16" s="282"/>
      <c r="D16" s="283"/>
      <c r="E16" s="283"/>
      <c r="F16" s="271"/>
      <c r="G16" s="130"/>
      <c r="H16" s="272"/>
      <c r="I16" s="128"/>
    </row>
    <row r="17" spans="1:9" ht="17.25" x14ac:dyDescent="0.3">
      <c r="A17" s="277"/>
      <c r="B17" s="277"/>
      <c r="C17" s="284"/>
      <c r="D17" s="130"/>
      <c r="E17" s="130"/>
      <c r="F17" s="279"/>
      <c r="G17" s="130"/>
      <c r="H17" s="272"/>
      <c r="I17" s="128"/>
    </row>
    <row r="18" spans="1:9" ht="17.25" x14ac:dyDescent="0.3">
      <c r="A18" s="276"/>
      <c r="B18" s="277"/>
      <c r="C18" s="278"/>
      <c r="D18" s="130"/>
      <c r="E18" s="130"/>
      <c r="F18" s="279"/>
      <c r="G18" s="130"/>
      <c r="H18" s="272"/>
      <c r="I18" s="128"/>
    </row>
    <row r="19" spans="1:9" ht="17.25" x14ac:dyDescent="0.3">
      <c r="A19" s="285"/>
      <c r="B19" s="285"/>
      <c r="C19" s="286"/>
      <c r="D19" s="287"/>
      <c r="E19" s="148"/>
      <c r="F19" s="149"/>
      <c r="G19" s="126"/>
      <c r="H19" s="272"/>
      <c r="I19" s="128"/>
    </row>
    <row r="20" spans="1:9" ht="15.75" x14ac:dyDescent="0.25">
      <c r="A20" s="132"/>
      <c r="B20" s="133"/>
      <c r="C20" s="63" t="s">
        <v>46</v>
      </c>
      <c r="D20" s="131"/>
      <c r="E20" s="134"/>
      <c r="F20" s="129"/>
      <c r="G20" s="126"/>
      <c r="H20" s="127"/>
      <c r="I20" s="128"/>
    </row>
    <row r="21" spans="1:9" ht="17.25" x14ac:dyDescent="0.3">
      <c r="A21" s="135"/>
      <c r="B21" s="136"/>
      <c r="C21" s="137"/>
      <c r="D21" s="138"/>
      <c r="E21" s="139"/>
      <c r="F21" s="140"/>
      <c r="G21" s="126"/>
      <c r="H21" s="127"/>
      <c r="I21" s="128"/>
    </row>
    <row r="22" spans="1:9" ht="17.25" x14ac:dyDescent="0.3">
      <c r="A22" s="135"/>
      <c r="B22" s="136"/>
      <c r="C22" s="137"/>
      <c r="D22" s="138"/>
      <c r="E22" s="143"/>
      <c r="F22" s="140"/>
      <c r="G22" s="126"/>
      <c r="H22" s="127"/>
      <c r="I22" s="128"/>
    </row>
    <row r="23" spans="1:9" ht="17.25" x14ac:dyDescent="0.3">
      <c r="A23" s="135"/>
      <c r="B23" s="136"/>
      <c r="C23" s="137"/>
      <c r="D23" s="138"/>
      <c r="E23" s="139"/>
      <c r="F23" s="140"/>
      <c r="G23" s="126"/>
      <c r="H23" s="127"/>
      <c r="I23" s="128"/>
    </row>
    <row r="24" spans="1:9" ht="17.25" x14ac:dyDescent="0.3">
      <c r="A24" s="135"/>
      <c r="B24" s="136"/>
      <c r="C24" s="137"/>
      <c r="D24" s="138"/>
      <c r="E24" s="288"/>
      <c r="F24" s="289"/>
      <c r="G24" s="126"/>
      <c r="H24" s="127"/>
      <c r="I24" s="128"/>
    </row>
    <row r="25" spans="1:9" ht="17.25" x14ac:dyDescent="0.3">
      <c r="A25" s="135"/>
      <c r="B25" s="136"/>
      <c r="C25" s="137"/>
      <c r="D25" s="138"/>
      <c r="E25" s="269"/>
      <c r="F25" s="289"/>
      <c r="G25" s="126"/>
      <c r="H25" s="127"/>
      <c r="I25" s="128"/>
    </row>
    <row r="26" spans="1:9" ht="17.25" x14ac:dyDescent="0.3">
      <c r="A26" s="290"/>
      <c r="B26" s="290"/>
      <c r="C26" s="141"/>
      <c r="D26" s="291"/>
      <c r="E26" s="292"/>
      <c r="F26" s="293"/>
      <c r="G26" s="126"/>
      <c r="H26" s="127"/>
      <c r="I26" s="128"/>
    </row>
    <row r="27" spans="1:9" ht="17.25" x14ac:dyDescent="0.3">
      <c r="A27" s="285"/>
      <c r="B27" s="285"/>
      <c r="C27" s="286"/>
      <c r="D27" s="294"/>
      <c r="E27" s="142"/>
      <c r="F27" s="293"/>
      <c r="G27" s="126"/>
      <c r="H27" s="127"/>
      <c r="I27" s="128"/>
    </row>
    <row r="28" spans="1:9" ht="17.25" x14ac:dyDescent="0.3">
      <c r="A28" s="285"/>
      <c r="B28" s="285"/>
      <c r="C28" s="286"/>
      <c r="D28" s="294"/>
      <c r="E28" s="143"/>
      <c r="F28" s="295"/>
      <c r="G28" s="126"/>
      <c r="H28" s="127"/>
      <c r="I28" s="128"/>
    </row>
    <row r="29" spans="1:9" ht="15.75" x14ac:dyDescent="0.25">
      <c r="A29" s="144"/>
      <c r="B29" s="145"/>
      <c r="C29" s="69" t="s">
        <v>47</v>
      </c>
      <c r="D29" s="146"/>
      <c r="E29" s="147"/>
      <c r="F29" s="127"/>
      <c r="G29" s="126"/>
      <c r="H29" s="141"/>
      <c r="I29" s="128"/>
    </row>
    <row r="30" spans="1:9" ht="17.25" x14ac:dyDescent="0.3">
      <c r="A30" s="296">
        <v>702123</v>
      </c>
      <c r="B30" s="296" t="s">
        <v>27</v>
      </c>
      <c r="C30" s="151" t="s">
        <v>188</v>
      </c>
      <c r="D30" s="297"/>
      <c r="E30" s="298">
        <v>1</v>
      </c>
      <c r="F30" s="299" t="s">
        <v>23</v>
      </c>
      <c r="G30" s="150"/>
      <c r="H30" s="127"/>
      <c r="I30" s="128"/>
    </row>
    <row r="31" spans="1:9" ht="17.25" x14ac:dyDescent="0.3">
      <c r="A31" s="296"/>
      <c r="B31" s="296"/>
      <c r="C31" s="151"/>
      <c r="D31" s="297"/>
      <c r="E31" s="298"/>
      <c r="F31" s="299"/>
      <c r="G31" s="150"/>
      <c r="H31" s="127"/>
      <c r="I31" s="128"/>
    </row>
    <row r="32" spans="1:9" ht="17.25" x14ac:dyDescent="0.3">
      <c r="A32" s="296"/>
      <c r="B32" s="296"/>
      <c r="C32" s="151"/>
      <c r="D32" s="297"/>
      <c r="E32" s="298"/>
      <c r="F32" s="299"/>
      <c r="G32" s="150"/>
      <c r="H32" s="127"/>
      <c r="I32" s="128"/>
    </row>
    <row r="33" spans="1:9" ht="15.75" x14ac:dyDescent="0.25">
      <c r="A33" s="300"/>
      <c r="B33" s="300"/>
      <c r="C33" s="301"/>
      <c r="D33" s="59"/>
      <c r="E33" s="302"/>
      <c r="F33" s="303"/>
      <c r="G33" s="126"/>
      <c r="H33" s="127"/>
      <c r="I33" s="128"/>
    </row>
    <row r="34" spans="1:9" ht="15.75" x14ac:dyDescent="0.25">
      <c r="A34" s="300"/>
      <c r="B34" s="300"/>
      <c r="C34" s="304"/>
      <c r="D34" s="59"/>
      <c r="E34" s="59"/>
      <c r="F34" s="303"/>
      <c r="G34" s="126"/>
      <c r="H34" s="127"/>
      <c r="I34" s="128"/>
    </row>
    <row r="35" spans="1:9" ht="15.75" x14ac:dyDescent="0.25">
      <c r="A35" s="300"/>
      <c r="B35" s="300"/>
      <c r="C35" s="304"/>
      <c r="D35" s="59"/>
      <c r="E35" s="59"/>
      <c r="F35" s="303"/>
      <c r="G35" s="305"/>
      <c r="H35" s="127"/>
      <c r="I35" s="128"/>
    </row>
    <row r="36" spans="1:9" ht="15.75" x14ac:dyDescent="0.25">
      <c r="A36" s="306"/>
      <c r="B36" s="307"/>
      <c r="C36" s="308"/>
      <c r="D36" s="309"/>
      <c r="E36" s="309"/>
      <c r="F36" s="310"/>
      <c r="G36" s="311"/>
      <c r="H36" s="127"/>
      <c r="I36" s="128"/>
    </row>
    <row r="37" spans="1:9" ht="15.75" x14ac:dyDescent="0.25">
      <c r="A37" s="132"/>
      <c r="B37" s="133"/>
      <c r="C37" s="151"/>
      <c r="D37" s="59"/>
      <c r="E37" s="311"/>
      <c r="F37" s="129"/>
      <c r="G37" s="311"/>
      <c r="H37" s="127"/>
      <c r="I37" s="128"/>
    </row>
    <row r="38" spans="1:9" ht="15.75" x14ac:dyDescent="0.25">
      <c r="A38" s="132"/>
      <c r="B38" s="133"/>
      <c r="C38" s="151"/>
      <c r="D38" s="131"/>
      <c r="E38" s="131"/>
      <c r="F38" s="129"/>
      <c r="G38" s="131"/>
      <c r="H38" s="131"/>
      <c r="I38" s="128"/>
    </row>
    <row r="39" spans="1:9" ht="18" thickBot="1" x14ac:dyDescent="0.35">
      <c r="A39" s="152"/>
      <c r="B39" s="153"/>
      <c r="C39" s="154"/>
      <c r="D39" s="154"/>
      <c r="E39" s="155"/>
      <c r="F39" s="156"/>
      <c r="G39" s="154"/>
      <c r="H39" s="154"/>
      <c r="I39" s="157"/>
    </row>
    <row r="40" spans="1:9" ht="18" thickBot="1" x14ac:dyDescent="0.35">
      <c r="A40" s="158"/>
      <c r="B40" s="159"/>
      <c r="C40" s="160"/>
      <c r="D40" s="161" t="s">
        <v>18</v>
      </c>
      <c r="E40" s="162" t="s">
        <v>30</v>
      </c>
      <c r="F40" s="163"/>
      <c r="G40" s="160"/>
      <c r="H40" s="160"/>
      <c r="I40" s="164"/>
    </row>
    <row r="41" spans="1:9" ht="17.25" x14ac:dyDescent="0.3">
      <c r="A41" s="791" t="s">
        <v>31</v>
      </c>
      <c r="B41" s="792"/>
      <c r="C41" s="793"/>
      <c r="D41" s="142">
        <v>24500</v>
      </c>
      <c r="E41" s="165" t="s">
        <v>21</v>
      </c>
      <c r="F41" s="794" t="s">
        <v>52</v>
      </c>
      <c r="G41" s="794"/>
      <c r="H41" s="795"/>
      <c r="I41" s="796"/>
    </row>
    <row r="42" spans="1:9" ht="17.25" x14ac:dyDescent="0.3">
      <c r="A42" s="797" t="s">
        <v>53</v>
      </c>
      <c r="B42" s="798"/>
      <c r="C42" s="799"/>
      <c r="D42" s="130">
        <v>21</v>
      </c>
      <c r="E42" s="130" t="s">
        <v>32</v>
      </c>
      <c r="F42" s="800" t="s">
        <v>55</v>
      </c>
      <c r="G42" s="800"/>
      <c r="H42" s="801"/>
      <c r="I42" s="802"/>
    </row>
    <row r="43" spans="1:9" ht="17.25" x14ac:dyDescent="0.3">
      <c r="A43" s="797" t="s">
        <v>33</v>
      </c>
      <c r="B43" s="798"/>
      <c r="C43" s="799"/>
      <c r="D43" s="130">
        <v>1</v>
      </c>
      <c r="E43" s="130" t="s">
        <v>23</v>
      </c>
      <c r="F43" s="800" t="s">
        <v>56</v>
      </c>
      <c r="G43" s="800"/>
      <c r="H43" s="801"/>
      <c r="I43" s="802"/>
    </row>
    <row r="44" spans="1:9" ht="17.25" x14ac:dyDescent="0.3">
      <c r="A44" s="797" t="s">
        <v>34</v>
      </c>
      <c r="B44" s="798"/>
      <c r="C44" s="799"/>
      <c r="D44" s="143">
        <v>24500</v>
      </c>
      <c r="E44" s="130" t="s">
        <v>21</v>
      </c>
      <c r="F44" s="807" t="s">
        <v>57</v>
      </c>
      <c r="G44" s="808"/>
      <c r="H44" s="809"/>
      <c r="I44" s="810"/>
    </row>
    <row r="45" spans="1:9" ht="18" thickBot="1" x14ac:dyDescent="0.35">
      <c r="A45" s="811" t="s">
        <v>35</v>
      </c>
      <c r="B45" s="812"/>
      <c r="C45" s="813"/>
      <c r="D45" s="166">
        <v>500</v>
      </c>
      <c r="E45" s="167" t="s">
        <v>21</v>
      </c>
      <c r="F45" s="814"/>
      <c r="G45" s="814"/>
      <c r="H45" s="801"/>
      <c r="I45" s="802"/>
    </row>
    <row r="46" spans="1:9" ht="16.5" thickBot="1" x14ac:dyDescent="0.3">
      <c r="A46" s="815" t="s">
        <v>36</v>
      </c>
      <c r="B46" s="816"/>
      <c r="C46" s="816"/>
      <c r="D46" s="816"/>
      <c r="E46" s="816"/>
      <c r="F46" s="816"/>
      <c r="G46" s="816"/>
      <c r="H46" s="816"/>
      <c r="I46" s="817"/>
    </row>
    <row r="47" spans="1:9" ht="18.399999999999999" customHeight="1" x14ac:dyDescent="0.3">
      <c r="A47" s="803" t="s">
        <v>353</v>
      </c>
      <c r="B47" s="804"/>
      <c r="C47" s="805"/>
      <c r="D47" s="805"/>
      <c r="E47" s="805"/>
      <c r="F47" s="805"/>
      <c r="G47" s="805"/>
      <c r="H47" s="805"/>
      <c r="I47" s="806"/>
    </row>
    <row r="48" spans="1:9" ht="14.65" customHeight="1" x14ac:dyDescent="0.3">
      <c r="A48" s="803" t="s">
        <v>354</v>
      </c>
      <c r="B48" s="804"/>
      <c r="C48" s="805"/>
      <c r="D48" s="805"/>
      <c r="E48" s="805"/>
      <c r="F48" s="805"/>
      <c r="G48" s="805"/>
      <c r="H48" s="805"/>
      <c r="I48" s="806"/>
    </row>
    <row r="49" spans="1:9" ht="14.65" customHeight="1" x14ac:dyDescent="0.3">
      <c r="A49" s="825" t="s">
        <v>355</v>
      </c>
      <c r="B49" s="826"/>
      <c r="C49" s="826"/>
      <c r="D49" s="826"/>
      <c r="E49" s="826"/>
      <c r="F49" s="826"/>
      <c r="G49" s="826"/>
      <c r="H49" s="826"/>
      <c r="I49" s="827"/>
    </row>
    <row r="50" spans="1:9" ht="14.65" customHeight="1" x14ac:dyDescent="0.25">
      <c r="A50" s="828"/>
      <c r="B50" s="829"/>
      <c r="C50" s="829"/>
      <c r="D50" s="829"/>
      <c r="E50" s="829"/>
      <c r="F50" s="829"/>
      <c r="G50" s="829"/>
      <c r="H50" s="829"/>
      <c r="I50" s="830"/>
    </row>
    <row r="51" spans="1:9" ht="14.65" customHeight="1" x14ac:dyDescent="0.25">
      <c r="A51" s="828"/>
      <c r="B51" s="829"/>
      <c r="C51" s="829"/>
      <c r="D51" s="829"/>
      <c r="E51" s="829"/>
      <c r="F51" s="829"/>
      <c r="G51" s="829"/>
      <c r="H51" s="829"/>
      <c r="I51" s="830"/>
    </row>
    <row r="52" spans="1:9" ht="14.65" customHeight="1" thickBot="1" x14ac:dyDescent="0.3">
      <c r="A52" s="831"/>
      <c r="B52" s="832"/>
      <c r="C52" s="832"/>
      <c r="D52" s="832"/>
      <c r="E52" s="832"/>
      <c r="F52" s="832"/>
      <c r="G52" s="832"/>
      <c r="H52" s="832"/>
      <c r="I52" s="833"/>
    </row>
    <row r="53" spans="1:9" ht="18" customHeight="1" x14ac:dyDescent="0.3">
      <c r="A53" s="834"/>
      <c r="B53" s="835"/>
      <c r="C53" s="835"/>
      <c r="D53" s="835"/>
      <c r="E53" s="835"/>
      <c r="F53" s="835"/>
      <c r="G53" s="835"/>
      <c r="H53" s="835"/>
      <c r="I53" s="836"/>
    </row>
    <row r="54" spans="1:9" ht="18" thickBot="1" x14ac:dyDescent="0.35">
      <c r="A54" s="837"/>
      <c r="B54" s="838"/>
      <c r="C54" s="838"/>
      <c r="D54" s="838"/>
      <c r="E54" s="838"/>
      <c r="F54" s="838"/>
      <c r="G54" s="838"/>
      <c r="H54" s="838"/>
      <c r="I54" s="839"/>
    </row>
    <row r="55" spans="1:9" ht="15.75" x14ac:dyDescent="0.25">
      <c r="A55" s="818"/>
      <c r="B55" s="819"/>
      <c r="C55" s="819"/>
      <c r="D55" s="819"/>
      <c r="E55" s="819"/>
      <c r="F55" s="819"/>
      <c r="G55" s="819"/>
      <c r="H55" s="819"/>
      <c r="I55" s="820"/>
    </row>
    <row r="56" spans="1:9" ht="16.5" thickBot="1" x14ac:dyDescent="0.3">
      <c r="A56" s="141"/>
      <c r="B56" s="141"/>
      <c r="C56" s="141"/>
      <c r="D56" s="141"/>
      <c r="E56" s="141"/>
      <c r="F56" s="141"/>
      <c r="G56" s="141"/>
      <c r="H56" s="141"/>
      <c r="I56" s="141"/>
    </row>
    <row r="57" spans="1:9" ht="15.75" x14ac:dyDescent="0.25">
      <c r="A57" s="821" t="s">
        <v>356</v>
      </c>
      <c r="B57" s="822"/>
      <c r="C57" s="822"/>
      <c r="D57" s="822"/>
      <c r="E57" s="822"/>
      <c r="F57" s="822"/>
      <c r="G57" s="822"/>
      <c r="H57" s="822"/>
      <c r="I57" s="822"/>
    </row>
    <row r="58" spans="1:9" ht="17.25" x14ac:dyDescent="0.3">
      <c r="A58" s="823"/>
      <c r="B58" s="824"/>
      <c r="C58" s="824"/>
      <c r="D58" s="824"/>
      <c r="E58" s="824"/>
      <c r="F58" s="824"/>
      <c r="G58" s="824"/>
      <c r="H58" s="824"/>
      <c r="I58" s="824"/>
    </row>
  </sheetData>
  <mergeCells count="44">
    <mergeCell ref="A55:I55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31DA6-D795-4993-BD15-B02502ED2577}">
  <dimension ref="A1:L47"/>
  <sheetViews>
    <sheetView zoomScale="70" zoomScaleNormal="70" workbookViewId="0">
      <selection sqref="A1:XFD1048576"/>
    </sheetView>
  </sheetViews>
  <sheetFormatPr baseColWidth="10" defaultRowHeight="15" x14ac:dyDescent="0.25"/>
  <cols>
    <col min="1" max="1" width="15.140625" bestFit="1" customWidth="1"/>
    <col min="2" max="2" width="14.42578125" bestFit="1" customWidth="1"/>
    <col min="3" max="3" width="50.140625" customWidth="1"/>
    <col min="4" max="4" width="34.28515625" bestFit="1" customWidth="1"/>
    <col min="5" max="5" width="17.140625" customWidth="1"/>
    <col min="6" max="6" width="16.7109375" customWidth="1"/>
    <col min="7" max="7" width="19.140625" customWidth="1"/>
    <col min="8" max="8" width="20.85546875" customWidth="1"/>
    <col min="9" max="9" width="22.7109375" bestFit="1" customWidth="1"/>
  </cols>
  <sheetData>
    <row r="1" spans="1:12" ht="18.75" x14ac:dyDescent="0.25">
      <c r="A1" s="849"/>
      <c r="B1" s="850"/>
      <c r="C1" s="855" t="s">
        <v>0</v>
      </c>
      <c r="D1" s="855"/>
      <c r="E1" s="855"/>
      <c r="F1" s="855"/>
      <c r="G1" s="855"/>
      <c r="H1" s="591" t="s">
        <v>1</v>
      </c>
      <c r="I1" s="592" t="s">
        <v>325</v>
      </c>
    </row>
    <row r="2" spans="1:12" ht="18" customHeight="1" thickBot="1" x14ac:dyDescent="0.3">
      <c r="A2" s="851"/>
      <c r="B2" s="852"/>
      <c r="C2" s="856" t="s">
        <v>2</v>
      </c>
      <c r="D2" s="857"/>
      <c r="E2" s="857"/>
      <c r="F2" s="857"/>
      <c r="G2" s="858"/>
      <c r="H2" s="593" t="s">
        <v>3</v>
      </c>
      <c r="I2" s="594" t="s">
        <v>177</v>
      </c>
    </row>
    <row r="3" spans="1:12" ht="31.5" customHeight="1" thickBot="1" x14ac:dyDescent="0.3">
      <c r="A3" s="851"/>
      <c r="B3" s="852"/>
      <c r="C3" s="859" t="s">
        <v>326</v>
      </c>
      <c r="D3" s="860"/>
      <c r="E3" s="860"/>
      <c r="F3" s="860"/>
      <c r="G3" s="861"/>
      <c r="H3" s="862" t="s">
        <v>4</v>
      </c>
      <c r="I3" s="840">
        <v>45613</v>
      </c>
    </row>
    <row r="4" spans="1:12" ht="18.75" x14ac:dyDescent="0.25">
      <c r="A4" s="851"/>
      <c r="B4" s="852"/>
      <c r="C4" s="595" t="s">
        <v>5</v>
      </c>
      <c r="D4" s="843" t="s">
        <v>327</v>
      </c>
      <c r="E4" s="844"/>
      <c r="F4" s="844"/>
      <c r="G4" s="845"/>
      <c r="H4" s="863"/>
      <c r="I4" s="841"/>
    </row>
    <row r="5" spans="1:12" ht="19.5" thickBot="1" x14ac:dyDescent="0.3">
      <c r="A5" s="853"/>
      <c r="B5" s="854"/>
      <c r="C5" s="596" t="s">
        <v>7</v>
      </c>
      <c r="D5" s="846" t="s">
        <v>39</v>
      </c>
      <c r="E5" s="847"/>
      <c r="F5" s="847"/>
      <c r="G5" s="848"/>
      <c r="H5" s="864"/>
      <c r="I5" s="842"/>
    </row>
    <row r="6" spans="1:12" ht="20.25" thickBot="1" x14ac:dyDescent="0.35">
      <c r="A6" s="865" t="s">
        <v>9</v>
      </c>
      <c r="B6" s="865"/>
      <c r="C6" s="865"/>
      <c r="D6" s="866" t="s">
        <v>74</v>
      </c>
      <c r="E6" s="866"/>
      <c r="F6" s="866"/>
      <c r="G6" s="867" t="s">
        <v>10</v>
      </c>
      <c r="H6" s="867"/>
      <c r="I6" s="597" t="s">
        <v>74</v>
      </c>
    </row>
    <row r="7" spans="1:12" ht="37.5" x14ac:dyDescent="0.25">
      <c r="A7" s="868" t="s">
        <v>12</v>
      </c>
      <c r="B7" s="870" t="s">
        <v>41</v>
      </c>
      <c r="C7" s="872" t="s">
        <v>13</v>
      </c>
      <c r="D7" s="872" t="s">
        <v>14</v>
      </c>
      <c r="E7" s="872" t="s">
        <v>15</v>
      </c>
      <c r="F7" s="872"/>
      <c r="G7" s="872" t="s">
        <v>16</v>
      </c>
      <c r="H7" s="872"/>
      <c r="I7" s="598" t="s">
        <v>17</v>
      </c>
    </row>
    <row r="8" spans="1:12" ht="38.25" thickBot="1" x14ac:dyDescent="0.3">
      <c r="A8" s="869"/>
      <c r="B8" s="871"/>
      <c r="C8" s="873"/>
      <c r="D8" s="873"/>
      <c r="E8" s="599" t="s">
        <v>18</v>
      </c>
      <c r="F8" s="600" t="s">
        <v>19</v>
      </c>
      <c r="G8" s="599" t="s">
        <v>18</v>
      </c>
      <c r="H8" s="600" t="s">
        <v>19</v>
      </c>
      <c r="I8" s="601" t="s">
        <v>20</v>
      </c>
    </row>
    <row r="9" spans="1:12" ht="19.5" x14ac:dyDescent="0.3">
      <c r="A9" s="602"/>
      <c r="B9" s="603"/>
      <c r="C9" s="604" t="s">
        <v>42</v>
      </c>
      <c r="D9" s="605"/>
      <c r="E9" s="606"/>
      <c r="F9" s="607"/>
      <c r="G9" s="606"/>
      <c r="H9" s="607"/>
      <c r="I9" s="608"/>
    </row>
    <row r="10" spans="1:12" ht="19.5" x14ac:dyDescent="0.3">
      <c r="A10" s="609" t="s">
        <v>328</v>
      </c>
      <c r="B10" s="610" t="s">
        <v>329</v>
      </c>
      <c r="C10" s="611" t="s">
        <v>330</v>
      </c>
      <c r="D10" s="612" t="s">
        <v>204</v>
      </c>
      <c r="E10" s="613">
        <v>853</v>
      </c>
      <c r="F10" s="614" t="s">
        <v>21</v>
      </c>
      <c r="G10" s="615"/>
      <c r="H10" s="616"/>
      <c r="I10" s="608"/>
    </row>
    <row r="11" spans="1:12" ht="19.5" x14ac:dyDescent="0.3">
      <c r="A11" s="609" t="s">
        <v>183</v>
      </c>
      <c r="B11" s="617"/>
      <c r="C11" s="618" t="s">
        <v>89</v>
      </c>
      <c r="D11" s="612" t="s">
        <v>45</v>
      </c>
      <c r="E11" s="619">
        <v>158</v>
      </c>
      <c r="F11" s="620" t="s">
        <v>21</v>
      </c>
      <c r="G11" s="615"/>
      <c r="H11" s="616"/>
      <c r="I11" s="608"/>
    </row>
    <row r="12" spans="1:12" ht="20.25" x14ac:dyDescent="0.3">
      <c r="A12" s="621"/>
      <c r="B12" s="621"/>
      <c r="C12" s="622"/>
      <c r="D12" s="623"/>
      <c r="E12" s="623"/>
      <c r="F12" s="615"/>
      <c r="G12" s="621"/>
      <c r="H12" s="616"/>
      <c r="I12" s="608"/>
      <c r="J12" s="624"/>
      <c r="K12" s="624"/>
      <c r="L12" s="624"/>
    </row>
    <row r="13" spans="1:12" ht="20.25" x14ac:dyDescent="0.3">
      <c r="A13" s="625"/>
      <c r="B13" s="625"/>
      <c r="C13" s="626"/>
      <c r="D13" s="621"/>
      <c r="E13" s="621"/>
      <c r="F13" s="627"/>
      <c r="G13" s="621"/>
      <c r="H13" s="616"/>
      <c r="I13" s="608"/>
      <c r="J13" s="624"/>
      <c r="K13" s="624"/>
      <c r="L13" s="624"/>
    </row>
    <row r="14" spans="1:12" ht="20.25" x14ac:dyDescent="0.3">
      <c r="A14" s="628"/>
      <c r="B14" s="625"/>
      <c r="C14" s="629"/>
      <c r="D14" s="621"/>
      <c r="E14" s="621"/>
      <c r="F14" s="627"/>
      <c r="G14" s="621"/>
      <c r="H14" s="616"/>
      <c r="I14" s="608"/>
      <c r="J14" s="624"/>
      <c r="K14" s="624"/>
      <c r="L14" s="624"/>
    </row>
    <row r="15" spans="1:12" ht="20.25" x14ac:dyDescent="0.3">
      <c r="A15" s="630"/>
      <c r="B15" s="630"/>
      <c r="C15" s="631"/>
      <c r="D15" s="632"/>
      <c r="E15" s="633"/>
      <c r="F15" s="634"/>
      <c r="G15" s="606"/>
      <c r="H15" s="616"/>
      <c r="I15" s="608"/>
      <c r="J15" s="624"/>
      <c r="K15" s="624"/>
      <c r="L15" s="624"/>
    </row>
    <row r="16" spans="1:12" ht="20.25" x14ac:dyDescent="0.3">
      <c r="A16" s="635"/>
      <c r="B16" s="636"/>
      <c r="C16" s="637" t="s">
        <v>46</v>
      </c>
      <c r="D16" s="638"/>
      <c r="E16" s="639"/>
      <c r="F16" s="640"/>
      <c r="G16" s="606"/>
      <c r="H16" s="607"/>
      <c r="I16" s="608"/>
      <c r="J16" s="624"/>
      <c r="K16" s="624"/>
      <c r="L16" s="624"/>
    </row>
    <row r="17" spans="1:12" ht="19.5" x14ac:dyDescent="0.3">
      <c r="A17" s="609"/>
      <c r="B17" s="641"/>
      <c r="C17" s="611"/>
      <c r="D17" s="612"/>
      <c r="E17" s="642"/>
      <c r="F17" s="643"/>
      <c r="G17" s="606"/>
      <c r="H17" s="607"/>
      <c r="I17" s="608"/>
    </row>
    <row r="18" spans="1:12" ht="19.5" x14ac:dyDescent="0.3">
      <c r="A18" s="609"/>
      <c r="B18" s="641"/>
      <c r="C18" s="611"/>
      <c r="D18" s="612"/>
      <c r="E18" s="613"/>
      <c r="F18" s="643"/>
      <c r="G18" s="606"/>
      <c r="H18" s="607"/>
      <c r="I18" s="608"/>
    </row>
    <row r="19" spans="1:12" ht="19.5" x14ac:dyDescent="0.3">
      <c r="A19" s="644"/>
      <c r="B19" s="644"/>
      <c r="C19" s="645"/>
      <c r="D19" s="646"/>
      <c r="E19" s="647"/>
      <c r="F19" s="648"/>
      <c r="G19" s="606"/>
      <c r="H19" s="607"/>
      <c r="I19" s="608"/>
    </row>
    <row r="20" spans="1:12" ht="19.5" x14ac:dyDescent="0.3">
      <c r="A20" s="630"/>
      <c r="B20" s="630"/>
      <c r="C20" s="631"/>
      <c r="D20" s="649"/>
      <c r="E20" s="650"/>
      <c r="F20" s="648"/>
      <c r="G20" s="606"/>
      <c r="H20" s="607"/>
      <c r="I20" s="608"/>
    </row>
    <row r="21" spans="1:12" ht="19.5" x14ac:dyDescent="0.3">
      <c r="A21" s="630"/>
      <c r="B21" s="630"/>
      <c r="C21" s="631"/>
      <c r="D21" s="649"/>
      <c r="E21" s="651"/>
      <c r="F21" s="652"/>
      <c r="G21" s="606"/>
      <c r="H21" s="607"/>
      <c r="I21" s="608"/>
    </row>
    <row r="22" spans="1:12" ht="19.5" x14ac:dyDescent="0.3">
      <c r="A22" s="653"/>
      <c r="B22" s="654"/>
      <c r="C22" s="655" t="s">
        <v>47</v>
      </c>
      <c r="D22" s="656"/>
      <c r="E22" s="657"/>
      <c r="F22" s="607"/>
      <c r="G22" s="606"/>
      <c r="H22" s="645"/>
      <c r="I22" s="608"/>
    </row>
    <row r="23" spans="1:12" ht="19.5" x14ac:dyDescent="0.3">
      <c r="A23" s="658" t="s">
        <v>331</v>
      </c>
      <c r="B23" s="658" t="s">
        <v>247</v>
      </c>
      <c r="C23" s="659" t="s">
        <v>248</v>
      </c>
      <c r="D23" s="660" t="s">
        <v>215</v>
      </c>
      <c r="E23" s="661">
        <v>20</v>
      </c>
      <c r="F23" s="662" t="s">
        <v>26</v>
      </c>
      <c r="G23" s="663"/>
      <c r="H23" s="607"/>
      <c r="I23" s="608"/>
    </row>
    <row r="24" spans="1:12" ht="19.5" x14ac:dyDescent="0.3">
      <c r="A24" s="658" t="s">
        <v>332</v>
      </c>
      <c r="B24" s="658" t="s">
        <v>333</v>
      </c>
      <c r="C24" s="659" t="s">
        <v>334</v>
      </c>
      <c r="D24" s="660" t="s">
        <v>28</v>
      </c>
      <c r="E24" s="661">
        <v>1</v>
      </c>
      <c r="F24" s="662" t="s">
        <v>335</v>
      </c>
      <c r="G24" s="663"/>
      <c r="H24" s="607"/>
      <c r="I24" s="608"/>
      <c r="L24" s="11">
        <f>SUM(E10:E11)</f>
        <v>1011</v>
      </c>
    </row>
    <row r="25" spans="1:12" ht="19.5" x14ac:dyDescent="0.3">
      <c r="A25" s="658" t="s">
        <v>336</v>
      </c>
      <c r="B25" s="658" t="s">
        <v>295</v>
      </c>
      <c r="C25" s="659" t="s">
        <v>337</v>
      </c>
      <c r="D25" s="660" t="s">
        <v>49</v>
      </c>
      <c r="E25" s="661">
        <v>1</v>
      </c>
      <c r="F25" s="662" t="s">
        <v>335</v>
      </c>
      <c r="G25" s="663"/>
      <c r="H25" s="607"/>
      <c r="I25" s="608"/>
    </row>
    <row r="26" spans="1:12" ht="19.5" x14ac:dyDescent="0.3">
      <c r="A26" s="664"/>
      <c r="B26" s="664"/>
      <c r="C26" s="665"/>
      <c r="D26" s="666"/>
      <c r="E26" s="667"/>
      <c r="F26" s="668"/>
      <c r="G26" s="606"/>
      <c r="H26" s="607"/>
      <c r="I26" s="608"/>
    </row>
    <row r="27" spans="1:12" ht="19.5" x14ac:dyDescent="0.3">
      <c r="A27" s="664"/>
      <c r="B27" s="664"/>
      <c r="C27" s="669"/>
      <c r="D27" s="666"/>
      <c r="E27" s="666"/>
      <c r="F27" s="668"/>
      <c r="G27" s="606"/>
      <c r="H27" s="607"/>
      <c r="I27" s="608"/>
    </row>
    <row r="28" spans="1:12" ht="19.5" x14ac:dyDescent="0.3">
      <c r="A28" s="664"/>
      <c r="B28" s="664"/>
      <c r="C28" s="669"/>
      <c r="D28" s="666"/>
      <c r="E28" s="666"/>
      <c r="F28" s="668"/>
      <c r="G28" s="670"/>
      <c r="H28" s="607"/>
      <c r="I28" s="608"/>
    </row>
    <row r="29" spans="1:12" ht="19.5" thickBot="1" x14ac:dyDescent="0.3">
      <c r="A29" s="671"/>
      <c r="B29" s="672"/>
      <c r="C29" s="673"/>
      <c r="D29" s="673"/>
      <c r="E29" s="674"/>
      <c r="F29" s="675"/>
      <c r="G29" s="673"/>
      <c r="H29" s="673"/>
      <c r="I29" s="676"/>
    </row>
    <row r="30" spans="1:12" ht="19.5" thickBot="1" x14ac:dyDescent="0.3">
      <c r="A30" s="677"/>
      <c r="B30" s="678"/>
      <c r="C30" s="679"/>
      <c r="D30" s="680" t="s">
        <v>18</v>
      </c>
      <c r="E30" s="681" t="s">
        <v>30</v>
      </c>
      <c r="F30" s="682"/>
      <c r="G30" s="679"/>
      <c r="H30" s="679"/>
      <c r="I30" s="683"/>
    </row>
    <row r="31" spans="1:12" ht="18.75" x14ac:dyDescent="0.25">
      <c r="A31" s="874" t="s">
        <v>31</v>
      </c>
      <c r="B31" s="875"/>
      <c r="C31" s="876"/>
      <c r="D31" s="650">
        <v>1000</v>
      </c>
      <c r="E31" s="684" t="s">
        <v>21</v>
      </c>
      <c r="F31" s="877" t="s">
        <v>52</v>
      </c>
      <c r="G31" s="877"/>
      <c r="H31" s="878"/>
      <c r="I31" s="879"/>
    </row>
    <row r="32" spans="1:12" ht="18.75" x14ac:dyDescent="0.25">
      <c r="A32" s="880" t="s">
        <v>53</v>
      </c>
      <c r="B32" s="881"/>
      <c r="C32" s="882"/>
      <c r="D32" s="621">
        <v>3</v>
      </c>
      <c r="E32" s="621" t="s">
        <v>228</v>
      </c>
      <c r="F32" s="883" t="s">
        <v>55</v>
      </c>
      <c r="G32" s="883"/>
      <c r="H32" s="884"/>
      <c r="I32" s="885"/>
    </row>
    <row r="33" spans="1:9" ht="18.75" x14ac:dyDescent="0.25">
      <c r="A33" s="880" t="s">
        <v>33</v>
      </c>
      <c r="B33" s="881"/>
      <c r="C33" s="882"/>
      <c r="D33" s="621">
        <v>1</v>
      </c>
      <c r="E33" s="621" t="s">
        <v>169</v>
      </c>
      <c r="F33" s="883" t="s">
        <v>56</v>
      </c>
      <c r="G33" s="883"/>
      <c r="H33" s="884"/>
      <c r="I33" s="885"/>
    </row>
    <row r="34" spans="1:9" ht="18.75" x14ac:dyDescent="0.25">
      <c r="A34" s="880" t="s">
        <v>34</v>
      </c>
      <c r="B34" s="881"/>
      <c r="C34" s="882"/>
      <c r="D34" s="651">
        <v>1000</v>
      </c>
      <c r="E34" s="621" t="s">
        <v>21</v>
      </c>
      <c r="F34" s="890" t="s">
        <v>57</v>
      </c>
      <c r="G34" s="891"/>
      <c r="H34" s="892"/>
      <c r="I34" s="893"/>
    </row>
    <row r="35" spans="1:9" ht="19.5" thickBot="1" x14ac:dyDescent="0.3">
      <c r="A35" s="894" t="s">
        <v>35</v>
      </c>
      <c r="B35" s="895"/>
      <c r="C35" s="896"/>
      <c r="D35" s="685">
        <f>SUM(E10:E11)-D31</f>
        <v>11</v>
      </c>
      <c r="E35" s="686" t="s">
        <v>21</v>
      </c>
      <c r="F35" s="897"/>
      <c r="G35" s="897"/>
      <c r="H35" s="884"/>
      <c r="I35" s="885"/>
    </row>
    <row r="36" spans="1:9" ht="19.5" thickBot="1" x14ac:dyDescent="0.3">
      <c r="A36" s="898" t="s">
        <v>36</v>
      </c>
      <c r="B36" s="899"/>
      <c r="C36" s="899"/>
      <c r="D36" s="899"/>
      <c r="E36" s="899"/>
      <c r="F36" s="899"/>
      <c r="G36" s="899"/>
      <c r="H36" s="899"/>
      <c r="I36" s="900"/>
    </row>
    <row r="37" spans="1:9" ht="18.75" x14ac:dyDescent="0.25">
      <c r="A37" s="886" t="s">
        <v>338</v>
      </c>
      <c r="B37" s="887"/>
      <c r="C37" s="888"/>
      <c r="D37" s="888"/>
      <c r="E37" s="888"/>
      <c r="F37" s="888"/>
      <c r="G37" s="888"/>
      <c r="H37" s="888"/>
      <c r="I37" s="889"/>
    </row>
    <row r="38" spans="1:9" ht="18.75" x14ac:dyDescent="0.25">
      <c r="A38" s="886" t="s">
        <v>339</v>
      </c>
      <c r="B38" s="887"/>
      <c r="C38" s="888"/>
      <c r="D38" s="888"/>
      <c r="E38" s="888"/>
      <c r="F38" s="888"/>
      <c r="G38" s="888"/>
      <c r="H38" s="888"/>
      <c r="I38" s="889"/>
    </row>
    <row r="39" spans="1:9" ht="18.75" x14ac:dyDescent="0.25">
      <c r="A39" s="886" t="s">
        <v>340</v>
      </c>
      <c r="B39" s="887"/>
      <c r="C39" s="888"/>
      <c r="D39" s="888"/>
      <c r="E39" s="888"/>
      <c r="F39" s="888"/>
      <c r="G39" s="888"/>
      <c r="H39" s="888"/>
      <c r="I39" s="889"/>
    </row>
    <row r="40" spans="1:9" ht="18.75" x14ac:dyDescent="0.25">
      <c r="A40" s="902" t="s">
        <v>341</v>
      </c>
      <c r="B40" s="903"/>
      <c r="C40" s="904"/>
      <c r="D40" s="904"/>
      <c r="E40" s="904"/>
      <c r="F40" s="904"/>
      <c r="G40" s="904"/>
      <c r="H40" s="904"/>
      <c r="I40" s="905"/>
    </row>
    <row r="41" spans="1:9" ht="14.65" customHeight="1" x14ac:dyDescent="0.25">
      <c r="A41" s="906"/>
      <c r="B41" s="907"/>
      <c r="C41" s="908"/>
      <c r="D41" s="908"/>
      <c r="E41" s="908"/>
      <c r="F41" s="908"/>
      <c r="G41" s="908"/>
      <c r="H41" s="908"/>
      <c r="I41" s="909"/>
    </row>
    <row r="42" spans="1:9" ht="14.65" customHeight="1" thickBot="1" x14ac:dyDescent="0.3">
      <c r="A42" s="910"/>
      <c r="B42" s="911"/>
      <c r="C42" s="912"/>
      <c r="D42" s="912"/>
      <c r="E42" s="912"/>
      <c r="F42" s="912"/>
      <c r="G42" s="912"/>
      <c r="H42" s="912"/>
      <c r="I42" s="913"/>
    </row>
    <row r="43" spans="1:9" ht="18.75" x14ac:dyDescent="0.25">
      <c r="A43" s="914" t="s">
        <v>37</v>
      </c>
      <c r="B43" s="915"/>
      <c r="C43" s="915"/>
      <c r="D43" s="915"/>
      <c r="E43" s="915"/>
      <c r="F43" s="915"/>
      <c r="G43" s="915"/>
      <c r="H43" s="915"/>
      <c r="I43" s="915"/>
    </row>
    <row r="44" spans="1:9" ht="18.75" x14ac:dyDescent="0.25">
      <c r="A44" s="846" t="s">
        <v>342</v>
      </c>
      <c r="B44" s="847"/>
      <c r="C44" s="847"/>
      <c r="D44" s="847"/>
      <c r="E44" s="847"/>
      <c r="F44" s="847"/>
      <c r="G44" s="847"/>
      <c r="H44" s="847"/>
      <c r="I44" s="848"/>
    </row>
    <row r="45" spans="1:9" ht="18.75" x14ac:dyDescent="0.25">
      <c r="A45" s="901" t="s">
        <v>343</v>
      </c>
      <c r="B45" s="901"/>
      <c r="C45" s="901"/>
      <c r="D45" s="901"/>
      <c r="E45" s="901"/>
      <c r="F45" s="901"/>
      <c r="G45" s="901"/>
      <c r="H45" s="901"/>
      <c r="I45" s="901"/>
    </row>
    <row r="46" spans="1:9" ht="18.75" x14ac:dyDescent="0.25">
      <c r="A46" s="901" t="s">
        <v>344</v>
      </c>
      <c r="B46" s="901"/>
      <c r="C46" s="901"/>
      <c r="D46" s="901"/>
      <c r="E46" s="901"/>
      <c r="F46" s="901"/>
      <c r="G46" s="901"/>
      <c r="H46" s="901"/>
      <c r="I46" s="901"/>
    </row>
    <row r="47" spans="1:9" ht="18.75" x14ac:dyDescent="0.25">
      <c r="A47" s="901"/>
      <c r="B47" s="901"/>
      <c r="C47" s="901"/>
      <c r="D47" s="901"/>
      <c r="E47" s="901"/>
      <c r="F47" s="901"/>
      <c r="G47" s="901"/>
      <c r="H47" s="901"/>
      <c r="I47" s="901"/>
    </row>
  </sheetData>
  <mergeCells count="44">
    <mergeCell ref="A45:I45"/>
    <mergeCell ref="A46:I46"/>
    <mergeCell ref="A47:I47"/>
    <mergeCell ref="A39:I39"/>
    <mergeCell ref="A40:I40"/>
    <mergeCell ref="A41:I41"/>
    <mergeCell ref="A42:I42"/>
    <mergeCell ref="A43:I43"/>
    <mergeCell ref="A44:I44"/>
    <mergeCell ref="A38:I38"/>
    <mergeCell ref="A33:C33"/>
    <mergeCell ref="F33:G33"/>
    <mergeCell ref="H33:I33"/>
    <mergeCell ref="A34:C34"/>
    <mergeCell ref="F34:G34"/>
    <mergeCell ref="H34:I34"/>
    <mergeCell ref="A35:C35"/>
    <mergeCell ref="F35:G35"/>
    <mergeCell ref="H35:I35"/>
    <mergeCell ref="A36:I36"/>
    <mergeCell ref="A37:I37"/>
    <mergeCell ref="A31:C31"/>
    <mergeCell ref="F31:G31"/>
    <mergeCell ref="H31:I31"/>
    <mergeCell ref="A32:C32"/>
    <mergeCell ref="F32:G32"/>
    <mergeCell ref="H32:I3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E040B-FBA2-48E9-ABCA-43AF47D88F65}">
  <dimension ref="A1:M53"/>
  <sheetViews>
    <sheetView zoomScale="85" zoomScaleNormal="85"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8.7109375" bestFit="1" customWidth="1"/>
  </cols>
  <sheetData>
    <row r="1" spans="1:9" ht="15.75" x14ac:dyDescent="0.25">
      <c r="A1" s="925"/>
      <c r="B1" s="926"/>
      <c r="C1" s="772" t="s">
        <v>0</v>
      </c>
      <c r="D1" s="772"/>
      <c r="E1" s="772"/>
      <c r="F1" s="772"/>
      <c r="G1" s="772"/>
      <c r="H1" s="33" t="s">
        <v>1</v>
      </c>
      <c r="I1" s="34" t="s">
        <v>301</v>
      </c>
    </row>
    <row r="2" spans="1:9" ht="16.5" thickBot="1" x14ac:dyDescent="0.3">
      <c r="A2" s="927"/>
      <c r="B2" s="928"/>
      <c r="C2" s="931" t="s">
        <v>2</v>
      </c>
      <c r="D2" s="931"/>
      <c r="E2" s="931"/>
      <c r="F2" s="931"/>
      <c r="G2" s="931"/>
      <c r="H2" s="35" t="s">
        <v>3</v>
      </c>
      <c r="I2" s="36" t="s">
        <v>222</v>
      </c>
    </row>
    <row r="3" spans="1:9" ht="15.95" customHeight="1" thickBot="1" x14ac:dyDescent="0.3">
      <c r="A3" s="927"/>
      <c r="B3" s="928"/>
      <c r="C3" s="932" t="s">
        <v>302</v>
      </c>
      <c r="D3" s="933"/>
      <c r="E3" s="933"/>
      <c r="F3" s="933"/>
      <c r="G3" s="934"/>
      <c r="H3" s="935" t="s">
        <v>4</v>
      </c>
      <c r="I3" s="916">
        <v>45610</v>
      </c>
    </row>
    <row r="4" spans="1:9" ht="18" customHeight="1" x14ac:dyDescent="0.25">
      <c r="A4" s="927"/>
      <c r="B4" s="928"/>
      <c r="C4" s="37" t="s">
        <v>5</v>
      </c>
      <c r="D4" s="919" t="s">
        <v>38</v>
      </c>
      <c r="E4" s="920"/>
      <c r="F4" s="920"/>
      <c r="G4" s="921"/>
      <c r="H4" s="936"/>
      <c r="I4" s="917"/>
    </row>
    <row r="5" spans="1:9" ht="15.75" thickBot="1" x14ac:dyDescent="0.3">
      <c r="A5" s="929"/>
      <c r="B5" s="930"/>
      <c r="C5" s="38" t="s">
        <v>7</v>
      </c>
      <c r="D5" s="922" t="s">
        <v>39</v>
      </c>
      <c r="E5" s="923"/>
      <c r="F5" s="923"/>
      <c r="G5" s="924"/>
      <c r="H5" s="937"/>
      <c r="I5" s="918"/>
    </row>
    <row r="6" spans="1:9" ht="18.75" thickBot="1" x14ac:dyDescent="0.3">
      <c r="A6" s="938" t="s">
        <v>9</v>
      </c>
      <c r="B6" s="938"/>
      <c r="C6" s="938"/>
      <c r="D6" s="939" t="s">
        <v>236</v>
      </c>
      <c r="E6" s="939"/>
      <c r="F6" s="939"/>
      <c r="G6" s="940" t="s">
        <v>10</v>
      </c>
      <c r="H6" s="940"/>
      <c r="I6" s="39" t="s">
        <v>236</v>
      </c>
    </row>
    <row r="7" spans="1:9" x14ac:dyDescent="0.25">
      <c r="A7" s="941" t="s">
        <v>12</v>
      </c>
      <c r="B7" s="943" t="s">
        <v>41</v>
      </c>
      <c r="C7" s="945" t="s">
        <v>13</v>
      </c>
      <c r="D7" s="945" t="s">
        <v>14</v>
      </c>
      <c r="E7" s="945" t="s">
        <v>15</v>
      </c>
      <c r="F7" s="945"/>
      <c r="G7" s="945" t="s">
        <v>16</v>
      </c>
      <c r="H7" s="945"/>
      <c r="I7" s="40" t="s">
        <v>17</v>
      </c>
    </row>
    <row r="8" spans="1:9" ht="27" thickBot="1" x14ac:dyDescent="0.3">
      <c r="A8" s="942"/>
      <c r="B8" s="944"/>
      <c r="C8" s="946"/>
      <c r="D8" s="946"/>
      <c r="E8" s="41" t="s">
        <v>18</v>
      </c>
      <c r="F8" s="42" t="s">
        <v>19</v>
      </c>
      <c r="G8" s="41" t="s">
        <v>18</v>
      </c>
      <c r="H8" s="42" t="s">
        <v>19</v>
      </c>
      <c r="I8" s="43" t="s">
        <v>20</v>
      </c>
    </row>
    <row r="9" spans="1:9" x14ac:dyDescent="0.25">
      <c r="A9" s="44"/>
      <c r="B9" s="45"/>
      <c r="C9" s="46" t="s">
        <v>42</v>
      </c>
      <c r="D9" s="47"/>
      <c r="E9" s="48"/>
      <c r="F9" s="49"/>
      <c r="G9" s="48"/>
      <c r="H9" s="49"/>
      <c r="I9" s="50"/>
    </row>
    <row r="10" spans="1:9" x14ac:dyDescent="0.25">
      <c r="A10" s="460" t="s">
        <v>303</v>
      </c>
      <c r="B10" s="460" t="s">
        <v>304</v>
      </c>
      <c r="C10" s="461" t="s">
        <v>305</v>
      </c>
      <c r="D10" s="457" t="s">
        <v>45</v>
      </c>
      <c r="E10" s="60">
        <v>4000</v>
      </c>
      <c r="F10" s="459" t="s">
        <v>21</v>
      </c>
      <c r="G10" s="458"/>
      <c r="H10" s="528"/>
      <c r="I10" s="50"/>
    </row>
    <row r="11" spans="1:9" x14ac:dyDescent="0.25">
      <c r="A11" s="529"/>
      <c r="B11" s="529"/>
      <c r="C11" s="530"/>
      <c r="D11" s="464"/>
      <c r="E11" s="531"/>
      <c r="F11" s="77"/>
      <c r="G11" s="532"/>
      <c r="H11" s="528"/>
      <c r="I11" s="50"/>
    </row>
    <row r="12" spans="1:9" x14ac:dyDescent="0.25">
      <c r="A12" s="533"/>
      <c r="B12" s="52"/>
      <c r="C12" s="3"/>
      <c r="D12" s="110"/>
      <c r="E12" s="110"/>
      <c r="F12" s="110"/>
      <c r="G12" s="532"/>
      <c r="H12" s="534"/>
      <c r="I12" s="50"/>
    </row>
    <row r="13" spans="1:9" x14ac:dyDescent="0.25">
      <c r="A13" s="533"/>
      <c r="B13" s="52"/>
      <c r="C13" s="3"/>
      <c r="D13" s="110"/>
      <c r="E13" s="110"/>
      <c r="F13" s="110"/>
      <c r="G13" s="532"/>
      <c r="H13" s="534"/>
      <c r="I13" s="50"/>
    </row>
    <row r="14" spans="1:9" x14ac:dyDescent="0.25">
      <c r="A14" s="533"/>
      <c r="B14" s="52"/>
      <c r="C14" s="525"/>
      <c r="D14" s="110"/>
      <c r="E14" s="110"/>
      <c r="F14" s="110"/>
      <c r="G14" s="532"/>
      <c r="H14" s="534"/>
      <c r="I14" s="50"/>
    </row>
    <row r="15" spans="1:9" x14ac:dyDescent="0.25">
      <c r="A15" s="533"/>
      <c r="B15" s="52"/>
      <c r="C15" s="3"/>
      <c r="D15" s="110"/>
      <c r="E15" s="110"/>
      <c r="F15" s="110"/>
      <c r="G15" s="532"/>
      <c r="H15" s="534"/>
      <c r="I15" s="50"/>
    </row>
    <row r="16" spans="1:9" x14ac:dyDescent="0.25">
      <c r="A16" s="533"/>
      <c r="B16" s="52"/>
      <c r="C16" s="3"/>
      <c r="D16" s="110"/>
      <c r="E16" s="110"/>
      <c r="F16" s="110"/>
      <c r="G16" s="532"/>
      <c r="H16" s="534"/>
      <c r="I16" s="50"/>
    </row>
    <row r="17" spans="1:9" x14ac:dyDescent="0.25">
      <c r="A17" s="52"/>
      <c r="B17" s="52"/>
      <c r="C17" s="168"/>
      <c r="D17" s="84"/>
      <c r="E17" s="84"/>
      <c r="F17" s="65"/>
      <c r="G17" s="48"/>
      <c r="H17" s="49"/>
      <c r="I17" s="50"/>
    </row>
    <row r="18" spans="1:9" ht="15.75" x14ac:dyDescent="0.25">
      <c r="A18" s="61"/>
      <c r="B18" s="62"/>
      <c r="C18" s="63" t="s">
        <v>46</v>
      </c>
      <c r="D18" s="442"/>
      <c r="E18" s="443"/>
      <c r="F18" s="65"/>
      <c r="G18" s="48"/>
      <c r="H18" s="49"/>
      <c r="I18" s="50"/>
    </row>
    <row r="19" spans="1:9" x14ac:dyDescent="0.25">
      <c r="A19" s="535"/>
      <c r="B19" s="110"/>
      <c r="C19" s="536"/>
      <c r="D19" s="537"/>
      <c r="E19" s="84"/>
      <c r="F19" s="65"/>
      <c r="G19" s="48"/>
      <c r="H19" s="49"/>
      <c r="I19" s="50"/>
    </row>
    <row r="20" spans="1:9" x14ac:dyDescent="0.25">
      <c r="A20" s="52"/>
      <c r="B20" s="52"/>
      <c r="C20" s="168"/>
      <c r="D20" s="537"/>
      <c r="E20" s="84"/>
      <c r="F20" s="65"/>
      <c r="G20" s="48"/>
      <c r="H20" s="49"/>
      <c r="I20" s="50"/>
    </row>
    <row r="21" spans="1:9" x14ac:dyDescent="0.25">
      <c r="A21" s="538"/>
      <c r="B21" s="538"/>
      <c r="C21" s="536"/>
      <c r="D21" s="537"/>
      <c r="E21" s="84"/>
      <c r="F21" s="65"/>
      <c r="G21" s="48"/>
      <c r="H21" s="49"/>
      <c r="I21" s="50"/>
    </row>
    <row r="22" spans="1:9" x14ac:dyDescent="0.25">
      <c r="A22" s="52"/>
      <c r="B22" s="52"/>
      <c r="C22" s="168"/>
      <c r="D22" s="84"/>
      <c r="E22" s="442"/>
      <c r="F22" s="65"/>
      <c r="G22" s="48"/>
      <c r="H22" s="49"/>
      <c r="I22" s="50"/>
    </row>
    <row r="23" spans="1:9" x14ac:dyDescent="0.25">
      <c r="A23" s="52"/>
      <c r="B23" s="52"/>
      <c r="C23" s="168"/>
      <c r="D23" s="464"/>
      <c r="E23" s="539"/>
      <c r="F23" s="540"/>
      <c r="G23" s="48"/>
      <c r="H23" s="49"/>
      <c r="I23" s="50"/>
    </row>
    <row r="24" spans="1:9" ht="15.75" x14ac:dyDescent="0.25">
      <c r="A24" s="67"/>
      <c r="B24" s="68"/>
      <c r="C24" s="69" t="s">
        <v>47</v>
      </c>
      <c r="D24" s="70"/>
      <c r="E24" s="71"/>
      <c r="F24" s="49"/>
      <c r="G24" s="48"/>
      <c r="I24" s="50"/>
    </row>
    <row r="25" spans="1:9" x14ac:dyDescent="0.25">
      <c r="A25" s="82">
        <v>51600050</v>
      </c>
      <c r="B25" s="82" t="s">
        <v>306</v>
      </c>
      <c r="C25" s="83" t="s">
        <v>307</v>
      </c>
      <c r="D25" s="541"/>
      <c r="E25" s="458">
        <v>1</v>
      </c>
      <c r="F25" s="542" t="s">
        <v>23</v>
      </c>
      <c r="G25" s="78"/>
      <c r="H25" s="49"/>
      <c r="I25" s="50"/>
    </row>
    <row r="26" spans="1:9" x14ac:dyDescent="0.25">
      <c r="A26" s="82">
        <v>702123</v>
      </c>
      <c r="B26" s="82" t="s">
        <v>27</v>
      </c>
      <c r="C26" s="83" t="s">
        <v>188</v>
      </c>
      <c r="D26" s="464" t="s">
        <v>28</v>
      </c>
      <c r="E26" s="66">
        <v>1</v>
      </c>
      <c r="F26" s="542" t="s">
        <v>23</v>
      </c>
      <c r="G26" s="78"/>
      <c r="H26" s="49"/>
      <c r="I26" s="50"/>
    </row>
    <row r="27" spans="1:9" x14ac:dyDescent="0.25">
      <c r="A27" s="543"/>
      <c r="B27" s="544"/>
      <c r="C27" s="545"/>
      <c r="D27" s="464"/>
      <c r="E27" s="76"/>
      <c r="F27" s="77"/>
      <c r="G27" s="78"/>
      <c r="H27" s="49"/>
      <c r="I27" s="50"/>
    </row>
    <row r="28" spans="1:9" x14ac:dyDescent="0.25">
      <c r="A28" s="546"/>
      <c r="B28" s="547"/>
      <c r="C28" s="548"/>
      <c r="D28" s="549"/>
      <c r="E28" s="550"/>
      <c r="F28" s="551"/>
      <c r="G28" s="48"/>
      <c r="H28" s="552"/>
      <c r="I28" s="50"/>
    </row>
    <row r="29" spans="1:9" x14ac:dyDescent="0.25">
      <c r="A29" s="553"/>
      <c r="B29" s="554"/>
      <c r="C29" s="555"/>
      <c r="D29" s="556"/>
      <c r="E29" s="453"/>
      <c r="F29" s="557"/>
      <c r="G29" s="48"/>
      <c r="H29" s="49"/>
      <c r="I29" s="50"/>
    </row>
    <row r="30" spans="1:9" x14ac:dyDescent="0.25">
      <c r="A30" s="558"/>
      <c r="B30" s="559"/>
      <c r="C30" s="560"/>
      <c r="D30" s="75"/>
      <c r="E30" s="84"/>
      <c r="F30" s="65"/>
      <c r="G30" s="465"/>
      <c r="H30" s="442"/>
      <c r="I30" s="50"/>
    </row>
    <row r="31" spans="1:9" x14ac:dyDescent="0.25">
      <c r="A31" s="61"/>
      <c r="B31" s="62"/>
      <c r="C31" s="468"/>
      <c r="D31" s="75"/>
      <c r="E31" s="84"/>
      <c r="F31" s="65"/>
      <c r="G31" s="84"/>
      <c r="H31" s="442"/>
      <c r="I31" s="50"/>
    </row>
    <row r="32" spans="1:9" ht="15.75" x14ac:dyDescent="0.25">
      <c r="A32" s="61"/>
      <c r="B32" s="62"/>
      <c r="C32" s="468"/>
      <c r="D32" s="75"/>
      <c r="E32" s="84"/>
      <c r="F32" s="65"/>
      <c r="G32" s="311"/>
      <c r="H32" s="65"/>
      <c r="I32" s="50"/>
    </row>
    <row r="33" spans="1:13" ht="15.75" x14ac:dyDescent="0.25">
      <c r="A33" s="61"/>
      <c r="B33" s="62"/>
      <c r="C33" s="468"/>
      <c r="D33" s="442"/>
      <c r="E33" s="442"/>
      <c r="F33" s="65"/>
      <c r="G33" s="131"/>
      <c r="H33" s="131"/>
      <c r="I33" s="50"/>
    </row>
    <row r="34" spans="1:13" ht="15.75" thickBot="1" x14ac:dyDescent="0.3">
      <c r="A34" s="85"/>
      <c r="B34" s="86"/>
      <c r="C34" s="87"/>
      <c r="D34" s="87"/>
      <c r="E34" s="88"/>
      <c r="F34" s="89"/>
      <c r="G34" s="87"/>
      <c r="H34" s="87"/>
      <c r="I34" s="90"/>
      <c r="J34" s="13"/>
      <c r="K34" s="13"/>
      <c r="L34" s="506"/>
      <c r="M34" s="13"/>
    </row>
    <row r="35" spans="1:13" ht="15.75" thickBot="1" x14ac:dyDescent="0.3">
      <c r="A35" s="91"/>
      <c r="B35" s="92"/>
      <c r="C35" s="93"/>
      <c r="D35" s="94" t="s">
        <v>18</v>
      </c>
      <c r="E35" s="95" t="s">
        <v>30</v>
      </c>
      <c r="F35" s="96"/>
      <c r="G35" s="93"/>
      <c r="H35" s="93"/>
      <c r="I35" s="97"/>
      <c r="J35" s="13"/>
      <c r="K35" s="13"/>
      <c r="L35" s="506"/>
      <c r="M35" s="13"/>
    </row>
    <row r="36" spans="1:13" x14ac:dyDescent="0.25">
      <c r="A36" s="947" t="s">
        <v>31</v>
      </c>
      <c r="B36" s="948"/>
      <c r="C36" s="949"/>
      <c r="D36" s="561">
        <v>4000</v>
      </c>
      <c r="E36" s="562" t="s">
        <v>21</v>
      </c>
      <c r="F36" s="950" t="s">
        <v>52</v>
      </c>
      <c r="G36" s="950"/>
      <c r="H36" s="951"/>
      <c r="I36" s="952"/>
      <c r="J36" s="13"/>
      <c r="K36" s="13"/>
      <c r="L36" s="506"/>
      <c r="M36" s="13"/>
    </row>
    <row r="37" spans="1:13" x14ac:dyDescent="0.25">
      <c r="A37" s="953" t="s">
        <v>53</v>
      </c>
      <c r="B37" s="954"/>
      <c r="C37" s="955"/>
      <c r="D37" s="563">
        <v>1.5</v>
      </c>
      <c r="E37" s="170" t="s">
        <v>216</v>
      </c>
      <c r="F37" s="956" t="s">
        <v>55</v>
      </c>
      <c r="G37" s="956"/>
      <c r="H37" s="957"/>
      <c r="I37" s="958"/>
      <c r="J37" s="13"/>
      <c r="K37" s="13"/>
      <c r="L37" s="506"/>
      <c r="M37" s="13"/>
    </row>
    <row r="38" spans="1:13" x14ac:dyDescent="0.25">
      <c r="A38" s="953" t="s">
        <v>33</v>
      </c>
      <c r="B38" s="954"/>
      <c r="C38" s="955"/>
      <c r="D38" s="170">
        <v>1</v>
      </c>
      <c r="E38" s="170" t="s">
        <v>308</v>
      </c>
      <c r="F38" s="956" t="s">
        <v>56</v>
      </c>
      <c r="G38" s="956"/>
      <c r="H38" s="957"/>
      <c r="I38" s="958"/>
      <c r="J38" s="13"/>
      <c r="K38" s="13"/>
      <c r="L38" s="506"/>
      <c r="M38" s="13"/>
    </row>
    <row r="39" spans="1:13" x14ac:dyDescent="0.25">
      <c r="A39" s="953" t="s">
        <v>34</v>
      </c>
      <c r="B39" s="954"/>
      <c r="C39" s="955"/>
      <c r="D39" s="564">
        <v>4000</v>
      </c>
      <c r="E39" s="170" t="s">
        <v>21</v>
      </c>
      <c r="F39" s="962" t="s">
        <v>57</v>
      </c>
      <c r="G39" s="963"/>
      <c r="H39" s="957"/>
      <c r="I39" s="958"/>
      <c r="J39" s="13"/>
      <c r="K39" s="13"/>
      <c r="L39" s="506"/>
      <c r="M39" s="510"/>
    </row>
    <row r="40" spans="1:13" ht="15.75" thickBot="1" x14ac:dyDescent="0.3">
      <c r="A40" s="964" t="s">
        <v>35</v>
      </c>
      <c r="B40" s="965"/>
      <c r="C40" s="966"/>
      <c r="D40" s="565">
        <v>0</v>
      </c>
      <c r="E40" s="566" t="s">
        <v>21</v>
      </c>
      <c r="F40" s="967"/>
      <c r="G40" s="967"/>
      <c r="H40" s="968"/>
      <c r="I40" s="969"/>
      <c r="J40" s="87"/>
      <c r="K40" s="87"/>
      <c r="L40" s="506"/>
      <c r="M40" s="87"/>
    </row>
    <row r="41" spans="1:13" ht="15.75" thickBot="1" x14ac:dyDescent="0.3">
      <c r="A41" s="970" t="s">
        <v>36</v>
      </c>
      <c r="B41" s="971"/>
      <c r="C41" s="971"/>
      <c r="D41" s="971"/>
      <c r="E41" s="971"/>
      <c r="F41" s="971"/>
      <c r="G41" s="971"/>
      <c r="H41" s="971"/>
      <c r="I41" s="972"/>
      <c r="J41" s="13"/>
      <c r="K41" s="13"/>
      <c r="L41" s="13"/>
      <c r="M41" s="13"/>
    </row>
    <row r="42" spans="1:13" ht="18.600000000000001" customHeight="1" x14ac:dyDescent="0.25">
      <c r="A42" s="959" t="s">
        <v>309</v>
      </c>
      <c r="B42" s="960"/>
      <c r="C42" s="960"/>
      <c r="D42" s="960"/>
      <c r="E42" s="960"/>
      <c r="F42" s="960"/>
      <c r="G42" s="960"/>
      <c r="H42" s="960"/>
      <c r="I42" s="961"/>
      <c r="J42" s="13"/>
      <c r="K42" s="13"/>
      <c r="L42" s="13"/>
      <c r="M42" s="13"/>
    </row>
    <row r="43" spans="1:13" ht="14.45" customHeight="1" x14ac:dyDescent="0.25">
      <c r="A43" s="959" t="s">
        <v>310</v>
      </c>
      <c r="B43" s="960"/>
      <c r="C43" s="960"/>
      <c r="D43" s="960"/>
      <c r="E43" s="960"/>
      <c r="F43" s="960"/>
      <c r="G43" s="960"/>
      <c r="H43" s="960"/>
      <c r="I43" s="961"/>
      <c r="J43" s="13"/>
      <c r="K43" s="13"/>
      <c r="L43" s="13"/>
      <c r="M43" s="13"/>
    </row>
    <row r="44" spans="1:13" ht="14.45" customHeight="1" x14ac:dyDescent="0.25">
      <c r="A44" s="980"/>
      <c r="B44" s="981"/>
      <c r="C44" s="981"/>
      <c r="D44" s="981"/>
      <c r="E44" s="981"/>
      <c r="F44" s="981"/>
      <c r="G44" s="981"/>
      <c r="H44" s="981"/>
      <c r="I44" s="982"/>
      <c r="J44" s="13"/>
      <c r="K44" s="13"/>
      <c r="L44" s="13"/>
      <c r="M44" s="13"/>
    </row>
    <row r="45" spans="1:13" ht="14.45" customHeight="1" x14ac:dyDescent="0.25">
      <c r="A45" s="980"/>
      <c r="B45" s="981"/>
      <c r="C45" s="981"/>
      <c r="D45" s="981"/>
      <c r="E45" s="981"/>
      <c r="F45" s="981"/>
      <c r="G45" s="981"/>
      <c r="H45" s="981"/>
      <c r="I45" s="982"/>
      <c r="J45" s="13"/>
      <c r="K45" s="13"/>
      <c r="L45" s="13"/>
      <c r="M45" s="13"/>
    </row>
    <row r="46" spans="1:13" ht="14.45" customHeight="1" x14ac:dyDescent="0.25">
      <c r="A46" s="980"/>
      <c r="B46" s="981"/>
      <c r="C46" s="981"/>
      <c r="D46" s="981"/>
      <c r="E46" s="981"/>
      <c r="F46" s="981"/>
      <c r="G46" s="981"/>
      <c r="H46" s="981"/>
      <c r="I46" s="982"/>
      <c r="J46" s="13"/>
      <c r="K46" s="13"/>
      <c r="L46" s="13"/>
      <c r="M46" s="13"/>
    </row>
    <row r="47" spans="1:13" x14ac:dyDescent="0.25">
      <c r="A47" s="980"/>
      <c r="B47" s="981"/>
      <c r="C47" s="981"/>
      <c r="D47" s="981"/>
      <c r="E47" s="981"/>
      <c r="F47" s="981"/>
      <c r="G47" s="981"/>
      <c r="H47" s="981"/>
      <c r="I47" s="982"/>
      <c r="J47" s="13"/>
      <c r="K47" s="13"/>
      <c r="L47" s="13"/>
      <c r="M47" s="13"/>
    </row>
    <row r="48" spans="1:13" ht="18" customHeight="1" x14ac:dyDescent="0.25">
      <c r="A48" s="983"/>
      <c r="B48" s="984"/>
      <c r="C48" s="984"/>
      <c r="D48" s="984"/>
      <c r="E48" s="984"/>
      <c r="F48" s="984"/>
      <c r="G48" s="984"/>
      <c r="H48" s="984"/>
      <c r="I48" s="985"/>
      <c r="J48" s="13"/>
      <c r="K48" s="13"/>
      <c r="L48" s="13"/>
      <c r="M48" s="13"/>
    </row>
    <row r="49" spans="1:13" x14ac:dyDescent="0.25">
      <c r="A49" s="986"/>
      <c r="B49" s="987"/>
      <c r="C49" s="987"/>
      <c r="D49" s="987"/>
      <c r="E49" s="987"/>
      <c r="F49" s="987"/>
      <c r="G49" s="987"/>
      <c r="H49" s="987"/>
      <c r="I49" s="988"/>
      <c r="J49" s="13"/>
      <c r="K49" s="13"/>
      <c r="L49" s="13"/>
      <c r="M49" s="13"/>
    </row>
    <row r="50" spans="1:13" ht="15.75" thickBot="1" x14ac:dyDescent="0.3">
      <c r="A50" s="973"/>
      <c r="B50" s="974"/>
      <c r="C50" s="974"/>
      <c r="D50" s="974"/>
      <c r="E50" s="974"/>
      <c r="F50" s="974"/>
      <c r="G50" s="974"/>
      <c r="H50" s="974"/>
      <c r="I50" s="975"/>
      <c r="J50" s="13"/>
      <c r="K50" s="13"/>
      <c r="L50" s="13"/>
      <c r="M50" s="13"/>
    </row>
    <row r="51" spans="1:13" x14ac:dyDescent="0.25">
      <c r="A51" s="976" t="s">
        <v>37</v>
      </c>
      <c r="B51" s="977"/>
      <c r="C51" s="977"/>
      <c r="D51" s="977"/>
      <c r="E51" s="977"/>
      <c r="F51" s="977"/>
      <c r="G51" s="977"/>
      <c r="H51" s="977"/>
      <c r="I51" s="977"/>
      <c r="J51" s="13"/>
      <c r="K51" s="13"/>
      <c r="L51" s="13"/>
      <c r="M51" s="13"/>
    </row>
    <row r="52" spans="1:13" x14ac:dyDescent="0.25">
      <c r="A52" s="978"/>
      <c r="B52" s="979"/>
      <c r="C52" s="979"/>
      <c r="D52" s="979"/>
      <c r="E52" s="979"/>
      <c r="F52" s="979"/>
      <c r="G52" s="979"/>
      <c r="H52" s="979"/>
      <c r="I52" s="979"/>
      <c r="J52" s="13"/>
      <c r="K52" s="13"/>
      <c r="L52" s="13"/>
      <c r="M52" s="13"/>
    </row>
    <row r="53" spans="1:13" x14ac:dyDescent="0.25">
      <c r="A53" s="978"/>
      <c r="B53" s="979"/>
      <c r="C53" s="979"/>
      <c r="D53" s="979"/>
      <c r="E53" s="979"/>
      <c r="F53" s="979"/>
      <c r="G53" s="979"/>
      <c r="H53" s="979"/>
      <c r="I53" s="979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37021-E1BC-4070-8C0C-0D3E5B25251F}">
  <dimension ref="A1:I64"/>
  <sheetViews>
    <sheetView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.75" x14ac:dyDescent="0.25">
      <c r="A1" s="925"/>
      <c r="B1" s="926"/>
      <c r="C1" s="772" t="s">
        <v>0</v>
      </c>
      <c r="D1" s="772"/>
      <c r="E1" s="772"/>
      <c r="F1" s="772"/>
      <c r="G1" s="772"/>
      <c r="H1" s="33" t="s">
        <v>1</v>
      </c>
      <c r="I1" s="567" t="s">
        <v>311</v>
      </c>
    </row>
    <row r="2" spans="1:9" ht="16.5" thickBot="1" x14ac:dyDescent="0.3">
      <c r="A2" s="927"/>
      <c r="B2" s="928"/>
      <c r="C2" s="931" t="s">
        <v>2</v>
      </c>
      <c r="D2" s="931"/>
      <c r="E2" s="931"/>
      <c r="F2" s="931"/>
      <c r="G2" s="931"/>
      <c r="H2" s="35" t="s">
        <v>3</v>
      </c>
      <c r="I2" s="36" t="s">
        <v>222</v>
      </c>
    </row>
    <row r="3" spans="1:9" ht="15.95" customHeight="1" thickBot="1" x14ac:dyDescent="0.3">
      <c r="A3" s="927"/>
      <c r="B3" s="928"/>
      <c r="C3" s="933" t="s">
        <v>312</v>
      </c>
      <c r="D3" s="933"/>
      <c r="E3" s="933"/>
      <c r="F3" s="933"/>
      <c r="G3" s="934"/>
      <c r="H3" s="935" t="s">
        <v>4</v>
      </c>
      <c r="I3" s="916">
        <v>45609</v>
      </c>
    </row>
    <row r="4" spans="1:9" x14ac:dyDescent="0.25">
      <c r="A4" s="927"/>
      <c r="B4" s="928"/>
      <c r="C4" s="37" t="s">
        <v>5</v>
      </c>
      <c r="D4" s="919" t="s">
        <v>38</v>
      </c>
      <c r="E4" s="920"/>
      <c r="F4" s="920"/>
      <c r="G4" s="921"/>
      <c r="H4" s="936"/>
      <c r="I4" s="917"/>
    </row>
    <row r="5" spans="1:9" ht="15.75" thickBot="1" x14ac:dyDescent="0.3">
      <c r="A5" s="929"/>
      <c r="B5" s="930"/>
      <c r="C5" s="38" t="s">
        <v>7</v>
      </c>
      <c r="D5" s="922" t="s">
        <v>39</v>
      </c>
      <c r="E5" s="923"/>
      <c r="F5" s="923"/>
      <c r="G5" s="924"/>
      <c r="H5" s="937"/>
      <c r="I5" s="918"/>
    </row>
    <row r="6" spans="1:9" ht="18.75" thickBot="1" x14ac:dyDescent="0.3">
      <c r="A6" s="938" t="s">
        <v>9</v>
      </c>
      <c r="B6" s="938"/>
      <c r="C6" s="938"/>
      <c r="D6" s="939" t="s">
        <v>236</v>
      </c>
      <c r="E6" s="939"/>
      <c r="F6" s="939"/>
      <c r="G6" s="940" t="s">
        <v>10</v>
      </c>
      <c r="H6" s="940"/>
      <c r="I6" s="39" t="s">
        <v>236</v>
      </c>
    </row>
    <row r="7" spans="1:9" x14ac:dyDescent="0.25">
      <c r="A7" s="941" t="s">
        <v>12</v>
      </c>
      <c r="B7" s="943" t="s">
        <v>41</v>
      </c>
      <c r="C7" s="945" t="s">
        <v>13</v>
      </c>
      <c r="D7" s="945" t="s">
        <v>14</v>
      </c>
      <c r="E7" s="945" t="s">
        <v>15</v>
      </c>
      <c r="F7" s="945"/>
      <c r="G7" s="945" t="s">
        <v>16</v>
      </c>
      <c r="H7" s="945"/>
      <c r="I7" s="40" t="s">
        <v>17</v>
      </c>
    </row>
    <row r="8" spans="1:9" ht="27" thickBot="1" x14ac:dyDescent="0.3">
      <c r="A8" s="942"/>
      <c r="B8" s="944"/>
      <c r="C8" s="946"/>
      <c r="D8" s="946"/>
      <c r="E8" s="41" t="s">
        <v>18</v>
      </c>
      <c r="F8" s="42" t="s">
        <v>19</v>
      </c>
      <c r="G8" s="41" t="s">
        <v>18</v>
      </c>
      <c r="H8" s="42" t="s">
        <v>19</v>
      </c>
      <c r="I8" s="43" t="s">
        <v>20</v>
      </c>
    </row>
    <row r="9" spans="1:9" x14ac:dyDescent="0.25">
      <c r="A9" s="44"/>
      <c r="B9" s="45"/>
      <c r="C9" s="46" t="s">
        <v>42</v>
      </c>
      <c r="D9" s="47"/>
      <c r="E9" s="48"/>
      <c r="F9" s="49"/>
      <c r="G9" s="48"/>
      <c r="H9" s="49"/>
      <c r="I9" s="50"/>
    </row>
    <row r="10" spans="1:9" ht="15.95" customHeight="1" x14ac:dyDescent="0.25">
      <c r="A10" s="72" t="s">
        <v>313</v>
      </c>
      <c r="B10" s="73" t="s">
        <v>314</v>
      </c>
      <c r="C10" s="461" t="s">
        <v>315</v>
      </c>
      <c r="D10" s="464" t="s">
        <v>227</v>
      </c>
      <c r="E10" s="76">
        <v>27000</v>
      </c>
      <c r="F10" s="77" t="s">
        <v>21</v>
      </c>
      <c r="G10" s="561"/>
      <c r="H10" s="109"/>
      <c r="I10" s="50"/>
    </row>
    <row r="11" spans="1:9" x14ac:dyDescent="0.25">
      <c r="A11" s="72" t="s">
        <v>316</v>
      </c>
      <c r="B11" s="73" t="s">
        <v>317</v>
      </c>
      <c r="C11" s="461" t="s">
        <v>318</v>
      </c>
      <c r="D11" s="464" t="s">
        <v>245</v>
      </c>
      <c r="E11" s="76">
        <v>4455</v>
      </c>
      <c r="F11" s="77" t="s">
        <v>21</v>
      </c>
      <c r="G11" s="561"/>
      <c r="H11" s="109"/>
      <c r="I11" s="50"/>
    </row>
    <row r="12" spans="1:9" x14ac:dyDescent="0.25">
      <c r="A12" s="72" t="s">
        <v>316</v>
      </c>
      <c r="B12" s="73" t="s">
        <v>317</v>
      </c>
      <c r="C12" s="461" t="s">
        <v>318</v>
      </c>
      <c r="D12" s="464" t="s">
        <v>204</v>
      </c>
      <c r="E12" s="76">
        <v>41000</v>
      </c>
      <c r="F12" s="77" t="s">
        <v>21</v>
      </c>
      <c r="G12" s="561"/>
      <c r="H12" s="109"/>
      <c r="I12" s="50"/>
    </row>
    <row r="13" spans="1:9" ht="15.75" x14ac:dyDescent="0.25">
      <c r="A13" s="568"/>
      <c r="B13" s="568"/>
      <c r="C13" s="569"/>
      <c r="D13" s="570"/>
      <c r="E13" s="570"/>
      <c r="F13" s="570"/>
      <c r="G13" s="561"/>
      <c r="H13" s="109"/>
      <c r="I13" s="50"/>
    </row>
    <row r="14" spans="1:9" ht="15.75" x14ac:dyDescent="0.25">
      <c r="A14" s="571"/>
      <c r="B14" s="572"/>
      <c r="C14" s="569"/>
      <c r="D14" s="570"/>
      <c r="E14" s="570"/>
      <c r="F14" s="570"/>
      <c r="G14" s="561"/>
      <c r="H14" s="109"/>
      <c r="I14" s="50"/>
    </row>
    <row r="15" spans="1:9" ht="16.5" x14ac:dyDescent="0.3">
      <c r="A15" s="573"/>
      <c r="B15" s="573"/>
      <c r="C15" s="574"/>
      <c r="D15" s="575"/>
      <c r="E15" s="576"/>
      <c r="F15" s="570"/>
      <c r="G15" s="561"/>
      <c r="H15" s="109"/>
      <c r="I15" s="50"/>
    </row>
    <row r="16" spans="1:9" x14ac:dyDescent="0.25">
      <c r="A16" s="577"/>
      <c r="B16" s="578"/>
      <c r="C16" s="579"/>
      <c r="D16" s="580"/>
      <c r="E16" s="581"/>
      <c r="F16" s="581"/>
      <c r="G16" s="582"/>
      <c r="H16" s="109"/>
      <c r="I16" s="50"/>
    </row>
    <row r="17" spans="1:9" x14ac:dyDescent="0.25">
      <c r="A17" s="577"/>
      <c r="B17" s="578"/>
      <c r="C17" s="579"/>
      <c r="D17" s="580"/>
      <c r="E17" s="581"/>
      <c r="F17" s="581"/>
      <c r="G17" s="582"/>
      <c r="H17" s="109"/>
      <c r="I17" s="50"/>
    </row>
    <row r="18" spans="1:9" x14ac:dyDescent="0.25">
      <c r="A18" s="577"/>
      <c r="B18" s="578"/>
      <c r="C18" s="579"/>
      <c r="D18" s="580"/>
      <c r="E18" s="581"/>
      <c r="F18" s="581"/>
      <c r="G18" s="582"/>
      <c r="H18" s="109"/>
      <c r="I18" s="50"/>
    </row>
    <row r="19" spans="1:9" x14ac:dyDescent="0.25">
      <c r="A19" s="577"/>
      <c r="B19" s="578"/>
      <c r="C19" s="579"/>
      <c r="D19" s="580"/>
      <c r="E19" s="581"/>
      <c r="F19" s="581"/>
      <c r="G19" s="582"/>
      <c r="H19" s="109"/>
      <c r="I19" s="50"/>
    </row>
    <row r="20" spans="1:9" x14ac:dyDescent="0.25">
      <c r="A20" s="577"/>
      <c r="B20" s="578"/>
      <c r="C20" s="579"/>
      <c r="D20" s="580"/>
      <c r="E20" s="581"/>
      <c r="F20" s="581"/>
      <c r="G20" s="582"/>
      <c r="H20" s="109"/>
      <c r="I20" s="50"/>
    </row>
    <row r="21" spans="1:9" x14ac:dyDescent="0.25">
      <c r="A21" s="577"/>
      <c r="B21" s="578"/>
      <c r="C21" s="579"/>
      <c r="D21" s="580"/>
      <c r="E21" s="581"/>
      <c r="F21" s="581"/>
      <c r="G21" s="582"/>
      <c r="H21" s="109"/>
      <c r="I21" s="50"/>
    </row>
    <row r="22" spans="1:9" x14ac:dyDescent="0.25">
      <c r="A22" s="577"/>
      <c r="B22" s="578"/>
      <c r="C22" s="579"/>
      <c r="D22" s="580"/>
      <c r="E22" s="581"/>
      <c r="F22" s="581"/>
      <c r="G22" s="582"/>
      <c r="H22" s="109"/>
      <c r="I22" s="50"/>
    </row>
    <row r="23" spans="1:9" x14ac:dyDescent="0.25">
      <c r="A23" s="577"/>
      <c r="B23" s="578"/>
      <c r="C23" s="579"/>
      <c r="D23" s="580"/>
      <c r="E23" s="581"/>
      <c r="F23" s="581"/>
      <c r="G23" s="582"/>
      <c r="H23" s="109"/>
      <c r="I23" s="50"/>
    </row>
    <row r="24" spans="1:9" x14ac:dyDescent="0.25">
      <c r="A24" s="577"/>
      <c r="B24" s="578"/>
      <c r="C24" s="579"/>
      <c r="D24" s="580"/>
      <c r="E24" s="581"/>
      <c r="F24" s="581"/>
      <c r="G24" s="582"/>
      <c r="H24" s="109"/>
      <c r="I24" s="50"/>
    </row>
    <row r="25" spans="1:9" ht="15.75" x14ac:dyDescent="0.25">
      <c r="A25" s="169"/>
      <c r="B25" s="169"/>
      <c r="D25" s="84"/>
      <c r="E25" s="285"/>
      <c r="F25" s="285"/>
      <c r="G25" s="48"/>
      <c r="H25" s="109"/>
      <c r="I25" s="50"/>
    </row>
    <row r="26" spans="1:9" x14ac:dyDescent="0.25">
      <c r="A26" s="52"/>
      <c r="B26" s="52"/>
      <c r="C26" s="168"/>
      <c r="D26" s="84"/>
      <c r="E26" s="84"/>
      <c r="F26" s="65"/>
      <c r="G26" s="48"/>
      <c r="H26" s="109"/>
      <c r="I26" s="50"/>
    </row>
    <row r="27" spans="1:9" ht="15.75" x14ac:dyDescent="0.25">
      <c r="A27" s="61"/>
      <c r="B27" s="62"/>
      <c r="C27" s="63" t="s">
        <v>46</v>
      </c>
      <c r="D27" s="442" t="s">
        <v>51</v>
      </c>
      <c r="E27" s="443"/>
      <c r="F27" s="65"/>
      <c r="G27" s="48"/>
      <c r="H27" s="109"/>
      <c r="I27" s="50"/>
    </row>
    <row r="28" spans="1:9" x14ac:dyDescent="0.25">
      <c r="A28" s="535"/>
      <c r="B28" s="110"/>
      <c r="C28" s="536"/>
      <c r="D28" s="537" t="s">
        <v>51</v>
      </c>
      <c r="E28" s="84"/>
      <c r="F28" s="65"/>
      <c r="G28" s="48"/>
      <c r="H28" s="109"/>
      <c r="I28" s="50"/>
    </row>
    <row r="29" spans="1:9" x14ac:dyDescent="0.25">
      <c r="A29" s="52"/>
      <c r="B29" s="52"/>
      <c r="C29" s="168"/>
      <c r="D29" s="537" t="s">
        <v>51</v>
      </c>
      <c r="E29" s="84"/>
      <c r="F29" s="65"/>
      <c r="G29" s="48"/>
      <c r="H29" s="109"/>
      <c r="I29" s="50"/>
    </row>
    <row r="30" spans="1:9" x14ac:dyDescent="0.25">
      <c r="A30" s="538"/>
      <c r="B30" s="538"/>
      <c r="C30" s="536"/>
      <c r="D30" s="537" t="s">
        <v>51</v>
      </c>
      <c r="E30" s="84"/>
      <c r="F30" s="65"/>
      <c r="G30" s="48"/>
      <c r="H30" s="109"/>
      <c r="I30" s="50"/>
    </row>
    <row r="31" spans="1:9" x14ac:dyDescent="0.25">
      <c r="A31" s="52"/>
      <c r="B31" s="52"/>
      <c r="C31" s="168"/>
      <c r="D31" s="84" t="s">
        <v>51</v>
      </c>
      <c r="E31" s="442"/>
      <c r="F31" s="65"/>
      <c r="G31" s="48"/>
      <c r="H31" s="109"/>
      <c r="I31" s="50"/>
    </row>
    <row r="32" spans="1:9" x14ac:dyDescent="0.25">
      <c r="A32" s="52"/>
      <c r="B32" s="52"/>
      <c r="C32" s="168"/>
      <c r="D32" s="464" t="s">
        <v>51</v>
      </c>
      <c r="E32" s="539"/>
      <c r="F32" s="540"/>
      <c r="G32" s="48"/>
      <c r="H32" s="109"/>
      <c r="I32" s="50"/>
    </row>
    <row r="33" spans="1:9" ht="15.75" x14ac:dyDescent="0.25">
      <c r="A33" s="67"/>
      <c r="B33" s="68"/>
      <c r="C33" s="69" t="s">
        <v>47</v>
      </c>
      <c r="D33" s="70" t="s">
        <v>51</v>
      </c>
      <c r="E33" s="48"/>
      <c r="F33" s="49"/>
      <c r="G33" s="48"/>
      <c r="H33" s="109"/>
      <c r="I33" s="50"/>
    </row>
    <row r="34" spans="1:9" x14ac:dyDescent="0.25">
      <c r="A34" s="577"/>
      <c r="B34" s="578"/>
      <c r="C34" s="579"/>
      <c r="D34" s="580"/>
      <c r="E34" s="583"/>
      <c r="F34" s="583"/>
      <c r="G34" s="584"/>
      <c r="H34" s="109"/>
      <c r="I34" s="50"/>
    </row>
    <row r="35" spans="1:9" x14ac:dyDescent="0.25">
      <c r="A35" s="577"/>
      <c r="B35" s="578"/>
      <c r="C35" s="579"/>
      <c r="D35" s="580"/>
      <c r="E35" s="583"/>
      <c r="F35" s="583"/>
      <c r="G35" s="584"/>
      <c r="H35" s="109"/>
      <c r="I35" s="50"/>
    </row>
    <row r="36" spans="1:9" x14ac:dyDescent="0.25">
      <c r="A36" s="585"/>
      <c r="B36" s="586"/>
      <c r="C36" s="587"/>
      <c r="D36" s="588"/>
      <c r="E36" s="76"/>
      <c r="F36" s="77"/>
      <c r="G36" s="48"/>
      <c r="H36" s="109"/>
      <c r="I36" s="50"/>
    </row>
    <row r="37" spans="1:9" x14ac:dyDescent="0.25">
      <c r="A37" s="589"/>
      <c r="B37" s="589"/>
      <c r="C37" s="168"/>
      <c r="D37" s="442"/>
      <c r="E37" s="84"/>
      <c r="F37" s="65"/>
      <c r="G37" s="48"/>
      <c r="H37" s="49"/>
      <c r="I37" s="50"/>
    </row>
    <row r="38" spans="1:9" x14ac:dyDescent="0.25">
      <c r="A38" s="558"/>
      <c r="B38" s="559"/>
      <c r="C38" s="560"/>
      <c r="D38" s="442"/>
      <c r="E38" s="84"/>
      <c r="F38" s="65"/>
      <c r="G38" s="48"/>
      <c r="H38" s="49"/>
      <c r="I38" s="50"/>
    </row>
    <row r="39" spans="1:9" ht="15.75" x14ac:dyDescent="0.25">
      <c r="A39" s="558"/>
      <c r="B39" s="559"/>
      <c r="C39" s="560"/>
      <c r="D39" s="131"/>
      <c r="E39" s="84"/>
      <c r="F39" s="65"/>
      <c r="G39" s="465"/>
      <c r="H39" s="442"/>
      <c r="I39" s="50"/>
    </row>
    <row r="40" spans="1:9" ht="15.75" x14ac:dyDescent="0.25">
      <c r="A40" s="61"/>
      <c r="B40" s="62"/>
      <c r="C40" s="468"/>
      <c r="D40" s="131"/>
      <c r="E40" s="84"/>
      <c r="F40" s="65"/>
      <c r="G40" s="84"/>
      <c r="H40" s="442"/>
      <c r="I40" s="50"/>
    </row>
    <row r="41" spans="1:9" ht="15.75" x14ac:dyDescent="0.25">
      <c r="A41" s="61"/>
      <c r="B41" s="62"/>
      <c r="C41" s="468"/>
      <c r="D41" s="131"/>
      <c r="E41" s="84"/>
      <c r="F41" s="65"/>
      <c r="G41" s="311"/>
      <c r="H41" s="65"/>
      <c r="I41" s="50"/>
    </row>
    <row r="42" spans="1:9" ht="15.75" x14ac:dyDescent="0.25">
      <c r="A42" s="61"/>
      <c r="B42" s="62"/>
      <c r="C42" s="468"/>
      <c r="D42" s="442"/>
      <c r="E42" s="442"/>
      <c r="F42" s="65"/>
      <c r="G42" s="131"/>
      <c r="H42" s="131"/>
      <c r="I42" s="50"/>
    </row>
    <row r="43" spans="1:9" ht="15.75" thickBot="1" x14ac:dyDescent="0.3">
      <c r="A43" s="85"/>
      <c r="B43" s="86"/>
      <c r="C43" s="87"/>
      <c r="D43" s="87"/>
      <c r="E43" s="88"/>
      <c r="F43" s="89"/>
      <c r="G43" s="87"/>
      <c r="H43" s="87"/>
      <c r="I43" s="90"/>
    </row>
    <row r="44" spans="1:9" ht="15.75" thickBot="1" x14ac:dyDescent="0.3">
      <c r="A44" s="91"/>
      <c r="B44" s="92"/>
      <c r="C44" s="93"/>
      <c r="D44" s="94" t="s">
        <v>18</v>
      </c>
      <c r="E44" s="95" t="s">
        <v>30</v>
      </c>
      <c r="F44" s="96"/>
      <c r="G44" s="93"/>
      <c r="H44" s="93"/>
      <c r="I44" s="97"/>
    </row>
    <row r="45" spans="1:9" x14ac:dyDescent="0.25">
      <c r="A45" s="947" t="s">
        <v>31</v>
      </c>
      <c r="B45" s="948"/>
      <c r="C45" s="949"/>
      <c r="D45" s="561">
        <v>44500</v>
      </c>
      <c r="E45" s="562" t="s">
        <v>21</v>
      </c>
      <c r="F45" s="950" t="s">
        <v>52</v>
      </c>
      <c r="G45" s="950"/>
      <c r="H45" s="951"/>
      <c r="I45" s="952"/>
    </row>
    <row r="46" spans="1:9" x14ac:dyDescent="0.25">
      <c r="A46" s="953" t="s">
        <v>53</v>
      </c>
      <c r="B46" s="954"/>
      <c r="C46" s="955"/>
      <c r="D46" s="590">
        <v>45</v>
      </c>
      <c r="E46" s="170" t="s">
        <v>32</v>
      </c>
      <c r="F46" s="956" t="s">
        <v>55</v>
      </c>
      <c r="G46" s="956"/>
      <c r="H46" s="957"/>
      <c r="I46" s="958"/>
    </row>
    <row r="47" spans="1:9" x14ac:dyDescent="0.25">
      <c r="A47" s="953" t="s">
        <v>33</v>
      </c>
      <c r="B47" s="954"/>
      <c r="C47" s="955"/>
      <c r="D47" s="170">
        <v>1</v>
      </c>
      <c r="E47" s="170" t="s">
        <v>319</v>
      </c>
      <c r="F47" s="956" t="s">
        <v>56</v>
      </c>
      <c r="G47" s="956"/>
      <c r="H47" s="957"/>
      <c r="I47" s="958"/>
    </row>
    <row r="48" spans="1:9" x14ac:dyDescent="0.25">
      <c r="A48" s="953" t="s">
        <v>34</v>
      </c>
      <c r="B48" s="954"/>
      <c r="C48" s="955"/>
      <c r="D48" s="170">
        <v>44500</v>
      </c>
      <c r="E48" s="170" t="s">
        <v>21</v>
      </c>
      <c r="F48" s="962" t="s">
        <v>57</v>
      </c>
      <c r="G48" s="963"/>
      <c r="H48" s="957"/>
      <c r="I48" s="958"/>
    </row>
    <row r="49" spans="1:9" ht="15.75" thickBot="1" x14ac:dyDescent="0.3">
      <c r="A49" s="964" t="s">
        <v>35</v>
      </c>
      <c r="B49" s="965"/>
      <c r="C49" s="966"/>
      <c r="D49" s="565">
        <v>27955</v>
      </c>
      <c r="E49" s="566" t="s">
        <v>21</v>
      </c>
      <c r="F49" s="967"/>
      <c r="G49" s="967"/>
      <c r="H49" s="968"/>
      <c r="I49" s="969"/>
    </row>
    <row r="50" spans="1:9" ht="15.75" thickBot="1" x14ac:dyDescent="0.3">
      <c r="A50" s="970" t="s">
        <v>36</v>
      </c>
      <c r="B50" s="971"/>
      <c r="C50" s="971"/>
      <c r="D50" s="971"/>
      <c r="E50" s="971"/>
      <c r="F50" s="971"/>
      <c r="G50" s="971"/>
      <c r="H50" s="971"/>
      <c r="I50" s="972"/>
    </row>
    <row r="51" spans="1:9" x14ac:dyDescent="0.25">
      <c r="A51" s="992" t="s">
        <v>320</v>
      </c>
      <c r="B51" s="993"/>
      <c r="C51" s="994"/>
      <c r="D51" s="994"/>
      <c r="E51" s="994"/>
      <c r="F51" s="994"/>
      <c r="G51" s="994"/>
      <c r="H51" s="994"/>
      <c r="I51" s="995"/>
    </row>
    <row r="52" spans="1:9" x14ac:dyDescent="0.25">
      <c r="A52" s="996" t="s">
        <v>321</v>
      </c>
      <c r="B52" s="997"/>
      <c r="C52" s="998"/>
      <c r="D52" s="998"/>
      <c r="E52" s="998"/>
      <c r="F52" s="998"/>
      <c r="G52" s="998"/>
      <c r="H52" s="998"/>
      <c r="I52" s="999"/>
    </row>
    <row r="53" spans="1:9" x14ac:dyDescent="0.25">
      <c r="A53" s="996" t="s">
        <v>322</v>
      </c>
      <c r="B53" s="997"/>
      <c r="C53" s="998"/>
      <c r="D53" s="998"/>
      <c r="E53" s="998"/>
      <c r="F53" s="998"/>
      <c r="G53" s="998"/>
      <c r="H53" s="998"/>
      <c r="I53" s="999"/>
    </row>
    <row r="54" spans="1:9" x14ac:dyDescent="0.25">
      <c r="A54" s="996" t="s">
        <v>323</v>
      </c>
      <c r="B54" s="997"/>
      <c r="C54" s="998"/>
      <c r="D54" s="998"/>
      <c r="E54" s="998"/>
      <c r="F54" s="998"/>
      <c r="G54" s="998"/>
      <c r="H54" s="998"/>
      <c r="I54" s="999"/>
    </row>
    <row r="55" spans="1:9" x14ac:dyDescent="0.25">
      <c r="A55" s="996" t="s">
        <v>324</v>
      </c>
      <c r="B55" s="997"/>
      <c r="C55" s="998"/>
      <c r="D55" s="998"/>
      <c r="E55" s="998"/>
      <c r="F55" s="998"/>
      <c r="G55" s="998"/>
      <c r="H55" s="998"/>
      <c r="I55" s="999"/>
    </row>
    <row r="56" spans="1:9" x14ac:dyDescent="0.25">
      <c r="A56" s="996"/>
      <c r="B56" s="997"/>
      <c r="C56" s="998"/>
      <c r="D56" s="998"/>
      <c r="E56" s="998"/>
      <c r="F56" s="998"/>
      <c r="G56" s="998"/>
      <c r="H56" s="998"/>
      <c r="I56" s="999"/>
    </row>
    <row r="57" spans="1:9" x14ac:dyDescent="0.25">
      <c r="A57" s="989"/>
      <c r="B57" s="990"/>
      <c r="C57" s="990"/>
      <c r="D57" s="990"/>
      <c r="E57" s="990"/>
      <c r="F57" s="990"/>
      <c r="G57" s="990"/>
      <c r="H57" s="990"/>
      <c r="I57" s="991"/>
    </row>
    <row r="58" spans="1:9" x14ac:dyDescent="0.25">
      <c r="A58" s="989"/>
      <c r="B58" s="990"/>
      <c r="C58" s="990"/>
      <c r="D58" s="990"/>
      <c r="E58" s="990"/>
      <c r="F58" s="990"/>
      <c r="G58" s="990"/>
      <c r="H58" s="990"/>
      <c r="I58" s="991"/>
    </row>
    <row r="59" spans="1:9" ht="18" customHeight="1" thickBot="1" x14ac:dyDescent="0.3">
      <c r="A59" s="1000"/>
      <c r="B59" s="1001"/>
      <c r="C59" s="1001"/>
      <c r="D59" s="1001"/>
      <c r="E59" s="1001"/>
      <c r="F59" s="1001"/>
      <c r="G59" s="1001"/>
      <c r="H59" s="1001"/>
      <c r="I59" s="1002"/>
    </row>
    <row r="60" spans="1:9" x14ac:dyDescent="0.25">
      <c r="A60" s="469"/>
      <c r="B60" s="469"/>
      <c r="C60" s="469"/>
      <c r="D60" s="469"/>
      <c r="E60" s="469"/>
      <c r="F60" s="469"/>
      <c r="G60" s="469"/>
      <c r="H60" s="469"/>
      <c r="I60" s="469"/>
    </row>
    <row r="61" spans="1:9" ht="15.75" thickBot="1" x14ac:dyDescent="0.3">
      <c r="A61" s="973"/>
      <c r="B61" s="974"/>
      <c r="C61" s="974"/>
      <c r="D61" s="974"/>
      <c r="E61" s="974"/>
      <c r="F61" s="974"/>
      <c r="G61" s="974"/>
      <c r="H61" s="974"/>
      <c r="I61" s="975"/>
    </row>
    <row r="62" spans="1:9" x14ac:dyDescent="0.25">
      <c r="A62" s="976" t="s">
        <v>37</v>
      </c>
      <c r="B62" s="977"/>
      <c r="C62" s="977"/>
      <c r="D62" s="977"/>
      <c r="E62" s="977"/>
      <c r="F62" s="977"/>
      <c r="G62" s="977"/>
      <c r="H62" s="977"/>
      <c r="I62" s="977"/>
    </row>
    <row r="63" spans="1:9" x14ac:dyDescent="0.25">
      <c r="A63" s="978"/>
      <c r="B63" s="979"/>
      <c r="C63" s="979"/>
      <c r="D63" s="979"/>
      <c r="E63" s="979"/>
      <c r="F63" s="979"/>
      <c r="G63" s="979"/>
      <c r="H63" s="979"/>
      <c r="I63" s="979"/>
    </row>
    <row r="64" spans="1:9" x14ac:dyDescent="0.25">
      <c r="A64" s="978"/>
      <c r="B64" s="979"/>
      <c r="C64" s="979"/>
      <c r="D64" s="979"/>
      <c r="E64" s="979"/>
      <c r="F64" s="979"/>
      <c r="G64" s="979"/>
      <c r="H64" s="979"/>
      <c r="I64" s="979"/>
    </row>
  </sheetData>
  <mergeCells count="46">
    <mergeCell ref="A59:I59"/>
    <mergeCell ref="A61:I61"/>
    <mergeCell ref="A62:I62"/>
    <mergeCell ref="A63:I63"/>
    <mergeCell ref="A64:I64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7:C47"/>
    <mergeCell ref="F47:G47"/>
    <mergeCell ref="H47:I47"/>
    <mergeCell ref="A48:C48"/>
    <mergeCell ref="F48:G48"/>
    <mergeCell ref="H48:I48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39A3-C394-4C25-9AA3-CA13806651E3}">
  <dimension ref="A1:I57"/>
  <sheetViews>
    <sheetView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925"/>
      <c r="B1" s="926"/>
      <c r="C1" s="772" t="s">
        <v>0</v>
      </c>
      <c r="D1" s="772"/>
      <c r="E1" s="772"/>
      <c r="F1" s="772"/>
      <c r="G1" s="772"/>
      <c r="H1" s="33" t="s">
        <v>1</v>
      </c>
      <c r="I1" s="34" t="s">
        <v>256</v>
      </c>
    </row>
    <row r="2" spans="1:9" ht="18" customHeight="1" thickBot="1" x14ac:dyDescent="0.3">
      <c r="A2" s="927"/>
      <c r="B2" s="928"/>
      <c r="C2" s="773" t="s">
        <v>2</v>
      </c>
      <c r="D2" s="774"/>
      <c r="E2" s="774"/>
      <c r="F2" s="774"/>
      <c r="G2" s="775"/>
      <c r="H2" s="35" t="s">
        <v>3</v>
      </c>
      <c r="I2" s="36" t="s">
        <v>222</v>
      </c>
    </row>
    <row r="3" spans="1:9" ht="31.5" customHeight="1" thickBot="1" x14ac:dyDescent="0.3">
      <c r="A3" s="927"/>
      <c r="B3" s="928"/>
      <c r="C3" s="1024" t="s">
        <v>257</v>
      </c>
      <c r="D3" s="1025"/>
      <c r="E3" s="1025"/>
      <c r="F3" s="1025"/>
      <c r="G3" s="1026"/>
      <c r="H3" s="935" t="s">
        <v>4</v>
      </c>
      <c r="I3" s="916">
        <v>45619</v>
      </c>
    </row>
    <row r="4" spans="1:9" ht="18" customHeight="1" x14ac:dyDescent="0.25">
      <c r="A4" s="927"/>
      <c r="B4" s="928"/>
      <c r="C4" s="37" t="s">
        <v>5</v>
      </c>
      <c r="D4" s="919" t="s">
        <v>38</v>
      </c>
      <c r="E4" s="920"/>
      <c r="F4" s="920"/>
      <c r="G4" s="921"/>
      <c r="H4" s="936"/>
      <c r="I4" s="917"/>
    </row>
    <row r="5" spans="1:9" ht="15.75" thickBot="1" x14ac:dyDescent="0.3">
      <c r="A5" s="929"/>
      <c r="B5" s="930"/>
      <c r="C5" s="38" t="s">
        <v>7</v>
      </c>
      <c r="D5" s="922" t="s">
        <v>39</v>
      </c>
      <c r="E5" s="923"/>
      <c r="F5" s="923"/>
      <c r="G5" s="924"/>
      <c r="H5" s="937"/>
      <c r="I5" s="918"/>
    </row>
    <row r="6" spans="1:9" ht="18.75" thickBot="1" x14ac:dyDescent="0.3">
      <c r="A6" s="938" t="s">
        <v>9</v>
      </c>
      <c r="B6" s="938"/>
      <c r="C6" s="938"/>
      <c r="D6" s="939" t="s">
        <v>40</v>
      </c>
      <c r="E6" s="939"/>
      <c r="F6" s="939"/>
      <c r="G6" s="940" t="s">
        <v>10</v>
      </c>
      <c r="H6" s="940"/>
      <c r="I6" s="39" t="s">
        <v>40</v>
      </c>
    </row>
    <row r="7" spans="1:9" x14ac:dyDescent="0.25">
      <c r="A7" s="941" t="s">
        <v>12</v>
      </c>
      <c r="B7" s="943" t="s">
        <v>41</v>
      </c>
      <c r="C7" s="945" t="s">
        <v>13</v>
      </c>
      <c r="D7" s="945" t="s">
        <v>14</v>
      </c>
      <c r="E7" s="945" t="s">
        <v>15</v>
      </c>
      <c r="F7" s="945"/>
      <c r="G7" s="945" t="s">
        <v>16</v>
      </c>
      <c r="H7" s="945"/>
      <c r="I7" s="40" t="s">
        <v>17</v>
      </c>
    </row>
    <row r="8" spans="1:9" ht="27" thickBot="1" x14ac:dyDescent="0.3">
      <c r="A8" s="942"/>
      <c r="B8" s="944"/>
      <c r="C8" s="946"/>
      <c r="D8" s="946"/>
      <c r="E8" s="41" t="s">
        <v>18</v>
      </c>
      <c r="F8" s="42" t="s">
        <v>19</v>
      </c>
      <c r="G8" s="41" t="s">
        <v>18</v>
      </c>
      <c r="H8" s="42" t="s">
        <v>19</v>
      </c>
      <c r="I8" s="43" t="s">
        <v>20</v>
      </c>
    </row>
    <row r="9" spans="1:9" ht="18.600000000000001" customHeight="1" x14ac:dyDescent="0.25">
      <c r="A9" s="44"/>
      <c r="B9" s="45"/>
      <c r="C9" s="46" t="s">
        <v>42</v>
      </c>
      <c r="D9" s="47"/>
      <c r="E9" s="48"/>
      <c r="F9" s="49"/>
      <c r="G9" s="48"/>
      <c r="H9" s="49"/>
      <c r="I9" s="50"/>
    </row>
    <row r="10" spans="1:9" ht="18" customHeight="1" x14ac:dyDescent="0.25">
      <c r="A10" s="51">
        <v>906000138</v>
      </c>
      <c r="B10" s="52" t="s">
        <v>258</v>
      </c>
      <c r="C10" s="3" t="s">
        <v>259</v>
      </c>
      <c r="D10" s="53" t="s">
        <v>45</v>
      </c>
      <c r="E10" s="54">
        <v>14195</v>
      </c>
      <c r="F10" s="55" t="s">
        <v>21</v>
      </c>
      <c r="G10" s="56"/>
      <c r="H10" s="57"/>
      <c r="I10" s="50"/>
    </row>
    <row r="11" spans="1:9" x14ac:dyDescent="0.25">
      <c r="A11" s="53">
        <v>1210482</v>
      </c>
      <c r="B11" s="53" t="s">
        <v>207</v>
      </c>
      <c r="C11" s="58" t="s">
        <v>260</v>
      </c>
      <c r="D11" s="53" t="s">
        <v>209</v>
      </c>
      <c r="E11" s="54">
        <v>7700</v>
      </c>
      <c r="F11" s="55" t="s">
        <v>21</v>
      </c>
      <c r="G11" s="56"/>
      <c r="H11" s="57"/>
      <c r="I11" s="50"/>
    </row>
    <row r="12" spans="1:9" x14ac:dyDescent="0.25">
      <c r="A12" s="53" t="s">
        <v>183</v>
      </c>
      <c r="B12" s="53"/>
      <c r="C12" s="58" t="s">
        <v>89</v>
      </c>
      <c r="D12" s="53" t="s">
        <v>45</v>
      </c>
      <c r="E12" s="54">
        <v>3090</v>
      </c>
      <c r="F12" s="55" t="s">
        <v>21</v>
      </c>
      <c r="G12" s="56"/>
      <c r="H12" s="57"/>
      <c r="I12" s="50"/>
    </row>
    <row r="13" spans="1:9" x14ac:dyDescent="0.25">
      <c r="A13" s="53">
        <v>1212437</v>
      </c>
      <c r="B13" s="53" t="s">
        <v>261</v>
      </c>
      <c r="C13" s="58" t="s">
        <v>262</v>
      </c>
      <c r="D13" s="53" t="s">
        <v>91</v>
      </c>
      <c r="E13" s="54">
        <v>390</v>
      </c>
      <c r="F13" s="55" t="s">
        <v>21</v>
      </c>
      <c r="G13" s="56"/>
      <c r="H13" s="57"/>
      <c r="I13" s="50"/>
    </row>
    <row r="14" spans="1:9" x14ac:dyDescent="0.25">
      <c r="A14" s="53"/>
      <c r="B14" s="53"/>
      <c r="C14" s="58"/>
      <c r="D14" s="53"/>
      <c r="E14" s="54"/>
      <c r="F14" s="55"/>
      <c r="G14" s="56"/>
      <c r="H14" s="57"/>
      <c r="I14" s="50"/>
    </row>
    <row r="15" spans="1:9" x14ac:dyDescent="0.25">
      <c r="A15" s="53"/>
      <c r="B15" s="53"/>
      <c r="C15" s="58"/>
      <c r="D15" s="53"/>
      <c r="E15" s="54"/>
      <c r="F15" s="55"/>
      <c r="G15" s="56"/>
      <c r="H15" s="57"/>
      <c r="I15" s="50"/>
    </row>
    <row r="16" spans="1:9" x14ac:dyDescent="0.25">
      <c r="A16" s="53"/>
      <c r="B16" s="53"/>
      <c r="C16" s="58"/>
      <c r="D16" s="53"/>
      <c r="E16" s="54"/>
      <c r="F16" s="55"/>
      <c r="G16" s="56"/>
      <c r="H16" s="57"/>
      <c r="I16" s="50"/>
    </row>
    <row r="17" spans="1:9" x14ac:dyDescent="0.25">
      <c r="A17" s="53"/>
      <c r="B17" s="53"/>
      <c r="C17" s="58"/>
      <c r="D17" s="53"/>
      <c r="E17" s="54"/>
      <c r="F17" s="55"/>
      <c r="G17" s="56"/>
      <c r="H17" s="57"/>
      <c r="I17" s="50"/>
    </row>
    <row r="18" spans="1:9" x14ac:dyDescent="0.25">
      <c r="A18" s="53"/>
      <c r="B18" s="53"/>
      <c r="C18" s="58"/>
      <c r="D18" s="53"/>
      <c r="E18" s="54"/>
      <c r="F18" s="55"/>
      <c r="G18" s="56"/>
      <c r="H18" s="57"/>
      <c r="I18" s="50"/>
    </row>
    <row r="19" spans="1:9" x14ac:dyDescent="0.25">
      <c r="A19" s="53"/>
      <c r="B19" s="53"/>
      <c r="C19" s="58"/>
      <c r="D19" s="53"/>
      <c r="E19" s="54"/>
      <c r="F19" s="55"/>
      <c r="G19" s="56"/>
      <c r="H19" s="57"/>
      <c r="I19" s="50"/>
    </row>
    <row r="20" spans="1:9" ht="15.75" x14ac:dyDescent="0.25">
      <c r="A20" s="513"/>
      <c r="B20" s="513"/>
      <c r="C20" s="3"/>
      <c r="D20" s="59"/>
      <c r="E20" s="59"/>
      <c r="F20" s="59"/>
      <c r="G20" s="60"/>
      <c r="H20" s="57"/>
      <c r="I20" s="50"/>
    </row>
    <row r="21" spans="1:9" ht="15.75" x14ac:dyDescent="0.25">
      <c r="A21" s="61"/>
      <c r="B21" s="62"/>
      <c r="C21" s="63" t="s">
        <v>46</v>
      </c>
      <c r="D21" s="59"/>
      <c r="E21" s="59"/>
      <c r="F21" s="59"/>
      <c r="G21" s="60"/>
      <c r="H21" s="57"/>
      <c r="I21" s="50"/>
    </row>
    <row r="22" spans="1:9" x14ac:dyDescent="0.25">
      <c r="A22" s="51"/>
      <c r="B22" s="52"/>
      <c r="C22" s="3"/>
      <c r="D22" s="64"/>
      <c r="E22" s="64"/>
      <c r="F22" s="64"/>
      <c r="G22" s="48"/>
      <c r="H22" s="57"/>
      <c r="I22" s="50"/>
    </row>
    <row r="23" spans="1:9" x14ac:dyDescent="0.25">
      <c r="A23" s="514"/>
      <c r="B23" s="513"/>
      <c r="C23" s="3"/>
      <c r="D23" s="64"/>
      <c r="E23" s="64"/>
      <c r="F23" s="64"/>
      <c r="G23" s="48"/>
      <c r="H23" s="57"/>
      <c r="I23" s="50"/>
    </row>
    <row r="24" spans="1:9" x14ac:dyDescent="0.25">
      <c r="A24" s="514"/>
      <c r="B24" s="513"/>
      <c r="C24" s="3"/>
      <c r="D24" s="64"/>
      <c r="E24" s="64"/>
      <c r="F24" s="64"/>
      <c r="G24" s="48"/>
      <c r="H24" s="57"/>
      <c r="I24" s="50"/>
    </row>
    <row r="25" spans="1:9" ht="15.75" x14ac:dyDescent="0.25">
      <c r="A25" s="61"/>
      <c r="B25" s="62"/>
      <c r="C25" s="63"/>
      <c r="D25" s="442"/>
      <c r="E25" s="443"/>
      <c r="F25" s="65"/>
      <c r="G25" s="48"/>
      <c r="H25" s="57"/>
      <c r="I25" s="50"/>
    </row>
    <row r="26" spans="1:9" x14ac:dyDescent="0.25">
      <c r="A26" s="444"/>
      <c r="B26" s="445"/>
      <c r="C26" s="446"/>
      <c r="D26" s="447"/>
      <c r="E26" s="448"/>
      <c r="F26" s="449"/>
      <c r="G26" s="48"/>
      <c r="H26" s="57"/>
      <c r="I26" s="50"/>
    </row>
    <row r="27" spans="1:9" x14ac:dyDescent="0.25">
      <c r="A27" s="52"/>
      <c r="B27" s="52"/>
      <c r="C27" s="3"/>
      <c r="D27" s="457"/>
      <c r="E27" s="66"/>
      <c r="F27" s="459"/>
      <c r="G27" s="48"/>
      <c r="H27" s="57"/>
      <c r="I27" s="50"/>
    </row>
    <row r="28" spans="1:9" ht="15.75" x14ac:dyDescent="0.25">
      <c r="A28" s="67"/>
      <c r="B28" s="68"/>
      <c r="C28" s="69" t="s">
        <v>47</v>
      </c>
      <c r="D28" s="70"/>
      <c r="E28" s="71"/>
      <c r="F28" s="49"/>
      <c r="G28" s="48"/>
      <c r="H28" s="57"/>
      <c r="I28" s="50"/>
    </row>
    <row r="29" spans="1:9" x14ac:dyDescent="0.25">
      <c r="A29" s="72"/>
      <c r="B29" s="73"/>
      <c r="C29" s="74"/>
      <c r="D29" s="75"/>
      <c r="E29" s="76"/>
      <c r="F29" s="77"/>
      <c r="G29" s="78"/>
      <c r="H29" s="57"/>
      <c r="I29" s="50"/>
    </row>
    <row r="30" spans="1:9" x14ac:dyDescent="0.25">
      <c r="A30" s="72"/>
      <c r="B30" s="73"/>
      <c r="C30" s="74"/>
      <c r="D30" s="75"/>
      <c r="E30" s="76"/>
      <c r="F30" s="77"/>
      <c r="G30" s="78"/>
      <c r="H30" s="57"/>
      <c r="I30" s="50"/>
    </row>
    <row r="31" spans="1:9" x14ac:dyDescent="0.25">
      <c r="A31" s="79"/>
      <c r="B31" s="80"/>
      <c r="C31" s="81"/>
      <c r="D31" s="75"/>
      <c r="E31" s="76"/>
      <c r="F31" s="77"/>
      <c r="G31" s="78"/>
      <c r="H31" s="57"/>
      <c r="I31" s="50"/>
    </row>
    <row r="32" spans="1:9" x14ac:dyDescent="0.25">
      <c r="A32" s="82"/>
      <c r="B32" s="82"/>
      <c r="C32" s="83"/>
      <c r="D32" s="75"/>
      <c r="E32" s="76"/>
      <c r="F32" s="77"/>
      <c r="G32" s="48"/>
      <c r="H32" s="57"/>
      <c r="I32" s="50"/>
    </row>
    <row r="33" spans="1:9" x14ac:dyDescent="0.25">
      <c r="A33" s="82"/>
      <c r="B33" s="82"/>
      <c r="C33" s="83"/>
      <c r="D33" s="75"/>
      <c r="E33" s="76"/>
      <c r="F33" s="77"/>
      <c r="G33" s="48"/>
      <c r="H33" s="57"/>
      <c r="I33" s="50"/>
    </row>
    <row r="34" spans="1:9" x14ac:dyDescent="0.25">
      <c r="A34" s="82"/>
      <c r="B34" s="82"/>
      <c r="C34" s="83"/>
      <c r="D34" s="75"/>
      <c r="E34" s="76"/>
      <c r="F34" s="77"/>
      <c r="G34" s="465"/>
      <c r="H34" s="57"/>
      <c r="I34" s="50"/>
    </row>
    <row r="35" spans="1:9" ht="15.75" x14ac:dyDescent="0.25">
      <c r="A35" s="82"/>
      <c r="B35" s="82"/>
      <c r="C35" s="83"/>
      <c r="D35" s="59"/>
      <c r="E35" s="76"/>
      <c r="F35" s="77"/>
      <c r="G35" s="84"/>
      <c r="H35" s="57"/>
      <c r="I35" s="50"/>
    </row>
    <row r="36" spans="1:9" x14ac:dyDescent="0.25">
      <c r="A36" s="466"/>
      <c r="B36" s="466"/>
      <c r="C36" s="467"/>
      <c r="D36" s="75"/>
      <c r="E36" s="459"/>
      <c r="F36" s="459"/>
      <c r="G36" s="84"/>
      <c r="H36" s="49"/>
      <c r="I36" s="50"/>
    </row>
    <row r="37" spans="1:9" ht="15.75" thickBot="1" x14ac:dyDescent="0.3">
      <c r="A37" s="85"/>
      <c r="B37" s="86"/>
      <c r="C37" s="87" t="s">
        <v>51</v>
      </c>
      <c r="D37" s="87"/>
      <c r="E37" s="88"/>
      <c r="F37" s="89"/>
      <c r="G37" s="87"/>
      <c r="H37" s="87"/>
      <c r="I37" s="90"/>
    </row>
    <row r="38" spans="1:9" ht="15.75" thickBot="1" x14ac:dyDescent="0.3">
      <c r="A38" s="91"/>
      <c r="B38" s="92"/>
      <c r="C38" s="93" t="s">
        <v>51</v>
      </c>
      <c r="D38" s="94" t="s">
        <v>18</v>
      </c>
      <c r="E38" s="95" t="s">
        <v>30</v>
      </c>
      <c r="F38" s="96"/>
      <c r="G38" s="93"/>
      <c r="H38" s="93"/>
      <c r="I38" s="97"/>
    </row>
    <row r="39" spans="1:9" x14ac:dyDescent="0.25">
      <c r="A39" s="947" t="s">
        <v>31</v>
      </c>
      <c r="B39" s="948"/>
      <c r="C39" s="949"/>
      <c r="D39" s="98">
        <v>24000</v>
      </c>
      <c r="E39" s="99" t="s">
        <v>21</v>
      </c>
      <c r="F39" s="950" t="s">
        <v>52</v>
      </c>
      <c r="G39" s="950"/>
      <c r="H39" s="951"/>
      <c r="I39" s="952"/>
    </row>
    <row r="40" spans="1:9" x14ac:dyDescent="0.25">
      <c r="A40" s="953" t="s">
        <v>53</v>
      </c>
      <c r="B40" s="954"/>
      <c r="C40" s="955"/>
      <c r="D40" s="60">
        <v>10</v>
      </c>
      <c r="E40" s="60" t="s">
        <v>32</v>
      </c>
      <c r="F40" s="956" t="s">
        <v>55</v>
      </c>
      <c r="G40" s="956"/>
      <c r="H40" s="957"/>
      <c r="I40" s="958"/>
    </row>
    <row r="41" spans="1:9" x14ac:dyDescent="0.25">
      <c r="A41" s="953" t="s">
        <v>33</v>
      </c>
      <c r="B41" s="954"/>
      <c r="C41" s="955"/>
      <c r="D41" s="66">
        <v>1</v>
      </c>
      <c r="E41" s="60" t="s">
        <v>169</v>
      </c>
      <c r="F41" s="956" t="s">
        <v>56</v>
      </c>
      <c r="G41" s="956"/>
      <c r="H41" s="957"/>
      <c r="I41" s="958"/>
    </row>
    <row r="42" spans="1:9" x14ac:dyDescent="0.25">
      <c r="A42" s="953" t="s">
        <v>34</v>
      </c>
      <c r="B42" s="954"/>
      <c r="C42" s="955"/>
      <c r="D42" s="66">
        <v>24000</v>
      </c>
      <c r="E42" s="60" t="s">
        <v>21</v>
      </c>
      <c r="F42" s="962" t="s">
        <v>57</v>
      </c>
      <c r="G42" s="963"/>
      <c r="H42" s="1022"/>
      <c r="I42" s="1023"/>
    </row>
    <row r="43" spans="1:9" ht="15.75" thickBot="1" x14ac:dyDescent="0.3">
      <c r="A43" s="964" t="s">
        <v>35</v>
      </c>
      <c r="B43" s="965"/>
      <c r="C43" s="966"/>
      <c r="D43" s="100">
        <v>1375</v>
      </c>
      <c r="E43" s="101" t="s">
        <v>21</v>
      </c>
      <c r="F43" s="967"/>
      <c r="G43" s="967"/>
      <c r="H43" s="957"/>
      <c r="I43" s="958"/>
    </row>
    <row r="44" spans="1:9" ht="15.75" thickBot="1" x14ac:dyDescent="0.3">
      <c r="A44" s="970" t="s">
        <v>36</v>
      </c>
      <c r="B44" s="971"/>
      <c r="C44" s="971"/>
      <c r="D44" s="971"/>
      <c r="E44" s="971"/>
      <c r="F44" s="971"/>
      <c r="G44" s="971"/>
      <c r="H44" s="971"/>
      <c r="I44" s="972"/>
    </row>
    <row r="45" spans="1:9" ht="14.45" customHeight="1" x14ac:dyDescent="0.25">
      <c r="A45" s="980"/>
      <c r="B45" s="981"/>
      <c r="C45" s="981"/>
      <c r="D45" s="981"/>
      <c r="E45" s="981"/>
      <c r="F45" s="981"/>
      <c r="G45" s="981"/>
      <c r="H45" s="981"/>
      <c r="I45" s="982"/>
    </row>
    <row r="46" spans="1:9" ht="15.6" customHeight="1" x14ac:dyDescent="0.25">
      <c r="A46" s="980" t="s">
        <v>263</v>
      </c>
      <c r="B46" s="981"/>
      <c r="C46" s="981"/>
      <c r="D46" s="981"/>
      <c r="E46" s="981"/>
      <c r="F46" s="981"/>
      <c r="G46" s="981"/>
      <c r="H46" s="981"/>
      <c r="I46" s="982"/>
    </row>
    <row r="47" spans="1:9" ht="14.45" customHeight="1" x14ac:dyDescent="0.25">
      <c r="A47" s="980" t="s">
        <v>264</v>
      </c>
      <c r="B47" s="981"/>
      <c r="C47" s="981"/>
      <c r="D47" s="981"/>
      <c r="E47" s="981"/>
      <c r="F47" s="981"/>
      <c r="G47" s="981"/>
      <c r="H47" s="981"/>
      <c r="I47" s="982"/>
    </row>
    <row r="48" spans="1:9" x14ac:dyDescent="0.25">
      <c r="A48" s="980" t="s">
        <v>265</v>
      </c>
      <c r="B48" s="981"/>
      <c r="C48" s="981"/>
      <c r="D48" s="981"/>
      <c r="E48" s="981"/>
      <c r="F48" s="981"/>
      <c r="G48" s="981"/>
      <c r="H48" s="981"/>
      <c r="I48" s="982"/>
    </row>
    <row r="49" spans="1:9" x14ac:dyDescent="0.25">
      <c r="A49" s="980"/>
      <c r="B49" s="981"/>
      <c r="C49" s="981"/>
      <c r="D49" s="981"/>
      <c r="E49" s="981"/>
      <c r="F49" s="981"/>
      <c r="G49" s="981"/>
      <c r="H49" s="981"/>
      <c r="I49" s="982"/>
    </row>
    <row r="50" spans="1:9" ht="14.45" customHeight="1" x14ac:dyDescent="0.25">
      <c r="A50" s="1010"/>
      <c r="B50" s="1011"/>
      <c r="C50" s="1012"/>
      <c r="D50" s="1012"/>
      <c r="E50" s="1012"/>
      <c r="F50" s="1012"/>
      <c r="G50" s="1012"/>
      <c r="H50" s="1012"/>
      <c r="I50" s="1013"/>
    </row>
    <row r="51" spans="1:9" ht="14.45" customHeight="1" x14ac:dyDescent="0.25">
      <c r="A51" s="1018"/>
      <c r="B51" s="1019"/>
      <c r="C51" s="1020"/>
      <c r="D51" s="1020"/>
      <c r="E51" s="1020"/>
      <c r="F51" s="1020"/>
      <c r="G51" s="1020"/>
      <c r="H51" s="1020"/>
      <c r="I51" s="1021"/>
    </row>
    <row r="52" spans="1:9" ht="18" customHeight="1" x14ac:dyDescent="0.25">
      <c r="A52" s="1010"/>
      <c r="B52" s="1011"/>
      <c r="C52" s="1012"/>
      <c r="D52" s="1012"/>
      <c r="E52" s="1012"/>
      <c r="F52" s="1012"/>
      <c r="G52" s="1012"/>
      <c r="H52" s="1012"/>
      <c r="I52" s="1013"/>
    </row>
    <row r="53" spans="1:9" ht="14.45" customHeight="1" thickBot="1" x14ac:dyDescent="0.3">
      <c r="A53" s="1003"/>
      <c r="B53" s="1004"/>
      <c r="C53" s="1005"/>
      <c r="D53" s="1005"/>
      <c r="E53" s="1005"/>
      <c r="F53" s="1005"/>
      <c r="G53" s="1005"/>
      <c r="H53" s="1005"/>
      <c r="I53" s="1006"/>
    </row>
    <row r="54" spans="1:9" ht="14.45" customHeight="1" thickBot="1" x14ac:dyDescent="0.3">
      <c r="A54" s="1007"/>
      <c r="B54" s="1008"/>
      <c r="C54" s="1008"/>
      <c r="D54" s="1008"/>
      <c r="E54" s="1008"/>
      <c r="F54" s="1008"/>
      <c r="G54" s="1008"/>
      <c r="H54" s="1008"/>
      <c r="I54" s="1009"/>
    </row>
    <row r="55" spans="1:9" ht="14.45" customHeight="1" x14ac:dyDescent="0.25">
      <c r="A55" s="976" t="s">
        <v>37</v>
      </c>
      <c r="B55" s="977"/>
      <c r="C55" s="977"/>
      <c r="D55" s="977"/>
      <c r="E55" s="977"/>
      <c r="F55" s="977"/>
      <c r="G55" s="977"/>
      <c r="H55" s="977"/>
      <c r="I55" s="977"/>
    </row>
    <row r="56" spans="1:9" x14ac:dyDescent="0.25">
      <c r="A56" s="978"/>
      <c r="B56" s="979"/>
      <c r="C56" s="979"/>
      <c r="D56" s="979"/>
      <c r="E56" s="979"/>
      <c r="F56" s="979"/>
      <c r="G56" s="979"/>
      <c r="H56" s="979"/>
      <c r="I56" s="979"/>
    </row>
    <row r="57" spans="1:9" x14ac:dyDescent="0.25">
      <c r="A57" s="978"/>
      <c r="B57" s="979"/>
      <c r="C57" s="979"/>
      <c r="D57" s="979"/>
      <c r="E57" s="979"/>
      <c r="F57" s="979"/>
      <c r="G57" s="979"/>
      <c r="H57" s="979"/>
      <c r="I57" s="979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3061B-84B9-4F61-A73B-1A5A3DF6C3FF}">
  <dimension ref="A1:I59"/>
  <sheetViews>
    <sheetView zoomScale="85" zoomScaleNormal="85"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925"/>
      <c r="B1" s="926"/>
      <c r="C1" s="772" t="s">
        <v>0</v>
      </c>
      <c r="D1" s="772"/>
      <c r="E1" s="772"/>
      <c r="F1" s="772"/>
      <c r="G1" s="772"/>
      <c r="H1" s="33" t="s">
        <v>1</v>
      </c>
      <c r="I1" s="34" t="s">
        <v>266</v>
      </c>
    </row>
    <row r="2" spans="1:9" ht="18" customHeight="1" thickBot="1" x14ac:dyDescent="0.3">
      <c r="A2" s="927"/>
      <c r="B2" s="928"/>
      <c r="C2" s="773" t="s">
        <v>2</v>
      </c>
      <c r="D2" s="774"/>
      <c r="E2" s="774"/>
      <c r="F2" s="774"/>
      <c r="G2" s="775"/>
      <c r="H2" s="35" t="s">
        <v>3</v>
      </c>
      <c r="I2" s="36" t="s">
        <v>222</v>
      </c>
    </row>
    <row r="3" spans="1:9" ht="31.5" customHeight="1" thickBot="1" x14ac:dyDescent="0.3">
      <c r="A3" s="927"/>
      <c r="B3" s="928"/>
      <c r="C3" s="1024" t="s">
        <v>267</v>
      </c>
      <c r="D3" s="1025"/>
      <c r="E3" s="1025"/>
      <c r="F3" s="1025"/>
      <c r="G3" s="1026"/>
      <c r="H3" s="935" t="s">
        <v>4</v>
      </c>
      <c r="I3" s="916">
        <v>45617</v>
      </c>
    </row>
    <row r="4" spans="1:9" ht="18" customHeight="1" x14ac:dyDescent="0.25">
      <c r="A4" s="927"/>
      <c r="B4" s="928"/>
      <c r="C4" s="37" t="s">
        <v>5</v>
      </c>
      <c r="D4" s="919" t="s">
        <v>38</v>
      </c>
      <c r="E4" s="920"/>
      <c r="F4" s="920"/>
      <c r="G4" s="921"/>
      <c r="H4" s="936"/>
      <c r="I4" s="917"/>
    </row>
    <row r="5" spans="1:9" ht="15.75" thickBot="1" x14ac:dyDescent="0.3">
      <c r="A5" s="929"/>
      <c r="B5" s="930"/>
      <c r="C5" s="38" t="s">
        <v>7</v>
      </c>
      <c r="D5" s="922" t="s">
        <v>39</v>
      </c>
      <c r="E5" s="923"/>
      <c r="F5" s="923"/>
      <c r="G5" s="924"/>
      <c r="H5" s="937"/>
      <c r="I5" s="918"/>
    </row>
    <row r="6" spans="1:9" ht="18.75" thickBot="1" x14ac:dyDescent="0.3">
      <c r="A6" s="938" t="s">
        <v>9</v>
      </c>
      <c r="B6" s="938"/>
      <c r="C6" s="938"/>
      <c r="D6" s="939" t="s">
        <v>268</v>
      </c>
      <c r="E6" s="939"/>
      <c r="F6" s="939"/>
      <c r="G6" s="940" t="s">
        <v>10</v>
      </c>
      <c r="H6" s="940"/>
      <c r="I6" s="39" t="s">
        <v>268</v>
      </c>
    </row>
    <row r="7" spans="1:9" x14ac:dyDescent="0.25">
      <c r="A7" s="941" t="s">
        <v>12</v>
      </c>
      <c r="B7" s="943" t="s">
        <v>41</v>
      </c>
      <c r="C7" s="945" t="s">
        <v>13</v>
      </c>
      <c r="D7" s="945" t="s">
        <v>14</v>
      </c>
      <c r="E7" s="945" t="s">
        <v>15</v>
      </c>
      <c r="F7" s="945"/>
      <c r="G7" s="945" t="s">
        <v>16</v>
      </c>
      <c r="H7" s="945"/>
      <c r="I7" s="40" t="s">
        <v>17</v>
      </c>
    </row>
    <row r="8" spans="1:9" ht="27" thickBot="1" x14ac:dyDescent="0.3">
      <c r="A8" s="942"/>
      <c r="B8" s="944"/>
      <c r="C8" s="946"/>
      <c r="D8" s="946"/>
      <c r="E8" s="41" t="s">
        <v>18</v>
      </c>
      <c r="F8" s="42" t="s">
        <v>19</v>
      </c>
      <c r="G8" s="41" t="s">
        <v>18</v>
      </c>
      <c r="H8" s="42" t="s">
        <v>19</v>
      </c>
      <c r="I8" s="43" t="s">
        <v>20</v>
      </c>
    </row>
    <row r="9" spans="1:9" ht="18.600000000000001" customHeight="1" x14ac:dyDescent="0.25">
      <c r="A9" s="44"/>
      <c r="B9" s="45"/>
      <c r="C9" s="46" t="s">
        <v>42</v>
      </c>
      <c r="D9" s="47"/>
      <c r="E9" s="48"/>
      <c r="F9" s="49"/>
      <c r="G9" s="48"/>
      <c r="H9" s="49"/>
      <c r="I9" s="50"/>
    </row>
    <row r="10" spans="1:9" ht="18" customHeight="1" x14ac:dyDescent="0.25">
      <c r="A10" s="515">
        <v>510301</v>
      </c>
      <c r="B10" s="516" t="s">
        <v>87</v>
      </c>
      <c r="C10" s="517" t="s">
        <v>269</v>
      </c>
      <c r="D10" s="518" t="s">
        <v>270</v>
      </c>
      <c r="E10" s="519">
        <v>5820</v>
      </c>
      <c r="F10" s="520" t="s">
        <v>21</v>
      </c>
      <c r="G10" s="56"/>
      <c r="H10" s="57"/>
      <c r="I10" s="50"/>
    </row>
    <row r="11" spans="1:9" x14ac:dyDescent="0.25">
      <c r="A11" s="515">
        <v>1210445</v>
      </c>
      <c r="B11" s="52" t="s">
        <v>271</v>
      </c>
      <c r="C11" s="517" t="s">
        <v>272</v>
      </c>
      <c r="D11" s="518"/>
      <c r="E11" s="519">
        <v>350</v>
      </c>
      <c r="F11" s="520" t="s">
        <v>21</v>
      </c>
      <c r="G11" s="56"/>
      <c r="H11" s="57"/>
      <c r="I11" s="50"/>
    </row>
    <row r="12" spans="1:9" x14ac:dyDescent="0.25">
      <c r="A12" s="521">
        <v>11200072</v>
      </c>
      <c r="B12" s="522" t="s">
        <v>273</v>
      </c>
      <c r="C12" s="523" t="s">
        <v>274</v>
      </c>
      <c r="D12" s="524" t="s">
        <v>275</v>
      </c>
      <c r="E12" s="519">
        <v>3622</v>
      </c>
      <c r="F12" s="520" t="s">
        <v>21</v>
      </c>
      <c r="G12" s="60"/>
      <c r="H12" s="57"/>
      <c r="I12" s="50"/>
    </row>
    <row r="13" spans="1:9" ht="15.75" x14ac:dyDescent="0.25">
      <c r="A13" s="52">
        <v>11200087</v>
      </c>
      <c r="B13" s="52" t="s">
        <v>276</v>
      </c>
      <c r="C13" s="525" t="s">
        <v>277</v>
      </c>
      <c r="D13" s="59" t="s">
        <v>278</v>
      </c>
      <c r="E13" s="59">
        <v>3492</v>
      </c>
      <c r="F13" s="59" t="s">
        <v>21</v>
      </c>
      <c r="G13" s="60"/>
      <c r="H13" s="57"/>
      <c r="I13" s="50"/>
    </row>
    <row r="14" spans="1:9" ht="15.75" x14ac:dyDescent="0.25">
      <c r="A14" s="526">
        <v>1160001</v>
      </c>
      <c r="B14" s="526" t="s">
        <v>279</v>
      </c>
      <c r="C14" s="527" t="s">
        <v>280</v>
      </c>
      <c r="D14" s="59" t="s">
        <v>281</v>
      </c>
      <c r="E14" s="59">
        <v>60</v>
      </c>
      <c r="F14" s="59" t="s">
        <v>21</v>
      </c>
      <c r="G14" s="60"/>
      <c r="H14" s="57"/>
      <c r="I14" s="50"/>
    </row>
    <row r="15" spans="1:9" ht="15.75" x14ac:dyDescent="0.25">
      <c r="A15" s="526">
        <v>1212410</v>
      </c>
      <c r="B15" s="526" t="s">
        <v>185</v>
      </c>
      <c r="C15" s="527" t="s">
        <v>186</v>
      </c>
      <c r="D15" s="59" t="s">
        <v>187</v>
      </c>
      <c r="E15" s="59">
        <v>38</v>
      </c>
      <c r="F15" s="59" t="s">
        <v>21</v>
      </c>
      <c r="G15" s="60"/>
      <c r="H15" s="57"/>
      <c r="I15" s="50"/>
    </row>
    <row r="16" spans="1:9" ht="15.75" x14ac:dyDescent="0.25">
      <c r="A16" s="526">
        <v>10100337</v>
      </c>
      <c r="B16" s="526" t="s">
        <v>282</v>
      </c>
      <c r="C16" s="527" t="s">
        <v>283</v>
      </c>
      <c r="D16" s="59" t="s">
        <v>284</v>
      </c>
      <c r="E16" s="59">
        <v>30</v>
      </c>
      <c r="F16" s="59" t="s">
        <v>21</v>
      </c>
      <c r="G16" s="60"/>
      <c r="H16" s="57"/>
      <c r="I16" s="50"/>
    </row>
    <row r="17" spans="1:9" ht="15.75" x14ac:dyDescent="0.25">
      <c r="A17" s="526">
        <v>310145</v>
      </c>
      <c r="B17" s="526" t="s">
        <v>285</v>
      </c>
      <c r="C17" s="527" t="s">
        <v>286</v>
      </c>
      <c r="D17" s="59" t="s">
        <v>245</v>
      </c>
      <c r="E17" s="59">
        <v>518</v>
      </c>
      <c r="F17" s="59" t="s">
        <v>21</v>
      </c>
      <c r="G17" s="60"/>
      <c r="H17" s="57"/>
      <c r="I17" s="50"/>
    </row>
    <row r="18" spans="1:9" ht="15.75" x14ac:dyDescent="0.25">
      <c r="A18" s="526">
        <v>503000036</v>
      </c>
      <c r="B18" s="526" t="s">
        <v>287</v>
      </c>
      <c r="C18" s="527" t="s">
        <v>288</v>
      </c>
      <c r="D18" s="59"/>
      <c r="E18" s="59">
        <v>65</v>
      </c>
      <c r="F18" s="59" t="s">
        <v>21</v>
      </c>
      <c r="G18" s="60"/>
      <c r="H18" s="57"/>
      <c r="I18" s="50"/>
    </row>
    <row r="19" spans="1:9" ht="15.75" x14ac:dyDescent="0.25">
      <c r="A19" s="52">
        <v>11300012</v>
      </c>
      <c r="B19" s="52" t="s">
        <v>289</v>
      </c>
      <c r="C19" s="3" t="s">
        <v>290</v>
      </c>
      <c r="D19" s="59" t="s">
        <v>91</v>
      </c>
      <c r="E19" s="59">
        <v>200</v>
      </c>
      <c r="F19" s="59" t="s">
        <v>21</v>
      </c>
      <c r="G19" s="60"/>
      <c r="H19" s="57"/>
      <c r="I19" s="50"/>
    </row>
    <row r="20" spans="1:9" ht="15.75" x14ac:dyDescent="0.25">
      <c r="A20" s="52"/>
      <c r="B20" s="52"/>
      <c r="C20" s="3"/>
      <c r="D20" s="59"/>
      <c r="E20" s="59"/>
      <c r="F20" s="59"/>
      <c r="G20" s="60"/>
      <c r="H20" s="57"/>
      <c r="I20" s="50"/>
    </row>
    <row r="21" spans="1:9" ht="15.75" x14ac:dyDescent="0.25">
      <c r="A21" s="61"/>
      <c r="B21" s="62"/>
      <c r="C21" s="63" t="s">
        <v>46</v>
      </c>
      <c r="D21" s="59"/>
      <c r="E21" s="59"/>
      <c r="F21" s="59"/>
      <c r="G21" s="60"/>
      <c r="H21" s="57"/>
      <c r="I21" s="50"/>
    </row>
    <row r="22" spans="1:9" x14ac:dyDescent="0.25">
      <c r="A22" s="51"/>
      <c r="B22" s="52"/>
      <c r="C22" s="3"/>
      <c r="D22" s="64"/>
      <c r="E22" s="64"/>
      <c r="F22" s="64"/>
      <c r="G22" s="48"/>
      <c r="H22" s="57"/>
      <c r="I22" s="50"/>
    </row>
    <row r="23" spans="1:9" ht="15.75" x14ac:dyDescent="0.25">
      <c r="A23" s="61"/>
      <c r="B23" s="62"/>
      <c r="C23" s="63"/>
      <c r="D23" s="442"/>
      <c r="E23" s="443"/>
      <c r="F23" s="65"/>
      <c r="G23" s="48"/>
      <c r="H23" s="57"/>
      <c r="I23" s="50"/>
    </row>
    <row r="24" spans="1:9" x14ac:dyDescent="0.25">
      <c r="A24" s="444"/>
      <c r="B24" s="445"/>
      <c r="C24" s="446"/>
      <c r="D24" s="447"/>
      <c r="E24" s="448"/>
      <c r="F24" s="449"/>
      <c r="G24" s="48"/>
      <c r="H24" s="57"/>
      <c r="I24" s="50"/>
    </row>
    <row r="25" spans="1:9" x14ac:dyDescent="0.25">
      <c r="A25" s="444"/>
      <c r="B25" s="445"/>
      <c r="C25" s="446"/>
      <c r="D25" s="447"/>
      <c r="E25" s="450"/>
      <c r="F25" s="449"/>
      <c r="G25" s="48"/>
      <c r="H25" s="49"/>
      <c r="I25" s="50"/>
    </row>
    <row r="26" spans="1:9" x14ac:dyDescent="0.25">
      <c r="A26" s="444"/>
      <c r="B26" s="445"/>
      <c r="C26" s="446"/>
      <c r="D26" s="447"/>
      <c r="E26" s="448"/>
      <c r="F26" s="449"/>
      <c r="G26" s="48"/>
      <c r="H26" s="49"/>
      <c r="I26" s="50"/>
    </row>
    <row r="27" spans="1:9" x14ac:dyDescent="0.25">
      <c r="A27" s="444"/>
      <c r="B27" s="445"/>
      <c r="C27" s="446"/>
      <c r="D27" s="447"/>
      <c r="E27" s="451"/>
      <c r="F27" s="452"/>
      <c r="G27" s="48"/>
      <c r="H27" s="49"/>
      <c r="I27" s="50"/>
    </row>
    <row r="28" spans="1:9" x14ac:dyDescent="0.25">
      <c r="A28" s="52"/>
      <c r="B28" s="52"/>
      <c r="C28" s="3"/>
      <c r="D28" s="457"/>
      <c r="E28" s="66"/>
      <c r="F28" s="459"/>
      <c r="G28" s="48"/>
      <c r="H28" s="49"/>
      <c r="I28" s="50"/>
    </row>
    <row r="29" spans="1:9" ht="15.75" x14ac:dyDescent="0.25">
      <c r="A29" s="67"/>
      <c r="B29" s="68"/>
      <c r="C29" s="69" t="s">
        <v>47</v>
      </c>
      <c r="D29" s="70"/>
      <c r="E29" s="71"/>
      <c r="F29" s="49"/>
      <c r="G29" s="48"/>
      <c r="I29" s="50"/>
    </row>
    <row r="30" spans="1:9" x14ac:dyDescent="0.25">
      <c r="A30" s="72">
        <v>1950708</v>
      </c>
      <c r="B30" s="73" t="s">
        <v>291</v>
      </c>
      <c r="C30" s="74" t="s">
        <v>292</v>
      </c>
      <c r="D30" s="75"/>
      <c r="E30" s="76">
        <v>2</v>
      </c>
      <c r="F30" s="77" t="s">
        <v>23</v>
      </c>
      <c r="G30" s="78"/>
      <c r="H30" s="49"/>
      <c r="I30" s="50"/>
    </row>
    <row r="31" spans="1:9" x14ac:dyDescent="0.25">
      <c r="A31" s="72">
        <v>60100010</v>
      </c>
      <c r="B31" s="73" t="s">
        <v>293</v>
      </c>
      <c r="C31" s="74" t="s">
        <v>294</v>
      </c>
      <c r="D31" s="75"/>
      <c r="E31" s="76">
        <v>2</v>
      </c>
      <c r="F31" s="77" t="s">
        <v>23</v>
      </c>
      <c r="G31" s="78"/>
      <c r="H31" s="49"/>
      <c r="I31" s="50"/>
    </row>
    <row r="32" spans="1:9" x14ac:dyDescent="0.25">
      <c r="A32" s="79">
        <v>702123</v>
      </c>
      <c r="B32" s="80" t="s">
        <v>27</v>
      </c>
      <c r="C32" s="81" t="s">
        <v>188</v>
      </c>
      <c r="D32" s="75"/>
      <c r="E32" s="76">
        <v>2</v>
      </c>
      <c r="F32" s="77" t="s">
        <v>23</v>
      </c>
      <c r="G32" s="78"/>
      <c r="H32" s="49"/>
      <c r="I32" s="50"/>
    </row>
    <row r="33" spans="1:9" x14ac:dyDescent="0.25">
      <c r="A33" s="82">
        <v>1950705</v>
      </c>
      <c r="B33" s="82" t="s">
        <v>295</v>
      </c>
      <c r="C33" s="83" t="s">
        <v>296</v>
      </c>
      <c r="D33" s="75"/>
      <c r="E33" s="76">
        <v>1</v>
      </c>
      <c r="F33" s="77" t="s">
        <v>23</v>
      </c>
      <c r="G33" s="48"/>
      <c r="H33" s="49"/>
      <c r="I33" s="50"/>
    </row>
    <row r="34" spans="1:9" x14ac:dyDescent="0.25">
      <c r="A34" s="82"/>
      <c r="B34" s="82"/>
      <c r="C34" s="83"/>
      <c r="D34" s="75"/>
      <c r="E34" s="76"/>
      <c r="F34" s="77"/>
      <c r="G34" s="48"/>
      <c r="H34" s="49"/>
      <c r="I34" s="50"/>
    </row>
    <row r="35" spans="1:9" x14ac:dyDescent="0.25">
      <c r="A35" s="82"/>
      <c r="B35" s="82"/>
      <c r="C35" s="83"/>
      <c r="D35" s="75"/>
      <c r="E35" s="76"/>
      <c r="F35" s="77"/>
      <c r="G35" s="465"/>
      <c r="H35" s="49"/>
      <c r="I35" s="50"/>
    </row>
    <row r="36" spans="1:9" ht="15.75" x14ac:dyDescent="0.25">
      <c r="A36" s="82"/>
      <c r="B36" s="82"/>
      <c r="C36" s="83"/>
      <c r="D36" s="59"/>
      <c r="E36" s="76"/>
      <c r="F36" s="77"/>
      <c r="G36" s="84"/>
      <c r="H36" s="49"/>
      <c r="I36" s="50"/>
    </row>
    <row r="37" spans="1:9" x14ac:dyDescent="0.25">
      <c r="A37" s="466"/>
      <c r="B37" s="466"/>
      <c r="C37" s="467"/>
      <c r="D37" s="75"/>
      <c r="E37" s="459"/>
      <c r="F37" s="459"/>
      <c r="G37" s="84"/>
      <c r="H37" s="49"/>
      <c r="I37" s="50"/>
    </row>
    <row r="38" spans="1:9" x14ac:dyDescent="0.25">
      <c r="A38" s="460"/>
      <c r="B38" s="52"/>
      <c r="C38" s="461"/>
      <c r="D38" s="464"/>
      <c r="E38" s="66"/>
      <c r="F38" s="60"/>
      <c r="G38" s="84"/>
      <c r="H38" s="49"/>
      <c r="I38" s="50"/>
    </row>
    <row r="39" spans="1:9" ht="15.75" x14ac:dyDescent="0.25">
      <c r="A39" s="82"/>
      <c r="B39" s="82"/>
      <c r="C39" s="83"/>
      <c r="D39" s="75"/>
      <c r="E39" s="66"/>
      <c r="F39" s="60"/>
      <c r="G39" s="311"/>
      <c r="H39" s="49"/>
      <c r="I39" s="50"/>
    </row>
    <row r="40" spans="1:9" ht="15.75" x14ac:dyDescent="0.25">
      <c r="A40" s="61"/>
      <c r="B40" s="62"/>
      <c r="C40" s="468"/>
      <c r="D40" s="442"/>
      <c r="E40" s="442"/>
      <c r="F40" s="65"/>
      <c r="G40" s="131"/>
      <c r="H40" s="131"/>
      <c r="I40" s="50"/>
    </row>
    <row r="41" spans="1:9" ht="15.75" thickBot="1" x14ac:dyDescent="0.3">
      <c r="A41" s="85"/>
      <c r="B41" s="86"/>
      <c r="C41" s="87"/>
      <c r="D41" s="87"/>
      <c r="E41" s="88"/>
      <c r="F41" s="89"/>
      <c r="G41" s="87"/>
      <c r="H41" s="87"/>
      <c r="I41" s="90"/>
    </row>
    <row r="42" spans="1:9" ht="15.75" thickBot="1" x14ac:dyDescent="0.3">
      <c r="A42" s="91"/>
      <c r="B42" s="92"/>
      <c r="C42" s="93"/>
      <c r="D42" s="94" t="s">
        <v>18</v>
      </c>
      <c r="E42" s="95" t="s">
        <v>30</v>
      </c>
      <c r="F42" s="96"/>
      <c r="G42" s="93"/>
      <c r="H42" s="93"/>
      <c r="I42" s="97"/>
    </row>
    <row r="43" spans="1:9" x14ac:dyDescent="0.25">
      <c r="A43" s="947" t="s">
        <v>31</v>
      </c>
      <c r="B43" s="948"/>
      <c r="C43" s="949"/>
      <c r="D43" s="458">
        <v>14195</v>
      </c>
      <c r="E43" s="99" t="s">
        <v>21</v>
      </c>
      <c r="F43" s="950" t="s">
        <v>52</v>
      </c>
      <c r="G43" s="950"/>
      <c r="H43" s="951"/>
      <c r="I43" s="952"/>
    </row>
    <row r="44" spans="1:9" x14ac:dyDescent="0.25">
      <c r="A44" s="953" t="s">
        <v>53</v>
      </c>
      <c r="B44" s="954"/>
      <c r="C44" s="955"/>
      <c r="D44" s="66">
        <v>3</v>
      </c>
      <c r="E44" s="60" t="s">
        <v>32</v>
      </c>
      <c r="F44" s="956" t="s">
        <v>55</v>
      </c>
      <c r="G44" s="956"/>
      <c r="H44" s="957"/>
      <c r="I44" s="958"/>
    </row>
    <row r="45" spans="1:9" x14ac:dyDescent="0.25">
      <c r="A45" s="953" t="s">
        <v>33</v>
      </c>
      <c r="B45" s="954"/>
      <c r="C45" s="955"/>
      <c r="D45" s="66">
        <v>1</v>
      </c>
      <c r="E45" s="60" t="s">
        <v>23</v>
      </c>
      <c r="F45" s="956" t="s">
        <v>56</v>
      </c>
      <c r="G45" s="956"/>
      <c r="H45" s="957"/>
      <c r="I45" s="958"/>
    </row>
    <row r="46" spans="1:9" x14ac:dyDescent="0.25">
      <c r="A46" s="953" t="s">
        <v>34</v>
      </c>
      <c r="B46" s="954"/>
      <c r="C46" s="955"/>
      <c r="D46" s="66">
        <v>14195</v>
      </c>
      <c r="E46" s="60" t="s">
        <v>21</v>
      </c>
      <c r="F46" s="962" t="s">
        <v>57</v>
      </c>
      <c r="G46" s="963"/>
      <c r="H46" s="1022"/>
      <c r="I46" s="1023"/>
    </row>
    <row r="47" spans="1:9" ht="15.75" thickBot="1" x14ac:dyDescent="0.3">
      <c r="A47" s="964" t="s">
        <v>35</v>
      </c>
      <c r="B47" s="965"/>
      <c r="C47" s="966"/>
      <c r="D47" s="100">
        <v>0</v>
      </c>
      <c r="E47" s="101" t="s">
        <v>21</v>
      </c>
      <c r="F47" s="967"/>
      <c r="G47" s="967"/>
      <c r="H47" s="957"/>
      <c r="I47" s="958"/>
    </row>
    <row r="48" spans="1:9" ht="15.75" thickBot="1" x14ac:dyDescent="0.3">
      <c r="A48" s="970" t="s">
        <v>36</v>
      </c>
      <c r="B48" s="971"/>
      <c r="C48" s="971"/>
      <c r="D48" s="971"/>
      <c r="E48" s="971"/>
      <c r="F48" s="971"/>
      <c r="G48" s="971"/>
      <c r="H48" s="971"/>
      <c r="I48" s="972"/>
    </row>
    <row r="49" spans="1:9" ht="14.45" customHeight="1" x14ac:dyDescent="0.25">
      <c r="A49" s="980" t="s">
        <v>297</v>
      </c>
      <c r="B49" s="981"/>
      <c r="C49" s="981"/>
      <c r="D49" s="981"/>
      <c r="E49" s="981"/>
      <c r="F49" s="981"/>
      <c r="G49" s="981"/>
      <c r="H49" s="981"/>
      <c r="I49" s="982"/>
    </row>
    <row r="50" spans="1:9" ht="15.6" customHeight="1" x14ac:dyDescent="0.25">
      <c r="A50" s="980" t="s">
        <v>298</v>
      </c>
      <c r="B50" s="981"/>
      <c r="C50" s="981"/>
      <c r="D50" s="981"/>
      <c r="E50" s="981"/>
      <c r="F50" s="981"/>
      <c r="G50" s="981"/>
      <c r="H50" s="981"/>
      <c r="I50" s="982"/>
    </row>
    <row r="51" spans="1:9" ht="14.45" customHeight="1" x14ac:dyDescent="0.25">
      <c r="A51" s="980" t="s">
        <v>299</v>
      </c>
      <c r="B51" s="981"/>
      <c r="C51" s="981"/>
      <c r="D51" s="981"/>
      <c r="E51" s="981"/>
      <c r="F51" s="981"/>
      <c r="G51" s="981"/>
      <c r="H51" s="981"/>
      <c r="I51" s="982"/>
    </row>
    <row r="52" spans="1:9" ht="14.45" customHeight="1" x14ac:dyDescent="0.25">
      <c r="A52" s="980" t="s">
        <v>300</v>
      </c>
      <c r="B52" s="981"/>
      <c r="C52" s="981"/>
      <c r="D52" s="981"/>
      <c r="E52" s="981"/>
      <c r="F52" s="981"/>
      <c r="G52" s="981"/>
      <c r="H52" s="981"/>
      <c r="I52" s="982"/>
    </row>
    <row r="53" spans="1:9" ht="14.45" customHeight="1" x14ac:dyDescent="0.25">
      <c r="A53" s="980"/>
      <c r="B53" s="981"/>
      <c r="C53" s="981"/>
      <c r="D53" s="981"/>
      <c r="E53" s="981"/>
      <c r="F53" s="981"/>
      <c r="G53" s="981"/>
      <c r="H53" s="981"/>
      <c r="I53" s="982"/>
    </row>
    <row r="54" spans="1:9" ht="18" customHeight="1" x14ac:dyDescent="0.25">
      <c r="A54" s="980"/>
      <c r="B54" s="981"/>
      <c r="C54" s="981"/>
      <c r="D54" s="981"/>
      <c r="E54" s="981"/>
      <c r="F54" s="981"/>
      <c r="G54" s="981"/>
      <c r="H54" s="981"/>
      <c r="I54" s="982"/>
    </row>
    <row r="55" spans="1:9" x14ac:dyDescent="0.25">
      <c r="A55" s="989"/>
      <c r="B55" s="990"/>
      <c r="C55" s="990"/>
      <c r="D55" s="990"/>
      <c r="E55" s="990"/>
      <c r="F55" s="990"/>
      <c r="G55" s="990"/>
      <c r="H55" s="990"/>
      <c r="I55" s="991"/>
    </row>
    <row r="56" spans="1:9" ht="15.75" thickBot="1" x14ac:dyDescent="0.3">
      <c r="A56" s="989"/>
      <c r="B56" s="990"/>
      <c r="C56" s="990"/>
      <c r="D56" s="990"/>
      <c r="E56" s="990"/>
      <c r="F56" s="990"/>
      <c r="G56" s="990"/>
      <c r="H56" s="990"/>
      <c r="I56" s="991"/>
    </row>
    <row r="57" spans="1:9" x14ac:dyDescent="0.25">
      <c r="A57" s="976" t="s">
        <v>37</v>
      </c>
      <c r="B57" s="977"/>
      <c r="C57" s="977"/>
      <c r="D57" s="977"/>
      <c r="E57" s="977"/>
      <c r="F57" s="977"/>
      <c r="G57" s="977"/>
      <c r="H57" s="977"/>
      <c r="I57" s="977"/>
    </row>
    <row r="58" spans="1:9" x14ac:dyDescent="0.25">
      <c r="A58" s="978"/>
      <c r="B58" s="979"/>
      <c r="C58" s="979"/>
      <c r="D58" s="979"/>
      <c r="E58" s="979"/>
      <c r="F58" s="979"/>
      <c r="G58" s="979"/>
      <c r="H58" s="979"/>
      <c r="I58" s="979"/>
    </row>
    <row r="59" spans="1:9" x14ac:dyDescent="0.25">
      <c r="A59" s="978"/>
      <c r="B59" s="979"/>
      <c r="C59" s="979"/>
      <c r="D59" s="979"/>
      <c r="E59" s="979"/>
      <c r="F59" s="979"/>
      <c r="G59" s="979"/>
      <c r="H59" s="979"/>
      <c r="I59" s="979"/>
    </row>
  </sheetData>
  <mergeCells count="44">
    <mergeCell ref="A57:I57"/>
    <mergeCell ref="A58:I58"/>
    <mergeCell ref="A59:I59"/>
    <mergeCell ref="A51:I51"/>
    <mergeCell ref="A52:I52"/>
    <mergeCell ref="A53:I53"/>
    <mergeCell ref="A54:I54"/>
    <mergeCell ref="A55:I55"/>
    <mergeCell ref="A56:I56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43:C43"/>
    <mergeCell ref="F43:G43"/>
    <mergeCell ref="H43:I43"/>
    <mergeCell ref="A44:C44"/>
    <mergeCell ref="F44:G44"/>
    <mergeCell ref="H44:I4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B2871-2B6C-4962-95E3-96D4E3F11DD2}">
  <dimension ref="A1:Q91"/>
  <sheetViews>
    <sheetView topLeftCell="A27" workbookViewId="0">
      <selection activeCell="B66" sqref="B66:E66"/>
    </sheetView>
  </sheetViews>
  <sheetFormatPr baseColWidth="10" defaultColWidth="8.42578125" defaultRowHeight="12.75" x14ac:dyDescent="0.25"/>
  <cols>
    <col min="1" max="1" width="10" style="176" bestFit="1" customWidth="1"/>
    <col min="2" max="2" width="44.28515625" style="176" bestFit="1" customWidth="1"/>
    <col min="3" max="3" width="10.42578125" style="176" bestFit="1" customWidth="1"/>
    <col min="4" max="4" width="10.42578125" style="176" customWidth="1"/>
    <col min="5" max="5" width="11" style="176" customWidth="1"/>
    <col min="6" max="6" width="9.5703125" style="176" bestFit="1" customWidth="1"/>
    <col min="7" max="7" width="10.85546875" style="258" customWidth="1"/>
    <col min="8" max="8" width="10.42578125" style="249" bestFit="1" customWidth="1"/>
    <col min="9" max="9" width="4.5703125" style="249" customWidth="1"/>
    <col min="10" max="10" width="1.85546875" style="175" customWidth="1"/>
    <col min="11" max="11" width="7" style="176" bestFit="1" customWidth="1"/>
    <col min="12" max="12" width="6.28515625" style="176" customWidth="1"/>
    <col min="13" max="13" width="20.42578125" style="176" customWidth="1"/>
    <col min="14" max="14" width="6.42578125" style="176" bestFit="1" customWidth="1"/>
    <col min="15" max="16" width="8.42578125" style="176"/>
    <col min="17" max="17" width="3.28515625" style="176" customWidth="1"/>
    <col min="18" max="16384" width="8.42578125" style="176"/>
  </cols>
  <sheetData>
    <row r="1" spans="1:10" ht="27.75" customHeight="1" x14ac:dyDescent="0.25">
      <c r="A1" s="171"/>
      <c r="B1" s="171"/>
      <c r="C1" s="171"/>
      <c r="D1" s="171"/>
      <c r="E1" s="172" t="s">
        <v>93</v>
      </c>
      <c r="F1" s="173" t="s">
        <v>94</v>
      </c>
      <c r="G1" s="173" t="s">
        <v>95</v>
      </c>
      <c r="H1" s="173" t="s">
        <v>96</v>
      </c>
      <c r="I1" s="174"/>
    </row>
    <row r="2" spans="1:10" ht="30.75" customHeight="1" x14ac:dyDescent="0.25">
      <c r="A2" s="171"/>
      <c r="B2" s="171"/>
      <c r="C2" s="171"/>
      <c r="D2" s="171"/>
      <c r="E2" s="177">
        <f>IFERROR(O62,"")</f>
        <v>744.02693853155404</v>
      </c>
      <c r="F2" s="177">
        <f>IFERROR(H53,"")</f>
        <v>733.49572649572644</v>
      </c>
      <c r="G2" s="177">
        <f>IFERROR(H54,"")</f>
        <v>9.4355555555555561</v>
      </c>
      <c r="H2" s="177">
        <f>IFERROR(H56,"")</f>
        <v>30.846153846153847</v>
      </c>
      <c r="I2" s="178"/>
    </row>
    <row r="3" spans="1:10" ht="15" customHeight="1" x14ac:dyDescent="0.25">
      <c r="A3" s="171"/>
      <c r="B3" s="171"/>
      <c r="C3" s="171"/>
      <c r="D3" s="171"/>
      <c r="E3" s="171"/>
      <c r="F3" s="179"/>
      <c r="G3" s="179"/>
      <c r="H3" s="179"/>
      <c r="I3" s="179"/>
    </row>
    <row r="4" spans="1:10" ht="24.75" customHeight="1" thickBot="1" x14ac:dyDescent="0.3">
      <c r="A4" s="727"/>
      <c r="B4" s="727"/>
      <c r="C4" s="727"/>
      <c r="D4" s="727"/>
      <c r="E4" s="727"/>
      <c r="F4" s="727"/>
      <c r="G4" s="727"/>
      <c r="H4" s="727"/>
      <c r="I4" s="180"/>
    </row>
    <row r="5" spans="1:10" ht="19.5" customHeight="1" thickBot="1" x14ac:dyDescent="0.3">
      <c r="A5" s="728" t="s">
        <v>97</v>
      </c>
      <c r="B5" s="729"/>
      <c r="C5" s="729"/>
      <c r="D5" s="729"/>
      <c r="E5" s="729"/>
      <c r="F5" s="729"/>
      <c r="G5" s="729"/>
      <c r="H5" s="730"/>
      <c r="I5" s="181"/>
    </row>
    <row r="6" spans="1:10" ht="19.5" thickBot="1" x14ac:dyDescent="0.3">
      <c r="A6" s="181"/>
      <c r="B6" s="181"/>
      <c r="C6" s="181"/>
      <c r="D6" s="181"/>
      <c r="E6" s="181"/>
      <c r="F6" s="731" t="s">
        <v>98</v>
      </c>
      <c r="G6" s="731"/>
      <c r="H6" s="182">
        <f ca="1">TODAY()</f>
        <v>46056</v>
      </c>
      <c r="I6" s="182"/>
    </row>
    <row r="7" spans="1:10" ht="26.25" hidden="1" thickBot="1" x14ac:dyDescent="0.3">
      <c r="A7" s="183" t="s">
        <v>99</v>
      </c>
      <c r="B7" s="184" t="s">
        <v>100</v>
      </c>
      <c r="C7" s="184" t="s">
        <v>99</v>
      </c>
      <c r="D7" s="185" t="s">
        <v>101</v>
      </c>
      <c r="E7" s="185" t="s">
        <v>102</v>
      </c>
      <c r="F7" s="185" t="s">
        <v>103</v>
      </c>
      <c r="G7" s="185" t="s">
        <v>104</v>
      </c>
      <c r="H7" s="186" t="s">
        <v>105</v>
      </c>
      <c r="I7" s="187"/>
    </row>
    <row r="8" spans="1:10" ht="13.5" hidden="1" x14ac:dyDescent="0.25">
      <c r="A8" s="188"/>
      <c r="B8" s="176" t="str">
        <f>IFERROR(VLOOKUP(H8,'[1]Consolidado MP Planta'!$A$2:$M$823,3,0),"")</f>
        <v/>
      </c>
      <c r="C8" s="189">
        <f>+A8</f>
        <v>0</v>
      </c>
      <c r="D8" s="190" t="str">
        <f>IFERROR(VLOOKUP(H8,'[1]Consolidado MP Planta'!$A$2:$M$823,13,0),"")</f>
        <v/>
      </c>
      <c r="E8" s="190" t="str">
        <f>IFERROR(VLOOKUP(H8,'[1]Consolidado MP Planta'!$A$2:$M$823,12,0),"")</f>
        <v/>
      </c>
      <c r="F8" s="190" t="str">
        <f>IFERROR(C8*E8,"")</f>
        <v/>
      </c>
      <c r="G8" s="191" t="str">
        <f t="shared" ref="G8:G14" si="0">IFERROR(F8/$F$66,"")</f>
        <v/>
      </c>
      <c r="H8" s="192"/>
      <c r="I8" s="192"/>
      <c r="J8" s="193"/>
    </row>
    <row r="9" spans="1:10" ht="13.5" hidden="1" x14ac:dyDescent="0.25">
      <c r="A9" s="188"/>
      <c r="B9" s="176" t="str">
        <f>IFERROR(VLOOKUP(H9,'[1]Consolidado MP Planta'!$A$2:$M$823,3,0),"")</f>
        <v/>
      </c>
      <c r="C9" s="189">
        <f t="shared" ref="C9:C14" si="1">+A9</f>
        <v>0</v>
      </c>
      <c r="D9" s="190" t="str">
        <f>IFERROR(VLOOKUP(H9,'[1]Consolidado MP Planta'!$A$2:$M$823,13,0),"")</f>
        <v/>
      </c>
      <c r="E9" s="190" t="str">
        <f>IFERROR(VLOOKUP(H9,'[1]Consolidado MP Planta'!$A$2:$M$823,12,0),"")</f>
        <v/>
      </c>
      <c r="F9" s="190" t="str">
        <f t="shared" ref="F9:F14" si="2">IFERROR(C9*E9,"")</f>
        <v/>
      </c>
      <c r="G9" s="191" t="str">
        <f t="shared" si="0"/>
        <v/>
      </c>
      <c r="H9" s="192"/>
      <c r="I9" s="192"/>
      <c r="J9" s="193"/>
    </row>
    <row r="10" spans="1:10" ht="13.5" hidden="1" x14ac:dyDescent="0.25">
      <c r="A10" s="188"/>
      <c r="B10" s="176" t="str">
        <f>IFERROR(VLOOKUP(H10,'[1]Consolidado MP Planta'!$A$2:$M$823,3,0),"")</f>
        <v/>
      </c>
      <c r="C10" s="189">
        <f t="shared" si="1"/>
        <v>0</v>
      </c>
      <c r="D10" s="190" t="str">
        <f>IFERROR(VLOOKUP(H10,'[1]Consolidado MP Planta'!$A$2:$M$823,13,0),"")</f>
        <v/>
      </c>
      <c r="E10" s="190" t="str">
        <f>IFERROR(VLOOKUP(H10,'[1]Consolidado MP Planta'!$A$2:$M$823,12,0),"")</f>
        <v/>
      </c>
      <c r="F10" s="190" t="str">
        <f t="shared" si="2"/>
        <v/>
      </c>
      <c r="G10" s="191" t="str">
        <f t="shared" si="0"/>
        <v/>
      </c>
      <c r="H10" s="192"/>
      <c r="I10" s="192"/>
      <c r="J10" s="193"/>
    </row>
    <row r="11" spans="1:10" ht="13.5" hidden="1" x14ac:dyDescent="0.25">
      <c r="A11" s="188"/>
      <c r="B11" s="176" t="str">
        <f>IFERROR(VLOOKUP(H11,'[1]Consolidado MP Planta'!$A$2:$M$823,3,0),"")</f>
        <v/>
      </c>
      <c r="C11" s="189">
        <f t="shared" si="1"/>
        <v>0</v>
      </c>
      <c r="D11" s="190" t="str">
        <f>IFERROR(VLOOKUP(H11,'[1]Consolidado MP Planta'!$A$2:$M$823,13,0),"")</f>
        <v/>
      </c>
      <c r="E11" s="190" t="str">
        <f>IFERROR(VLOOKUP(H11,'[1]Consolidado MP Planta'!$A$2:$M$823,12,0),"")</f>
        <v/>
      </c>
      <c r="F11" s="190" t="str">
        <f t="shared" si="2"/>
        <v/>
      </c>
      <c r="G11" s="191" t="str">
        <f t="shared" si="0"/>
        <v/>
      </c>
      <c r="H11" s="192"/>
      <c r="I11" s="192"/>
      <c r="J11" s="193"/>
    </row>
    <row r="12" spans="1:10" ht="13.5" hidden="1" x14ac:dyDescent="0.25">
      <c r="A12" s="188"/>
      <c r="B12" s="176" t="str">
        <f>IFERROR(VLOOKUP(H12,'[1]Consolidado MP Planta'!$A$2:$M$823,3,0),"")</f>
        <v/>
      </c>
      <c r="C12" s="189">
        <f t="shared" si="1"/>
        <v>0</v>
      </c>
      <c r="D12" s="190" t="str">
        <f>IFERROR(VLOOKUP(H12,'[1]Consolidado MP Planta'!$A$2:$M$823,13,0),"")</f>
        <v/>
      </c>
      <c r="E12" s="190" t="str">
        <f>IFERROR(VLOOKUP(H12,'[1]Consolidado MP Planta'!$A$2:$M$823,12,0),"")</f>
        <v/>
      </c>
      <c r="F12" s="190" t="str">
        <f t="shared" si="2"/>
        <v/>
      </c>
      <c r="G12" s="191" t="str">
        <f t="shared" si="0"/>
        <v/>
      </c>
      <c r="H12" s="192"/>
      <c r="I12" s="192"/>
      <c r="J12" s="193"/>
    </row>
    <row r="13" spans="1:10" ht="13.5" hidden="1" x14ac:dyDescent="0.25">
      <c r="A13" s="188"/>
      <c r="B13" s="176" t="str">
        <f>IFERROR(VLOOKUP(H13,'[1]Consolidado MP Planta'!$A$2:$M$823,3,0),"")</f>
        <v/>
      </c>
      <c r="C13" s="189">
        <f t="shared" si="1"/>
        <v>0</v>
      </c>
      <c r="D13" s="190" t="str">
        <f>IFERROR(VLOOKUP(H13,'[1]Consolidado MP Planta'!$A$2:$M$823,13,0),"")</f>
        <v/>
      </c>
      <c r="E13" s="190" t="str">
        <f>IFERROR(VLOOKUP(H13,'[1]Consolidado MP Planta'!$A$2:$M$823,12,0),"")</f>
        <v/>
      </c>
      <c r="F13" s="190" t="str">
        <f t="shared" si="2"/>
        <v/>
      </c>
      <c r="G13" s="191" t="str">
        <f t="shared" si="0"/>
        <v/>
      </c>
      <c r="H13" s="192"/>
      <c r="I13" s="192"/>
      <c r="J13" s="193"/>
    </row>
    <row r="14" spans="1:10" ht="13.5" hidden="1" x14ac:dyDescent="0.25">
      <c r="A14" s="188"/>
      <c r="B14" s="176" t="str">
        <f>IFERROR(VLOOKUP(H14,'[1]Consolidado MP Planta'!$A$2:$M$823,3,0),"")</f>
        <v/>
      </c>
      <c r="C14" s="189">
        <f t="shared" si="1"/>
        <v>0</v>
      </c>
      <c r="D14" s="190" t="str">
        <f>IFERROR(VLOOKUP(H14,'[1]Consolidado MP Planta'!$A$2:$M$823,13,0),"")</f>
        <v/>
      </c>
      <c r="E14" s="190" t="str">
        <f>IFERROR(VLOOKUP(H14,'[1]Consolidado MP Planta'!$A$2:$M$823,12,0),"")</f>
        <v/>
      </c>
      <c r="F14" s="190" t="str">
        <f t="shared" si="2"/>
        <v/>
      </c>
      <c r="G14" s="191" t="str">
        <f t="shared" si="0"/>
        <v/>
      </c>
      <c r="H14" s="192"/>
      <c r="I14" s="192"/>
      <c r="J14" s="193"/>
    </row>
    <row r="15" spans="1:10" ht="14.25" hidden="1" thickBot="1" x14ac:dyDescent="0.3">
      <c r="A15" s="188"/>
      <c r="B15" s="176" t="str">
        <f>IFERROR(VLOOKUP(H15,[2]Hoja2!$A$2:$G$589,2,0),"")</f>
        <v/>
      </c>
      <c r="C15" s="189"/>
      <c r="D15" s="190"/>
      <c r="E15" s="190"/>
      <c r="F15" s="190"/>
      <c r="G15" s="191"/>
      <c r="H15" s="192"/>
      <c r="I15" s="192"/>
      <c r="J15" s="193"/>
    </row>
    <row r="16" spans="1:10" ht="26.25" thickBot="1" x14ac:dyDescent="0.3">
      <c r="A16" s="183" t="s">
        <v>99</v>
      </c>
      <c r="B16" s="184" t="s">
        <v>106</v>
      </c>
      <c r="C16" s="184" t="s">
        <v>99</v>
      </c>
      <c r="D16" s="185" t="s">
        <v>101</v>
      </c>
      <c r="E16" s="185" t="s">
        <v>102</v>
      </c>
      <c r="F16" s="185" t="s">
        <v>103</v>
      </c>
      <c r="G16" s="185" t="s">
        <v>104</v>
      </c>
      <c r="H16" s="186" t="s">
        <v>105</v>
      </c>
      <c r="I16" s="187"/>
      <c r="J16" s="193"/>
    </row>
    <row r="17" spans="1:12" ht="13.5" x14ac:dyDescent="0.25">
      <c r="A17" s="188">
        <v>24000</v>
      </c>
      <c r="B17" s="176" t="s">
        <v>44</v>
      </c>
      <c r="C17" s="189">
        <f>+A17</f>
        <v>24000</v>
      </c>
      <c r="D17" s="189" t="s">
        <v>144</v>
      </c>
      <c r="E17" s="190">
        <v>1.76</v>
      </c>
      <c r="F17" s="190">
        <f>IFERROR(E17*C17,"")</f>
        <v>42240</v>
      </c>
      <c r="G17" s="191">
        <f t="shared" ref="G17:G24" si="3">IFERROR(F17/$F$66,"")</f>
        <v>0.93044422764428203</v>
      </c>
      <c r="H17" s="192" t="s">
        <v>43</v>
      </c>
      <c r="I17" s="192"/>
      <c r="J17" s="193"/>
    </row>
    <row r="18" spans="1:12" ht="13.5" x14ac:dyDescent="0.25">
      <c r="A18" s="188">
        <v>650</v>
      </c>
      <c r="B18" s="176" t="s">
        <v>48</v>
      </c>
      <c r="C18" s="189">
        <f t="shared" ref="C18:C24" si="4">+A18</f>
        <v>650</v>
      </c>
      <c r="D18" s="189" t="s">
        <v>144</v>
      </c>
      <c r="E18" s="190">
        <v>1.03</v>
      </c>
      <c r="F18" s="190">
        <f t="shared" ref="F18:F24" si="5">IFERROR(E18*C18,"")</f>
        <v>669.5</v>
      </c>
      <c r="G18" s="191">
        <f t="shared" si="3"/>
        <v>1.474745289791304E-2</v>
      </c>
      <c r="H18" s="192" t="s">
        <v>148</v>
      </c>
      <c r="I18" s="192"/>
      <c r="J18" s="193"/>
    </row>
    <row r="19" spans="1:12" ht="13.5" hidden="1" x14ac:dyDescent="0.25">
      <c r="A19" s="188"/>
      <c r="B19" s="176" t="str">
        <f>IFERROR(VLOOKUP(H19,[1]SEMIELABORADOS!$A$2:$M$6000,2,0),"")</f>
        <v/>
      </c>
      <c r="C19" s="189">
        <f>+A19</f>
        <v>0</v>
      </c>
      <c r="D19" s="189" t="str">
        <f>IFERROR(VLOOKUP(H19,[1]SEMIELABORADOS!$A$2:$M$6000,6,0),"")</f>
        <v/>
      </c>
      <c r="E19" s="190" t="str">
        <f>IFERROR(VLOOKUP(H19,[1]SEMIELABORADOS!$A$2:$H$65536,8,0),"")</f>
        <v/>
      </c>
      <c r="F19" s="190" t="str">
        <f>IFERROR(E19*C19,"")</f>
        <v/>
      </c>
      <c r="G19" s="191" t="str">
        <f t="shared" si="3"/>
        <v/>
      </c>
      <c r="H19" s="192"/>
      <c r="I19" s="192"/>
      <c r="J19" s="193"/>
    </row>
    <row r="20" spans="1:12" ht="13.5" hidden="1" x14ac:dyDescent="0.25">
      <c r="A20" s="188"/>
      <c r="B20" s="176" t="str">
        <f>IFERROR(VLOOKUP(H20,[1]SEMIELABORADOS!$A$2:$M$6000,2,0),"")</f>
        <v/>
      </c>
      <c r="C20" s="189">
        <f>+A20</f>
        <v>0</v>
      </c>
      <c r="D20" s="189" t="str">
        <f>IFERROR(VLOOKUP(H20,[1]SEMIELABORADOS!$A$2:$M$6000,6,0),"")</f>
        <v/>
      </c>
      <c r="E20" s="190" t="str">
        <f>IFERROR(VLOOKUP(H20,[1]SEMIELABORADOS!$A$2:$H$65536,8,0),"")</f>
        <v/>
      </c>
      <c r="F20" s="190" t="str">
        <f>IFERROR(E20*C20,"")</f>
        <v/>
      </c>
      <c r="G20" s="191" t="str">
        <f t="shared" si="3"/>
        <v/>
      </c>
      <c r="H20" s="192"/>
      <c r="I20" s="192"/>
      <c r="J20" s="193"/>
    </row>
    <row r="21" spans="1:12" ht="13.5" hidden="1" x14ac:dyDescent="0.25">
      <c r="A21" s="188"/>
      <c r="B21" s="176" t="str">
        <f>IFERROR(VLOOKUP(H21,[1]SEMIELABORADOS!$A$2:$M$6000,2,0),"")</f>
        <v/>
      </c>
      <c r="C21" s="189">
        <f>+A21</f>
        <v>0</v>
      </c>
      <c r="D21" s="189" t="str">
        <f>IFERROR(VLOOKUP(H21,[1]SEMIELABORADOS!$A$2:$M$6000,6,0),"")</f>
        <v/>
      </c>
      <c r="E21" s="190" t="str">
        <f>IFERROR(VLOOKUP(H21,[1]SEMIELABORADOS!$A$2:$H$65536,8,0),"")</f>
        <v/>
      </c>
      <c r="F21" s="190" t="str">
        <f>IFERROR(E21*C21,"")</f>
        <v/>
      </c>
      <c r="G21" s="191" t="str">
        <f t="shared" si="3"/>
        <v/>
      </c>
      <c r="H21" s="192"/>
      <c r="I21" s="192"/>
      <c r="J21" s="193"/>
    </row>
    <row r="22" spans="1:12" ht="13.5" hidden="1" x14ac:dyDescent="0.25">
      <c r="A22" s="188"/>
      <c r="B22" s="176" t="str">
        <f>IFERROR(VLOOKUP(H22,[1]SEMIELABORADOS!$A$2:$M$6000,2,0),"")</f>
        <v/>
      </c>
      <c r="C22" s="189">
        <f t="shared" si="4"/>
        <v>0</v>
      </c>
      <c r="D22" s="189" t="str">
        <f>IFERROR(VLOOKUP(H22,[1]SEMIELABORADOS!$A$2:$M$6000,6,0),"")</f>
        <v/>
      </c>
      <c r="E22" s="190" t="str">
        <f>IFERROR(VLOOKUP(H22,[1]SEMIELABORADOS!$A$2:$H$65536,8,0),"")</f>
        <v/>
      </c>
      <c r="F22" s="190" t="str">
        <f t="shared" si="5"/>
        <v/>
      </c>
      <c r="G22" s="191" t="str">
        <f t="shared" si="3"/>
        <v/>
      </c>
      <c r="H22" s="192"/>
      <c r="I22" s="192"/>
      <c r="J22" s="193"/>
    </row>
    <row r="23" spans="1:12" ht="13.5" hidden="1" x14ac:dyDescent="0.25">
      <c r="A23" s="188"/>
      <c r="B23" s="176" t="str">
        <f>IFERROR(VLOOKUP(H23,[1]SEMIELABORADOS!$A$2:$M$6000,2,0),"")</f>
        <v/>
      </c>
      <c r="C23" s="189">
        <f t="shared" si="4"/>
        <v>0</v>
      </c>
      <c r="D23" s="189" t="str">
        <f>IFERROR(VLOOKUP(H23,[1]SEMIELABORADOS!$A$2:$M$6000,6,0),"")</f>
        <v/>
      </c>
      <c r="E23" s="190" t="str">
        <f>IFERROR(VLOOKUP(H23,[1]SEMIELABORADOS!$A$2:$H$65536,8,0),"")</f>
        <v/>
      </c>
      <c r="F23" s="190" t="str">
        <f t="shared" si="5"/>
        <v/>
      </c>
      <c r="G23" s="191" t="str">
        <f t="shared" si="3"/>
        <v/>
      </c>
      <c r="H23" s="192"/>
      <c r="I23" s="192"/>
      <c r="J23" s="193"/>
    </row>
    <row r="24" spans="1:12" ht="13.5" hidden="1" x14ac:dyDescent="0.25">
      <c r="A24" s="188"/>
      <c r="B24" s="176" t="str">
        <f>IFERROR(VLOOKUP(H24,[1]SEMIELABORADOS!$A$2:$M$6000,2,0),"")</f>
        <v/>
      </c>
      <c r="C24" s="189">
        <f t="shared" si="4"/>
        <v>0</v>
      </c>
      <c r="D24" s="189" t="str">
        <f>IFERROR(VLOOKUP(H24,[1]SEMIELABORADOS!$A$2:$M$6000,6,0),"")</f>
        <v/>
      </c>
      <c r="E24" s="190" t="str">
        <f>IFERROR(VLOOKUP(H24,[1]SEMIELABORADOS!$A$2:$H$65536,8,0),"")</f>
        <v/>
      </c>
      <c r="F24" s="190" t="str">
        <f t="shared" si="5"/>
        <v/>
      </c>
      <c r="G24" s="191" t="str">
        <f t="shared" si="3"/>
        <v/>
      </c>
      <c r="H24" s="192"/>
      <c r="I24" s="192"/>
      <c r="J24" s="193"/>
    </row>
    <row r="25" spans="1:12" ht="14.25" thickBot="1" x14ac:dyDescent="0.3">
      <c r="A25" s="188"/>
      <c r="C25" s="189"/>
      <c r="D25" s="189"/>
      <c r="E25" s="190"/>
      <c r="F25" s="190"/>
      <c r="G25" s="191"/>
      <c r="H25" s="192"/>
      <c r="I25" s="192"/>
      <c r="J25" s="193"/>
    </row>
    <row r="26" spans="1:12" ht="26.25" thickBot="1" x14ac:dyDescent="0.3">
      <c r="A26" s="183" t="s">
        <v>99</v>
      </c>
      <c r="B26" s="184" t="s">
        <v>22</v>
      </c>
      <c r="C26" s="184" t="s">
        <v>99</v>
      </c>
      <c r="D26" s="185" t="s">
        <v>101</v>
      </c>
      <c r="E26" s="185" t="s">
        <v>102</v>
      </c>
      <c r="F26" s="185" t="s">
        <v>103</v>
      </c>
      <c r="G26" s="185" t="s">
        <v>104</v>
      </c>
      <c r="H26" s="186" t="s">
        <v>105</v>
      </c>
      <c r="I26" s="187"/>
    </row>
    <row r="27" spans="1:12" ht="13.5" x14ac:dyDescent="0.25">
      <c r="A27" s="188">
        <v>6</v>
      </c>
      <c r="B27" s="194" t="str">
        <f>IFERROR(VLOOKUP(H27,'[1]Consolidado MP Planta'!$A$2:$M$823,3,0),"")</f>
        <v>BOLSA TRANSPARENTE 56X96X1.80 KILO</v>
      </c>
      <c r="C27" s="189">
        <f t="shared" ref="C27:C32" si="6">+A27</f>
        <v>6</v>
      </c>
      <c r="D27" s="190" t="str">
        <f>IFERROR(VLOOKUP(H27,'[1]Consolidado MP Planta'!$A$2:$M$823,13,0),"")</f>
        <v>Und</v>
      </c>
      <c r="E27" s="190">
        <f>IFERROR(VLOOKUP(H27,'[1]Consolidado MP Planta'!$A$2:$M$823,12,0),"")</f>
        <v>50</v>
      </c>
      <c r="F27" s="190">
        <f t="shared" ref="F27:F32" si="7">IFERROR(C27*E27,"")</f>
        <v>300</v>
      </c>
      <c r="G27" s="191">
        <f t="shared" ref="G27:G32" si="8">IFERROR(F27/$F$66,"")</f>
        <v>6.6082686622463216E-3</v>
      </c>
      <c r="H27" s="195" t="s">
        <v>149</v>
      </c>
      <c r="I27" s="195"/>
      <c r="J27" s="193"/>
      <c r="K27" s="726"/>
      <c r="L27" s="726"/>
    </row>
    <row r="28" spans="1:12" ht="13.5" x14ac:dyDescent="0.25">
      <c r="A28" s="188">
        <v>6</v>
      </c>
      <c r="B28" s="194" t="str">
        <f>IFERROR(VLOOKUP(H28,'[1]Consolidado MP Planta'!$A$2:$M$823,3,0),"")</f>
        <v>ETIQ.FECHA VENCIMIENTO BLANCO (ROLLO)</v>
      </c>
      <c r="C28" s="189">
        <f t="shared" si="6"/>
        <v>6</v>
      </c>
      <c r="D28" s="190" t="str">
        <f>IFERROR(VLOOKUP(H28,'[1]Consolidado MP Planta'!$A$2:$M$823,13,0),"")</f>
        <v>Gramos</v>
      </c>
      <c r="E28" s="190">
        <f>IFERROR(VLOOKUP(H28,'[1]Consolidado MP Planta'!$A$2:$M$823,12,0),"")</f>
        <v>0.33333333333333331</v>
      </c>
      <c r="F28" s="190">
        <f t="shared" si="7"/>
        <v>2</v>
      </c>
      <c r="G28" s="191">
        <f t="shared" si="8"/>
        <v>4.4055124414975478E-5</v>
      </c>
      <c r="H28" s="195" t="s">
        <v>50</v>
      </c>
      <c r="I28" s="195"/>
      <c r="J28" s="193"/>
      <c r="K28" s="726"/>
      <c r="L28" s="726"/>
    </row>
    <row r="29" spans="1:12" ht="13.5" x14ac:dyDescent="0.25">
      <c r="A29" s="188">
        <v>6</v>
      </c>
      <c r="B29" s="194" t="str">
        <f>IFERROR(VLOOKUP(H29,'[1]Consolidado MP Planta'!$A$2:$M$823,3,0),"")</f>
        <v>ETIQ.BLANCA 1 1/4 * 3/4 (UND)</v>
      </c>
      <c r="C29" s="189">
        <f t="shared" si="6"/>
        <v>6</v>
      </c>
      <c r="D29" s="190" t="str">
        <f>IFERROR(VLOOKUP(H29,'[1]Consolidado MP Planta'!$A$2:$M$823,13,0),"")</f>
        <v>Und</v>
      </c>
      <c r="E29" s="190">
        <f>IFERROR(VLOOKUP(H29,'[1]Consolidado MP Planta'!$A$2:$M$823,12,0),"")</f>
        <v>0.57999999999999996</v>
      </c>
      <c r="F29" s="190">
        <f t="shared" si="7"/>
        <v>3.4799999999999995</v>
      </c>
      <c r="G29" s="191">
        <f t="shared" si="8"/>
        <v>7.6655916482057322E-5</v>
      </c>
      <c r="H29" s="195" t="s">
        <v>150</v>
      </c>
      <c r="I29" s="195"/>
      <c r="J29" s="193"/>
      <c r="K29" s="726"/>
      <c r="L29" s="726"/>
    </row>
    <row r="30" spans="1:12" ht="13.5" hidden="1" x14ac:dyDescent="0.25">
      <c r="A30" s="188"/>
      <c r="B30" s="194" t="str">
        <f>IFERROR(VLOOKUP(H30,'[1]Consolidado MP Planta'!$A$2:$M$823,3,0),"")</f>
        <v/>
      </c>
      <c r="C30" s="189">
        <f t="shared" si="6"/>
        <v>0</v>
      </c>
      <c r="D30" s="190" t="str">
        <f>IFERROR(VLOOKUP(H30,'[1]Consolidado MP Planta'!$A$2:$M$823,13,0),"")</f>
        <v/>
      </c>
      <c r="E30" s="190" t="str">
        <f>IFERROR(VLOOKUP(H30,'[1]Consolidado MP Planta'!$A$2:$M$823,12,0),"")</f>
        <v/>
      </c>
      <c r="F30" s="190" t="str">
        <f t="shared" si="7"/>
        <v/>
      </c>
      <c r="G30" s="191" t="str">
        <f t="shared" si="8"/>
        <v/>
      </c>
      <c r="H30" s="195"/>
      <c r="I30" s="195"/>
      <c r="J30" s="193"/>
      <c r="K30" s="726"/>
      <c r="L30" s="726"/>
    </row>
    <row r="31" spans="1:12" ht="13.5" hidden="1" x14ac:dyDescent="0.25">
      <c r="A31" s="188"/>
      <c r="B31" s="194" t="str">
        <f>IFERROR(VLOOKUP(H31,'[1]Consolidado MP Planta'!$A$2:$M$823,3,0),"")</f>
        <v/>
      </c>
      <c r="C31" s="189">
        <f t="shared" si="6"/>
        <v>0</v>
      </c>
      <c r="D31" s="190" t="str">
        <f>IFERROR(VLOOKUP(H31,'[1]Consolidado MP Planta'!$A$2:$M$823,13,0),"")</f>
        <v/>
      </c>
      <c r="E31" s="190" t="str">
        <f>IFERROR(VLOOKUP(H31,'[1]Consolidado MP Planta'!$A$2:$M$823,12,0),"")</f>
        <v/>
      </c>
      <c r="F31" s="190" t="str">
        <f t="shared" si="7"/>
        <v/>
      </c>
      <c r="G31" s="191" t="str">
        <f t="shared" si="8"/>
        <v/>
      </c>
      <c r="H31" s="195"/>
      <c r="I31" s="195"/>
      <c r="J31" s="193"/>
      <c r="K31" s="196"/>
      <c r="L31" s="197"/>
    </row>
    <row r="32" spans="1:12" ht="13.5" hidden="1" x14ac:dyDescent="0.25">
      <c r="A32" s="188"/>
      <c r="B32" s="194" t="str">
        <f>IFERROR(VLOOKUP(H32,'[1]Consolidado MP Planta'!$A$2:$M$823,3,0),"")</f>
        <v/>
      </c>
      <c r="C32" s="189">
        <f t="shared" si="6"/>
        <v>0</v>
      </c>
      <c r="D32" s="190" t="str">
        <f>IFERROR(VLOOKUP(H32,'[1]Consolidado MP Planta'!$A$2:$M$823,13,0),"")</f>
        <v/>
      </c>
      <c r="E32" s="190" t="str">
        <f>IFERROR(VLOOKUP(H32,'[1]Consolidado MP Planta'!$A$2:$M$823,12,0),"")</f>
        <v/>
      </c>
      <c r="F32" s="190" t="str">
        <f t="shared" si="7"/>
        <v/>
      </c>
      <c r="G32" s="191" t="str">
        <f t="shared" si="8"/>
        <v/>
      </c>
      <c r="H32" s="195"/>
      <c r="I32" s="195"/>
      <c r="J32" s="193"/>
    </row>
    <row r="33" spans="1:13" ht="14.25" thickBot="1" x14ac:dyDescent="0.3">
      <c r="A33" s="188"/>
      <c r="B33" s="194"/>
      <c r="C33" s="189"/>
      <c r="D33" s="190"/>
      <c r="E33" s="190"/>
      <c r="F33" s="190"/>
      <c r="G33" s="191"/>
      <c r="H33" s="195"/>
      <c r="I33" s="195"/>
      <c r="J33" s="193"/>
    </row>
    <row r="34" spans="1:13" ht="26.25" thickBot="1" x14ac:dyDescent="0.25">
      <c r="A34" s="183" t="s">
        <v>99</v>
      </c>
      <c r="B34" s="184" t="s">
        <v>107</v>
      </c>
      <c r="C34" s="184" t="s">
        <v>99</v>
      </c>
      <c r="D34" s="185" t="s">
        <v>101</v>
      </c>
      <c r="E34" s="185" t="s">
        <v>102</v>
      </c>
      <c r="F34" s="185" t="s">
        <v>103</v>
      </c>
      <c r="G34" s="185" t="s">
        <v>104</v>
      </c>
      <c r="H34" s="186" t="s">
        <v>105</v>
      </c>
      <c r="I34" s="195"/>
      <c r="J34" s="193"/>
    </row>
    <row r="35" spans="1:13" ht="13.5" x14ac:dyDescent="0.25">
      <c r="A35" s="188">
        <f>+A17</f>
        <v>24000</v>
      </c>
      <c r="B35" s="194" t="s">
        <v>44</v>
      </c>
      <c r="C35" s="189">
        <f>+A35</f>
        <v>24000</v>
      </c>
      <c r="D35" s="190" t="s">
        <v>144</v>
      </c>
      <c r="E35" s="190">
        <v>0.01</v>
      </c>
      <c r="F35" s="190">
        <f>IFERROR(E35*C35,"")</f>
        <v>240</v>
      </c>
      <c r="G35" s="191">
        <f t="shared" ref="G35:G41" si="9">IFERROR(F35/$F$66,"")</f>
        <v>5.2866149297970573E-3</v>
      </c>
      <c r="H35" s="195" t="s">
        <v>43</v>
      </c>
      <c r="I35" s="195"/>
      <c r="J35" s="193"/>
    </row>
    <row r="36" spans="1:13" ht="13.5" x14ac:dyDescent="0.25">
      <c r="A36" s="188">
        <f t="shared" ref="A36:A41" si="10">+A18</f>
        <v>650</v>
      </c>
      <c r="B36" s="194" t="s">
        <v>48</v>
      </c>
      <c r="C36" s="189">
        <f t="shared" ref="C36:C41" si="11">+A36</f>
        <v>650</v>
      </c>
      <c r="D36" s="190" t="s">
        <v>144</v>
      </c>
      <c r="E36" s="190">
        <v>0.01</v>
      </c>
      <c r="F36" s="190">
        <f t="shared" ref="F36:F41" si="12">IFERROR(E36*C36,"")</f>
        <v>6.5</v>
      </c>
      <c r="G36" s="191">
        <f t="shared" si="9"/>
        <v>1.431791543486703E-4</v>
      </c>
      <c r="H36" s="195" t="s">
        <v>148</v>
      </c>
      <c r="I36" s="195"/>
      <c r="J36" s="193"/>
    </row>
    <row r="37" spans="1:13" ht="13.5" hidden="1" x14ac:dyDescent="0.25">
      <c r="A37" s="188">
        <f t="shared" si="10"/>
        <v>0</v>
      </c>
      <c r="B37" s="194" t="str">
        <f>IFERROR(VLOOKUP(H37,[1]SEMIELABORADOS!$A$2:$M$6000,2,0),"")</f>
        <v/>
      </c>
      <c r="C37" s="189">
        <f t="shared" si="11"/>
        <v>0</v>
      </c>
      <c r="D37" s="190" t="str">
        <f>IFERROR(VLOOKUP(H37,[1]SEMIELABORADOS!$A$2:$M$6000,6,0),"")</f>
        <v/>
      </c>
      <c r="E37" s="190" t="str">
        <f>IFERROR(VLOOKUP(H37,[1]SEMIELABORADOS!$A$2:$M$65536,10,0),"")</f>
        <v/>
      </c>
      <c r="F37" s="190" t="str">
        <f t="shared" si="12"/>
        <v/>
      </c>
      <c r="G37" s="191" t="str">
        <f t="shared" si="9"/>
        <v/>
      </c>
      <c r="H37" s="195"/>
      <c r="I37" s="195"/>
      <c r="J37" s="193"/>
    </row>
    <row r="38" spans="1:13" ht="13.5" hidden="1" x14ac:dyDescent="0.25">
      <c r="A38" s="188">
        <f t="shared" si="10"/>
        <v>0</v>
      </c>
      <c r="B38" s="194" t="str">
        <f>IFERROR(VLOOKUP(H38,[1]SEMIELABORADOS!$A$2:$M$6000,2,0),"")</f>
        <v/>
      </c>
      <c r="C38" s="189">
        <f>+A38</f>
        <v>0</v>
      </c>
      <c r="D38" s="190" t="str">
        <f>IFERROR(VLOOKUP(H38,[1]SEMIELABORADOS!$A$2:$M$6000,6,0),"")</f>
        <v/>
      </c>
      <c r="E38" s="190" t="str">
        <f>IFERROR(VLOOKUP(H38,[1]SEMIELABORADOS!$A$2:$M$65536,10,0),"")</f>
        <v/>
      </c>
      <c r="F38" s="190" t="str">
        <f>IFERROR(E38*C38,"")</f>
        <v/>
      </c>
      <c r="G38" s="191" t="str">
        <f t="shared" si="9"/>
        <v/>
      </c>
      <c r="H38" s="195"/>
      <c r="I38" s="195"/>
      <c r="J38" s="193"/>
    </row>
    <row r="39" spans="1:13" ht="13.5" hidden="1" x14ac:dyDescent="0.25">
      <c r="A39" s="188">
        <f t="shared" si="10"/>
        <v>0</v>
      </c>
      <c r="B39" s="194" t="str">
        <f>IFERROR(VLOOKUP(H39,[1]SEMIELABORADOS!$A$2:$M$6000,2,0),"")</f>
        <v/>
      </c>
      <c r="C39" s="189">
        <f>+A39</f>
        <v>0</v>
      </c>
      <c r="D39" s="190" t="str">
        <f>IFERROR(VLOOKUP(H39,[1]SEMIELABORADOS!$A$2:$M$6000,6,0),"")</f>
        <v/>
      </c>
      <c r="E39" s="190" t="str">
        <f>IFERROR(VLOOKUP(H39,[1]SEMIELABORADOS!$A$2:$M$65536,10,0),"")</f>
        <v/>
      </c>
      <c r="F39" s="190" t="str">
        <f>IFERROR(E39*C39,"")</f>
        <v/>
      </c>
      <c r="G39" s="191" t="str">
        <f t="shared" si="9"/>
        <v/>
      </c>
      <c r="H39" s="195"/>
      <c r="I39" s="195"/>
      <c r="J39" s="193"/>
    </row>
    <row r="40" spans="1:13" ht="13.5" hidden="1" x14ac:dyDescent="0.25">
      <c r="A40" s="188">
        <f t="shared" si="10"/>
        <v>0</v>
      </c>
      <c r="B40" s="194" t="str">
        <f>IFERROR(VLOOKUP(H40,[1]SEMIELABORADOS!$A$2:$M$6000,2,0),"")</f>
        <v/>
      </c>
      <c r="C40" s="189">
        <f t="shared" si="11"/>
        <v>0</v>
      </c>
      <c r="D40" s="190" t="str">
        <f>IFERROR(VLOOKUP(H40,[1]SEMIELABORADOS!$A$2:$M$6000,6,0),"")</f>
        <v/>
      </c>
      <c r="E40" s="190" t="str">
        <f>IFERROR(VLOOKUP(H40,[1]SEMIELABORADOS!$A$2:$M$65536,10,0),"")</f>
        <v/>
      </c>
      <c r="F40" s="190" t="str">
        <f t="shared" si="12"/>
        <v/>
      </c>
      <c r="G40" s="191" t="str">
        <f t="shared" si="9"/>
        <v/>
      </c>
      <c r="H40" s="195"/>
      <c r="I40" s="195"/>
      <c r="J40" s="193"/>
    </row>
    <row r="41" spans="1:13" ht="13.5" hidden="1" x14ac:dyDescent="0.25">
      <c r="A41" s="188">
        <f t="shared" si="10"/>
        <v>0</v>
      </c>
      <c r="B41" s="194" t="str">
        <f>IFERROR(VLOOKUP(H41,[1]SEMIELABORADOS!$A$2:$M$6000,2,0),"")</f>
        <v/>
      </c>
      <c r="C41" s="189">
        <f t="shared" si="11"/>
        <v>0</v>
      </c>
      <c r="D41" s="190" t="str">
        <f>IFERROR(VLOOKUP(H41,[1]SEMIELABORADOS!$A$2:$M$6000,6,0),"")</f>
        <v/>
      </c>
      <c r="E41" s="190" t="str">
        <f>IFERROR(VLOOKUP(H41,[1]SEMIELABORADOS!$A$2:$M$65536,10,0),"")</f>
        <v/>
      </c>
      <c r="F41" s="190" t="str">
        <f t="shared" si="12"/>
        <v/>
      </c>
      <c r="G41" s="191" t="str">
        <f t="shared" si="9"/>
        <v/>
      </c>
      <c r="H41" s="195"/>
      <c r="I41" s="195"/>
      <c r="J41" s="193"/>
    </row>
    <row r="42" spans="1:13" ht="14.25" thickBot="1" x14ac:dyDescent="0.3">
      <c r="A42" s="188"/>
      <c r="B42" s="194"/>
      <c r="C42" s="189"/>
      <c r="D42" s="190"/>
      <c r="E42" s="190"/>
      <c r="F42" s="190"/>
      <c r="G42" s="191"/>
      <c r="H42" s="195"/>
      <c r="I42" s="195"/>
      <c r="J42" s="193"/>
    </row>
    <row r="43" spans="1:13" ht="26.25" thickBot="1" x14ac:dyDescent="0.3">
      <c r="A43" s="183" t="s">
        <v>99</v>
      </c>
      <c r="B43" s="184" t="s">
        <v>108</v>
      </c>
      <c r="C43" s="184" t="s">
        <v>99</v>
      </c>
      <c r="D43" s="185" t="s">
        <v>101</v>
      </c>
      <c r="E43" s="185" t="s">
        <v>102</v>
      </c>
      <c r="F43" s="185" t="s">
        <v>103</v>
      </c>
      <c r="G43" s="185" t="s">
        <v>104</v>
      </c>
      <c r="H43" s="186" t="s">
        <v>105</v>
      </c>
      <c r="I43" s="187"/>
      <c r="J43" s="193"/>
    </row>
    <row r="44" spans="1:13" ht="13.5" x14ac:dyDescent="0.25">
      <c r="A44" s="188">
        <f>+A35</f>
        <v>24000</v>
      </c>
      <c r="B44" s="194" t="s">
        <v>44</v>
      </c>
      <c r="C44" s="189">
        <f>+A44</f>
        <v>24000</v>
      </c>
      <c r="D44" s="190" t="s">
        <v>144</v>
      </c>
      <c r="E44" s="190">
        <v>0.03</v>
      </c>
      <c r="F44" s="190">
        <f>IFERROR(E44*C44,"")</f>
        <v>720</v>
      </c>
      <c r="G44" s="191">
        <f>IFERROR(F44/$F$66,"")</f>
        <v>1.5859844789391172E-2</v>
      </c>
      <c r="H44" s="195" t="s">
        <v>43</v>
      </c>
      <c r="I44" s="187"/>
      <c r="J44" s="193"/>
    </row>
    <row r="45" spans="1:13" ht="13.5" x14ac:dyDescent="0.25">
      <c r="A45" s="188">
        <f t="shared" ref="A45:A50" si="13">+A36</f>
        <v>650</v>
      </c>
      <c r="B45" s="194" t="s">
        <v>48</v>
      </c>
      <c r="C45" s="189">
        <f t="shared" ref="C45:C50" si="14">+A45</f>
        <v>650</v>
      </c>
      <c r="D45" s="190" t="s">
        <v>144</v>
      </c>
      <c r="E45" s="190">
        <v>0.01</v>
      </c>
      <c r="F45" s="190">
        <f t="shared" ref="F45:F50" si="15">IFERROR(E45*C45,"")</f>
        <v>6.5</v>
      </c>
      <c r="G45" s="191">
        <f t="shared" ref="G45:G50" si="16">IFERROR(F45/$F$66,"")</f>
        <v>1.431791543486703E-4</v>
      </c>
      <c r="H45" s="195" t="s">
        <v>148</v>
      </c>
      <c r="I45" s="187"/>
      <c r="J45" s="193"/>
      <c r="M45" s="198"/>
    </row>
    <row r="46" spans="1:13" ht="13.5" hidden="1" x14ac:dyDescent="0.25">
      <c r="A46" s="188">
        <f t="shared" si="13"/>
        <v>0</v>
      </c>
      <c r="B46" s="194" t="str">
        <f>IFERROR(VLOOKUP(H46,[1]SEMIELABORADOS!$A$2:$M$6000,2,0),"")</f>
        <v/>
      </c>
      <c r="C46" s="189">
        <f t="shared" si="14"/>
        <v>0</v>
      </c>
      <c r="D46" s="190" t="str">
        <f>IFERROR(VLOOKUP(H46,[1]SEMIELABORADOS!$A$2:$M$6000,6,0),"")</f>
        <v/>
      </c>
      <c r="E46" s="190">
        <v>0</v>
      </c>
      <c r="F46" s="190">
        <f t="shared" si="15"/>
        <v>0</v>
      </c>
      <c r="G46" s="191">
        <f t="shared" si="16"/>
        <v>0</v>
      </c>
      <c r="H46" s="195"/>
      <c r="I46" s="187"/>
      <c r="J46" s="193"/>
    </row>
    <row r="47" spans="1:13" ht="13.5" hidden="1" x14ac:dyDescent="0.25">
      <c r="A47" s="188">
        <f t="shared" si="13"/>
        <v>0</v>
      </c>
      <c r="B47" s="194" t="str">
        <f>IFERROR(VLOOKUP(H47,[1]SEMIELABORADOS!$A$2:$M$6000,2,0),"")</f>
        <v/>
      </c>
      <c r="C47" s="189">
        <f t="shared" si="14"/>
        <v>0</v>
      </c>
      <c r="D47" s="190" t="str">
        <f>IFERROR(VLOOKUP(H47,[1]SEMIELABORADOS!$A$2:$M$6000,6,0),"")</f>
        <v/>
      </c>
      <c r="E47" s="190" t="str">
        <f>IFERROR(VLOOKUP(H47,[1]SEMIELABORADOS!$A$2:$M$65536,12,0),"")</f>
        <v/>
      </c>
      <c r="F47" s="190" t="str">
        <f t="shared" si="15"/>
        <v/>
      </c>
      <c r="G47" s="191" t="str">
        <f t="shared" si="16"/>
        <v/>
      </c>
      <c r="H47" s="195"/>
      <c r="I47" s="187"/>
      <c r="J47" s="193"/>
    </row>
    <row r="48" spans="1:13" ht="13.5" hidden="1" x14ac:dyDescent="0.25">
      <c r="A48" s="188">
        <f t="shared" si="13"/>
        <v>0</v>
      </c>
      <c r="B48" s="194" t="str">
        <f>IFERROR(VLOOKUP(H48,[1]SEMIELABORADOS!$A$2:$M$6000,2,0),"")</f>
        <v/>
      </c>
      <c r="C48" s="189">
        <f t="shared" si="14"/>
        <v>0</v>
      </c>
      <c r="D48" s="190" t="str">
        <f>IFERROR(VLOOKUP(H48,[1]SEMIELABORADOS!$A$2:$M$6000,6,0),"")</f>
        <v/>
      </c>
      <c r="E48" s="190" t="str">
        <f>IFERROR(VLOOKUP(H48,[1]SEMIELABORADOS!$A$2:$M$65536,12,0),"")</f>
        <v/>
      </c>
      <c r="F48" s="190" t="str">
        <f t="shared" si="15"/>
        <v/>
      </c>
      <c r="G48" s="191" t="str">
        <f t="shared" si="16"/>
        <v/>
      </c>
      <c r="H48" s="195"/>
      <c r="I48" s="187"/>
      <c r="J48" s="193"/>
    </row>
    <row r="49" spans="1:17" ht="13.5" hidden="1" x14ac:dyDescent="0.25">
      <c r="A49" s="188">
        <f t="shared" si="13"/>
        <v>0</v>
      </c>
      <c r="B49" s="194" t="str">
        <f>IFERROR(VLOOKUP(H49,[1]SEMIELABORADOS!$A$2:$M$6000,2,0),"")</f>
        <v/>
      </c>
      <c r="C49" s="189">
        <f t="shared" si="14"/>
        <v>0</v>
      </c>
      <c r="D49" s="190" t="str">
        <f>IFERROR(VLOOKUP(H49,[1]SEMIELABORADOS!$A$2:$M$6000,6,0),"")</f>
        <v/>
      </c>
      <c r="E49" s="190" t="str">
        <f>IFERROR(VLOOKUP(H49,[1]SEMIELABORADOS!$A$2:$M$65536,12,0),"")</f>
        <v/>
      </c>
      <c r="F49" s="190" t="str">
        <f t="shared" si="15"/>
        <v/>
      </c>
      <c r="G49" s="191" t="str">
        <f t="shared" si="16"/>
        <v/>
      </c>
      <c r="H49" s="195"/>
      <c r="I49" s="187"/>
      <c r="J49" s="193"/>
    </row>
    <row r="50" spans="1:17" ht="13.5" hidden="1" x14ac:dyDescent="0.25">
      <c r="A50" s="188">
        <f t="shared" si="13"/>
        <v>0</v>
      </c>
      <c r="B50" s="194" t="str">
        <f>IFERROR(VLOOKUP(H50,[1]SEMIELABORADOS!$A$2:$M$6000,2,0),"")</f>
        <v/>
      </c>
      <c r="C50" s="189">
        <f t="shared" si="14"/>
        <v>0</v>
      </c>
      <c r="D50" s="190" t="str">
        <f>IFERROR(VLOOKUP(H50,[1]SEMIELABORADOS!$A$2:$M$6000,6,0),"")</f>
        <v/>
      </c>
      <c r="E50" s="190" t="str">
        <f>IFERROR(VLOOKUP(H50,[1]SEMIELABORADOS!$A$2:$M$65536,12,0),"")</f>
        <v/>
      </c>
      <c r="F50" s="190" t="str">
        <f t="shared" si="15"/>
        <v/>
      </c>
      <c r="G50" s="191" t="str">
        <f t="shared" si="16"/>
        <v/>
      </c>
      <c r="H50" s="194"/>
      <c r="I50" s="187"/>
      <c r="J50" s="193"/>
    </row>
    <row r="51" spans="1:17" ht="13.5" x14ac:dyDescent="0.25">
      <c r="A51" s="188">
        <v>1</v>
      </c>
      <c r="B51" s="194" t="s">
        <v>109</v>
      </c>
      <c r="C51" s="189">
        <f>+A51</f>
        <v>1</v>
      </c>
      <c r="D51" s="189" t="s">
        <v>110</v>
      </c>
      <c r="E51" s="190">
        <f>+F65</f>
        <v>1078</v>
      </c>
      <c r="F51" s="190">
        <f>IFERROR(C51*E51,"")</f>
        <v>1078</v>
      </c>
      <c r="G51" s="191">
        <f>IFERROR(F51/$F$66,"")</f>
        <v>2.3745712059671784E-2</v>
      </c>
      <c r="H51" s="199"/>
      <c r="I51" s="199"/>
      <c r="J51" s="193"/>
    </row>
    <row r="52" spans="1:17" ht="14.25" thickBot="1" x14ac:dyDescent="0.3">
      <c r="A52" s="188"/>
      <c r="B52" s="194"/>
      <c r="C52" s="189"/>
      <c r="D52" s="189"/>
      <c r="E52" s="190"/>
      <c r="F52" s="190"/>
      <c r="G52" s="191"/>
      <c r="H52" s="199"/>
      <c r="I52" s="199"/>
      <c r="J52" s="193"/>
    </row>
    <row r="53" spans="1:17" ht="13.5" thickBot="1" x14ac:dyDescent="0.3">
      <c r="A53" s="200"/>
      <c r="B53" s="736" t="s">
        <v>111</v>
      </c>
      <c r="C53" s="736"/>
      <c r="D53" s="736"/>
      <c r="E53" s="736"/>
      <c r="F53" s="202">
        <f>SUM(F8:F14,F17:F24)</f>
        <v>42909.5</v>
      </c>
      <c r="G53" s="191">
        <f>+F53/$F$66</f>
        <v>0.94519168054219516</v>
      </c>
      <c r="H53" s="203">
        <f>+F53/$D$60</f>
        <v>733.49572649572644</v>
      </c>
      <c r="I53" s="203"/>
      <c r="J53" s="204"/>
      <c r="K53" s="205"/>
      <c r="L53" s="205"/>
      <c r="M53" s="205"/>
      <c r="N53" s="205"/>
      <c r="O53" s="205"/>
      <c r="P53" s="205"/>
      <c r="Q53" s="206"/>
    </row>
    <row r="54" spans="1:17" x14ac:dyDescent="0.2">
      <c r="A54" s="200"/>
      <c r="B54" s="736" t="s">
        <v>112</v>
      </c>
      <c r="C54" s="736"/>
      <c r="D54" s="736"/>
      <c r="E54" s="736"/>
      <c r="F54" s="202">
        <f>SUM(F27:F32,F35:F41)</f>
        <v>551.98</v>
      </c>
      <c r="G54" s="191">
        <f>+F54/$F$66</f>
        <v>1.2158773787289082E-2</v>
      </c>
      <c r="H54" s="203">
        <f>+F54/$D$60</f>
        <v>9.4355555555555561</v>
      </c>
      <c r="I54" s="203"/>
      <c r="J54" s="207"/>
      <c r="K54" s="737" t="s">
        <v>113</v>
      </c>
      <c r="L54" s="738"/>
      <c r="M54" s="738"/>
      <c r="N54" s="738"/>
      <c r="O54" s="208">
        <f>+F55</f>
        <v>43461.48</v>
      </c>
      <c r="P54" s="208"/>
      <c r="Q54" s="209"/>
    </row>
    <row r="55" spans="1:17" x14ac:dyDescent="0.2">
      <c r="A55" s="200"/>
      <c r="B55" s="736" t="s">
        <v>114</v>
      </c>
      <c r="C55" s="736"/>
      <c r="D55" s="736"/>
      <c r="E55" s="736"/>
      <c r="F55" s="202">
        <f>+F53+F54</f>
        <v>43461.48</v>
      </c>
      <c r="G55" s="191">
        <f>+F55/$F$66</f>
        <v>0.95735045432948429</v>
      </c>
      <c r="H55" s="203">
        <f>+F55/$D$60</f>
        <v>742.9312820512821</v>
      </c>
      <c r="I55" s="203"/>
      <c r="J55" s="210"/>
      <c r="K55" s="211"/>
      <c r="M55" s="212" t="s">
        <v>115</v>
      </c>
      <c r="N55" s="213"/>
      <c r="O55" s="208">
        <f>+H56</f>
        <v>30.846153846153847</v>
      </c>
      <c r="P55" s="208"/>
      <c r="Q55" s="209"/>
    </row>
    <row r="56" spans="1:17" ht="13.5" thickBot="1" x14ac:dyDescent="0.25">
      <c r="A56" s="200"/>
      <c r="B56" s="201"/>
      <c r="C56" s="736" t="s">
        <v>116</v>
      </c>
      <c r="D56" s="736"/>
      <c r="E56" s="736"/>
      <c r="F56" s="202">
        <f>SUM(F44:F51)</f>
        <v>1804.5</v>
      </c>
      <c r="G56" s="191">
        <f>+F56/$F$66</f>
        <v>3.9748736003411625E-2</v>
      </c>
      <c r="H56" s="203">
        <f>+F56/$D$60</f>
        <v>30.846153846153847</v>
      </c>
      <c r="I56" s="203"/>
      <c r="J56" s="210"/>
      <c r="K56" s="211"/>
      <c r="L56" s="211"/>
      <c r="M56" s="211" t="s">
        <v>117</v>
      </c>
      <c r="N56" s="214"/>
      <c r="O56" s="208">
        <f>O54*N56</f>
        <v>0</v>
      </c>
      <c r="P56" s="208"/>
      <c r="Q56" s="209"/>
    </row>
    <row r="57" spans="1:17" ht="13.5" thickBot="1" x14ac:dyDescent="0.25">
      <c r="A57" s="200"/>
      <c r="B57" s="215"/>
      <c r="C57" s="215"/>
      <c r="D57" s="215"/>
      <c r="E57" s="215"/>
      <c r="F57" s="216"/>
      <c r="G57" s="191"/>
      <c r="H57" s="217"/>
      <c r="I57" s="203"/>
      <c r="J57" s="210"/>
      <c r="K57" s="218"/>
      <c r="M57" s="219" t="s">
        <v>118</v>
      </c>
      <c r="N57" s="220"/>
      <c r="O57" s="221">
        <f>SUM(O54:O56)</f>
        <v>43492.326153846159</v>
      </c>
      <c r="P57" s="222"/>
      <c r="Q57" s="209"/>
    </row>
    <row r="58" spans="1:17" x14ac:dyDescent="0.2">
      <c r="B58" s="739" t="s">
        <v>119</v>
      </c>
      <c r="C58" s="739"/>
      <c r="D58" s="223">
        <v>23400</v>
      </c>
      <c r="E58" s="224"/>
      <c r="G58" s="191"/>
      <c r="H58" s="217">
        <f>+H56/77</f>
        <v>0.40059940059940058</v>
      </c>
      <c r="I58" s="225"/>
      <c r="J58" s="210"/>
      <c r="K58" s="218"/>
      <c r="L58" s="211"/>
      <c r="M58" s="211" t="s">
        <v>120</v>
      </c>
      <c r="N58" s="226"/>
      <c r="O58" s="208">
        <f>+H59</f>
        <v>33.24975024975025</v>
      </c>
      <c r="P58" s="208"/>
      <c r="Q58" s="209"/>
    </row>
    <row r="59" spans="1:17" x14ac:dyDescent="0.2">
      <c r="B59" s="739" t="s">
        <v>121</v>
      </c>
      <c r="C59" s="739"/>
      <c r="D59" s="227">
        <v>400</v>
      </c>
      <c r="E59" s="224"/>
      <c r="G59" s="191"/>
      <c r="H59" s="217">
        <f>+H58*83</f>
        <v>33.24975024975025</v>
      </c>
      <c r="I59" s="225"/>
      <c r="J59" s="210"/>
      <c r="K59" s="218"/>
      <c r="L59" s="211"/>
      <c r="M59" s="740" t="s">
        <v>118</v>
      </c>
      <c r="N59" s="740"/>
      <c r="O59" s="208">
        <f>SUM(O57:O58)</f>
        <v>43525.575904095909</v>
      </c>
      <c r="P59" s="208"/>
      <c r="Q59" s="209"/>
    </row>
    <row r="60" spans="1:17" ht="13.5" thickBot="1" x14ac:dyDescent="0.25">
      <c r="B60" s="732" t="s">
        <v>122</v>
      </c>
      <c r="C60" s="732"/>
      <c r="D60" s="223">
        <f>+D58/D59</f>
        <v>58.5</v>
      </c>
      <c r="E60" s="224"/>
      <c r="F60" s="228"/>
      <c r="G60" s="191"/>
      <c r="H60" s="217"/>
      <c r="I60" s="225"/>
      <c r="J60" s="210"/>
      <c r="K60" s="218"/>
      <c r="L60" s="740"/>
      <c r="M60" s="740"/>
      <c r="N60" s="226"/>
      <c r="O60" s="208">
        <f>+O59*N60</f>
        <v>0</v>
      </c>
      <c r="P60" s="208"/>
      <c r="Q60" s="209"/>
    </row>
    <row r="61" spans="1:17" ht="13.5" thickBot="1" x14ac:dyDescent="0.25">
      <c r="B61" s="732" t="s">
        <v>123</v>
      </c>
      <c r="C61" s="732"/>
      <c r="D61" s="229"/>
      <c r="E61" s="224"/>
      <c r="F61" s="228"/>
      <c r="G61" s="191"/>
      <c r="H61" s="217"/>
      <c r="I61" s="225"/>
      <c r="J61" s="210"/>
      <c r="K61" s="733" t="s">
        <v>124</v>
      </c>
      <c r="L61" s="734"/>
      <c r="M61" s="734"/>
      <c r="N61" s="735"/>
      <c r="O61" s="221">
        <f>SUM(O59:O60)</f>
        <v>43525.575904095909</v>
      </c>
      <c r="P61" s="230" t="s">
        <v>125</v>
      </c>
      <c r="Q61" s="209"/>
    </row>
    <row r="62" spans="1:17" ht="13.5" thickBot="1" x14ac:dyDescent="0.25">
      <c r="C62" s="200" t="s">
        <v>126</v>
      </c>
      <c r="D62" s="231"/>
      <c r="E62" s="174" t="s">
        <v>127</v>
      </c>
      <c r="F62" s="232" t="s">
        <v>128</v>
      </c>
      <c r="G62" s="191"/>
      <c r="H62" s="217"/>
      <c r="I62" s="225"/>
      <c r="J62" s="233"/>
      <c r="K62" s="234"/>
      <c r="L62" s="746" t="s">
        <v>129</v>
      </c>
      <c r="M62" s="746"/>
      <c r="N62" s="746"/>
      <c r="O62" s="235">
        <f>+O61/D60</f>
        <v>744.02693853155404</v>
      </c>
      <c r="P62" s="236">
        <f>+O62/D59</f>
        <v>1.860067346328885</v>
      </c>
      <c r="Q62" s="237"/>
    </row>
    <row r="63" spans="1:17" ht="13.5" thickBot="1" x14ac:dyDescent="0.25">
      <c r="B63" s="747" t="s">
        <v>114</v>
      </c>
      <c r="C63" s="747"/>
      <c r="D63" s="747"/>
      <c r="E63" s="238">
        <f>+F63/F63</f>
        <v>1</v>
      </c>
      <c r="F63" s="239">
        <f>SUM(F55)</f>
        <v>43461.48</v>
      </c>
      <c r="G63" s="191">
        <f>+F63/$F$66</f>
        <v>0.95735045432948429</v>
      </c>
      <c r="H63" s="217"/>
      <c r="I63" s="225"/>
      <c r="K63" s="748"/>
      <c r="L63" s="749"/>
      <c r="M63" s="749"/>
      <c r="N63" s="749"/>
      <c r="O63" s="240"/>
      <c r="P63" s="241"/>
    </row>
    <row r="64" spans="1:17" ht="13.5" thickBot="1" x14ac:dyDescent="0.3">
      <c r="B64" s="750" t="s">
        <v>130</v>
      </c>
      <c r="C64" s="750"/>
      <c r="D64" s="750"/>
      <c r="E64" s="242">
        <v>0.02</v>
      </c>
      <c r="F64" s="239">
        <f>+F53*E64</f>
        <v>858.19</v>
      </c>
      <c r="G64" s="191">
        <f>+F64/$F$66</f>
        <v>1.8903833610843905E-2</v>
      </c>
      <c r="H64" s="203"/>
      <c r="I64" s="225"/>
      <c r="J64" s="243"/>
      <c r="O64" s="244"/>
      <c r="P64" s="201"/>
    </row>
    <row r="65" spans="2:13" ht="13.5" thickBot="1" x14ac:dyDescent="0.3">
      <c r="B65" s="751" t="s">
        <v>131</v>
      </c>
      <c r="C65" s="752"/>
      <c r="D65" s="245">
        <v>14</v>
      </c>
      <c r="E65" s="246">
        <v>77</v>
      </c>
      <c r="F65" s="239">
        <f>+E65*D65</f>
        <v>1078</v>
      </c>
      <c r="G65" s="191">
        <f>+F65/$F$66</f>
        <v>2.3745712059671784E-2</v>
      </c>
      <c r="H65" s="203"/>
      <c r="I65" s="203"/>
      <c r="J65" s="193"/>
    </row>
    <row r="66" spans="2:13" ht="13.5" thickBot="1" x14ac:dyDescent="0.3">
      <c r="B66" s="753" t="s">
        <v>132</v>
      </c>
      <c r="C66" s="754"/>
      <c r="D66" s="754"/>
      <c r="E66" s="755"/>
      <c r="F66" s="216">
        <f>SUM(F63:F65)</f>
        <v>45397.670000000006</v>
      </c>
      <c r="G66" s="191">
        <f>+F66/$F$66</f>
        <v>1</v>
      </c>
      <c r="H66" s="756"/>
      <c r="I66" s="203"/>
      <c r="J66" s="193"/>
      <c r="M66" s="176" t="s">
        <v>133</v>
      </c>
    </row>
    <row r="67" spans="2:13" x14ac:dyDescent="0.25">
      <c r="C67" s="198"/>
      <c r="D67" s="198"/>
      <c r="E67" s="248"/>
      <c r="F67" s="239"/>
      <c r="G67" s="191"/>
      <c r="H67" s="756"/>
      <c r="I67" s="247"/>
      <c r="J67" s="176"/>
      <c r="M67" s="176" t="s">
        <v>134</v>
      </c>
    </row>
    <row r="68" spans="2:13" ht="13.5" thickBot="1" x14ac:dyDescent="0.3">
      <c r="B68" s="741" t="s">
        <v>135</v>
      </c>
      <c r="C68" s="741"/>
      <c r="D68" s="741"/>
      <c r="E68" s="741"/>
      <c r="F68" s="741"/>
      <c r="G68" s="191"/>
      <c r="H68" s="250"/>
      <c r="I68" s="247"/>
      <c r="J68" s="176"/>
      <c r="M68" s="176" t="s">
        <v>136</v>
      </c>
    </row>
    <row r="69" spans="2:13" ht="13.5" thickBot="1" x14ac:dyDescent="0.3">
      <c r="B69" s="251" t="s">
        <v>137</v>
      </c>
      <c r="C69" s="252">
        <f>+F53</f>
        <v>42909.5</v>
      </c>
      <c r="D69" s="252">
        <f>+D58</f>
        <v>23400</v>
      </c>
      <c r="E69" s="253">
        <f>+C69/D69</f>
        <v>1.8337393162393163</v>
      </c>
      <c r="F69" s="191"/>
      <c r="G69" s="250"/>
      <c r="H69" s="193"/>
      <c r="I69" s="250"/>
      <c r="J69" s="176"/>
    </row>
    <row r="70" spans="2:13" x14ac:dyDescent="0.25">
      <c r="B70" s="254"/>
      <c r="C70" s="255"/>
      <c r="D70" s="256"/>
      <c r="E70" s="239"/>
      <c r="F70" s="191"/>
      <c r="G70" s="250"/>
      <c r="H70" s="193"/>
      <c r="I70" s="193"/>
      <c r="J70" s="176"/>
    </row>
    <row r="71" spans="2:13" x14ac:dyDescent="0.25">
      <c r="B71" s="251" t="s">
        <v>138</v>
      </c>
      <c r="C71" s="252">
        <f>SUM(F63:F64)</f>
        <v>44319.670000000006</v>
      </c>
      <c r="D71" s="252">
        <f>+D58</f>
        <v>23400</v>
      </c>
      <c r="E71" s="257">
        <f>+C71/D71</f>
        <v>1.8940029914529917</v>
      </c>
      <c r="F71" s="191"/>
      <c r="G71" s="250"/>
      <c r="H71" s="193"/>
      <c r="I71" s="193"/>
      <c r="J71" s="176"/>
    </row>
    <row r="72" spans="2:13" x14ac:dyDescent="0.25">
      <c r="B72" s="251"/>
      <c r="C72" s="252"/>
      <c r="D72" s="252"/>
      <c r="E72" s="257"/>
      <c r="F72" s="191"/>
      <c r="G72" s="250"/>
      <c r="H72" s="193"/>
      <c r="I72" s="193"/>
      <c r="J72" s="176"/>
    </row>
    <row r="73" spans="2:13" ht="13.5" thickBot="1" x14ac:dyDescent="0.3">
      <c r="B73" s="251" t="s">
        <v>139</v>
      </c>
      <c r="C73" s="252">
        <f>+F65</f>
        <v>1078</v>
      </c>
      <c r="D73" s="252">
        <f>+D58</f>
        <v>23400</v>
      </c>
      <c r="E73" s="257">
        <f>+C73/D73</f>
        <v>4.606837606837607E-2</v>
      </c>
      <c r="F73" s="191"/>
      <c r="G73" s="250"/>
      <c r="H73" s="193"/>
      <c r="I73" s="193"/>
      <c r="J73" s="176"/>
    </row>
    <row r="74" spans="2:13" ht="13.5" thickBot="1" x14ac:dyDescent="0.3">
      <c r="B74" s="251" t="s">
        <v>140</v>
      </c>
      <c r="C74" s="252">
        <f>+F56</f>
        <v>1804.5</v>
      </c>
      <c r="D74" s="252">
        <f>+D73</f>
        <v>23400</v>
      </c>
      <c r="E74" s="253">
        <f>+C74/D74</f>
        <v>7.7115384615384613E-2</v>
      </c>
      <c r="F74" s="191"/>
      <c r="G74" s="250"/>
      <c r="H74" s="193"/>
      <c r="I74" s="193"/>
      <c r="J74" s="176"/>
    </row>
    <row r="75" spans="2:13" ht="13.5" thickBot="1" x14ac:dyDescent="0.3">
      <c r="B75" s="215"/>
      <c r="C75" s="216"/>
      <c r="D75" s="216"/>
      <c r="E75" s="257"/>
      <c r="F75" s="191"/>
      <c r="G75" s="250"/>
      <c r="H75" s="193"/>
      <c r="I75" s="193"/>
      <c r="J75" s="176"/>
    </row>
    <row r="76" spans="2:13" ht="13.5" thickBot="1" x14ac:dyDescent="0.3">
      <c r="B76" s="251" t="s">
        <v>141</v>
      </c>
      <c r="C76" s="252">
        <f>+F54</f>
        <v>551.98</v>
      </c>
      <c r="D76" s="252">
        <f>+D74</f>
        <v>23400</v>
      </c>
      <c r="E76" s="253">
        <f>+C76/D76</f>
        <v>2.3588888888888888E-2</v>
      </c>
      <c r="F76" s="191"/>
      <c r="G76" s="250"/>
      <c r="H76" s="193"/>
      <c r="I76" s="193"/>
      <c r="J76" s="193"/>
    </row>
    <row r="77" spans="2:13" ht="13.5" thickBot="1" x14ac:dyDescent="0.3">
      <c r="B77" s="215"/>
      <c r="C77" s="216"/>
      <c r="D77" s="216"/>
      <c r="E77" s="257"/>
      <c r="F77" s="191"/>
      <c r="G77" s="250"/>
      <c r="H77" s="193"/>
      <c r="I77" s="193"/>
    </row>
    <row r="78" spans="2:13" ht="13.5" thickBot="1" x14ac:dyDescent="0.3">
      <c r="B78" s="742" t="s">
        <v>142</v>
      </c>
      <c r="C78" s="743"/>
      <c r="D78" s="744"/>
      <c r="E78" s="253">
        <f>+E69+E74</f>
        <v>1.910854700854701</v>
      </c>
      <c r="G78" s="191"/>
      <c r="H78" s="250"/>
      <c r="I78" s="193"/>
      <c r="J78" s="257"/>
    </row>
    <row r="79" spans="2:13" x14ac:dyDescent="0.25">
      <c r="I79" s="250"/>
      <c r="J79" s="176"/>
    </row>
    <row r="80" spans="2:13" ht="13.5" thickBot="1" x14ac:dyDescent="0.3">
      <c r="B80" s="741" t="s">
        <v>143</v>
      </c>
      <c r="C80" s="741"/>
      <c r="D80" s="741"/>
      <c r="E80" s="741"/>
      <c r="F80" s="741"/>
      <c r="G80" s="191"/>
      <c r="H80" s="250"/>
      <c r="J80" s="176"/>
    </row>
    <row r="81" spans="1:10" ht="13.5" thickBot="1" x14ac:dyDescent="0.3">
      <c r="B81" s="251" t="s">
        <v>137</v>
      </c>
      <c r="C81" s="252">
        <f>+C69</f>
        <v>42909.5</v>
      </c>
      <c r="D81" s="252">
        <f>+D60</f>
        <v>58.5</v>
      </c>
      <c r="E81" s="253">
        <f>+C81/D81</f>
        <v>733.49572649572644</v>
      </c>
      <c r="F81" s="191"/>
      <c r="G81" s="250"/>
      <c r="H81" s="193"/>
      <c r="I81" s="250"/>
      <c r="J81" s="176"/>
    </row>
    <row r="82" spans="1:10" x14ac:dyDescent="0.25">
      <c r="B82" s="254"/>
      <c r="C82" s="255"/>
      <c r="D82" s="256"/>
      <c r="E82" s="239"/>
      <c r="F82" s="191"/>
      <c r="G82" s="250"/>
      <c r="H82" s="193"/>
      <c r="I82" s="193"/>
      <c r="J82" s="176"/>
    </row>
    <row r="83" spans="1:10" x14ac:dyDescent="0.25">
      <c r="B83" s="251" t="s">
        <v>138</v>
      </c>
      <c r="C83" s="252">
        <f>+C71</f>
        <v>44319.670000000006</v>
      </c>
      <c r="D83" s="252">
        <f>+D60</f>
        <v>58.5</v>
      </c>
      <c r="E83" s="257">
        <f>+C83/D83</f>
        <v>757.60119658119663</v>
      </c>
      <c r="F83" s="191"/>
      <c r="G83" s="250"/>
      <c r="H83" s="193"/>
      <c r="I83" s="193"/>
      <c r="J83" s="176"/>
    </row>
    <row r="84" spans="1:10" x14ac:dyDescent="0.25">
      <c r="B84" s="251"/>
      <c r="C84" s="252"/>
      <c r="D84" s="252"/>
      <c r="E84" s="257"/>
      <c r="F84" s="191"/>
      <c r="G84" s="250"/>
      <c r="H84" s="193"/>
      <c r="I84" s="193"/>
      <c r="J84" s="176"/>
    </row>
    <row r="85" spans="1:10" ht="13.5" thickBot="1" x14ac:dyDescent="0.3">
      <c r="B85" s="251" t="s">
        <v>140</v>
      </c>
      <c r="C85" s="252">
        <f>+C73</f>
        <v>1078</v>
      </c>
      <c r="D85" s="252">
        <f>+D60</f>
        <v>58.5</v>
      </c>
      <c r="E85" s="257">
        <f>+C85/D85</f>
        <v>18.427350427350426</v>
      </c>
      <c r="F85" s="259"/>
      <c r="G85" s="249"/>
      <c r="H85" s="175"/>
      <c r="I85" s="193"/>
    </row>
    <row r="86" spans="1:10" ht="13.5" thickBot="1" x14ac:dyDescent="0.3">
      <c r="B86" s="251" t="s">
        <v>140</v>
      </c>
      <c r="C86" s="252">
        <f>+C74</f>
        <v>1804.5</v>
      </c>
      <c r="D86" s="252">
        <f>+D85</f>
        <v>58.5</v>
      </c>
      <c r="E86" s="253">
        <f>+C86/D86</f>
        <v>30.846153846153847</v>
      </c>
      <c r="F86" s="258"/>
      <c r="G86" s="249"/>
      <c r="H86" s="175"/>
      <c r="I86" s="175"/>
    </row>
    <row r="87" spans="1:10" x14ac:dyDescent="0.25">
      <c r="I87" s="175"/>
    </row>
    <row r="88" spans="1:10" x14ac:dyDescent="0.2">
      <c r="A88" s="745"/>
      <c r="B88" s="745"/>
      <c r="C88" s="260"/>
      <c r="D88" s="260"/>
      <c r="E88" s="261"/>
      <c r="G88" s="262"/>
    </row>
    <row r="89" spans="1:10" x14ac:dyDescent="0.2">
      <c r="A89" s="194"/>
      <c r="B89" s="263"/>
      <c r="C89" s="264"/>
      <c r="D89" s="264"/>
      <c r="E89" s="265"/>
      <c r="G89" s="262"/>
    </row>
    <row r="90" spans="1:10" x14ac:dyDescent="0.2">
      <c r="A90" s="194"/>
      <c r="B90" s="263"/>
      <c r="C90" s="266"/>
      <c r="D90" s="266"/>
      <c r="E90" s="194"/>
      <c r="G90" s="262"/>
    </row>
    <row r="91" spans="1:10" x14ac:dyDescent="0.2">
      <c r="A91" s="194"/>
      <c r="B91" s="263"/>
      <c r="C91" s="267"/>
      <c r="D91" s="267"/>
      <c r="E91" s="194"/>
      <c r="G91" s="262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8E25-531C-4B23-A5FA-591E1664CAAC}">
  <dimension ref="A1:M42"/>
  <sheetViews>
    <sheetView zoomScale="55" zoomScaleNormal="55" workbookViewId="0">
      <selection sqref="A1:XFD1048576"/>
    </sheetView>
  </sheetViews>
  <sheetFormatPr baseColWidth="10" defaultRowHeight="15" x14ac:dyDescent="0.25"/>
  <cols>
    <col min="1" max="1" width="16.85546875" bestFit="1" customWidth="1"/>
    <col min="2" max="2" width="18.5703125" bestFit="1" customWidth="1"/>
    <col min="3" max="3" width="56.42578125" customWidth="1"/>
    <col min="4" max="4" width="19.5703125" customWidth="1"/>
    <col min="5" max="5" width="14.7109375" customWidth="1"/>
    <col min="7" max="7" width="22.140625" customWidth="1"/>
    <col min="8" max="8" width="15.28515625" customWidth="1"/>
    <col min="9" max="9" width="19.28515625" bestFit="1" customWidth="1"/>
  </cols>
  <sheetData>
    <row r="1" spans="1:9" ht="15.75" x14ac:dyDescent="0.25">
      <c r="A1" s="925"/>
      <c r="B1" s="926"/>
      <c r="C1" s="772" t="s">
        <v>0</v>
      </c>
      <c r="D1" s="772"/>
      <c r="E1" s="772"/>
      <c r="F1" s="772"/>
      <c r="G1" s="772"/>
      <c r="H1" s="33" t="s">
        <v>1</v>
      </c>
      <c r="I1" s="34" t="s">
        <v>234</v>
      </c>
    </row>
    <row r="2" spans="1:9" ht="16.5" thickBot="1" x14ac:dyDescent="0.3">
      <c r="A2" s="927"/>
      <c r="B2" s="928"/>
      <c r="C2" s="931" t="s">
        <v>2</v>
      </c>
      <c r="D2" s="931"/>
      <c r="E2" s="931"/>
      <c r="F2" s="931"/>
      <c r="G2" s="931"/>
      <c r="H2" s="35" t="s">
        <v>3</v>
      </c>
      <c r="I2" s="36" t="s">
        <v>200</v>
      </c>
    </row>
    <row r="3" spans="1:9" ht="21" thickBot="1" x14ac:dyDescent="0.3">
      <c r="A3" s="927"/>
      <c r="B3" s="928"/>
      <c r="C3" s="1044" t="s">
        <v>235</v>
      </c>
      <c r="D3" s="1045"/>
      <c r="E3" s="1045"/>
      <c r="F3" s="1045"/>
      <c r="G3" s="1046"/>
      <c r="H3" s="935" t="s">
        <v>4</v>
      </c>
      <c r="I3" s="916">
        <v>45608</v>
      </c>
    </row>
    <row r="4" spans="1:9" x14ac:dyDescent="0.25">
      <c r="A4" s="927"/>
      <c r="B4" s="928"/>
      <c r="C4" s="37" t="s">
        <v>5</v>
      </c>
      <c r="D4" s="919" t="s">
        <v>38</v>
      </c>
      <c r="E4" s="920"/>
      <c r="F4" s="920"/>
      <c r="G4" s="921"/>
      <c r="H4" s="936"/>
      <c r="I4" s="917"/>
    </row>
    <row r="5" spans="1:9" ht="15.75" thickBot="1" x14ac:dyDescent="0.3">
      <c r="A5" s="929"/>
      <c r="B5" s="930"/>
      <c r="C5" s="38" t="s">
        <v>7</v>
      </c>
      <c r="D5" s="922" t="s">
        <v>39</v>
      </c>
      <c r="E5" s="923"/>
      <c r="F5" s="923"/>
      <c r="G5" s="924"/>
      <c r="H5" s="937"/>
      <c r="I5" s="918"/>
    </row>
    <row r="6" spans="1:9" ht="18.75" thickBot="1" x14ac:dyDescent="0.3">
      <c r="A6" s="938" t="s">
        <v>9</v>
      </c>
      <c r="B6" s="938"/>
      <c r="C6" s="938"/>
      <c r="D6" s="939" t="s">
        <v>236</v>
      </c>
      <c r="E6" s="939"/>
      <c r="F6" s="939"/>
      <c r="G6" s="940" t="s">
        <v>10</v>
      </c>
      <c r="H6" s="940"/>
      <c r="I6" s="39" t="s">
        <v>236</v>
      </c>
    </row>
    <row r="7" spans="1:9" x14ac:dyDescent="0.25">
      <c r="A7" s="941" t="s">
        <v>12</v>
      </c>
      <c r="B7" s="943" t="s">
        <v>41</v>
      </c>
      <c r="C7" s="945" t="s">
        <v>13</v>
      </c>
      <c r="D7" s="945" t="s">
        <v>14</v>
      </c>
      <c r="E7" s="945" t="s">
        <v>15</v>
      </c>
      <c r="F7" s="945"/>
      <c r="G7" s="945" t="s">
        <v>16</v>
      </c>
      <c r="H7" s="945"/>
      <c r="I7" s="40" t="s">
        <v>17</v>
      </c>
    </row>
    <row r="8" spans="1:9" ht="27" thickBot="1" x14ac:dyDescent="0.3">
      <c r="A8" s="942"/>
      <c r="B8" s="944"/>
      <c r="C8" s="946"/>
      <c r="D8" s="946"/>
      <c r="E8" s="41" t="s">
        <v>18</v>
      </c>
      <c r="F8" s="42" t="s">
        <v>19</v>
      </c>
      <c r="G8" s="41" t="s">
        <v>18</v>
      </c>
      <c r="H8" s="42" t="s">
        <v>19</v>
      </c>
      <c r="I8" s="43" t="s">
        <v>20</v>
      </c>
    </row>
    <row r="9" spans="1:9" ht="20.25" x14ac:dyDescent="0.3">
      <c r="A9" s="470"/>
      <c r="B9" s="471"/>
      <c r="C9" s="472" t="s">
        <v>42</v>
      </c>
      <c r="D9" s="473"/>
      <c r="E9" s="474"/>
      <c r="F9" s="475"/>
      <c r="G9" s="474"/>
      <c r="H9" s="475"/>
      <c r="I9" s="15"/>
    </row>
    <row r="10" spans="1:9" ht="20.25" x14ac:dyDescent="0.3">
      <c r="A10" s="476" t="s">
        <v>183</v>
      </c>
      <c r="B10" s="476"/>
      <c r="C10" s="477" t="s">
        <v>89</v>
      </c>
      <c r="D10" s="478" t="s">
        <v>45</v>
      </c>
      <c r="E10" s="479">
        <v>21400</v>
      </c>
      <c r="F10" s="480" t="s">
        <v>21</v>
      </c>
      <c r="G10" s="481"/>
      <c r="H10" s="475"/>
      <c r="I10" s="15"/>
    </row>
    <row r="11" spans="1:9" ht="20.25" x14ac:dyDescent="0.3">
      <c r="A11" s="482">
        <v>90100131</v>
      </c>
      <c r="B11" s="482" t="s">
        <v>225</v>
      </c>
      <c r="C11" s="483" t="s">
        <v>237</v>
      </c>
      <c r="D11" s="484" t="s">
        <v>45</v>
      </c>
      <c r="E11" s="485">
        <v>8000</v>
      </c>
      <c r="F11" s="486" t="s">
        <v>21</v>
      </c>
      <c r="G11" s="481"/>
      <c r="H11" s="475"/>
      <c r="I11" s="15"/>
    </row>
    <row r="12" spans="1:9" ht="20.25" x14ac:dyDescent="0.3">
      <c r="A12" s="482" t="s">
        <v>238</v>
      </c>
      <c r="B12" s="482" t="s">
        <v>239</v>
      </c>
      <c r="C12" s="483" t="s">
        <v>240</v>
      </c>
      <c r="D12" s="484" t="s">
        <v>241</v>
      </c>
      <c r="E12" s="485">
        <v>5</v>
      </c>
      <c r="F12" s="486" t="s">
        <v>21</v>
      </c>
      <c r="G12" s="481"/>
      <c r="H12" s="475"/>
      <c r="I12" s="15"/>
    </row>
    <row r="13" spans="1:9" ht="20.25" x14ac:dyDescent="0.3">
      <c r="A13" s="482" t="s">
        <v>242</v>
      </c>
      <c r="B13" s="482" t="s">
        <v>243</v>
      </c>
      <c r="C13" s="483" t="s">
        <v>244</v>
      </c>
      <c r="D13" s="484" t="s">
        <v>245</v>
      </c>
      <c r="E13" s="485">
        <v>2000</v>
      </c>
      <c r="F13" s="486" t="s">
        <v>21</v>
      </c>
      <c r="G13" s="481"/>
      <c r="H13" s="475"/>
      <c r="I13" s="15"/>
    </row>
    <row r="14" spans="1:9" ht="20.25" x14ac:dyDescent="0.3">
      <c r="A14" s="482" t="s">
        <v>246</v>
      </c>
      <c r="B14" s="482" t="s">
        <v>185</v>
      </c>
      <c r="C14" s="483" t="s">
        <v>186</v>
      </c>
      <c r="D14" s="484" t="s">
        <v>187</v>
      </c>
      <c r="E14" s="485">
        <v>66</v>
      </c>
      <c r="F14" s="486" t="s">
        <v>21</v>
      </c>
      <c r="G14" s="481"/>
      <c r="H14" s="475"/>
      <c r="I14" s="15"/>
    </row>
    <row r="15" spans="1:9" ht="20.25" x14ac:dyDescent="0.3">
      <c r="A15" s="482"/>
      <c r="B15" s="482"/>
      <c r="C15" s="483"/>
      <c r="D15" s="484"/>
      <c r="E15" s="485"/>
      <c r="F15" s="486"/>
      <c r="G15" s="481"/>
      <c r="H15" s="475"/>
      <c r="I15" s="15"/>
    </row>
    <row r="16" spans="1:9" ht="20.25" x14ac:dyDescent="0.3">
      <c r="A16" s="487"/>
      <c r="B16" s="488"/>
      <c r="C16" s="489" t="s">
        <v>46</v>
      </c>
      <c r="D16" s="14"/>
      <c r="E16" s="490"/>
      <c r="F16" s="7"/>
      <c r="G16" s="474"/>
      <c r="H16" s="475"/>
      <c r="I16" s="15"/>
    </row>
    <row r="17" spans="1:13" ht="20.25" x14ac:dyDescent="0.3">
      <c r="A17" s="491"/>
      <c r="B17" s="14"/>
      <c r="C17" s="492"/>
      <c r="D17" s="493"/>
      <c r="E17" s="6"/>
      <c r="F17" s="7"/>
      <c r="G17" s="474"/>
      <c r="H17" s="475"/>
      <c r="I17" s="15"/>
    </row>
    <row r="18" spans="1:13" ht="20.25" x14ac:dyDescent="0.3">
      <c r="A18" s="494"/>
      <c r="B18" s="495"/>
      <c r="C18" s="496" t="s">
        <v>47</v>
      </c>
      <c r="D18" s="497"/>
      <c r="E18" s="474"/>
      <c r="F18" s="475"/>
      <c r="G18" s="474"/>
      <c r="H18" s="475"/>
      <c r="I18" s="15"/>
    </row>
    <row r="19" spans="1:13" ht="20.25" x14ac:dyDescent="0.3">
      <c r="A19" s="498">
        <v>512000002</v>
      </c>
      <c r="B19" s="12" t="s">
        <v>247</v>
      </c>
      <c r="C19" s="4" t="s">
        <v>248</v>
      </c>
      <c r="D19" s="499" t="s">
        <v>25</v>
      </c>
      <c r="E19" s="500" t="s">
        <v>249</v>
      </c>
      <c r="F19" s="486" t="s">
        <v>250</v>
      </c>
      <c r="G19" s="481"/>
      <c r="H19" s="475"/>
      <c r="I19" s="15"/>
    </row>
    <row r="20" spans="1:13" ht="20.25" x14ac:dyDescent="0.3">
      <c r="A20" s="12" t="s">
        <v>155</v>
      </c>
      <c r="B20" s="12" t="s">
        <v>27</v>
      </c>
      <c r="C20" s="4" t="s">
        <v>188</v>
      </c>
      <c r="D20" s="499"/>
      <c r="E20" s="498">
        <v>2</v>
      </c>
      <c r="F20" s="486" t="s">
        <v>23</v>
      </c>
      <c r="G20" s="474"/>
      <c r="H20" s="475"/>
      <c r="I20" s="15"/>
    </row>
    <row r="21" spans="1:13" ht="20.25" x14ac:dyDescent="0.3">
      <c r="A21" s="501"/>
      <c r="B21" s="502"/>
      <c r="C21" s="503"/>
      <c r="D21" s="14"/>
      <c r="E21" s="6"/>
      <c r="F21" s="7"/>
      <c r="G21" s="474"/>
      <c r="H21" s="475"/>
      <c r="I21" s="15"/>
    </row>
    <row r="22" spans="1:13" ht="20.25" x14ac:dyDescent="0.3">
      <c r="A22" s="487"/>
      <c r="B22" s="488"/>
      <c r="C22" s="504"/>
      <c r="D22" s="14"/>
      <c r="E22" s="14"/>
      <c r="F22" s="7"/>
      <c r="G22" s="14"/>
      <c r="H22" s="14"/>
      <c r="I22" s="15"/>
    </row>
    <row r="23" spans="1:13" ht="21" thickBot="1" x14ac:dyDescent="0.35">
      <c r="A23" s="16"/>
      <c r="B23" s="17"/>
      <c r="C23" s="505"/>
      <c r="D23" s="505"/>
      <c r="E23" s="19"/>
      <c r="F23" s="20"/>
      <c r="G23" s="505"/>
      <c r="H23" s="505"/>
      <c r="I23" s="21"/>
      <c r="J23" s="13"/>
      <c r="K23" s="13"/>
      <c r="L23" s="506"/>
      <c r="M23" s="13"/>
    </row>
    <row r="24" spans="1:13" ht="21" thickBot="1" x14ac:dyDescent="0.35">
      <c r="A24" s="22"/>
      <c r="B24" s="23"/>
      <c r="C24" s="24"/>
      <c r="D24" s="25" t="s">
        <v>18</v>
      </c>
      <c r="E24" s="26" t="s">
        <v>30</v>
      </c>
      <c r="F24" s="27"/>
      <c r="G24" s="24"/>
      <c r="H24" s="24"/>
      <c r="I24" s="28"/>
      <c r="J24" s="13"/>
      <c r="K24" s="13"/>
      <c r="L24" s="506"/>
      <c r="M24" s="13"/>
    </row>
    <row r="25" spans="1:13" ht="20.25" x14ac:dyDescent="0.3">
      <c r="A25" s="691" t="s">
        <v>31</v>
      </c>
      <c r="B25" s="692"/>
      <c r="C25" s="693"/>
      <c r="D25" s="507">
        <v>28460</v>
      </c>
      <c r="E25" s="508" t="s">
        <v>21</v>
      </c>
      <c r="F25" s="694" t="s">
        <v>52</v>
      </c>
      <c r="G25" s="694"/>
      <c r="H25" s="695"/>
      <c r="I25" s="696"/>
      <c r="J25" s="13"/>
      <c r="K25" s="13"/>
      <c r="L25" s="506"/>
      <c r="M25" s="13"/>
    </row>
    <row r="26" spans="1:13" ht="20.25" x14ac:dyDescent="0.3">
      <c r="A26" s="697" t="s">
        <v>53</v>
      </c>
      <c r="B26" s="698"/>
      <c r="C26" s="699"/>
      <c r="D26" s="509">
        <v>15</v>
      </c>
      <c r="E26" s="12" t="s">
        <v>32</v>
      </c>
      <c r="F26" s="700" t="s">
        <v>55</v>
      </c>
      <c r="G26" s="700"/>
      <c r="H26" s="701"/>
      <c r="I26" s="702"/>
      <c r="J26" s="13"/>
      <c r="K26" s="13"/>
      <c r="L26" s="506"/>
      <c r="M26" s="13"/>
    </row>
    <row r="27" spans="1:13" ht="20.25" x14ac:dyDescent="0.3">
      <c r="A27" s="697" t="s">
        <v>33</v>
      </c>
      <c r="B27" s="698"/>
      <c r="C27" s="699"/>
      <c r="D27" s="12">
        <v>1</v>
      </c>
      <c r="E27" s="12" t="s">
        <v>251</v>
      </c>
      <c r="F27" s="700" t="s">
        <v>56</v>
      </c>
      <c r="G27" s="700"/>
      <c r="H27" s="701"/>
      <c r="I27" s="702"/>
      <c r="J27" s="13"/>
      <c r="K27" s="13"/>
      <c r="L27" s="506"/>
      <c r="M27" s="13"/>
    </row>
    <row r="28" spans="1:13" ht="20.25" x14ac:dyDescent="0.3">
      <c r="A28" s="697" t="s">
        <v>34</v>
      </c>
      <c r="B28" s="698"/>
      <c r="C28" s="699"/>
      <c r="D28" s="507">
        <v>28460</v>
      </c>
      <c r="E28" s="12" t="s">
        <v>21</v>
      </c>
      <c r="F28" s="703" t="s">
        <v>57</v>
      </c>
      <c r="G28" s="704"/>
      <c r="H28" s="701"/>
      <c r="I28" s="702"/>
      <c r="J28" s="13"/>
      <c r="K28" s="13"/>
      <c r="L28" s="506"/>
      <c r="M28" s="510"/>
    </row>
    <row r="29" spans="1:13" ht="21" thickBot="1" x14ac:dyDescent="0.35">
      <c r="A29" s="705" t="s">
        <v>35</v>
      </c>
      <c r="B29" s="706"/>
      <c r="C29" s="707"/>
      <c r="D29" s="511">
        <f>SUM(E10:E14)-D25</f>
        <v>3011</v>
      </c>
      <c r="E29" s="512" t="s">
        <v>21</v>
      </c>
      <c r="F29" s="708"/>
      <c r="G29" s="708"/>
      <c r="H29" s="709"/>
      <c r="I29" s="710"/>
      <c r="J29" s="87"/>
      <c r="K29" s="87"/>
      <c r="L29" s="506"/>
      <c r="M29" s="87"/>
    </row>
    <row r="30" spans="1:13" ht="21" thickBot="1" x14ac:dyDescent="0.35">
      <c r="A30" s="1048" t="s">
        <v>36</v>
      </c>
      <c r="B30" s="1049"/>
      <c r="C30" s="1049"/>
      <c r="D30" s="1049"/>
      <c r="E30" s="1049"/>
      <c r="F30" s="1049"/>
      <c r="G30" s="1049"/>
      <c r="H30" s="1049"/>
      <c r="I30" s="1050"/>
      <c r="J30" s="13"/>
      <c r="K30" s="13"/>
      <c r="L30" s="13"/>
      <c r="M30" s="13"/>
    </row>
    <row r="31" spans="1:13" ht="20.25" x14ac:dyDescent="0.3">
      <c r="A31" s="1047" t="s">
        <v>252</v>
      </c>
      <c r="B31" s="1047"/>
      <c r="C31" s="1047"/>
      <c r="D31" s="1047"/>
      <c r="E31" s="1047"/>
      <c r="F31" s="1047"/>
      <c r="G31" s="1047"/>
      <c r="H31" s="1047"/>
      <c r="I31" s="1047"/>
      <c r="J31" s="13"/>
      <c r="K31" s="13"/>
      <c r="L31" s="13"/>
      <c r="M31" s="13"/>
    </row>
    <row r="32" spans="1:13" ht="20.25" x14ac:dyDescent="0.3">
      <c r="A32" s="1047" t="s">
        <v>253</v>
      </c>
      <c r="B32" s="1047"/>
      <c r="C32" s="1047"/>
      <c r="D32" s="1047"/>
      <c r="E32" s="1047"/>
      <c r="F32" s="1047"/>
      <c r="G32" s="1047"/>
      <c r="H32" s="1047"/>
      <c r="I32" s="1047"/>
      <c r="J32" s="13"/>
      <c r="K32" s="13"/>
      <c r="L32" s="13"/>
      <c r="M32" s="13"/>
    </row>
    <row r="33" spans="1:13" ht="20.25" x14ac:dyDescent="0.3">
      <c r="A33" s="1058" t="s">
        <v>254</v>
      </c>
      <c r="B33" s="1058"/>
      <c r="C33" s="1058"/>
      <c r="D33" s="1058"/>
      <c r="E33" s="1058"/>
      <c r="F33" s="1058"/>
      <c r="G33" s="1058"/>
      <c r="H33" s="1058"/>
      <c r="I33" s="1058"/>
      <c r="J33" s="13"/>
      <c r="K33" s="13"/>
      <c r="L33" s="13"/>
      <c r="M33" s="13"/>
    </row>
    <row r="34" spans="1:13" ht="20.25" x14ac:dyDescent="0.3">
      <c r="A34" s="716"/>
      <c r="B34" s="716"/>
      <c r="C34" s="716"/>
      <c r="D34" s="716"/>
      <c r="E34" s="716"/>
      <c r="F34" s="716"/>
      <c r="G34" s="716"/>
      <c r="H34" s="716"/>
      <c r="I34" s="716"/>
      <c r="J34" s="13"/>
      <c r="K34" s="13"/>
      <c r="L34" s="13"/>
      <c r="M34" s="13"/>
    </row>
    <row r="35" spans="1:13" ht="20.25" x14ac:dyDescent="0.3">
      <c r="A35" s="716"/>
      <c r="B35" s="716"/>
      <c r="C35" s="716"/>
      <c r="D35" s="716"/>
      <c r="E35" s="716"/>
      <c r="F35" s="716"/>
      <c r="G35" s="716"/>
      <c r="H35" s="716"/>
      <c r="I35" s="716"/>
      <c r="J35" s="13"/>
      <c r="K35" s="13"/>
      <c r="L35" s="13"/>
      <c r="M35" s="13"/>
    </row>
    <row r="36" spans="1:13" ht="20.25" x14ac:dyDescent="0.3">
      <c r="A36" s="1059"/>
      <c r="B36" s="716"/>
      <c r="C36" s="716"/>
      <c r="D36" s="716"/>
      <c r="E36" s="716"/>
      <c r="F36" s="716"/>
      <c r="G36" s="716"/>
      <c r="H36" s="716"/>
      <c r="I36" s="1060"/>
      <c r="J36" s="13"/>
      <c r="K36" s="13"/>
      <c r="L36" s="13"/>
      <c r="M36" s="13"/>
    </row>
    <row r="37" spans="1:13" ht="20.25" x14ac:dyDescent="0.3">
      <c r="A37" s="1059"/>
      <c r="B37" s="716"/>
      <c r="C37" s="716"/>
      <c r="D37" s="716"/>
      <c r="E37" s="716"/>
      <c r="F37" s="716"/>
      <c r="G37" s="716"/>
      <c r="H37" s="716"/>
      <c r="I37" s="1060"/>
      <c r="J37" s="13"/>
      <c r="K37" s="13"/>
      <c r="L37" s="13"/>
      <c r="M37" s="13"/>
    </row>
    <row r="38" spans="1:13" ht="20.25" x14ac:dyDescent="0.3">
      <c r="A38" s="723"/>
      <c r="B38" s="724"/>
      <c r="C38" s="724"/>
      <c r="D38" s="724"/>
      <c r="E38" s="724"/>
      <c r="F38" s="724"/>
      <c r="G38" s="724"/>
      <c r="H38" s="724"/>
      <c r="I38" s="725"/>
      <c r="J38" s="13"/>
      <c r="K38" s="13"/>
      <c r="L38" s="13"/>
      <c r="M38" s="13"/>
    </row>
    <row r="39" spans="1:13" ht="21" thickBot="1" x14ac:dyDescent="0.35">
      <c r="A39" s="1051"/>
      <c r="B39" s="1052"/>
      <c r="C39" s="1052"/>
      <c r="D39" s="1052"/>
      <c r="E39" s="1052"/>
      <c r="F39" s="1052"/>
      <c r="G39" s="1052"/>
      <c r="H39" s="1052"/>
      <c r="I39" s="1053"/>
      <c r="J39" s="13"/>
      <c r="K39" s="13"/>
      <c r="L39" s="13"/>
      <c r="M39" s="13"/>
    </row>
    <row r="40" spans="1:13" ht="20.25" x14ac:dyDescent="0.3">
      <c r="A40" s="1054" t="s">
        <v>37</v>
      </c>
      <c r="B40" s="1055"/>
      <c r="C40" s="1055"/>
      <c r="D40" s="1055"/>
      <c r="E40" s="1055"/>
      <c r="F40" s="1055"/>
      <c r="G40" s="1055"/>
      <c r="H40" s="1055"/>
      <c r="I40" s="1055"/>
      <c r="J40" s="13"/>
      <c r="K40" s="13"/>
      <c r="L40" s="13"/>
      <c r="M40" s="13"/>
    </row>
    <row r="41" spans="1:13" ht="20.25" x14ac:dyDescent="0.3">
      <c r="A41" s="1056" t="s">
        <v>255</v>
      </c>
      <c r="B41" s="1057"/>
      <c r="C41" s="1057"/>
      <c r="D41" s="1057"/>
      <c r="E41" s="1057"/>
      <c r="F41" s="1057"/>
      <c r="G41" s="1057"/>
      <c r="H41" s="1057"/>
      <c r="I41" s="1057"/>
      <c r="J41" s="13"/>
      <c r="K41" s="13"/>
      <c r="L41" s="13"/>
      <c r="M41" s="13"/>
    </row>
    <row r="42" spans="1:13" x14ac:dyDescent="0.25">
      <c r="A42" s="978"/>
      <c r="B42" s="979"/>
      <c r="C42" s="979"/>
      <c r="D42" s="979"/>
      <c r="E42" s="979"/>
      <c r="F42" s="979"/>
      <c r="G42" s="979"/>
      <c r="H42" s="979"/>
      <c r="I42" s="979"/>
    </row>
  </sheetData>
  <mergeCells count="45">
    <mergeCell ref="A39:I39"/>
    <mergeCell ref="A40:I40"/>
    <mergeCell ref="A41:I41"/>
    <mergeCell ref="A42:I42"/>
    <mergeCell ref="A33:I33"/>
    <mergeCell ref="A34:I34"/>
    <mergeCell ref="A35:I35"/>
    <mergeCell ref="A36:I36"/>
    <mergeCell ref="A37:I37"/>
    <mergeCell ref="A38:I38"/>
    <mergeCell ref="A32:I32"/>
    <mergeCell ref="A27:C27"/>
    <mergeCell ref="F27:G27"/>
    <mergeCell ref="H27:I27"/>
    <mergeCell ref="A28:C28"/>
    <mergeCell ref="F28:G28"/>
    <mergeCell ref="H28:I28"/>
    <mergeCell ref="A29:C29"/>
    <mergeCell ref="F29:G29"/>
    <mergeCell ref="H29:I29"/>
    <mergeCell ref="A30:I30"/>
    <mergeCell ref="A31:I31"/>
    <mergeCell ref="A25:C25"/>
    <mergeCell ref="F25:G25"/>
    <mergeCell ref="H25:I25"/>
    <mergeCell ref="A26:C26"/>
    <mergeCell ref="F26:G26"/>
    <mergeCell ref="H26:I2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8167-D7F1-48A0-B70F-2B91F7B36A39}">
  <dimension ref="A1:Q91"/>
  <sheetViews>
    <sheetView topLeftCell="A16" workbookViewId="0">
      <selection activeCell="B66" sqref="B66:E66"/>
    </sheetView>
  </sheetViews>
  <sheetFormatPr baseColWidth="10" defaultColWidth="8.42578125" defaultRowHeight="12.75" x14ac:dyDescent="0.25"/>
  <cols>
    <col min="1" max="1" width="10" style="176" bestFit="1" customWidth="1"/>
    <col min="2" max="2" width="44.28515625" style="176" bestFit="1" customWidth="1"/>
    <col min="3" max="3" width="10.42578125" style="176" bestFit="1" customWidth="1"/>
    <col min="4" max="4" width="10.42578125" style="176" customWidth="1"/>
    <col min="5" max="5" width="11" style="176" customWidth="1"/>
    <col min="6" max="6" width="9.5703125" style="176" bestFit="1" customWidth="1"/>
    <col min="7" max="7" width="10.85546875" style="258" customWidth="1"/>
    <col min="8" max="8" width="10.42578125" style="249" bestFit="1" customWidth="1"/>
    <col min="9" max="9" width="4.5703125" style="249" customWidth="1"/>
    <col min="10" max="10" width="1.85546875" style="175" customWidth="1"/>
    <col min="11" max="11" width="7" style="176" bestFit="1" customWidth="1"/>
    <col min="12" max="12" width="6.28515625" style="176" customWidth="1"/>
    <col min="13" max="13" width="20.42578125" style="176" customWidth="1"/>
    <col min="14" max="14" width="6.42578125" style="176" bestFit="1" customWidth="1"/>
    <col min="15" max="16" width="8.42578125" style="176"/>
    <col min="17" max="17" width="3.28515625" style="176" customWidth="1"/>
    <col min="18" max="16384" width="8.42578125" style="176"/>
  </cols>
  <sheetData>
    <row r="1" spans="1:10" ht="27.75" customHeight="1" x14ac:dyDescent="0.25">
      <c r="A1" s="171"/>
      <c r="B1" s="171"/>
      <c r="C1" s="171"/>
      <c r="D1" s="171"/>
      <c r="E1" s="172" t="s">
        <v>93</v>
      </c>
      <c r="F1" s="173" t="s">
        <v>94</v>
      </c>
      <c r="G1" s="173" t="s">
        <v>95</v>
      </c>
      <c r="H1" s="173" t="s">
        <v>96</v>
      </c>
      <c r="I1" s="174"/>
    </row>
    <row r="2" spans="1:10" ht="30.75" customHeight="1" x14ac:dyDescent="0.25">
      <c r="A2" s="171"/>
      <c r="B2" s="171"/>
      <c r="C2" s="171"/>
      <c r="D2" s="171"/>
      <c r="E2" s="177">
        <f>IFERROR(O62,"")</f>
        <v>34345.311818181814</v>
      </c>
      <c r="F2" s="177">
        <f>IFERROR(H53,"")</f>
        <v>33770</v>
      </c>
      <c r="G2" s="177">
        <f>IFERROR(H54,"")</f>
        <v>37.130000000000003</v>
      </c>
      <c r="H2" s="177">
        <f>IFERROR(H56,"")</f>
        <v>259</v>
      </c>
      <c r="I2" s="178"/>
    </row>
    <row r="3" spans="1:10" ht="15" customHeight="1" x14ac:dyDescent="0.25">
      <c r="A3" s="171"/>
      <c r="B3" s="171"/>
      <c r="C3" s="171"/>
      <c r="D3" s="171"/>
      <c r="E3" s="171"/>
      <c r="F3" s="179"/>
      <c r="G3" s="179"/>
      <c r="H3" s="179"/>
      <c r="I3" s="179"/>
    </row>
    <row r="4" spans="1:10" ht="24.75" customHeight="1" thickBot="1" x14ac:dyDescent="0.3">
      <c r="A4" s="727"/>
      <c r="B4" s="727"/>
      <c r="C4" s="727"/>
      <c r="D4" s="727"/>
      <c r="E4" s="727"/>
      <c r="F4" s="727"/>
      <c r="G4" s="727"/>
      <c r="H4" s="727"/>
      <c r="I4" s="180"/>
    </row>
    <row r="5" spans="1:10" ht="19.5" customHeight="1" thickBot="1" x14ac:dyDescent="0.3">
      <c r="A5" s="728" t="s">
        <v>97</v>
      </c>
      <c r="B5" s="729"/>
      <c r="C5" s="729"/>
      <c r="D5" s="729"/>
      <c r="E5" s="729"/>
      <c r="F5" s="729"/>
      <c r="G5" s="729"/>
      <c r="H5" s="730"/>
      <c r="I5" s="181"/>
    </row>
    <row r="6" spans="1:10" ht="19.5" thickBot="1" x14ac:dyDescent="0.3">
      <c r="A6" s="181"/>
      <c r="B6" s="181"/>
      <c r="C6" s="181"/>
      <c r="D6" s="181"/>
      <c r="E6" s="181"/>
      <c r="F6" s="731" t="s">
        <v>98</v>
      </c>
      <c r="G6" s="731"/>
      <c r="H6" s="182">
        <f ca="1">TODAY()</f>
        <v>46056</v>
      </c>
      <c r="I6" s="182"/>
    </row>
    <row r="7" spans="1:10" ht="26.25" thickBot="1" x14ac:dyDescent="0.3">
      <c r="A7" s="183" t="s">
        <v>99</v>
      </c>
      <c r="B7" s="184" t="s">
        <v>100</v>
      </c>
      <c r="C7" s="184" t="s">
        <v>99</v>
      </c>
      <c r="D7" s="185" t="s">
        <v>101</v>
      </c>
      <c r="E7" s="185" t="s">
        <v>102</v>
      </c>
      <c r="F7" s="185" t="s">
        <v>103</v>
      </c>
      <c r="G7" s="185" t="s">
        <v>104</v>
      </c>
      <c r="H7" s="186" t="s">
        <v>105</v>
      </c>
      <c r="I7" s="187"/>
    </row>
    <row r="8" spans="1:10" ht="13.5" x14ac:dyDescent="0.25">
      <c r="A8" s="188">
        <v>4000</v>
      </c>
      <c r="B8" s="176" t="s">
        <v>73</v>
      </c>
      <c r="C8" s="189">
        <f>+A8</f>
        <v>4000</v>
      </c>
      <c r="D8" s="190" t="s">
        <v>145</v>
      </c>
      <c r="E8" s="190">
        <v>8.25</v>
      </c>
      <c r="F8" s="190">
        <f>IFERROR(C8*E8,"")</f>
        <v>33000</v>
      </c>
      <c r="G8" s="191">
        <f t="shared" ref="G8:G14" si="0">IFERROR(F8/$F$66,"")</f>
        <v>0.95275132930463879</v>
      </c>
      <c r="H8" s="192" t="s">
        <v>80</v>
      </c>
      <c r="I8" s="192"/>
      <c r="J8" s="193"/>
    </row>
    <row r="9" spans="1:10" ht="13.5" hidden="1" x14ac:dyDescent="0.25">
      <c r="A9" s="188"/>
      <c r="B9" s="176" t="str">
        <f>IFERROR(VLOOKUP(H9,'[1]Consolidado MP Planta'!$A$2:$M$823,3,0),"")</f>
        <v/>
      </c>
      <c r="C9" s="189">
        <f t="shared" ref="C9:C14" si="1">+A9</f>
        <v>0</v>
      </c>
      <c r="D9" s="190" t="str">
        <f>IFERROR(VLOOKUP(H9,'[1]Consolidado MP Planta'!$A$2:$M$823,13,0),"")</f>
        <v/>
      </c>
      <c r="E9" s="190" t="str">
        <f>IFERROR(VLOOKUP(H9,'[1]Consolidado MP Planta'!$A$2:$M$823,12,0),"")</f>
        <v/>
      </c>
      <c r="F9" s="190" t="str">
        <f t="shared" ref="F9:F14" si="2">IFERROR(C9*E9,"")</f>
        <v/>
      </c>
      <c r="G9" s="191" t="str">
        <f t="shared" si="0"/>
        <v/>
      </c>
      <c r="H9" s="192"/>
      <c r="I9" s="192"/>
      <c r="J9" s="193"/>
    </row>
    <row r="10" spans="1:10" ht="13.5" hidden="1" x14ac:dyDescent="0.25">
      <c r="A10" s="188"/>
      <c r="B10" s="176" t="str">
        <f>IFERROR(VLOOKUP(H10,'[1]Consolidado MP Planta'!$A$2:$M$823,3,0),"")</f>
        <v/>
      </c>
      <c r="C10" s="189">
        <f t="shared" si="1"/>
        <v>0</v>
      </c>
      <c r="D10" s="190" t="str">
        <f>IFERROR(VLOOKUP(H10,'[1]Consolidado MP Planta'!$A$2:$M$823,13,0),"")</f>
        <v/>
      </c>
      <c r="E10" s="190" t="str">
        <f>IFERROR(VLOOKUP(H10,'[1]Consolidado MP Planta'!$A$2:$M$823,12,0),"")</f>
        <v/>
      </c>
      <c r="F10" s="190" t="str">
        <f t="shared" si="2"/>
        <v/>
      </c>
      <c r="G10" s="191" t="str">
        <f t="shared" si="0"/>
        <v/>
      </c>
      <c r="H10" s="192"/>
      <c r="I10" s="192"/>
      <c r="J10" s="193"/>
    </row>
    <row r="11" spans="1:10" ht="13.5" hidden="1" x14ac:dyDescent="0.25">
      <c r="A11" s="188"/>
      <c r="B11" s="176" t="str">
        <f>IFERROR(VLOOKUP(H11,'[1]Consolidado MP Planta'!$A$2:$M$823,3,0),"")</f>
        <v/>
      </c>
      <c r="C11" s="189">
        <f t="shared" si="1"/>
        <v>0</v>
      </c>
      <c r="D11" s="190" t="str">
        <f>IFERROR(VLOOKUP(H11,'[1]Consolidado MP Planta'!$A$2:$M$823,13,0),"")</f>
        <v/>
      </c>
      <c r="E11" s="190" t="str">
        <f>IFERROR(VLOOKUP(H11,'[1]Consolidado MP Planta'!$A$2:$M$823,12,0),"")</f>
        <v/>
      </c>
      <c r="F11" s="190" t="str">
        <f t="shared" si="2"/>
        <v/>
      </c>
      <c r="G11" s="191" t="str">
        <f t="shared" si="0"/>
        <v/>
      </c>
      <c r="H11" s="192"/>
      <c r="I11" s="192"/>
      <c r="J11" s="193"/>
    </row>
    <row r="12" spans="1:10" ht="13.5" hidden="1" x14ac:dyDescent="0.25">
      <c r="A12" s="188"/>
      <c r="B12" s="176" t="str">
        <f>IFERROR(VLOOKUP(H12,'[1]Consolidado MP Planta'!$A$2:$M$823,3,0),"")</f>
        <v/>
      </c>
      <c r="C12" s="189">
        <f t="shared" si="1"/>
        <v>0</v>
      </c>
      <c r="D12" s="190" t="str">
        <f>IFERROR(VLOOKUP(H12,'[1]Consolidado MP Planta'!$A$2:$M$823,13,0),"")</f>
        <v/>
      </c>
      <c r="E12" s="190" t="str">
        <f>IFERROR(VLOOKUP(H12,'[1]Consolidado MP Planta'!$A$2:$M$823,12,0),"")</f>
        <v/>
      </c>
      <c r="F12" s="190" t="str">
        <f t="shared" si="2"/>
        <v/>
      </c>
      <c r="G12" s="191" t="str">
        <f t="shared" si="0"/>
        <v/>
      </c>
      <c r="H12" s="192"/>
      <c r="I12" s="192"/>
      <c r="J12" s="193"/>
    </row>
    <row r="13" spans="1:10" ht="13.5" hidden="1" x14ac:dyDescent="0.25">
      <c r="A13" s="188"/>
      <c r="B13" s="176" t="str">
        <f>IFERROR(VLOOKUP(H13,'[1]Consolidado MP Planta'!$A$2:$M$823,3,0),"")</f>
        <v/>
      </c>
      <c r="C13" s="189">
        <f t="shared" si="1"/>
        <v>0</v>
      </c>
      <c r="D13" s="190" t="str">
        <f>IFERROR(VLOOKUP(H13,'[1]Consolidado MP Planta'!$A$2:$M$823,13,0),"")</f>
        <v/>
      </c>
      <c r="E13" s="190" t="str">
        <f>IFERROR(VLOOKUP(H13,'[1]Consolidado MP Planta'!$A$2:$M$823,12,0),"")</f>
        <v/>
      </c>
      <c r="F13" s="190" t="str">
        <f t="shared" si="2"/>
        <v/>
      </c>
      <c r="G13" s="191" t="str">
        <f t="shared" si="0"/>
        <v/>
      </c>
      <c r="H13" s="192"/>
      <c r="I13" s="192"/>
      <c r="J13" s="193"/>
    </row>
    <row r="14" spans="1:10" ht="13.5" hidden="1" x14ac:dyDescent="0.25">
      <c r="A14" s="188"/>
      <c r="B14" s="176" t="str">
        <f>IFERROR(VLOOKUP(H14,'[1]Consolidado MP Planta'!$A$2:$M$823,3,0),"")</f>
        <v/>
      </c>
      <c r="C14" s="189">
        <f t="shared" si="1"/>
        <v>0</v>
      </c>
      <c r="D14" s="190" t="str">
        <f>IFERROR(VLOOKUP(H14,'[1]Consolidado MP Planta'!$A$2:$M$823,13,0),"")</f>
        <v/>
      </c>
      <c r="E14" s="190" t="str">
        <f>IFERROR(VLOOKUP(H14,'[1]Consolidado MP Planta'!$A$2:$M$823,12,0),"")</f>
        <v/>
      </c>
      <c r="F14" s="190" t="str">
        <f t="shared" si="2"/>
        <v/>
      </c>
      <c r="G14" s="191" t="str">
        <f t="shared" si="0"/>
        <v/>
      </c>
      <c r="H14" s="192"/>
      <c r="I14" s="192"/>
      <c r="J14" s="193"/>
    </row>
    <row r="15" spans="1:10" ht="14.25" thickBot="1" x14ac:dyDescent="0.3">
      <c r="A15" s="188"/>
      <c r="B15" s="176" t="str">
        <f>IFERROR(VLOOKUP(H15,[2]Hoja2!$A$2:$G$589,2,0),"")</f>
        <v/>
      </c>
      <c r="C15" s="189"/>
      <c r="D15" s="190"/>
      <c r="E15" s="190"/>
      <c r="F15" s="190"/>
      <c r="G15" s="191"/>
      <c r="H15" s="192"/>
      <c r="I15" s="192"/>
      <c r="J15" s="193"/>
    </row>
    <row r="16" spans="1:10" ht="26.25" thickBot="1" x14ac:dyDescent="0.3">
      <c r="A16" s="183" t="s">
        <v>99</v>
      </c>
      <c r="B16" s="184" t="s">
        <v>106</v>
      </c>
      <c r="C16" s="184" t="s">
        <v>99</v>
      </c>
      <c r="D16" s="185" t="s">
        <v>101</v>
      </c>
      <c r="E16" s="185" t="s">
        <v>102</v>
      </c>
      <c r="F16" s="185" t="s">
        <v>103</v>
      </c>
      <c r="G16" s="185" t="s">
        <v>104</v>
      </c>
      <c r="H16" s="186" t="s">
        <v>105</v>
      </c>
      <c r="I16" s="187"/>
      <c r="J16" s="193"/>
    </row>
    <row r="17" spans="1:12" ht="13.5" x14ac:dyDescent="0.25">
      <c r="A17" s="188">
        <v>3500</v>
      </c>
      <c r="B17" s="176" t="s">
        <v>71</v>
      </c>
      <c r="C17" s="189">
        <f>+A17</f>
        <v>3500</v>
      </c>
      <c r="D17" s="189" t="s">
        <v>144</v>
      </c>
      <c r="E17" s="190">
        <v>0.22</v>
      </c>
      <c r="F17" s="190">
        <f>IFERROR(E17*C17,"")</f>
        <v>770</v>
      </c>
      <c r="G17" s="191">
        <f t="shared" ref="G17:G24" si="3">IFERROR(F17/$F$66,"")</f>
        <v>2.2230864350441571E-2</v>
      </c>
      <c r="H17" s="192" t="s">
        <v>61</v>
      </c>
      <c r="I17" s="192"/>
      <c r="J17" s="193"/>
    </row>
    <row r="18" spans="1:12" ht="13.5" hidden="1" x14ac:dyDescent="0.25">
      <c r="A18" s="188"/>
      <c r="B18" s="176" t="str">
        <f>IFERROR(VLOOKUP(H18,[1]SEMIELABORADOS!$A$2:$M$6000,2,0),"")</f>
        <v/>
      </c>
      <c r="C18" s="189">
        <f t="shared" ref="C18:C24" si="4">+A18</f>
        <v>0</v>
      </c>
      <c r="D18" s="189" t="str">
        <f>IFERROR(VLOOKUP(H18,[1]SEMIELABORADOS!$A$2:$M$6000,6,0),"")</f>
        <v/>
      </c>
      <c r="E18" s="190" t="str">
        <f>IFERROR(VLOOKUP(H18,[1]SEMIELABORADOS!$A$2:$H$65536,8,0),"")</f>
        <v/>
      </c>
      <c r="F18" s="190" t="str">
        <f t="shared" ref="F18:F24" si="5">IFERROR(E18*C18,"")</f>
        <v/>
      </c>
      <c r="G18" s="191" t="str">
        <f t="shared" si="3"/>
        <v/>
      </c>
      <c r="H18" s="192"/>
      <c r="I18" s="192"/>
      <c r="J18" s="193"/>
    </row>
    <row r="19" spans="1:12" ht="13.5" hidden="1" x14ac:dyDescent="0.25">
      <c r="A19" s="188"/>
      <c r="B19" s="176" t="str">
        <f>IFERROR(VLOOKUP(H19,[1]SEMIELABORADOS!$A$2:$M$6000,2,0),"")</f>
        <v/>
      </c>
      <c r="C19" s="189">
        <f>+A19</f>
        <v>0</v>
      </c>
      <c r="D19" s="189" t="str">
        <f>IFERROR(VLOOKUP(H19,[1]SEMIELABORADOS!$A$2:$M$6000,6,0),"")</f>
        <v/>
      </c>
      <c r="E19" s="190" t="str">
        <f>IFERROR(VLOOKUP(H19,[1]SEMIELABORADOS!$A$2:$H$65536,8,0),"")</f>
        <v/>
      </c>
      <c r="F19" s="190" t="str">
        <f>IFERROR(E19*C19,"")</f>
        <v/>
      </c>
      <c r="G19" s="191" t="str">
        <f t="shared" si="3"/>
        <v/>
      </c>
      <c r="H19" s="192"/>
      <c r="I19" s="192"/>
      <c r="J19" s="193"/>
    </row>
    <row r="20" spans="1:12" ht="13.5" hidden="1" x14ac:dyDescent="0.25">
      <c r="A20" s="188"/>
      <c r="B20" s="176" t="str">
        <f>IFERROR(VLOOKUP(H20,[1]SEMIELABORADOS!$A$2:$M$6000,2,0),"")</f>
        <v/>
      </c>
      <c r="C20" s="189">
        <f>+A20</f>
        <v>0</v>
      </c>
      <c r="D20" s="189" t="str">
        <f>IFERROR(VLOOKUP(H20,[1]SEMIELABORADOS!$A$2:$M$6000,6,0),"")</f>
        <v/>
      </c>
      <c r="E20" s="190" t="str">
        <f>IFERROR(VLOOKUP(H20,[1]SEMIELABORADOS!$A$2:$H$65536,8,0),"")</f>
        <v/>
      </c>
      <c r="F20" s="190" t="str">
        <f>IFERROR(E20*C20,"")</f>
        <v/>
      </c>
      <c r="G20" s="191" t="str">
        <f t="shared" si="3"/>
        <v/>
      </c>
      <c r="H20" s="192"/>
      <c r="I20" s="192"/>
      <c r="J20" s="193"/>
    </row>
    <row r="21" spans="1:12" ht="13.5" hidden="1" x14ac:dyDescent="0.25">
      <c r="A21" s="188"/>
      <c r="B21" s="176" t="str">
        <f>IFERROR(VLOOKUP(H21,[1]SEMIELABORADOS!$A$2:$M$6000,2,0),"")</f>
        <v/>
      </c>
      <c r="C21" s="189">
        <f>+A21</f>
        <v>0</v>
      </c>
      <c r="D21" s="189" t="str">
        <f>IFERROR(VLOOKUP(H21,[1]SEMIELABORADOS!$A$2:$M$6000,6,0),"")</f>
        <v/>
      </c>
      <c r="E21" s="190" t="str">
        <f>IFERROR(VLOOKUP(H21,[1]SEMIELABORADOS!$A$2:$H$65536,8,0),"")</f>
        <v/>
      </c>
      <c r="F21" s="190" t="str">
        <f>IFERROR(E21*C21,"")</f>
        <v/>
      </c>
      <c r="G21" s="191" t="str">
        <f t="shared" si="3"/>
        <v/>
      </c>
      <c r="H21" s="192"/>
      <c r="I21" s="192"/>
      <c r="J21" s="193"/>
    </row>
    <row r="22" spans="1:12" ht="13.5" hidden="1" x14ac:dyDescent="0.25">
      <c r="A22" s="188"/>
      <c r="B22" s="176" t="str">
        <f>IFERROR(VLOOKUP(H22,[1]SEMIELABORADOS!$A$2:$M$6000,2,0),"")</f>
        <v/>
      </c>
      <c r="C22" s="189">
        <f t="shared" si="4"/>
        <v>0</v>
      </c>
      <c r="D22" s="189" t="str">
        <f>IFERROR(VLOOKUP(H22,[1]SEMIELABORADOS!$A$2:$M$6000,6,0),"")</f>
        <v/>
      </c>
      <c r="E22" s="190" t="str">
        <f>IFERROR(VLOOKUP(H22,[1]SEMIELABORADOS!$A$2:$H$65536,8,0),"")</f>
        <v/>
      </c>
      <c r="F22" s="190" t="str">
        <f t="shared" si="5"/>
        <v/>
      </c>
      <c r="G22" s="191" t="str">
        <f t="shared" si="3"/>
        <v/>
      </c>
      <c r="H22" s="192"/>
      <c r="I22" s="192"/>
      <c r="J22" s="193"/>
    </row>
    <row r="23" spans="1:12" ht="13.5" hidden="1" x14ac:dyDescent="0.25">
      <c r="A23" s="188"/>
      <c r="B23" s="176" t="str">
        <f>IFERROR(VLOOKUP(H23,[1]SEMIELABORADOS!$A$2:$M$6000,2,0),"")</f>
        <v/>
      </c>
      <c r="C23" s="189">
        <f t="shared" si="4"/>
        <v>0</v>
      </c>
      <c r="D23" s="189" t="str">
        <f>IFERROR(VLOOKUP(H23,[1]SEMIELABORADOS!$A$2:$M$6000,6,0),"")</f>
        <v/>
      </c>
      <c r="E23" s="190" t="str">
        <f>IFERROR(VLOOKUP(H23,[1]SEMIELABORADOS!$A$2:$H$65536,8,0),"")</f>
        <v/>
      </c>
      <c r="F23" s="190" t="str">
        <f t="shared" si="5"/>
        <v/>
      </c>
      <c r="G23" s="191" t="str">
        <f t="shared" si="3"/>
        <v/>
      </c>
      <c r="H23" s="192"/>
      <c r="I23" s="192"/>
      <c r="J23" s="193"/>
    </row>
    <row r="24" spans="1:12" ht="13.5" hidden="1" x14ac:dyDescent="0.25">
      <c r="A24" s="188"/>
      <c r="B24" s="176" t="str">
        <f>IFERROR(VLOOKUP(H24,[1]SEMIELABORADOS!$A$2:$M$6000,2,0),"")</f>
        <v/>
      </c>
      <c r="C24" s="189">
        <f t="shared" si="4"/>
        <v>0</v>
      </c>
      <c r="D24" s="189" t="str">
        <f>IFERROR(VLOOKUP(H24,[1]SEMIELABORADOS!$A$2:$M$6000,6,0),"")</f>
        <v/>
      </c>
      <c r="E24" s="190" t="str">
        <f>IFERROR(VLOOKUP(H24,[1]SEMIELABORADOS!$A$2:$H$65536,8,0),"")</f>
        <v/>
      </c>
      <c r="F24" s="190" t="str">
        <f t="shared" si="5"/>
        <v/>
      </c>
      <c r="G24" s="191" t="str">
        <f t="shared" si="3"/>
        <v/>
      </c>
      <c r="H24" s="192"/>
      <c r="I24" s="192"/>
      <c r="J24" s="193"/>
    </row>
    <row r="25" spans="1:12" ht="14.25" thickBot="1" x14ac:dyDescent="0.3">
      <c r="A25" s="188"/>
      <c r="C25" s="189"/>
      <c r="D25" s="189"/>
      <c r="E25" s="190"/>
      <c r="F25" s="190"/>
      <c r="G25" s="191"/>
      <c r="H25" s="192"/>
      <c r="I25" s="192"/>
      <c r="J25" s="193"/>
    </row>
    <row r="26" spans="1:12" ht="26.25" thickBot="1" x14ac:dyDescent="0.3">
      <c r="A26" s="183" t="s">
        <v>99</v>
      </c>
      <c r="B26" s="184" t="s">
        <v>22</v>
      </c>
      <c r="C26" s="184" t="s">
        <v>99</v>
      </c>
      <c r="D26" s="185" t="s">
        <v>101</v>
      </c>
      <c r="E26" s="185" t="s">
        <v>102</v>
      </c>
      <c r="F26" s="185" t="s">
        <v>103</v>
      </c>
      <c r="G26" s="185" t="s">
        <v>104</v>
      </c>
      <c r="H26" s="186" t="s">
        <v>105</v>
      </c>
      <c r="I26" s="187"/>
    </row>
    <row r="27" spans="1:12" ht="13.5" x14ac:dyDescent="0.25">
      <c r="A27" s="188">
        <v>1</v>
      </c>
      <c r="B27" s="194" t="s">
        <v>72</v>
      </c>
      <c r="C27" s="189">
        <f t="shared" ref="C27:C32" si="6">+A27</f>
        <v>1</v>
      </c>
      <c r="D27" s="190" t="s">
        <v>147</v>
      </c>
      <c r="E27" s="190">
        <v>2.13</v>
      </c>
      <c r="F27" s="190">
        <f t="shared" ref="F27:F32" si="7">IFERROR(C27*E27,"")</f>
        <v>2.13</v>
      </c>
      <c r="G27" s="191">
        <f t="shared" ref="G27:G32" si="8">IFERROR(F27/$F$66,"")</f>
        <v>6.1495767618753954E-5</v>
      </c>
      <c r="H27" s="195" t="s">
        <v>27</v>
      </c>
      <c r="I27" s="195"/>
      <c r="J27" s="193"/>
      <c r="K27" s="726"/>
      <c r="L27" s="726"/>
    </row>
    <row r="28" spans="1:12" ht="13.5" hidden="1" x14ac:dyDescent="0.25">
      <c r="A28" s="188"/>
      <c r="B28" s="194" t="str">
        <f>IFERROR(VLOOKUP(H28,'[1]Consolidado MP Planta'!$A$2:$M$823,3,0),"")</f>
        <v/>
      </c>
      <c r="C28" s="189">
        <f t="shared" si="6"/>
        <v>0</v>
      </c>
      <c r="D28" s="190" t="str">
        <f>IFERROR(VLOOKUP(H28,'[1]Consolidado MP Planta'!$A$2:$M$823,13,0),"")</f>
        <v/>
      </c>
      <c r="E28" s="190" t="str">
        <f>IFERROR(VLOOKUP(H28,'[1]Consolidado MP Planta'!$A$2:$M$823,12,0),"")</f>
        <v/>
      </c>
      <c r="F28" s="190" t="str">
        <f t="shared" si="7"/>
        <v/>
      </c>
      <c r="G28" s="191" t="str">
        <f t="shared" si="8"/>
        <v/>
      </c>
      <c r="H28" s="195"/>
      <c r="I28" s="195"/>
      <c r="J28" s="193"/>
      <c r="K28" s="726"/>
      <c r="L28" s="726"/>
    </row>
    <row r="29" spans="1:12" ht="13.5" hidden="1" x14ac:dyDescent="0.25">
      <c r="A29" s="188"/>
      <c r="B29" s="194" t="str">
        <f>IFERROR(VLOOKUP(H29,'[1]Consolidado MP Planta'!$A$2:$M$823,3,0),"")</f>
        <v/>
      </c>
      <c r="C29" s="189">
        <f t="shared" si="6"/>
        <v>0</v>
      </c>
      <c r="D29" s="190" t="str">
        <f>IFERROR(VLOOKUP(H29,'[1]Consolidado MP Planta'!$A$2:$M$823,13,0),"")</f>
        <v/>
      </c>
      <c r="E29" s="190" t="str">
        <f>IFERROR(VLOOKUP(H29,'[1]Consolidado MP Planta'!$A$2:$M$823,12,0),"")</f>
        <v/>
      </c>
      <c r="F29" s="190" t="str">
        <f t="shared" si="7"/>
        <v/>
      </c>
      <c r="G29" s="191" t="str">
        <f t="shared" si="8"/>
        <v/>
      </c>
      <c r="H29" s="195"/>
      <c r="I29" s="195"/>
      <c r="J29" s="193"/>
      <c r="K29" s="726"/>
      <c r="L29" s="726"/>
    </row>
    <row r="30" spans="1:12" ht="13.5" hidden="1" x14ac:dyDescent="0.25">
      <c r="A30" s="188"/>
      <c r="B30" s="194" t="str">
        <f>IFERROR(VLOOKUP(H30,'[1]Consolidado MP Planta'!$A$2:$M$823,3,0),"")</f>
        <v/>
      </c>
      <c r="C30" s="189">
        <f t="shared" si="6"/>
        <v>0</v>
      </c>
      <c r="D30" s="190" t="str">
        <f>IFERROR(VLOOKUP(H30,'[1]Consolidado MP Planta'!$A$2:$M$823,13,0),"")</f>
        <v/>
      </c>
      <c r="E30" s="190" t="str">
        <f>IFERROR(VLOOKUP(H30,'[1]Consolidado MP Planta'!$A$2:$M$823,12,0),"")</f>
        <v/>
      </c>
      <c r="F30" s="190" t="str">
        <f t="shared" si="7"/>
        <v/>
      </c>
      <c r="G30" s="191" t="str">
        <f t="shared" si="8"/>
        <v/>
      </c>
      <c r="H30" s="195"/>
      <c r="I30" s="195"/>
      <c r="J30" s="193"/>
      <c r="K30" s="726"/>
      <c r="L30" s="726"/>
    </row>
    <row r="31" spans="1:12" ht="13.5" hidden="1" x14ac:dyDescent="0.25">
      <c r="A31" s="188"/>
      <c r="B31" s="194" t="str">
        <f>IFERROR(VLOOKUP(H31,'[1]Consolidado MP Planta'!$A$2:$M$823,3,0),"")</f>
        <v/>
      </c>
      <c r="C31" s="189">
        <f t="shared" si="6"/>
        <v>0</v>
      </c>
      <c r="D31" s="190" t="str">
        <f>IFERROR(VLOOKUP(H31,'[1]Consolidado MP Planta'!$A$2:$M$823,13,0),"")</f>
        <v/>
      </c>
      <c r="E31" s="190" t="str">
        <f>IFERROR(VLOOKUP(H31,'[1]Consolidado MP Planta'!$A$2:$M$823,12,0),"")</f>
        <v/>
      </c>
      <c r="F31" s="190" t="str">
        <f t="shared" si="7"/>
        <v/>
      </c>
      <c r="G31" s="191" t="str">
        <f t="shared" si="8"/>
        <v/>
      </c>
      <c r="H31" s="195"/>
      <c r="I31" s="195"/>
      <c r="J31" s="193"/>
      <c r="K31" s="196"/>
      <c r="L31" s="197"/>
    </row>
    <row r="32" spans="1:12" ht="13.5" hidden="1" x14ac:dyDescent="0.25">
      <c r="A32" s="188"/>
      <c r="B32" s="194" t="str">
        <f>IFERROR(VLOOKUP(H32,'[1]Consolidado MP Planta'!$A$2:$M$823,3,0),"")</f>
        <v/>
      </c>
      <c r="C32" s="189">
        <f t="shared" si="6"/>
        <v>0</v>
      </c>
      <c r="D32" s="190" t="str">
        <f>IFERROR(VLOOKUP(H32,'[1]Consolidado MP Planta'!$A$2:$M$823,13,0),"")</f>
        <v/>
      </c>
      <c r="E32" s="190" t="str">
        <f>IFERROR(VLOOKUP(H32,'[1]Consolidado MP Planta'!$A$2:$M$823,12,0),"")</f>
        <v/>
      </c>
      <c r="F32" s="190" t="str">
        <f t="shared" si="7"/>
        <v/>
      </c>
      <c r="G32" s="191" t="str">
        <f t="shared" si="8"/>
        <v/>
      </c>
      <c r="H32" s="195"/>
      <c r="I32" s="195"/>
      <c r="J32" s="193"/>
    </row>
    <row r="33" spans="1:13" ht="14.25" thickBot="1" x14ac:dyDescent="0.3">
      <c r="A33" s="188"/>
      <c r="B33" s="194"/>
      <c r="C33" s="189"/>
      <c r="D33" s="190"/>
      <c r="E33" s="190"/>
      <c r="F33" s="190"/>
      <c r="G33" s="191"/>
      <c r="H33" s="195"/>
      <c r="I33" s="195"/>
      <c r="J33" s="193"/>
    </row>
    <row r="34" spans="1:13" ht="26.25" thickBot="1" x14ac:dyDescent="0.25">
      <c r="A34" s="183" t="s">
        <v>99</v>
      </c>
      <c r="B34" s="184" t="s">
        <v>107</v>
      </c>
      <c r="C34" s="184" t="s">
        <v>99</v>
      </c>
      <c r="D34" s="185" t="s">
        <v>101</v>
      </c>
      <c r="E34" s="185" t="s">
        <v>102</v>
      </c>
      <c r="F34" s="185" t="s">
        <v>103</v>
      </c>
      <c r="G34" s="185" t="s">
        <v>104</v>
      </c>
      <c r="H34" s="186" t="s">
        <v>105</v>
      </c>
      <c r="I34" s="195"/>
      <c r="J34" s="193"/>
    </row>
    <row r="35" spans="1:13" ht="13.5" x14ac:dyDescent="0.25">
      <c r="A35" s="188">
        <f>+A17</f>
        <v>3500</v>
      </c>
      <c r="B35" s="194" t="s">
        <v>71</v>
      </c>
      <c r="C35" s="189">
        <f>+A35</f>
        <v>3500</v>
      </c>
      <c r="D35" s="190" t="s">
        <v>144</v>
      </c>
      <c r="E35" s="190">
        <v>0.01</v>
      </c>
      <c r="F35" s="190">
        <f>IFERROR(E35*C35,"")</f>
        <v>35</v>
      </c>
      <c r="G35" s="191">
        <f t="shared" ref="G35:G41" si="9">IFERROR(F35/$F$66,"")</f>
        <v>1.0104938341109805E-3</v>
      </c>
      <c r="H35" s="195" t="s">
        <v>61</v>
      </c>
      <c r="I35" s="195"/>
      <c r="J35" s="193"/>
    </row>
    <row r="36" spans="1:13" ht="13.5" hidden="1" x14ac:dyDescent="0.25">
      <c r="A36" s="188">
        <f t="shared" ref="A36:A41" si="10">+A18</f>
        <v>0</v>
      </c>
      <c r="B36" s="194" t="str">
        <f>IFERROR(VLOOKUP(H36,[1]SEMIELABORADOS!$A$2:$M$6000,2,0),"")</f>
        <v/>
      </c>
      <c r="C36" s="189">
        <f t="shared" ref="C36:C41" si="11">+A36</f>
        <v>0</v>
      </c>
      <c r="D36" s="190" t="str">
        <f>IFERROR(VLOOKUP(H36,[1]SEMIELABORADOS!$A$2:$M$6000,6,0),"")</f>
        <v/>
      </c>
      <c r="E36" s="190" t="str">
        <f>IFERROR(VLOOKUP(H36,[1]SEMIELABORADOS!$A$2:$M$65536,10,0),"")</f>
        <v/>
      </c>
      <c r="F36" s="190" t="str">
        <f t="shared" ref="F36:F41" si="12">IFERROR(E36*C36,"")</f>
        <v/>
      </c>
      <c r="G36" s="191" t="str">
        <f t="shared" si="9"/>
        <v/>
      </c>
      <c r="H36" s="195"/>
      <c r="I36" s="195"/>
      <c r="J36" s="193"/>
    </row>
    <row r="37" spans="1:13" ht="13.5" hidden="1" x14ac:dyDescent="0.25">
      <c r="A37" s="188">
        <f t="shared" si="10"/>
        <v>0</v>
      </c>
      <c r="B37" s="194" t="str">
        <f>IFERROR(VLOOKUP(H37,[1]SEMIELABORADOS!$A$2:$M$6000,2,0),"")</f>
        <v/>
      </c>
      <c r="C37" s="189">
        <f t="shared" si="11"/>
        <v>0</v>
      </c>
      <c r="D37" s="190" t="str">
        <f>IFERROR(VLOOKUP(H37,[1]SEMIELABORADOS!$A$2:$M$6000,6,0),"")</f>
        <v/>
      </c>
      <c r="E37" s="190" t="str">
        <f>IFERROR(VLOOKUP(H37,[1]SEMIELABORADOS!$A$2:$M$65536,10,0),"")</f>
        <v/>
      </c>
      <c r="F37" s="190" t="str">
        <f t="shared" si="12"/>
        <v/>
      </c>
      <c r="G37" s="191" t="str">
        <f t="shared" si="9"/>
        <v/>
      </c>
      <c r="H37" s="195"/>
      <c r="I37" s="195"/>
      <c r="J37" s="193"/>
    </row>
    <row r="38" spans="1:13" ht="13.5" hidden="1" x14ac:dyDescent="0.25">
      <c r="A38" s="188">
        <f t="shared" si="10"/>
        <v>0</v>
      </c>
      <c r="B38" s="194" t="str">
        <f>IFERROR(VLOOKUP(H38,[1]SEMIELABORADOS!$A$2:$M$6000,2,0),"")</f>
        <v/>
      </c>
      <c r="C38" s="189">
        <f>+A38</f>
        <v>0</v>
      </c>
      <c r="D38" s="190" t="str">
        <f>IFERROR(VLOOKUP(H38,[1]SEMIELABORADOS!$A$2:$M$6000,6,0),"")</f>
        <v/>
      </c>
      <c r="E38" s="190" t="str">
        <f>IFERROR(VLOOKUP(H38,[1]SEMIELABORADOS!$A$2:$M$65536,10,0),"")</f>
        <v/>
      </c>
      <c r="F38" s="190" t="str">
        <f>IFERROR(E38*C38,"")</f>
        <v/>
      </c>
      <c r="G38" s="191" t="str">
        <f t="shared" si="9"/>
        <v/>
      </c>
      <c r="H38" s="195"/>
      <c r="I38" s="195"/>
      <c r="J38" s="193"/>
    </row>
    <row r="39" spans="1:13" ht="13.5" hidden="1" x14ac:dyDescent="0.25">
      <c r="A39" s="188">
        <f t="shared" si="10"/>
        <v>0</v>
      </c>
      <c r="B39" s="194" t="str">
        <f>IFERROR(VLOOKUP(H39,[1]SEMIELABORADOS!$A$2:$M$6000,2,0),"")</f>
        <v/>
      </c>
      <c r="C39" s="189">
        <f>+A39</f>
        <v>0</v>
      </c>
      <c r="D39" s="190" t="str">
        <f>IFERROR(VLOOKUP(H39,[1]SEMIELABORADOS!$A$2:$M$6000,6,0),"")</f>
        <v/>
      </c>
      <c r="E39" s="190" t="str">
        <f>IFERROR(VLOOKUP(H39,[1]SEMIELABORADOS!$A$2:$M$65536,10,0),"")</f>
        <v/>
      </c>
      <c r="F39" s="190" t="str">
        <f>IFERROR(E39*C39,"")</f>
        <v/>
      </c>
      <c r="G39" s="191" t="str">
        <f t="shared" si="9"/>
        <v/>
      </c>
      <c r="H39" s="195"/>
      <c r="I39" s="195"/>
      <c r="J39" s="193"/>
    </row>
    <row r="40" spans="1:13" ht="13.5" hidden="1" x14ac:dyDescent="0.25">
      <c r="A40" s="188">
        <f t="shared" si="10"/>
        <v>0</v>
      </c>
      <c r="B40" s="194" t="str">
        <f>IFERROR(VLOOKUP(H40,[1]SEMIELABORADOS!$A$2:$M$6000,2,0),"")</f>
        <v/>
      </c>
      <c r="C40" s="189">
        <f t="shared" si="11"/>
        <v>0</v>
      </c>
      <c r="D40" s="190" t="str">
        <f>IFERROR(VLOOKUP(H40,[1]SEMIELABORADOS!$A$2:$M$6000,6,0),"")</f>
        <v/>
      </c>
      <c r="E40" s="190" t="str">
        <f>IFERROR(VLOOKUP(H40,[1]SEMIELABORADOS!$A$2:$M$65536,10,0),"")</f>
        <v/>
      </c>
      <c r="F40" s="190" t="str">
        <f t="shared" si="12"/>
        <v/>
      </c>
      <c r="G40" s="191" t="str">
        <f t="shared" si="9"/>
        <v/>
      </c>
      <c r="H40" s="195"/>
      <c r="I40" s="195"/>
      <c r="J40" s="193"/>
    </row>
    <row r="41" spans="1:13" ht="13.5" hidden="1" x14ac:dyDescent="0.25">
      <c r="A41" s="188">
        <f t="shared" si="10"/>
        <v>0</v>
      </c>
      <c r="B41" s="194" t="str">
        <f>IFERROR(VLOOKUP(H41,[1]SEMIELABORADOS!$A$2:$M$6000,2,0),"")</f>
        <v/>
      </c>
      <c r="C41" s="189">
        <f t="shared" si="11"/>
        <v>0</v>
      </c>
      <c r="D41" s="190" t="str">
        <f>IFERROR(VLOOKUP(H41,[1]SEMIELABORADOS!$A$2:$M$6000,6,0),"")</f>
        <v/>
      </c>
      <c r="E41" s="190" t="str">
        <f>IFERROR(VLOOKUP(H41,[1]SEMIELABORADOS!$A$2:$M$65536,10,0),"")</f>
        <v/>
      </c>
      <c r="F41" s="190" t="str">
        <f t="shared" si="12"/>
        <v/>
      </c>
      <c r="G41" s="191" t="str">
        <f t="shared" si="9"/>
        <v/>
      </c>
      <c r="H41" s="195"/>
      <c r="I41" s="195"/>
      <c r="J41" s="193"/>
    </row>
    <row r="42" spans="1:13" ht="14.25" thickBot="1" x14ac:dyDescent="0.3">
      <c r="A42" s="188"/>
      <c r="B42" s="194"/>
      <c r="C42" s="189"/>
      <c r="D42" s="190"/>
      <c r="E42" s="190"/>
      <c r="F42" s="190"/>
      <c r="G42" s="191"/>
      <c r="H42" s="195"/>
      <c r="I42" s="195"/>
      <c r="J42" s="193"/>
    </row>
    <row r="43" spans="1:13" ht="26.25" thickBot="1" x14ac:dyDescent="0.3">
      <c r="A43" s="183" t="s">
        <v>99</v>
      </c>
      <c r="B43" s="184" t="s">
        <v>108</v>
      </c>
      <c r="C43" s="184" t="s">
        <v>99</v>
      </c>
      <c r="D43" s="185" t="s">
        <v>101</v>
      </c>
      <c r="E43" s="185" t="s">
        <v>102</v>
      </c>
      <c r="F43" s="185" t="s">
        <v>103</v>
      </c>
      <c r="G43" s="185" t="s">
        <v>104</v>
      </c>
      <c r="H43" s="186" t="s">
        <v>105</v>
      </c>
      <c r="I43" s="187"/>
      <c r="J43" s="193"/>
    </row>
    <row r="44" spans="1:13" ht="13.5" x14ac:dyDescent="0.25">
      <c r="A44" s="188">
        <f>+A35</f>
        <v>3500</v>
      </c>
      <c r="B44" s="194" t="s">
        <v>71</v>
      </c>
      <c r="C44" s="189">
        <f>+A44</f>
        <v>3500</v>
      </c>
      <c r="D44" s="190" t="s">
        <v>144</v>
      </c>
      <c r="E44" s="190">
        <v>0.03</v>
      </c>
      <c r="F44" s="190">
        <f>IFERROR(E44*C44,"")</f>
        <v>105</v>
      </c>
      <c r="G44" s="191">
        <f>IFERROR(F44/$F$66,"")</f>
        <v>3.0314815023329417E-3</v>
      </c>
      <c r="H44" s="195" t="s">
        <v>61</v>
      </c>
      <c r="I44" s="187"/>
      <c r="J44" s="193"/>
    </row>
    <row r="45" spans="1:13" ht="13.5" hidden="1" x14ac:dyDescent="0.25">
      <c r="A45" s="188">
        <f t="shared" ref="A45:A50" si="13">+A36</f>
        <v>0</v>
      </c>
      <c r="B45" s="194" t="str">
        <f>IFERROR(VLOOKUP(H45,[1]SEMIELABORADOS!$A$2:$M$6000,2,0),"")</f>
        <v/>
      </c>
      <c r="C45" s="189">
        <f t="shared" ref="C45:C50" si="14">+A45</f>
        <v>0</v>
      </c>
      <c r="D45" s="190" t="str">
        <f>IFERROR(VLOOKUP(H45,[1]SEMIELABORADOS!$A$2:$M$6000,6,0),"")</f>
        <v/>
      </c>
      <c r="E45" s="190" t="str">
        <f>IFERROR(VLOOKUP(H45,[1]SEMIELABORADOS!$A$2:$M$65536,12,0),"")</f>
        <v/>
      </c>
      <c r="F45" s="190" t="str">
        <f t="shared" ref="F45:F50" si="15">IFERROR(E45*C45,"")</f>
        <v/>
      </c>
      <c r="G45" s="191" t="str">
        <f t="shared" ref="G45:G50" si="16">IFERROR(F45/$F$66,"")</f>
        <v/>
      </c>
      <c r="H45" s="195"/>
      <c r="I45" s="187"/>
      <c r="J45" s="193"/>
      <c r="M45" s="198"/>
    </row>
    <row r="46" spans="1:13" ht="13.5" hidden="1" x14ac:dyDescent="0.25">
      <c r="A46" s="188">
        <f t="shared" si="13"/>
        <v>0</v>
      </c>
      <c r="B46" s="194" t="str">
        <f>IFERROR(VLOOKUP(H46,[1]SEMIELABORADOS!$A$2:$M$6000,2,0),"")</f>
        <v/>
      </c>
      <c r="C46" s="189">
        <f t="shared" si="14"/>
        <v>0</v>
      </c>
      <c r="D46" s="190" t="str">
        <f>IFERROR(VLOOKUP(H46,[1]SEMIELABORADOS!$A$2:$M$6000,6,0),"")</f>
        <v/>
      </c>
      <c r="E46" s="190" t="str">
        <f>IFERROR(VLOOKUP(H46,[1]SEMIELABORADOS!$A$2:$M$65536,12,0),"")</f>
        <v/>
      </c>
      <c r="F46" s="190" t="str">
        <f t="shared" si="15"/>
        <v/>
      </c>
      <c r="G46" s="191" t="str">
        <f t="shared" si="16"/>
        <v/>
      </c>
      <c r="H46" s="195"/>
      <c r="I46" s="187"/>
      <c r="J46" s="193"/>
    </row>
    <row r="47" spans="1:13" ht="13.5" hidden="1" x14ac:dyDescent="0.25">
      <c r="A47" s="188">
        <f t="shared" si="13"/>
        <v>0</v>
      </c>
      <c r="B47" s="194" t="str">
        <f>IFERROR(VLOOKUP(H47,[1]SEMIELABORADOS!$A$2:$M$6000,2,0),"")</f>
        <v/>
      </c>
      <c r="C47" s="189">
        <f t="shared" si="14"/>
        <v>0</v>
      </c>
      <c r="D47" s="190" t="str">
        <f>IFERROR(VLOOKUP(H47,[1]SEMIELABORADOS!$A$2:$M$6000,6,0),"")</f>
        <v/>
      </c>
      <c r="E47" s="190" t="str">
        <f>IFERROR(VLOOKUP(H47,[1]SEMIELABORADOS!$A$2:$M$65536,12,0),"")</f>
        <v/>
      </c>
      <c r="F47" s="190" t="str">
        <f t="shared" si="15"/>
        <v/>
      </c>
      <c r="G47" s="191" t="str">
        <f t="shared" si="16"/>
        <v/>
      </c>
      <c r="H47" s="195"/>
      <c r="I47" s="187"/>
      <c r="J47" s="193"/>
    </row>
    <row r="48" spans="1:13" ht="13.5" hidden="1" x14ac:dyDescent="0.25">
      <c r="A48" s="188">
        <f t="shared" si="13"/>
        <v>0</v>
      </c>
      <c r="B48" s="194" t="str">
        <f>IFERROR(VLOOKUP(H48,[1]SEMIELABORADOS!$A$2:$M$6000,2,0),"")</f>
        <v/>
      </c>
      <c r="C48" s="189">
        <f t="shared" si="14"/>
        <v>0</v>
      </c>
      <c r="D48" s="190" t="str">
        <f>IFERROR(VLOOKUP(H48,[1]SEMIELABORADOS!$A$2:$M$6000,6,0),"")</f>
        <v/>
      </c>
      <c r="E48" s="190" t="str">
        <f>IFERROR(VLOOKUP(H48,[1]SEMIELABORADOS!$A$2:$M$65536,12,0),"")</f>
        <v/>
      </c>
      <c r="F48" s="190" t="str">
        <f t="shared" si="15"/>
        <v/>
      </c>
      <c r="G48" s="191" t="str">
        <f t="shared" si="16"/>
        <v/>
      </c>
      <c r="H48" s="195"/>
      <c r="I48" s="187"/>
      <c r="J48" s="193"/>
    </row>
    <row r="49" spans="1:17" ht="13.5" hidden="1" x14ac:dyDescent="0.25">
      <c r="A49" s="188">
        <f t="shared" si="13"/>
        <v>0</v>
      </c>
      <c r="B49" s="194" t="str">
        <f>IFERROR(VLOOKUP(H49,[1]SEMIELABORADOS!$A$2:$M$6000,2,0),"")</f>
        <v/>
      </c>
      <c r="C49" s="189">
        <f t="shared" si="14"/>
        <v>0</v>
      </c>
      <c r="D49" s="190" t="str">
        <f>IFERROR(VLOOKUP(H49,[1]SEMIELABORADOS!$A$2:$M$6000,6,0),"")</f>
        <v/>
      </c>
      <c r="E49" s="190" t="str">
        <f>IFERROR(VLOOKUP(H49,[1]SEMIELABORADOS!$A$2:$M$65536,12,0),"")</f>
        <v/>
      </c>
      <c r="F49" s="190" t="str">
        <f t="shared" si="15"/>
        <v/>
      </c>
      <c r="G49" s="191" t="str">
        <f t="shared" si="16"/>
        <v/>
      </c>
      <c r="H49" s="195"/>
      <c r="I49" s="187"/>
      <c r="J49" s="193"/>
    </row>
    <row r="50" spans="1:17" ht="13.5" hidden="1" x14ac:dyDescent="0.25">
      <c r="A50" s="188">
        <f t="shared" si="13"/>
        <v>0</v>
      </c>
      <c r="B50" s="194" t="str">
        <f>IFERROR(VLOOKUP(H50,[1]SEMIELABORADOS!$A$2:$M$6000,2,0),"")</f>
        <v/>
      </c>
      <c r="C50" s="189">
        <f t="shared" si="14"/>
        <v>0</v>
      </c>
      <c r="D50" s="190" t="str">
        <f>IFERROR(VLOOKUP(H50,[1]SEMIELABORADOS!$A$2:$M$6000,6,0),"")</f>
        <v/>
      </c>
      <c r="E50" s="190" t="str">
        <f>IFERROR(VLOOKUP(H50,[1]SEMIELABORADOS!$A$2:$M$65536,12,0),"")</f>
        <v/>
      </c>
      <c r="F50" s="190" t="str">
        <f t="shared" si="15"/>
        <v/>
      </c>
      <c r="G50" s="191" t="str">
        <f t="shared" si="16"/>
        <v/>
      </c>
      <c r="H50" s="194"/>
      <c r="I50" s="187"/>
      <c r="J50" s="193"/>
    </row>
    <row r="51" spans="1:17" ht="13.5" x14ac:dyDescent="0.25">
      <c r="A51" s="188">
        <v>1</v>
      </c>
      <c r="B51" s="194" t="s">
        <v>109</v>
      </c>
      <c r="C51" s="189">
        <f>+A51</f>
        <v>1</v>
      </c>
      <c r="D51" s="189" t="s">
        <v>110</v>
      </c>
      <c r="E51" s="190">
        <f>+F65</f>
        <v>154</v>
      </c>
      <c r="F51" s="190">
        <f>IFERROR(C51*E51,"")</f>
        <v>154</v>
      </c>
      <c r="G51" s="191">
        <f>IFERROR(F51/$F$66,"")</f>
        <v>4.4461728700883147E-3</v>
      </c>
      <c r="H51" s="199"/>
      <c r="I51" s="199"/>
      <c r="J51" s="193"/>
    </row>
    <row r="52" spans="1:17" ht="14.25" thickBot="1" x14ac:dyDescent="0.3">
      <c r="A52" s="188"/>
      <c r="B52" s="194"/>
      <c r="C52" s="189"/>
      <c r="D52" s="189"/>
      <c r="E52" s="190"/>
      <c r="F52" s="190"/>
      <c r="G52" s="191"/>
      <c r="H52" s="199"/>
      <c r="I52" s="199"/>
      <c r="J52" s="193"/>
    </row>
    <row r="53" spans="1:17" ht="13.5" thickBot="1" x14ac:dyDescent="0.3">
      <c r="A53" s="200"/>
      <c r="B53" s="736" t="s">
        <v>111</v>
      </c>
      <c r="C53" s="736"/>
      <c r="D53" s="736"/>
      <c r="E53" s="736"/>
      <c r="F53" s="202">
        <f>SUM(F8:F14,F17:F24)</f>
        <v>33770</v>
      </c>
      <c r="G53" s="191">
        <f>+F53/$F$66</f>
        <v>0.97498219365508043</v>
      </c>
      <c r="H53" s="203">
        <f>+F53/$D$60</f>
        <v>33770</v>
      </c>
      <c r="I53" s="203"/>
      <c r="J53" s="204"/>
      <c r="K53" s="205"/>
      <c r="L53" s="205"/>
      <c r="M53" s="205"/>
      <c r="N53" s="205"/>
      <c r="O53" s="205"/>
      <c r="P53" s="205"/>
      <c r="Q53" s="206"/>
    </row>
    <row r="54" spans="1:17" x14ac:dyDescent="0.2">
      <c r="A54" s="200"/>
      <c r="B54" s="736" t="s">
        <v>112</v>
      </c>
      <c r="C54" s="736"/>
      <c r="D54" s="736"/>
      <c r="E54" s="736"/>
      <c r="F54" s="202">
        <f>SUM(F27:F32,F35:F41)</f>
        <v>37.130000000000003</v>
      </c>
      <c r="G54" s="191">
        <f>+F54/$F$66</f>
        <v>1.0719896017297346E-3</v>
      </c>
      <c r="H54" s="203">
        <f>+F54/$D$60</f>
        <v>37.130000000000003</v>
      </c>
      <c r="I54" s="203"/>
      <c r="J54" s="207"/>
      <c r="K54" s="737" t="s">
        <v>113</v>
      </c>
      <c r="L54" s="738"/>
      <c r="M54" s="738"/>
      <c r="N54" s="738"/>
      <c r="O54" s="208">
        <f>+F55</f>
        <v>33807.129999999997</v>
      </c>
      <c r="P54" s="208"/>
      <c r="Q54" s="209"/>
    </row>
    <row r="55" spans="1:17" x14ac:dyDescent="0.2">
      <c r="A55" s="200"/>
      <c r="B55" s="736" t="s">
        <v>114</v>
      </c>
      <c r="C55" s="736"/>
      <c r="D55" s="736"/>
      <c r="E55" s="736"/>
      <c r="F55" s="202">
        <f>+F53+F54</f>
        <v>33807.129999999997</v>
      </c>
      <c r="G55" s="191">
        <f>+F55/$F$66</f>
        <v>0.97605418325681004</v>
      </c>
      <c r="H55" s="203">
        <f>+F55/$D$60</f>
        <v>33807.129999999997</v>
      </c>
      <c r="I55" s="203"/>
      <c r="J55" s="210"/>
      <c r="K55" s="211"/>
      <c r="M55" s="212" t="s">
        <v>115</v>
      </c>
      <c r="N55" s="213"/>
      <c r="O55" s="208">
        <f>+H56</f>
        <v>259</v>
      </c>
      <c r="P55" s="208"/>
      <c r="Q55" s="209"/>
    </row>
    <row r="56" spans="1:17" ht="13.5" thickBot="1" x14ac:dyDescent="0.25">
      <c r="A56" s="200"/>
      <c r="B56" s="201"/>
      <c r="C56" s="736" t="s">
        <v>116</v>
      </c>
      <c r="D56" s="736"/>
      <c r="E56" s="736"/>
      <c r="F56" s="202">
        <f>SUM(F44:F51)</f>
        <v>259</v>
      </c>
      <c r="G56" s="191">
        <f>+F56/$F$66</f>
        <v>7.4776543724212564E-3</v>
      </c>
      <c r="H56" s="203">
        <f>+F56/$D$60</f>
        <v>259</v>
      </c>
      <c r="I56" s="203"/>
      <c r="J56" s="210"/>
      <c r="K56" s="211"/>
      <c r="L56" s="211"/>
      <c r="M56" s="211" t="s">
        <v>117</v>
      </c>
      <c r="N56" s="214"/>
      <c r="O56" s="208">
        <f>O54*N56</f>
        <v>0</v>
      </c>
      <c r="P56" s="208"/>
      <c r="Q56" s="209"/>
    </row>
    <row r="57" spans="1:17" ht="13.5" thickBot="1" x14ac:dyDescent="0.25">
      <c r="A57" s="200"/>
      <c r="B57" s="215"/>
      <c r="C57" s="215"/>
      <c r="D57" s="215"/>
      <c r="E57" s="215"/>
      <c r="F57" s="216"/>
      <c r="G57" s="191"/>
      <c r="H57" s="217"/>
      <c r="I57" s="203"/>
      <c r="J57" s="210"/>
      <c r="K57" s="218"/>
      <c r="M57" s="219" t="s">
        <v>118</v>
      </c>
      <c r="N57" s="220"/>
      <c r="O57" s="221">
        <f>SUM(O54:O56)</f>
        <v>34066.129999999997</v>
      </c>
      <c r="P57" s="222"/>
      <c r="Q57" s="209"/>
    </row>
    <row r="58" spans="1:17" x14ac:dyDescent="0.2">
      <c r="B58" s="739" t="s">
        <v>119</v>
      </c>
      <c r="C58" s="739"/>
      <c r="D58" s="223">
        <v>7450</v>
      </c>
      <c r="E58" s="224"/>
      <c r="G58" s="191"/>
      <c r="H58" s="217">
        <f>+H56/77</f>
        <v>3.3636363636363638</v>
      </c>
      <c r="I58" s="225"/>
      <c r="J58" s="210"/>
      <c r="K58" s="218"/>
      <c r="L58" s="211"/>
      <c r="M58" s="211" t="s">
        <v>120</v>
      </c>
      <c r="N58" s="226"/>
      <c r="O58" s="208">
        <f>+H59</f>
        <v>279.18181818181819</v>
      </c>
      <c r="P58" s="208"/>
      <c r="Q58" s="209"/>
    </row>
    <row r="59" spans="1:17" x14ac:dyDescent="0.2">
      <c r="B59" s="739" t="s">
        <v>121</v>
      </c>
      <c r="C59" s="739"/>
      <c r="D59" s="227">
        <v>7450</v>
      </c>
      <c r="E59" s="224"/>
      <c r="G59" s="191"/>
      <c r="H59" s="217">
        <f>+H58*83</f>
        <v>279.18181818181819</v>
      </c>
      <c r="I59" s="225"/>
      <c r="J59" s="210"/>
      <c r="K59" s="218"/>
      <c r="L59" s="211"/>
      <c r="M59" s="740" t="s">
        <v>118</v>
      </c>
      <c r="N59" s="740"/>
      <c r="O59" s="208">
        <f>SUM(O57:O58)</f>
        <v>34345.311818181814</v>
      </c>
      <c r="P59" s="208"/>
      <c r="Q59" s="209"/>
    </row>
    <row r="60" spans="1:17" ht="13.5" thickBot="1" x14ac:dyDescent="0.25">
      <c r="B60" s="732" t="s">
        <v>122</v>
      </c>
      <c r="C60" s="732"/>
      <c r="D60" s="223">
        <f>+D58/D59</f>
        <v>1</v>
      </c>
      <c r="E60" s="224"/>
      <c r="F60" s="228"/>
      <c r="G60" s="191"/>
      <c r="H60" s="217"/>
      <c r="I60" s="225"/>
      <c r="J60" s="210"/>
      <c r="K60" s="218"/>
      <c r="L60" s="740"/>
      <c r="M60" s="740"/>
      <c r="N60" s="226"/>
      <c r="O60" s="208">
        <f>+O59*N60</f>
        <v>0</v>
      </c>
      <c r="P60" s="208"/>
      <c r="Q60" s="209"/>
    </row>
    <row r="61" spans="1:17" ht="13.5" thickBot="1" x14ac:dyDescent="0.25">
      <c r="B61" s="732" t="s">
        <v>123</v>
      </c>
      <c r="C61" s="732"/>
      <c r="D61" s="229"/>
      <c r="E61" s="224"/>
      <c r="F61" s="228"/>
      <c r="G61" s="191"/>
      <c r="H61" s="217"/>
      <c r="I61" s="225"/>
      <c r="J61" s="210"/>
      <c r="K61" s="733" t="s">
        <v>124</v>
      </c>
      <c r="L61" s="734"/>
      <c r="M61" s="734"/>
      <c r="N61" s="735"/>
      <c r="O61" s="221">
        <f>SUM(O59:O60)</f>
        <v>34345.311818181814</v>
      </c>
      <c r="P61" s="230" t="s">
        <v>125</v>
      </c>
      <c r="Q61" s="209"/>
    </row>
    <row r="62" spans="1:17" ht="13.5" thickBot="1" x14ac:dyDescent="0.25">
      <c r="C62" s="200" t="s">
        <v>126</v>
      </c>
      <c r="D62" s="231"/>
      <c r="E62" s="174" t="s">
        <v>127</v>
      </c>
      <c r="F62" s="232" t="s">
        <v>128</v>
      </c>
      <c r="G62" s="191"/>
      <c r="H62" s="217"/>
      <c r="I62" s="225"/>
      <c r="J62" s="233"/>
      <c r="K62" s="234"/>
      <c r="L62" s="746" t="s">
        <v>129</v>
      </c>
      <c r="M62" s="746"/>
      <c r="N62" s="746"/>
      <c r="O62" s="235">
        <f>+O61/D60</f>
        <v>34345.311818181814</v>
      </c>
      <c r="P62" s="236">
        <f>+O62/D59</f>
        <v>4.6101089688834653</v>
      </c>
      <c r="Q62" s="237"/>
    </row>
    <row r="63" spans="1:17" ht="13.5" thickBot="1" x14ac:dyDescent="0.25">
      <c r="B63" s="747" t="s">
        <v>114</v>
      </c>
      <c r="C63" s="747"/>
      <c r="D63" s="747"/>
      <c r="E63" s="238">
        <f>+F63/F63</f>
        <v>1</v>
      </c>
      <c r="F63" s="239">
        <f>SUM(F55)</f>
        <v>33807.129999999997</v>
      </c>
      <c r="G63" s="191">
        <f>+F63/$F$66</f>
        <v>0.97605418325681004</v>
      </c>
      <c r="H63" s="217"/>
      <c r="I63" s="225"/>
      <c r="K63" s="748"/>
      <c r="L63" s="749"/>
      <c r="M63" s="749"/>
      <c r="N63" s="749"/>
      <c r="O63" s="240"/>
      <c r="P63" s="241"/>
    </row>
    <row r="64" spans="1:17" ht="13.5" thickBot="1" x14ac:dyDescent="0.3">
      <c r="B64" s="750" t="s">
        <v>130</v>
      </c>
      <c r="C64" s="750"/>
      <c r="D64" s="750"/>
      <c r="E64" s="242">
        <v>0.02</v>
      </c>
      <c r="F64" s="239">
        <f>+F53*E64</f>
        <v>675.4</v>
      </c>
      <c r="G64" s="191">
        <f>+F64/$F$66</f>
        <v>1.9499643873101605E-2</v>
      </c>
      <c r="H64" s="203"/>
      <c r="I64" s="225"/>
      <c r="J64" s="243"/>
      <c r="O64" s="244"/>
      <c r="P64" s="201"/>
    </row>
    <row r="65" spans="2:13" ht="13.5" thickBot="1" x14ac:dyDescent="0.3">
      <c r="B65" s="751" t="s">
        <v>131</v>
      </c>
      <c r="C65" s="752"/>
      <c r="D65" s="245">
        <v>2</v>
      </c>
      <c r="E65" s="246">
        <v>77</v>
      </c>
      <c r="F65" s="239">
        <f>+E65*D65</f>
        <v>154</v>
      </c>
      <c r="G65" s="191">
        <f>+F65/$F$66</f>
        <v>4.4461728700883147E-3</v>
      </c>
      <c r="H65" s="203"/>
      <c r="I65" s="203"/>
      <c r="J65" s="193"/>
    </row>
    <row r="66" spans="2:13" ht="13.5" thickBot="1" x14ac:dyDescent="0.3">
      <c r="B66" s="753" t="s">
        <v>132</v>
      </c>
      <c r="C66" s="754"/>
      <c r="D66" s="754"/>
      <c r="E66" s="755"/>
      <c r="F66" s="216">
        <f>SUM(F63:F65)</f>
        <v>34636.53</v>
      </c>
      <c r="G66" s="191">
        <f>+F66/$F$66</f>
        <v>1</v>
      </c>
      <c r="H66" s="756"/>
      <c r="I66" s="203"/>
      <c r="J66" s="193"/>
      <c r="M66" s="176" t="s">
        <v>133</v>
      </c>
    </row>
    <row r="67" spans="2:13" x14ac:dyDescent="0.25">
      <c r="C67" s="198"/>
      <c r="D67" s="198"/>
      <c r="E67" s="248"/>
      <c r="F67" s="239"/>
      <c r="G67" s="191"/>
      <c r="H67" s="756"/>
      <c r="I67" s="247"/>
      <c r="J67" s="176"/>
      <c r="M67" s="176" t="s">
        <v>134</v>
      </c>
    </row>
    <row r="68" spans="2:13" ht="13.5" thickBot="1" x14ac:dyDescent="0.3">
      <c r="B68" s="741" t="s">
        <v>135</v>
      </c>
      <c r="C68" s="741"/>
      <c r="D68" s="741"/>
      <c r="E68" s="741"/>
      <c r="F68" s="741"/>
      <c r="G68" s="191"/>
      <c r="H68" s="250"/>
      <c r="I68" s="247"/>
      <c r="J68" s="176"/>
      <c r="M68" s="176" t="s">
        <v>136</v>
      </c>
    </row>
    <row r="69" spans="2:13" ht="13.5" thickBot="1" x14ac:dyDescent="0.3">
      <c r="B69" s="251" t="s">
        <v>137</v>
      </c>
      <c r="C69" s="252">
        <f>+F53</f>
        <v>33770</v>
      </c>
      <c r="D69" s="252">
        <f>+D58</f>
        <v>7450</v>
      </c>
      <c r="E69" s="253">
        <f>+C69/D69</f>
        <v>4.5328859060402689</v>
      </c>
      <c r="F69" s="191"/>
      <c r="G69" s="250"/>
      <c r="H69" s="193"/>
      <c r="I69" s="250"/>
      <c r="J69" s="176"/>
    </row>
    <row r="70" spans="2:13" x14ac:dyDescent="0.25">
      <c r="B70" s="254"/>
      <c r="C70" s="255"/>
      <c r="D70" s="256"/>
      <c r="E70" s="239"/>
      <c r="F70" s="191"/>
      <c r="G70" s="250"/>
      <c r="H70" s="193"/>
      <c r="I70" s="193"/>
      <c r="J70" s="176"/>
    </row>
    <row r="71" spans="2:13" x14ac:dyDescent="0.25">
      <c r="B71" s="251" t="s">
        <v>138</v>
      </c>
      <c r="C71" s="252">
        <f>SUM(F63:F64)</f>
        <v>34482.53</v>
      </c>
      <c r="D71" s="252">
        <f>+D58</f>
        <v>7450</v>
      </c>
      <c r="E71" s="257">
        <f>+C71/D71</f>
        <v>4.6285275167785231</v>
      </c>
      <c r="F71" s="191"/>
      <c r="G71" s="250"/>
      <c r="H71" s="193"/>
      <c r="I71" s="193"/>
      <c r="J71" s="176"/>
    </row>
    <row r="72" spans="2:13" x14ac:dyDescent="0.25">
      <c r="B72" s="251"/>
      <c r="C72" s="252"/>
      <c r="D72" s="252"/>
      <c r="E72" s="257"/>
      <c r="F72" s="191"/>
      <c r="G72" s="250"/>
      <c r="H72" s="193"/>
      <c r="I72" s="193"/>
      <c r="J72" s="176"/>
    </row>
    <row r="73" spans="2:13" ht="13.5" thickBot="1" x14ac:dyDescent="0.3">
      <c r="B73" s="251" t="s">
        <v>139</v>
      </c>
      <c r="C73" s="252">
        <f>+F65</f>
        <v>154</v>
      </c>
      <c r="D73" s="252">
        <f>+D58</f>
        <v>7450</v>
      </c>
      <c r="E73" s="257">
        <f>+C73/D73</f>
        <v>2.0671140939597314E-2</v>
      </c>
      <c r="F73" s="191"/>
      <c r="G73" s="250"/>
      <c r="H73" s="193"/>
      <c r="I73" s="193"/>
      <c r="J73" s="176"/>
    </row>
    <row r="74" spans="2:13" ht="13.5" thickBot="1" x14ac:dyDescent="0.3">
      <c r="B74" s="251" t="s">
        <v>140</v>
      </c>
      <c r="C74" s="252">
        <f>+F56</f>
        <v>259</v>
      </c>
      <c r="D74" s="252">
        <f>+D73</f>
        <v>7450</v>
      </c>
      <c r="E74" s="253">
        <f>+C74/D74</f>
        <v>3.4765100671140942E-2</v>
      </c>
      <c r="F74" s="191"/>
      <c r="G74" s="250"/>
      <c r="H74" s="193"/>
      <c r="I74" s="193"/>
      <c r="J74" s="176"/>
    </row>
    <row r="75" spans="2:13" ht="13.5" thickBot="1" x14ac:dyDescent="0.3">
      <c r="B75" s="215"/>
      <c r="C75" s="216"/>
      <c r="D75" s="216"/>
      <c r="E75" s="257"/>
      <c r="F75" s="191"/>
      <c r="G75" s="250"/>
      <c r="H75" s="193"/>
      <c r="I75" s="193"/>
      <c r="J75" s="176"/>
    </row>
    <row r="76" spans="2:13" ht="13.5" thickBot="1" x14ac:dyDescent="0.3">
      <c r="B76" s="251" t="s">
        <v>141</v>
      </c>
      <c r="C76" s="252">
        <f>+F54</f>
        <v>37.130000000000003</v>
      </c>
      <c r="D76" s="252">
        <f>+D74</f>
        <v>7450</v>
      </c>
      <c r="E76" s="253">
        <f>+C76/D76</f>
        <v>4.9838926174496645E-3</v>
      </c>
      <c r="F76" s="191"/>
      <c r="G76" s="250"/>
      <c r="H76" s="193"/>
      <c r="I76" s="193"/>
      <c r="J76" s="193"/>
    </row>
    <row r="77" spans="2:13" ht="13.5" thickBot="1" x14ac:dyDescent="0.3">
      <c r="B77" s="215"/>
      <c r="C77" s="216"/>
      <c r="D77" s="216"/>
      <c r="E77" s="257"/>
      <c r="F77" s="191"/>
      <c r="G77" s="250"/>
      <c r="H77" s="193"/>
      <c r="I77" s="193"/>
    </row>
    <row r="78" spans="2:13" ht="13.5" thickBot="1" x14ac:dyDescent="0.3">
      <c r="B78" s="742" t="s">
        <v>142</v>
      </c>
      <c r="C78" s="743"/>
      <c r="D78" s="744"/>
      <c r="E78" s="253">
        <f>+E69+E74</f>
        <v>4.5676510067114098</v>
      </c>
      <c r="G78" s="191"/>
      <c r="H78" s="250"/>
      <c r="I78" s="193"/>
      <c r="J78" s="257"/>
    </row>
    <row r="79" spans="2:13" x14ac:dyDescent="0.25">
      <c r="I79" s="250"/>
      <c r="J79" s="176"/>
    </row>
    <row r="80" spans="2:13" ht="13.5" thickBot="1" x14ac:dyDescent="0.3">
      <c r="B80" s="741" t="s">
        <v>143</v>
      </c>
      <c r="C80" s="741"/>
      <c r="D80" s="741"/>
      <c r="E80" s="741"/>
      <c r="F80" s="741"/>
      <c r="G80" s="191"/>
      <c r="H80" s="250"/>
      <c r="J80" s="176"/>
    </row>
    <row r="81" spans="1:10" ht="13.5" thickBot="1" x14ac:dyDescent="0.3">
      <c r="B81" s="251" t="s">
        <v>137</v>
      </c>
      <c r="C81" s="252">
        <f>+C69</f>
        <v>33770</v>
      </c>
      <c r="D81" s="252">
        <f>+D60</f>
        <v>1</v>
      </c>
      <c r="E81" s="253">
        <f>+C81/D81</f>
        <v>33770</v>
      </c>
      <c r="F81" s="191"/>
      <c r="G81" s="250"/>
      <c r="H81" s="193"/>
      <c r="I81" s="250"/>
      <c r="J81" s="176"/>
    </row>
    <row r="82" spans="1:10" x14ac:dyDescent="0.25">
      <c r="B82" s="254"/>
      <c r="C82" s="255"/>
      <c r="D82" s="256"/>
      <c r="E82" s="239"/>
      <c r="F82" s="191"/>
      <c r="G82" s="250"/>
      <c r="H82" s="193"/>
      <c r="I82" s="193"/>
      <c r="J82" s="176"/>
    </row>
    <row r="83" spans="1:10" x14ac:dyDescent="0.25">
      <c r="B83" s="251" t="s">
        <v>138</v>
      </c>
      <c r="C83" s="252">
        <f>+C71</f>
        <v>34482.53</v>
      </c>
      <c r="D83" s="252">
        <f>+D60</f>
        <v>1</v>
      </c>
      <c r="E83" s="257">
        <f>+C83/D83</f>
        <v>34482.53</v>
      </c>
      <c r="F83" s="191"/>
      <c r="G83" s="250"/>
      <c r="H83" s="193"/>
      <c r="I83" s="193"/>
      <c r="J83" s="176"/>
    </row>
    <row r="84" spans="1:10" x14ac:dyDescent="0.25">
      <c r="B84" s="251"/>
      <c r="C84" s="252"/>
      <c r="D84" s="252"/>
      <c r="E84" s="257"/>
      <c r="F84" s="191"/>
      <c r="G84" s="250"/>
      <c r="H84" s="193"/>
      <c r="I84" s="193"/>
      <c r="J84" s="176"/>
    </row>
    <row r="85" spans="1:10" ht="13.5" thickBot="1" x14ac:dyDescent="0.3">
      <c r="B85" s="251" t="s">
        <v>140</v>
      </c>
      <c r="C85" s="252">
        <f>+C73</f>
        <v>154</v>
      </c>
      <c r="D85" s="252">
        <f>+D60</f>
        <v>1</v>
      </c>
      <c r="E85" s="257">
        <f>+C85/D85</f>
        <v>154</v>
      </c>
      <c r="F85" s="259"/>
      <c r="G85" s="249"/>
      <c r="H85" s="175"/>
      <c r="I85" s="193"/>
    </row>
    <row r="86" spans="1:10" ht="13.5" thickBot="1" x14ac:dyDescent="0.3">
      <c r="B86" s="251" t="s">
        <v>140</v>
      </c>
      <c r="C86" s="252">
        <f>+C74</f>
        <v>259</v>
      </c>
      <c r="D86" s="252">
        <f>+D85</f>
        <v>1</v>
      </c>
      <c r="E86" s="253">
        <f>+C86/D86</f>
        <v>259</v>
      </c>
      <c r="F86" s="258"/>
      <c r="G86" s="249"/>
      <c r="H86" s="175"/>
      <c r="I86" s="175"/>
    </row>
    <row r="87" spans="1:10" x14ac:dyDescent="0.25">
      <c r="I87" s="175"/>
    </row>
    <row r="88" spans="1:10" x14ac:dyDescent="0.2">
      <c r="A88" s="745"/>
      <c r="B88" s="745"/>
      <c r="C88" s="260"/>
      <c r="D88" s="260"/>
      <c r="E88" s="261"/>
      <c r="G88" s="262"/>
    </row>
    <row r="89" spans="1:10" x14ac:dyDescent="0.2">
      <c r="A89" s="194"/>
      <c r="B89" s="263"/>
      <c r="C89" s="264"/>
      <c r="D89" s="264"/>
      <c r="E89" s="265"/>
      <c r="G89" s="262"/>
    </row>
    <row r="90" spans="1:10" x14ac:dyDescent="0.2">
      <c r="A90" s="194"/>
      <c r="B90" s="263"/>
      <c r="C90" s="266"/>
      <c r="D90" s="266"/>
      <c r="E90" s="194"/>
      <c r="G90" s="262"/>
    </row>
    <row r="91" spans="1:10" x14ac:dyDescent="0.2">
      <c r="A91" s="194"/>
      <c r="B91" s="263"/>
      <c r="C91" s="267"/>
      <c r="D91" s="267"/>
      <c r="E91" s="194"/>
      <c r="G91" s="262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E64F-2E8A-4FFF-83BB-60BBCCF83731}">
  <dimension ref="A1:I60"/>
  <sheetViews>
    <sheetView zoomScale="85" zoomScaleNormal="85" workbookViewId="0">
      <selection sqref="A1:XFD1048576"/>
    </sheetView>
  </sheetViews>
  <sheetFormatPr baseColWidth="10" defaultRowHeight="15" x14ac:dyDescent="0.25"/>
  <cols>
    <col min="1" max="1" width="13.85546875" bestFit="1" customWidth="1"/>
    <col min="2" max="2" width="13.5703125" bestFit="1" customWidth="1"/>
    <col min="3" max="3" width="49" customWidth="1"/>
    <col min="4" max="4" width="34.42578125" bestFit="1" customWidth="1"/>
    <col min="8" max="8" width="47.5703125" bestFit="1" customWidth="1"/>
    <col min="9" max="9" width="22" bestFit="1" customWidth="1"/>
  </cols>
  <sheetData>
    <row r="1" spans="1:9" ht="18" x14ac:dyDescent="0.25">
      <c r="A1" s="1068"/>
      <c r="B1" s="1069"/>
      <c r="C1" s="1074" t="s">
        <v>0</v>
      </c>
      <c r="D1" s="1074"/>
      <c r="E1" s="1074"/>
      <c r="F1" s="1074"/>
      <c r="G1" s="1074"/>
      <c r="H1" s="312" t="s">
        <v>1</v>
      </c>
      <c r="I1" s="1" t="s">
        <v>199</v>
      </c>
    </row>
    <row r="2" spans="1:9" ht="18" customHeight="1" thickBot="1" x14ac:dyDescent="0.3">
      <c r="A2" s="1070"/>
      <c r="B2" s="1071"/>
      <c r="C2" s="1075" t="s">
        <v>2</v>
      </c>
      <c r="D2" s="1076"/>
      <c r="E2" s="1076"/>
      <c r="F2" s="1076"/>
      <c r="G2" s="1077"/>
      <c r="H2" s="313" t="s">
        <v>3</v>
      </c>
      <c r="I2" s="2" t="s">
        <v>200</v>
      </c>
    </row>
    <row r="3" spans="1:9" ht="31.5" customHeight="1" thickBot="1" x14ac:dyDescent="0.3">
      <c r="A3" s="1070"/>
      <c r="B3" s="1071"/>
      <c r="C3" s="932" t="s">
        <v>201</v>
      </c>
      <c r="D3" s="933"/>
      <c r="E3" s="933"/>
      <c r="F3" s="933"/>
      <c r="G3" s="934"/>
      <c r="H3" s="1078" t="s">
        <v>4</v>
      </c>
      <c r="I3" s="687">
        <v>45615</v>
      </c>
    </row>
    <row r="4" spans="1:9" ht="18" customHeight="1" x14ac:dyDescent="0.25">
      <c r="A4" s="1070"/>
      <c r="B4" s="1071"/>
      <c r="C4" s="314" t="s">
        <v>5</v>
      </c>
      <c r="D4" s="1062" t="s">
        <v>38</v>
      </c>
      <c r="E4" s="1063"/>
      <c r="F4" s="1063"/>
      <c r="G4" s="1064"/>
      <c r="H4" s="1079"/>
      <c r="I4" s="688"/>
    </row>
    <row r="5" spans="1:9" ht="18.75" thickBot="1" x14ac:dyDescent="0.3">
      <c r="A5" s="1072"/>
      <c r="B5" s="1073"/>
      <c r="C5" s="315" t="s">
        <v>7</v>
      </c>
      <c r="D5" s="1065" t="s">
        <v>39</v>
      </c>
      <c r="E5" s="1066"/>
      <c r="F5" s="1066"/>
      <c r="G5" s="1067"/>
      <c r="H5" s="1080"/>
      <c r="I5" s="1061"/>
    </row>
    <row r="6" spans="1:9" ht="18.75" thickBot="1" x14ac:dyDescent="0.3">
      <c r="A6" s="938" t="s">
        <v>9</v>
      </c>
      <c r="B6" s="938"/>
      <c r="C6" s="938"/>
      <c r="D6" s="1081" t="s">
        <v>74</v>
      </c>
      <c r="E6" s="1081"/>
      <c r="F6" s="1081"/>
      <c r="G6" s="940" t="s">
        <v>10</v>
      </c>
      <c r="H6" s="940"/>
      <c r="I6" s="316" t="s">
        <v>74</v>
      </c>
    </row>
    <row r="7" spans="1:9" ht="36" x14ac:dyDescent="0.25">
      <c r="A7" s="1082" t="s">
        <v>12</v>
      </c>
      <c r="B7" s="1084" t="s">
        <v>41</v>
      </c>
      <c r="C7" s="1086" t="s">
        <v>13</v>
      </c>
      <c r="D7" s="1086" t="s">
        <v>14</v>
      </c>
      <c r="E7" s="1086" t="s">
        <v>15</v>
      </c>
      <c r="F7" s="1086"/>
      <c r="G7" s="1086" t="s">
        <v>16</v>
      </c>
      <c r="H7" s="1086"/>
      <c r="I7" s="317" t="s">
        <v>17</v>
      </c>
    </row>
    <row r="8" spans="1:9" ht="54.75" thickBot="1" x14ac:dyDescent="0.3">
      <c r="A8" s="1083"/>
      <c r="B8" s="1085"/>
      <c r="C8" s="1087"/>
      <c r="D8" s="1087"/>
      <c r="E8" s="318" t="s">
        <v>18</v>
      </c>
      <c r="F8" s="319" t="s">
        <v>19</v>
      </c>
      <c r="G8" s="318" t="s">
        <v>18</v>
      </c>
      <c r="H8" s="319" t="s">
        <v>19</v>
      </c>
      <c r="I8" s="320" t="s">
        <v>20</v>
      </c>
    </row>
    <row r="9" spans="1:9" ht="18.399999999999999" customHeight="1" x14ac:dyDescent="0.3">
      <c r="A9" s="321"/>
      <c r="B9" s="322"/>
      <c r="C9" s="323" t="s">
        <v>42</v>
      </c>
      <c r="D9" s="324"/>
      <c r="E9" s="325"/>
      <c r="F9" s="326"/>
      <c r="G9" s="325"/>
      <c r="H9" s="326"/>
      <c r="I9" s="327"/>
    </row>
    <row r="10" spans="1:9" ht="18" customHeight="1" x14ac:dyDescent="0.3">
      <c r="A10" s="394">
        <v>11400046</v>
      </c>
      <c r="B10" s="394" t="s">
        <v>202</v>
      </c>
      <c r="C10" s="395" t="s">
        <v>203</v>
      </c>
      <c r="D10" s="396" t="s">
        <v>204</v>
      </c>
      <c r="E10" s="374">
        <v>26000</v>
      </c>
      <c r="F10" s="347" t="s">
        <v>21</v>
      </c>
      <c r="G10" s="334"/>
      <c r="H10" s="335"/>
      <c r="I10" s="327"/>
    </row>
    <row r="11" spans="1:9" ht="18.75" x14ac:dyDescent="0.3">
      <c r="A11" s="397">
        <v>1110414</v>
      </c>
      <c r="B11" s="398" t="s">
        <v>205</v>
      </c>
      <c r="C11" s="399" t="s">
        <v>206</v>
      </c>
      <c r="D11" s="400" t="s">
        <v>204</v>
      </c>
      <c r="E11" s="401">
        <v>14000</v>
      </c>
      <c r="F11" s="402" t="s">
        <v>21</v>
      </c>
      <c r="G11" s="334"/>
      <c r="H11" s="335"/>
      <c r="I11" s="327"/>
    </row>
    <row r="12" spans="1:9" ht="18.75" x14ac:dyDescent="0.3">
      <c r="A12" s="403">
        <v>1210482</v>
      </c>
      <c r="B12" s="404" t="s">
        <v>207</v>
      </c>
      <c r="C12" s="405" t="s">
        <v>208</v>
      </c>
      <c r="D12" s="338" t="s">
        <v>209</v>
      </c>
      <c r="E12" s="338">
        <v>4600</v>
      </c>
      <c r="F12" s="338" t="s">
        <v>21</v>
      </c>
      <c r="G12" s="339"/>
      <c r="H12" s="335"/>
      <c r="I12" s="327"/>
    </row>
    <row r="13" spans="1:9" ht="18.75" x14ac:dyDescent="0.3">
      <c r="A13" s="403">
        <v>11300011</v>
      </c>
      <c r="B13" s="404" t="s">
        <v>210</v>
      </c>
      <c r="C13" s="405" t="s">
        <v>211</v>
      </c>
      <c r="D13" s="338" t="s">
        <v>209</v>
      </c>
      <c r="E13" s="338">
        <v>4600</v>
      </c>
      <c r="F13" s="338" t="s">
        <v>21</v>
      </c>
      <c r="G13" s="339"/>
      <c r="H13" s="335"/>
      <c r="I13" s="327"/>
    </row>
    <row r="14" spans="1:9" ht="18.75" x14ac:dyDescent="0.3">
      <c r="A14" s="406">
        <v>1212410</v>
      </c>
      <c r="B14" s="406" t="s">
        <v>185</v>
      </c>
      <c r="C14" s="399" t="s">
        <v>212</v>
      </c>
      <c r="D14" s="374" t="s">
        <v>187</v>
      </c>
      <c r="E14" s="345">
        <v>50</v>
      </c>
      <c r="F14" s="347" t="s">
        <v>21</v>
      </c>
      <c r="G14" s="339"/>
      <c r="H14" s="335"/>
      <c r="I14" s="327"/>
    </row>
    <row r="15" spans="1:9" ht="18.75" x14ac:dyDescent="0.3">
      <c r="A15" s="406"/>
      <c r="B15" s="406"/>
      <c r="C15" s="399" t="s">
        <v>89</v>
      </c>
      <c r="D15" s="374" t="s">
        <v>45</v>
      </c>
      <c r="E15" s="345">
        <v>1000</v>
      </c>
      <c r="F15" s="347" t="s">
        <v>21</v>
      </c>
      <c r="G15" s="339"/>
      <c r="H15" s="335"/>
      <c r="I15" s="327"/>
    </row>
    <row r="16" spans="1:9" ht="18.75" x14ac:dyDescent="0.3">
      <c r="A16" s="406"/>
      <c r="B16" s="406" t="s">
        <v>213</v>
      </c>
      <c r="C16" s="399" t="s">
        <v>214</v>
      </c>
      <c r="D16" s="374" t="s">
        <v>215</v>
      </c>
      <c r="E16" s="345">
        <v>190</v>
      </c>
      <c r="F16" s="347" t="s">
        <v>21</v>
      </c>
      <c r="G16" s="339"/>
      <c r="H16" s="335"/>
      <c r="I16" s="327"/>
    </row>
    <row r="17" spans="1:9" ht="18.75" x14ac:dyDescent="0.3">
      <c r="A17" s="406"/>
      <c r="B17" s="406"/>
      <c r="C17" s="399"/>
      <c r="D17" s="374"/>
      <c r="E17" s="345"/>
      <c r="F17" s="347"/>
      <c r="G17" s="339"/>
      <c r="H17" s="335"/>
      <c r="I17" s="327"/>
    </row>
    <row r="18" spans="1:9" ht="18.75" x14ac:dyDescent="0.3">
      <c r="A18" s="406"/>
      <c r="B18" s="406"/>
      <c r="C18" s="399"/>
      <c r="D18" s="374"/>
      <c r="E18" s="345"/>
      <c r="F18" s="347"/>
      <c r="G18" s="339"/>
      <c r="H18" s="335"/>
      <c r="I18" s="327"/>
    </row>
    <row r="19" spans="1:9" ht="18.75" x14ac:dyDescent="0.3">
      <c r="A19" s="406"/>
      <c r="B19" s="406"/>
      <c r="C19" s="399"/>
      <c r="D19" s="374"/>
      <c r="E19" s="345"/>
      <c r="F19" s="347"/>
      <c r="G19" s="339"/>
      <c r="H19" s="335"/>
      <c r="I19" s="327"/>
    </row>
    <row r="20" spans="1:9" ht="18.75" x14ac:dyDescent="0.3">
      <c r="A20" s="407"/>
      <c r="B20" s="406"/>
      <c r="C20" s="408"/>
      <c r="D20" s="343"/>
      <c r="E20" s="343"/>
      <c r="F20" s="343"/>
      <c r="G20" s="325"/>
      <c r="H20" s="335"/>
      <c r="I20" s="327"/>
    </row>
    <row r="21" spans="1:9" ht="18.75" x14ac:dyDescent="0.3">
      <c r="A21" s="340"/>
      <c r="B21" s="341"/>
      <c r="C21" s="342" t="s">
        <v>46</v>
      </c>
      <c r="D21" s="345"/>
      <c r="E21" s="346"/>
      <c r="F21" s="347"/>
      <c r="G21" s="325"/>
      <c r="H21" s="326"/>
      <c r="I21" s="327"/>
    </row>
    <row r="22" spans="1:9" ht="18.75" x14ac:dyDescent="0.3">
      <c r="A22" s="348"/>
      <c r="B22" s="349"/>
      <c r="C22" s="350"/>
      <c r="D22" s="351"/>
      <c r="E22" s="352"/>
      <c r="F22" s="353"/>
      <c r="G22" s="325"/>
      <c r="H22" s="326"/>
      <c r="I22" s="327"/>
    </row>
    <row r="23" spans="1:9" ht="18.75" x14ac:dyDescent="0.3">
      <c r="A23" s="348"/>
      <c r="B23" s="349"/>
      <c r="C23" s="350"/>
      <c r="D23" s="351"/>
      <c r="E23" s="409"/>
      <c r="F23" s="353"/>
      <c r="G23" s="325"/>
      <c r="H23" s="326"/>
      <c r="I23" s="327"/>
    </row>
    <row r="24" spans="1:9" ht="18.75" x14ac:dyDescent="0.3">
      <c r="A24" s="348"/>
      <c r="B24" s="349"/>
      <c r="C24" s="350"/>
      <c r="D24" s="351"/>
      <c r="E24" s="352"/>
      <c r="F24" s="353"/>
      <c r="G24" s="325"/>
      <c r="H24" s="326"/>
      <c r="I24" s="327"/>
    </row>
    <row r="25" spans="1:9" ht="18.75" x14ac:dyDescent="0.3">
      <c r="A25" s="348"/>
      <c r="B25" s="349"/>
      <c r="C25" s="350"/>
      <c r="D25" s="351"/>
      <c r="E25" s="410"/>
      <c r="F25" s="411"/>
      <c r="G25" s="325"/>
      <c r="H25" s="326"/>
      <c r="I25" s="327"/>
    </row>
    <row r="26" spans="1:9" ht="18.75" x14ac:dyDescent="0.3">
      <c r="A26" s="348"/>
      <c r="B26" s="349"/>
      <c r="C26" s="350"/>
      <c r="D26" s="351"/>
      <c r="E26" s="412"/>
      <c r="F26" s="411"/>
      <c r="G26" s="325"/>
      <c r="H26" s="326"/>
      <c r="I26" s="327"/>
    </row>
    <row r="27" spans="1:9" ht="18.75" x14ac:dyDescent="0.3">
      <c r="A27" s="413"/>
      <c r="B27" s="413"/>
      <c r="C27" s="414"/>
      <c r="D27" s="415"/>
      <c r="E27" s="416"/>
      <c r="F27" s="417"/>
      <c r="G27" s="325"/>
      <c r="H27" s="326"/>
      <c r="I27" s="327"/>
    </row>
    <row r="28" spans="1:9" ht="18.75" x14ac:dyDescent="0.3">
      <c r="A28" s="406"/>
      <c r="B28" s="406"/>
      <c r="C28" s="408"/>
      <c r="D28" s="354"/>
      <c r="E28" s="418"/>
      <c r="F28" s="417"/>
      <c r="G28" s="325"/>
      <c r="H28" s="326"/>
      <c r="I28" s="327"/>
    </row>
    <row r="29" spans="1:9" ht="18.75" x14ac:dyDescent="0.3">
      <c r="A29" s="406"/>
      <c r="B29" s="406"/>
      <c r="C29" s="408"/>
      <c r="D29" s="354"/>
      <c r="E29" s="355"/>
      <c r="F29" s="356"/>
      <c r="G29" s="325"/>
      <c r="H29" s="326"/>
      <c r="I29" s="327"/>
    </row>
    <row r="30" spans="1:9" ht="18.75" x14ac:dyDescent="0.3">
      <c r="A30" s="357"/>
      <c r="B30" s="358"/>
      <c r="C30" s="359" t="s">
        <v>47</v>
      </c>
      <c r="D30" s="360"/>
      <c r="E30" s="361"/>
      <c r="F30" s="326"/>
      <c r="G30" s="325"/>
      <c r="H30" s="414"/>
      <c r="I30" s="327"/>
    </row>
    <row r="31" spans="1:9" ht="18.75" x14ac:dyDescent="0.3">
      <c r="A31" s="419"/>
      <c r="B31" s="419"/>
      <c r="C31" s="420"/>
      <c r="D31" s="338"/>
      <c r="E31" s="365"/>
      <c r="F31" s="366"/>
      <c r="G31" s="367"/>
      <c r="H31" s="326"/>
      <c r="I31" s="327"/>
    </row>
    <row r="32" spans="1:9" ht="18.75" x14ac:dyDescent="0.3">
      <c r="A32" s="421"/>
      <c r="B32" s="421"/>
      <c r="C32" s="422"/>
      <c r="D32" s="338"/>
      <c r="E32" s="365"/>
      <c r="F32" s="366"/>
      <c r="G32" s="367"/>
      <c r="H32" s="326"/>
      <c r="I32" s="327"/>
    </row>
    <row r="33" spans="1:9" ht="18.75" x14ac:dyDescent="0.3">
      <c r="A33" s="406"/>
      <c r="B33" s="406"/>
      <c r="C33" s="408"/>
      <c r="D33" s="423"/>
      <c r="E33" s="355"/>
      <c r="F33" s="339"/>
      <c r="G33" s="367"/>
      <c r="H33" s="326"/>
      <c r="I33" s="327"/>
    </row>
    <row r="34" spans="1:9" ht="18.75" x14ac:dyDescent="0.3">
      <c r="A34" s="424"/>
      <c r="B34" s="424"/>
      <c r="C34" s="425"/>
      <c r="D34" s="338"/>
      <c r="E34" s="365"/>
      <c r="F34" s="366"/>
      <c r="G34" s="325"/>
      <c r="H34" s="326"/>
      <c r="I34" s="327"/>
    </row>
    <row r="35" spans="1:9" ht="18.75" x14ac:dyDescent="0.3">
      <c r="A35" s="424"/>
      <c r="B35" s="424"/>
      <c r="C35" s="425"/>
      <c r="D35" s="338"/>
      <c r="E35" s="365"/>
      <c r="F35" s="366"/>
      <c r="G35" s="325"/>
      <c r="H35" s="326"/>
      <c r="I35" s="327"/>
    </row>
    <row r="36" spans="1:9" ht="18.75" x14ac:dyDescent="0.3">
      <c r="A36" s="424"/>
      <c r="B36" s="424"/>
      <c r="C36" s="425"/>
      <c r="D36" s="338"/>
      <c r="E36" s="365"/>
      <c r="F36" s="366"/>
      <c r="G36" s="373"/>
      <c r="H36" s="326"/>
      <c r="I36" s="327"/>
    </row>
    <row r="37" spans="1:9" ht="18.75" x14ac:dyDescent="0.3">
      <c r="A37" s="424"/>
      <c r="B37" s="424"/>
      <c r="C37" s="425" t="s">
        <v>51</v>
      </c>
      <c r="D37" s="338"/>
      <c r="E37" s="365"/>
      <c r="F37" s="366"/>
      <c r="G37" s="374"/>
      <c r="H37" s="326"/>
      <c r="I37" s="327"/>
    </row>
    <row r="38" spans="1:9" ht="18.75" x14ac:dyDescent="0.3">
      <c r="A38" s="375"/>
      <c r="B38" s="375"/>
      <c r="C38" s="376"/>
      <c r="D38" s="338"/>
      <c r="E38" s="356"/>
      <c r="F38" s="356"/>
      <c r="G38" s="374"/>
      <c r="H38" s="326"/>
      <c r="I38" s="327"/>
    </row>
    <row r="39" spans="1:9" ht="18.75" x14ac:dyDescent="0.3">
      <c r="A39" s="419"/>
      <c r="B39" s="406"/>
      <c r="C39" s="420"/>
      <c r="D39" s="423"/>
      <c r="E39" s="355"/>
      <c r="F39" s="339"/>
      <c r="G39" s="374"/>
      <c r="H39" s="326"/>
      <c r="I39" s="327"/>
    </row>
    <row r="40" spans="1:9" ht="18.75" x14ac:dyDescent="0.3">
      <c r="A40" s="424"/>
      <c r="B40" s="424"/>
      <c r="C40" s="425"/>
      <c r="D40" s="338"/>
      <c r="E40" s="355"/>
      <c r="F40" s="339"/>
      <c r="G40" s="374"/>
      <c r="H40" s="326"/>
      <c r="I40" s="327"/>
    </row>
    <row r="41" spans="1:9" ht="18.75" x14ac:dyDescent="0.3">
      <c r="A41" s="340"/>
      <c r="B41" s="341"/>
      <c r="C41" s="426"/>
      <c r="D41" s="345"/>
      <c r="E41" s="345"/>
      <c r="F41" s="347"/>
      <c r="G41" s="345"/>
      <c r="H41" s="345"/>
      <c r="I41" s="327"/>
    </row>
    <row r="42" spans="1:9" ht="18.75" thickBot="1" x14ac:dyDescent="0.3">
      <c r="A42" s="377"/>
      <c r="B42" s="378"/>
      <c r="C42" s="379"/>
      <c r="D42" s="379"/>
      <c r="E42" s="380"/>
      <c r="F42" s="381"/>
      <c r="G42" s="379"/>
      <c r="H42" s="379"/>
      <c r="I42" s="382"/>
    </row>
    <row r="43" spans="1:9" ht="18.75" thickBot="1" x14ac:dyDescent="0.3">
      <c r="A43" s="383"/>
      <c r="B43" s="384"/>
      <c r="C43" s="385"/>
      <c r="D43" s="386" t="s">
        <v>18</v>
      </c>
      <c r="E43" s="387" t="s">
        <v>30</v>
      </c>
      <c r="F43" s="388"/>
      <c r="G43" s="385"/>
      <c r="H43" s="385"/>
      <c r="I43" s="389"/>
    </row>
    <row r="44" spans="1:9" ht="18" x14ac:dyDescent="0.25">
      <c r="A44" s="1088" t="s">
        <v>31</v>
      </c>
      <c r="B44" s="1089"/>
      <c r="C44" s="1090"/>
      <c r="D44" s="418">
        <v>50000</v>
      </c>
      <c r="E44" s="391" t="s">
        <v>21</v>
      </c>
      <c r="F44" s="1091" t="s">
        <v>52</v>
      </c>
      <c r="G44" s="1091"/>
      <c r="H44" s="1092"/>
      <c r="I44" s="1093"/>
    </row>
    <row r="45" spans="1:9" ht="18" x14ac:dyDescent="0.25">
      <c r="A45" s="1094" t="s">
        <v>53</v>
      </c>
      <c r="B45" s="1095"/>
      <c r="C45" s="1096"/>
      <c r="D45" s="355">
        <v>10</v>
      </c>
      <c r="E45" s="339" t="s">
        <v>216</v>
      </c>
      <c r="F45" s="1097" t="s">
        <v>55</v>
      </c>
      <c r="G45" s="1097"/>
      <c r="H45" s="1098"/>
      <c r="I45" s="1099"/>
    </row>
    <row r="46" spans="1:9" ht="18" x14ac:dyDescent="0.25">
      <c r="A46" s="1094" t="s">
        <v>33</v>
      </c>
      <c r="B46" s="1095"/>
      <c r="C46" s="1096"/>
      <c r="D46" s="355">
        <v>1</v>
      </c>
      <c r="E46" s="339" t="s">
        <v>169</v>
      </c>
      <c r="F46" s="1097" t="s">
        <v>56</v>
      </c>
      <c r="G46" s="1097"/>
      <c r="H46" s="1098"/>
      <c r="I46" s="1099"/>
    </row>
    <row r="47" spans="1:9" ht="18" x14ac:dyDescent="0.25">
      <c r="A47" s="1094" t="s">
        <v>34</v>
      </c>
      <c r="B47" s="1095"/>
      <c r="C47" s="1096"/>
      <c r="D47" s="355">
        <v>50000</v>
      </c>
      <c r="E47" s="339" t="s">
        <v>21</v>
      </c>
      <c r="F47" s="1103" t="s">
        <v>57</v>
      </c>
      <c r="G47" s="1104"/>
      <c r="H47" s="1105"/>
      <c r="I47" s="1106"/>
    </row>
    <row r="48" spans="1:9" ht="18.75" thickBot="1" x14ac:dyDescent="0.3">
      <c r="A48" s="1107" t="s">
        <v>35</v>
      </c>
      <c r="B48" s="1108"/>
      <c r="C48" s="1109"/>
      <c r="D48" s="392">
        <v>440</v>
      </c>
      <c r="E48" s="393" t="s">
        <v>21</v>
      </c>
      <c r="F48" s="1110"/>
      <c r="G48" s="1110"/>
      <c r="H48" s="1098"/>
      <c r="I48" s="1099"/>
    </row>
    <row r="49" spans="1:9" ht="18.75" thickBot="1" x14ac:dyDescent="0.3">
      <c r="A49" s="1111" t="s">
        <v>36</v>
      </c>
      <c r="B49" s="1112"/>
      <c r="C49" s="1112"/>
      <c r="D49" s="1112"/>
      <c r="E49" s="1112"/>
      <c r="F49" s="1112"/>
      <c r="G49" s="1112"/>
      <c r="H49" s="1112"/>
      <c r="I49" s="1113"/>
    </row>
    <row r="50" spans="1:9" ht="18.399999999999999" customHeight="1" x14ac:dyDescent="0.25">
      <c r="A50" s="1100" t="s">
        <v>217</v>
      </c>
      <c r="B50" s="1101"/>
      <c r="C50" s="1101"/>
      <c r="D50" s="1101"/>
      <c r="E50" s="1101"/>
      <c r="F50" s="1101"/>
      <c r="G50" s="1101"/>
      <c r="H50" s="1101"/>
      <c r="I50" s="1102"/>
    </row>
    <row r="51" spans="1:9" ht="18" x14ac:dyDescent="0.25">
      <c r="A51" s="1100" t="s">
        <v>218</v>
      </c>
      <c r="B51" s="1101"/>
      <c r="C51" s="1101"/>
      <c r="D51" s="1101"/>
      <c r="E51" s="1101"/>
      <c r="F51" s="1101"/>
      <c r="G51" s="1101"/>
      <c r="H51" s="1101"/>
      <c r="I51" s="1102"/>
    </row>
    <row r="52" spans="1:9" ht="14.65" customHeight="1" x14ac:dyDescent="0.25">
      <c r="A52" s="1118" t="s">
        <v>219</v>
      </c>
      <c r="B52" s="1119"/>
      <c r="C52" s="1119"/>
      <c r="D52" s="1119"/>
      <c r="E52" s="1119"/>
      <c r="F52" s="1119"/>
      <c r="G52" s="1119"/>
      <c r="H52" s="1119"/>
      <c r="I52" s="1120"/>
    </row>
    <row r="53" spans="1:9" ht="14.65" customHeight="1" x14ac:dyDescent="0.25">
      <c r="A53" s="1121"/>
      <c r="B53" s="1122"/>
      <c r="C53" s="1122"/>
      <c r="D53" s="1122"/>
      <c r="E53" s="1122"/>
      <c r="F53" s="1122"/>
      <c r="G53" s="1122"/>
      <c r="H53" s="1122"/>
      <c r="I53" s="1123"/>
    </row>
    <row r="54" spans="1:9" ht="14.65" customHeight="1" x14ac:dyDescent="0.25">
      <c r="A54" s="1124"/>
      <c r="B54" s="1125"/>
      <c r="C54" s="1126"/>
      <c r="D54" s="1126"/>
      <c r="E54" s="1126"/>
      <c r="F54" s="1126"/>
      <c r="G54" s="1126"/>
      <c r="H54" s="1126"/>
      <c r="I54" s="1127"/>
    </row>
    <row r="55" spans="1:9" ht="18" customHeight="1" x14ac:dyDescent="0.3">
      <c r="A55" s="1128"/>
      <c r="B55" s="1129"/>
      <c r="C55" s="1129"/>
      <c r="D55" s="1129"/>
      <c r="E55" s="1129"/>
      <c r="F55" s="1129"/>
      <c r="G55" s="1129"/>
      <c r="H55" s="1129"/>
      <c r="I55" s="1130"/>
    </row>
    <row r="56" spans="1:9" ht="18" x14ac:dyDescent="0.25">
      <c r="A56" s="1131"/>
      <c r="B56" s="1132"/>
      <c r="C56" s="1132"/>
      <c r="D56" s="1132"/>
      <c r="E56" s="1132"/>
      <c r="F56" s="1132"/>
      <c r="G56" s="1132"/>
      <c r="H56" s="1132"/>
      <c r="I56" s="1133"/>
    </row>
    <row r="57" spans="1:9" ht="19.5" thickBot="1" x14ac:dyDescent="0.35">
      <c r="A57" s="1134"/>
      <c r="B57" s="1135"/>
      <c r="C57" s="1135"/>
      <c r="D57" s="1135"/>
      <c r="E57" s="1135"/>
      <c r="F57" s="1135"/>
      <c r="G57" s="1135"/>
      <c r="H57" s="1135"/>
      <c r="I57" s="1136"/>
    </row>
    <row r="58" spans="1:9" ht="18" x14ac:dyDescent="0.25">
      <c r="A58" s="1114" t="s">
        <v>37</v>
      </c>
      <c r="B58" s="1115"/>
      <c r="C58" s="1115"/>
      <c r="D58" s="1115"/>
      <c r="E58" s="1115"/>
      <c r="F58" s="1115"/>
      <c r="G58" s="1115"/>
      <c r="H58" s="1115"/>
      <c r="I58" s="1115"/>
    </row>
    <row r="59" spans="1:9" ht="18" x14ac:dyDescent="0.25">
      <c r="A59" s="1065" t="s">
        <v>220</v>
      </c>
      <c r="B59" s="1066"/>
      <c r="C59" s="1066"/>
      <c r="D59" s="1066"/>
      <c r="E59" s="1066"/>
      <c r="F59" s="1066"/>
      <c r="G59" s="1066"/>
      <c r="H59" s="1066"/>
      <c r="I59" s="1067"/>
    </row>
    <row r="60" spans="1:9" ht="18" x14ac:dyDescent="0.25">
      <c r="A60" s="1116"/>
      <c r="B60" s="1117"/>
      <c r="C60" s="1117"/>
      <c r="D60" s="1117"/>
      <c r="E60" s="1117"/>
      <c r="F60" s="1117"/>
      <c r="G60" s="1117"/>
      <c r="H60" s="1117"/>
      <c r="I60" s="1117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D059-559B-4F90-8E1B-382552D7BC5A}">
  <dimension ref="A1:I60"/>
  <sheetViews>
    <sheetView zoomScale="85" zoomScaleNormal="85" workbookViewId="0">
      <selection sqref="A1:XFD104857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925"/>
      <c r="B1" s="926"/>
      <c r="C1" s="772" t="s">
        <v>0</v>
      </c>
      <c r="D1" s="772"/>
      <c r="E1" s="772"/>
      <c r="F1" s="772"/>
      <c r="G1" s="772"/>
      <c r="H1" s="33" t="s">
        <v>1</v>
      </c>
      <c r="I1" s="34" t="s">
        <v>221</v>
      </c>
    </row>
    <row r="2" spans="1:9" ht="18" customHeight="1" thickBot="1" x14ac:dyDescent="0.3">
      <c r="A2" s="927"/>
      <c r="B2" s="928"/>
      <c r="C2" s="773" t="s">
        <v>2</v>
      </c>
      <c r="D2" s="774"/>
      <c r="E2" s="774"/>
      <c r="F2" s="774"/>
      <c r="G2" s="775"/>
      <c r="H2" s="35" t="s">
        <v>3</v>
      </c>
      <c r="I2" s="36" t="s">
        <v>222</v>
      </c>
    </row>
    <row r="3" spans="1:9" ht="31.5" customHeight="1" thickBot="1" x14ac:dyDescent="0.3">
      <c r="A3" s="927"/>
      <c r="B3" s="928"/>
      <c r="C3" s="1137" t="s">
        <v>223</v>
      </c>
      <c r="D3" s="1138"/>
      <c r="E3" s="1138"/>
      <c r="F3" s="1138"/>
      <c r="G3" s="1139"/>
      <c r="H3" s="935" t="s">
        <v>4</v>
      </c>
      <c r="I3" s="916">
        <v>45615</v>
      </c>
    </row>
    <row r="4" spans="1:9" ht="18" customHeight="1" x14ac:dyDescent="0.25">
      <c r="A4" s="927"/>
      <c r="B4" s="928"/>
      <c r="C4" s="37" t="s">
        <v>5</v>
      </c>
      <c r="D4" s="919" t="s">
        <v>38</v>
      </c>
      <c r="E4" s="920"/>
      <c r="F4" s="920"/>
      <c r="G4" s="921"/>
      <c r="H4" s="936"/>
      <c r="I4" s="917"/>
    </row>
    <row r="5" spans="1:9" ht="15.75" thickBot="1" x14ac:dyDescent="0.3">
      <c r="A5" s="929"/>
      <c r="B5" s="930"/>
      <c r="C5" s="38" t="s">
        <v>7</v>
      </c>
      <c r="D5" s="922" t="s">
        <v>39</v>
      </c>
      <c r="E5" s="923"/>
      <c r="F5" s="923"/>
      <c r="G5" s="924"/>
      <c r="H5" s="937"/>
      <c r="I5" s="918"/>
    </row>
    <row r="6" spans="1:9" ht="18.75" thickBot="1" x14ac:dyDescent="0.3">
      <c r="A6" s="938" t="s">
        <v>9</v>
      </c>
      <c r="B6" s="938"/>
      <c r="C6" s="938"/>
      <c r="D6" s="939" t="s">
        <v>74</v>
      </c>
      <c r="E6" s="939"/>
      <c r="F6" s="939"/>
      <c r="G6" s="940" t="s">
        <v>10</v>
      </c>
      <c r="H6" s="940"/>
      <c r="I6" s="39" t="s">
        <v>74</v>
      </c>
    </row>
    <row r="7" spans="1:9" ht="25.5" x14ac:dyDescent="0.25">
      <c r="A7" s="941" t="s">
        <v>12</v>
      </c>
      <c r="B7" s="943" t="s">
        <v>41</v>
      </c>
      <c r="C7" s="945" t="s">
        <v>13</v>
      </c>
      <c r="D7" s="945" t="s">
        <v>14</v>
      </c>
      <c r="E7" s="945" t="s">
        <v>15</v>
      </c>
      <c r="F7" s="945"/>
      <c r="G7" s="945" t="s">
        <v>16</v>
      </c>
      <c r="H7" s="945"/>
      <c r="I7" s="40" t="s">
        <v>17</v>
      </c>
    </row>
    <row r="8" spans="1:9" ht="27" thickBot="1" x14ac:dyDescent="0.3">
      <c r="A8" s="942"/>
      <c r="B8" s="944"/>
      <c r="C8" s="946"/>
      <c r="D8" s="946"/>
      <c r="E8" s="41" t="s">
        <v>18</v>
      </c>
      <c r="F8" s="42" t="s">
        <v>19</v>
      </c>
      <c r="G8" s="41" t="s">
        <v>18</v>
      </c>
      <c r="H8" s="42" t="s">
        <v>19</v>
      </c>
      <c r="I8" s="43" t="s">
        <v>20</v>
      </c>
    </row>
    <row r="9" spans="1:9" ht="18.399999999999999" customHeight="1" x14ac:dyDescent="0.25">
      <c r="A9" s="44"/>
      <c r="B9" s="45"/>
      <c r="C9" s="46" t="s">
        <v>42</v>
      </c>
      <c r="D9" s="47"/>
      <c r="E9" s="48"/>
      <c r="F9" s="49"/>
      <c r="G9" s="48"/>
      <c r="H9" s="49"/>
      <c r="I9" s="50"/>
    </row>
    <row r="10" spans="1:9" ht="18" customHeight="1" x14ac:dyDescent="0.25">
      <c r="A10" s="427" t="s">
        <v>224</v>
      </c>
      <c r="B10" s="427" t="s">
        <v>225</v>
      </c>
      <c r="C10" s="428" t="s">
        <v>226</v>
      </c>
      <c r="D10" s="429" t="s">
        <v>227</v>
      </c>
      <c r="E10" s="430">
        <v>1000</v>
      </c>
      <c r="F10" s="431" t="s">
        <v>21</v>
      </c>
      <c r="G10" s="56"/>
      <c r="H10" s="57"/>
      <c r="I10" s="50"/>
    </row>
    <row r="11" spans="1:9" ht="15.75" x14ac:dyDescent="0.25">
      <c r="A11" s="432"/>
      <c r="B11" s="433"/>
      <c r="C11" s="168"/>
      <c r="D11" s="434"/>
      <c r="E11" s="435"/>
      <c r="F11" s="436"/>
      <c r="G11" s="56"/>
      <c r="H11" s="57"/>
      <c r="I11" s="50"/>
    </row>
    <row r="12" spans="1:9" ht="15.75" x14ac:dyDescent="0.25">
      <c r="A12" s="437"/>
      <c r="B12" s="438"/>
      <c r="C12" s="439"/>
      <c r="D12" s="59"/>
      <c r="E12" s="59"/>
      <c r="F12" s="59"/>
      <c r="G12" s="60"/>
      <c r="H12" s="57"/>
      <c r="I12" s="50"/>
    </row>
    <row r="13" spans="1:9" ht="15.75" x14ac:dyDescent="0.25">
      <c r="A13" s="440"/>
      <c r="B13" s="441"/>
      <c r="C13" s="439"/>
      <c r="D13" s="59"/>
      <c r="E13" s="59"/>
      <c r="F13" s="59"/>
      <c r="G13" s="60"/>
      <c r="H13" s="57"/>
      <c r="I13" s="50"/>
    </row>
    <row r="14" spans="1:9" x14ac:dyDescent="0.25">
      <c r="A14" s="52"/>
      <c r="B14" s="52"/>
      <c r="C14" s="168"/>
      <c r="D14" s="84"/>
      <c r="E14" s="442"/>
      <c r="F14" s="65"/>
      <c r="G14" s="60"/>
      <c r="H14" s="57"/>
      <c r="I14" s="50"/>
    </row>
    <row r="15" spans="1:9" x14ac:dyDescent="0.25">
      <c r="A15" s="52"/>
      <c r="B15" s="52"/>
      <c r="C15" s="168"/>
      <c r="D15" s="84"/>
      <c r="E15" s="442"/>
      <c r="F15" s="65"/>
      <c r="G15" s="60"/>
      <c r="H15" s="57"/>
      <c r="I15" s="50"/>
    </row>
    <row r="16" spans="1:9" x14ac:dyDescent="0.25">
      <c r="A16" s="52"/>
      <c r="B16" s="52"/>
      <c r="C16" s="168"/>
      <c r="D16" s="84"/>
      <c r="E16" s="442"/>
      <c r="F16" s="65"/>
      <c r="G16" s="60"/>
      <c r="H16" s="57"/>
      <c r="I16" s="50"/>
    </row>
    <row r="17" spans="1:9" x14ac:dyDescent="0.25">
      <c r="A17" s="52"/>
      <c r="B17" s="52"/>
      <c r="C17" s="168"/>
      <c r="D17" s="84"/>
      <c r="E17" s="442"/>
      <c r="F17" s="65"/>
      <c r="G17" s="60"/>
      <c r="H17" s="57"/>
      <c r="I17" s="50"/>
    </row>
    <row r="18" spans="1:9" x14ac:dyDescent="0.25">
      <c r="A18" s="52"/>
      <c r="B18" s="52"/>
      <c r="C18" s="168"/>
      <c r="D18" s="84"/>
      <c r="E18" s="442"/>
      <c r="F18" s="65"/>
      <c r="G18" s="60"/>
      <c r="H18" s="57"/>
      <c r="I18" s="50"/>
    </row>
    <row r="19" spans="1:9" x14ac:dyDescent="0.25">
      <c r="A19" s="52"/>
      <c r="B19" s="52"/>
      <c r="C19" s="168"/>
      <c r="D19" s="84"/>
      <c r="E19" s="442"/>
      <c r="F19" s="65"/>
      <c r="G19" s="60"/>
      <c r="H19" s="57"/>
      <c r="I19" s="50"/>
    </row>
    <row r="20" spans="1:9" x14ac:dyDescent="0.25">
      <c r="A20" s="51"/>
      <c r="B20" s="52"/>
      <c r="C20" s="3"/>
      <c r="D20" s="64"/>
      <c r="E20" s="64"/>
      <c r="F20" s="64"/>
      <c r="G20" s="48"/>
      <c r="H20" s="57"/>
      <c r="I20" s="50"/>
    </row>
    <row r="21" spans="1:9" ht="15.75" x14ac:dyDescent="0.25">
      <c r="A21" s="61"/>
      <c r="B21" s="62"/>
      <c r="C21" s="63" t="s">
        <v>46</v>
      </c>
      <c r="D21" s="442"/>
      <c r="E21" s="443"/>
      <c r="F21" s="65"/>
      <c r="G21" s="48"/>
      <c r="H21" s="49"/>
      <c r="I21" s="50"/>
    </row>
    <row r="22" spans="1:9" x14ac:dyDescent="0.25">
      <c r="A22" s="444"/>
      <c r="B22" s="445"/>
      <c r="C22" s="446"/>
      <c r="D22" s="447"/>
      <c r="E22" s="448"/>
      <c r="F22" s="449"/>
      <c r="G22" s="48"/>
      <c r="H22" s="49"/>
      <c r="I22" s="50"/>
    </row>
    <row r="23" spans="1:9" x14ac:dyDescent="0.25">
      <c r="A23" s="444"/>
      <c r="B23" s="445"/>
      <c r="C23" s="446"/>
      <c r="D23" s="447"/>
      <c r="E23" s="450"/>
      <c r="F23" s="449"/>
      <c r="G23" s="48"/>
      <c r="H23" s="49"/>
      <c r="I23" s="50"/>
    </row>
    <row r="24" spans="1:9" x14ac:dyDescent="0.25">
      <c r="A24" s="444"/>
      <c r="B24" s="445"/>
      <c r="C24" s="446"/>
      <c r="D24" s="447"/>
      <c r="E24" s="448"/>
      <c r="F24" s="449"/>
      <c r="G24" s="48"/>
      <c r="H24" s="49"/>
      <c r="I24" s="50"/>
    </row>
    <row r="25" spans="1:9" x14ac:dyDescent="0.25">
      <c r="A25" s="444"/>
      <c r="B25" s="445"/>
      <c r="C25" s="446"/>
      <c r="D25" s="447"/>
      <c r="E25" s="451"/>
      <c r="F25" s="452"/>
      <c r="G25" s="48"/>
      <c r="H25" s="49"/>
      <c r="I25" s="50"/>
    </row>
    <row r="26" spans="1:9" x14ac:dyDescent="0.25">
      <c r="A26" s="444"/>
      <c r="B26" s="445"/>
      <c r="C26" s="446"/>
      <c r="D26" s="447"/>
      <c r="E26" s="453"/>
      <c r="F26" s="452"/>
      <c r="G26" s="48"/>
      <c r="H26" s="49"/>
      <c r="I26" s="50"/>
    </row>
    <row r="27" spans="1:9" x14ac:dyDescent="0.25">
      <c r="A27" s="169"/>
      <c r="B27" s="169"/>
      <c r="D27" s="454"/>
      <c r="E27" s="455"/>
      <c r="F27" s="456"/>
      <c r="G27" s="48"/>
      <c r="H27" s="49"/>
      <c r="I27" s="50"/>
    </row>
    <row r="28" spans="1:9" x14ac:dyDescent="0.25">
      <c r="A28" s="52"/>
      <c r="B28" s="52"/>
      <c r="C28" s="3"/>
      <c r="D28" s="457"/>
      <c r="E28" s="458"/>
      <c r="F28" s="456"/>
      <c r="G28" s="48"/>
      <c r="H28" s="49"/>
      <c r="I28" s="50"/>
    </row>
    <row r="29" spans="1:9" x14ac:dyDescent="0.25">
      <c r="A29" s="52"/>
      <c r="B29" s="52"/>
      <c r="C29" s="3"/>
      <c r="D29" s="457"/>
      <c r="E29" s="66"/>
      <c r="F29" s="459"/>
      <c r="G29" s="48"/>
      <c r="H29" s="49"/>
      <c r="I29" s="50"/>
    </row>
    <row r="30" spans="1:9" ht="15.75" x14ac:dyDescent="0.25">
      <c r="A30" s="67"/>
      <c r="B30" s="68"/>
      <c r="C30" s="69" t="s">
        <v>47</v>
      </c>
      <c r="D30" s="70"/>
      <c r="E30" s="71"/>
      <c r="F30" s="49"/>
      <c r="G30" s="48"/>
      <c r="I30" s="50"/>
    </row>
    <row r="31" spans="1:9" x14ac:dyDescent="0.25">
      <c r="A31" s="460"/>
      <c r="B31" s="460"/>
      <c r="C31" s="461"/>
      <c r="D31" s="75"/>
      <c r="E31" s="76"/>
      <c r="F31" s="77"/>
      <c r="G31" s="78"/>
      <c r="H31" s="49"/>
      <c r="I31" s="50"/>
    </row>
    <row r="32" spans="1:9" x14ac:dyDescent="0.25">
      <c r="A32" s="462"/>
      <c r="B32" s="462"/>
      <c r="C32" s="463"/>
      <c r="D32" s="75"/>
      <c r="E32" s="76"/>
      <c r="F32" s="77"/>
      <c r="G32" s="78"/>
      <c r="H32" s="49"/>
      <c r="I32" s="50"/>
    </row>
    <row r="33" spans="1:9" x14ac:dyDescent="0.25">
      <c r="A33" s="52"/>
      <c r="B33" s="52"/>
      <c r="C33" s="3"/>
      <c r="D33" s="464"/>
      <c r="E33" s="66"/>
      <c r="F33" s="60"/>
      <c r="G33" s="78"/>
      <c r="H33" s="49"/>
      <c r="I33" s="50"/>
    </row>
    <row r="34" spans="1:9" x14ac:dyDescent="0.25">
      <c r="A34" s="82"/>
      <c r="B34" s="82"/>
      <c r="C34" s="83"/>
      <c r="D34" s="75"/>
      <c r="E34" s="76"/>
      <c r="F34" s="77"/>
      <c r="G34" s="48"/>
      <c r="H34" s="49"/>
      <c r="I34" s="50"/>
    </row>
    <row r="35" spans="1:9" x14ac:dyDescent="0.25">
      <c r="A35" s="82"/>
      <c r="B35" s="82"/>
      <c r="C35" s="83"/>
      <c r="D35" s="75"/>
      <c r="E35" s="76"/>
      <c r="F35" s="77"/>
      <c r="G35" s="48"/>
      <c r="H35" s="49"/>
      <c r="I35" s="50"/>
    </row>
    <row r="36" spans="1:9" x14ac:dyDescent="0.25">
      <c r="A36" s="82"/>
      <c r="B36" s="82"/>
      <c r="C36" s="83"/>
      <c r="D36" s="75"/>
      <c r="E36" s="76"/>
      <c r="F36" s="77"/>
      <c r="G36" s="465"/>
      <c r="H36" s="49"/>
      <c r="I36" s="50"/>
    </row>
    <row r="37" spans="1:9" ht="15.75" x14ac:dyDescent="0.25">
      <c r="A37" s="82"/>
      <c r="B37" s="82"/>
      <c r="C37" s="83"/>
      <c r="D37" s="59"/>
      <c r="E37" s="76"/>
      <c r="F37" s="77"/>
      <c r="G37" s="84"/>
      <c r="H37" s="49"/>
      <c r="I37" s="50"/>
    </row>
    <row r="38" spans="1:9" x14ac:dyDescent="0.25">
      <c r="A38" s="466"/>
      <c r="B38" s="466"/>
      <c r="C38" s="467"/>
      <c r="D38" s="75"/>
      <c r="E38" s="459"/>
      <c r="F38" s="459"/>
      <c r="G38" s="84"/>
      <c r="H38" s="49"/>
      <c r="I38" s="50"/>
    </row>
    <row r="39" spans="1:9" x14ac:dyDescent="0.25">
      <c r="A39" s="460"/>
      <c r="B39" s="52"/>
      <c r="C39" s="461"/>
      <c r="D39" s="464"/>
      <c r="E39" s="66"/>
      <c r="F39" s="60"/>
      <c r="G39" s="84"/>
      <c r="H39" s="49"/>
      <c r="I39" s="50"/>
    </row>
    <row r="40" spans="1:9" ht="15.75" x14ac:dyDescent="0.25">
      <c r="A40" s="82"/>
      <c r="B40" s="82"/>
      <c r="C40" s="83"/>
      <c r="D40" s="75"/>
      <c r="E40" s="66"/>
      <c r="F40" s="60"/>
      <c r="G40" s="311"/>
      <c r="H40" s="49"/>
      <c r="I40" s="50"/>
    </row>
    <row r="41" spans="1:9" ht="15.75" x14ac:dyDescent="0.25">
      <c r="A41" s="61"/>
      <c r="B41" s="62"/>
      <c r="C41" s="468"/>
      <c r="D41" s="442"/>
      <c r="E41" s="442"/>
      <c r="F41" s="65"/>
      <c r="G41" s="131"/>
      <c r="H41" s="131"/>
      <c r="I41" s="50"/>
    </row>
    <row r="42" spans="1:9" ht="15.75" thickBot="1" x14ac:dyDescent="0.3">
      <c r="A42" s="85"/>
      <c r="B42" s="86"/>
      <c r="C42" s="87"/>
      <c r="D42" s="87"/>
      <c r="E42" s="88"/>
      <c r="F42" s="89"/>
      <c r="G42" s="87"/>
      <c r="H42" s="87"/>
      <c r="I42" s="90"/>
    </row>
    <row r="43" spans="1:9" ht="15.75" thickBot="1" x14ac:dyDescent="0.3">
      <c r="A43" s="91"/>
      <c r="B43" s="92"/>
      <c r="C43" s="93"/>
      <c r="D43" s="94" t="s">
        <v>18</v>
      </c>
      <c r="E43" s="95" t="s">
        <v>30</v>
      </c>
      <c r="F43" s="96"/>
      <c r="G43" s="93"/>
      <c r="H43" s="93"/>
      <c r="I43" s="97"/>
    </row>
    <row r="44" spans="1:9" x14ac:dyDescent="0.25">
      <c r="A44" s="947" t="s">
        <v>31</v>
      </c>
      <c r="B44" s="948"/>
      <c r="C44" s="949"/>
      <c r="D44" s="458">
        <v>900</v>
      </c>
      <c r="E44" s="99" t="s">
        <v>21</v>
      </c>
      <c r="F44" s="950" t="s">
        <v>52</v>
      </c>
      <c r="G44" s="950"/>
      <c r="H44" s="951"/>
      <c r="I44" s="952"/>
    </row>
    <row r="45" spans="1:9" x14ac:dyDescent="0.25">
      <c r="A45" s="953" t="s">
        <v>53</v>
      </c>
      <c r="B45" s="954"/>
      <c r="C45" s="955"/>
      <c r="D45" s="66">
        <v>6</v>
      </c>
      <c r="E45" s="60" t="s">
        <v>228</v>
      </c>
      <c r="F45" s="956" t="s">
        <v>55</v>
      </c>
      <c r="G45" s="956"/>
      <c r="H45" s="957"/>
      <c r="I45" s="958"/>
    </row>
    <row r="46" spans="1:9" x14ac:dyDescent="0.25">
      <c r="A46" s="953" t="s">
        <v>33</v>
      </c>
      <c r="B46" s="954"/>
      <c r="C46" s="955"/>
      <c r="D46" s="66">
        <v>1</v>
      </c>
      <c r="E46" s="60" t="s">
        <v>229</v>
      </c>
      <c r="F46" s="956" t="s">
        <v>56</v>
      </c>
      <c r="G46" s="956"/>
      <c r="H46" s="957"/>
      <c r="I46" s="958"/>
    </row>
    <row r="47" spans="1:9" x14ac:dyDescent="0.25">
      <c r="A47" s="953" t="s">
        <v>34</v>
      </c>
      <c r="B47" s="954"/>
      <c r="C47" s="955"/>
      <c r="D47" s="66">
        <v>900</v>
      </c>
      <c r="E47" s="60" t="s">
        <v>21</v>
      </c>
      <c r="F47" s="962" t="s">
        <v>57</v>
      </c>
      <c r="G47" s="963"/>
      <c r="H47" s="1022"/>
      <c r="I47" s="1023"/>
    </row>
    <row r="48" spans="1:9" ht="15.75" thickBot="1" x14ac:dyDescent="0.3">
      <c r="A48" s="964" t="s">
        <v>35</v>
      </c>
      <c r="B48" s="965"/>
      <c r="C48" s="966"/>
      <c r="D48" s="100">
        <v>100</v>
      </c>
      <c r="E48" s="101" t="s">
        <v>21</v>
      </c>
      <c r="F48" s="967"/>
      <c r="G48" s="967"/>
      <c r="H48" s="957"/>
      <c r="I48" s="958"/>
    </row>
    <row r="49" spans="1:9" ht="15.75" thickBot="1" x14ac:dyDescent="0.3">
      <c r="A49" s="970" t="s">
        <v>36</v>
      </c>
      <c r="B49" s="971"/>
      <c r="C49" s="971"/>
      <c r="D49" s="971"/>
      <c r="E49" s="971"/>
      <c r="F49" s="971"/>
      <c r="G49" s="971"/>
      <c r="H49" s="971"/>
      <c r="I49" s="972"/>
    </row>
    <row r="50" spans="1:9" ht="18.399999999999999" customHeight="1" x14ac:dyDescent="0.25">
      <c r="A50" s="1014" t="s">
        <v>230</v>
      </c>
      <c r="B50" s="1015"/>
      <c r="C50" s="1016"/>
      <c r="D50" s="1016"/>
      <c r="E50" s="1016"/>
      <c r="F50" s="1016"/>
      <c r="G50" s="1016"/>
      <c r="H50" s="1016"/>
      <c r="I50" s="1017"/>
    </row>
    <row r="51" spans="1:9" ht="15.4" customHeight="1" x14ac:dyDescent="0.25">
      <c r="A51" s="1014" t="s">
        <v>231</v>
      </c>
      <c r="B51" s="1015"/>
      <c r="C51" s="1016"/>
      <c r="D51" s="1016"/>
      <c r="E51" s="1016"/>
      <c r="F51" s="1016"/>
      <c r="G51" s="1016"/>
      <c r="H51" s="1016"/>
      <c r="I51" s="1017"/>
    </row>
    <row r="52" spans="1:9" ht="14.65" customHeight="1" x14ac:dyDescent="0.25">
      <c r="A52" s="1014" t="s">
        <v>232</v>
      </c>
      <c r="B52" s="1015"/>
      <c r="C52" s="1016"/>
      <c r="D52" s="1016"/>
      <c r="E52" s="1016"/>
      <c r="F52" s="1016"/>
      <c r="G52" s="1016"/>
      <c r="H52" s="1016"/>
      <c r="I52" s="1017"/>
    </row>
    <row r="53" spans="1:9" ht="14.65" customHeight="1" x14ac:dyDescent="0.25">
      <c r="A53" s="1014" t="s">
        <v>233</v>
      </c>
      <c r="B53" s="1015"/>
      <c r="C53" s="1016"/>
      <c r="D53" s="1016"/>
      <c r="E53" s="1016"/>
      <c r="F53" s="1016"/>
      <c r="G53" s="1016"/>
      <c r="H53" s="1016"/>
      <c r="I53" s="1017"/>
    </row>
    <row r="54" spans="1:9" ht="14.65" customHeight="1" x14ac:dyDescent="0.25">
      <c r="A54" s="1140"/>
      <c r="B54" s="1140"/>
      <c r="C54" s="1140"/>
      <c r="D54" s="1140"/>
      <c r="E54" s="1140"/>
      <c r="F54" s="1140"/>
      <c r="G54" s="1140"/>
      <c r="H54" s="1140"/>
      <c r="I54" s="1140"/>
    </row>
    <row r="55" spans="1:9" ht="18" customHeight="1" x14ac:dyDescent="0.25">
      <c r="A55" s="1141"/>
      <c r="B55" s="1140"/>
      <c r="C55" s="1140"/>
      <c r="D55" s="1140"/>
      <c r="E55" s="1140"/>
      <c r="F55" s="1140"/>
      <c r="G55" s="1140"/>
      <c r="H55" s="1140"/>
      <c r="I55" s="1142"/>
    </row>
    <row r="56" spans="1:9" x14ac:dyDescent="0.25">
      <c r="A56" s="1143"/>
      <c r="B56" s="1144"/>
      <c r="C56" s="1144"/>
      <c r="D56" s="1144"/>
      <c r="E56" s="1144"/>
      <c r="F56" s="1144"/>
      <c r="G56" s="1144"/>
      <c r="H56" s="1144"/>
      <c r="I56" s="1145"/>
    </row>
    <row r="57" spans="1:9" ht="15.75" thickBot="1" x14ac:dyDescent="0.3">
      <c r="A57" s="1146"/>
      <c r="B57" s="1147"/>
      <c r="C57" s="1147"/>
      <c r="D57" s="1147"/>
      <c r="E57" s="1147"/>
      <c r="F57" s="1147"/>
      <c r="G57" s="1147"/>
      <c r="H57" s="1147"/>
      <c r="I57" s="1148"/>
    </row>
    <row r="58" spans="1:9" x14ac:dyDescent="0.25">
      <c r="A58" s="976" t="s">
        <v>37</v>
      </c>
      <c r="B58" s="977"/>
      <c r="C58" s="977"/>
      <c r="D58" s="977"/>
      <c r="E58" s="977"/>
      <c r="F58" s="977"/>
      <c r="G58" s="977"/>
      <c r="H58" s="977"/>
      <c r="I58" s="977"/>
    </row>
    <row r="59" spans="1:9" x14ac:dyDescent="0.25">
      <c r="A59" s="978"/>
      <c r="B59" s="979"/>
      <c r="C59" s="979"/>
      <c r="D59" s="979"/>
      <c r="E59" s="979"/>
      <c r="F59" s="979"/>
      <c r="G59" s="979"/>
      <c r="H59" s="979"/>
      <c r="I59" s="979"/>
    </row>
    <row r="60" spans="1:9" x14ac:dyDescent="0.25">
      <c r="A60" s="978"/>
      <c r="B60" s="979"/>
      <c r="C60" s="979"/>
      <c r="D60" s="979"/>
      <c r="E60" s="979"/>
      <c r="F60" s="979"/>
      <c r="G60" s="979"/>
      <c r="H60" s="979"/>
      <c r="I60" s="979"/>
    </row>
  </sheetData>
  <mergeCells count="44"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F84AD-DDCA-4FFC-91AA-6BBF00EE8EA8}">
  <dimension ref="A1:Q91"/>
  <sheetViews>
    <sheetView topLeftCell="A43" workbookViewId="0">
      <selection activeCell="D58" sqref="D58"/>
    </sheetView>
  </sheetViews>
  <sheetFormatPr baseColWidth="10" defaultColWidth="8.42578125" defaultRowHeight="12.75" x14ac:dyDescent="0.25"/>
  <cols>
    <col min="1" max="1" width="10" style="176" bestFit="1" customWidth="1"/>
    <col min="2" max="2" width="44.28515625" style="176" bestFit="1" customWidth="1"/>
    <col min="3" max="3" width="10.42578125" style="176" bestFit="1" customWidth="1"/>
    <col min="4" max="4" width="10.42578125" style="176" customWidth="1"/>
    <col min="5" max="5" width="11" style="176" customWidth="1"/>
    <col min="6" max="6" width="9.5703125" style="176" bestFit="1" customWidth="1"/>
    <col min="7" max="7" width="10.85546875" style="258" customWidth="1"/>
    <col min="8" max="8" width="10.42578125" style="249" bestFit="1" customWidth="1"/>
    <col min="9" max="9" width="4.5703125" style="249" customWidth="1"/>
    <col min="10" max="10" width="1.85546875" style="175" customWidth="1"/>
    <col min="11" max="11" width="7" style="176" bestFit="1" customWidth="1"/>
    <col min="12" max="12" width="6.28515625" style="176" customWidth="1"/>
    <col min="13" max="13" width="20.42578125" style="176" customWidth="1"/>
    <col min="14" max="14" width="6.42578125" style="176" bestFit="1" customWidth="1"/>
    <col min="15" max="16" width="8.42578125" style="176"/>
    <col min="17" max="17" width="3.28515625" style="176" customWidth="1"/>
    <col min="18" max="16384" width="8.42578125" style="176"/>
  </cols>
  <sheetData>
    <row r="1" spans="1:10" ht="27.75" customHeight="1" x14ac:dyDescent="0.25">
      <c r="A1" s="171"/>
      <c r="B1" s="171"/>
      <c r="C1" s="171"/>
      <c r="D1" s="171"/>
      <c r="E1" s="172" t="s">
        <v>93</v>
      </c>
      <c r="F1" s="173" t="s">
        <v>94</v>
      </c>
      <c r="G1" s="173" t="s">
        <v>95</v>
      </c>
      <c r="H1" s="173" t="s">
        <v>96</v>
      </c>
      <c r="I1" s="174"/>
    </row>
    <row r="2" spans="1:10" ht="30.75" customHeight="1" x14ac:dyDescent="0.25">
      <c r="A2" s="171"/>
      <c r="B2" s="171"/>
      <c r="C2" s="171"/>
      <c r="D2" s="171"/>
      <c r="E2" s="177">
        <f>IFERROR(O62,"")</f>
        <v>1187.1328000000001</v>
      </c>
      <c r="F2" s="177">
        <f>IFERROR(H53,"")</f>
        <v>1172.864</v>
      </c>
      <c r="G2" s="177">
        <f>IFERROR(H54,"")</f>
        <v>1.5680000000000001</v>
      </c>
      <c r="H2" s="177">
        <f>IFERROR(H56,"")</f>
        <v>87.317999999999998</v>
      </c>
      <c r="I2" s="178"/>
    </row>
    <row r="3" spans="1:10" ht="15" customHeight="1" x14ac:dyDescent="0.25">
      <c r="A3" s="171"/>
      <c r="B3" s="171"/>
      <c r="C3" s="171"/>
      <c r="D3" s="171"/>
      <c r="E3" s="171"/>
      <c r="F3" s="179"/>
      <c r="G3" s="179"/>
      <c r="H3" s="179"/>
      <c r="I3" s="179"/>
    </row>
    <row r="4" spans="1:10" ht="24.75" customHeight="1" thickBot="1" x14ac:dyDescent="0.3">
      <c r="A4" s="727"/>
      <c r="B4" s="727"/>
      <c r="C4" s="727"/>
      <c r="D4" s="727"/>
      <c r="E4" s="727"/>
      <c r="F4" s="727"/>
      <c r="G4" s="727"/>
      <c r="H4" s="727"/>
      <c r="I4" s="180"/>
    </row>
    <row r="5" spans="1:10" ht="19.5" customHeight="1" thickBot="1" x14ac:dyDescent="0.3">
      <c r="A5" s="728" t="s">
        <v>97</v>
      </c>
      <c r="B5" s="729"/>
      <c r="C5" s="729"/>
      <c r="D5" s="729"/>
      <c r="E5" s="729"/>
      <c r="F5" s="729"/>
      <c r="G5" s="729"/>
      <c r="H5" s="730"/>
      <c r="I5" s="181"/>
    </row>
    <row r="6" spans="1:10" ht="19.5" thickBot="1" x14ac:dyDescent="0.3">
      <c r="A6" s="181"/>
      <c r="B6" s="181"/>
      <c r="C6" s="181"/>
      <c r="D6" s="181"/>
      <c r="E6" s="181"/>
      <c r="F6" s="731" t="s">
        <v>98</v>
      </c>
      <c r="G6" s="731"/>
      <c r="H6" s="182">
        <f ca="1">TODAY()</f>
        <v>46056</v>
      </c>
      <c r="I6" s="182"/>
    </row>
    <row r="7" spans="1:10" ht="26.25" hidden="1" thickBot="1" x14ac:dyDescent="0.3">
      <c r="A7" s="183" t="s">
        <v>99</v>
      </c>
      <c r="B7" s="184" t="s">
        <v>100</v>
      </c>
      <c r="C7" s="184" t="s">
        <v>99</v>
      </c>
      <c r="D7" s="185" t="s">
        <v>101</v>
      </c>
      <c r="E7" s="185" t="s">
        <v>102</v>
      </c>
      <c r="F7" s="185" t="s">
        <v>103</v>
      </c>
      <c r="G7" s="185" t="s">
        <v>104</v>
      </c>
      <c r="H7" s="186" t="s">
        <v>105</v>
      </c>
      <c r="I7" s="187"/>
    </row>
    <row r="8" spans="1:10" ht="13.5" hidden="1" x14ac:dyDescent="0.25">
      <c r="A8" s="188"/>
      <c r="B8" s="176" t="str">
        <f>IFERROR(VLOOKUP(H8,'[1]Consolidado MP Planta'!$A$2:$M$823,3,0),"")</f>
        <v/>
      </c>
      <c r="C8" s="189">
        <f>+A8</f>
        <v>0</v>
      </c>
      <c r="D8" s="190" t="str">
        <f>IFERROR(VLOOKUP(H8,'[1]Consolidado MP Planta'!$A$2:$M$823,13,0),"")</f>
        <v/>
      </c>
      <c r="E8" s="190" t="str">
        <f>IFERROR(VLOOKUP(H8,'[1]Consolidado MP Planta'!$A$2:$M$823,12,0),"")</f>
        <v/>
      </c>
      <c r="F8" s="190" t="str">
        <f>IFERROR(C8*E8,"")</f>
        <v/>
      </c>
      <c r="G8" s="191" t="str">
        <f t="shared" ref="G8:G14" si="0">IFERROR(F8/$F$66,"")</f>
        <v/>
      </c>
      <c r="H8" s="192"/>
      <c r="I8" s="192"/>
      <c r="J8" s="193"/>
    </row>
    <row r="9" spans="1:10" ht="13.5" hidden="1" x14ac:dyDescent="0.25">
      <c r="A9" s="188"/>
      <c r="B9" s="176" t="str">
        <f>IFERROR(VLOOKUP(H9,'[1]Consolidado MP Planta'!$A$2:$M$823,3,0),"")</f>
        <v/>
      </c>
      <c r="C9" s="189">
        <f t="shared" ref="C9:C14" si="1">+A9</f>
        <v>0</v>
      </c>
      <c r="D9" s="190" t="str">
        <f>IFERROR(VLOOKUP(H9,'[1]Consolidado MP Planta'!$A$2:$M$823,13,0),"")</f>
        <v/>
      </c>
      <c r="E9" s="190" t="str">
        <f>IFERROR(VLOOKUP(H9,'[1]Consolidado MP Planta'!$A$2:$M$823,12,0),"")</f>
        <v/>
      </c>
      <c r="F9" s="190" t="str">
        <f t="shared" ref="F9:F14" si="2">IFERROR(C9*E9,"")</f>
        <v/>
      </c>
      <c r="G9" s="191" t="str">
        <f t="shared" si="0"/>
        <v/>
      </c>
      <c r="H9" s="192"/>
      <c r="I9" s="192"/>
      <c r="J9" s="193"/>
    </row>
    <row r="10" spans="1:10" ht="13.5" hidden="1" x14ac:dyDescent="0.25">
      <c r="A10" s="188"/>
      <c r="B10" s="176" t="str">
        <f>IFERROR(VLOOKUP(H10,'[1]Consolidado MP Planta'!$A$2:$M$823,3,0),"")</f>
        <v/>
      </c>
      <c r="C10" s="189">
        <f t="shared" si="1"/>
        <v>0</v>
      </c>
      <c r="D10" s="190" t="str">
        <f>IFERROR(VLOOKUP(H10,'[1]Consolidado MP Planta'!$A$2:$M$823,13,0),"")</f>
        <v/>
      </c>
      <c r="E10" s="190" t="str">
        <f>IFERROR(VLOOKUP(H10,'[1]Consolidado MP Planta'!$A$2:$M$823,12,0),"")</f>
        <v/>
      </c>
      <c r="F10" s="190" t="str">
        <f t="shared" si="2"/>
        <v/>
      </c>
      <c r="G10" s="191" t="str">
        <f t="shared" si="0"/>
        <v/>
      </c>
      <c r="H10" s="192"/>
      <c r="I10" s="192"/>
      <c r="J10" s="193"/>
    </row>
    <row r="11" spans="1:10" ht="13.5" hidden="1" x14ac:dyDescent="0.25">
      <c r="A11" s="188"/>
      <c r="B11" s="176" t="str">
        <f>IFERROR(VLOOKUP(H11,'[1]Consolidado MP Planta'!$A$2:$M$823,3,0),"")</f>
        <v/>
      </c>
      <c r="C11" s="189">
        <f t="shared" si="1"/>
        <v>0</v>
      </c>
      <c r="D11" s="190" t="str">
        <f>IFERROR(VLOOKUP(H11,'[1]Consolidado MP Planta'!$A$2:$M$823,13,0),"")</f>
        <v/>
      </c>
      <c r="E11" s="190" t="str">
        <f>IFERROR(VLOOKUP(H11,'[1]Consolidado MP Planta'!$A$2:$M$823,12,0),"")</f>
        <v/>
      </c>
      <c r="F11" s="190" t="str">
        <f t="shared" si="2"/>
        <v/>
      </c>
      <c r="G11" s="191" t="str">
        <f t="shared" si="0"/>
        <v/>
      </c>
      <c r="H11" s="192"/>
      <c r="I11" s="192"/>
      <c r="J11" s="193"/>
    </row>
    <row r="12" spans="1:10" ht="13.5" hidden="1" x14ac:dyDescent="0.25">
      <c r="A12" s="188"/>
      <c r="B12" s="176" t="str">
        <f>IFERROR(VLOOKUP(H12,'[1]Consolidado MP Planta'!$A$2:$M$823,3,0),"")</f>
        <v/>
      </c>
      <c r="C12" s="189">
        <f t="shared" si="1"/>
        <v>0</v>
      </c>
      <c r="D12" s="190" t="str">
        <f>IFERROR(VLOOKUP(H12,'[1]Consolidado MP Planta'!$A$2:$M$823,13,0),"")</f>
        <v/>
      </c>
      <c r="E12" s="190" t="str">
        <f>IFERROR(VLOOKUP(H12,'[1]Consolidado MP Planta'!$A$2:$M$823,12,0),"")</f>
        <v/>
      </c>
      <c r="F12" s="190" t="str">
        <f t="shared" si="2"/>
        <v/>
      </c>
      <c r="G12" s="191" t="str">
        <f t="shared" si="0"/>
        <v/>
      </c>
      <c r="H12" s="192"/>
      <c r="I12" s="192"/>
      <c r="J12" s="193"/>
    </row>
    <row r="13" spans="1:10" ht="13.5" hidden="1" x14ac:dyDescent="0.25">
      <c r="A13" s="188"/>
      <c r="B13" s="176" t="str">
        <f>IFERROR(VLOOKUP(H13,'[1]Consolidado MP Planta'!$A$2:$M$823,3,0),"")</f>
        <v/>
      </c>
      <c r="C13" s="189">
        <f t="shared" si="1"/>
        <v>0</v>
      </c>
      <c r="D13" s="190" t="str">
        <f>IFERROR(VLOOKUP(H13,'[1]Consolidado MP Planta'!$A$2:$M$823,13,0),"")</f>
        <v/>
      </c>
      <c r="E13" s="190" t="str">
        <f>IFERROR(VLOOKUP(H13,'[1]Consolidado MP Planta'!$A$2:$M$823,12,0),"")</f>
        <v/>
      </c>
      <c r="F13" s="190" t="str">
        <f t="shared" si="2"/>
        <v/>
      </c>
      <c r="G13" s="191" t="str">
        <f t="shared" si="0"/>
        <v/>
      </c>
      <c r="H13" s="192"/>
      <c r="I13" s="192"/>
      <c r="J13" s="193"/>
    </row>
    <row r="14" spans="1:10" ht="13.5" hidden="1" x14ac:dyDescent="0.25">
      <c r="A14" s="188"/>
      <c r="B14" s="176" t="str">
        <f>IFERROR(VLOOKUP(H14,'[1]Consolidado MP Planta'!$A$2:$M$823,3,0),"")</f>
        <v/>
      </c>
      <c r="C14" s="189">
        <f t="shared" si="1"/>
        <v>0</v>
      </c>
      <c r="D14" s="190" t="str">
        <f>IFERROR(VLOOKUP(H14,'[1]Consolidado MP Planta'!$A$2:$M$823,13,0),"")</f>
        <v/>
      </c>
      <c r="E14" s="190" t="str">
        <f>IFERROR(VLOOKUP(H14,'[1]Consolidado MP Planta'!$A$2:$M$823,12,0),"")</f>
        <v/>
      </c>
      <c r="F14" s="190" t="str">
        <f t="shared" si="2"/>
        <v/>
      </c>
      <c r="G14" s="191" t="str">
        <f t="shared" si="0"/>
        <v/>
      </c>
      <c r="H14" s="192"/>
      <c r="I14" s="192"/>
      <c r="J14" s="193"/>
    </row>
    <row r="15" spans="1:10" ht="14.25" hidden="1" thickBot="1" x14ac:dyDescent="0.3">
      <c r="A15" s="188"/>
      <c r="B15" s="176" t="str">
        <f>IFERROR(VLOOKUP(H15,[2]Hoja2!$A$2:$G$589,2,0),"")</f>
        <v/>
      </c>
      <c r="C15" s="189"/>
      <c r="D15" s="190"/>
      <c r="E15" s="190"/>
      <c r="F15" s="190"/>
      <c r="G15" s="191"/>
      <c r="H15" s="192"/>
      <c r="I15" s="192"/>
      <c r="J15" s="193"/>
    </row>
    <row r="16" spans="1:10" ht="26.25" thickBot="1" x14ac:dyDescent="0.3">
      <c r="A16" s="183" t="s">
        <v>99</v>
      </c>
      <c r="B16" s="184" t="s">
        <v>106</v>
      </c>
      <c r="C16" s="184" t="s">
        <v>99</v>
      </c>
      <c r="D16" s="185" t="s">
        <v>101</v>
      </c>
      <c r="E16" s="185" t="s">
        <v>102</v>
      </c>
      <c r="F16" s="185" t="s">
        <v>103</v>
      </c>
      <c r="G16" s="185" t="s">
        <v>104</v>
      </c>
      <c r="H16" s="186" t="s">
        <v>105</v>
      </c>
      <c r="I16" s="187"/>
      <c r="J16" s="193"/>
    </row>
    <row r="17" spans="1:12" ht="13.5" x14ac:dyDescent="0.25">
      <c r="A17" s="188">
        <v>8400</v>
      </c>
      <c r="B17" s="176" t="s">
        <v>76</v>
      </c>
      <c r="C17" s="189">
        <f>+A17</f>
        <v>8400</v>
      </c>
      <c r="D17" s="189" t="s">
        <v>144</v>
      </c>
      <c r="E17" s="190">
        <v>1.88</v>
      </c>
      <c r="F17" s="190">
        <f>IFERROR(E17*C17,"")</f>
        <v>15792</v>
      </c>
      <c r="G17" s="191">
        <f t="shared" ref="G17:G24" si="3">IFERROR(F17/$F$66,"")</f>
        <v>0.90251841041544645</v>
      </c>
      <c r="H17" s="192" t="s">
        <v>75</v>
      </c>
      <c r="I17" s="192"/>
      <c r="J17" s="193"/>
    </row>
    <row r="18" spans="1:12" ht="13.5" x14ac:dyDescent="0.25">
      <c r="A18" s="188">
        <v>1120</v>
      </c>
      <c r="B18" s="176" t="s">
        <v>78</v>
      </c>
      <c r="C18" s="189">
        <f t="shared" ref="C18:C24" si="4">+A18</f>
        <v>1120</v>
      </c>
      <c r="D18" s="189" t="s">
        <v>144</v>
      </c>
      <c r="E18" s="190">
        <v>0.86</v>
      </c>
      <c r="F18" s="190">
        <f t="shared" ref="F18:F24" si="5">IFERROR(E18*C18,"")</f>
        <v>963.19999999999993</v>
      </c>
      <c r="G18" s="191">
        <f t="shared" si="3"/>
        <v>5.5047222195552047E-2</v>
      </c>
      <c r="H18" s="192" t="s">
        <v>77</v>
      </c>
      <c r="I18" s="192"/>
      <c r="J18" s="193"/>
    </row>
    <row r="19" spans="1:12" ht="13.5" hidden="1" x14ac:dyDescent="0.25">
      <c r="A19" s="188"/>
      <c r="B19" s="176" t="str">
        <f>IFERROR(VLOOKUP(H19,[1]SEMIELABORADOS!$A$2:$M$6000,2,0),"")</f>
        <v/>
      </c>
      <c r="C19" s="189">
        <f>+A19</f>
        <v>0</v>
      </c>
      <c r="D19" s="189" t="str">
        <f>IFERROR(VLOOKUP(H19,[1]SEMIELABORADOS!$A$2:$M$6000,6,0),"")</f>
        <v/>
      </c>
      <c r="E19" s="190" t="str">
        <f>IFERROR(VLOOKUP(H19,[1]SEMIELABORADOS!$A$2:$H$65536,8,0),"")</f>
        <v/>
      </c>
      <c r="F19" s="190" t="str">
        <f>IFERROR(E19*C19,"")</f>
        <v/>
      </c>
      <c r="G19" s="191" t="str">
        <f t="shared" si="3"/>
        <v/>
      </c>
      <c r="H19" s="192"/>
      <c r="I19" s="192"/>
      <c r="J19" s="193"/>
    </row>
    <row r="20" spans="1:12" ht="13.5" hidden="1" x14ac:dyDescent="0.25">
      <c r="A20" s="188"/>
      <c r="B20" s="176" t="str">
        <f>IFERROR(VLOOKUP(H20,[1]SEMIELABORADOS!$A$2:$M$6000,2,0),"")</f>
        <v/>
      </c>
      <c r="C20" s="189">
        <f>+A20</f>
        <v>0</v>
      </c>
      <c r="D20" s="189" t="str">
        <f>IFERROR(VLOOKUP(H20,[1]SEMIELABORADOS!$A$2:$M$6000,6,0),"")</f>
        <v/>
      </c>
      <c r="E20" s="190" t="str">
        <f>IFERROR(VLOOKUP(H20,[1]SEMIELABORADOS!$A$2:$H$65536,8,0),"")</f>
        <v/>
      </c>
      <c r="F20" s="190" t="str">
        <f>IFERROR(E20*C20,"")</f>
        <v/>
      </c>
      <c r="G20" s="191" t="str">
        <f t="shared" si="3"/>
        <v/>
      </c>
      <c r="H20" s="192"/>
      <c r="I20" s="192"/>
      <c r="J20" s="193"/>
    </row>
    <row r="21" spans="1:12" ht="13.5" hidden="1" x14ac:dyDescent="0.25">
      <c r="A21" s="188"/>
      <c r="B21" s="176" t="str">
        <f>IFERROR(VLOOKUP(H21,[1]SEMIELABORADOS!$A$2:$M$6000,2,0),"")</f>
        <v/>
      </c>
      <c r="C21" s="189">
        <f>+A21</f>
        <v>0</v>
      </c>
      <c r="D21" s="189" t="str">
        <f>IFERROR(VLOOKUP(H21,[1]SEMIELABORADOS!$A$2:$M$6000,6,0),"")</f>
        <v/>
      </c>
      <c r="E21" s="190" t="str">
        <f>IFERROR(VLOOKUP(H21,[1]SEMIELABORADOS!$A$2:$H$65536,8,0),"")</f>
        <v/>
      </c>
      <c r="F21" s="190" t="str">
        <f>IFERROR(E21*C21,"")</f>
        <v/>
      </c>
      <c r="G21" s="191" t="str">
        <f t="shared" si="3"/>
        <v/>
      </c>
      <c r="H21" s="192"/>
      <c r="I21" s="192"/>
      <c r="J21" s="193"/>
    </row>
    <row r="22" spans="1:12" ht="13.5" hidden="1" x14ac:dyDescent="0.25">
      <c r="A22" s="188"/>
      <c r="B22" s="176" t="str">
        <f>IFERROR(VLOOKUP(H22,[1]SEMIELABORADOS!$A$2:$M$6000,2,0),"")</f>
        <v/>
      </c>
      <c r="C22" s="189">
        <f t="shared" si="4"/>
        <v>0</v>
      </c>
      <c r="D22" s="189" t="str">
        <f>IFERROR(VLOOKUP(H22,[1]SEMIELABORADOS!$A$2:$M$6000,6,0),"")</f>
        <v/>
      </c>
      <c r="E22" s="190" t="str">
        <f>IFERROR(VLOOKUP(H22,[1]SEMIELABORADOS!$A$2:$H$65536,8,0),"")</f>
        <v/>
      </c>
      <c r="F22" s="190" t="str">
        <f t="shared" si="5"/>
        <v/>
      </c>
      <c r="G22" s="191" t="str">
        <f t="shared" si="3"/>
        <v/>
      </c>
      <c r="H22" s="192"/>
      <c r="I22" s="192"/>
      <c r="J22" s="193"/>
    </row>
    <row r="23" spans="1:12" ht="13.5" hidden="1" x14ac:dyDescent="0.25">
      <c r="A23" s="188"/>
      <c r="B23" s="176" t="str">
        <f>IFERROR(VLOOKUP(H23,[1]SEMIELABORADOS!$A$2:$M$6000,2,0),"")</f>
        <v/>
      </c>
      <c r="C23" s="189">
        <f t="shared" si="4"/>
        <v>0</v>
      </c>
      <c r="D23" s="189" t="str">
        <f>IFERROR(VLOOKUP(H23,[1]SEMIELABORADOS!$A$2:$M$6000,6,0),"")</f>
        <v/>
      </c>
      <c r="E23" s="190" t="str">
        <f>IFERROR(VLOOKUP(H23,[1]SEMIELABORADOS!$A$2:$H$65536,8,0),"")</f>
        <v/>
      </c>
      <c r="F23" s="190" t="str">
        <f t="shared" si="5"/>
        <v/>
      </c>
      <c r="G23" s="191" t="str">
        <f t="shared" si="3"/>
        <v/>
      </c>
      <c r="H23" s="192"/>
      <c r="I23" s="192"/>
      <c r="J23" s="193"/>
    </row>
    <row r="24" spans="1:12" ht="13.5" hidden="1" x14ac:dyDescent="0.25">
      <c r="A24" s="188"/>
      <c r="B24" s="176" t="str">
        <f>IFERROR(VLOOKUP(H24,[1]SEMIELABORADOS!$A$2:$M$6000,2,0),"")</f>
        <v/>
      </c>
      <c r="C24" s="189">
        <f t="shared" si="4"/>
        <v>0</v>
      </c>
      <c r="D24" s="189" t="str">
        <f>IFERROR(VLOOKUP(H24,[1]SEMIELABORADOS!$A$2:$M$6000,6,0),"")</f>
        <v/>
      </c>
      <c r="E24" s="190" t="str">
        <f>IFERROR(VLOOKUP(H24,[1]SEMIELABORADOS!$A$2:$H$65536,8,0),"")</f>
        <v/>
      </c>
      <c r="F24" s="190" t="str">
        <f t="shared" si="5"/>
        <v/>
      </c>
      <c r="G24" s="191" t="str">
        <f t="shared" si="3"/>
        <v/>
      </c>
      <c r="H24" s="192"/>
      <c r="I24" s="192"/>
      <c r="J24" s="193"/>
    </row>
    <row r="25" spans="1:12" ht="14.25" thickBot="1" x14ac:dyDescent="0.3">
      <c r="A25" s="188"/>
      <c r="C25" s="189"/>
      <c r="D25" s="189"/>
      <c r="E25" s="190"/>
      <c r="F25" s="190"/>
      <c r="G25" s="191"/>
      <c r="H25" s="192"/>
      <c r="I25" s="192"/>
      <c r="J25" s="193"/>
    </row>
    <row r="26" spans="1:12" ht="26.25" hidden="1" thickBot="1" x14ac:dyDescent="0.3">
      <c r="A26" s="183" t="s">
        <v>99</v>
      </c>
      <c r="B26" s="184" t="s">
        <v>22</v>
      </c>
      <c r="C26" s="184" t="s">
        <v>99</v>
      </c>
      <c r="D26" s="185" t="s">
        <v>101</v>
      </c>
      <c r="E26" s="185" t="s">
        <v>102</v>
      </c>
      <c r="F26" s="185" t="s">
        <v>103</v>
      </c>
      <c r="G26" s="185" t="s">
        <v>104</v>
      </c>
      <c r="H26" s="186" t="s">
        <v>105</v>
      </c>
      <c r="I26" s="187"/>
    </row>
    <row r="27" spans="1:12" ht="13.5" hidden="1" x14ac:dyDescent="0.25">
      <c r="A27" s="188">
        <v>0</v>
      </c>
      <c r="B27" s="194" t="str">
        <f>IFERROR(VLOOKUP(H27,'[1]Consolidado MP Planta'!$A$2:$M$823,3,0),"")</f>
        <v/>
      </c>
      <c r="C27" s="189">
        <f t="shared" ref="C27:C32" si="6">+A27</f>
        <v>0</v>
      </c>
      <c r="D27" s="190" t="str">
        <f>IFERROR(VLOOKUP(H27,'[1]Consolidado MP Planta'!$A$2:$M$823,13,0),"")</f>
        <v/>
      </c>
      <c r="E27" s="190" t="str">
        <f>IFERROR(VLOOKUP(H27,'[1]Consolidado MP Planta'!$A$2:$M$823,12,0),"")</f>
        <v/>
      </c>
      <c r="F27" s="190" t="str">
        <f t="shared" ref="F27:F32" si="7">IFERROR(C27*E27,"")</f>
        <v/>
      </c>
      <c r="G27" s="191" t="str">
        <f t="shared" ref="G27:G32" si="8">IFERROR(F27/$F$66,"")</f>
        <v/>
      </c>
      <c r="H27" s="195"/>
      <c r="I27" s="195"/>
      <c r="J27" s="193"/>
      <c r="K27" s="726"/>
      <c r="L27" s="726"/>
    </row>
    <row r="28" spans="1:12" ht="13.5" hidden="1" x14ac:dyDescent="0.25">
      <c r="A28" s="188"/>
      <c r="B28" s="194" t="str">
        <f>IFERROR(VLOOKUP(H28,'[1]Consolidado MP Planta'!$A$2:$M$823,3,0),"")</f>
        <v/>
      </c>
      <c r="C28" s="189">
        <f t="shared" si="6"/>
        <v>0</v>
      </c>
      <c r="D28" s="190" t="str">
        <f>IFERROR(VLOOKUP(H28,'[1]Consolidado MP Planta'!$A$2:$M$823,13,0),"")</f>
        <v/>
      </c>
      <c r="E28" s="190" t="str">
        <f>IFERROR(VLOOKUP(H28,'[1]Consolidado MP Planta'!$A$2:$M$823,12,0),"")</f>
        <v/>
      </c>
      <c r="F28" s="190" t="str">
        <f t="shared" si="7"/>
        <v/>
      </c>
      <c r="G28" s="191" t="str">
        <f t="shared" si="8"/>
        <v/>
      </c>
      <c r="H28" s="195"/>
      <c r="I28" s="195"/>
      <c r="J28" s="193"/>
      <c r="K28" s="726"/>
      <c r="L28" s="726"/>
    </row>
    <row r="29" spans="1:12" ht="13.5" hidden="1" x14ac:dyDescent="0.25">
      <c r="A29" s="188"/>
      <c r="B29" s="194" t="str">
        <f>IFERROR(VLOOKUP(H29,'[1]Consolidado MP Planta'!$A$2:$M$823,3,0),"")</f>
        <v/>
      </c>
      <c r="C29" s="189">
        <f t="shared" si="6"/>
        <v>0</v>
      </c>
      <c r="D29" s="190" t="str">
        <f>IFERROR(VLOOKUP(H29,'[1]Consolidado MP Planta'!$A$2:$M$823,13,0),"")</f>
        <v/>
      </c>
      <c r="E29" s="190" t="str">
        <f>IFERROR(VLOOKUP(H29,'[1]Consolidado MP Planta'!$A$2:$M$823,12,0),"")</f>
        <v/>
      </c>
      <c r="F29" s="190" t="str">
        <f t="shared" si="7"/>
        <v/>
      </c>
      <c r="G29" s="191" t="str">
        <f t="shared" si="8"/>
        <v/>
      </c>
      <c r="H29" s="195"/>
      <c r="I29" s="195"/>
      <c r="J29" s="193"/>
      <c r="K29" s="726"/>
      <c r="L29" s="726"/>
    </row>
    <row r="30" spans="1:12" ht="13.5" hidden="1" x14ac:dyDescent="0.25">
      <c r="A30" s="188"/>
      <c r="B30" s="194" t="str">
        <f>IFERROR(VLOOKUP(H30,'[1]Consolidado MP Planta'!$A$2:$M$823,3,0),"")</f>
        <v/>
      </c>
      <c r="C30" s="189">
        <f t="shared" si="6"/>
        <v>0</v>
      </c>
      <c r="D30" s="190" t="str">
        <f>IFERROR(VLOOKUP(H30,'[1]Consolidado MP Planta'!$A$2:$M$823,13,0),"")</f>
        <v/>
      </c>
      <c r="E30" s="190" t="str">
        <f>IFERROR(VLOOKUP(H30,'[1]Consolidado MP Planta'!$A$2:$M$823,12,0),"")</f>
        <v/>
      </c>
      <c r="F30" s="190" t="str">
        <f t="shared" si="7"/>
        <v/>
      </c>
      <c r="G30" s="191" t="str">
        <f t="shared" si="8"/>
        <v/>
      </c>
      <c r="H30" s="195"/>
      <c r="I30" s="195"/>
      <c r="J30" s="193"/>
      <c r="K30" s="726"/>
      <c r="L30" s="726"/>
    </row>
    <row r="31" spans="1:12" ht="13.5" hidden="1" x14ac:dyDescent="0.25">
      <c r="A31" s="188"/>
      <c r="B31" s="194" t="str">
        <f>IFERROR(VLOOKUP(H31,'[1]Consolidado MP Planta'!$A$2:$M$823,3,0),"")</f>
        <v/>
      </c>
      <c r="C31" s="189">
        <f t="shared" si="6"/>
        <v>0</v>
      </c>
      <c r="D31" s="190" t="str">
        <f>IFERROR(VLOOKUP(H31,'[1]Consolidado MP Planta'!$A$2:$M$823,13,0),"")</f>
        <v/>
      </c>
      <c r="E31" s="190" t="str">
        <f>IFERROR(VLOOKUP(H31,'[1]Consolidado MP Planta'!$A$2:$M$823,12,0),"")</f>
        <v/>
      </c>
      <c r="F31" s="190" t="str">
        <f t="shared" si="7"/>
        <v/>
      </c>
      <c r="G31" s="191" t="str">
        <f t="shared" si="8"/>
        <v/>
      </c>
      <c r="H31" s="195"/>
      <c r="I31" s="195"/>
      <c r="J31" s="193"/>
      <c r="K31" s="196"/>
      <c r="L31" s="197"/>
    </row>
    <row r="32" spans="1:12" ht="13.5" hidden="1" x14ac:dyDescent="0.25">
      <c r="A32" s="188"/>
      <c r="B32" s="194" t="str">
        <f>IFERROR(VLOOKUP(H32,'[1]Consolidado MP Planta'!$A$2:$M$823,3,0),"")</f>
        <v/>
      </c>
      <c r="C32" s="189">
        <f t="shared" si="6"/>
        <v>0</v>
      </c>
      <c r="D32" s="190" t="str">
        <f>IFERROR(VLOOKUP(H32,'[1]Consolidado MP Planta'!$A$2:$M$823,13,0),"")</f>
        <v/>
      </c>
      <c r="E32" s="190" t="str">
        <f>IFERROR(VLOOKUP(H32,'[1]Consolidado MP Planta'!$A$2:$M$823,12,0),"")</f>
        <v/>
      </c>
      <c r="F32" s="190" t="str">
        <f t="shared" si="7"/>
        <v/>
      </c>
      <c r="G32" s="191" t="str">
        <f t="shared" si="8"/>
        <v/>
      </c>
      <c r="H32" s="195"/>
      <c r="I32" s="195"/>
      <c r="J32" s="193"/>
    </row>
    <row r="33" spans="1:13" ht="14.25" hidden="1" thickBot="1" x14ac:dyDescent="0.3">
      <c r="A33" s="188"/>
      <c r="B33" s="194"/>
      <c r="C33" s="189"/>
      <c r="D33" s="190"/>
      <c r="E33" s="190"/>
      <c r="F33" s="190"/>
      <c r="G33" s="191"/>
      <c r="H33" s="195"/>
      <c r="I33" s="195"/>
      <c r="J33" s="193"/>
    </row>
    <row r="34" spans="1:13" ht="26.25" thickBot="1" x14ac:dyDescent="0.25">
      <c r="A34" s="183" t="s">
        <v>99</v>
      </c>
      <c r="B34" s="184" t="s">
        <v>107</v>
      </c>
      <c r="C34" s="184" t="s">
        <v>99</v>
      </c>
      <c r="D34" s="185" t="s">
        <v>101</v>
      </c>
      <c r="E34" s="185" t="s">
        <v>102</v>
      </c>
      <c r="F34" s="185" t="s">
        <v>103</v>
      </c>
      <c r="G34" s="185" t="s">
        <v>104</v>
      </c>
      <c r="H34" s="186" t="s">
        <v>105</v>
      </c>
      <c r="I34" s="195"/>
      <c r="J34" s="193"/>
    </row>
    <row r="35" spans="1:13" ht="13.5" x14ac:dyDescent="0.25">
      <c r="A35" s="188">
        <f>+A17</f>
        <v>8400</v>
      </c>
      <c r="B35" s="194" t="s">
        <v>76</v>
      </c>
      <c r="C35" s="189">
        <f>+A35</f>
        <v>8400</v>
      </c>
      <c r="D35" s="190" t="s">
        <v>144</v>
      </c>
      <c r="E35" s="190">
        <v>0</v>
      </c>
      <c r="F35" s="190">
        <f>IFERROR(E35*C35,"")</f>
        <v>0</v>
      </c>
      <c r="G35" s="191">
        <f t="shared" ref="G35:G41" si="9">IFERROR(F35/$F$66,"")</f>
        <v>0</v>
      </c>
      <c r="H35" s="195" t="s">
        <v>75</v>
      </c>
      <c r="I35" s="195"/>
      <c r="J35" s="193"/>
    </row>
    <row r="36" spans="1:13" ht="13.5" x14ac:dyDescent="0.25">
      <c r="A36" s="188">
        <f t="shared" ref="A36:A41" si="10">+A18</f>
        <v>1120</v>
      </c>
      <c r="B36" s="194" t="s">
        <v>78</v>
      </c>
      <c r="C36" s="189">
        <f t="shared" ref="C36:C41" si="11">+A36</f>
        <v>1120</v>
      </c>
      <c r="D36" s="190" t="s">
        <v>144</v>
      </c>
      <c r="E36" s="190">
        <v>0.02</v>
      </c>
      <c r="F36" s="190">
        <f t="shared" ref="F36:F41" si="12">IFERROR(E36*C36,"")</f>
        <v>22.400000000000002</v>
      </c>
      <c r="G36" s="191">
        <f t="shared" si="9"/>
        <v>1.2801679580360943E-3</v>
      </c>
      <c r="H36" s="195" t="s">
        <v>77</v>
      </c>
      <c r="I36" s="195"/>
      <c r="J36" s="193"/>
    </row>
    <row r="37" spans="1:13" ht="13.5" hidden="1" x14ac:dyDescent="0.25">
      <c r="A37" s="188">
        <f t="shared" si="10"/>
        <v>0</v>
      </c>
      <c r="B37" s="194" t="str">
        <f>IFERROR(VLOOKUP(H37,[1]SEMIELABORADOS!$A$2:$M$6000,2,0),"")</f>
        <v/>
      </c>
      <c r="C37" s="189">
        <f t="shared" si="11"/>
        <v>0</v>
      </c>
      <c r="D37" s="190" t="str">
        <f>IFERROR(VLOOKUP(H37,[1]SEMIELABORADOS!$A$2:$M$6000,6,0),"")</f>
        <v/>
      </c>
      <c r="E37" s="190" t="str">
        <f>IFERROR(VLOOKUP(H37,[1]SEMIELABORADOS!$A$2:$M$65536,10,0),"")</f>
        <v/>
      </c>
      <c r="F37" s="190" t="str">
        <f t="shared" si="12"/>
        <v/>
      </c>
      <c r="G37" s="191" t="str">
        <f t="shared" si="9"/>
        <v/>
      </c>
      <c r="H37" s="195"/>
      <c r="I37" s="195"/>
      <c r="J37" s="193"/>
    </row>
    <row r="38" spans="1:13" ht="13.5" hidden="1" x14ac:dyDescent="0.25">
      <c r="A38" s="188">
        <f t="shared" si="10"/>
        <v>0</v>
      </c>
      <c r="B38" s="194" t="str">
        <f>IFERROR(VLOOKUP(H38,[1]SEMIELABORADOS!$A$2:$M$6000,2,0),"")</f>
        <v/>
      </c>
      <c r="C38" s="189">
        <f>+A38</f>
        <v>0</v>
      </c>
      <c r="D38" s="190" t="str">
        <f>IFERROR(VLOOKUP(H38,[1]SEMIELABORADOS!$A$2:$M$6000,6,0),"")</f>
        <v/>
      </c>
      <c r="E38" s="190" t="str">
        <f>IFERROR(VLOOKUP(H38,[1]SEMIELABORADOS!$A$2:$M$65536,10,0),"")</f>
        <v/>
      </c>
      <c r="F38" s="190" t="str">
        <f>IFERROR(E38*C38,"")</f>
        <v/>
      </c>
      <c r="G38" s="191" t="str">
        <f t="shared" si="9"/>
        <v/>
      </c>
      <c r="H38" s="195"/>
      <c r="I38" s="195"/>
      <c r="J38" s="193"/>
    </row>
    <row r="39" spans="1:13" ht="13.5" hidden="1" x14ac:dyDescent="0.25">
      <c r="A39" s="188">
        <f t="shared" si="10"/>
        <v>0</v>
      </c>
      <c r="B39" s="194" t="str">
        <f>IFERROR(VLOOKUP(H39,[1]SEMIELABORADOS!$A$2:$M$6000,2,0),"")</f>
        <v/>
      </c>
      <c r="C39" s="189">
        <f>+A39</f>
        <v>0</v>
      </c>
      <c r="D39" s="190" t="str">
        <f>IFERROR(VLOOKUP(H39,[1]SEMIELABORADOS!$A$2:$M$6000,6,0),"")</f>
        <v/>
      </c>
      <c r="E39" s="190" t="str">
        <f>IFERROR(VLOOKUP(H39,[1]SEMIELABORADOS!$A$2:$M$65536,10,0),"")</f>
        <v/>
      </c>
      <c r="F39" s="190" t="str">
        <f>IFERROR(E39*C39,"")</f>
        <v/>
      </c>
      <c r="G39" s="191" t="str">
        <f t="shared" si="9"/>
        <v/>
      </c>
      <c r="H39" s="195"/>
      <c r="I39" s="195"/>
      <c r="J39" s="193"/>
    </row>
    <row r="40" spans="1:13" ht="13.5" hidden="1" x14ac:dyDescent="0.25">
      <c r="A40" s="188">
        <f t="shared" si="10"/>
        <v>0</v>
      </c>
      <c r="B40" s="194" t="str">
        <f>IFERROR(VLOOKUP(H40,[1]SEMIELABORADOS!$A$2:$M$6000,2,0),"")</f>
        <v/>
      </c>
      <c r="C40" s="189">
        <f t="shared" si="11"/>
        <v>0</v>
      </c>
      <c r="D40" s="190" t="str">
        <f>IFERROR(VLOOKUP(H40,[1]SEMIELABORADOS!$A$2:$M$6000,6,0),"")</f>
        <v/>
      </c>
      <c r="E40" s="190" t="str">
        <f>IFERROR(VLOOKUP(H40,[1]SEMIELABORADOS!$A$2:$M$65536,10,0),"")</f>
        <v/>
      </c>
      <c r="F40" s="190" t="str">
        <f t="shared" si="12"/>
        <v/>
      </c>
      <c r="G40" s="191" t="str">
        <f t="shared" si="9"/>
        <v/>
      </c>
      <c r="H40" s="195"/>
      <c r="I40" s="195"/>
      <c r="J40" s="193"/>
    </row>
    <row r="41" spans="1:13" ht="13.5" hidden="1" x14ac:dyDescent="0.25">
      <c r="A41" s="188">
        <f t="shared" si="10"/>
        <v>0</v>
      </c>
      <c r="B41" s="194" t="str">
        <f>IFERROR(VLOOKUP(H41,[1]SEMIELABORADOS!$A$2:$M$6000,2,0),"")</f>
        <v/>
      </c>
      <c r="C41" s="189">
        <f t="shared" si="11"/>
        <v>0</v>
      </c>
      <c r="D41" s="190" t="str">
        <f>IFERROR(VLOOKUP(H41,[1]SEMIELABORADOS!$A$2:$M$6000,6,0),"")</f>
        <v/>
      </c>
      <c r="E41" s="190" t="str">
        <f>IFERROR(VLOOKUP(H41,[1]SEMIELABORADOS!$A$2:$M$65536,10,0),"")</f>
        <v/>
      </c>
      <c r="F41" s="190" t="str">
        <f t="shared" si="12"/>
        <v/>
      </c>
      <c r="G41" s="191" t="str">
        <f t="shared" si="9"/>
        <v/>
      </c>
      <c r="H41" s="195"/>
      <c r="I41" s="195"/>
      <c r="J41" s="193"/>
    </row>
    <row r="42" spans="1:13" ht="14.25" thickBot="1" x14ac:dyDescent="0.3">
      <c r="A42" s="188"/>
      <c r="B42" s="194"/>
      <c r="C42" s="189"/>
      <c r="D42" s="190"/>
      <c r="E42" s="190"/>
      <c r="F42" s="190"/>
      <c r="G42" s="191"/>
      <c r="H42" s="195"/>
      <c r="I42" s="195"/>
      <c r="J42" s="193"/>
    </row>
    <row r="43" spans="1:13" ht="26.25" thickBot="1" x14ac:dyDescent="0.3">
      <c r="A43" s="183" t="s">
        <v>99</v>
      </c>
      <c r="B43" s="184" t="s">
        <v>108</v>
      </c>
      <c r="C43" s="184" t="s">
        <v>99</v>
      </c>
      <c r="D43" s="185" t="s">
        <v>101</v>
      </c>
      <c r="E43" s="185" t="s">
        <v>102</v>
      </c>
      <c r="F43" s="185" t="s">
        <v>103</v>
      </c>
      <c r="G43" s="185" t="s">
        <v>104</v>
      </c>
      <c r="H43" s="186" t="s">
        <v>105</v>
      </c>
      <c r="I43" s="187"/>
      <c r="J43" s="193"/>
    </row>
    <row r="44" spans="1:13" ht="13.5" x14ac:dyDescent="0.25">
      <c r="A44" s="188">
        <f>+A35</f>
        <v>8400</v>
      </c>
      <c r="B44" s="194" t="s">
        <v>76</v>
      </c>
      <c r="C44" s="189">
        <f>+A44</f>
        <v>8400</v>
      </c>
      <c r="D44" s="190" t="s">
        <v>144</v>
      </c>
      <c r="E44" s="190">
        <v>0.04</v>
      </c>
      <c r="F44" s="190">
        <f>IFERROR(E44*C44,"")</f>
        <v>336</v>
      </c>
      <c r="G44" s="191">
        <f>IFERROR(F44/$F$66,"")</f>
        <v>1.9202519370541415E-2</v>
      </c>
      <c r="H44" s="195" t="s">
        <v>75</v>
      </c>
      <c r="I44" s="187"/>
      <c r="J44" s="193"/>
    </row>
    <row r="45" spans="1:13" ht="13.5" x14ac:dyDescent="0.25">
      <c r="A45" s="188">
        <f t="shared" ref="A45:A50" si="13">+A36</f>
        <v>1120</v>
      </c>
      <c r="B45" s="194" t="s">
        <v>78</v>
      </c>
      <c r="C45" s="189">
        <f t="shared" ref="C45:C50" si="14">+A45</f>
        <v>1120</v>
      </c>
      <c r="D45" s="190" t="s">
        <v>144</v>
      </c>
      <c r="E45" s="190">
        <v>0.47</v>
      </c>
      <c r="F45" s="190">
        <f t="shared" ref="F45:F50" si="15">IFERROR(E45*C45,"")</f>
        <v>526.4</v>
      </c>
      <c r="G45" s="191">
        <f t="shared" ref="G45:G50" si="16">IFERROR(F45/$F$66,"")</f>
        <v>3.0083947013848214E-2</v>
      </c>
      <c r="H45" s="195" t="s">
        <v>77</v>
      </c>
      <c r="I45" s="187"/>
      <c r="J45" s="193"/>
      <c r="M45" s="198"/>
    </row>
    <row r="46" spans="1:13" ht="13.5" hidden="1" x14ac:dyDescent="0.25">
      <c r="A46" s="188">
        <f t="shared" si="13"/>
        <v>0</v>
      </c>
      <c r="B46" s="194" t="str">
        <f>IFERROR(VLOOKUP(H46,[1]SEMIELABORADOS!$A$2:$M$6000,2,0),"")</f>
        <v/>
      </c>
      <c r="C46" s="189">
        <f t="shared" si="14"/>
        <v>0</v>
      </c>
      <c r="D46" s="190" t="str">
        <f>IFERROR(VLOOKUP(H46,[1]SEMIELABORADOS!$A$2:$M$6000,6,0),"")</f>
        <v/>
      </c>
      <c r="E46" s="190" t="str">
        <f>IFERROR(VLOOKUP(H46,[1]SEMIELABORADOS!$A$2:$M$65536,12,0),"")</f>
        <v/>
      </c>
      <c r="F46" s="190" t="str">
        <f t="shared" si="15"/>
        <v/>
      </c>
      <c r="G46" s="191" t="str">
        <f t="shared" si="16"/>
        <v/>
      </c>
      <c r="H46" s="195"/>
      <c r="I46" s="187"/>
      <c r="J46" s="193"/>
    </row>
    <row r="47" spans="1:13" ht="13.5" hidden="1" x14ac:dyDescent="0.25">
      <c r="A47" s="188">
        <f t="shared" si="13"/>
        <v>0</v>
      </c>
      <c r="B47" s="194" t="str">
        <f>IFERROR(VLOOKUP(H47,[1]SEMIELABORADOS!$A$2:$M$6000,2,0),"")</f>
        <v/>
      </c>
      <c r="C47" s="189">
        <f t="shared" si="14"/>
        <v>0</v>
      </c>
      <c r="D47" s="190" t="str">
        <f>IFERROR(VLOOKUP(H47,[1]SEMIELABORADOS!$A$2:$M$6000,6,0),"")</f>
        <v/>
      </c>
      <c r="E47" s="190" t="str">
        <f>IFERROR(VLOOKUP(H47,[1]SEMIELABORADOS!$A$2:$M$65536,12,0),"")</f>
        <v/>
      </c>
      <c r="F47" s="190" t="str">
        <f t="shared" si="15"/>
        <v/>
      </c>
      <c r="G47" s="191" t="str">
        <f t="shared" si="16"/>
        <v/>
      </c>
      <c r="H47" s="195"/>
      <c r="I47" s="187"/>
      <c r="J47" s="193"/>
    </row>
    <row r="48" spans="1:13" ht="13.5" hidden="1" x14ac:dyDescent="0.25">
      <c r="A48" s="188">
        <f t="shared" si="13"/>
        <v>0</v>
      </c>
      <c r="B48" s="194" t="str">
        <f>IFERROR(VLOOKUP(H48,[1]SEMIELABORADOS!$A$2:$M$6000,2,0),"")</f>
        <v/>
      </c>
      <c r="C48" s="189">
        <f t="shared" si="14"/>
        <v>0</v>
      </c>
      <c r="D48" s="190" t="str">
        <f>IFERROR(VLOOKUP(H48,[1]SEMIELABORADOS!$A$2:$M$6000,6,0),"")</f>
        <v/>
      </c>
      <c r="E48" s="190" t="str">
        <f>IFERROR(VLOOKUP(H48,[1]SEMIELABORADOS!$A$2:$M$65536,12,0),"")</f>
        <v/>
      </c>
      <c r="F48" s="190" t="str">
        <f t="shared" si="15"/>
        <v/>
      </c>
      <c r="G48" s="191" t="str">
        <f t="shared" si="16"/>
        <v/>
      </c>
      <c r="H48" s="195"/>
      <c r="I48" s="187"/>
      <c r="J48" s="193"/>
    </row>
    <row r="49" spans="1:17" ht="13.5" hidden="1" x14ac:dyDescent="0.25">
      <c r="A49" s="188">
        <f t="shared" si="13"/>
        <v>0</v>
      </c>
      <c r="B49" s="194" t="str">
        <f>IFERROR(VLOOKUP(H49,[1]SEMIELABORADOS!$A$2:$M$6000,2,0),"")</f>
        <v/>
      </c>
      <c r="C49" s="189">
        <f t="shared" si="14"/>
        <v>0</v>
      </c>
      <c r="D49" s="190" t="str">
        <f>IFERROR(VLOOKUP(H49,[1]SEMIELABORADOS!$A$2:$M$6000,6,0),"")</f>
        <v/>
      </c>
      <c r="E49" s="190" t="str">
        <f>IFERROR(VLOOKUP(H49,[1]SEMIELABORADOS!$A$2:$M$65536,12,0),"")</f>
        <v/>
      </c>
      <c r="F49" s="190" t="str">
        <f t="shared" si="15"/>
        <v/>
      </c>
      <c r="G49" s="191" t="str">
        <f t="shared" si="16"/>
        <v/>
      </c>
      <c r="H49" s="195"/>
      <c r="I49" s="187"/>
      <c r="J49" s="193"/>
    </row>
    <row r="50" spans="1:17" ht="13.5" hidden="1" x14ac:dyDescent="0.25">
      <c r="A50" s="188">
        <f t="shared" si="13"/>
        <v>0</v>
      </c>
      <c r="B50" s="194" t="str">
        <f>IFERROR(VLOOKUP(H50,[1]SEMIELABORADOS!$A$2:$M$6000,2,0),"")</f>
        <v/>
      </c>
      <c r="C50" s="189">
        <f t="shared" si="14"/>
        <v>0</v>
      </c>
      <c r="D50" s="190" t="str">
        <f>IFERROR(VLOOKUP(H50,[1]SEMIELABORADOS!$A$2:$M$6000,6,0),"")</f>
        <v/>
      </c>
      <c r="E50" s="190" t="str">
        <f>IFERROR(VLOOKUP(H50,[1]SEMIELABORADOS!$A$2:$M$65536,12,0),"")</f>
        <v/>
      </c>
      <c r="F50" s="190" t="str">
        <f t="shared" si="15"/>
        <v/>
      </c>
      <c r="G50" s="191" t="str">
        <f t="shared" si="16"/>
        <v/>
      </c>
      <c r="H50" s="194"/>
      <c r="I50" s="187"/>
      <c r="J50" s="193"/>
    </row>
    <row r="51" spans="1:17" ht="13.5" x14ac:dyDescent="0.25">
      <c r="A51" s="188">
        <v>1</v>
      </c>
      <c r="B51" s="194" t="s">
        <v>109</v>
      </c>
      <c r="C51" s="189">
        <f>+A51</f>
        <v>1</v>
      </c>
      <c r="D51" s="189" t="s">
        <v>110</v>
      </c>
      <c r="E51" s="190">
        <f>+F65</f>
        <v>385</v>
      </c>
      <c r="F51" s="190">
        <f>IFERROR(C51*E51,"")</f>
        <v>385</v>
      </c>
      <c r="G51" s="191">
        <f>IFERROR(F51/$F$66,"")</f>
        <v>2.200288677874537E-2</v>
      </c>
      <c r="H51" s="199"/>
      <c r="I51" s="199"/>
      <c r="J51" s="193"/>
    </row>
    <row r="52" spans="1:17" ht="14.25" thickBot="1" x14ac:dyDescent="0.3">
      <c r="A52" s="188"/>
      <c r="B52" s="194"/>
      <c r="C52" s="189"/>
      <c r="D52" s="189"/>
      <c r="E52" s="190"/>
      <c r="F52" s="190"/>
      <c r="G52" s="191"/>
      <c r="H52" s="199"/>
      <c r="I52" s="199"/>
      <c r="J52" s="193"/>
    </row>
    <row r="53" spans="1:17" ht="13.5" thickBot="1" x14ac:dyDescent="0.3">
      <c r="A53" s="200"/>
      <c r="B53" s="736" t="s">
        <v>111</v>
      </c>
      <c r="C53" s="736"/>
      <c r="D53" s="736"/>
      <c r="E53" s="736"/>
      <c r="F53" s="202">
        <f>SUM(F8:F14,F17:F24)</f>
        <v>16755.2</v>
      </c>
      <c r="G53" s="191">
        <f>+F53/$F$66</f>
        <v>0.95756563261099847</v>
      </c>
      <c r="H53" s="203">
        <f>+F53/$D$60</f>
        <v>1172.864</v>
      </c>
      <c r="I53" s="203"/>
      <c r="J53" s="204"/>
      <c r="K53" s="205"/>
      <c r="L53" s="205"/>
      <c r="M53" s="205"/>
      <c r="N53" s="205"/>
      <c r="O53" s="205"/>
      <c r="P53" s="205"/>
      <c r="Q53" s="206"/>
    </row>
    <row r="54" spans="1:17" x14ac:dyDescent="0.2">
      <c r="A54" s="200"/>
      <c r="B54" s="736" t="s">
        <v>112</v>
      </c>
      <c r="C54" s="736"/>
      <c r="D54" s="736"/>
      <c r="E54" s="736"/>
      <c r="F54" s="202">
        <f>SUM(F27:F32,F35:F41)</f>
        <v>22.400000000000002</v>
      </c>
      <c r="G54" s="191">
        <f>+F54/$F$66</f>
        <v>1.2801679580360943E-3</v>
      </c>
      <c r="H54" s="203">
        <f>+F54/$D$60</f>
        <v>1.5680000000000001</v>
      </c>
      <c r="I54" s="203"/>
      <c r="J54" s="207"/>
      <c r="K54" s="737" t="s">
        <v>113</v>
      </c>
      <c r="L54" s="738"/>
      <c r="M54" s="738"/>
      <c r="N54" s="738"/>
      <c r="O54" s="208">
        <f>+F55</f>
        <v>16777.600000000002</v>
      </c>
      <c r="P54" s="208"/>
      <c r="Q54" s="209"/>
    </row>
    <row r="55" spans="1:17" x14ac:dyDescent="0.2">
      <c r="A55" s="200"/>
      <c r="B55" s="736" t="s">
        <v>114</v>
      </c>
      <c r="C55" s="736"/>
      <c r="D55" s="736"/>
      <c r="E55" s="736"/>
      <c r="F55" s="202">
        <f>+F53+F54</f>
        <v>16777.600000000002</v>
      </c>
      <c r="G55" s="191">
        <f>+F55/$F$66</f>
        <v>0.95884580056903468</v>
      </c>
      <c r="H55" s="203">
        <f>+F55/$D$60</f>
        <v>1174.432</v>
      </c>
      <c r="I55" s="203"/>
      <c r="J55" s="210"/>
      <c r="K55" s="211"/>
      <c r="M55" s="212" t="s">
        <v>115</v>
      </c>
      <c r="N55" s="213"/>
      <c r="O55" s="208">
        <f>+H56</f>
        <v>87.317999999999998</v>
      </c>
      <c r="P55" s="208"/>
      <c r="Q55" s="209"/>
    </row>
    <row r="56" spans="1:17" ht="13.5" thickBot="1" x14ac:dyDescent="0.25">
      <c r="A56" s="200"/>
      <c r="B56" s="201"/>
      <c r="C56" s="736" t="s">
        <v>116</v>
      </c>
      <c r="D56" s="736"/>
      <c r="E56" s="736"/>
      <c r="F56" s="202">
        <f>SUM(F44:F51)</f>
        <v>1247.4000000000001</v>
      </c>
      <c r="G56" s="191">
        <f>+F56/$F$66</f>
        <v>7.1289353163135005E-2</v>
      </c>
      <c r="H56" s="203">
        <f>+F56/$D$60</f>
        <v>87.317999999999998</v>
      </c>
      <c r="I56" s="203"/>
      <c r="J56" s="210"/>
      <c r="K56" s="211"/>
      <c r="L56" s="211"/>
      <c r="M56" s="211" t="s">
        <v>117</v>
      </c>
      <c r="N56" s="214"/>
      <c r="O56" s="208">
        <f>O54*N56</f>
        <v>0</v>
      </c>
      <c r="P56" s="208"/>
      <c r="Q56" s="209"/>
    </row>
    <row r="57" spans="1:17" ht="13.5" thickBot="1" x14ac:dyDescent="0.25">
      <c r="A57" s="200"/>
      <c r="B57" s="215"/>
      <c r="C57" s="215"/>
      <c r="D57" s="215"/>
      <c r="E57" s="215"/>
      <c r="F57" s="216"/>
      <c r="G57" s="191"/>
      <c r="H57" s="217"/>
      <c r="I57" s="203"/>
      <c r="J57" s="210"/>
      <c r="K57" s="218"/>
      <c r="M57" s="219" t="s">
        <v>118</v>
      </c>
      <c r="N57" s="220"/>
      <c r="O57" s="221">
        <f>SUM(O54:O56)</f>
        <v>16864.918000000001</v>
      </c>
      <c r="P57" s="222"/>
      <c r="Q57" s="209"/>
    </row>
    <row r="58" spans="1:17" x14ac:dyDescent="0.2">
      <c r="B58" s="739" t="s">
        <v>119</v>
      </c>
      <c r="C58" s="739"/>
      <c r="D58" s="223">
        <v>10000</v>
      </c>
      <c r="E58" s="224"/>
      <c r="G58" s="191"/>
      <c r="H58" s="217">
        <f>+H56/77</f>
        <v>1.1339999999999999</v>
      </c>
      <c r="I58" s="225"/>
      <c r="J58" s="210"/>
      <c r="K58" s="218"/>
      <c r="L58" s="211"/>
      <c r="M58" s="211" t="s">
        <v>120</v>
      </c>
      <c r="N58" s="226"/>
      <c r="O58" s="208">
        <f>+H59</f>
        <v>94.121999999999986</v>
      </c>
      <c r="P58" s="208"/>
      <c r="Q58" s="209"/>
    </row>
    <row r="59" spans="1:17" x14ac:dyDescent="0.2">
      <c r="B59" s="739" t="s">
        <v>121</v>
      </c>
      <c r="C59" s="739"/>
      <c r="D59" s="227">
        <v>700</v>
      </c>
      <c r="E59" s="224"/>
      <c r="G59" s="191"/>
      <c r="H59" s="217">
        <f>+H58*83</f>
        <v>94.121999999999986</v>
      </c>
      <c r="I59" s="225"/>
      <c r="J59" s="210"/>
      <c r="K59" s="218"/>
      <c r="L59" s="211"/>
      <c r="M59" s="740" t="s">
        <v>118</v>
      </c>
      <c r="N59" s="740"/>
      <c r="O59" s="208">
        <f>SUM(O57:O58)</f>
        <v>16959.04</v>
      </c>
      <c r="P59" s="208"/>
      <c r="Q59" s="209"/>
    </row>
    <row r="60" spans="1:17" ht="13.5" thickBot="1" x14ac:dyDescent="0.25">
      <c r="B60" s="732" t="s">
        <v>122</v>
      </c>
      <c r="C60" s="732"/>
      <c r="D60" s="223">
        <f>+D58/D59</f>
        <v>14.285714285714286</v>
      </c>
      <c r="E60" s="224"/>
      <c r="F60" s="228"/>
      <c r="G60" s="191"/>
      <c r="H60" s="217"/>
      <c r="I60" s="225"/>
      <c r="J60" s="210"/>
      <c r="K60" s="218"/>
      <c r="L60" s="740"/>
      <c r="M60" s="740"/>
      <c r="N60" s="226"/>
      <c r="O60" s="208">
        <f>+O59*N60</f>
        <v>0</v>
      </c>
      <c r="P60" s="208"/>
      <c r="Q60" s="209"/>
    </row>
    <row r="61" spans="1:17" ht="13.5" thickBot="1" x14ac:dyDescent="0.25">
      <c r="B61" s="732" t="s">
        <v>123</v>
      </c>
      <c r="C61" s="732"/>
      <c r="D61" s="229"/>
      <c r="E61" s="224"/>
      <c r="F61" s="228"/>
      <c r="G61" s="191"/>
      <c r="H61" s="217"/>
      <c r="I61" s="225"/>
      <c r="J61" s="210"/>
      <c r="K61" s="733" t="s">
        <v>124</v>
      </c>
      <c r="L61" s="734"/>
      <c r="M61" s="734"/>
      <c r="N61" s="735"/>
      <c r="O61" s="221">
        <f>SUM(O59:O60)</f>
        <v>16959.04</v>
      </c>
      <c r="P61" s="230" t="s">
        <v>125</v>
      </c>
      <c r="Q61" s="209"/>
    </row>
    <row r="62" spans="1:17" ht="13.5" thickBot="1" x14ac:dyDescent="0.25">
      <c r="C62" s="200" t="s">
        <v>126</v>
      </c>
      <c r="D62" s="231"/>
      <c r="E62" s="174" t="s">
        <v>127</v>
      </c>
      <c r="F62" s="232" t="s">
        <v>128</v>
      </c>
      <c r="G62" s="191"/>
      <c r="H62" s="217"/>
      <c r="I62" s="225"/>
      <c r="J62" s="233"/>
      <c r="K62" s="234"/>
      <c r="L62" s="746" t="s">
        <v>129</v>
      </c>
      <c r="M62" s="746"/>
      <c r="N62" s="746"/>
      <c r="O62" s="235">
        <f>+O61/D60</f>
        <v>1187.1328000000001</v>
      </c>
      <c r="P62" s="236">
        <f>+O62/D59</f>
        <v>1.6959040000000001</v>
      </c>
      <c r="Q62" s="237"/>
    </row>
    <row r="63" spans="1:17" ht="13.5" thickBot="1" x14ac:dyDescent="0.25">
      <c r="B63" s="747" t="s">
        <v>114</v>
      </c>
      <c r="C63" s="747"/>
      <c r="D63" s="747"/>
      <c r="E63" s="238">
        <f>+F63/F63</f>
        <v>1</v>
      </c>
      <c r="F63" s="239">
        <f>SUM(F55)</f>
        <v>16777.600000000002</v>
      </c>
      <c r="G63" s="191">
        <f>+F63/$F$66</f>
        <v>0.95884580056903468</v>
      </c>
      <c r="H63" s="217"/>
      <c r="I63" s="225"/>
      <c r="K63" s="748"/>
      <c r="L63" s="749"/>
      <c r="M63" s="749"/>
      <c r="N63" s="749"/>
      <c r="O63" s="240"/>
      <c r="P63" s="241"/>
    </row>
    <row r="64" spans="1:17" ht="13.5" thickBot="1" x14ac:dyDescent="0.3">
      <c r="B64" s="750" t="s">
        <v>130</v>
      </c>
      <c r="C64" s="750"/>
      <c r="D64" s="750"/>
      <c r="E64" s="242">
        <v>0.02</v>
      </c>
      <c r="F64" s="239">
        <f>+F53*E64</f>
        <v>335.10400000000004</v>
      </c>
      <c r="G64" s="191">
        <f>+F64/$F$66</f>
        <v>1.9151312652219973E-2</v>
      </c>
      <c r="H64" s="203"/>
      <c r="I64" s="225"/>
      <c r="J64" s="243"/>
      <c r="O64" s="244"/>
      <c r="P64" s="201"/>
    </row>
    <row r="65" spans="2:13" ht="13.5" thickBot="1" x14ac:dyDescent="0.3">
      <c r="B65" s="751" t="s">
        <v>131</v>
      </c>
      <c r="C65" s="752"/>
      <c r="D65" s="245">
        <v>5</v>
      </c>
      <c r="E65" s="246">
        <v>77</v>
      </c>
      <c r="F65" s="239">
        <f>+E65*D65</f>
        <v>385</v>
      </c>
      <c r="G65" s="191">
        <f>+F65/$F$66</f>
        <v>2.200288677874537E-2</v>
      </c>
      <c r="H65" s="203"/>
      <c r="I65" s="203"/>
      <c r="J65" s="193"/>
    </row>
    <row r="66" spans="2:13" ht="13.5" thickBot="1" x14ac:dyDescent="0.3">
      <c r="B66" s="753" t="s">
        <v>132</v>
      </c>
      <c r="C66" s="754"/>
      <c r="D66" s="754"/>
      <c r="E66" s="755"/>
      <c r="F66" s="216">
        <f>SUM(F63:F65)</f>
        <v>17497.704000000002</v>
      </c>
      <c r="G66" s="191">
        <f>+F66/$F$66</f>
        <v>1</v>
      </c>
      <c r="H66" s="756"/>
      <c r="I66" s="203"/>
      <c r="J66" s="193"/>
      <c r="M66" s="176" t="s">
        <v>133</v>
      </c>
    </row>
    <row r="67" spans="2:13" x14ac:dyDescent="0.25">
      <c r="C67" s="198"/>
      <c r="D67" s="198"/>
      <c r="E67" s="248"/>
      <c r="F67" s="239"/>
      <c r="G67" s="191"/>
      <c r="H67" s="756"/>
      <c r="I67" s="247"/>
      <c r="J67" s="176"/>
      <c r="M67" s="176" t="s">
        <v>134</v>
      </c>
    </row>
    <row r="68" spans="2:13" ht="13.5" thickBot="1" x14ac:dyDescent="0.3">
      <c r="B68" s="741" t="s">
        <v>135</v>
      </c>
      <c r="C68" s="741"/>
      <c r="D68" s="741"/>
      <c r="E68" s="741"/>
      <c r="F68" s="741"/>
      <c r="G68" s="191"/>
      <c r="H68" s="250"/>
      <c r="I68" s="247"/>
      <c r="J68" s="176"/>
      <c r="M68" s="176" t="s">
        <v>136</v>
      </c>
    </row>
    <row r="69" spans="2:13" ht="13.5" thickBot="1" x14ac:dyDescent="0.3">
      <c r="B69" s="251" t="s">
        <v>137</v>
      </c>
      <c r="C69" s="252">
        <f>+F53</f>
        <v>16755.2</v>
      </c>
      <c r="D69" s="252">
        <f>+D58</f>
        <v>10000</v>
      </c>
      <c r="E69" s="253">
        <f>+C69/D69</f>
        <v>1.6755200000000001</v>
      </c>
      <c r="F69" s="191"/>
      <c r="G69" s="250"/>
      <c r="H69" s="193"/>
      <c r="I69" s="250"/>
      <c r="J69" s="176"/>
    </row>
    <row r="70" spans="2:13" x14ac:dyDescent="0.25">
      <c r="B70" s="254"/>
      <c r="C70" s="255"/>
      <c r="D70" s="256"/>
      <c r="E70" s="239"/>
      <c r="F70" s="191"/>
      <c r="G70" s="250"/>
      <c r="H70" s="193"/>
      <c r="I70" s="193"/>
      <c r="J70" s="176"/>
    </row>
    <row r="71" spans="2:13" x14ac:dyDescent="0.25">
      <c r="B71" s="251" t="s">
        <v>138</v>
      </c>
      <c r="C71" s="252">
        <f>SUM(F63:F64)</f>
        <v>17112.704000000002</v>
      </c>
      <c r="D71" s="252">
        <f>+D58</f>
        <v>10000</v>
      </c>
      <c r="E71" s="257">
        <f>+C71/D71</f>
        <v>1.7112704000000001</v>
      </c>
      <c r="F71" s="191"/>
      <c r="G71" s="250"/>
      <c r="H71" s="193"/>
      <c r="I71" s="193"/>
      <c r="J71" s="176"/>
    </row>
    <row r="72" spans="2:13" x14ac:dyDescent="0.25">
      <c r="B72" s="251"/>
      <c r="C72" s="252"/>
      <c r="D72" s="252"/>
      <c r="E72" s="257"/>
      <c r="F72" s="191"/>
      <c r="G72" s="250"/>
      <c r="H72" s="193"/>
      <c r="I72" s="193"/>
      <c r="J72" s="176"/>
    </row>
    <row r="73" spans="2:13" ht="13.5" thickBot="1" x14ac:dyDescent="0.3">
      <c r="B73" s="251" t="s">
        <v>139</v>
      </c>
      <c r="C73" s="252">
        <f>+F65</f>
        <v>385</v>
      </c>
      <c r="D73" s="252">
        <f>+D58</f>
        <v>10000</v>
      </c>
      <c r="E73" s="257">
        <f>+C73/D73</f>
        <v>3.85E-2</v>
      </c>
      <c r="F73" s="191"/>
      <c r="G73" s="250"/>
      <c r="H73" s="193"/>
      <c r="I73" s="193"/>
      <c r="J73" s="176"/>
    </row>
    <row r="74" spans="2:13" ht="13.5" thickBot="1" x14ac:dyDescent="0.3">
      <c r="B74" s="251" t="s">
        <v>140</v>
      </c>
      <c r="C74" s="252">
        <f>+F56</f>
        <v>1247.4000000000001</v>
      </c>
      <c r="D74" s="252">
        <f>+D73</f>
        <v>10000</v>
      </c>
      <c r="E74" s="253">
        <f>+C74/D74</f>
        <v>0.12474</v>
      </c>
      <c r="F74" s="191"/>
      <c r="G74" s="250"/>
      <c r="H74" s="193"/>
      <c r="I74" s="193"/>
      <c r="J74" s="176"/>
    </row>
    <row r="75" spans="2:13" ht="13.5" thickBot="1" x14ac:dyDescent="0.3">
      <c r="B75" s="215"/>
      <c r="C75" s="216"/>
      <c r="D75" s="216"/>
      <c r="E75" s="257"/>
      <c r="F75" s="191"/>
      <c r="G75" s="250"/>
      <c r="H75" s="193"/>
      <c r="I75" s="193"/>
      <c r="J75" s="176"/>
    </row>
    <row r="76" spans="2:13" ht="13.5" thickBot="1" x14ac:dyDescent="0.3">
      <c r="B76" s="251" t="s">
        <v>141</v>
      </c>
      <c r="C76" s="252">
        <f>+F54</f>
        <v>22.400000000000002</v>
      </c>
      <c r="D76" s="252">
        <f>+D74</f>
        <v>10000</v>
      </c>
      <c r="E76" s="253">
        <f>+C76/D76</f>
        <v>2.2400000000000002E-3</v>
      </c>
      <c r="F76" s="191"/>
      <c r="G76" s="250"/>
      <c r="H76" s="193"/>
      <c r="I76" s="193"/>
      <c r="J76" s="193"/>
    </row>
    <row r="77" spans="2:13" ht="13.5" thickBot="1" x14ac:dyDescent="0.3">
      <c r="B77" s="215"/>
      <c r="C77" s="216"/>
      <c r="D77" s="216"/>
      <c r="E77" s="257"/>
      <c r="F77" s="191"/>
      <c r="G77" s="250"/>
      <c r="H77" s="193"/>
      <c r="I77" s="193"/>
    </row>
    <row r="78" spans="2:13" ht="13.5" thickBot="1" x14ac:dyDescent="0.3">
      <c r="B78" s="742" t="s">
        <v>142</v>
      </c>
      <c r="C78" s="743"/>
      <c r="D78" s="744"/>
      <c r="E78" s="253">
        <f>+E69+E74</f>
        <v>1.8002600000000002</v>
      </c>
      <c r="G78" s="191"/>
      <c r="H78" s="250"/>
      <c r="I78" s="193"/>
      <c r="J78" s="257"/>
    </row>
    <row r="79" spans="2:13" x14ac:dyDescent="0.25">
      <c r="I79" s="250"/>
      <c r="J79" s="176"/>
    </row>
    <row r="80" spans="2:13" ht="13.5" thickBot="1" x14ac:dyDescent="0.3">
      <c r="B80" s="741" t="s">
        <v>143</v>
      </c>
      <c r="C80" s="741"/>
      <c r="D80" s="741"/>
      <c r="E80" s="741"/>
      <c r="F80" s="741"/>
      <c r="G80" s="191"/>
      <c r="H80" s="250"/>
      <c r="J80" s="176"/>
    </row>
    <row r="81" spans="1:10" ht="13.5" thickBot="1" x14ac:dyDescent="0.3">
      <c r="B81" s="251" t="s">
        <v>137</v>
      </c>
      <c r="C81" s="252">
        <f>+C69</f>
        <v>16755.2</v>
      </c>
      <c r="D81" s="252">
        <f>+D60</f>
        <v>14.285714285714286</v>
      </c>
      <c r="E81" s="253">
        <f>+C81/D81</f>
        <v>1172.864</v>
      </c>
      <c r="F81" s="191"/>
      <c r="G81" s="250"/>
      <c r="H81" s="193"/>
      <c r="I81" s="250"/>
      <c r="J81" s="176"/>
    </row>
    <row r="82" spans="1:10" x14ac:dyDescent="0.25">
      <c r="B82" s="254"/>
      <c r="C82" s="255"/>
      <c r="D82" s="256"/>
      <c r="E82" s="239"/>
      <c r="F82" s="191"/>
      <c r="G82" s="250"/>
      <c r="H82" s="193"/>
      <c r="I82" s="193"/>
      <c r="J82" s="176"/>
    </row>
    <row r="83" spans="1:10" x14ac:dyDescent="0.25">
      <c r="B83" s="251" t="s">
        <v>138</v>
      </c>
      <c r="C83" s="252">
        <f>+C71</f>
        <v>17112.704000000002</v>
      </c>
      <c r="D83" s="252">
        <f>+D60</f>
        <v>14.285714285714286</v>
      </c>
      <c r="E83" s="257">
        <f>+C83/D83</f>
        <v>1197.8892800000001</v>
      </c>
      <c r="F83" s="191"/>
      <c r="G83" s="250"/>
      <c r="H83" s="193"/>
      <c r="I83" s="193"/>
      <c r="J83" s="176"/>
    </row>
    <row r="84" spans="1:10" x14ac:dyDescent="0.25">
      <c r="B84" s="251"/>
      <c r="C84" s="252"/>
      <c r="D84" s="252"/>
      <c r="E84" s="257"/>
      <c r="F84" s="191"/>
      <c r="G84" s="250"/>
      <c r="H84" s="193"/>
      <c r="I84" s="193"/>
      <c r="J84" s="176"/>
    </row>
    <row r="85" spans="1:10" ht="13.5" thickBot="1" x14ac:dyDescent="0.3">
      <c r="B85" s="251" t="s">
        <v>140</v>
      </c>
      <c r="C85" s="252">
        <f>+C73</f>
        <v>385</v>
      </c>
      <c r="D85" s="252">
        <f>+D60</f>
        <v>14.285714285714286</v>
      </c>
      <c r="E85" s="257">
        <f>+C85/D85</f>
        <v>26.95</v>
      </c>
      <c r="F85" s="259"/>
      <c r="G85" s="249"/>
      <c r="H85" s="175"/>
      <c r="I85" s="193"/>
    </row>
    <row r="86" spans="1:10" ht="13.5" thickBot="1" x14ac:dyDescent="0.3">
      <c r="B86" s="251" t="s">
        <v>140</v>
      </c>
      <c r="C86" s="252">
        <f>+C74</f>
        <v>1247.4000000000001</v>
      </c>
      <c r="D86" s="252">
        <f>+D85</f>
        <v>14.285714285714286</v>
      </c>
      <c r="E86" s="253">
        <f>+C86/D86</f>
        <v>87.317999999999998</v>
      </c>
      <c r="F86" s="258"/>
      <c r="G86" s="249"/>
      <c r="H86" s="175"/>
      <c r="I86" s="175"/>
    </row>
    <row r="87" spans="1:10" x14ac:dyDescent="0.25">
      <c r="I87" s="175"/>
    </row>
    <row r="88" spans="1:10" x14ac:dyDescent="0.2">
      <c r="A88" s="745"/>
      <c r="B88" s="745"/>
      <c r="C88" s="260"/>
      <c r="D88" s="260"/>
      <c r="E88" s="261"/>
      <c r="G88" s="262"/>
    </row>
    <row r="89" spans="1:10" x14ac:dyDescent="0.2">
      <c r="A89" s="194"/>
      <c r="B89" s="263"/>
      <c r="C89" s="264"/>
      <c r="D89" s="264"/>
      <c r="E89" s="265"/>
      <c r="G89" s="262"/>
    </row>
    <row r="90" spans="1:10" x14ac:dyDescent="0.2">
      <c r="A90" s="194"/>
      <c r="B90" s="263"/>
      <c r="C90" s="266"/>
      <c r="D90" s="266"/>
      <c r="E90" s="194"/>
      <c r="G90" s="262"/>
    </row>
    <row r="91" spans="1:10" x14ac:dyDescent="0.2">
      <c r="A91" s="194"/>
      <c r="B91" s="263"/>
      <c r="C91" s="267"/>
      <c r="D91" s="267"/>
      <c r="E91" s="194"/>
      <c r="G91" s="262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46BC7-8FA7-418C-A61A-D6A5F17977E8}">
  <dimension ref="A1:Q91"/>
  <sheetViews>
    <sheetView topLeftCell="A2" workbookViewId="0">
      <selection activeCell="F10" sqref="F10"/>
    </sheetView>
  </sheetViews>
  <sheetFormatPr baseColWidth="10" defaultColWidth="8.42578125" defaultRowHeight="12.75" x14ac:dyDescent="0.25"/>
  <cols>
    <col min="1" max="1" width="10" style="176" bestFit="1" customWidth="1"/>
    <col min="2" max="2" width="44.28515625" style="176" bestFit="1" customWidth="1"/>
    <col min="3" max="3" width="10.42578125" style="176" bestFit="1" customWidth="1"/>
    <col min="4" max="4" width="10.42578125" style="176" customWidth="1"/>
    <col min="5" max="5" width="11" style="176" customWidth="1"/>
    <col min="6" max="6" width="9.5703125" style="176" bestFit="1" customWidth="1"/>
    <col min="7" max="7" width="10.85546875" style="258" customWidth="1"/>
    <col min="8" max="8" width="10.42578125" style="249" bestFit="1" customWidth="1"/>
    <col min="9" max="9" width="4.5703125" style="249" customWidth="1"/>
    <col min="10" max="10" width="1.85546875" style="175" customWidth="1"/>
    <col min="11" max="11" width="7" style="176" bestFit="1" customWidth="1"/>
    <col min="12" max="12" width="6.28515625" style="176" customWidth="1"/>
    <col min="13" max="13" width="20.42578125" style="176" customWidth="1"/>
    <col min="14" max="14" width="6.42578125" style="176" bestFit="1" customWidth="1"/>
    <col min="15" max="16" width="8.42578125" style="176"/>
    <col min="17" max="17" width="3.28515625" style="176" customWidth="1"/>
    <col min="18" max="16384" width="8.42578125" style="176"/>
  </cols>
  <sheetData>
    <row r="1" spans="1:10" ht="27.75" customHeight="1" x14ac:dyDescent="0.25">
      <c r="A1" s="171"/>
      <c r="B1" s="171"/>
      <c r="C1" s="171"/>
      <c r="D1" s="171"/>
      <c r="E1" s="172" t="s">
        <v>93</v>
      </c>
      <c r="F1" s="173" t="s">
        <v>94</v>
      </c>
      <c r="G1" s="173" t="s">
        <v>95</v>
      </c>
      <c r="H1" s="173" t="s">
        <v>96</v>
      </c>
      <c r="I1" s="174"/>
    </row>
    <row r="2" spans="1:10" ht="30.75" customHeight="1" x14ac:dyDescent="0.25">
      <c r="A2" s="171"/>
      <c r="B2" s="171"/>
      <c r="C2" s="171"/>
      <c r="D2" s="171"/>
      <c r="E2" s="177">
        <f>IFERROR(O62,"")</f>
        <v>21312</v>
      </c>
      <c r="F2" s="177">
        <f>IFERROR(H53,"")</f>
        <v>18112</v>
      </c>
      <c r="G2" s="177">
        <f>IFERROR(H54,"")</f>
        <v>0</v>
      </c>
      <c r="H2" s="177">
        <f>IFERROR(H56,"")</f>
        <v>1540</v>
      </c>
      <c r="I2" s="178"/>
    </row>
    <row r="3" spans="1:10" ht="15" customHeight="1" x14ac:dyDescent="0.25">
      <c r="A3" s="171"/>
      <c r="B3" s="171"/>
      <c r="C3" s="171"/>
      <c r="D3" s="171"/>
      <c r="E3" s="171"/>
      <c r="F3" s="179"/>
      <c r="G3" s="179"/>
      <c r="H3" s="179"/>
      <c r="I3" s="179"/>
    </row>
    <row r="4" spans="1:10" ht="24.75" customHeight="1" thickBot="1" x14ac:dyDescent="0.3">
      <c r="A4" s="727"/>
      <c r="B4" s="727"/>
      <c r="C4" s="727"/>
      <c r="D4" s="727"/>
      <c r="E4" s="727"/>
      <c r="F4" s="727"/>
      <c r="G4" s="727"/>
      <c r="H4" s="727"/>
      <c r="I4" s="180"/>
    </row>
    <row r="5" spans="1:10" ht="19.5" customHeight="1" thickBot="1" x14ac:dyDescent="0.3">
      <c r="A5" s="728" t="s">
        <v>97</v>
      </c>
      <c r="B5" s="729"/>
      <c r="C5" s="729"/>
      <c r="D5" s="729"/>
      <c r="E5" s="729"/>
      <c r="F5" s="729"/>
      <c r="G5" s="729"/>
      <c r="H5" s="730"/>
      <c r="I5" s="181"/>
    </row>
    <row r="6" spans="1:10" ht="19.5" thickBot="1" x14ac:dyDescent="0.3">
      <c r="A6" s="181"/>
      <c r="B6" s="181"/>
      <c r="C6" s="181"/>
      <c r="D6" s="181"/>
      <c r="E6" s="181"/>
      <c r="F6" s="731" t="s">
        <v>98</v>
      </c>
      <c r="G6" s="731"/>
      <c r="H6" s="182">
        <f ca="1">TODAY()</f>
        <v>46056</v>
      </c>
      <c r="I6" s="182"/>
    </row>
    <row r="7" spans="1:10" ht="26.25" thickBot="1" x14ac:dyDescent="0.3">
      <c r="A7" s="183" t="s">
        <v>99</v>
      </c>
      <c r="B7" s="184" t="s">
        <v>100</v>
      </c>
      <c r="C7" s="184" t="s">
        <v>99</v>
      </c>
      <c r="D7" s="185" t="s">
        <v>101</v>
      </c>
      <c r="E7" s="185" t="s">
        <v>102</v>
      </c>
      <c r="F7" s="185" t="s">
        <v>103</v>
      </c>
      <c r="G7" s="185" t="s">
        <v>104</v>
      </c>
      <c r="H7" s="186" t="s">
        <v>105</v>
      </c>
      <c r="I7" s="187"/>
    </row>
    <row r="8" spans="1:10" ht="13.5" x14ac:dyDescent="0.25">
      <c r="A8" s="188">
        <v>6400</v>
      </c>
      <c r="B8" s="176" t="s">
        <v>84</v>
      </c>
      <c r="C8" s="189">
        <f>+A8</f>
        <v>6400</v>
      </c>
      <c r="D8" s="190" t="s">
        <v>144</v>
      </c>
      <c r="E8" s="190">
        <v>2.5499999999999998</v>
      </c>
      <c r="F8" s="190">
        <f>IFERROR(C8*E8,"")</f>
        <v>16319.999999999998</v>
      </c>
      <c r="G8" s="191">
        <f t="shared" ref="G8:G14" si="0">IFERROR(F8/$F$66,"")</f>
        <v>0.81541942137198298</v>
      </c>
      <c r="H8" s="192" t="s">
        <v>59</v>
      </c>
      <c r="I8" s="192"/>
      <c r="J8" s="193"/>
    </row>
    <row r="9" spans="1:10" ht="13.5" x14ac:dyDescent="0.25">
      <c r="A9" s="188">
        <v>0</v>
      </c>
      <c r="B9" s="176" t="s">
        <v>86</v>
      </c>
      <c r="C9" s="189">
        <f t="shared" ref="C9:C14" si="1">+A9</f>
        <v>0</v>
      </c>
      <c r="D9" s="190" t="s">
        <v>144</v>
      </c>
      <c r="E9" s="190">
        <v>7.55</v>
      </c>
      <c r="F9" s="190">
        <f t="shared" ref="F9:F14" si="2">IFERROR(C9*E9,"")</f>
        <v>0</v>
      </c>
      <c r="G9" s="191">
        <f t="shared" si="0"/>
        <v>0</v>
      </c>
      <c r="H9" s="192" t="s">
        <v>85</v>
      </c>
      <c r="I9" s="192"/>
      <c r="J9" s="193"/>
    </row>
    <row r="10" spans="1:10" ht="13.5" x14ac:dyDescent="0.25">
      <c r="A10" s="188">
        <v>3200</v>
      </c>
      <c r="B10" s="176" t="s">
        <v>88</v>
      </c>
      <c r="C10" s="189">
        <f t="shared" si="1"/>
        <v>3200</v>
      </c>
      <c r="D10" s="190" t="s">
        <v>144</v>
      </c>
      <c r="E10" s="190">
        <v>0.56000000000000005</v>
      </c>
      <c r="F10" s="190">
        <f t="shared" si="2"/>
        <v>1792.0000000000002</v>
      </c>
      <c r="G10" s="191">
        <f t="shared" si="0"/>
        <v>8.9536250189864816E-2</v>
      </c>
      <c r="H10" s="192" t="s">
        <v>87</v>
      </c>
      <c r="I10" s="192"/>
      <c r="J10" s="193"/>
    </row>
    <row r="11" spans="1:10" ht="13.5" hidden="1" x14ac:dyDescent="0.25">
      <c r="A11" s="188"/>
      <c r="B11" s="176" t="str">
        <f>IFERROR(VLOOKUP(H11,'[1]Consolidado MP Planta'!$A$2:$M$823,3,0),"")</f>
        <v/>
      </c>
      <c r="C11" s="189">
        <f t="shared" si="1"/>
        <v>0</v>
      </c>
      <c r="D11" s="190"/>
      <c r="E11" s="190" t="str">
        <f>IFERROR(VLOOKUP(H11,'[1]Consolidado MP Planta'!$A$2:$M$823,12,0),"")</f>
        <v/>
      </c>
      <c r="F11" s="190" t="str">
        <f t="shared" si="2"/>
        <v/>
      </c>
      <c r="G11" s="191" t="str">
        <f t="shared" si="0"/>
        <v/>
      </c>
      <c r="H11" s="192"/>
      <c r="I11" s="192"/>
      <c r="J11" s="193"/>
    </row>
    <row r="12" spans="1:10" ht="13.5" hidden="1" x14ac:dyDescent="0.25">
      <c r="A12" s="188"/>
      <c r="B12" s="176" t="str">
        <f>IFERROR(VLOOKUP(H12,'[1]Consolidado MP Planta'!$A$2:$M$823,3,0),"")</f>
        <v/>
      </c>
      <c r="C12" s="189">
        <f t="shared" si="1"/>
        <v>0</v>
      </c>
      <c r="D12" s="190" t="str">
        <f>IFERROR(VLOOKUP(H12,'[1]Consolidado MP Planta'!$A$2:$M$823,13,0),"")</f>
        <v/>
      </c>
      <c r="E12" s="190" t="str">
        <f>IFERROR(VLOOKUP(H12,'[1]Consolidado MP Planta'!$A$2:$M$823,12,0),"")</f>
        <v/>
      </c>
      <c r="F12" s="190" t="str">
        <f t="shared" si="2"/>
        <v/>
      </c>
      <c r="G12" s="191" t="str">
        <f t="shared" si="0"/>
        <v/>
      </c>
      <c r="H12" s="192"/>
      <c r="I12" s="192"/>
      <c r="J12" s="193"/>
    </row>
    <row r="13" spans="1:10" ht="13.5" hidden="1" x14ac:dyDescent="0.25">
      <c r="A13" s="188"/>
      <c r="B13" s="176" t="str">
        <f>IFERROR(VLOOKUP(H13,'[1]Consolidado MP Planta'!$A$2:$M$823,3,0),"")</f>
        <v/>
      </c>
      <c r="C13" s="189">
        <f t="shared" si="1"/>
        <v>0</v>
      </c>
      <c r="D13" s="190" t="str">
        <f>IFERROR(VLOOKUP(H13,'[1]Consolidado MP Planta'!$A$2:$M$823,13,0),"")</f>
        <v/>
      </c>
      <c r="E13" s="190" t="str">
        <f>IFERROR(VLOOKUP(H13,'[1]Consolidado MP Planta'!$A$2:$M$823,12,0),"")</f>
        <v/>
      </c>
      <c r="F13" s="190" t="str">
        <f t="shared" si="2"/>
        <v/>
      </c>
      <c r="G13" s="191" t="str">
        <f t="shared" si="0"/>
        <v/>
      </c>
      <c r="H13" s="192"/>
      <c r="I13" s="192"/>
      <c r="J13" s="193"/>
    </row>
    <row r="14" spans="1:10" ht="13.5" hidden="1" x14ac:dyDescent="0.25">
      <c r="A14" s="188"/>
      <c r="B14" s="176" t="str">
        <f>IFERROR(VLOOKUP(H14,'[1]Consolidado MP Planta'!$A$2:$M$823,3,0),"")</f>
        <v/>
      </c>
      <c r="C14" s="189">
        <f t="shared" si="1"/>
        <v>0</v>
      </c>
      <c r="D14" s="190" t="str">
        <f>IFERROR(VLOOKUP(H14,'[1]Consolidado MP Planta'!$A$2:$M$823,13,0),"")</f>
        <v/>
      </c>
      <c r="E14" s="190" t="str">
        <f>IFERROR(VLOOKUP(H14,'[1]Consolidado MP Planta'!$A$2:$M$823,12,0),"")</f>
        <v/>
      </c>
      <c r="F14" s="190" t="str">
        <f t="shared" si="2"/>
        <v/>
      </c>
      <c r="G14" s="191" t="str">
        <f t="shared" si="0"/>
        <v/>
      </c>
      <c r="H14" s="192"/>
      <c r="I14" s="192"/>
      <c r="J14" s="193"/>
    </row>
    <row r="15" spans="1:10" ht="14.25" thickBot="1" x14ac:dyDescent="0.3">
      <c r="A15" s="188"/>
      <c r="B15" s="176" t="str">
        <f>IFERROR(VLOOKUP(H15,[2]Hoja2!$A$2:$G$589,2,0),"")</f>
        <v/>
      </c>
      <c r="C15" s="189"/>
      <c r="D15" s="190"/>
      <c r="E15" s="190"/>
      <c r="F15" s="190"/>
      <c r="G15" s="191"/>
      <c r="H15" s="192"/>
      <c r="I15" s="192"/>
      <c r="J15" s="193"/>
    </row>
    <row r="16" spans="1:10" ht="26.25" hidden="1" thickBot="1" x14ac:dyDescent="0.3">
      <c r="A16" s="183" t="s">
        <v>99</v>
      </c>
      <c r="B16" s="184" t="s">
        <v>106</v>
      </c>
      <c r="C16" s="184" t="s">
        <v>99</v>
      </c>
      <c r="D16" s="185" t="s">
        <v>101</v>
      </c>
      <c r="E16" s="185" t="s">
        <v>102</v>
      </c>
      <c r="F16" s="185" t="s">
        <v>103</v>
      </c>
      <c r="G16" s="185" t="s">
        <v>104</v>
      </c>
      <c r="H16" s="186" t="s">
        <v>105</v>
      </c>
      <c r="I16" s="187"/>
      <c r="J16" s="193"/>
    </row>
    <row r="17" spans="1:12" ht="13.5" hidden="1" x14ac:dyDescent="0.25">
      <c r="A17" s="188"/>
      <c r="B17" s="176" t="str">
        <f>IFERROR(VLOOKUP(H17,[1]SEMIELABORADOS!$A$2:$M$6000,2,0),"")</f>
        <v/>
      </c>
      <c r="C17" s="189">
        <f>+A17</f>
        <v>0</v>
      </c>
      <c r="D17" s="189" t="str">
        <f>IFERROR(VLOOKUP(H17,[1]SEMIELABORADOS!$A$2:$M$6000,6,0),"")</f>
        <v/>
      </c>
      <c r="E17" s="190" t="str">
        <f>IFERROR(VLOOKUP(H17,[1]SEMIELABORADOS!$A$2:$H$65536,8,0),"")</f>
        <v/>
      </c>
      <c r="F17" s="190" t="str">
        <f>IFERROR(E17*C17,"")</f>
        <v/>
      </c>
      <c r="G17" s="191" t="str">
        <f t="shared" ref="G17:G24" si="3">IFERROR(F17/$F$66,"")</f>
        <v/>
      </c>
      <c r="H17" s="192"/>
      <c r="I17" s="192"/>
      <c r="J17" s="193"/>
    </row>
    <row r="18" spans="1:12" ht="13.5" hidden="1" x14ac:dyDescent="0.25">
      <c r="A18" s="188"/>
      <c r="B18" s="176" t="str">
        <f>IFERROR(VLOOKUP(H18,[1]SEMIELABORADOS!$A$2:$M$6000,2,0),"")</f>
        <v/>
      </c>
      <c r="C18" s="189">
        <f t="shared" ref="C18:C24" si="4">+A18</f>
        <v>0</v>
      </c>
      <c r="D18" s="189" t="str">
        <f>IFERROR(VLOOKUP(H18,[1]SEMIELABORADOS!$A$2:$M$6000,6,0),"")</f>
        <v/>
      </c>
      <c r="E18" s="190" t="str">
        <f>IFERROR(VLOOKUP(H18,[1]SEMIELABORADOS!$A$2:$H$65536,8,0),"")</f>
        <v/>
      </c>
      <c r="F18" s="190" t="str">
        <f t="shared" ref="F18:F24" si="5">IFERROR(E18*C18,"")</f>
        <v/>
      </c>
      <c r="G18" s="191" t="str">
        <f t="shared" si="3"/>
        <v/>
      </c>
      <c r="H18" s="192"/>
      <c r="I18" s="192"/>
      <c r="J18" s="193"/>
    </row>
    <row r="19" spans="1:12" ht="13.5" hidden="1" x14ac:dyDescent="0.25">
      <c r="A19" s="188"/>
      <c r="B19" s="176" t="str">
        <f>IFERROR(VLOOKUP(H19,[1]SEMIELABORADOS!$A$2:$M$6000,2,0),"")</f>
        <v/>
      </c>
      <c r="C19" s="189">
        <f>+A19</f>
        <v>0</v>
      </c>
      <c r="D19" s="189" t="str">
        <f>IFERROR(VLOOKUP(H19,[1]SEMIELABORADOS!$A$2:$M$6000,6,0),"")</f>
        <v/>
      </c>
      <c r="E19" s="190" t="str">
        <f>IFERROR(VLOOKUP(H19,[1]SEMIELABORADOS!$A$2:$H$65536,8,0),"")</f>
        <v/>
      </c>
      <c r="F19" s="190" t="str">
        <f>IFERROR(E19*C19,"")</f>
        <v/>
      </c>
      <c r="G19" s="191" t="str">
        <f t="shared" si="3"/>
        <v/>
      </c>
      <c r="H19" s="192"/>
      <c r="I19" s="192"/>
      <c r="J19" s="193"/>
    </row>
    <row r="20" spans="1:12" ht="13.5" hidden="1" x14ac:dyDescent="0.25">
      <c r="A20" s="188"/>
      <c r="B20" s="176" t="str">
        <f>IFERROR(VLOOKUP(H20,[1]SEMIELABORADOS!$A$2:$M$6000,2,0),"")</f>
        <v/>
      </c>
      <c r="C20" s="189">
        <f>+A20</f>
        <v>0</v>
      </c>
      <c r="D20" s="189" t="str">
        <f>IFERROR(VLOOKUP(H20,[1]SEMIELABORADOS!$A$2:$M$6000,6,0),"")</f>
        <v/>
      </c>
      <c r="E20" s="190" t="str">
        <f>IFERROR(VLOOKUP(H20,[1]SEMIELABORADOS!$A$2:$H$65536,8,0),"")</f>
        <v/>
      </c>
      <c r="F20" s="190" t="str">
        <f>IFERROR(E20*C20,"")</f>
        <v/>
      </c>
      <c r="G20" s="191" t="str">
        <f t="shared" si="3"/>
        <v/>
      </c>
      <c r="H20" s="192"/>
      <c r="I20" s="192"/>
      <c r="J20" s="193"/>
    </row>
    <row r="21" spans="1:12" ht="13.5" hidden="1" x14ac:dyDescent="0.25">
      <c r="A21" s="188"/>
      <c r="B21" s="176" t="str">
        <f>IFERROR(VLOOKUP(H21,[1]SEMIELABORADOS!$A$2:$M$6000,2,0),"")</f>
        <v/>
      </c>
      <c r="C21" s="189">
        <f>+A21</f>
        <v>0</v>
      </c>
      <c r="D21" s="189" t="str">
        <f>IFERROR(VLOOKUP(H21,[1]SEMIELABORADOS!$A$2:$M$6000,6,0),"")</f>
        <v/>
      </c>
      <c r="E21" s="190" t="str">
        <f>IFERROR(VLOOKUP(H21,[1]SEMIELABORADOS!$A$2:$H$65536,8,0),"")</f>
        <v/>
      </c>
      <c r="F21" s="190" t="str">
        <f>IFERROR(E21*C21,"")</f>
        <v/>
      </c>
      <c r="G21" s="191" t="str">
        <f t="shared" si="3"/>
        <v/>
      </c>
      <c r="H21" s="192"/>
      <c r="I21" s="192"/>
      <c r="J21" s="193"/>
    </row>
    <row r="22" spans="1:12" ht="13.5" hidden="1" x14ac:dyDescent="0.25">
      <c r="A22" s="188"/>
      <c r="B22" s="176" t="str">
        <f>IFERROR(VLOOKUP(H22,[1]SEMIELABORADOS!$A$2:$M$6000,2,0),"")</f>
        <v/>
      </c>
      <c r="C22" s="189">
        <f t="shared" si="4"/>
        <v>0</v>
      </c>
      <c r="D22" s="189" t="str">
        <f>IFERROR(VLOOKUP(H22,[1]SEMIELABORADOS!$A$2:$M$6000,6,0),"")</f>
        <v/>
      </c>
      <c r="E22" s="190" t="str">
        <f>IFERROR(VLOOKUP(H22,[1]SEMIELABORADOS!$A$2:$H$65536,8,0),"")</f>
        <v/>
      </c>
      <c r="F22" s="190" t="str">
        <f t="shared" si="5"/>
        <v/>
      </c>
      <c r="G22" s="191" t="str">
        <f t="shared" si="3"/>
        <v/>
      </c>
      <c r="H22" s="192"/>
      <c r="I22" s="192"/>
      <c r="J22" s="193"/>
    </row>
    <row r="23" spans="1:12" ht="13.5" hidden="1" x14ac:dyDescent="0.25">
      <c r="A23" s="188"/>
      <c r="B23" s="176" t="str">
        <f>IFERROR(VLOOKUP(H23,[1]SEMIELABORADOS!$A$2:$M$6000,2,0),"")</f>
        <v/>
      </c>
      <c r="C23" s="189">
        <f t="shared" si="4"/>
        <v>0</v>
      </c>
      <c r="D23" s="189" t="str">
        <f>IFERROR(VLOOKUP(H23,[1]SEMIELABORADOS!$A$2:$M$6000,6,0),"")</f>
        <v/>
      </c>
      <c r="E23" s="190" t="str">
        <f>IFERROR(VLOOKUP(H23,[1]SEMIELABORADOS!$A$2:$H$65536,8,0),"")</f>
        <v/>
      </c>
      <c r="F23" s="190" t="str">
        <f t="shared" si="5"/>
        <v/>
      </c>
      <c r="G23" s="191" t="str">
        <f t="shared" si="3"/>
        <v/>
      </c>
      <c r="H23" s="192"/>
      <c r="I23" s="192"/>
      <c r="J23" s="193"/>
    </row>
    <row r="24" spans="1:12" ht="13.5" hidden="1" x14ac:dyDescent="0.25">
      <c r="A24" s="188"/>
      <c r="B24" s="176" t="str">
        <f>IFERROR(VLOOKUP(H24,[1]SEMIELABORADOS!$A$2:$M$6000,2,0),"")</f>
        <v/>
      </c>
      <c r="C24" s="189">
        <f t="shared" si="4"/>
        <v>0</v>
      </c>
      <c r="D24" s="189" t="str">
        <f>IFERROR(VLOOKUP(H24,[1]SEMIELABORADOS!$A$2:$M$6000,6,0),"")</f>
        <v/>
      </c>
      <c r="E24" s="190" t="str">
        <f>IFERROR(VLOOKUP(H24,[1]SEMIELABORADOS!$A$2:$H$65536,8,0),"")</f>
        <v/>
      </c>
      <c r="F24" s="190" t="str">
        <f t="shared" si="5"/>
        <v/>
      </c>
      <c r="G24" s="191" t="str">
        <f t="shared" si="3"/>
        <v/>
      </c>
      <c r="H24" s="192"/>
      <c r="I24" s="192"/>
      <c r="J24" s="193"/>
    </row>
    <row r="25" spans="1:12" ht="14.25" hidden="1" thickBot="1" x14ac:dyDescent="0.3">
      <c r="A25" s="188"/>
      <c r="C25" s="189"/>
      <c r="D25" s="189"/>
      <c r="E25" s="190"/>
      <c r="F25" s="190"/>
      <c r="G25" s="191"/>
      <c r="H25" s="192"/>
      <c r="I25" s="192"/>
      <c r="J25" s="193"/>
    </row>
    <row r="26" spans="1:12" ht="26.25" hidden="1" thickBot="1" x14ac:dyDescent="0.3">
      <c r="A26" s="183" t="s">
        <v>99</v>
      </c>
      <c r="B26" s="184" t="s">
        <v>22</v>
      </c>
      <c r="C26" s="184" t="s">
        <v>99</v>
      </c>
      <c r="D26" s="185" t="s">
        <v>101</v>
      </c>
      <c r="E26" s="185" t="s">
        <v>102</v>
      </c>
      <c r="F26" s="185" t="s">
        <v>103</v>
      </c>
      <c r="G26" s="185" t="s">
        <v>104</v>
      </c>
      <c r="H26" s="186" t="s">
        <v>105</v>
      </c>
      <c r="I26" s="187"/>
    </row>
    <row r="27" spans="1:12" ht="13.5" hidden="1" x14ac:dyDescent="0.25">
      <c r="A27" s="188">
        <v>0</v>
      </c>
      <c r="B27" s="194" t="str">
        <f>IFERROR(VLOOKUP(H27,'[1]Consolidado MP Planta'!$A$2:$M$823,3,0),"")</f>
        <v/>
      </c>
      <c r="C27" s="189">
        <f t="shared" ref="C27:C32" si="6">+A27</f>
        <v>0</v>
      </c>
      <c r="D27" s="190" t="str">
        <f>IFERROR(VLOOKUP(H27,'[1]Consolidado MP Planta'!$A$2:$M$823,13,0),"")</f>
        <v/>
      </c>
      <c r="E27" s="190" t="str">
        <f>IFERROR(VLOOKUP(H27,'[1]Consolidado MP Planta'!$A$2:$M$823,12,0),"")</f>
        <v/>
      </c>
      <c r="F27" s="190" t="str">
        <f t="shared" ref="F27:F32" si="7">IFERROR(C27*E27,"")</f>
        <v/>
      </c>
      <c r="G27" s="191" t="str">
        <f t="shared" ref="G27:G32" si="8">IFERROR(F27/$F$66,"")</f>
        <v/>
      </c>
      <c r="H27" s="195"/>
      <c r="I27" s="195"/>
      <c r="J27" s="193"/>
      <c r="K27" s="726"/>
      <c r="L27" s="726"/>
    </row>
    <row r="28" spans="1:12" ht="13.5" hidden="1" x14ac:dyDescent="0.25">
      <c r="A28" s="188"/>
      <c r="B28" s="194" t="str">
        <f>IFERROR(VLOOKUP(H28,'[1]Consolidado MP Planta'!$A$2:$M$823,3,0),"")</f>
        <v/>
      </c>
      <c r="C28" s="189">
        <f t="shared" si="6"/>
        <v>0</v>
      </c>
      <c r="D28" s="190" t="str">
        <f>IFERROR(VLOOKUP(H28,'[1]Consolidado MP Planta'!$A$2:$M$823,13,0),"")</f>
        <v/>
      </c>
      <c r="E28" s="190" t="str">
        <f>IFERROR(VLOOKUP(H28,'[1]Consolidado MP Planta'!$A$2:$M$823,12,0),"")</f>
        <v/>
      </c>
      <c r="F28" s="190" t="str">
        <f t="shared" si="7"/>
        <v/>
      </c>
      <c r="G28" s="191" t="str">
        <f t="shared" si="8"/>
        <v/>
      </c>
      <c r="H28" s="195"/>
      <c r="I28" s="195"/>
      <c r="J28" s="193"/>
      <c r="K28" s="726"/>
      <c r="L28" s="726"/>
    </row>
    <row r="29" spans="1:12" ht="13.5" hidden="1" x14ac:dyDescent="0.25">
      <c r="A29" s="188"/>
      <c r="B29" s="194" t="str">
        <f>IFERROR(VLOOKUP(H29,'[1]Consolidado MP Planta'!$A$2:$M$823,3,0),"")</f>
        <v/>
      </c>
      <c r="C29" s="189">
        <f t="shared" si="6"/>
        <v>0</v>
      </c>
      <c r="D29" s="190" t="str">
        <f>IFERROR(VLOOKUP(H29,'[1]Consolidado MP Planta'!$A$2:$M$823,13,0),"")</f>
        <v/>
      </c>
      <c r="E29" s="190" t="str">
        <f>IFERROR(VLOOKUP(H29,'[1]Consolidado MP Planta'!$A$2:$M$823,12,0),"")</f>
        <v/>
      </c>
      <c r="F29" s="190" t="str">
        <f t="shared" si="7"/>
        <v/>
      </c>
      <c r="G29" s="191" t="str">
        <f t="shared" si="8"/>
        <v/>
      </c>
      <c r="H29" s="195"/>
      <c r="I29" s="195"/>
      <c r="J29" s="193"/>
      <c r="K29" s="726"/>
      <c r="L29" s="726"/>
    </row>
    <row r="30" spans="1:12" ht="13.5" hidden="1" x14ac:dyDescent="0.25">
      <c r="A30" s="188"/>
      <c r="B30" s="194" t="str">
        <f>IFERROR(VLOOKUP(H30,'[1]Consolidado MP Planta'!$A$2:$M$823,3,0),"")</f>
        <v/>
      </c>
      <c r="C30" s="189">
        <f t="shared" si="6"/>
        <v>0</v>
      </c>
      <c r="D30" s="190" t="str">
        <f>IFERROR(VLOOKUP(H30,'[1]Consolidado MP Planta'!$A$2:$M$823,13,0),"")</f>
        <v/>
      </c>
      <c r="E30" s="190" t="str">
        <f>IFERROR(VLOOKUP(H30,'[1]Consolidado MP Planta'!$A$2:$M$823,12,0),"")</f>
        <v/>
      </c>
      <c r="F30" s="190" t="str">
        <f t="shared" si="7"/>
        <v/>
      </c>
      <c r="G30" s="191" t="str">
        <f t="shared" si="8"/>
        <v/>
      </c>
      <c r="H30" s="195"/>
      <c r="I30" s="195"/>
      <c r="J30" s="193"/>
      <c r="K30" s="726"/>
      <c r="L30" s="726"/>
    </row>
    <row r="31" spans="1:12" ht="13.5" hidden="1" x14ac:dyDescent="0.25">
      <c r="A31" s="188"/>
      <c r="B31" s="194" t="str">
        <f>IFERROR(VLOOKUP(H31,'[1]Consolidado MP Planta'!$A$2:$M$823,3,0),"")</f>
        <v/>
      </c>
      <c r="C31" s="189">
        <f t="shared" si="6"/>
        <v>0</v>
      </c>
      <c r="D31" s="190" t="str">
        <f>IFERROR(VLOOKUP(H31,'[1]Consolidado MP Planta'!$A$2:$M$823,13,0),"")</f>
        <v/>
      </c>
      <c r="E31" s="190" t="str">
        <f>IFERROR(VLOOKUP(H31,'[1]Consolidado MP Planta'!$A$2:$M$823,12,0),"")</f>
        <v/>
      </c>
      <c r="F31" s="190" t="str">
        <f t="shared" si="7"/>
        <v/>
      </c>
      <c r="G31" s="191" t="str">
        <f t="shared" si="8"/>
        <v/>
      </c>
      <c r="H31" s="195"/>
      <c r="I31" s="195"/>
      <c r="J31" s="193"/>
      <c r="K31" s="196"/>
      <c r="L31" s="197"/>
    </row>
    <row r="32" spans="1:12" ht="13.5" hidden="1" x14ac:dyDescent="0.25">
      <c r="A32" s="188"/>
      <c r="B32" s="194" t="str">
        <f>IFERROR(VLOOKUP(H32,'[1]Consolidado MP Planta'!$A$2:$M$823,3,0),"")</f>
        <v/>
      </c>
      <c r="C32" s="189">
        <f t="shared" si="6"/>
        <v>0</v>
      </c>
      <c r="D32" s="190" t="str">
        <f>IFERROR(VLOOKUP(H32,'[1]Consolidado MP Planta'!$A$2:$M$823,13,0),"")</f>
        <v/>
      </c>
      <c r="E32" s="190" t="str">
        <f>IFERROR(VLOOKUP(H32,'[1]Consolidado MP Planta'!$A$2:$M$823,12,0),"")</f>
        <v/>
      </c>
      <c r="F32" s="190" t="str">
        <f t="shared" si="7"/>
        <v/>
      </c>
      <c r="G32" s="191" t="str">
        <f t="shared" si="8"/>
        <v/>
      </c>
      <c r="H32" s="195"/>
      <c r="I32" s="195"/>
      <c r="J32" s="193"/>
    </row>
    <row r="33" spans="1:13" ht="14.25" hidden="1" thickBot="1" x14ac:dyDescent="0.3">
      <c r="A33" s="188"/>
      <c r="B33" s="194"/>
      <c r="C33" s="189"/>
      <c r="D33" s="190"/>
      <c r="E33" s="190"/>
      <c r="F33" s="190"/>
      <c r="G33" s="191"/>
      <c r="H33" s="195"/>
      <c r="I33" s="195"/>
      <c r="J33" s="193"/>
    </row>
    <row r="34" spans="1:13" ht="26.25" hidden="1" thickBot="1" x14ac:dyDescent="0.25">
      <c r="A34" s="183" t="s">
        <v>99</v>
      </c>
      <c r="B34" s="184" t="s">
        <v>107</v>
      </c>
      <c r="C34" s="184" t="s">
        <v>99</v>
      </c>
      <c r="D34" s="185" t="s">
        <v>101</v>
      </c>
      <c r="E34" s="185" t="s">
        <v>102</v>
      </c>
      <c r="F34" s="185" t="s">
        <v>103</v>
      </c>
      <c r="G34" s="185" t="s">
        <v>104</v>
      </c>
      <c r="H34" s="186" t="s">
        <v>105</v>
      </c>
      <c r="I34" s="195"/>
      <c r="J34" s="193"/>
    </row>
    <row r="35" spans="1:13" ht="13.5" hidden="1" x14ac:dyDescent="0.25">
      <c r="A35" s="188">
        <f>+A17</f>
        <v>0</v>
      </c>
      <c r="B35" s="194" t="str">
        <f>IFERROR(VLOOKUP(H35,[1]SEMIELABORADOS!$A$2:$M$6000,2,0),"")</f>
        <v/>
      </c>
      <c r="C35" s="189">
        <f>+A35</f>
        <v>0</v>
      </c>
      <c r="D35" s="190" t="str">
        <f>IFERROR(VLOOKUP(H35,[1]SEMIELABORADOS!$A$2:$M$6000,6,0),"")</f>
        <v/>
      </c>
      <c r="E35" s="190" t="str">
        <f>IFERROR(VLOOKUP(H35,[1]SEMIELABORADOS!$A$2:$M$65536,10,0),"")</f>
        <v/>
      </c>
      <c r="F35" s="190" t="str">
        <f>IFERROR(E35*C35,"")</f>
        <v/>
      </c>
      <c r="G35" s="191" t="str">
        <f t="shared" ref="G35:G41" si="9">IFERROR(F35/$F$66,"")</f>
        <v/>
      </c>
      <c r="H35" s="195"/>
      <c r="I35" s="195"/>
      <c r="J35" s="193"/>
    </row>
    <row r="36" spans="1:13" ht="13.5" hidden="1" x14ac:dyDescent="0.25">
      <c r="A36" s="188">
        <f t="shared" ref="A36:A41" si="10">+A18</f>
        <v>0</v>
      </c>
      <c r="B36" s="194" t="str">
        <f>IFERROR(VLOOKUP(H36,[1]SEMIELABORADOS!$A$2:$M$6000,2,0),"")</f>
        <v/>
      </c>
      <c r="C36" s="189">
        <f t="shared" ref="C36:C41" si="11">+A36</f>
        <v>0</v>
      </c>
      <c r="D36" s="190" t="str">
        <f>IFERROR(VLOOKUP(H36,[1]SEMIELABORADOS!$A$2:$M$6000,6,0),"")</f>
        <v/>
      </c>
      <c r="E36" s="190" t="str">
        <f>IFERROR(VLOOKUP(H36,[1]SEMIELABORADOS!$A$2:$M$65536,10,0),"")</f>
        <v/>
      </c>
      <c r="F36" s="190" t="str">
        <f t="shared" ref="F36:F41" si="12">IFERROR(E36*C36,"")</f>
        <v/>
      </c>
      <c r="G36" s="191" t="str">
        <f t="shared" si="9"/>
        <v/>
      </c>
      <c r="H36" s="195"/>
      <c r="I36" s="195"/>
      <c r="J36" s="193"/>
    </row>
    <row r="37" spans="1:13" ht="13.5" hidden="1" x14ac:dyDescent="0.25">
      <c r="A37" s="188">
        <f t="shared" si="10"/>
        <v>0</v>
      </c>
      <c r="B37" s="194" t="str">
        <f>IFERROR(VLOOKUP(H37,[1]SEMIELABORADOS!$A$2:$M$6000,2,0),"")</f>
        <v/>
      </c>
      <c r="C37" s="189">
        <f t="shared" si="11"/>
        <v>0</v>
      </c>
      <c r="D37" s="190" t="str">
        <f>IFERROR(VLOOKUP(H37,[1]SEMIELABORADOS!$A$2:$M$6000,6,0),"")</f>
        <v/>
      </c>
      <c r="E37" s="190" t="str">
        <f>IFERROR(VLOOKUP(H37,[1]SEMIELABORADOS!$A$2:$M$65536,10,0),"")</f>
        <v/>
      </c>
      <c r="F37" s="190" t="str">
        <f t="shared" si="12"/>
        <v/>
      </c>
      <c r="G37" s="191" t="str">
        <f t="shared" si="9"/>
        <v/>
      </c>
      <c r="H37" s="195"/>
      <c r="I37" s="195"/>
      <c r="J37" s="193"/>
    </row>
    <row r="38" spans="1:13" ht="13.5" hidden="1" x14ac:dyDescent="0.25">
      <c r="A38" s="188">
        <f t="shared" si="10"/>
        <v>0</v>
      </c>
      <c r="B38" s="194" t="str">
        <f>IFERROR(VLOOKUP(H38,[1]SEMIELABORADOS!$A$2:$M$6000,2,0),"")</f>
        <v/>
      </c>
      <c r="C38" s="189">
        <f>+A38</f>
        <v>0</v>
      </c>
      <c r="D38" s="190" t="str">
        <f>IFERROR(VLOOKUP(H38,[1]SEMIELABORADOS!$A$2:$M$6000,6,0),"")</f>
        <v/>
      </c>
      <c r="E38" s="190" t="str">
        <f>IFERROR(VLOOKUP(H38,[1]SEMIELABORADOS!$A$2:$M$65536,10,0),"")</f>
        <v/>
      </c>
      <c r="F38" s="190" t="str">
        <f>IFERROR(E38*C38,"")</f>
        <v/>
      </c>
      <c r="G38" s="191" t="str">
        <f t="shared" si="9"/>
        <v/>
      </c>
      <c r="H38" s="195"/>
      <c r="I38" s="195"/>
      <c r="J38" s="193"/>
    </row>
    <row r="39" spans="1:13" ht="13.5" hidden="1" x14ac:dyDescent="0.25">
      <c r="A39" s="188">
        <f t="shared" si="10"/>
        <v>0</v>
      </c>
      <c r="B39" s="194" t="str">
        <f>IFERROR(VLOOKUP(H39,[1]SEMIELABORADOS!$A$2:$M$6000,2,0),"")</f>
        <v/>
      </c>
      <c r="C39" s="189">
        <f>+A39</f>
        <v>0</v>
      </c>
      <c r="D39" s="190" t="str">
        <f>IFERROR(VLOOKUP(H39,[1]SEMIELABORADOS!$A$2:$M$6000,6,0),"")</f>
        <v/>
      </c>
      <c r="E39" s="190" t="str">
        <f>IFERROR(VLOOKUP(H39,[1]SEMIELABORADOS!$A$2:$M$65536,10,0),"")</f>
        <v/>
      </c>
      <c r="F39" s="190" t="str">
        <f>IFERROR(E39*C39,"")</f>
        <v/>
      </c>
      <c r="G39" s="191" t="str">
        <f t="shared" si="9"/>
        <v/>
      </c>
      <c r="H39" s="195"/>
      <c r="I39" s="195"/>
      <c r="J39" s="193"/>
    </row>
    <row r="40" spans="1:13" ht="13.5" hidden="1" x14ac:dyDescent="0.25">
      <c r="A40" s="188">
        <f t="shared" si="10"/>
        <v>0</v>
      </c>
      <c r="B40" s="194" t="str">
        <f>IFERROR(VLOOKUP(H40,[1]SEMIELABORADOS!$A$2:$M$6000,2,0),"")</f>
        <v/>
      </c>
      <c r="C40" s="189">
        <f t="shared" si="11"/>
        <v>0</v>
      </c>
      <c r="D40" s="190" t="str">
        <f>IFERROR(VLOOKUP(H40,[1]SEMIELABORADOS!$A$2:$M$6000,6,0),"")</f>
        <v/>
      </c>
      <c r="E40" s="190" t="str">
        <f>IFERROR(VLOOKUP(H40,[1]SEMIELABORADOS!$A$2:$M$65536,10,0),"")</f>
        <v/>
      </c>
      <c r="F40" s="190" t="str">
        <f t="shared" si="12"/>
        <v/>
      </c>
      <c r="G40" s="191" t="str">
        <f t="shared" si="9"/>
        <v/>
      </c>
      <c r="H40" s="195"/>
      <c r="I40" s="195"/>
      <c r="J40" s="193"/>
    </row>
    <row r="41" spans="1:13" ht="13.5" hidden="1" x14ac:dyDescent="0.25">
      <c r="A41" s="188">
        <f t="shared" si="10"/>
        <v>0</v>
      </c>
      <c r="B41" s="194" t="str">
        <f>IFERROR(VLOOKUP(H41,[1]SEMIELABORADOS!$A$2:$M$6000,2,0),"")</f>
        <v/>
      </c>
      <c r="C41" s="189">
        <f t="shared" si="11"/>
        <v>0</v>
      </c>
      <c r="D41" s="190" t="str">
        <f>IFERROR(VLOOKUP(H41,[1]SEMIELABORADOS!$A$2:$M$6000,6,0),"")</f>
        <v/>
      </c>
      <c r="E41" s="190" t="str">
        <f>IFERROR(VLOOKUP(H41,[1]SEMIELABORADOS!$A$2:$M$65536,10,0),"")</f>
        <v/>
      </c>
      <c r="F41" s="190" t="str">
        <f t="shared" si="12"/>
        <v/>
      </c>
      <c r="G41" s="191" t="str">
        <f t="shared" si="9"/>
        <v/>
      </c>
      <c r="H41" s="195"/>
      <c r="I41" s="195"/>
      <c r="J41" s="193"/>
    </row>
    <row r="42" spans="1:13" ht="14.25" hidden="1" thickBot="1" x14ac:dyDescent="0.3">
      <c r="A42" s="188"/>
      <c r="B42" s="194"/>
      <c r="C42" s="189"/>
      <c r="D42" s="190"/>
      <c r="E42" s="190"/>
      <c r="F42" s="190"/>
      <c r="G42" s="191"/>
      <c r="H42" s="195"/>
      <c r="I42" s="195"/>
      <c r="J42" s="193"/>
    </row>
    <row r="43" spans="1:13" ht="26.25" thickBot="1" x14ac:dyDescent="0.3">
      <c r="A43" s="183" t="s">
        <v>99</v>
      </c>
      <c r="B43" s="184" t="s">
        <v>108</v>
      </c>
      <c r="C43" s="184" t="s">
        <v>99</v>
      </c>
      <c r="D43" s="185" t="s">
        <v>101</v>
      </c>
      <c r="E43" s="185" t="s">
        <v>102</v>
      </c>
      <c r="F43" s="185" t="s">
        <v>103</v>
      </c>
      <c r="G43" s="185" t="s">
        <v>104</v>
      </c>
      <c r="H43" s="186" t="s">
        <v>105</v>
      </c>
      <c r="I43" s="187"/>
      <c r="J43" s="193"/>
    </row>
    <row r="44" spans="1:13" ht="13.5" hidden="1" x14ac:dyDescent="0.25">
      <c r="A44" s="188">
        <f>+A35</f>
        <v>0</v>
      </c>
      <c r="B44" s="194" t="str">
        <f>IFERROR(VLOOKUP(H44,[1]SEMIELABORADOS!$A$2:$M$6000,2,0),"")</f>
        <v/>
      </c>
      <c r="C44" s="189">
        <f>+A44</f>
        <v>0</v>
      </c>
      <c r="D44" s="190" t="str">
        <f>IFERROR(VLOOKUP(H44,[1]SEMIELABORADOS!$A$2:$M$6000,6,0),"")</f>
        <v/>
      </c>
      <c r="E44" s="190" t="str">
        <f>IFERROR(VLOOKUP(H44,[1]SEMIELABORADOS!$A$2:$M$65536,12,0),"")</f>
        <v/>
      </c>
      <c r="F44" s="190" t="str">
        <f>IFERROR(E44*C44,"")</f>
        <v/>
      </c>
      <c r="G44" s="191" t="str">
        <f>IFERROR(F44/$F$66,"")</f>
        <v/>
      </c>
      <c r="H44" s="195"/>
      <c r="I44" s="187"/>
      <c r="J44" s="193"/>
    </row>
    <row r="45" spans="1:13" ht="13.5" hidden="1" x14ac:dyDescent="0.25">
      <c r="A45" s="188">
        <f t="shared" ref="A45:A50" si="13">+A36</f>
        <v>0</v>
      </c>
      <c r="B45" s="194" t="str">
        <f>IFERROR(VLOOKUP(H45,[1]SEMIELABORADOS!$A$2:$M$6000,2,0),"")</f>
        <v/>
      </c>
      <c r="C45" s="189">
        <f t="shared" ref="C45:C50" si="14">+A45</f>
        <v>0</v>
      </c>
      <c r="D45" s="190" t="str">
        <f>IFERROR(VLOOKUP(H45,[1]SEMIELABORADOS!$A$2:$M$6000,6,0),"")</f>
        <v/>
      </c>
      <c r="E45" s="190" t="str">
        <f>IFERROR(VLOOKUP(H45,[1]SEMIELABORADOS!$A$2:$M$65536,12,0),"")</f>
        <v/>
      </c>
      <c r="F45" s="190" t="str">
        <f t="shared" ref="F45:F50" si="15">IFERROR(E45*C45,"")</f>
        <v/>
      </c>
      <c r="G45" s="191" t="str">
        <f t="shared" ref="G45:G50" si="16">IFERROR(F45/$F$66,"")</f>
        <v/>
      </c>
      <c r="H45" s="195"/>
      <c r="I45" s="187"/>
      <c r="J45" s="193"/>
      <c r="M45" s="198"/>
    </row>
    <row r="46" spans="1:13" ht="13.5" hidden="1" x14ac:dyDescent="0.25">
      <c r="A46" s="188">
        <f t="shared" si="13"/>
        <v>0</v>
      </c>
      <c r="B46" s="194" t="str">
        <f>IFERROR(VLOOKUP(H46,[1]SEMIELABORADOS!$A$2:$M$6000,2,0),"")</f>
        <v/>
      </c>
      <c r="C46" s="189">
        <f t="shared" si="14"/>
        <v>0</v>
      </c>
      <c r="D46" s="190" t="str">
        <f>IFERROR(VLOOKUP(H46,[1]SEMIELABORADOS!$A$2:$M$6000,6,0),"")</f>
        <v/>
      </c>
      <c r="E46" s="190" t="str">
        <f>IFERROR(VLOOKUP(H46,[1]SEMIELABORADOS!$A$2:$M$65536,12,0),"")</f>
        <v/>
      </c>
      <c r="F46" s="190" t="str">
        <f t="shared" si="15"/>
        <v/>
      </c>
      <c r="G46" s="191" t="str">
        <f t="shared" si="16"/>
        <v/>
      </c>
      <c r="H46" s="195"/>
      <c r="I46" s="187"/>
      <c r="J46" s="193"/>
    </row>
    <row r="47" spans="1:13" ht="13.5" hidden="1" x14ac:dyDescent="0.25">
      <c r="A47" s="188">
        <f t="shared" si="13"/>
        <v>0</v>
      </c>
      <c r="B47" s="194" t="str">
        <f>IFERROR(VLOOKUP(H47,[1]SEMIELABORADOS!$A$2:$M$6000,2,0),"")</f>
        <v/>
      </c>
      <c r="C47" s="189">
        <f t="shared" si="14"/>
        <v>0</v>
      </c>
      <c r="D47" s="190" t="str">
        <f>IFERROR(VLOOKUP(H47,[1]SEMIELABORADOS!$A$2:$M$6000,6,0),"")</f>
        <v/>
      </c>
      <c r="E47" s="190" t="str">
        <f>IFERROR(VLOOKUP(H47,[1]SEMIELABORADOS!$A$2:$M$65536,12,0),"")</f>
        <v/>
      </c>
      <c r="F47" s="190" t="str">
        <f t="shared" si="15"/>
        <v/>
      </c>
      <c r="G47" s="191" t="str">
        <f t="shared" si="16"/>
        <v/>
      </c>
      <c r="H47" s="195"/>
      <c r="I47" s="187"/>
      <c r="J47" s="193"/>
    </row>
    <row r="48" spans="1:13" ht="13.5" hidden="1" x14ac:dyDescent="0.25">
      <c r="A48" s="188">
        <f t="shared" si="13"/>
        <v>0</v>
      </c>
      <c r="B48" s="194" t="str">
        <f>IFERROR(VLOOKUP(H48,[1]SEMIELABORADOS!$A$2:$M$6000,2,0),"")</f>
        <v/>
      </c>
      <c r="C48" s="189">
        <f t="shared" si="14"/>
        <v>0</v>
      </c>
      <c r="D48" s="190" t="str">
        <f>IFERROR(VLOOKUP(H48,[1]SEMIELABORADOS!$A$2:$M$6000,6,0),"")</f>
        <v/>
      </c>
      <c r="E48" s="190" t="str">
        <f>IFERROR(VLOOKUP(H48,[1]SEMIELABORADOS!$A$2:$M$65536,12,0),"")</f>
        <v/>
      </c>
      <c r="F48" s="190" t="str">
        <f t="shared" si="15"/>
        <v/>
      </c>
      <c r="G48" s="191" t="str">
        <f t="shared" si="16"/>
        <v/>
      </c>
      <c r="H48" s="195"/>
      <c r="I48" s="187"/>
      <c r="J48" s="193"/>
    </row>
    <row r="49" spans="1:17" ht="13.5" hidden="1" x14ac:dyDescent="0.25">
      <c r="A49" s="188">
        <f t="shared" si="13"/>
        <v>0</v>
      </c>
      <c r="B49" s="194" t="str">
        <f>IFERROR(VLOOKUP(H49,[1]SEMIELABORADOS!$A$2:$M$6000,2,0),"")</f>
        <v/>
      </c>
      <c r="C49" s="189">
        <f t="shared" si="14"/>
        <v>0</v>
      </c>
      <c r="D49" s="190" t="str">
        <f>IFERROR(VLOOKUP(H49,[1]SEMIELABORADOS!$A$2:$M$6000,6,0),"")</f>
        <v/>
      </c>
      <c r="E49" s="190" t="str">
        <f>IFERROR(VLOOKUP(H49,[1]SEMIELABORADOS!$A$2:$M$65536,12,0),"")</f>
        <v/>
      </c>
      <c r="F49" s="190" t="str">
        <f t="shared" si="15"/>
        <v/>
      </c>
      <c r="G49" s="191" t="str">
        <f t="shared" si="16"/>
        <v/>
      </c>
      <c r="H49" s="195"/>
      <c r="I49" s="187"/>
      <c r="J49" s="193"/>
    </row>
    <row r="50" spans="1:17" ht="13.5" hidden="1" x14ac:dyDescent="0.25">
      <c r="A50" s="188">
        <f t="shared" si="13"/>
        <v>0</v>
      </c>
      <c r="B50" s="194" t="str">
        <f>IFERROR(VLOOKUP(H50,[1]SEMIELABORADOS!$A$2:$M$6000,2,0),"")</f>
        <v/>
      </c>
      <c r="C50" s="189">
        <f t="shared" si="14"/>
        <v>0</v>
      </c>
      <c r="D50" s="190" t="str">
        <f>IFERROR(VLOOKUP(H50,[1]SEMIELABORADOS!$A$2:$M$6000,6,0),"")</f>
        <v/>
      </c>
      <c r="E50" s="190" t="str">
        <f>IFERROR(VLOOKUP(H50,[1]SEMIELABORADOS!$A$2:$M$65536,12,0),"")</f>
        <v/>
      </c>
      <c r="F50" s="190" t="str">
        <f t="shared" si="15"/>
        <v/>
      </c>
      <c r="G50" s="191" t="str">
        <f t="shared" si="16"/>
        <v/>
      </c>
      <c r="H50" s="194"/>
      <c r="I50" s="187"/>
      <c r="J50" s="193"/>
    </row>
    <row r="51" spans="1:17" ht="13.5" x14ac:dyDescent="0.25">
      <c r="A51" s="188">
        <v>1</v>
      </c>
      <c r="B51" s="194" t="s">
        <v>109</v>
      </c>
      <c r="C51" s="189">
        <f>+A51</f>
        <v>1</v>
      </c>
      <c r="D51" s="189" t="s">
        <v>110</v>
      </c>
      <c r="E51" s="190">
        <f>+F65</f>
        <v>1540</v>
      </c>
      <c r="F51" s="190">
        <f>IFERROR(C51*E51,"")</f>
        <v>1540</v>
      </c>
      <c r="G51" s="191">
        <f>IFERROR(F51/$F$66,"")</f>
        <v>7.6945215006915077E-2</v>
      </c>
      <c r="H51" s="199"/>
      <c r="I51" s="199"/>
      <c r="J51" s="193"/>
    </row>
    <row r="52" spans="1:17" ht="14.25" thickBot="1" x14ac:dyDescent="0.3">
      <c r="A52" s="188"/>
      <c r="B52" s="194"/>
      <c r="C52" s="189"/>
      <c r="D52" s="189"/>
      <c r="E52" s="190"/>
      <c r="F52" s="190"/>
      <c r="G52" s="191"/>
      <c r="H52" s="199"/>
      <c r="I52" s="199"/>
      <c r="J52" s="193"/>
    </row>
    <row r="53" spans="1:17" ht="13.5" thickBot="1" x14ac:dyDescent="0.3">
      <c r="A53" s="200"/>
      <c r="B53" s="736" t="s">
        <v>111</v>
      </c>
      <c r="C53" s="736"/>
      <c r="D53" s="736"/>
      <c r="E53" s="736"/>
      <c r="F53" s="202">
        <f>SUM(F8:F14,F17:F24)</f>
        <v>18112</v>
      </c>
      <c r="G53" s="191">
        <f>+F53/$F$66</f>
        <v>0.90495567156184786</v>
      </c>
      <c r="H53" s="203">
        <f>+F53/$D$60</f>
        <v>18112</v>
      </c>
      <c r="I53" s="203"/>
      <c r="J53" s="204"/>
      <c r="K53" s="205"/>
      <c r="L53" s="205"/>
      <c r="M53" s="205"/>
      <c r="N53" s="205"/>
      <c r="O53" s="205"/>
      <c r="P53" s="205"/>
      <c r="Q53" s="206"/>
    </row>
    <row r="54" spans="1:17" x14ac:dyDescent="0.2">
      <c r="A54" s="200"/>
      <c r="B54" s="736" t="s">
        <v>112</v>
      </c>
      <c r="C54" s="736"/>
      <c r="D54" s="736"/>
      <c r="E54" s="736"/>
      <c r="F54" s="202">
        <f>SUM(F27:F32,F35:F41)</f>
        <v>0</v>
      </c>
      <c r="G54" s="191">
        <f>+F54/$F$66</f>
        <v>0</v>
      </c>
      <c r="H54" s="203">
        <f>+F54/$D$60</f>
        <v>0</v>
      </c>
      <c r="I54" s="203"/>
      <c r="J54" s="207"/>
      <c r="K54" s="737" t="s">
        <v>113</v>
      </c>
      <c r="L54" s="738"/>
      <c r="M54" s="738"/>
      <c r="N54" s="738"/>
      <c r="O54" s="208">
        <f>+F55</f>
        <v>18112</v>
      </c>
      <c r="P54" s="208"/>
      <c r="Q54" s="209"/>
    </row>
    <row r="55" spans="1:17" x14ac:dyDescent="0.2">
      <c r="A55" s="200"/>
      <c r="B55" s="736" t="s">
        <v>114</v>
      </c>
      <c r="C55" s="736"/>
      <c r="D55" s="736"/>
      <c r="E55" s="736"/>
      <c r="F55" s="202">
        <f>+F53+F54</f>
        <v>18112</v>
      </c>
      <c r="G55" s="191">
        <f>+F55/$F$66</f>
        <v>0.90495567156184786</v>
      </c>
      <c r="H55" s="203">
        <f>+F55/$D$60</f>
        <v>18112</v>
      </c>
      <c r="I55" s="203"/>
      <c r="J55" s="210"/>
      <c r="K55" s="211"/>
      <c r="M55" s="212" t="s">
        <v>115</v>
      </c>
      <c r="N55" s="213"/>
      <c r="O55" s="208">
        <f>+H56</f>
        <v>1540</v>
      </c>
      <c r="P55" s="208"/>
      <c r="Q55" s="209"/>
    </row>
    <row r="56" spans="1:17" ht="13.5" thickBot="1" x14ac:dyDescent="0.25">
      <c r="A56" s="200"/>
      <c r="B56" s="201"/>
      <c r="C56" s="736" t="s">
        <v>116</v>
      </c>
      <c r="D56" s="736"/>
      <c r="E56" s="736"/>
      <c r="F56" s="202">
        <f>SUM(F44:F51)</f>
        <v>1540</v>
      </c>
      <c r="G56" s="191">
        <f>+F56/$F$66</f>
        <v>7.6945215006915077E-2</v>
      </c>
      <c r="H56" s="203">
        <f>+F56/$D$60</f>
        <v>1540</v>
      </c>
      <c r="I56" s="203"/>
      <c r="J56" s="210"/>
      <c r="K56" s="211"/>
      <c r="L56" s="211"/>
      <c r="M56" s="211" t="s">
        <v>117</v>
      </c>
      <c r="N56" s="214"/>
      <c r="O56" s="208">
        <f>O54*N56</f>
        <v>0</v>
      </c>
      <c r="P56" s="208"/>
      <c r="Q56" s="209"/>
    </row>
    <row r="57" spans="1:17" ht="13.5" thickBot="1" x14ac:dyDescent="0.25">
      <c r="A57" s="200"/>
      <c r="B57" s="215"/>
      <c r="C57" s="215"/>
      <c r="D57" s="215"/>
      <c r="E57" s="215"/>
      <c r="F57" s="216"/>
      <c r="G57" s="191"/>
      <c r="H57" s="217"/>
      <c r="I57" s="203"/>
      <c r="J57" s="210"/>
      <c r="K57" s="218"/>
      <c r="M57" s="219" t="s">
        <v>118</v>
      </c>
      <c r="N57" s="220"/>
      <c r="O57" s="221">
        <f>SUM(O54:O56)</f>
        <v>19652</v>
      </c>
      <c r="P57" s="222"/>
      <c r="Q57" s="209"/>
    </row>
    <row r="58" spans="1:17" x14ac:dyDescent="0.2">
      <c r="B58" s="739" t="s">
        <v>119</v>
      </c>
      <c r="C58" s="739"/>
      <c r="D58" s="223">
        <v>9000</v>
      </c>
      <c r="E58" s="224"/>
      <c r="G58" s="191"/>
      <c r="H58" s="217">
        <f>+H56/77</f>
        <v>20</v>
      </c>
      <c r="I58" s="225"/>
      <c r="J58" s="210"/>
      <c r="K58" s="218"/>
      <c r="L58" s="211"/>
      <c r="M58" s="211" t="s">
        <v>120</v>
      </c>
      <c r="N58" s="226"/>
      <c r="O58" s="208">
        <f>+H59</f>
        <v>1660</v>
      </c>
      <c r="P58" s="208"/>
      <c r="Q58" s="209"/>
    </row>
    <row r="59" spans="1:17" x14ac:dyDescent="0.2">
      <c r="B59" s="739" t="s">
        <v>121</v>
      </c>
      <c r="C59" s="739"/>
      <c r="D59" s="227">
        <v>9000</v>
      </c>
      <c r="E59" s="224"/>
      <c r="G59" s="191"/>
      <c r="H59" s="217">
        <f>+H58*83</f>
        <v>1660</v>
      </c>
      <c r="I59" s="225"/>
      <c r="J59" s="210"/>
      <c r="K59" s="218"/>
      <c r="L59" s="211"/>
      <c r="M59" s="740" t="s">
        <v>118</v>
      </c>
      <c r="N59" s="740"/>
      <c r="O59" s="208">
        <f>SUM(O57:O58)</f>
        <v>21312</v>
      </c>
      <c r="P59" s="208"/>
      <c r="Q59" s="209"/>
    </row>
    <row r="60" spans="1:17" ht="13.5" thickBot="1" x14ac:dyDescent="0.25">
      <c r="B60" s="732" t="s">
        <v>122</v>
      </c>
      <c r="C60" s="732"/>
      <c r="D60" s="223">
        <f>+D58/D59</f>
        <v>1</v>
      </c>
      <c r="E60" s="224"/>
      <c r="F60" s="228"/>
      <c r="G60" s="191"/>
      <c r="H60" s="217"/>
      <c r="I60" s="225"/>
      <c r="J60" s="210"/>
      <c r="K60" s="218"/>
      <c r="L60" s="740"/>
      <c r="M60" s="740"/>
      <c r="N60" s="226"/>
      <c r="O60" s="208">
        <f>+O59*N60</f>
        <v>0</v>
      </c>
      <c r="P60" s="208"/>
      <c r="Q60" s="209"/>
    </row>
    <row r="61" spans="1:17" ht="13.5" thickBot="1" x14ac:dyDescent="0.25">
      <c r="B61" s="732" t="s">
        <v>123</v>
      </c>
      <c r="C61" s="732"/>
      <c r="D61" s="229"/>
      <c r="E61" s="224"/>
      <c r="F61" s="228"/>
      <c r="G61" s="191"/>
      <c r="H61" s="217"/>
      <c r="I61" s="225"/>
      <c r="J61" s="210"/>
      <c r="K61" s="733" t="s">
        <v>124</v>
      </c>
      <c r="L61" s="734"/>
      <c r="M61" s="734"/>
      <c r="N61" s="735"/>
      <c r="O61" s="221">
        <f>SUM(O59:O60)</f>
        <v>21312</v>
      </c>
      <c r="P61" s="230" t="s">
        <v>125</v>
      </c>
      <c r="Q61" s="209"/>
    </row>
    <row r="62" spans="1:17" ht="13.5" thickBot="1" x14ac:dyDescent="0.25">
      <c r="C62" s="200" t="s">
        <v>126</v>
      </c>
      <c r="D62" s="231"/>
      <c r="E62" s="174" t="s">
        <v>127</v>
      </c>
      <c r="F62" s="232" t="s">
        <v>128</v>
      </c>
      <c r="G62" s="191"/>
      <c r="H62" s="217"/>
      <c r="I62" s="225"/>
      <c r="J62" s="233"/>
      <c r="K62" s="234"/>
      <c r="L62" s="746" t="s">
        <v>129</v>
      </c>
      <c r="M62" s="746"/>
      <c r="N62" s="746"/>
      <c r="O62" s="235">
        <f>+O61/D60</f>
        <v>21312</v>
      </c>
      <c r="P62" s="236">
        <f>+O62/D59</f>
        <v>2.3679999999999999</v>
      </c>
      <c r="Q62" s="237"/>
    </row>
    <row r="63" spans="1:17" ht="13.5" thickBot="1" x14ac:dyDescent="0.25">
      <c r="B63" s="747" t="s">
        <v>114</v>
      </c>
      <c r="C63" s="747"/>
      <c r="D63" s="747"/>
      <c r="E63" s="238">
        <f>+F63/F63</f>
        <v>1</v>
      </c>
      <c r="F63" s="239">
        <f>SUM(F55)</f>
        <v>18112</v>
      </c>
      <c r="G63" s="191">
        <f>+F63/$F$66</f>
        <v>0.90495567156184786</v>
      </c>
      <c r="H63" s="217"/>
      <c r="I63" s="225"/>
      <c r="K63" s="748"/>
      <c r="L63" s="749"/>
      <c r="M63" s="749"/>
      <c r="N63" s="749"/>
      <c r="O63" s="240"/>
      <c r="P63" s="241"/>
    </row>
    <row r="64" spans="1:17" ht="13.5" thickBot="1" x14ac:dyDescent="0.3">
      <c r="B64" s="750" t="s">
        <v>130</v>
      </c>
      <c r="C64" s="750"/>
      <c r="D64" s="750"/>
      <c r="E64" s="242">
        <v>0.02</v>
      </c>
      <c r="F64" s="239">
        <f>+F53*E64</f>
        <v>362.24</v>
      </c>
      <c r="G64" s="191">
        <f>+F64/$F$66</f>
        <v>1.8099113431236959E-2</v>
      </c>
      <c r="H64" s="203"/>
      <c r="I64" s="225"/>
      <c r="J64" s="243"/>
      <c r="O64" s="244"/>
      <c r="P64" s="201"/>
    </row>
    <row r="65" spans="2:13" ht="13.5" thickBot="1" x14ac:dyDescent="0.3">
      <c r="B65" s="751" t="s">
        <v>131</v>
      </c>
      <c r="C65" s="752"/>
      <c r="D65" s="245">
        <v>20</v>
      </c>
      <c r="E65" s="246">
        <v>77</v>
      </c>
      <c r="F65" s="239">
        <f>+E65*D65</f>
        <v>1540</v>
      </c>
      <c r="G65" s="191">
        <f>+F65/$F$66</f>
        <v>7.6945215006915077E-2</v>
      </c>
      <c r="H65" s="203"/>
      <c r="I65" s="203"/>
      <c r="J65" s="193"/>
    </row>
    <row r="66" spans="2:13" ht="13.5" thickBot="1" x14ac:dyDescent="0.3">
      <c r="B66" s="753" t="s">
        <v>132</v>
      </c>
      <c r="C66" s="754"/>
      <c r="D66" s="754"/>
      <c r="E66" s="755"/>
      <c r="F66" s="216">
        <f>SUM(F63:F65)</f>
        <v>20014.240000000002</v>
      </c>
      <c r="G66" s="191">
        <f>+F66/$F$66</f>
        <v>1</v>
      </c>
      <c r="H66" s="756"/>
      <c r="I66" s="203"/>
      <c r="J66" s="193"/>
      <c r="M66" s="176" t="s">
        <v>133</v>
      </c>
    </row>
    <row r="67" spans="2:13" x14ac:dyDescent="0.25">
      <c r="C67" s="198"/>
      <c r="D67" s="198"/>
      <c r="E67" s="248"/>
      <c r="F67" s="239"/>
      <c r="G67" s="191"/>
      <c r="H67" s="756"/>
      <c r="I67" s="247"/>
      <c r="J67" s="176"/>
      <c r="M67" s="176" t="s">
        <v>134</v>
      </c>
    </row>
    <row r="68" spans="2:13" ht="13.5" thickBot="1" x14ac:dyDescent="0.3">
      <c r="B68" s="741" t="s">
        <v>135</v>
      </c>
      <c r="C68" s="741"/>
      <c r="D68" s="741"/>
      <c r="E68" s="741"/>
      <c r="F68" s="741"/>
      <c r="G68" s="191"/>
      <c r="H68" s="250"/>
      <c r="I68" s="247"/>
      <c r="J68" s="176"/>
      <c r="M68" s="176" t="s">
        <v>136</v>
      </c>
    </row>
    <row r="69" spans="2:13" ht="13.5" thickBot="1" x14ac:dyDescent="0.3">
      <c r="B69" s="251" t="s">
        <v>137</v>
      </c>
      <c r="C69" s="252">
        <f>+F53</f>
        <v>18112</v>
      </c>
      <c r="D69" s="252">
        <f>+D58</f>
        <v>9000</v>
      </c>
      <c r="E69" s="253">
        <f>+C69/D69</f>
        <v>2.0124444444444443</v>
      </c>
      <c r="F69" s="191"/>
      <c r="G69" s="250"/>
      <c r="H69" s="193"/>
      <c r="I69" s="250"/>
      <c r="J69" s="176"/>
    </row>
    <row r="70" spans="2:13" x14ac:dyDescent="0.25">
      <c r="B70" s="254"/>
      <c r="C70" s="255"/>
      <c r="D70" s="256"/>
      <c r="E70" s="239"/>
      <c r="F70" s="191"/>
      <c r="G70" s="250"/>
      <c r="H70" s="193"/>
      <c r="I70" s="193"/>
      <c r="J70" s="176"/>
    </row>
    <row r="71" spans="2:13" x14ac:dyDescent="0.25">
      <c r="B71" s="251" t="s">
        <v>138</v>
      </c>
      <c r="C71" s="252">
        <f>SUM(F63:F64)</f>
        <v>18474.240000000002</v>
      </c>
      <c r="D71" s="252">
        <f>+D58</f>
        <v>9000</v>
      </c>
      <c r="E71" s="257">
        <f>+C71/D71</f>
        <v>2.0526933333333335</v>
      </c>
      <c r="F71" s="191"/>
      <c r="G71" s="250"/>
      <c r="H71" s="193"/>
      <c r="I71" s="193"/>
      <c r="J71" s="176"/>
    </row>
    <row r="72" spans="2:13" x14ac:dyDescent="0.25">
      <c r="B72" s="251"/>
      <c r="C72" s="252"/>
      <c r="D72" s="252"/>
      <c r="E72" s="257"/>
      <c r="F72" s="191"/>
      <c r="G72" s="250"/>
      <c r="H72" s="193"/>
      <c r="I72" s="193"/>
      <c r="J72" s="176"/>
    </row>
    <row r="73" spans="2:13" ht="13.5" thickBot="1" x14ac:dyDescent="0.3">
      <c r="B73" s="251" t="s">
        <v>139</v>
      </c>
      <c r="C73" s="252">
        <f>+F65</f>
        <v>1540</v>
      </c>
      <c r="D73" s="252">
        <f>+D58</f>
        <v>9000</v>
      </c>
      <c r="E73" s="257">
        <f>+C73/D73</f>
        <v>0.1711111111111111</v>
      </c>
      <c r="F73" s="191"/>
      <c r="G73" s="250"/>
      <c r="H73" s="193"/>
      <c r="I73" s="193"/>
      <c r="J73" s="176"/>
    </row>
    <row r="74" spans="2:13" ht="13.5" thickBot="1" x14ac:dyDescent="0.3">
      <c r="B74" s="251" t="s">
        <v>140</v>
      </c>
      <c r="C74" s="252">
        <f>+F56</f>
        <v>1540</v>
      </c>
      <c r="D74" s="252">
        <f>+D73</f>
        <v>9000</v>
      </c>
      <c r="E74" s="253">
        <f>+C74/D74</f>
        <v>0.1711111111111111</v>
      </c>
      <c r="F74" s="191"/>
      <c r="G74" s="250"/>
      <c r="H74" s="193"/>
      <c r="I74" s="193"/>
      <c r="J74" s="176"/>
    </row>
    <row r="75" spans="2:13" ht="13.5" thickBot="1" x14ac:dyDescent="0.3">
      <c r="B75" s="215"/>
      <c r="C75" s="216"/>
      <c r="D75" s="216"/>
      <c r="E75" s="257"/>
      <c r="F75" s="191"/>
      <c r="G75" s="250"/>
      <c r="H75" s="193"/>
      <c r="I75" s="193"/>
      <c r="J75" s="176"/>
    </row>
    <row r="76" spans="2:13" ht="13.5" thickBot="1" x14ac:dyDescent="0.3">
      <c r="B76" s="251" t="s">
        <v>141</v>
      </c>
      <c r="C76" s="252">
        <f>+F54</f>
        <v>0</v>
      </c>
      <c r="D76" s="252">
        <f>+D74</f>
        <v>9000</v>
      </c>
      <c r="E76" s="253">
        <f>+C76/D76</f>
        <v>0</v>
      </c>
      <c r="F76" s="191"/>
      <c r="G76" s="250"/>
      <c r="H76" s="193"/>
      <c r="I76" s="193"/>
      <c r="J76" s="193"/>
    </row>
    <row r="77" spans="2:13" ht="13.5" thickBot="1" x14ac:dyDescent="0.3">
      <c r="B77" s="215"/>
      <c r="C77" s="216"/>
      <c r="D77" s="216"/>
      <c r="E77" s="257"/>
      <c r="F77" s="191"/>
      <c r="G77" s="250"/>
      <c r="H77" s="193"/>
      <c r="I77" s="193"/>
    </row>
    <row r="78" spans="2:13" ht="13.5" thickBot="1" x14ac:dyDescent="0.3">
      <c r="B78" s="742" t="s">
        <v>142</v>
      </c>
      <c r="C78" s="743"/>
      <c r="D78" s="744"/>
      <c r="E78" s="253">
        <f>+E69+E74</f>
        <v>2.1835555555555555</v>
      </c>
      <c r="G78" s="191"/>
      <c r="H78" s="250"/>
      <c r="I78" s="193"/>
      <c r="J78" s="257"/>
    </row>
    <row r="79" spans="2:13" x14ac:dyDescent="0.25">
      <c r="I79" s="250"/>
      <c r="J79" s="176"/>
    </row>
    <row r="80" spans="2:13" ht="13.5" thickBot="1" x14ac:dyDescent="0.3">
      <c r="B80" s="741" t="s">
        <v>143</v>
      </c>
      <c r="C80" s="741"/>
      <c r="D80" s="741"/>
      <c r="E80" s="741"/>
      <c r="F80" s="741"/>
      <c r="G80" s="191"/>
      <c r="H80" s="250"/>
      <c r="J80" s="176"/>
    </row>
    <row r="81" spans="1:10" ht="13.5" thickBot="1" x14ac:dyDescent="0.3">
      <c r="B81" s="251" t="s">
        <v>137</v>
      </c>
      <c r="C81" s="252">
        <f>+C69</f>
        <v>18112</v>
      </c>
      <c r="D81" s="252">
        <f>+D60</f>
        <v>1</v>
      </c>
      <c r="E81" s="253">
        <f>+C81/D81</f>
        <v>18112</v>
      </c>
      <c r="F81" s="191"/>
      <c r="G81" s="250"/>
      <c r="H81" s="193"/>
      <c r="I81" s="250"/>
      <c r="J81" s="176"/>
    </row>
    <row r="82" spans="1:10" x14ac:dyDescent="0.25">
      <c r="B82" s="254"/>
      <c r="C82" s="255"/>
      <c r="D82" s="256"/>
      <c r="E82" s="239"/>
      <c r="F82" s="191"/>
      <c r="G82" s="250"/>
      <c r="H82" s="193"/>
      <c r="I82" s="193"/>
      <c r="J82" s="176"/>
    </row>
    <row r="83" spans="1:10" x14ac:dyDescent="0.25">
      <c r="B83" s="251" t="s">
        <v>138</v>
      </c>
      <c r="C83" s="252">
        <f>+C71</f>
        <v>18474.240000000002</v>
      </c>
      <c r="D83" s="252">
        <f>+D60</f>
        <v>1</v>
      </c>
      <c r="E83" s="257">
        <f>+C83/D83</f>
        <v>18474.240000000002</v>
      </c>
      <c r="F83" s="191"/>
      <c r="G83" s="250"/>
      <c r="H83" s="193"/>
      <c r="I83" s="193"/>
      <c r="J83" s="176"/>
    </row>
    <row r="84" spans="1:10" x14ac:dyDescent="0.25">
      <c r="B84" s="251"/>
      <c r="C84" s="252"/>
      <c r="D84" s="252"/>
      <c r="E84" s="257"/>
      <c r="F84" s="191"/>
      <c r="G84" s="250"/>
      <c r="H84" s="193"/>
      <c r="I84" s="193"/>
      <c r="J84" s="176"/>
    </row>
    <row r="85" spans="1:10" ht="13.5" thickBot="1" x14ac:dyDescent="0.3">
      <c r="B85" s="251" t="s">
        <v>140</v>
      </c>
      <c r="C85" s="252">
        <f>+C73</f>
        <v>1540</v>
      </c>
      <c r="D85" s="252">
        <f>+D60</f>
        <v>1</v>
      </c>
      <c r="E85" s="257">
        <f>+C85/D85</f>
        <v>1540</v>
      </c>
      <c r="F85" s="259"/>
      <c r="G85" s="249"/>
      <c r="H85" s="175"/>
      <c r="I85" s="193"/>
    </row>
    <row r="86" spans="1:10" ht="13.5" thickBot="1" x14ac:dyDescent="0.3">
      <c r="B86" s="251" t="s">
        <v>140</v>
      </c>
      <c r="C86" s="252">
        <f>+C74</f>
        <v>1540</v>
      </c>
      <c r="D86" s="252">
        <f>+D85</f>
        <v>1</v>
      </c>
      <c r="E86" s="253">
        <f>+C86/D86</f>
        <v>1540</v>
      </c>
      <c r="F86" s="258"/>
      <c r="G86" s="249"/>
      <c r="H86" s="175"/>
      <c r="I86" s="175"/>
    </row>
    <row r="87" spans="1:10" x14ac:dyDescent="0.25">
      <c r="I87" s="175"/>
    </row>
    <row r="88" spans="1:10" x14ac:dyDescent="0.2">
      <c r="A88" s="745"/>
      <c r="B88" s="745"/>
      <c r="C88" s="260"/>
      <c r="D88" s="260"/>
      <c r="E88" s="261"/>
      <c r="G88" s="262"/>
    </row>
    <row r="89" spans="1:10" x14ac:dyDescent="0.2">
      <c r="A89" s="194"/>
      <c r="B89" s="263"/>
      <c r="C89" s="264"/>
      <c r="D89" s="264"/>
      <c r="E89" s="265"/>
      <c r="G89" s="262"/>
    </row>
    <row r="90" spans="1:10" x14ac:dyDescent="0.2">
      <c r="A90" s="194"/>
      <c r="B90" s="263"/>
      <c r="C90" s="266"/>
      <c r="D90" s="266"/>
      <c r="E90" s="194"/>
      <c r="G90" s="262"/>
    </row>
    <row r="91" spans="1:10" x14ac:dyDescent="0.2">
      <c r="A91" s="194"/>
      <c r="B91" s="263"/>
      <c r="C91" s="267"/>
      <c r="D91" s="267"/>
      <c r="E91" s="194"/>
      <c r="G91" s="262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A3876-5C8E-4A00-BE7D-E8719E50FCD3}">
  <dimension ref="A1:Q91"/>
  <sheetViews>
    <sheetView topLeftCell="A3" workbookViewId="0">
      <selection activeCell="E9" sqref="E9"/>
    </sheetView>
  </sheetViews>
  <sheetFormatPr baseColWidth="10" defaultColWidth="8.42578125" defaultRowHeight="12.75" x14ac:dyDescent="0.25"/>
  <cols>
    <col min="1" max="1" width="10" style="176" bestFit="1" customWidth="1"/>
    <col min="2" max="2" width="44.28515625" style="176" bestFit="1" customWidth="1"/>
    <col min="3" max="3" width="10.42578125" style="176" bestFit="1" customWidth="1"/>
    <col min="4" max="4" width="10.42578125" style="176" customWidth="1"/>
    <col min="5" max="5" width="11" style="176" customWidth="1"/>
    <col min="6" max="6" width="9.5703125" style="176" bestFit="1" customWidth="1"/>
    <col min="7" max="7" width="10.85546875" style="258" customWidth="1"/>
    <col min="8" max="8" width="10.42578125" style="249" bestFit="1" customWidth="1"/>
    <col min="9" max="9" width="4.5703125" style="249" customWidth="1"/>
    <col min="10" max="10" width="1.85546875" style="175" customWidth="1"/>
    <col min="11" max="11" width="7" style="176" bestFit="1" customWidth="1"/>
    <col min="12" max="12" width="6.28515625" style="176" customWidth="1"/>
    <col min="13" max="13" width="20.42578125" style="176" customWidth="1"/>
    <col min="14" max="14" width="6.42578125" style="176" bestFit="1" customWidth="1"/>
    <col min="15" max="16" width="8.42578125" style="176"/>
    <col min="17" max="17" width="3.28515625" style="176" customWidth="1"/>
    <col min="18" max="16384" width="8.42578125" style="176"/>
  </cols>
  <sheetData>
    <row r="1" spans="1:10" ht="27.75" customHeight="1" x14ac:dyDescent="0.25">
      <c r="A1" s="171"/>
      <c r="B1" s="171"/>
      <c r="C1" s="171"/>
      <c r="D1" s="171"/>
      <c r="E1" s="172" t="s">
        <v>93</v>
      </c>
      <c r="F1" s="173" t="s">
        <v>94</v>
      </c>
      <c r="G1" s="173" t="s">
        <v>95</v>
      </c>
      <c r="H1" s="173" t="s">
        <v>96</v>
      </c>
      <c r="I1" s="174"/>
    </row>
    <row r="2" spans="1:10" ht="30.75" customHeight="1" x14ac:dyDescent="0.25">
      <c r="A2" s="171"/>
      <c r="B2" s="171"/>
      <c r="C2" s="171"/>
      <c r="D2" s="171"/>
      <c r="E2" s="177">
        <f>IFERROR(O62,"")</f>
        <v>23542.6</v>
      </c>
      <c r="F2" s="177">
        <f>IFERROR(H53,"")</f>
        <v>20627.044444444444</v>
      </c>
      <c r="G2" s="177">
        <f>IFERROR(H54,"")</f>
        <v>0</v>
      </c>
      <c r="H2" s="177">
        <f>IFERROR(H56,"")</f>
        <v>1403.1111111111111</v>
      </c>
      <c r="I2" s="178"/>
    </row>
    <row r="3" spans="1:10" ht="15" customHeight="1" x14ac:dyDescent="0.25">
      <c r="A3" s="171"/>
      <c r="B3" s="171"/>
      <c r="C3" s="171"/>
      <c r="D3" s="171"/>
      <c r="E3" s="171"/>
      <c r="F3" s="179"/>
      <c r="G3" s="179"/>
      <c r="H3" s="179"/>
      <c r="I3" s="179"/>
    </row>
    <row r="4" spans="1:10" ht="24.75" customHeight="1" thickBot="1" x14ac:dyDescent="0.3">
      <c r="A4" s="727"/>
      <c r="B4" s="727"/>
      <c r="C4" s="727"/>
      <c r="D4" s="727"/>
      <c r="E4" s="727"/>
      <c r="F4" s="727"/>
      <c r="G4" s="727"/>
      <c r="H4" s="727"/>
      <c r="I4" s="180"/>
    </row>
    <row r="5" spans="1:10" ht="19.5" customHeight="1" thickBot="1" x14ac:dyDescent="0.3">
      <c r="A5" s="728" t="s">
        <v>97</v>
      </c>
      <c r="B5" s="729"/>
      <c r="C5" s="729"/>
      <c r="D5" s="729"/>
      <c r="E5" s="729"/>
      <c r="F5" s="729"/>
      <c r="G5" s="729"/>
      <c r="H5" s="730"/>
      <c r="I5" s="181"/>
    </row>
    <row r="6" spans="1:10" ht="19.5" thickBot="1" x14ac:dyDescent="0.3">
      <c r="A6" s="181"/>
      <c r="B6" s="181"/>
      <c r="C6" s="181"/>
      <c r="D6" s="181"/>
      <c r="E6" s="181"/>
      <c r="F6" s="731" t="s">
        <v>98</v>
      </c>
      <c r="G6" s="731"/>
      <c r="H6" s="182">
        <f ca="1">TODAY()</f>
        <v>46056</v>
      </c>
      <c r="I6" s="182"/>
    </row>
    <row r="7" spans="1:10" ht="26.25" thickBot="1" x14ac:dyDescent="0.3">
      <c r="A7" s="183" t="s">
        <v>99</v>
      </c>
      <c r="B7" s="184" t="s">
        <v>100</v>
      </c>
      <c r="C7" s="184" t="s">
        <v>99</v>
      </c>
      <c r="D7" s="185" t="s">
        <v>101</v>
      </c>
      <c r="E7" s="185" t="s">
        <v>102</v>
      </c>
      <c r="F7" s="185" t="s">
        <v>103</v>
      </c>
      <c r="G7" s="185" t="s">
        <v>104</v>
      </c>
      <c r="H7" s="186" t="s">
        <v>105</v>
      </c>
      <c r="I7" s="187"/>
    </row>
    <row r="8" spans="1:10" ht="13.5" x14ac:dyDescent="0.25">
      <c r="A8" s="188">
        <v>700</v>
      </c>
      <c r="B8" s="176" t="s">
        <v>90</v>
      </c>
      <c r="C8" s="189">
        <f>+A8</f>
        <v>700</v>
      </c>
      <c r="D8" s="190" t="s">
        <v>144</v>
      </c>
      <c r="E8" s="190">
        <v>15.05</v>
      </c>
      <c r="F8" s="190">
        <f>IFERROR(C8*E8,"")</f>
        <v>10535</v>
      </c>
      <c r="G8" s="191">
        <f t="shared" ref="G8:G14" si="0">IFERROR(F8/$F$66,"")</f>
        <v>0.48304448887886547</v>
      </c>
      <c r="H8" s="192"/>
      <c r="I8" s="192"/>
      <c r="J8" s="193"/>
    </row>
    <row r="9" spans="1:10" ht="13.5" x14ac:dyDescent="0.25">
      <c r="A9" s="188">
        <v>700</v>
      </c>
      <c r="B9" s="176" t="s">
        <v>157</v>
      </c>
      <c r="C9" s="189">
        <f>+A9</f>
        <v>700</v>
      </c>
      <c r="D9" s="190" t="s">
        <v>144</v>
      </c>
      <c r="E9" s="190">
        <v>3.78</v>
      </c>
      <c r="F9" s="190">
        <f>IFERROR(C9*E9,"")</f>
        <v>2646</v>
      </c>
      <c r="G9" s="191">
        <f t="shared" ref="G9" si="1">IFERROR(F9/$F$66,"")</f>
        <v>0.1213228018579476</v>
      </c>
      <c r="H9" s="192"/>
      <c r="I9" s="192"/>
      <c r="J9" s="193"/>
    </row>
    <row r="10" spans="1:10" ht="13.5" x14ac:dyDescent="0.25">
      <c r="A10" s="188"/>
      <c r="B10" s="176" t="str">
        <f>IFERROR(VLOOKUP(H10,'[1]Consolidado MP Planta'!$A$2:$M$823,3,0),"")</f>
        <v/>
      </c>
      <c r="C10" s="189">
        <f t="shared" ref="C10:C14" si="2">+A10</f>
        <v>0</v>
      </c>
      <c r="D10" s="190" t="str">
        <f>IFERROR(VLOOKUP(H10,'[1]Consolidado MP Planta'!$A$2:$M$823,13,0),"")</f>
        <v/>
      </c>
      <c r="E10" s="190" t="str">
        <f>IFERROR(VLOOKUP(H10,'[1]Consolidado MP Planta'!$A$2:$M$823,12,0),"")</f>
        <v/>
      </c>
      <c r="F10" s="190" t="str">
        <f t="shared" ref="F10:F14" si="3">IFERROR(C10*E10,"")</f>
        <v/>
      </c>
      <c r="G10" s="191" t="str">
        <f t="shared" si="0"/>
        <v/>
      </c>
      <c r="H10" s="192"/>
      <c r="I10" s="192"/>
      <c r="J10" s="193"/>
    </row>
    <row r="11" spans="1:10" ht="13.5" hidden="1" x14ac:dyDescent="0.25">
      <c r="A11" s="188"/>
      <c r="B11" s="176" t="str">
        <f>IFERROR(VLOOKUP(H11,'[1]Consolidado MP Planta'!$A$2:$M$823,3,0),"")</f>
        <v/>
      </c>
      <c r="C11" s="189">
        <f t="shared" si="2"/>
        <v>0</v>
      </c>
      <c r="D11" s="190" t="str">
        <f>IFERROR(VLOOKUP(H11,'[1]Consolidado MP Planta'!$A$2:$M$823,13,0),"")</f>
        <v/>
      </c>
      <c r="E11" s="190" t="str">
        <f>IFERROR(VLOOKUP(H11,'[1]Consolidado MP Planta'!$A$2:$M$823,12,0),"")</f>
        <v/>
      </c>
      <c r="F11" s="190" t="str">
        <f t="shared" si="3"/>
        <v/>
      </c>
      <c r="G11" s="191" t="str">
        <f t="shared" si="0"/>
        <v/>
      </c>
      <c r="H11" s="192"/>
      <c r="I11" s="192"/>
      <c r="J11" s="193"/>
    </row>
    <row r="12" spans="1:10" ht="13.5" hidden="1" x14ac:dyDescent="0.25">
      <c r="A12" s="188"/>
      <c r="B12" s="176" t="str">
        <f>IFERROR(VLOOKUP(H12,'[1]Consolidado MP Planta'!$A$2:$M$823,3,0),"")</f>
        <v/>
      </c>
      <c r="C12" s="189">
        <f t="shared" si="2"/>
        <v>0</v>
      </c>
      <c r="D12" s="190" t="str">
        <f>IFERROR(VLOOKUP(H12,'[1]Consolidado MP Planta'!$A$2:$M$823,13,0),"")</f>
        <v/>
      </c>
      <c r="E12" s="190" t="str">
        <f>IFERROR(VLOOKUP(H12,'[1]Consolidado MP Planta'!$A$2:$M$823,12,0),"")</f>
        <v/>
      </c>
      <c r="F12" s="190" t="str">
        <f t="shared" si="3"/>
        <v/>
      </c>
      <c r="G12" s="191" t="str">
        <f t="shared" si="0"/>
        <v/>
      </c>
      <c r="H12" s="192"/>
      <c r="I12" s="192"/>
      <c r="J12" s="193"/>
    </row>
    <row r="13" spans="1:10" ht="13.5" hidden="1" x14ac:dyDescent="0.25">
      <c r="A13" s="188"/>
      <c r="B13" s="176" t="str">
        <f>IFERROR(VLOOKUP(H13,'[1]Consolidado MP Planta'!$A$2:$M$823,3,0),"")</f>
        <v/>
      </c>
      <c r="C13" s="189">
        <f t="shared" si="2"/>
        <v>0</v>
      </c>
      <c r="D13" s="190" t="str">
        <f>IFERROR(VLOOKUP(H13,'[1]Consolidado MP Planta'!$A$2:$M$823,13,0),"")</f>
        <v/>
      </c>
      <c r="E13" s="190" t="str">
        <f>IFERROR(VLOOKUP(H13,'[1]Consolidado MP Planta'!$A$2:$M$823,12,0),"")</f>
        <v/>
      </c>
      <c r="F13" s="190" t="str">
        <f t="shared" si="3"/>
        <v/>
      </c>
      <c r="G13" s="191" t="str">
        <f t="shared" si="0"/>
        <v/>
      </c>
      <c r="H13" s="192"/>
      <c r="I13" s="192"/>
      <c r="J13" s="193"/>
    </row>
    <row r="14" spans="1:10" ht="13.5" hidden="1" x14ac:dyDescent="0.25">
      <c r="A14" s="188"/>
      <c r="B14" s="176" t="str">
        <f>IFERROR(VLOOKUP(H14,'[1]Consolidado MP Planta'!$A$2:$M$823,3,0),"")</f>
        <v/>
      </c>
      <c r="C14" s="189">
        <f t="shared" si="2"/>
        <v>0</v>
      </c>
      <c r="D14" s="190" t="str">
        <f>IFERROR(VLOOKUP(H14,'[1]Consolidado MP Planta'!$A$2:$M$823,13,0),"")</f>
        <v/>
      </c>
      <c r="E14" s="190" t="str">
        <f>IFERROR(VLOOKUP(H14,'[1]Consolidado MP Planta'!$A$2:$M$823,12,0),"")</f>
        <v/>
      </c>
      <c r="F14" s="190" t="str">
        <f t="shared" si="3"/>
        <v/>
      </c>
      <c r="G14" s="191" t="str">
        <f t="shared" si="0"/>
        <v/>
      </c>
      <c r="H14" s="192"/>
      <c r="I14" s="192"/>
      <c r="J14" s="193"/>
    </row>
    <row r="15" spans="1:10" ht="14.25" thickBot="1" x14ac:dyDescent="0.3">
      <c r="A15" s="188"/>
      <c r="B15" s="176" t="str">
        <f>IFERROR(VLOOKUP(H15,[2]Hoja2!$A$2:$G$589,2,0),"")</f>
        <v/>
      </c>
      <c r="C15" s="189"/>
      <c r="D15" s="190"/>
      <c r="E15" s="190"/>
      <c r="F15" s="190"/>
      <c r="G15" s="191"/>
      <c r="H15" s="192"/>
      <c r="I15" s="192"/>
      <c r="J15" s="193"/>
    </row>
    <row r="16" spans="1:10" ht="26.25" thickBot="1" x14ac:dyDescent="0.3">
      <c r="A16" s="183" t="s">
        <v>99</v>
      </c>
      <c r="B16" s="184" t="s">
        <v>106</v>
      </c>
      <c r="C16" s="184" t="s">
        <v>99</v>
      </c>
      <c r="D16" s="185" t="s">
        <v>101</v>
      </c>
      <c r="E16" s="185" t="s">
        <v>102</v>
      </c>
      <c r="F16" s="185" t="s">
        <v>103</v>
      </c>
      <c r="G16" s="185" t="s">
        <v>104</v>
      </c>
      <c r="H16" s="186" t="s">
        <v>105</v>
      </c>
      <c r="I16" s="187"/>
      <c r="J16" s="193"/>
    </row>
    <row r="17" spans="1:12" ht="13.5" x14ac:dyDescent="0.25">
      <c r="A17" s="188">
        <v>3700</v>
      </c>
      <c r="B17" s="176" t="s">
        <v>65</v>
      </c>
      <c r="C17" s="189">
        <f>+A17</f>
        <v>3700</v>
      </c>
      <c r="D17" s="189" t="s">
        <v>144</v>
      </c>
      <c r="E17" s="190">
        <f>+'Costo Marañon Caramelizado'!E69</f>
        <v>2.0124444444444443</v>
      </c>
      <c r="F17" s="190">
        <f>IFERROR(E17*C17,"")</f>
        <v>7446.0444444444438</v>
      </c>
      <c r="G17" s="191">
        <f t="shared" ref="G17:G24" si="4">IFERROR(F17/$F$66,"")</f>
        <v>0.34141155508647197</v>
      </c>
      <c r="H17" s="192" t="s">
        <v>146</v>
      </c>
      <c r="I17" s="192"/>
      <c r="J17" s="193"/>
    </row>
    <row r="18" spans="1:12" ht="13.5" hidden="1" x14ac:dyDescent="0.25">
      <c r="A18" s="188"/>
      <c r="B18" s="176" t="str">
        <f>IFERROR(VLOOKUP(H18,[1]SEMIELABORADOS!$A$2:$M$6000,2,0),"")</f>
        <v/>
      </c>
      <c r="C18" s="189">
        <f t="shared" ref="C18:C24" si="5">+A18</f>
        <v>0</v>
      </c>
      <c r="D18" s="189" t="str">
        <f>IFERROR(VLOOKUP(H18,[1]SEMIELABORADOS!$A$2:$M$6000,6,0),"")</f>
        <v/>
      </c>
      <c r="E18" s="190" t="str">
        <f>IFERROR(VLOOKUP(H18,[1]SEMIELABORADOS!$A$2:$H$65536,8,0),"")</f>
        <v/>
      </c>
      <c r="F18" s="190" t="str">
        <f t="shared" ref="F18:F24" si="6">IFERROR(E18*C18,"")</f>
        <v/>
      </c>
      <c r="G18" s="191" t="str">
        <f t="shared" si="4"/>
        <v/>
      </c>
      <c r="H18" s="192"/>
      <c r="I18" s="192"/>
      <c r="J18" s="193"/>
    </row>
    <row r="19" spans="1:12" ht="13.5" hidden="1" x14ac:dyDescent="0.25">
      <c r="A19" s="188"/>
      <c r="B19" s="176" t="str">
        <f>IFERROR(VLOOKUP(H19,[1]SEMIELABORADOS!$A$2:$M$6000,2,0),"")</f>
        <v/>
      </c>
      <c r="C19" s="189">
        <f>+A19</f>
        <v>0</v>
      </c>
      <c r="D19" s="189" t="str">
        <f>IFERROR(VLOOKUP(H19,[1]SEMIELABORADOS!$A$2:$M$6000,6,0),"")</f>
        <v/>
      </c>
      <c r="E19" s="190" t="str">
        <f>IFERROR(VLOOKUP(H19,[1]SEMIELABORADOS!$A$2:$H$65536,8,0),"")</f>
        <v/>
      </c>
      <c r="F19" s="190" t="str">
        <f>IFERROR(E19*C19,"")</f>
        <v/>
      </c>
      <c r="G19" s="191" t="str">
        <f t="shared" si="4"/>
        <v/>
      </c>
      <c r="H19" s="192"/>
      <c r="I19" s="192"/>
      <c r="J19" s="193"/>
    </row>
    <row r="20" spans="1:12" ht="13.5" hidden="1" x14ac:dyDescent="0.25">
      <c r="A20" s="188"/>
      <c r="B20" s="176" t="str">
        <f>IFERROR(VLOOKUP(H20,[1]SEMIELABORADOS!$A$2:$M$6000,2,0),"")</f>
        <v/>
      </c>
      <c r="C20" s="189">
        <f>+A20</f>
        <v>0</v>
      </c>
      <c r="D20" s="189" t="str">
        <f>IFERROR(VLOOKUP(H20,[1]SEMIELABORADOS!$A$2:$M$6000,6,0),"")</f>
        <v/>
      </c>
      <c r="E20" s="190" t="str">
        <f>IFERROR(VLOOKUP(H20,[1]SEMIELABORADOS!$A$2:$H$65536,8,0),"")</f>
        <v/>
      </c>
      <c r="F20" s="190" t="str">
        <f>IFERROR(E20*C20,"")</f>
        <v/>
      </c>
      <c r="G20" s="191" t="str">
        <f t="shared" si="4"/>
        <v/>
      </c>
      <c r="H20" s="192"/>
      <c r="I20" s="192"/>
      <c r="J20" s="193"/>
    </row>
    <row r="21" spans="1:12" ht="13.5" hidden="1" x14ac:dyDescent="0.25">
      <c r="A21" s="188"/>
      <c r="B21" s="176" t="str">
        <f>IFERROR(VLOOKUP(H21,[1]SEMIELABORADOS!$A$2:$M$6000,2,0),"")</f>
        <v/>
      </c>
      <c r="C21" s="189">
        <f>+A21</f>
        <v>0</v>
      </c>
      <c r="D21" s="189" t="str">
        <f>IFERROR(VLOOKUP(H21,[1]SEMIELABORADOS!$A$2:$M$6000,6,0),"")</f>
        <v/>
      </c>
      <c r="E21" s="190" t="str">
        <f>IFERROR(VLOOKUP(H21,[1]SEMIELABORADOS!$A$2:$H$65536,8,0),"")</f>
        <v/>
      </c>
      <c r="F21" s="190" t="str">
        <f>IFERROR(E21*C21,"")</f>
        <v/>
      </c>
      <c r="G21" s="191" t="str">
        <f t="shared" si="4"/>
        <v/>
      </c>
      <c r="H21" s="192"/>
      <c r="I21" s="192"/>
      <c r="J21" s="193"/>
    </row>
    <row r="22" spans="1:12" ht="13.5" hidden="1" x14ac:dyDescent="0.25">
      <c r="A22" s="188"/>
      <c r="B22" s="176" t="str">
        <f>IFERROR(VLOOKUP(H22,[1]SEMIELABORADOS!$A$2:$M$6000,2,0),"")</f>
        <v/>
      </c>
      <c r="C22" s="189">
        <f t="shared" si="5"/>
        <v>0</v>
      </c>
      <c r="D22" s="189" t="str">
        <f>IFERROR(VLOOKUP(H22,[1]SEMIELABORADOS!$A$2:$M$6000,6,0),"")</f>
        <v/>
      </c>
      <c r="E22" s="190" t="str">
        <f>IFERROR(VLOOKUP(H22,[1]SEMIELABORADOS!$A$2:$H$65536,8,0),"")</f>
        <v/>
      </c>
      <c r="F22" s="190" t="str">
        <f t="shared" si="6"/>
        <v/>
      </c>
      <c r="G22" s="191" t="str">
        <f t="shared" si="4"/>
        <v/>
      </c>
      <c r="H22" s="192"/>
      <c r="I22" s="192"/>
      <c r="J22" s="193"/>
    </row>
    <row r="23" spans="1:12" ht="13.5" hidden="1" x14ac:dyDescent="0.25">
      <c r="A23" s="188"/>
      <c r="B23" s="176" t="str">
        <f>IFERROR(VLOOKUP(H23,[1]SEMIELABORADOS!$A$2:$M$6000,2,0),"")</f>
        <v/>
      </c>
      <c r="C23" s="189">
        <f t="shared" si="5"/>
        <v>0</v>
      </c>
      <c r="D23" s="189" t="str">
        <f>IFERROR(VLOOKUP(H23,[1]SEMIELABORADOS!$A$2:$M$6000,6,0),"")</f>
        <v/>
      </c>
      <c r="E23" s="190" t="str">
        <f>IFERROR(VLOOKUP(H23,[1]SEMIELABORADOS!$A$2:$H$65536,8,0),"")</f>
        <v/>
      </c>
      <c r="F23" s="190" t="str">
        <f t="shared" si="6"/>
        <v/>
      </c>
      <c r="G23" s="191" t="str">
        <f t="shared" si="4"/>
        <v/>
      </c>
      <c r="H23" s="192"/>
      <c r="I23" s="192"/>
      <c r="J23" s="193"/>
    </row>
    <row r="24" spans="1:12" ht="13.5" hidden="1" x14ac:dyDescent="0.25">
      <c r="A24" s="188"/>
      <c r="B24" s="176" t="str">
        <f>IFERROR(VLOOKUP(H24,[1]SEMIELABORADOS!$A$2:$M$6000,2,0),"")</f>
        <v/>
      </c>
      <c r="C24" s="189">
        <f t="shared" si="5"/>
        <v>0</v>
      </c>
      <c r="D24" s="189" t="str">
        <f>IFERROR(VLOOKUP(H24,[1]SEMIELABORADOS!$A$2:$M$6000,6,0),"")</f>
        <v/>
      </c>
      <c r="E24" s="190" t="str">
        <f>IFERROR(VLOOKUP(H24,[1]SEMIELABORADOS!$A$2:$H$65536,8,0),"")</f>
        <v/>
      </c>
      <c r="F24" s="190" t="str">
        <f t="shared" si="6"/>
        <v/>
      </c>
      <c r="G24" s="191" t="str">
        <f t="shared" si="4"/>
        <v/>
      </c>
      <c r="H24" s="192"/>
      <c r="I24" s="192"/>
      <c r="J24" s="193"/>
    </row>
    <row r="25" spans="1:12" ht="14.25" thickBot="1" x14ac:dyDescent="0.3">
      <c r="A25" s="188"/>
      <c r="C25" s="189"/>
      <c r="D25" s="189"/>
      <c r="E25" s="190"/>
      <c r="F25" s="190"/>
      <c r="G25" s="191"/>
      <c r="H25" s="192"/>
      <c r="I25" s="192"/>
      <c r="J25" s="193"/>
    </row>
    <row r="26" spans="1:12" ht="26.25" hidden="1" thickBot="1" x14ac:dyDescent="0.3">
      <c r="A26" s="183" t="s">
        <v>99</v>
      </c>
      <c r="B26" s="184" t="s">
        <v>22</v>
      </c>
      <c r="C26" s="184" t="s">
        <v>99</v>
      </c>
      <c r="D26" s="185" t="s">
        <v>101</v>
      </c>
      <c r="E26" s="185" t="s">
        <v>102</v>
      </c>
      <c r="F26" s="185" t="s">
        <v>103</v>
      </c>
      <c r="G26" s="185" t="s">
        <v>104</v>
      </c>
      <c r="H26" s="186" t="s">
        <v>105</v>
      </c>
      <c r="I26" s="187"/>
    </row>
    <row r="27" spans="1:12" ht="13.5" hidden="1" x14ac:dyDescent="0.25">
      <c r="A27" s="188">
        <v>0</v>
      </c>
      <c r="B27" s="194" t="str">
        <f>IFERROR(VLOOKUP(H27,'[1]Consolidado MP Planta'!$A$2:$M$823,3,0),"")</f>
        <v/>
      </c>
      <c r="C27" s="189">
        <f t="shared" ref="C27:C32" si="7">+A27</f>
        <v>0</v>
      </c>
      <c r="D27" s="190" t="str">
        <f>IFERROR(VLOOKUP(H27,'[1]Consolidado MP Planta'!$A$2:$M$823,13,0),"")</f>
        <v/>
      </c>
      <c r="E27" s="190" t="str">
        <f>IFERROR(VLOOKUP(H27,'[1]Consolidado MP Planta'!$A$2:$M$823,12,0),"")</f>
        <v/>
      </c>
      <c r="F27" s="190" t="str">
        <f t="shared" ref="F27:F32" si="8">IFERROR(C27*E27,"")</f>
        <v/>
      </c>
      <c r="G27" s="191" t="str">
        <f t="shared" ref="G27:G32" si="9">IFERROR(F27/$F$66,"")</f>
        <v/>
      </c>
      <c r="H27" s="195"/>
      <c r="I27" s="195"/>
      <c r="J27" s="193"/>
      <c r="K27" s="726"/>
      <c r="L27" s="726"/>
    </row>
    <row r="28" spans="1:12" ht="13.5" hidden="1" x14ac:dyDescent="0.25">
      <c r="A28" s="188"/>
      <c r="B28" s="194" t="str">
        <f>IFERROR(VLOOKUP(H28,'[1]Consolidado MP Planta'!$A$2:$M$823,3,0),"")</f>
        <v/>
      </c>
      <c r="C28" s="189">
        <f t="shared" si="7"/>
        <v>0</v>
      </c>
      <c r="D28" s="190" t="str">
        <f>IFERROR(VLOOKUP(H28,'[1]Consolidado MP Planta'!$A$2:$M$823,13,0),"")</f>
        <v/>
      </c>
      <c r="E28" s="190" t="str">
        <f>IFERROR(VLOOKUP(H28,'[1]Consolidado MP Planta'!$A$2:$M$823,12,0),"")</f>
        <v/>
      </c>
      <c r="F28" s="190" t="str">
        <f t="shared" si="8"/>
        <v/>
      </c>
      <c r="G28" s="191" t="str">
        <f t="shared" si="9"/>
        <v/>
      </c>
      <c r="H28" s="195"/>
      <c r="I28" s="195"/>
      <c r="J28" s="193"/>
      <c r="K28" s="726"/>
      <c r="L28" s="726"/>
    </row>
    <row r="29" spans="1:12" ht="13.5" hidden="1" x14ac:dyDescent="0.25">
      <c r="A29" s="188"/>
      <c r="B29" s="194" t="str">
        <f>IFERROR(VLOOKUP(H29,'[1]Consolidado MP Planta'!$A$2:$M$823,3,0),"")</f>
        <v/>
      </c>
      <c r="C29" s="189">
        <f t="shared" si="7"/>
        <v>0</v>
      </c>
      <c r="D29" s="190" t="str">
        <f>IFERROR(VLOOKUP(H29,'[1]Consolidado MP Planta'!$A$2:$M$823,13,0),"")</f>
        <v/>
      </c>
      <c r="E29" s="190" t="str">
        <f>IFERROR(VLOOKUP(H29,'[1]Consolidado MP Planta'!$A$2:$M$823,12,0),"")</f>
        <v/>
      </c>
      <c r="F29" s="190" t="str">
        <f t="shared" si="8"/>
        <v/>
      </c>
      <c r="G29" s="191" t="str">
        <f t="shared" si="9"/>
        <v/>
      </c>
      <c r="H29" s="195"/>
      <c r="I29" s="195"/>
      <c r="J29" s="193"/>
      <c r="K29" s="726"/>
      <c r="L29" s="726"/>
    </row>
    <row r="30" spans="1:12" ht="13.5" hidden="1" x14ac:dyDescent="0.25">
      <c r="A30" s="188"/>
      <c r="B30" s="194" t="str">
        <f>IFERROR(VLOOKUP(H30,'[1]Consolidado MP Planta'!$A$2:$M$823,3,0),"")</f>
        <v/>
      </c>
      <c r="C30" s="189">
        <f t="shared" si="7"/>
        <v>0</v>
      </c>
      <c r="D30" s="190" t="str">
        <f>IFERROR(VLOOKUP(H30,'[1]Consolidado MP Planta'!$A$2:$M$823,13,0),"")</f>
        <v/>
      </c>
      <c r="E30" s="190" t="str">
        <f>IFERROR(VLOOKUP(H30,'[1]Consolidado MP Planta'!$A$2:$M$823,12,0),"")</f>
        <v/>
      </c>
      <c r="F30" s="190" t="str">
        <f t="shared" si="8"/>
        <v/>
      </c>
      <c r="G30" s="191" t="str">
        <f t="shared" si="9"/>
        <v/>
      </c>
      <c r="H30" s="195"/>
      <c r="I30" s="195"/>
      <c r="J30" s="193"/>
      <c r="K30" s="726"/>
      <c r="L30" s="726"/>
    </row>
    <row r="31" spans="1:12" ht="13.5" hidden="1" x14ac:dyDescent="0.25">
      <c r="A31" s="188"/>
      <c r="B31" s="194" t="str">
        <f>IFERROR(VLOOKUP(H31,'[1]Consolidado MP Planta'!$A$2:$M$823,3,0),"")</f>
        <v/>
      </c>
      <c r="C31" s="189">
        <f t="shared" si="7"/>
        <v>0</v>
      </c>
      <c r="D31" s="190" t="str">
        <f>IFERROR(VLOOKUP(H31,'[1]Consolidado MP Planta'!$A$2:$M$823,13,0),"")</f>
        <v/>
      </c>
      <c r="E31" s="190" t="str">
        <f>IFERROR(VLOOKUP(H31,'[1]Consolidado MP Planta'!$A$2:$M$823,12,0),"")</f>
        <v/>
      </c>
      <c r="F31" s="190" t="str">
        <f t="shared" si="8"/>
        <v/>
      </c>
      <c r="G31" s="191" t="str">
        <f t="shared" si="9"/>
        <v/>
      </c>
      <c r="H31" s="195"/>
      <c r="I31" s="195"/>
      <c r="J31" s="193"/>
      <c r="K31" s="196"/>
      <c r="L31" s="197"/>
    </row>
    <row r="32" spans="1:12" ht="13.5" hidden="1" x14ac:dyDescent="0.25">
      <c r="A32" s="188"/>
      <c r="B32" s="194" t="str">
        <f>IFERROR(VLOOKUP(H32,'[1]Consolidado MP Planta'!$A$2:$M$823,3,0),"")</f>
        <v/>
      </c>
      <c r="C32" s="189">
        <f t="shared" si="7"/>
        <v>0</v>
      </c>
      <c r="D32" s="190" t="str">
        <f>IFERROR(VLOOKUP(H32,'[1]Consolidado MP Planta'!$A$2:$M$823,13,0),"")</f>
        <v/>
      </c>
      <c r="E32" s="190" t="str">
        <f>IFERROR(VLOOKUP(H32,'[1]Consolidado MP Planta'!$A$2:$M$823,12,0),"")</f>
        <v/>
      </c>
      <c r="F32" s="190" t="str">
        <f t="shared" si="8"/>
        <v/>
      </c>
      <c r="G32" s="191" t="str">
        <f t="shared" si="9"/>
        <v/>
      </c>
      <c r="H32" s="195"/>
      <c r="I32" s="195"/>
      <c r="J32" s="193"/>
    </row>
    <row r="33" spans="1:13" ht="14.25" hidden="1" thickBot="1" x14ac:dyDescent="0.3">
      <c r="A33" s="188"/>
      <c r="B33" s="194"/>
      <c r="C33" s="189"/>
      <c r="D33" s="190"/>
      <c r="E33" s="190"/>
      <c r="F33" s="190"/>
      <c r="G33" s="191"/>
      <c r="H33" s="195"/>
      <c r="I33" s="195"/>
      <c r="J33" s="193"/>
    </row>
    <row r="34" spans="1:13" ht="26.25" thickBot="1" x14ac:dyDescent="0.25">
      <c r="A34" s="183" t="s">
        <v>99</v>
      </c>
      <c r="B34" s="184" t="s">
        <v>107</v>
      </c>
      <c r="C34" s="184" t="s">
        <v>99</v>
      </c>
      <c r="D34" s="185" t="s">
        <v>101</v>
      </c>
      <c r="E34" s="185" t="s">
        <v>102</v>
      </c>
      <c r="F34" s="185" t="s">
        <v>103</v>
      </c>
      <c r="G34" s="185" t="s">
        <v>104</v>
      </c>
      <c r="H34" s="186" t="s">
        <v>105</v>
      </c>
      <c r="I34" s="195"/>
      <c r="J34" s="193"/>
    </row>
    <row r="35" spans="1:13" ht="13.5" x14ac:dyDescent="0.25">
      <c r="A35" s="188">
        <f>+A17</f>
        <v>3700</v>
      </c>
      <c r="B35" s="194" t="s">
        <v>65</v>
      </c>
      <c r="C35" s="189">
        <f>+A35</f>
        <v>3700</v>
      </c>
      <c r="D35" s="190" t="s">
        <v>144</v>
      </c>
      <c r="E35" s="190">
        <f>+'Costo Marañon Caramelizado'!E76</f>
        <v>0</v>
      </c>
      <c r="F35" s="190">
        <f>IFERROR(E35*C35,"")</f>
        <v>0</v>
      </c>
      <c r="G35" s="191">
        <f t="shared" ref="G35:G41" si="10">IFERROR(F35/$F$66,"")</f>
        <v>0</v>
      </c>
      <c r="H35" s="195" t="s">
        <v>146</v>
      </c>
      <c r="I35" s="195"/>
      <c r="J35" s="193"/>
    </row>
    <row r="36" spans="1:13" ht="13.5" hidden="1" x14ac:dyDescent="0.25">
      <c r="A36" s="188">
        <f t="shared" ref="A36:A41" si="11">+A18</f>
        <v>0</v>
      </c>
      <c r="B36" s="194" t="str">
        <f>IFERROR(VLOOKUP(H36,[1]SEMIELABORADOS!$A$2:$M$6000,2,0),"")</f>
        <v/>
      </c>
      <c r="C36" s="189">
        <f t="shared" ref="C36:C41" si="12">+A36</f>
        <v>0</v>
      </c>
      <c r="D36" s="190" t="str">
        <f>IFERROR(VLOOKUP(H36,[1]SEMIELABORADOS!$A$2:$M$6000,6,0),"")</f>
        <v/>
      </c>
      <c r="E36" s="190" t="str">
        <f>IFERROR(VLOOKUP(H36,[1]SEMIELABORADOS!$A$2:$M$65536,10,0),"")</f>
        <v/>
      </c>
      <c r="F36" s="190" t="str">
        <f t="shared" ref="F36:F41" si="13">IFERROR(E36*C36,"")</f>
        <v/>
      </c>
      <c r="G36" s="191" t="str">
        <f t="shared" si="10"/>
        <v/>
      </c>
      <c r="H36" s="195"/>
      <c r="I36" s="195"/>
      <c r="J36" s="193"/>
    </row>
    <row r="37" spans="1:13" ht="13.5" hidden="1" x14ac:dyDescent="0.25">
      <c r="A37" s="188">
        <f t="shared" si="11"/>
        <v>0</v>
      </c>
      <c r="B37" s="194" t="str">
        <f>IFERROR(VLOOKUP(H37,[1]SEMIELABORADOS!$A$2:$M$6000,2,0),"")</f>
        <v/>
      </c>
      <c r="C37" s="189">
        <f t="shared" si="12"/>
        <v>0</v>
      </c>
      <c r="D37" s="190" t="str">
        <f>IFERROR(VLOOKUP(H37,[1]SEMIELABORADOS!$A$2:$M$6000,6,0),"")</f>
        <v/>
      </c>
      <c r="E37" s="190" t="str">
        <f>IFERROR(VLOOKUP(H37,[1]SEMIELABORADOS!$A$2:$M$65536,10,0),"")</f>
        <v/>
      </c>
      <c r="F37" s="190" t="str">
        <f t="shared" si="13"/>
        <v/>
      </c>
      <c r="G37" s="191" t="str">
        <f t="shared" si="10"/>
        <v/>
      </c>
      <c r="H37" s="195"/>
      <c r="I37" s="195"/>
      <c r="J37" s="193"/>
    </row>
    <row r="38" spans="1:13" ht="13.5" hidden="1" x14ac:dyDescent="0.25">
      <c r="A38" s="188">
        <f t="shared" si="11"/>
        <v>0</v>
      </c>
      <c r="B38" s="194" t="str">
        <f>IFERROR(VLOOKUP(H38,[1]SEMIELABORADOS!$A$2:$M$6000,2,0),"")</f>
        <v/>
      </c>
      <c r="C38" s="189">
        <f>+A38</f>
        <v>0</v>
      </c>
      <c r="D38" s="190" t="str">
        <f>IFERROR(VLOOKUP(H38,[1]SEMIELABORADOS!$A$2:$M$6000,6,0),"")</f>
        <v/>
      </c>
      <c r="E38" s="190" t="str">
        <f>IFERROR(VLOOKUP(H38,[1]SEMIELABORADOS!$A$2:$M$65536,10,0),"")</f>
        <v/>
      </c>
      <c r="F38" s="190" t="str">
        <f>IFERROR(E38*C38,"")</f>
        <v/>
      </c>
      <c r="G38" s="191" t="str">
        <f t="shared" si="10"/>
        <v/>
      </c>
      <c r="H38" s="195"/>
      <c r="I38" s="195"/>
      <c r="J38" s="193"/>
    </row>
    <row r="39" spans="1:13" ht="13.5" hidden="1" x14ac:dyDescent="0.25">
      <c r="A39" s="188">
        <f t="shared" si="11"/>
        <v>0</v>
      </c>
      <c r="B39" s="194" t="str">
        <f>IFERROR(VLOOKUP(H39,[1]SEMIELABORADOS!$A$2:$M$6000,2,0),"")</f>
        <v/>
      </c>
      <c r="C39" s="189">
        <f>+A39</f>
        <v>0</v>
      </c>
      <c r="D39" s="190" t="str">
        <f>IFERROR(VLOOKUP(H39,[1]SEMIELABORADOS!$A$2:$M$6000,6,0),"")</f>
        <v/>
      </c>
      <c r="E39" s="190" t="str">
        <f>IFERROR(VLOOKUP(H39,[1]SEMIELABORADOS!$A$2:$M$65536,10,0),"")</f>
        <v/>
      </c>
      <c r="F39" s="190" t="str">
        <f>IFERROR(E39*C39,"")</f>
        <v/>
      </c>
      <c r="G39" s="191" t="str">
        <f t="shared" si="10"/>
        <v/>
      </c>
      <c r="H39" s="195"/>
      <c r="I39" s="195"/>
      <c r="J39" s="193"/>
    </row>
    <row r="40" spans="1:13" ht="13.5" hidden="1" x14ac:dyDescent="0.25">
      <c r="A40" s="188">
        <f t="shared" si="11"/>
        <v>0</v>
      </c>
      <c r="B40" s="194" t="str">
        <f>IFERROR(VLOOKUP(H40,[1]SEMIELABORADOS!$A$2:$M$6000,2,0),"")</f>
        <v/>
      </c>
      <c r="C40" s="189">
        <f t="shared" si="12"/>
        <v>0</v>
      </c>
      <c r="D40" s="190" t="str">
        <f>IFERROR(VLOOKUP(H40,[1]SEMIELABORADOS!$A$2:$M$6000,6,0),"")</f>
        <v/>
      </c>
      <c r="E40" s="190" t="str">
        <f>IFERROR(VLOOKUP(H40,[1]SEMIELABORADOS!$A$2:$M$65536,10,0),"")</f>
        <v/>
      </c>
      <c r="F40" s="190" t="str">
        <f t="shared" si="13"/>
        <v/>
      </c>
      <c r="G40" s="191" t="str">
        <f t="shared" si="10"/>
        <v/>
      </c>
      <c r="H40" s="195"/>
      <c r="I40" s="195"/>
      <c r="J40" s="193"/>
    </row>
    <row r="41" spans="1:13" ht="13.5" hidden="1" x14ac:dyDescent="0.25">
      <c r="A41" s="188">
        <f t="shared" si="11"/>
        <v>0</v>
      </c>
      <c r="B41" s="194" t="str">
        <f>IFERROR(VLOOKUP(H41,[1]SEMIELABORADOS!$A$2:$M$6000,2,0),"")</f>
        <v/>
      </c>
      <c r="C41" s="189">
        <f t="shared" si="12"/>
        <v>0</v>
      </c>
      <c r="D41" s="190" t="str">
        <f>IFERROR(VLOOKUP(H41,[1]SEMIELABORADOS!$A$2:$M$6000,6,0),"")</f>
        <v/>
      </c>
      <c r="E41" s="190" t="str">
        <f>IFERROR(VLOOKUP(H41,[1]SEMIELABORADOS!$A$2:$M$65536,10,0),"")</f>
        <v/>
      </c>
      <c r="F41" s="190" t="str">
        <f t="shared" si="13"/>
        <v/>
      </c>
      <c r="G41" s="191" t="str">
        <f t="shared" si="10"/>
        <v/>
      </c>
      <c r="H41" s="195"/>
      <c r="I41" s="195"/>
      <c r="J41" s="193"/>
    </row>
    <row r="42" spans="1:13" ht="14.25" thickBot="1" x14ac:dyDescent="0.3">
      <c r="A42" s="188"/>
      <c r="B42" s="194"/>
      <c r="C42" s="189"/>
      <c r="D42" s="190"/>
      <c r="E42" s="190"/>
      <c r="F42" s="190"/>
      <c r="G42" s="191"/>
      <c r="H42" s="195"/>
      <c r="I42" s="195"/>
      <c r="J42" s="193"/>
    </row>
    <row r="43" spans="1:13" ht="26.25" thickBot="1" x14ac:dyDescent="0.3">
      <c r="A43" s="183" t="s">
        <v>99</v>
      </c>
      <c r="B43" s="184" t="s">
        <v>108</v>
      </c>
      <c r="C43" s="184" t="s">
        <v>99</v>
      </c>
      <c r="D43" s="185" t="s">
        <v>101</v>
      </c>
      <c r="E43" s="185" t="s">
        <v>102</v>
      </c>
      <c r="F43" s="185" t="s">
        <v>103</v>
      </c>
      <c r="G43" s="185" t="s">
        <v>104</v>
      </c>
      <c r="H43" s="186" t="s">
        <v>105</v>
      </c>
      <c r="I43" s="187"/>
      <c r="J43" s="193"/>
    </row>
    <row r="44" spans="1:13" ht="13.5" x14ac:dyDescent="0.25">
      <c r="A44" s="188">
        <f>+A35</f>
        <v>3700</v>
      </c>
      <c r="B44" s="194" t="s">
        <v>65</v>
      </c>
      <c r="C44" s="189">
        <f>+A44</f>
        <v>3700</v>
      </c>
      <c r="D44" s="190" t="s">
        <v>144</v>
      </c>
      <c r="E44" s="190">
        <f>+'Costo Marañon Caramelizado'!E74</f>
        <v>0.1711111111111111</v>
      </c>
      <c r="F44" s="190">
        <f>IFERROR(E44*C44,"")</f>
        <v>633.11111111111109</v>
      </c>
      <c r="G44" s="191">
        <f>IFERROR(F44/$F$66,"")</f>
        <v>2.9029030191760535E-2</v>
      </c>
      <c r="H44" s="195" t="s">
        <v>146</v>
      </c>
      <c r="I44" s="187"/>
      <c r="J44" s="193"/>
    </row>
    <row r="45" spans="1:13" ht="13.5" hidden="1" x14ac:dyDescent="0.25">
      <c r="A45" s="188">
        <f t="shared" ref="A45:A50" si="14">+A36</f>
        <v>0</v>
      </c>
      <c r="B45" s="194" t="str">
        <f>IFERROR(VLOOKUP(H45,[1]SEMIELABORADOS!$A$2:$M$6000,2,0),"")</f>
        <v/>
      </c>
      <c r="C45" s="189">
        <f t="shared" ref="C45:C50" si="15">+A45</f>
        <v>0</v>
      </c>
      <c r="D45" s="190" t="str">
        <f>IFERROR(VLOOKUP(H45,[1]SEMIELABORADOS!$A$2:$M$6000,6,0),"")</f>
        <v/>
      </c>
      <c r="E45" s="190" t="str">
        <f>IFERROR(VLOOKUP(H45,[1]SEMIELABORADOS!$A$2:$M$65536,12,0),"")</f>
        <v/>
      </c>
      <c r="F45" s="190" t="str">
        <f t="shared" ref="F45:F50" si="16">IFERROR(E45*C45,"")</f>
        <v/>
      </c>
      <c r="G45" s="191" t="str">
        <f t="shared" ref="G45:G50" si="17">IFERROR(F45/$F$66,"")</f>
        <v/>
      </c>
      <c r="H45" s="195"/>
      <c r="I45" s="187"/>
      <c r="J45" s="193"/>
      <c r="M45" s="198"/>
    </row>
    <row r="46" spans="1:13" ht="13.5" hidden="1" x14ac:dyDescent="0.25">
      <c r="A46" s="188">
        <f t="shared" si="14"/>
        <v>0</v>
      </c>
      <c r="B46" s="194" t="str">
        <f>IFERROR(VLOOKUP(H46,[1]SEMIELABORADOS!$A$2:$M$6000,2,0),"")</f>
        <v/>
      </c>
      <c r="C46" s="189">
        <f t="shared" si="15"/>
        <v>0</v>
      </c>
      <c r="D46" s="190" t="str">
        <f>IFERROR(VLOOKUP(H46,[1]SEMIELABORADOS!$A$2:$M$6000,6,0),"")</f>
        <v/>
      </c>
      <c r="E46" s="190" t="str">
        <f>IFERROR(VLOOKUP(H46,[1]SEMIELABORADOS!$A$2:$M$65536,12,0),"")</f>
        <v/>
      </c>
      <c r="F46" s="190" t="str">
        <f t="shared" si="16"/>
        <v/>
      </c>
      <c r="G46" s="191" t="str">
        <f t="shared" si="17"/>
        <v/>
      </c>
      <c r="H46" s="195"/>
      <c r="I46" s="187"/>
      <c r="J46" s="193"/>
    </row>
    <row r="47" spans="1:13" ht="13.5" hidden="1" x14ac:dyDescent="0.25">
      <c r="A47" s="188">
        <f t="shared" si="14"/>
        <v>0</v>
      </c>
      <c r="B47" s="194" t="str">
        <f>IFERROR(VLOOKUP(H47,[1]SEMIELABORADOS!$A$2:$M$6000,2,0),"")</f>
        <v/>
      </c>
      <c r="C47" s="189">
        <f t="shared" si="15"/>
        <v>0</v>
      </c>
      <c r="D47" s="190" t="str">
        <f>IFERROR(VLOOKUP(H47,[1]SEMIELABORADOS!$A$2:$M$6000,6,0),"")</f>
        <v/>
      </c>
      <c r="E47" s="190" t="str">
        <f>IFERROR(VLOOKUP(H47,[1]SEMIELABORADOS!$A$2:$M$65536,12,0),"")</f>
        <v/>
      </c>
      <c r="F47" s="190" t="str">
        <f t="shared" si="16"/>
        <v/>
      </c>
      <c r="G47" s="191" t="str">
        <f t="shared" si="17"/>
        <v/>
      </c>
      <c r="H47" s="195"/>
      <c r="I47" s="187"/>
      <c r="J47" s="193"/>
    </row>
    <row r="48" spans="1:13" ht="13.5" hidden="1" x14ac:dyDescent="0.25">
      <c r="A48" s="188">
        <f t="shared" si="14"/>
        <v>0</v>
      </c>
      <c r="B48" s="194" t="str">
        <f>IFERROR(VLOOKUP(H48,[1]SEMIELABORADOS!$A$2:$M$6000,2,0),"")</f>
        <v/>
      </c>
      <c r="C48" s="189">
        <f t="shared" si="15"/>
        <v>0</v>
      </c>
      <c r="D48" s="190" t="str">
        <f>IFERROR(VLOOKUP(H48,[1]SEMIELABORADOS!$A$2:$M$6000,6,0),"")</f>
        <v/>
      </c>
      <c r="E48" s="190" t="str">
        <f>IFERROR(VLOOKUP(H48,[1]SEMIELABORADOS!$A$2:$M$65536,12,0),"")</f>
        <v/>
      </c>
      <c r="F48" s="190" t="str">
        <f t="shared" si="16"/>
        <v/>
      </c>
      <c r="G48" s="191" t="str">
        <f t="shared" si="17"/>
        <v/>
      </c>
      <c r="H48" s="195"/>
      <c r="I48" s="187"/>
      <c r="J48" s="193"/>
    </row>
    <row r="49" spans="1:17" ht="13.5" hidden="1" x14ac:dyDescent="0.25">
      <c r="A49" s="188">
        <f t="shared" si="14"/>
        <v>0</v>
      </c>
      <c r="B49" s="194" t="str">
        <f>IFERROR(VLOOKUP(H49,[1]SEMIELABORADOS!$A$2:$M$6000,2,0),"")</f>
        <v/>
      </c>
      <c r="C49" s="189">
        <f t="shared" si="15"/>
        <v>0</v>
      </c>
      <c r="D49" s="190" t="str">
        <f>IFERROR(VLOOKUP(H49,[1]SEMIELABORADOS!$A$2:$M$6000,6,0),"")</f>
        <v/>
      </c>
      <c r="E49" s="190" t="str">
        <f>IFERROR(VLOOKUP(H49,[1]SEMIELABORADOS!$A$2:$M$65536,12,0),"")</f>
        <v/>
      </c>
      <c r="F49" s="190" t="str">
        <f t="shared" si="16"/>
        <v/>
      </c>
      <c r="G49" s="191" t="str">
        <f t="shared" si="17"/>
        <v/>
      </c>
      <c r="H49" s="195"/>
      <c r="I49" s="187"/>
      <c r="J49" s="193"/>
    </row>
    <row r="50" spans="1:17" ht="13.5" hidden="1" x14ac:dyDescent="0.25">
      <c r="A50" s="188">
        <f t="shared" si="14"/>
        <v>0</v>
      </c>
      <c r="B50" s="194" t="str">
        <f>IFERROR(VLOOKUP(H50,[1]SEMIELABORADOS!$A$2:$M$6000,2,0),"")</f>
        <v/>
      </c>
      <c r="C50" s="189">
        <f t="shared" si="15"/>
        <v>0</v>
      </c>
      <c r="D50" s="190" t="str">
        <f>IFERROR(VLOOKUP(H50,[1]SEMIELABORADOS!$A$2:$M$6000,6,0),"")</f>
        <v/>
      </c>
      <c r="E50" s="190" t="str">
        <f>IFERROR(VLOOKUP(H50,[1]SEMIELABORADOS!$A$2:$M$65536,12,0),"")</f>
        <v/>
      </c>
      <c r="F50" s="190" t="str">
        <f t="shared" si="16"/>
        <v/>
      </c>
      <c r="G50" s="191" t="str">
        <f t="shared" si="17"/>
        <v/>
      </c>
      <c r="H50" s="194"/>
      <c r="I50" s="187"/>
      <c r="J50" s="193"/>
    </row>
    <row r="51" spans="1:17" ht="13.5" x14ac:dyDescent="0.25">
      <c r="A51" s="188">
        <v>1</v>
      </c>
      <c r="B51" s="194" t="s">
        <v>109</v>
      </c>
      <c r="C51" s="189">
        <f>+A51</f>
        <v>1</v>
      </c>
      <c r="D51" s="189" t="s">
        <v>110</v>
      </c>
      <c r="E51" s="190">
        <f>+F65</f>
        <v>770</v>
      </c>
      <c r="F51" s="190">
        <f>IFERROR(C51*E51,"")</f>
        <v>770</v>
      </c>
      <c r="G51" s="191">
        <f>IFERROR(F51/$F$66,"")</f>
        <v>3.5305577260249299E-2</v>
      </c>
      <c r="H51" s="199"/>
      <c r="I51" s="199"/>
      <c r="J51" s="193"/>
    </row>
    <row r="52" spans="1:17" ht="14.25" thickBot="1" x14ac:dyDescent="0.3">
      <c r="A52" s="188"/>
      <c r="B52" s="194"/>
      <c r="C52" s="189"/>
      <c r="D52" s="189"/>
      <c r="E52" s="190"/>
      <c r="F52" s="190"/>
      <c r="G52" s="191"/>
      <c r="H52" s="199"/>
      <c r="I52" s="199"/>
      <c r="J52" s="193"/>
    </row>
    <row r="53" spans="1:17" ht="13.5" thickBot="1" x14ac:dyDescent="0.3">
      <c r="A53" s="200"/>
      <c r="B53" s="736" t="s">
        <v>111</v>
      </c>
      <c r="C53" s="736"/>
      <c r="D53" s="736"/>
      <c r="E53" s="736"/>
      <c r="F53" s="202">
        <f>SUM(F8:F14,F17:F24)</f>
        <v>20627.044444444444</v>
      </c>
      <c r="G53" s="191">
        <f>+F53/$F$66</f>
        <v>0.94577884582328497</v>
      </c>
      <c r="H53" s="203">
        <f>+F53/$D$60</f>
        <v>20627.044444444444</v>
      </c>
      <c r="I53" s="203"/>
      <c r="J53" s="204"/>
      <c r="K53" s="205"/>
      <c r="L53" s="205"/>
      <c r="M53" s="205"/>
      <c r="N53" s="205"/>
      <c r="O53" s="205"/>
      <c r="P53" s="205"/>
      <c r="Q53" s="206"/>
    </row>
    <row r="54" spans="1:17" x14ac:dyDescent="0.2">
      <c r="A54" s="200"/>
      <c r="B54" s="736" t="s">
        <v>112</v>
      </c>
      <c r="C54" s="736"/>
      <c r="D54" s="736"/>
      <c r="E54" s="736"/>
      <c r="F54" s="202">
        <f>SUM(F27:F32,F35:F41)</f>
        <v>0</v>
      </c>
      <c r="G54" s="191">
        <f>+F54/$F$66</f>
        <v>0</v>
      </c>
      <c r="H54" s="203">
        <f>+F54/$D$60</f>
        <v>0</v>
      </c>
      <c r="I54" s="203"/>
      <c r="J54" s="207"/>
      <c r="K54" s="737" t="s">
        <v>113</v>
      </c>
      <c r="L54" s="738"/>
      <c r="M54" s="738"/>
      <c r="N54" s="738"/>
      <c r="O54" s="208">
        <f>+F55</f>
        <v>20627.044444444444</v>
      </c>
      <c r="P54" s="208"/>
      <c r="Q54" s="209"/>
    </row>
    <row r="55" spans="1:17" x14ac:dyDescent="0.2">
      <c r="A55" s="200"/>
      <c r="B55" s="736" t="s">
        <v>114</v>
      </c>
      <c r="C55" s="736"/>
      <c r="D55" s="736"/>
      <c r="E55" s="736"/>
      <c r="F55" s="202">
        <f>+F53+F54</f>
        <v>20627.044444444444</v>
      </c>
      <c r="G55" s="191">
        <f>+F55/$F$66</f>
        <v>0.94577884582328497</v>
      </c>
      <c r="H55" s="203">
        <f>+F55/$D$60</f>
        <v>20627.044444444444</v>
      </c>
      <c r="I55" s="203"/>
      <c r="J55" s="210"/>
      <c r="K55" s="211"/>
      <c r="M55" s="212" t="s">
        <v>115</v>
      </c>
      <c r="N55" s="213"/>
      <c r="O55" s="208">
        <f>+H56</f>
        <v>1403.1111111111111</v>
      </c>
      <c r="P55" s="208"/>
      <c r="Q55" s="209"/>
    </row>
    <row r="56" spans="1:17" ht="13.5" thickBot="1" x14ac:dyDescent="0.25">
      <c r="A56" s="200"/>
      <c r="B56" s="201"/>
      <c r="C56" s="736" t="s">
        <v>116</v>
      </c>
      <c r="D56" s="736"/>
      <c r="E56" s="736"/>
      <c r="F56" s="202">
        <f>SUM(F44:F51)</f>
        <v>1403.1111111111111</v>
      </c>
      <c r="G56" s="191">
        <f>+F56/$F$66</f>
        <v>6.4334607452009834E-2</v>
      </c>
      <c r="H56" s="203">
        <f>+F56/$D$60</f>
        <v>1403.1111111111111</v>
      </c>
      <c r="I56" s="203"/>
      <c r="J56" s="210"/>
      <c r="K56" s="211"/>
      <c r="L56" s="211"/>
      <c r="M56" s="211" t="s">
        <v>117</v>
      </c>
      <c r="N56" s="214"/>
      <c r="O56" s="208">
        <f>O54*N56</f>
        <v>0</v>
      </c>
      <c r="P56" s="208"/>
      <c r="Q56" s="209"/>
    </row>
    <row r="57" spans="1:17" ht="13.5" thickBot="1" x14ac:dyDescent="0.25">
      <c r="A57" s="200"/>
      <c r="B57" s="215"/>
      <c r="C57" s="215"/>
      <c r="D57" s="215"/>
      <c r="E57" s="215"/>
      <c r="F57" s="216"/>
      <c r="G57" s="191"/>
      <c r="H57" s="217"/>
      <c r="I57" s="203"/>
      <c r="J57" s="210"/>
      <c r="K57" s="218"/>
      <c r="M57" s="219" t="s">
        <v>118</v>
      </c>
      <c r="N57" s="220"/>
      <c r="O57" s="221">
        <f>SUM(O54:O56)</f>
        <v>22030.155555555553</v>
      </c>
      <c r="P57" s="222"/>
      <c r="Q57" s="209"/>
    </row>
    <row r="58" spans="1:17" x14ac:dyDescent="0.2">
      <c r="B58" s="739" t="s">
        <v>119</v>
      </c>
      <c r="C58" s="739"/>
      <c r="D58" s="223">
        <v>5000</v>
      </c>
      <c r="E58" s="224"/>
      <c r="G58" s="191"/>
      <c r="H58" s="217">
        <f>+H56/77</f>
        <v>18.222222222222221</v>
      </c>
      <c r="I58" s="225"/>
      <c r="J58" s="210"/>
      <c r="K58" s="218"/>
      <c r="L58" s="211"/>
      <c r="M58" s="211" t="s">
        <v>120</v>
      </c>
      <c r="N58" s="226"/>
      <c r="O58" s="208">
        <f>+H59</f>
        <v>1512.4444444444443</v>
      </c>
      <c r="P58" s="208"/>
      <c r="Q58" s="209"/>
    </row>
    <row r="59" spans="1:17" x14ac:dyDescent="0.2">
      <c r="B59" s="739" t="s">
        <v>121</v>
      </c>
      <c r="C59" s="739"/>
      <c r="D59" s="227">
        <v>5000</v>
      </c>
      <c r="E59" s="224"/>
      <c r="G59" s="191"/>
      <c r="H59" s="217">
        <f>+H58*83</f>
        <v>1512.4444444444443</v>
      </c>
      <c r="I59" s="225"/>
      <c r="J59" s="210"/>
      <c r="K59" s="218"/>
      <c r="L59" s="211"/>
      <c r="M59" s="740" t="s">
        <v>118</v>
      </c>
      <c r="N59" s="740"/>
      <c r="O59" s="208">
        <f>SUM(O57:O58)</f>
        <v>23542.6</v>
      </c>
      <c r="P59" s="208"/>
      <c r="Q59" s="209"/>
    </row>
    <row r="60" spans="1:17" ht="13.5" thickBot="1" x14ac:dyDescent="0.25">
      <c r="B60" s="732" t="s">
        <v>122</v>
      </c>
      <c r="C60" s="732"/>
      <c r="D60" s="223">
        <f>+D58/D59</f>
        <v>1</v>
      </c>
      <c r="E60" s="224"/>
      <c r="F60" s="228"/>
      <c r="G60" s="191"/>
      <c r="H60" s="217"/>
      <c r="I60" s="225"/>
      <c r="J60" s="210"/>
      <c r="K60" s="218"/>
      <c r="L60" s="740"/>
      <c r="M60" s="740"/>
      <c r="N60" s="226"/>
      <c r="O60" s="208">
        <f>+O59*N60</f>
        <v>0</v>
      </c>
      <c r="P60" s="208"/>
      <c r="Q60" s="209"/>
    </row>
    <row r="61" spans="1:17" ht="13.5" thickBot="1" x14ac:dyDescent="0.25">
      <c r="B61" s="732" t="s">
        <v>123</v>
      </c>
      <c r="C61" s="732"/>
      <c r="D61" s="229"/>
      <c r="E61" s="224"/>
      <c r="F61" s="228"/>
      <c r="G61" s="191"/>
      <c r="H61" s="217"/>
      <c r="I61" s="225"/>
      <c r="J61" s="210"/>
      <c r="K61" s="733" t="s">
        <v>124</v>
      </c>
      <c r="L61" s="734"/>
      <c r="M61" s="734"/>
      <c r="N61" s="735"/>
      <c r="O61" s="221">
        <f>SUM(O59:O60)</f>
        <v>23542.6</v>
      </c>
      <c r="P61" s="230" t="s">
        <v>125</v>
      </c>
      <c r="Q61" s="209"/>
    </row>
    <row r="62" spans="1:17" ht="13.5" thickBot="1" x14ac:dyDescent="0.25">
      <c r="C62" s="200" t="s">
        <v>126</v>
      </c>
      <c r="D62" s="231"/>
      <c r="E62" s="174" t="s">
        <v>127</v>
      </c>
      <c r="F62" s="232" t="s">
        <v>128</v>
      </c>
      <c r="G62" s="191"/>
      <c r="H62" s="217"/>
      <c r="I62" s="225"/>
      <c r="J62" s="233"/>
      <c r="K62" s="234"/>
      <c r="L62" s="746" t="s">
        <v>129</v>
      </c>
      <c r="M62" s="746"/>
      <c r="N62" s="746"/>
      <c r="O62" s="235">
        <f>+O61/D60</f>
        <v>23542.6</v>
      </c>
      <c r="P62" s="236">
        <f>+O62/D59</f>
        <v>4.70852</v>
      </c>
      <c r="Q62" s="237"/>
    </row>
    <row r="63" spans="1:17" ht="13.5" thickBot="1" x14ac:dyDescent="0.25">
      <c r="B63" s="747" t="s">
        <v>114</v>
      </c>
      <c r="C63" s="747"/>
      <c r="D63" s="747"/>
      <c r="E63" s="238">
        <f>+F63/F63</f>
        <v>1</v>
      </c>
      <c r="F63" s="239">
        <f>SUM(F55)</f>
        <v>20627.044444444444</v>
      </c>
      <c r="G63" s="191">
        <f>+F63/$F$66</f>
        <v>0.94577884582328497</v>
      </c>
      <c r="H63" s="217"/>
      <c r="I63" s="225"/>
      <c r="K63" s="748"/>
      <c r="L63" s="749"/>
      <c r="M63" s="749"/>
      <c r="N63" s="749"/>
      <c r="O63" s="240"/>
      <c r="P63" s="241"/>
    </row>
    <row r="64" spans="1:17" ht="13.5" thickBot="1" x14ac:dyDescent="0.3">
      <c r="B64" s="750" t="s">
        <v>130</v>
      </c>
      <c r="C64" s="750"/>
      <c r="D64" s="750"/>
      <c r="E64" s="242">
        <v>0.02</v>
      </c>
      <c r="F64" s="239">
        <f>+F53*E64</f>
        <v>412.5408888888889</v>
      </c>
      <c r="G64" s="191">
        <f>+F64/$F$66</f>
        <v>1.8915576916465702E-2</v>
      </c>
      <c r="H64" s="203"/>
      <c r="I64" s="225"/>
      <c r="J64" s="243"/>
      <c r="O64" s="244"/>
      <c r="P64" s="201"/>
    </row>
    <row r="65" spans="2:13" ht="13.5" thickBot="1" x14ac:dyDescent="0.3">
      <c r="B65" s="751" t="s">
        <v>131</v>
      </c>
      <c r="C65" s="752"/>
      <c r="D65" s="245">
        <v>10</v>
      </c>
      <c r="E65" s="246">
        <v>77</v>
      </c>
      <c r="F65" s="239">
        <f>+E65*D65</f>
        <v>770</v>
      </c>
      <c r="G65" s="191">
        <f>+F65/$F$66</f>
        <v>3.5305577260249299E-2</v>
      </c>
      <c r="H65" s="203"/>
      <c r="I65" s="203"/>
      <c r="J65" s="193"/>
    </row>
    <row r="66" spans="2:13" ht="13.5" thickBot="1" x14ac:dyDescent="0.3">
      <c r="B66" s="753" t="s">
        <v>132</v>
      </c>
      <c r="C66" s="754"/>
      <c r="D66" s="754"/>
      <c r="E66" s="755"/>
      <c r="F66" s="216">
        <f>SUM(F63:F65)</f>
        <v>21809.585333333333</v>
      </c>
      <c r="G66" s="191">
        <f>+F66/$F$66</f>
        <v>1</v>
      </c>
      <c r="H66" s="756"/>
      <c r="I66" s="203"/>
      <c r="J66" s="193"/>
      <c r="M66" s="176" t="s">
        <v>133</v>
      </c>
    </row>
    <row r="67" spans="2:13" x14ac:dyDescent="0.25">
      <c r="C67" s="198"/>
      <c r="D67" s="198"/>
      <c r="E67" s="248"/>
      <c r="F67" s="239"/>
      <c r="G67" s="191"/>
      <c r="H67" s="756"/>
      <c r="I67" s="247"/>
      <c r="J67" s="176"/>
      <c r="M67" s="176" t="s">
        <v>134</v>
      </c>
    </row>
    <row r="68" spans="2:13" ht="13.5" thickBot="1" x14ac:dyDescent="0.3">
      <c r="B68" s="741" t="s">
        <v>135</v>
      </c>
      <c r="C68" s="741"/>
      <c r="D68" s="741"/>
      <c r="E68" s="741"/>
      <c r="F68" s="741"/>
      <c r="G68" s="191"/>
      <c r="H68" s="250"/>
      <c r="I68" s="247"/>
      <c r="J68" s="176"/>
      <c r="M68" s="176" t="s">
        <v>136</v>
      </c>
    </row>
    <row r="69" spans="2:13" ht="13.5" thickBot="1" x14ac:dyDescent="0.3">
      <c r="B69" s="251" t="s">
        <v>137</v>
      </c>
      <c r="C69" s="252">
        <f>+F53</f>
        <v>20627.044444444444</v>
      </c>
      <c r="D69" s="252">
        <f>+D58</f>
        <v>5000</v>
      </c>
      <c r="E69" s="253">
        <f>+C69/D69</f>
        <v>4.1254088888888889</v>
      </c>
      <c r="F69" s="191"/>
      <c r="G69" s="250"/>
      <c r="H69" s="193"/>
      <c r="I69" s="250"/>
      <c r="J69" s="176"/>
    </row>
    <row r="70" spans="2:13" x14ac:dyDescent="0.25">
      <c r="B70" s="254"/>
      <c r="C70" s="255"/>
      <c r="D70" s="256"/>
      <c r="E70" s="239"/>
      <c r="F70" s="191"/>
      <c r="G70" s="250"/>
      <c r="H70" s="193"/>
      <c r="I70" s="193"/>
      <c r="J70" s="176"/>
    </row>
    <row r="71" spans="2:13" x14ac:dyDescent="0.25">
      <c r="B71" s="251" t="s">
        <v>138</v>
      </c>
      <c r="C71" s="252">
        <f>SUM(F63:F64)</f>
        <v>21039.585333333333</v>
      </c>
      <c r="D71" s="252">
        <f>+D58</f>
        <v>5000</v>
      </c>
      <c r="E71" s="257">
        <f>+C71/D71</f>
        <v>4.2079170666666661</v>
      </c>
      <c r="F71" s="191"/>
      <c r="G71" s="250"/>
      <c r="H71" s="193"/>
      <c r="I71" s="193"/>
      <c r="J71" s="176"/>
    </row>
    <row r="72" spans="2:13" x14ac:dyDescent="0.25">
      <c r="B72" s="251"/>
      <c r="C72" s="252"/>
      <c r="D72" s="252"/>
      <c r="E72" s="257"/>
      <c r="F72" s="191"/>
      <c r="G72" s="250"/>
      <c r="H72" s="193"/>
      <c r="I72" s="193"/>
      <c r="J72" s="176"/>
    </row>
    <row r="73" spans="2:13" ht="13.5" thickBot="1" x14ac:dyDescent="0.3">
      <c r="B73" s="251" t="s">
        <v>139</v>
      </c>
      <c r="C73" s="252">
        <f>+F65</f>
        <v>770</v>
      </c>
      <c r="D73" s="252">
        <f>+D58</f>
        <v>5000</v>
      </c>
      <c r="E73" s="257">
        <f>+C73/D73</f>
        <v>0.154</v>
      </c>
      <c r="F73" s="191"/>
      <c r="G73" s="250"/>
      <c r="H73" s="193"/>
      <c r="I73" s="193"/>
      <c r="J73" s="176"/>
    </row>
    <row r="74" spans="2:13" ht="13.5" thickBot="1" x14ac:dyDescent="0.3">
      <c r="B74" s="251" t="s">
        <v>140</v>
      </c>
      <c r="C74" s="252">
        <f>+F56</f>
        <v>1403.1111111111111</v>
      </c>
      <c r="D74" s="252">
        <f>+D73</f>
        <v>5000</v>
      </c>
      <c r="E74" s="253">
        <f>+C74/D74</f>
        <v>0.28062222222222222</v>
      </c>
      <c r="F74" s="191"/>
      <c r="G74" s="250"/>
      <c r="H74" s="193"/>
      <c r="I74" s="193"/>
      <c r="J74" s="176"/>
    </row>
    <row r="75" spans="2:13" ht="13.5" thickBot="1" x14ac:dyDescent="0.3">
      <c r="B75" s="215"/>
      <c r="C75" s="216"/>
      <c r="D75" s="216"/>
      <c r="E75" s="257"/>
      <c r="F75" s="191"/>
      <c r="G75" s="250"/>
      <c r="H75" s="193"/>
      <c r="I75" s="193"/>
      <c r="J75" s="176"/>
    </row>
    <row r="76" spans="2:13" ht="13.5" thickBot="1" x14ac:dyDescent="0.3">
      <c r="B76" s="251" t="s">
        <v>141</v>
      </c>
      <c r="C76" s="252">
        <f>+F54</f>
        <v>0</v>
      </c>
      <c r="D76" s="252">
        <f>+D74</f>
        <v>5000</v>
      </c>
      <c r="E76" s="253">
        <f>+C76/D76</f>
        <v>0</v>
      </c>
      <c r="F76" s="191"/>
      <c r="G76" s="250"/>
      <c r="H76" s="193"/>
      <c r="I76" s="193"/>
      <c r="J76" s="193"/>
    </row>
    <row r="77" spans="2:13" ht="13.5" thickBot="1" x14ac:dyDescent="0.3">
      <c r="B77" s="215"/>
      <c r="C77" s="216"/>
      <c r="D77" s="216"/>
      <c r="E77" s="257"/>
      <c r="F77" s="191"/>
      <c r="G77" s="250"/>
      <c r="H77" s="193"/>
      <c r="I77" s="193"/>
    </row>
    <row r="78" spans="2:13" ht="13.5" thickBot="1" x14ac:dyDescent="0.3">
      <c r="B78" s="742" t="s">
        <v>142</v>
      </c>
      <c r="C78" s="743"/>
      <c r="D78" s="744"/>
      <c r="E78" s="253">
        <f>+E69+E74</f>
        <v>4.406031111111111</v>
      </c>
      <c r="G78" s="191"/>
      <c r="H78" s="250"/>
      <c r="I78" s="193"/>
      <c r="J78" s="257"/>
    </row>
    <row r="79" spans="2:13" x14ac:dyDescent="0.25">
      <c r="I79" s="250"/>
      <c r="J79" s="176"/>
    </row>
    <row r="80" spans="2:13" ht="13.5" thickBot="1" x14ac:dyDescent="0.3">
      <c r="B80" s="741" t="s">
        <v>143</v>
      </c>
      <c r="C80" s="741"/>
      <c r="D80" s="741"/>
      <c r="E80" s="741"/>
      <c r="F80" s="741"/>
      <c r="G80" s="191"/>
      <c r="H80" s="250"/>
      <c r="J80" s="176"/>
    </row>
    <row r="81" spans="1:10" ht="13.5" thickBot="1" x14ac:dyDescent="0.3">
      <c r="B81" s="251" t="s">
        <v>137</v>
      </c>
      <c r="C81" s="252">
        <f>+C69</f>
        <v>20627.044444444444</v>
      </c>
      <c r="D81" s="252">
        <f>+D60</f>
        <v>1</v>
      </c>
      <c r="E81" s="253">
        <f>+C81/D81</f>
        <v>20627.044444444444</v>
      </c>
      <c r="F81" s="191"/>
      <c r="G81" s="250"/>
      <c r="H81" s="193"/>
      <c r="I81" s="250"/>
      <c r="J81" s="176"/>
    </row>
    <row r="82" spans="1:10" x14ac:dyDescent="0.25">
      <c r="B82" s="254"/>
      <c r="C82" s="255"/>
      <c r="D82" s="256"/>
      <c r="E82" s="239"/>
      <c r="F82" s="191"/>
      <c r="G82" s="250"/>
      <c r="H82" s="193"/>
      <c r="I82" s="193"/>
      <c r="J82" s="176"/>
    </row>
    <row r="83" spans="1:10" x14ac:dyDescent="0.25">
      <c r="B83" s="251" t="s">
        <v>138</v>
      </c>
      <c r="C83" s="252">
        <f>+C71</f>
        <v>21039.585333333333</v>
      </c>
      <c r="D83" s="252">
        <f>+D60</f>
        <v>1</v>
      </c>
      <c r="E83" s="257">
        <f>+C83/D83</f>
        <v>21039.585333333333</v>
      </c>
      <c r="F83" s="191"/>
      <c r="G83" s="250"/>
      <c r="H83" s="193"/>
      <c r="I83" s="193"/>
      <c r="J83" s="176"/>
    </row>
    <row r="84" spans="1:10" x14ac:dyDescent="0.25">
      <c r="B84" s="251"/>
      <c r="C84" s="252"/>
      <c r="D84" s="252"/>
      <c r="E84" s="257"/>
      <c r="F84" s="191"/>
      <c r="G84" s="250"/>
      <c r="H84" s="193"/>
      <c r="I84" s="193"/>
      <c r="J84" s="176"/>
    </row>
    <row r="85" spans="1:10" ht="13.5" thickBot="1" x14ac:dyDescent="0.3">
      <c r="B85" s="251" t="s">
        <v>140</v>
      </c>
      <c r="C85" s="252">
        <f>+C73</f>
        <v>770</v>
      </c>
      <c r="D85" s="252">
        <f>+D60</f>
        <v>1</v>
      </c>
      <c r="E85" s="257">
        <f>+C85/D85</f>
        <v>770</v>
      </c>
      <c r="F85" s="259"/>
      <c r="G85" s="249"/>
      <c r="H85" s="175"/>
      <c r="I85" s="193"/>
    </row>
    <row r="86" spans="1:10" ht="13.5" thickBot="1" x14ac:dyDescent="0.3">
      <c r="B86" s="251" t="s">
        <v>140</v>
      </c>
      <c r="C86" s="252">
        <f>+C74</f>
        <v>1403.1111111111111</v>
      </c>
      <c r="D86" s="252">
        <f>+D85</f>
        <v>1</v>
      </c>
      <c r="E86" s="253">
        <f>+C86/D86</f>
        <v>1403.1111111111111</v>
      </c>
      <c r="F86" s="258"/>
      <c r="G86" s="249"/>
      <c r="H86" s="175"/>
      <c r="I86" s="175"/>
    </row>
    <row r="87" spans="1:10" x14ac:dyDescent="0.25">
      <c r="I87" s="175"/>
    </row>
    <row r="88" spans="1:10" x14ac:dyDescent="0.2">
      <c r="A88" s="745"/>
      <c r="B88" s="745"/>
      <c r="C88" s="260"/>
      <c r="D88" s="260"/>
      <c r="E88" s="261"/>
      <c r="G88" s="262"/>
    </row>
    <row r="89" spans="1:10" x14ac:dyDescent="0.2">
      <c r="A89" s="194"/>
      <c r="B89" s="263"/>
      <c r="C89" s="264"/>
      <c r="D89" s="264"/>
      <c r="E89" s="265"/>
      <c r="G89" s="262"/>
    </row>
    <row r="90" spans="1:10" x14ac:dyDescent="0.2">
      <c r="A90" s="194"/>
      <c r="B90" s="263"/>
      <c r="C90" s="266"/>
      <c r="D90" s="266"/>
      <c r="E90" s="194"/>
      <c r="G90" s="262"/>
    </row>
    <row r="91" spans="1:10" x14ac:dyDescent="0.2">
      <c r="A91" s="194"/>
      <c r="B91" s="263"/>
      <c r="C91" s="267"/>
      <c r="D91" s="267"/>
      <c r="E91" s="194"/>
      <c r="G91" s="262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7C36-A0B1-4DD5-808B-5EA3D464FFF7}">
  <sheetPr>
    <pageSetUpPr fitToPage="1"/>
  </sheetPr>
  <dimension ref="A1:I25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4.28515625" bestFit="1" customWidth="1"/>
    <col min="3" max="3" width="36" bestFit="1" customWidth="1"/>
    <col min="4" max="4" width="18.140625" bestFit="1" customWidth="1"/>
    <col min="5" max="5" width="12" customWidth="1"/>
    <col min="9" max="9" width="17.28515625" customWidth="1"/>
  </cols>
  <sheetData>
    <row r="1" spans="1:9" ht="18" x14ac:dyDescent="0.25">
      <c r="A1" s="1036"/>
      <c r="B1" s="1037"/>
      <c r="C1" s="689" t="s">
        <v>0</v>
      </c>
      <c r="D1" s="689"/>
      <c r="E1" s="689"/>
      <c r="F1" s="689"/>
      <c r="G1" s="689"/>
      <c r="H1" s="102" t="s">
        <v>1</v>
      </c>
      <c r="I1" s="34" t="s">
        <v>358</v>
      </c>
    </row>
    <row r="2" spans="1:9" ht="18" x14ac:dyDescent="0.25">
      <c r="A2" s="1038"/>
      <c r="B2" s="1039"/>
      <c r="C2" s="690" t="s">
        <v>2</v>
      </c>
      <c r="D2" s="690"/>
      <c r="E2" s="690"/>
      <c r="F2" s="690"/>
      <c r="G2" s="690"/>
      <c r="H2" s="103" t="s">
        <v>3</v>
      </c>
      <c r="I2" s="36" t="s">
        <v>222</v>
      </c>
    </row>
    <row r="3" spans="1:9" ht="23.25" x14ac:dyDescent="0.25">
      <c r="A3" s="1038"/>
      <c r="B3" s="1039"/>
      <c r="C3" s="1168" t="s">
        <v>357</v>
      </c>
      <c r="D3" s="1169"/>
      <c r="E3" s="1169"/>
      <c r="F3" s="1169"/>
      <c r="G3" s="1169"/>
      <c r="H3" s="1042" t="s">
        <v>4</v>
      </c>
      <c r="I3" s="916">
        <v>46056</v>
      </c>
    </row>
    <row r="4" spans="1:9" x14ac:dyDescent="0.25">
      <c r="A4" s="1038"/>
      <c r="B4" s="1039"/>
      <c r="C4" s="104" t="s">
        <v>5</v>
      </c>
      <c r="D4" s="1032" t="s">
        <v>6</v>
      </c>
      <c r="E4" s="1033"/>
      <c r="F4" s="1033"/>
      <c r="G4" s="1033"/>
      <c r="H4" s="1042"/>
      <c r="I4" s="917"/>
    </row>
    <row r="5" spans="1:9" ht="15.75" thickBot="1" x14ac:dyDescent="0.3">
      <c r="A5" s="1040"/>
      <c r="B5" s="1041"/>
      <c r="C5" s="105" t="s">
        <v>7</v>
      </c>
      <c r="D5" s="1034" t="s">
        <v>8</v>
      </c>
      <c r="E5" s="1035"/>
      <c r="F5" s="1035"/>
      <c r="G5" s="1035"/>
      <c r="H5" s="1043"/>
      <c r="I5" s="918"/>
    </row>
    <row r="6" spans="1:9" ht="24.75" customHeight="1" thickBot="1" x14ac:dyDescent="0.3">
      <c r="A6" s="938" t="s">
        <v>9</v>
      </c>
      <c r="B6" s="938"/>
      <c r="C6" s="938"/>
      <c r="D6" s="783" t="s">
        <v>11</v>
      </c>
      <c r="E6" s="783"/>
      <c r="F6" s="783"/>
      <c r="G6" s="940" t="s">
        <v>10</v>
      </c>
      <c r="H6" s="940"/>
      <c r="I6" s="1180" t="s">
        <v>11</v>
      </c>
    </row>
    <row r="7" spans="1:9" ht="25.5" x14ac:dyDescent="0.25">
      <c r="A7" s="1027" t="s">
        <v>12</v>
      </c>
      <c r="B7" s="1027" t="s">
        <v>12</v>
      </c>
      <c r="C7" s="1029" t="s">
        <v>13</v>
      </c>
      <c r="D7" s="1029" t="s">
        <v>14</v>
      </c>
      <c r="E7" s="1029" t="s">
        <v>15</v>
      </c>
      <c r="F7" s="1029"/>
      <c r="G7" s="1029" t="s">
        <v>16</v>
      </c>
      <c r="H7" s="1029"/>
      <c r="I7" s="1179" t="s">
        <v>17</v>
      </c>
    </row>
    <row r="8" spans="1:9" ht="27" thickBot="1" x14ac:dyDescent="0.3">
      <c r="A8" s="1028"/>
      <c r="B8" s="1028"/>
      <c r="C8" s="1030"/>
      <c r="D8" s="1031"/>
      <c r="E8" s="106" t="s">
        <v>18</v>
      </c>
      <c r="F8" s="107" t="s">
        <v>19</v>
      </c>
      <c r="G8" s="106" t="s">
        <v>18</v>
      </c>
      <c r="H8" s="107" t="s">
        <v>19</v>
      </c>
      <c r="I8" s="108" t="s">
        <v>20</v>
      </c>
    </row>
    <row r="9" spans="1:9" ht="20.25" x14ac:dyDescent="0.3">
      <c r="A9" s="1170"/>
      <c r="B9" s="1167" t="s">
        <v>67</v>
      </c>
      <c r="C9" s="1170" t="s">
        <v>79</v>
      </c>
      <c r="D9" s="5" t="s">
        <v>45</v>
      </c>
      <c r="E9" s="6">
        <v>10100</v>
      </c>
      <c r="F9" s="7" t="s">
        <v>21</v>
      </c>
      <c r="G9" s="9"/>
      <c r="H9" s="10"/>
      <c r="I9" s="8"/>
    </row>
    <row r="10" spans="1:9" ht="20.25" x14ac:dyDescent="0.3">
      <c r="A10" s="1170"/>
      <c r="B10" s="1167" t="s">
        <v>80</v>
      </c>
      <c r="C10" s="1170" t="s">
        <v>81</v>
      </c>
      <c r="D10" s="5" t="s">
        <v>82</v>
      </c>
      <c r="E10" s="1171">
        <v>5000</v>
      </c>
      <c r="F10" s="7" t="s">
        <v>21</v>
      </c>
      <c r="G10" s="9"/>
      <c r="H10" s="10"/>
      <c r="I10" s="8"/>
    </row>
    <row r="11" spans="1:9" ht="20.25" x14ac:dyDescent="0.3">
      <c r="A11" s="1170"/>
      <c r="B11" s="1170"/>
      <c r="C11" s="1170"/>
      <c r="D11" s="5"/>
      <c r="E11" s="6"/>
      <c r="F11" s="7"/>
      <c r="G11" s="9"/>
      <c r="H11" s="10"/>
      <c r="I11" s="8"/>
    </row>
    <row r="12" spans="1:9" ht="20.25" x14ac:dyDescent="0.3">
      <c r="A12" s="1170"/>
      <c r="B12" s="1170"/>
      <c r="C12" s="1170"/>
      <c r="D12" s="5"/>
      <c r="E12" s="6"/>
      <c r="F12" s="7"/>
      <c r="G12" s="9"/>
      <c r="H12" s="1172"/>
      <c r="I12" s="8"/>
    </row>
    <row r="13" spans="1:9" ht="21" thickBot="1" x14ac:dyDescent="0.35">
      <c r="A13" s="16"/>
      <c r="B13" s="17"/>
      <c r="C13" s="18"/>
      <c r="D13" s="18"/>
      <c r="E13" s="19"/>
      <c r="F13" s="20"/>
      <c r="G13" s="18"/>
      <c r="H13" s="18"/>
      <c r="I13" s="21"/>
    </row>
    <row r="14" spans="1:9" ht="21" thickBot="1" x14ac:dyDescent="0.35">
      <c r="A14" s="22"/>
      <c r="B14" s="23"/>
      <c r="C14" s="24"/>
      <c r="D14" s="25" t="s">
        <v>18</v>
      </c>
      <c r="E14" s="26" t="s">
        <v>30</v>
      </c>
      <c r="F14" s="27"/>
      <c r="G14" s="24"/>
      <c r="H14" s="24"/>
      <c r="I14" s="28"/>
    </row>
    <row r="15" spans="1:9" ht="20.25" x14ac:dyDescent="0.3">
      <c r="A15" s="691" t="s">
        <v>31</v>
      </c>
      <c r="B15" s="692"/>
      <c r="C15" s="693"/>
      <c r="D15" s="9">
        <v>15000</v>
      </c>
      <c r="E15" s="29" t="s">
        <v>21</v>
      </c>
      <c r="F15" s="694"/>
      <c r="G15" s="694"/>
      <c r="H15" s="695"/>
      <c r="I15" s="696"/>
    </row>
    <row r="16" spans="1:9" ht="20.25" x14ac:dyDescent="0.3">
      <c r="A16" s="697" t="s">
        <v>53</v>
      </c>
      <c r="B16" s="698"/>
      <c r="C16" s="699"/>
      <c r="D16" s="30">
        <v>5</v>
      </c>
      <c r="E16" s="14" t="s">
        <v>32</v>
      </c>
      <c r="F16" s="700"/>
      <c r="G16" s="700"/>
      <c r="H16" s="701"/>
      <c r="I16" s="702"/>
    </row>
    <row r="17" spans="1:9" ht="20.25" x14ac:dyDescent="0.3">
      <c r="A17" s="697" t="s">
        <v>33</v>
      </c>
      <c r="B17" s="698"/>
      <c r="C17" s="699"/>
      <c r="D17" s="6">
        <v>1</v>
      </c>
      <c r="E17" s="14" t="s">
        <v>23</v>
      </c>
      <c r="F17" s="700"/>
      <c r="G17" s="700"/>
      <c r="H17" s="701"/>
      <c r="I17" s="702"/>
    </row>
    <row r="18" spans="1:9" ht="20.25" x14ac:dyDescent="0.3">
      <c r="A18" s="697" t="s">
        <v>34</v>
      </c>
      <c r="B18" s="698"/>
      <c r="C18" s="699"/>
      <c r="D18" s="6">
        <v>15000</v>
      </c>
      <c r="E18" s="14" t="s">
        <v>21</v>
      </c>
      <c r="F18" s="703"/>
      <c r="G18" s="704"/>
      <c r="H18" s="701"/>
      <c r="I18" s="702"/>
    </row>
    <row r="19" spans="1:9" ht="21" thickBot="1" x14ac:dyDescent="0.35">
      <c r="A19" s="705" t="s">
        <v>35</v>
      </c>
      <c r="B19" s="706"/>
      <c r="C19" s="707"/>
      <c r="D19" s="31">
        <f>SUM(E9:E10)-D15</f>
        <v>100</v>
      </c>
      <c r="E19" s="32" t="s">
        <v>21</v>
      </c>
      <c r="F19" s="708"/>
      <c r="G19" s="708"/>
      <c r="H19" s="709"/>
      <c r="I19" s="710"/>
    </row>
    <row r="20" spans="1:9" ht="21" thickBot="1" x14ac:dyDescent="0.35">
      <c r="A20" s="711" t="s">
        <v>36</v>
      </c>
      <c r="B20" s="712"/>
      <c r="C20" s="712"/>
      <c r="D20" s="712"/>
      <c r="E20" s="712"/>
      <c r="F20" s="712"/>
      <c r="G20" s="712"/>
      <c r="H20" s="712"/>
      <c r="I20" s="713"/>
    </row>
    <row r="21" spans="1:9" ht="20.25" x14ac:dyDescent="0.3">
      <c r="A21" s="714" t="s">
        <v>83</v>
      </c>
      <c r="B21" s="715"/>
      <c r="C21" s="1173"/>
      <c r="D21" s="1173"/>
      <c r="E21" s="1173"/>
      <c r="F21" s="1173"/>
      <c r="G21" s="1173"/>
      <c r="H21" s="1173"/>
      <c r="I21" s="1174"/>
    </row>
    <row r="22" spans="1:9" ht="20.25" x14ac:dyDescent="0.3">
      <c r="A22" s="1175"/>
      <c r="B22" s="1173"/>
      <c r="C22" s="1173"/>
      <c r="D22" s="1173"/>
      <c r="E22" s="1173"/>
      <c r="F22" s="1173"/>
      <c r="G22" s="1173"/>
      <c r="H22" s="1173"/>
      <c r="I22" s="1174"/>
    </row>
    <row r="23" spans="1:9" ht="20.25" x14ac:dyDescent="0.3">
      <c r="A23" s="717"/>
      <c r="B23" s="718"/>
      <c r="C23" s="718"/>
      <c r="D23" s="718"/>
      <c r="E23" s="718"/>
      <c r="F23" s="718"/>
      <c r="G23" s="718"/>
      <c r="H23" s="718"/>
      <c r="I23" s="719"/>
    </row>
    <row r="24" spans="1:9" ht="20.25" x14ac:dyDescent="0.3">
      <c r="A24" s="720" t="s">
        <v>37</v>
      </c>
      <c r="B24" s="721"/>
      <c r="C24" s="721"/>
      <c r="D24" s="721"/>
      <c r="E24" s="721"/>
      <c r="F24" s="721"/>
      <c r="G24" s="721"/>
      <c r="H24" s="721"/>
      <c r="I24" s="722"/>
    </row>
    <row r="25" spans="1:9" ht="21" thickBot="1" x14ac:dyDescent="0.35">
      <c r="A25" s="1176"/>
      <c r="B25" s="1177"/>
      <c r="C25" s="1177"/>
      <c r="D25" s="1177"/>
      <c r="E25" s="1177"/>
      <c r="F25" s="1177"/>
      <c r="G25" s="1177"/>
      <c r="H25" s="1177"/>
      <c r="I25" s="1178"/>
    </row>
  </sheetData>
  <mergeCells count="38">
    <mergeCell ref="A25:I25"/>
    <mergeCell ref="A22:I22"/>
    <mergeCell ref="A23:I23"/>
    <mergeCell ref="A24:I24"/>
    <mergeCell ref="A17:C17"/>
    <mergeCell ref="F17:G17"/>
    <mergeCell ref="H17:I17"/>
    <mergeCell ref="A18:C18"/>
    <mergeCell ref="F18:G18"/>
    <mergeCell ref="H18:I18"/>
    <mergeCell ref="A19:C19"/>
    <mergeCell ref="F19:G19"/>
    <mergeCell ref="H19:I19"/>
    <mergeCell ref="A20:I20"/>
    <mergeCell ref="A21:I21"/>
    <mergeCell ref="A15:C15"/>
    <mergeCell ref="F15:G15"/>
    <mergeCell ref="H15:I15"/>
    <mergeCell ref="A16:C16"/>
    <mergeCell ref="F16:G16"/>
    <mergeCell ref="H16:I1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71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38EE5-9DD2-4A19-B05C-68B579BB9DC2}">
  <dimension ref="A1:I58"/>
  <sheetViews>
    <sheetView zoomScale="85" zoomScaleNormal="85" workbookViewId="0">
      <selection sqref="A1:XFD1048576"/>
    </sheetView>
  </sheetViews>
  <sheetFormatPr baseColWidth="10" defaultRowHeight="15" x14ac:dyDescent="0.25"/>
  <cols>
    <col min="2" max="2" width="13.42578125" bestFit="1" customWidth="1"/>
    <col min="3" max="3" width="49" customWidth="1"/>
    <col min="4" max="4" width="34.28515625" bestFit="1" customWidth="1"/>
    <col min="8" max="8" width="33.7109375" bestFit="1" customWidth="1"/>
    <col min="9" max="9" width="21.85546875" bestFit="1" customWidth="1"/>
  </cols>
  <sheetData>
    <row r="1" spans="1:9" ht="17.25" x14ac:dyDescent="0.3">
      <c r="A1" s="766"/>
      <c r="B1" s="767"/>
      <c r="C1" s="772" t="s">
        <v>0</v>
      </c>
      <c r="D1" s="772"/>
      <c r="E1" s="772"/>
      <c r="F1" s="772"/>
      <c r="G1" s="772"/>
      <c r="H1" s="111" t="s">
        <v>1</v>
      </c>
      <c r="I1" s="112" t="s">
        <v>158</v>
      </c>
    </row>
    <row r="2" spans="1:9" ht="18" thickBot="1" x14ac:dyDescent="0.35">
      <c r="A2" s="768"/>
      <c r="B2" s="769"/>
      <c r="C2" s="773" t="s">
        <v>2</v>
      </c>
      <c r="D2" s="774"/>
      <c r="E2" s="774"/>
      <c r="F2" s="774"/>
      <c r="G2" s="775"/>
      <c r="H2" s="113" t="s">
        <v>3</v>
      </c>
      <c r="I2" s="114" t="s">
        <v>159</v>
      </c>
    </row>
    <row r="3" spans="1:9" ht="15.75" thickBot="1" x14ac:dyDescent="0.3">
      <c r="A3" s="768"/>
      <c r="B3" s="769"/>
      <c r="C3" s="776" t="s">
        <v>160</v>
      </c>
      <c r="D3" s="777"/>
      <c r="E3" s="777"/>
      <c r="F3" s="777"/>
      <c r="G3" s="778"/>
      <c r="H3" s="779" t="s">
        <v>4</v>
      </c>
      <c r="I3" s="757">
        <v>45663</v>
      </c>
    </row>
    <row r="4" spans="1:9" ht="17.25" x14ac:dyDescent="0.3">
      <c r="A4" s="768"/>
      <c r="B4" s="769"/>
      <c r="C4" s="115" t="s">
        <v>5</v>
      </c>
      <c r="D4" s="760" t="s">
        <v>38</v>
      </c>
      <c r="E4" s="761"/>
      <c r="F4" s="761"/>
      <c r="G4" s="762"/>
      <c r="H4" s="780"/>
      <c r="I4" s="758"/>
    </row>
    <row r="5" spans="1:9" ht="18" thickBot="1" x14ac:dyDescent="0.35">
      <c r="A5" s="770"/>
      <c r="B5" s="771"/>
      <c r="C5" s="116" t="s">
        <v>7</v>
      </c>
      <c r="D5" s="763" t="s">
        <v>39</v>
      </c>
      <c r="E5" s="764"/>
      <c r="F5" s="764"/>
      <c r="G5" s="765"/>
      <c r="H5" s="781"/>
      <c r="I5" s="759"/>
    </row>
    <row r="6" spans="1:9" ht="16.5" thickBot="1" x14ac:dyDescent="0.3">
      <c r="A6" s="782" t="s">
        <v>9</v>
      </c>
      <c r="B6" s="782"/>
      <c r="C6" s="782"/>
      <c r="D6" s="783" t="s">
        <v>46</v>
      </c>
      <c r="E6" s="783"/>
      <c r="F6" s="783"/>
      <c r="G6" s="784" t="s">
        <v>10</v>
      </c>
      <c r="H6" s="784"/>
      <c r="I6" s="117" t="s">
        <v>161</v>
      </c>
    </row>
    <row r="7" spans="1:9" x14ac:dyDescent="0.25">
      <c r="A7" s="785" t="s">
        <v>12</v>
      </c>
      <c r="B7" s="787" t="s">
        <v>41</v>
      </c>
      <c r="C7" s="789" t="s">
        <v>13</v>
      </c>
      <c r="D7" s="789" t="s">
        <v>14</v>
      </c>
      <c r="E7" s="789" t="s">
        <v>15</v>
      </c>
      <c r="F7" s="789"/>
      <c r="G7" s="789" t="s">
        <v>16</v>
      </c>
      <c r="H7" s="789"/>
      <c r="I7" s="118" t="s">
        <v>17</v>
      </c>
    </row>
    <row r="8" spans="1:9" ht="31.5" thickBot="1" x14ac:dyDescent="0.3">
      <c r="A8" s="786"/>
      <c r="B8" s="788"/>
      <c r="C8" s="790"/>
      <c r="D8" s="790"/>
      <c r="E8" s="119" t="s">
        <v>18</v>
      </c>
      <c r="F8" s="120" t="s">
        <v>19</v>
      </c>
      <c r="G8" s="119" t="s">
        <v>18</v>
      </c>
      <c r="H8" s="120" t="s">
        <v>19</v>
      </c>
      <c r="I8" s="121" t="s">
        <v>20</v>
      </c>
    </row>
    <row r="9" spans="1:9" ht="15.75" x14ac:dyDescent="0.25">
      <c r="A9" s="122"/>
      <c r="B9" s="123"/>
      <c r="C9" s="124" t="s">
        <v>42</v>
      </c>
      <c r="D9" s="125"/>
      <c r="E9" s="126"/>
      <c r="F9" s="127"/>
      <c r="G9" s="126"/>
      <c r="H9" s="127"/>
      <c r="I9" s="128"/>
    </row>
    <row r="10" spans="1:9" ht="17.25" x14ac:dyDescent="0.3">
      <c r="A10" s="135"/>
      <c r="B10" s="268" t="s">
        <v>162</v>
      </c>
      <c r="C10" s="137" t="s">
        <v>163</v>
      </c>
      <c r="D10" s="138" t="s">
        <v>45</v>
      </c>
      <c r="E10" s="269">
        <f>16580/16.58</f>
        <v>1000.0000000000001</v>
      </c>
      <c r="F10" s="270" t="s">
        <v>21</v>
      </c>
      <c r="G10" s="271"/>
      <c r="H10" s="272"/>
      <c r="I10" s="128"/>
    </row>
    <row r="11" spans="1:9" ht="17.25" x14ac:dyDescent="0.3">
      <c r="A11" s="135">
        <v>10400008</v>
      </c>
      <c r="B11" s="273" t="s">
        <v>164</v>
      </c>
      <c r="C11" s="274" t="s">
        <v>165</v>
      </c>
      <c r="D11" s="138" t="s">
        <v>166</v>
      </c>
      <c r="E11" s="139" t="s">
        <v>167</v>
      </c>
      <c r="F11" s="140" t="s">
        <v>21</v>
      </c>
      <c r="G11" s="271"/>
      <c r="H11" s="272"/>
      <c r="I11" s="128"/>
    </row>
    <row r="12" spans="1:9" ht="17.25" x14ac:dyDescent="0.3">
      <c r="A12" s="3"/>
      <c r="B12" s="3"/>
      <c r="C12" s="3"/>
      <c r="D12" s="3"/>
      <c r="E12" s="3"/>
      <c r="F12" s="3"/>
      <c r="G12" s="130"/>
      <c r="H12" s="272"/>
      <c r="I12" s="128"/>
    </row>
    <row r="13" spans="1:9" ht="17.25" x14ac:dyDescent="0.3">
      <c r="A13" s="268"/>
      <c r="B13" s="268"/>
      <c r="C13" s="274"/>
      <c r="D13" s="275"/>
      <c r="E13" s="269"/>
      <c r="F13" s="270"/>
      <c r="G13" s="130"/>
      <c r="H13" s="272"/>
      <c r="I13" s="128"/>
    </row>
    <row r="14" spans="1:9" ht="17.25" x14ac:dyDescent="0.3">
      <c r="A14" s="276"/>
      <c r="B14" s="277"/>
      <c r="C14" s="278"/>
      <c r="D14" s="130"/>
      <c r="E14" s="130"/>
      <c r="F14" s="279"/>
      <c r="G14" s="130"/>
      <c r="H14" s="272"/>
      <c r="I14" s="128"/>
    </row>
    <row r="15" spans="1:9" ht="17.25" x14ac:dyDescent="0.3">
      <c r="A15" s="280"/>
      <c r="B15" s="277"/>
      <c r="C15" s="281"/>
      <c r="D15" s="130"/>
      <c r="E15" s="130"/>
      <c r="F15" s="279"/>
      <c r="G15" s="130"/>
      <c r="H15" s="272"/>
      <c r="I15" s="128"/>
    </row>
    <row r="16" spans="1:9" ht="17.25" x14ac:dyDescent="0.3">
      <c r="A16" s="130"/>
      <c r="B16" s="130"/>
      <c r="C16" s="282"/>
      <c r="D16" s="283"/>
      <c r="E16" s="283"/>
      <c r="F16" s="271"/>
      <c r="G16" s="130"/>
      <c r="H16" s="272"/>
      <c r="I16" s="128"/>
    </row>
    <row r="17" spans="1:9" ht="17.25" x14ac:dyDescent="0.3">
      <c r="A17" s="277"/>
      <c r="B17" s="277"/>
      <c r="C17" s="284"/>
      <c r="D17" s="130"/>
      <c r="E17" s="130"/>
      <c r="F17" s="279"/>
      <c r="G17" s="130"/>
      <c r="H17" s="272"/>
      <c r="I17" s="128"/>
    </row>
    <row r="18" spans="1:9" ht="17.25" x14ac:dyDescent="0.3">
      <c r="A18" s="276"/>
      <c r="B18" s="277"/>
      <c r="C18" s="278"/>
      <c r="D18" s="130"/>
      <c r="E18" s="130"/>
      <c r="F18" s="279"/>
      <c r="G18" s="130"/>
      <c r="H18" s="272"/>
      <c r="I18" s="128"/>
    </row>
    <row r="19" spans="1:9" ht="17.25" x14ac:dyDescent="0.3">
      <c r="A19" s="285"/>
      <c r="B19" s="285"/>
      <c r="C19" s="286"/>
      <c r="D19" s="287"/>
      <c r="E19" s="148"/>
      <c r="F19" s="149"/>
      <c r="G19" s="126"/>
      <c r="H19" s="272"/>
      <c r="I19" s="128"/>
    </row>
    <row r="20" spans="1:9" ht="15.75" x14ac:dyDescent="0.25">
      <c r="A20" s="132"/>
      <c r="B20" s="133"/>
      <c r="C20" s="63" t="s">
        <v>46</v>
      </c>
      <c r="D20" s="131"/>
      <c r="E20" s="134"/>
      <c r="F20" s="129"/>
      <c r="G20" s="126"/>
      <c r="H20" s="127"/>
      <c r="I20" s="128"/>
    </row>
    <row r="21" spans="1:9" ht="17.25" x14ac:dyDescent="0.3">
      <c r="A21" s="135"/>
      <c r="B21" s="136"/>
      <c r="C21" s="137"/>
      <c r="D21" s="138"/>
      <c r="E21" s="139"/>
      <c r="F21" s="140"/>
      <c r="G21" s="126"/>
      <c r="H21" s="127"/>
      <c r="I21" s="128"/>
    </row>
    <row r="22" spans="1:9" ht="17.25" x14ac:dyDescent="0.3">
      <c r="A22" s="135"/>
      <c r="B22" s="136"/>
      <c r="C22" s="137"/>
      <c r="D22" s="138"/>
      <c r="E22" s="143"/>
      <c r="F22" s="140"/>
      <c r="G22" s="126"/>
      <c r="H22" s="127"/>
      <c r="I22" s="128"/>
    </row>
    <row r="23" spans="1:9" ht="17.25" x14ac:dyDescent="0.3">
      <c r="A23" s="135"/>
      <c r="B23" s="136"/>
      <c r="C23" s="137"/>
      <c r="D23" s="138"/>
      <c r="E23" s="139"/>
      <c r="F23" s="140"/>
      <c r="G23" s="126"/>
      <c r="H23" s="127"/>
      <c r="I23" s="128"/>
    </row>
    <row r="24" spans="1:9" ht="17.25" x14ac:dyDescent="0.3">
      <c r="A24" s="135"/>
      <c r="B24" s="136"/>
      <c r="C24" s="137"/>
      <c r="D24" s="138"/>
      <c r="E24" s="288"/>
      <c r="F24" s="289"/>
      <c r="G24" s="126"/>
      <c r="H24" s="127"/>
      <c r="I24" s="128"/>
    </row>
    <row r="25" spans="1:9" ht="17.25" x14ac:dyDescent="0.3">
      <c r="A25" s="135"/>
      <c r="B25" s="136"/>
      <c r="C25" s="137"/>
      <c r="D25" s="138"/>
      <c r="E25" s="269"/>
      <c r="F25" s="289"/>
      <c r="G25" s="126"/>
      <c r="H25" s="127"/>
      <c r="I25" s="128"/>
    </row>
    <row r="26" spans="1:9" ht="17.25" x14ac:dyDescent="0.3">
      <c r="A26" s="290"/>
      <c r="B26" s="290"/>
      <c r="C26" s="141"/>
      <c r="D26" s="291"/>
      <c r="E26" s="292"/>
      <c r="F26" s="293"/>
      <c r="G26" s="126"/>
      <c r="H26" s="127"/>
      <c r="I26" s="128"/>
    </row>
    <row r="27" spans="1:9" ht="17.25" x14ac:dyDescent="0.3">
      <c r="A27" s="285"/>
      <c r="B27" s="285"/>
      <c r="C27" s="286"/>
      <c r="D27" s="294"/>
      <c r="E27" s="142"/>
      <c r="F27" s="293"/>
      <c r="G27" s="126"/>
      <c r="H27" s="127"/>
      <c r="I27" s="128"/>
    </row>
    <row r="28" spans="1:9" ht="17.25" x14ac:dyDescent="0.3">
      <c r="A28" s="285"/>
      <c r="B28" s="285"/>
      <c r="C28" s="286"/>
      <c r="D28" s="294"/>
      <c r="E28" s="143"/>
      <c r="F28" s="295"/>
      <c r="G28" s="126"/>
      <c r="H28" s="127"/>
      <c r="I28" s="128"/>
    </row>
    <row r="29" spans="1:9" ht="15.75" x14ac:dyDescent="0.25">
      <c r="A29" s="144"/>
      <c r="B29" s="145"/>
      <c r="C29" s="69" t="s">
        <v>47</v>
      </c>
      <c r="D29" s="146"/>
      <c r="E29" s="147"/>
      <c r="F29" s="127"/>
      <c r="G29" s="126"/>
      <c r="H29" s="141"/>
      <c r="I29" s="128"/>
    </row>
    <row r="30" spans="1:9" ht="17.25" x14ac:dyDescent="0.3">
      <c r="A30" s="135" t="s">
        <v>150</v>
      </c>
      <c r="B30" s="273" t="s">
        <v>29</v>
      </c>
      <c r="C30" s="274" t="s">
        <v>168</v>
      </c>
      <c r="D30" s="138" t="s">
        <v>28</v>
      </c>
      <c r="E30" s="139">
        <v>1</v>
      </c>
      <c r="F30" s="140" t="s">
        <v>23</v>
      </c>
      <c r="G30" s="150"/>
      <c r="H30" s="127"/>
      <c r="I30" s="128"/>
    </row>
    <row r="31" spans="1:9" ht="17.25" x14ac:dyDescent="0.3">
      <c r="A31" s="296"/>
      <c r="B31" s="296"/>
      <c r="C31" s="151"/>
      <c r="D31" s="297"/>
      <c r="E31" s="298"/>
      <c r="F31" s="299"/>
      <c r="G31" s="150"/>
      <c r="H31" s="127"/>
      <c r="I31" s="128"/>
    </row>
    <row r="32" spans="1:9" ht="17.25" x14ac:dyDescent="0.3">
      <c r="A32" s="296"/>
      <c r="B32" s="296"/>
      <c r="C32" s="151"/>
      <c r="D32" s="297"/>
      <c r="E32" s="298"/>
      <c r="F32" s="299"/>
      <c r="G32" s="150"/>
      <c r="H32" s="127"/>
      <c r="I32" s="128"/>
    </row>
    <row r="33" spans="1:9" ht="15.75" x14ac:dyDescent="0.25">
      <c r="A33" s="300"/>
      <c r="B33" s="300"/>
      <c r="C33" s="301"/>
      <c r="D33" s="59"/>
      <c r="E33" s="302"/>
      <c r="F33" s="303"/>
      <c r="G33" s="126"/>
      <c r="H33" s="127"/>
      <c r="I33" s="128"/>
    </row>
    <row r="34" spans="1:9" ht="15.75" x14ac:dyDescent="0.25">
      <c r="A34" s="300"/>
      <c r="B34" s="300"/>
      <c r="C34" s="304"/>
      <c r="D34" s="59"/>
      <c r="E34" s="59"/>
      <c r="F34" s="303"/>
      <c r="G34" s="126"/>
      <c r="H34" s="127"/>
      <c r="I34" s="128"/>
    </row>
    <row r="35" spans="1:9" ht="15.75" x14ac:dyDescent="0.25">
      <c r="A35" s="300"/>
      <c r="B35" s="300"/>
      <c r="C35" s="304"/>
      <c r="D35" s="59"/>
      <c r="E35" s="59"/>
      <c r="F35" s="303"/>
      <c r="G35" s="305"/>
      <c r="H35" s="127"/>
      <c r="I35" s="128"/>
    </row>
    <row r="36" spans="1:9" ht="15.75" x14ac:dyDescent="0.25">
      <c r="A36" s="306"/>
      <c r="B36" s="307"/>
      <c r="C36" s="308"/>
      <c r="D36" s="309"/>
      <c r="E36" s="309"/>
      <c r="F36" s="310"/>
      <c r="G36" s="311"/>
      <c r="H36" s="127"/>
      <c r="I36" s="128"/>
    </row>
    <row r="37" spans="1:9" ht="15.75" x14ac:dyDescent="0.25">
      <c r="A37" s="132"/>
      <c r="B37" s="133"/>
      <c r="C37" s="151"/>
      <c r="D37" s="59"/>
      <c r="E37" s="311"/>
      <c r="F37" s="129"/>
      <c r="G37" s="311"/>
      <c r="H37" s="127"/>
      <c r="I37" s="128"/>
    </row>
    <row r="38" spans="1:9" ht="15.75" x14ac:dyDescent="0.25">
      <c r="A38" s="132"/>
      <c r="B38" s="133"/>
      <c r="C38" s="151"/>
      <c r="D38" s="131"/>
      <c r="E38" s="131"/>
      <c r="F38" s="129"/>
      <c r="G38" s="131"/>
      <c r="H38" s="131"/>
      <c r="I38" s="128"/>
    </row>
    <row r="39" spans="1:9" ht="18" thickBot="1" x14ac:dyDescent="0.35">
      <c r="A39" s="152"/>
      <c r="B39" s="153"/>
      <c r="C39" s="154"/>
      <c r="D39" s="154"/>
      <c r="E39" s="155"/>
      <c r="F39" s="156"/>
      <c r="G39" s="154"/>
      <c r="H39" s="154"/>
      <c r="I39" s="157"/>
    </row>
    <row r="40" spans="1:9" ht="18" thickBot="1" x14ac:dyDescent="0.35">
      <c r="A40" s="158"/>
      <c r="B40" s="159"/>
      <c r="C40" s="160"/>
      <c r="D40" s="161" t="s">
        <v>18</v>
      </c>
      <c r="E40" s="162" t="s">
        <v>30</v>
      </c>
      <c r="F40" s="163"/>
      <c r="G40" s="160"/>
      <c r="H40" s="160"/>
      <c r="I40" s="164"/>
    </row>
    <row r="41" spans="1:9" ht="17.25" x14ac:dyDescent="0.3">
      <c r="A41" s="791" t="s">
        <v>31</v>
      </c>
      <c r="B41" s="792"/>
      <c r="C41" s="793"/>
      <c r="D41" s="142">
        <v>1000</v>
      </c>
      <c r="E41" s="165" t="s">
        <v>21</v>
      </c>
      <c r="F41" s="794" t="s">
        <v>52</v>
      </c>
      <c r="G41" s="794"/>
      <c r="H41" s="795"/>
      <c r="I41" s="796"/>
    </row>
    <row r="42" spans="1:9" ht="17.25" x14ac:dyDescent="0.3">
      <c r="A42" s="797" t="s">
        <v>53</v>
      </c>
      <c r="B42" s="798"/>
      <c r="C42" s="799"/>
      <c r="D42" s="130">
        <v>3</v>
      </c>
      <c r="E42" s="130" t="s">
        <v>54</v>
      </c>
      <c r="F42" s="800" t="s">
        <v>55</v>
      </c>
      <c r="G42" s="800"/>
      <c r="H42" s="801"/>
      <c r="I42" s="802"/>
    </row>
    <row r="43" spans="1:9" ht="17.25" x14ac:dyDescent="0.3">
      <c r="A43" s="797" t="s">
        <v>33</v>
      </c>
      <c r="B43" s="798"/>
      <c r="C43" s="799"/>
      <c r="D43" s="130">
        <v>1</v>
      </c>
      <c r="E43" s="130" t="s">
        <v>169</v>
      </c>
      <c r="F43" s="800" t="s">
        <v>56</v>
      </c>
      <c r="G43" s="800"/>
      <c r="H43" s="801"/>
      <c r="I43" s="802"/>
    </row>
    <row r="44" spans="1:9" ht="17.25" x14ac:dyDescent="0.3">
      <c r="A44" s="797" t="s">
        <v>34</v>
      </c>
      <c r="B44" s="798"/>
      <c r="C44" s="799"/>
      <c r="D44" s="143">
        <v>1000</v>
      </c>
      <c r="E44" s="130" t="s">
        <v>21</v>
      </c>
      <c r="F44" s="807" t="s">
        <v>57</v>
      </c>
      <c r="G44" s="808"/>
      <c r="H44" s="809"/>
      <c r="I44" s="810"/>
    </row>
    <row r="45" spans="1:9" ht="18" thickBot="1" x14ac:dyDescent="0.35">
      <c r="A45" s="811" t="s">
        <v>35</v>
      </c>
      <c r="B45" s="812"/>
      <c r="C45" s="813"/>
      <c r="D45" s="166">
        <f>SUM(E10:E11)-D41</f>
        <v>0</v>
      </c>
      <c r="E45" s="167" t="s">
        <v>21</v>
      </c>
      <c r="F45" s="814"/>
      <c r="G45" s="814"/>
      <c r="H45" s="801"/>
      <c r="I45" s="802"/>
    </row>
    <row r="46" spans="1:9" ht="16.5" thickBot="1" x14ac:dyDescent="0.3">
      <c r="A46" s="815" t="s">
        <v>36</v>
      </c>
      <c r="B46" s="816"/>
      <c r="C46" s="816"/>
      <c r="D46" s="816"/>
      <c r="E46" s="816"/>
      <c r="F46" s="816"/>
      <c r="G46" s="816"/>
      <c r="H46" s="816"/>
      <c r="I46" s="817"/>
    </row>
    <row r="47" spans="1:9" ht="15.75" x14ac:dyDescent="0.25">
      <c r="A47" s="828" t="s">
        <v>170</v>
      </c>
      <c r="B47" s="829"/>
      <c r="C47" s="829"/>
      <c r="D47" s="829"/>
      <c r="E47" s="829"/>
      <c r="F47" s="829"/>
      <c r="G47" s="829"/>
      <c r="H47" s="829"/>
      <c r="I47" s="830"/>
    </row>
    <row r="48" spans="1:9" ht="15.75" x14ac:dyDescent="0.25">
      <c r="A48" s="828" t="s">
        <v>171</v>
      </c>
      <c r="B48" s="829"/>
      <c r="C48" s="829"/>
      <c r="D48" s="829"/>
      <c r="E48" s="829"/>
      <c r="F48" s="829"/>
      <c r="G48" s="829"/>
      <c r="H48" s="829"/>
      <c r="I48" s="830"/>
    </row>
    <row r="49" spans="1:9" ht="15.75" x14ac:dyDescent="0.25">
      <c r="A49" s="828" t="s">
        <v>172</v>
      </c>
      <c r="B49" s="829"/>
      <c r="C49" s="829"/>
      <c r="D49" s="829"/>
      <c r="E49" s="829"/>
      <c r="F49" s="829"/>
      <c r="G49" s="829"/>
      <c r="H49" s="829"/>
      <c r="I49" s="830"/>
    </row>
    <row r="50" spans="1:9" ht="15.75" x14ac:dyDescent="0.25">
      <c r="A50" s="828" t="s">
        <v>173</v>
      </c>
      <c r="B50" s="829"/>
      <c r="C50" s="829"/>
      <c r="D50" s="829"/>
      <c r="E50" s="829"/>
      <c r="F50" s="829"/>
      <c r="G50" s="829"/>
      <c r="H50" s="829"/>
      <c r="I50" s="830"/>
    </row>
    <row r="51" spans="1:9" ht="17.25" x14ac:dyDescent="0.3">
      <c r="A51" s="1151"/>
      <c r="B51" s="1152"/>
      <c r="C51" s="1153"/>
      <c r="D51" s="1153"/>
      <c r="E51" s="1153"/>
      <c r="F51" s="1153"/>
      <c r="G51" s="1153"/>
      <c r="H51" s="1153"/>
      <c r="I51" s="1154"/>
    </row>
    <row r="52" spans="1:9" ht="16.5" thickBot="1" x14ac:dyDescent="0.3">
      <c r="A52" s="831"/>
      <c r="B52" s="832"/>
      <c r="C52" s="832"/>
      <c r="D52" s="832"/>
      <c r="E52" s="832"/>
      <c r="F52" s="832"/>
      <c r="G52" s="832"/>
      <c r="H52" s="832"/>
      <c r="I52" s="833"/>
    </row>
    <row r="53" spans="1:9" ht="17.25" x14ac:dyDescent="0.3">
      <c r="A53" s="834"/>
      <c r="B53" s="835"/>
      <c r="C53" s="835"/>
      <c r="D53" s="835"/>
      <c r="E53" s="835"/>
      <c r="F53" s="835"/>
      <c r="G53" s="835"/>
      <c r="H53" s="835"/>
      <c r="I53" s="836"/>
    </row>
    <row r="54" spans="1:9" ht="18" thickBot="1" x14ac:dyDescent="0.35">
      <c r="A54" s="837"/>
      <c r="B54" s="838"/>
      <c r="C54" s="838"/>
      <c r="D54" s="838"/>
      <c r="E54" s="838"/>
      <c r="F54" s="838"/>
      <c r="G54" s="838"/>
      <c r="H54" s="838"/>
      <c r="I54" s="839"/>
    </row>
    <row r="55" spans="1:9" ht="16.5" thickBot="1" x14ac:dyDescent="0.3">
      <c r="A55" s="818"/>
      <c r="B55" s="819"/>
      <c r="C55" s="819"/>
      <c r="D55" s="819"/>
      <c r="E55" s="819"/>
      <c r="F55" s="819"/>
      <c r="G55" s="819"/>
      <c r="H55" s="819"/>
      <c r="I55" s="820"/>
    </row>
    <row r="56" spans="1:9" ht="15.75" x14ac:dyDescent="0.25">
      <c r="A56" s="1149" t="s">
        <v>37</v>
      </c>
      <c r="B56" s="1150"/>
      <c r="C56" s="1150"/>
      <c r="D56" s="1150"/>
      <c r="E56" s="1150"/>
      <c r="F56" s="1150"/>
      <c r="G56" s="1150"/>
      <c r="H56" s="1150"/>
      <c r="I56" s="1150"/>
    </row>
    <row r="57" spans="1:9" ht="17.25" x14ac:dyDescent="0.3">
      <c r="A57" s="763" t="s">
        <v>174</v>
      </c>
      <c r="B57" s="764"/>
      <c r="C57" s="764"/>
      <c r="D57" s="764"/>
      <c r="E57" s="764"/>
      <c r="F57" s="764"/>
      <c r="G57" s="764"/>
      <c r="H57" s="764"/>
      <c r="I57" s="765"/>
    </row>
    <row r="58" spans="1:9" x14ac:dyDescent="0.25">
      <c r="A58" s="922" t="s">
        <v>175</v>
      </c>
      <c r="B58" s="923"/>
      <c r="C58" s="923"/>
      <c r="D58" s="923"/>
      <c r="E58" s="923"/>
      <c r="F58" s="923"/>
      <c r="G58" s="923"/>
      <c r="H58" s="923"/>
      <c r="I58" s="924"/>
    </row>
  </sheetData>
  <mergeCells count="45"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41:C41"/>
    <mergeCell ref="F41:G41"/>
    <mergeCell ref="H41:I41"/>
    <mergeCell ref="A42:C42"/>
    <mergeCell ref="F42:G42"/>
    <mergeCell ref="H42:I4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A0D8-B14E-4810-9CF6-0EA53F5CA4D7}">
  <dimension ref="A1:L59"/>
  <sheetViews>
    <sheetView zoomScale="70" zoomScaleNormal="70" workbookViewId="0">
      <selection activeCell="I24" sqref="I23:I24"/>
    </sheetView>
  </sheetViews>
  <sheetFormatPr baseColWidth="10" defaultRowHeight="15" x14ac:dyDescent="0.25"/>
  <cols>
    <col min="1" max="1" width="12.28515625" bestFit="1" customWidth="1"/>
    <col min="3" max="3" width="49" customWidth="1"/>
    <col min="4" max="4" width="34.42578125" bestFit="1" customWidth="1"/>
    <col min="5" max="5" width="16.28515625" customWidth="1"/>
    <col min="6" max="6" width="14.42578125" customWidth="1"/>
    <col min="7" max="7" width="15.7109375" customWidth="1"/>
    <col min="8" max="8" width="47.5703125" bestFit="1" customWidth="1"/>
    <col min="9" max="9" width="21.28515625" bestFit="1" customWidth="1"/>
  </cols>
  <sheetData>
    <row r="1" spans="1:12" ht="18" x14ac:dyDescent="0.25">
      <c r="A1" s="1068"/>
      <c r="B1" s="1069"/>
      <c r="C1" s="1074" t="s">
        <v>0</v>
      </c>
      <c r="D1" s="1074"/>
      <c r="E1" s="1074"/>
      <c r="F1" s="1074"/>
      <c r="G1" s="1074"/>
      <c r="H1" s="312" t="s">
        <v>1</v>
      </c>
      <c r="I1" s="1" t="s">
        <v>176</v>
      </c>
    </row>
    <row r="2" spans="1:12" ht="18" customHeight="1" thickBot="1" x14ac:dyDescent="0.3">
      <c r="A2" s="1070"/>
      <c r="B2" s="1071"/>
      <c r="C2" s="1075" t="s">
        <v>2</v>
      </c>
      <c r="D2" s="1076"/>
      <c r="E2" s="1076"/>
      <c r="F2" s="1076"/>
      <c r="G2" s="1077"/>
      <c r="H2" s="313" t="s">
        <v>3</v>
      </c>
      <c r="I2" s="2" t="s">
        <v>177</v>
      </c>
    </row>
    <row r="3" spans="1:12" ht="31.5" customHeight="1" thickBot="1" x14ac:dyDescent="0.3">
      <c r="A3" s="1070"/>
      <c r="B3" s="1071"/>
      <c r="C3" s="1155" t="s">
        <v>178</v>
      </c>
      <c r="D3" s="1155"/>
      <c r="E3" s="1155"/>
      <c r="F3" s="1155"/>
      <c r="G3" s="1155"/>
      <c r="H3" s="1078" t="s">
        <v>4</v>
      </c>
      <c r="I3" s="687">
        <v>45659</v>
      </c>
    </row>
    <row r="4" spans="1:12" ht="18" customHeight="1" x14ac:dyDescent="0.25">
      <c r="A4" s="1070"/>
      <c r="B4" s="1071"/>
      <c r="C4" s="314" t="s">
        <v>5</v>
      </c>
      <c r="D4" s="1062" t="s">
        <v>38</v>
      </c>
      <c r="E4" s="1063"/>
      <c r="F4" s="1063"/>
      <c r="G4" s="1064"/>
      <c r="H4" s="1079"/>
      <c r="I4" s="688"/>
    </row>
    <row r="5" spans="1:12" ht="18.75" thickBot="1" x14ac:dyDescent="0.3">
      <c r="A5" s="1072"/>
      <c r="B5" s="1073"/>
      <c r="C5" s="315" t="s">
        <v>7</v>
      </c>
      <c r="D5" s="1065" t="s">
        <v>39</v>
      </c>
      <c r="E5" s="1066"/>
      <c r="F5" s="1066"/>
      <c r="G5" s="1067"/>
      <c r="H5" s="1080"/>
      <c r="I5" s="1061"/>
    </row>
    <row r="6" spans="1:12" ht="18.75" thickBot="1" x14ac:dyDescent="0.3">
      <c r="A6" s="938" t="s">
        <v>9</v>
      </c>
      <c r="B6" s="938"/>
      <c r="C6" s="938"/>
      <c r="D6" s="1081" t="s">
        <v>179</v>
      </c>
      <c r="E6" s="1081"/>
      <c r="F6" s="1081"/>
      <c r="G6" s="940" t="s">
        <v>10</v>
      </c>
      <c r="H6" s="940"/>
      <c r="I6" s="316" t="s">
        <v>46</v>
      </c>
    </row>
    <row r="7" spans="1:12" ht="36" x14ac:dyDescent="0.25">
      <c r="A7" s="1082" t="s">
        <v>12</v>
      </c>
      <c r="B7" s="1084" t="s">
        <v>41</v>
      </c>
      <c r="C7" s="1086" t="s">
        <v>13</v>
      </c>
      <c r="D7" s="1086" t="s">
        <v>14</v>
      </c>
      <c r="E7" s="1086" t="s">
        <v>15</v>
      </c>
      <c r="F7" s="1086"/>
      <c r="G7" s="1086" t="s">
        <v>16</v>
      </c>
      <c r="H7" s="1086"/>
      <c r="I7" s="317" t="s">
        <v>17</v>
      </c>
    </row>
    <row r="8" spans="1:12" ht="36.75" thickBot="1" x14ac:dyDescent="0.3">
      <c r="A8" s="1083"/>
      <c r="B8" s="1085"/>
      <c r="C8" s="1087"/>
      <c r="D8" s="1087"/>
      <c r="E8" s="318" t="s">
        <v>18</v>
      </c>
      <c r="F8" s="319" t="s">
        <v>19</v>
      </c>
      <c r="G8" s="318" t="s">
        <v>18</v>
      </c>
      <c r="H8" s="319" t="s">
        <v>19</v>
      </c>
      <c r="I8" s="320" t="s">
        <v>20</v>
      </c>
      <c r="L8" s="11"/>
    </row>
    <row r="9" spans="1:12" ht="18.600000000000001" customHeight="1" x14ac:dyDescent="0.3">
      <c r="A9" s="321"/>
      <c r="B9" s="322"/>
      <c r="C9" s="323" t="s">
        <v>42</v>
      </c>
      <c r="D9" s="324"/>
      <c r="E9" s="325"/>
      <c r="F9" s="326"/>
      <c r="G9" s="325"/>
      <c r="H9" s="326"/>
      <c r="I9" s="327"/>
    </row>
    <row r="10" spans="1:12" ht="18" customHeight="1" x14ac:dyDescent="0.3">
      <c r="A10" s="328">
        <v>310148</v>
      </c>
      <c r="B10" s="329" t="s">
        <v>180</v>
      </c>
      <c r="C10" s="330" t="s">
        <v>181</v>
      </c>
      <c r="D10" s="331" t="s">
        <v>182</v>
      </c>
      <c r="E10" s="332">
        <v>16150</v>
      </c>
      <c r="F10" s="333" t="s">
        <v>21</v>
      </c>
      <c r="G10" s="334"/>
      <c r="H10" s="335"/>
      <c r="I10" s="327"/>
      <c r="J10">
        <f>+E10/$D$39</f>
        <v>0.99299053083824285</v>
      </c>
      <c r="K10">
        <f>+J10*1000</f>
        <v>992.99053083824288</v>
      </c>
    </row>
    <row r="11" spans="1:12" ht="18.75" x14ac:dyDescent="0.3">
      <c r="A11" s="331" t="s">
        <v>183</v>
      </c>
      <c r="B11" s="331"/>
      <c r="C11" s="336" t="s">
        <v>89</v>
      </c>
      <c r="D11" s="331" t="s">
        <v>184</v>
      </c>
      <c r="E11" s="332">
        <v>100</v>
      </c>
      <c r="F11" s="333" t="s">
        <v>21</v>
      </c>
      <c r="G11" s="334"/>
      <c r="H11" s="335"/>
      <c r="I11" s="327"/>
      <c r="J11">
        <f t="shared" ref="J11:J13" si="0">+E11/$D$39</f>
        <v>6.1485481785649712E-3</v>
      </c>
      <c r="K11">
        <f t="shared" ref="K11:K13" si="1">+J11*1000</f>
        <v>6.1485481785649716</v>
      </c>
      <c r="L11" s="11">
        <f>SUM(E10:E13)</f>
        <v>16264.002020610224</v>
      </c>
    </row>
    <row r="12" spans="1:12" ht="18.75" x14ac:dyDescent="0.3">
      <c r="A12" s="331">
        <v>1212410</v>
      </c>
      <c r="B12" s="331" t="s">
        <v>185</v>
      </c>
      <c r="C12" s="336" t="s">
        <v>186</v>
      </c>
      <c r="D12" s="331" t="s">
        <v>187</v>
      </c>
      <c r="E12" s="332">
        <v>10.002020610224299</v>
      </c>
      <c r="F12" s="333" t="s">
        <v>21</v>
      </c>
      <c r="G12" s="334"/>
      <c r="H12" s="335"/>
      <c r="I12" s="327"/>
      <c r="J12">
        <f>+E12/$D$39</f>
        <v>6.149790560496392E-4</v>
      </c>
      <c r="K12">
        <f t="shared" si="1"/>
        <v>0.61497905604963921</v>
      </c>
      <c r="L12" s="11">
        <f>L11-230</f>
        <v>16034.002020610224</v>
      </c>
    </row>
    <row r="13" spans="1:12" ht="18.75" x14ac:dyDescent="0.3">
      <c r="A13" s="135">
        <v>10400008</v>
      </c>
      <c r="B13" s="273" t="s">
        <v>164</v>
      </c>
      <c r="C13" s="274" t="s">
        <v>165</v>
      </c>
      <c r="D13" s="138" t="s">
        <v>166</v>
      </c>
      <c r="E13" s="139">
        <v>4</v>
      </c>
      <c r="F13" s="140" t="s">
        <v>21</v>
      </c>
      <c r="G13" s="334"/>
      <c r="H13" s="335"/>
      <c r="I13" s="327"/>
      <c r="J13">
        <f t="shared" si="0"/>
        <v>2.4594192714259887E-4</v>
      </c>
      <c r="K13">
        <f t="shared" si="1"/>
        <v>0.24594192714259888</v>
      </c>
    </row>
    <row r="14" spans="1:12" ht="18.75" x14ac:dyDescent="0.3">
      <c r="A14" s="331"/>
      <c r="B14" s="331"/>
      <c r="C14" s="336"/>
      <c r="D14" s="331"/>
      <c r="E14" s="332"/>
      <c r="F14" s="333"/>
      <c r="G14" s="334"/>
      <c r="H14" s="335"/>
      <c r="I14" s="327"/>
    </row>
    <row r="15" spans="1:12" ht="18.75" x14ac:dyDescent="0.3">
      <c r="A15" s="331"/>
      <c r="B15" s="331"/>
      <c r="C15" s="336"/>
      <c r="D15" s="331"/>
      <c r="E15" s="332"/>
      <c r="F15" s="333"/>
      <c r="G15" s="334"/>
      <c r="H15" s="335"/>
      <c r="I15" s="327"/>
    </row>
    <row r="16" spans="1:12" ht="18.75" x14ac:dyDescent="0.3">
      <c r="A16" s="331"/>
      <c r="B16" s="331"/>
      <c r="C16" s="336"/>
      <c r="D16" s="331"/>
      <c r="E16" s="332"/>
      <c r="F16" s="333"/>
      <c r="G16" s="334"/>
      <c r="H16" s="335"/>
      <c r="I16" s="327"/>
    </row>
    <row r="17" spans="1:12" ht="18.75" x14ac:dyDescent="0.3">
      <c r="A17" s="331"/>
      <c r="B17" s="331"/>
      <c r="C17" s="336"/>
      <c r="D17" s="331"/>
      <c r="E17" s="332"/>
      <c r="F17" s="333"/>
      <c r="G17" s="334"/>
      <c r="H17" s="335"/>
      <c r="I17" s="327"/>
      <c r="L17">
        <f>E10/1000</f>
        <v>16.149999999999999</v>
      </c>
    </row>
    <row r="18" spans="1:12" ht="18.75" x14ac:dyDescent="0.3">
      <c r="A18" s="331"/>
      <c r="B18" s="331"/>
      <c r="C18" s="336"/>
      <c r="D18" s="331"/>
      <c r="E18" s="332"/>
      <c r="F18" s="333"/>
      <c r="G18" s="334"/>
      <c r="H18" s="335"/>
      <c r="I18" s="327"/>
    </row>
    <row r="19" spans="1:12" ht="18.75" x14ac:dyDescent="0.3">
      <c r="A19" s="331"/>
      <c r="B19" s="331"/>
      <c r="C19" s="336"/>
      <c r="D19" s="331"/>
      <c r="E19" s="332"/>
      <c r="F19" s="333"/>
      <c r="G19" s="334"/>
      <c r="H19" s="335"/>
      <c r="I19" s="327"/>
    </row>
    <row r="20" spans="1:12" ht="18.75" x14ac:dyDescent="0.3">
      <c r="A20" s="337"/>
      <c r="B20" s="337"/>
      <c r="C20" s="330"/>
      <c r="D20" s="338"/>
      <c r="E20" s="338"/>
      <c r="F20" s="338"/>
      <c r="G20" s="339"/>
      <c r="H20" s="335"/>
      <c r="I20" s="327"/>
    </row>
    <row r="21" spans="1:12" ht="18.75" x14ac:dyDescent="0.3">
      <c r="A21" s="340"/>
      <c r="B21" s="341"/>
      <c r="C21" s="342" t="s">
        <v>46</v>
      </c>
      <c r="D21" s="338"/>
      <c r="E21" s="338"/>
      <c r="F21" s="338"/>
      <c r="G21" s="339"/>
      <c r="H21" s="335"/>
      <c r="I21" s="327"/>
    </row>
    <row r="22" spans="1:12" ht="18.75" x14ac:dyDescent="0.3">
      <c r="A22" s="328"/>
      <c r="B22" s="329"/>
      <c r="C22" s="330"/>
      <c r="D22" s="343"/>
      <c r="E22" s="343"/>
      <c r="F22" s="343"/>
      <c r="G22" s="325"/>
      <c r="H22" s="335"/>
      <c r="I22" s="327"/>
    </row>
    <row r="23" spans="1:12" ht="18.75" x14ac:dyDescent="0.3">
      <c r="A23" s="344"/>
      <c r="B23" s="337"/>
      <c r="C23" s="330"/>
      <c r="D23" s="343"/>
      <c r="E23" s="343"/>
      <c r="F23" s="343"/>
      <c r="G23" s="325"/>
      <c r="H23" s="335"/>
      <c r="I23" s="327"/>
    </row>
    <row r="24" spans="1:12" ht="18.75" x14ac:dyDescent="0.3">
      <c r="A24" s="344"/>
      <c r="B24" s="337"/>
      <c r="C24" s="330"/>
      <c r="D24" s="343"/>
      <c r="E24" s="343"/>
      <c r="F24" s="343"/>
      <c r="G24" s="325"/>
      <c r="H24" s="335"/>
      <c r="I24" s="327"/>
    </row>
    <row r="25" spans="1:12" ht="18.75" x14ac:dyDescent="0.3">
      <c r="A25" s="340"/>
      <c r="B25" s="341"/>
      <c r="C25" s="342"/>
      <c r="D25" s="345"/>
      <c r="E25" s="346"/>
      <c r="F25" s="347"/>
      <c r="G25" s="325"/>
      <c r="H25" s="335"/>
      <c r="I25" s="327"/>
    </row>
    <row r="26" spans="1:12" ht="18.75" x14ac:dyDescent="0.3">
      <c r="A26" s="348"/>
      <c r="B26" s="349"/>
      <c r="C26" s="350"/>
      <c r="D26" s="351"/>
      <c r="E26" s="352"/>
      <c r="F26" s="353"/>
      <c r="G26" s="325"/>
      <c r="H26" s="335"/>
      <c r="I26" s="327"/>
    </row>
    <row r="27" spans="1:12" ht="18.75" x14ac:dyDescent="0.3">
      <c r="A27" s="329"/>
      <c r="B27" s="329"/>
      <c r="C27" s="330"/>
      <c r="D27" s="354"/>
      <c r="E27" s="355"/>
      <c r="F27" s="356"/>
      <c r="G27" s="325"/>
      <c r="H27" s="335"/>
      <c r="I27" s="327"/>
    </row>
    <row r="28" spans="1:12" ht="18.75" x14ac:dyDescent="0.3">
      <c r="A28" s="357"/>
      <c r="B28" s="358"/>
      <c r="C28" s="359" t="s">
        <v>47</v>
      </c>
      <c r="D28" s="360"/>
      <c r="E28" s="361"/>
      <c r="F28" s="326"/>
      <c r="G28" s="325"/>
      <c r="H28" s="335"/>
      <c r="I28" s="327"/>
    </row>
    <row r="29" spans="1:12" ht="18.75" x14ac:dyDescent="0.3">
      <c r="A29" s="362">
        <v>702123</v>
      </c>
      <c r="B29" s="363" t="s">
        <v>27</v>
      </c>
      <c r="C29" s="364" t="s">
        <v>188</v>
      </c>
      <c r="D29" s="338" t="s">
        <v>189</v>
      </c>
      <c r="E29" s="365">
        <v>1</v>
      </c>
      <c r="F29" s="366" t="s">
        <v>23</v>
      </c>
      <c r="G29" s="367"/>
      <c r="H29" s="335"/>
      <c r="I29" s="327"/>
    </row>
    <row r="30" spans="1:12" ht="18.75" x14ac:dyDescent="0.3">
      <c r="A30" s="362"/>
      <c r="B30" s="363"/>
      <c r="C30" s="364"/>
      <c r="D30" s="338"/>
      <c r="E30" s="365"/>
      <c r="F30" s="366"/>
      <c r="G30" s="367"/>
      <c r="H30" s="335"/>
      <c r="I30" s="327"/>
    </row>
    <row r="31" spans="1:12" ht="18.75" x14ac:dyDescent="0.3">
      <c r="A31" s="368"/>
      <c r="B31" s="369"/>
      <c r="C31" s="370"/>
      <c r="D31" s="338"/>
      <c r="E31" s="365"/>
      <c r="F31" s="366"/>
      <c r="G31" s="367"/>
      <c r="H31" s="335"/>
      <c r="I31" s="327"/>
    </row>
    <row r="32" spans="1:12" ht="18.75" x14ac:dyDescent="0.3">
      <c r="A32" s="371"/>
      <c r="B32" s="371"/>
      <c r="C32" s="372"/>
      <c r="D32" s="338"/>
      <c r="E32" s="365"/>
      <c r="F32" s="366"/>
      <c r="G32" s="325"/>
      <c r="H32" s="335"/>
      <c r="I32" s="327"/>
    </row>
    <row r="33" spans="1:9" ht="18.75" x14ac:dyDescent="0.3">
      <c r="A33" s="371"/>
      <c r="B33" s="371"/>
      <c r="C33" s="372"/>
      <c r="D33" s="338"/>
      <c r="E33" s="365"/>
      <c r="F33" s="366"/>
      <c r="G33" s="325"/>
      <c r="H33" s="335"/>
      <c r="I33" s="327"/>
    </row>
    <row r="34" spans="1:9" ht="18.75" x14ac:dyDescent="0.3">
      <c r="A34" s="371"/>
      <c r="B34" s="371"/>
      <c r="C34" s="372"/>
      <c r="D34" s="338"/>
      <c r="E34" s="365"/>
      <c r="F34" s="366"/>
      <c r="G34" s="373"/>
      <c r="H34" s="335"/>
      <c r="I34" s="327"/>
    </row>
    <row r="35" spans="1:9" ht="18.75" x14ac:dyDescent="0.3">
      <c r="A35" s="371"/>
      <c r="B35" s="371"/>
      <c r="C35" s="372"/>
      <c r="D35" s="338"/>
      <c r="E35" s="365"/>
      <c r="F35" s="366"/>
      <c r="G35" s="374"/>
      <c r="H35" s="335"/>
      <c r="I35" s="327"/>
    </row>
    <row r="36" spans="1:9" ht="18.75" x14ac:dyDescent="0.3">
      <c r="A36" s="375"/>
      <c r="B36" s="375"/>
      <c r="C36" s="376"/>
      <c r="D36" s="338"/>
      <c r="E36" s="356"/>
      <c r="F36" s="356"/>
      <c r="G36" s="374"/>
      <c r="H36" s="335"/>
      <c r="I36" s="327"/>
    </row>
    <row r="37" spans="1:9" ht="18.75" thickBot="1" x14ac:dyDescent="0.3">
      <c r="A37" s="377"/>
      <c r="B37" s="378"/>
      <c r="C37" s="379" t="s">
        <v>51</v>
      </c>
      <c r="D37" s="379"/>
      <c r="E37" s="380"/>
      <c r="F37" s="381"/>
      <c r="G37" s="379"/>
      <c r="H37" s="379"/>
      <c r="I37" s="382"/>
    </row>
    <row r="38" spans="1:9" ht="18.75" thickBot="1" x14ac:dyDescent="0.3">
      <c r="A38" s="383"/>
      <c r="B38" s="384"/>
      <c r="C38" s="385" t="s">
        <v>51</v>
      </c>
      <c r="D38" s="386" t="s">
        <v>18</v>
      </c>
      <c r="E38" s="387" t="s">
        <v>30</v>
      </c>
      <c r="F38" s="388"/>
      <c r="G38" s="385"/>
      <c r="H38" s="385"/>
      <c r="I38" s="389"/>
    </row>
    <row r="39" spans="1:9" ht="18" x14ac:dyDescent="0.25">
      <c r="A39" s="1088" t="s">
        <v>31</v>
      </c>
      <c r="B39" s="1089"/>
      <c r="C39" s="1090"/>
      <c r="D39" s="390">
        <f>SUM(E10:E13)</f>
        <v>16264.002020610224</v>
      </c>
      <c r="E39" s="391" t="s">
        <v>21</v>
      </c>
      <c r="F39" s="1091" t="s">
        <v>52</v>
      </c>
      <c r="G39" s="1091"/>
      <c r="H39" s="1092"/>
      <c r="I39" s="1093"/>
    </row>
    <row r="40" spans="1:9" ht="18" x14ac:dyDescent="0.25">
      <c r="A40" s="1094" t="s">
        <v>53</v>
      </c>
      <c r="B40" s="1095"/>
      <c r="C40" s="1096"/>
      <c r="D40" s="339">
        <v>15</v>
      </c>
      <c r="E40" s="339" t="s">
        <v>32</v>
      </c>
      <c r="F40" s="1097" t="s">
        <v>55</v>
      </c>
      <c r="G40" s="1097"/>
      <c r="H40" s="1098"/>
      <c r="I40" s="1099"/>
    </row>
    <row r="41" spans="1:9" ht="18" x14ac:dyDescent="0.25">
      <c r="A41" s="1094" t="s">
        <v>33</v>
      </c>
      <c r="B41" s="1095"/>
      <c r="C41" s="1096"/>
      <c r="D41" s="355">
        <v>1</v>
      </c>
      <c r="E41" s="339" t="s">
        <v>169</v>
      </c>
      <c r="F41" s="1097" t="s">
        <v>56</v>
      </c>
      <c r="G41" s="1097"/>
      <c r="H41" s="1098"/>
      <c r="I41" s="1099"/>
    </row>
    <row r="42" spans="1:9" ht="18" x14ac:dyDescent="0.25">
      <c r="A42" s="1094" t="s">
        <v>34</v>
      </c>
      <c r="B42" s="1095"/>
      <c r="C42" s="1096"/>
      <c r="D42" s="355">
        <v>16263</v>
      </c>
      <c r="E42" s="339" t="s">
        <v>21</v>
      </c>
      <c r="F42" s="1103" t="s">
        <v>57</v>
      </c>
      <c r="G42" s="1104"/>
      <c r="H42" s="1105"/>
      <c r="I42" s="1106"/>
    </row>
    <row r="43" spans="1:9" ht="18.75" thickBot="1" x14ac:dyDescent="0.3">
      <c r="A43" s="1107" t="s">
        <v>35</v>
      </c>
      <c r="B43" s="1108"/>
      <c r="C43" s="1109"/>
      <c r="D43" s="392">
        <f>SUM(E10:E13)-D39</f>
        <v>0</v>
      </c>
      <c r="E43" s="393" t="s">
        <v>21</v>
      </c>
      <c r="F43" s="1110"/>
      <c r="G43" s="1110"/>
      <c r="H43" s="1098"/>
      <c r="I43" s="1099"/>
    </row>
    <row r="44" spans="1:9" ht="18.75" thickBot="1" x14ac:dyDescent="0.3">
      <c r="A44" s="1111" t="s">
        <v>36</v>
      </c>
      <c r="B44" s="1112"/>
      <c r="C44" s="1112"/>
      <c r="D44" s="1112"/>
      <c r="E44" s="1112"/>
      <c r="F44" s="1112"/>
      <c r="G44" s="1112"/>
      <c r="H44" s="1112"/>
      <c r="I44" s="1113"/>
    </row>
    <row r="45" spans="1:9" ht="14.45" customHeight="1" x14ac:dyDescent="0.3">
      <c r="A45" s="1157" t="s">
        <v>190</v>
      </c>
      <c r="B45" s="1158"/>
      <c r="C45" s="1158"/>
      <c r="D45" s="1158"/>
      <c r="E45" s="1158"/>
      <c r="F45" s="1158"/>
      <c r="G45" s="1158"/>
      <c r="H45" s="1158"/>
      <c r="I45" s="1159"/>
    </row>
    <row r="46" spans="1:9" ht="23.45" customHeight="1" x14ac:dyDescent="0.3">
      <c r="A46" s="1157" t="s">
        <v>191</v>
      </c>
      <c r="B46" s="1158"/>
      <c r="C46" s="1158"/>
      <c r="D46" s="1158"/>
      <c r="E46" s="1158"/>
      <c r="F46" s="1158"/>
      <c r="G46" s="1158"/>
      <c r="H46" s="1158"/>
      <c r="I46" s="1159"/>
    </row>
    <row r="47" spans="1:9" ht="18" customHeight="1" x14ac:dyDescent="0.3">
      <c r="A47" s="1157" t="s">
        <v>192</v>
      </c>
      <c r="B47" s="1158"/>
      <c r="C47" s="1158"/>
      <c r="D47" s="1158"/>
      <c r="E47" s="1158"/>
      <c r="F47" s="1158"/>
      <c r="G47" s="1158"/>
      <c r="H47" s="1158"/>
      <c r="I47" s="1159"/>
    </row>
    <row r="48" spans="1:9" ht="24" customHeight="1" x14ac:dyDescent="0.3">
      <c r="A48" s="1160" t="s">
        <v>193</v>
      </c>
      <c r="B48" s="1161"/>
      <c r="C48" s="1161"/>
      <c r="D48" s="1161"/>
      <c r="E48" s="1161"/>
      <c r="F48" s="1161"/>
      <c r="G48" s="1161"/>
      <c r="H48" s="1161"/>
      <c r="I48" s="1162"/>
    </row>
    <row r="49" spans="1:9" ht="23.45" customHeight="1" x14ac:dyDescent="0.3">
      <c r="A49" s="1157" t="s">
        <v>194</v>
      </c>
      <c r="B49" s="1158"/>
      <c r="C49" s="1158"/>
      <c r="D49" s="1158"/>
      <c r="E49" s="1158"/>
      <c r="F49" s="1158"/>
      <c r="G49" s="1158"/>
      <c r="H49" s="1158"/>
      <c r="I49" s="1159"/>
    </row>
    <row r="50" spans="1:9" ht="23.45" customHeight="1" x14ac:dyDescent="0.3">
      <c r="A50" s="1157" t="s">
        <v>195</v>
      </c>
      <c r="B50" s="1158"/>
      <c r="C50" s="1158"/>
      <c r="D50" s="1158"/>
      <c r="E50" s="1158"/>
      <c r="F50" s="1158"/>
      <c r="G50" s="1158"/>
      <c r="H50" s="1158"/>
      <c r="I50" s="1159"/>
    </row>
    <row r="51" spans="1:9" ht="14.45" customHeight="1" x14ac:dyDescent="0.25">
      <c r="A51" s="1156"/>
      <c r="B51" s="1156"/>
      <c r="C51" s="1156"/>
      <c r="D51" s="1156"/>
      <c r="E51" s="1156"/>
      <c r="F51" s="1156"/>
      <c r="G51" s="1156"/>
      <c r="H51" s="1156"/>
      <c r="I51" s="1156"/>
    </row>
    <row r="52" spans="1:9" ht="14.45" customHeight="1" x14ac:dyDescent="0.25">
      <c r="A52" s="1156"/>
      <c r="B52" s="1156"/>
      <c r="C52" s="1156"/>
      <c r="D52" s="1156"/>
      <c r="E52" s="1156"/>
      <c r="F52" s="1156"/>
      <c r="G52" s="1156"/>
      <c r="H52" s="1156"/>
      <c r="I52" s="1156"/>
    </row>
    <row r="53" spans="1:9" ht="18" customHeight="1" x14ac:dyDescent="0.25">
      <c r="A53" s="1156"/>
      <c r="B53" s="1156"/>
      <c r="C53" s="1156"/>
      <c r="D53" s="1156"/>
      <c r="E53" s="1156"/>
      <c r="F53" s="1156"/>
      <c r="G53" s="1156"/>
      <c r="H53" s="1156"/>
      <c r="I53" s="1156"/>
    </row>
    <row r="54" spans="1:9" ht="14.45" customHeight="1" x14ac:dyDescent="0.25">
      <c r="A54" s="1156"/>
      <c r="B54" s="1156"/>
      <c r="C54" s="1156"/>
      <c r="D54" s="1156"/>
      <c r="E54" s="1156"/>
      <c r="F54" s="1156"/>
      <c r="G54" s="1156"/>
      <c r="H54" s="1156"/>
      <c r="I54" s="1156"/>
    </row>
    <row r="55" spans="1:9" ht="14.45" customHeight="1" thickBot="1" x14ac:dyDescent="0.3">
      <c r="A55" s="1163"/>
      <c r="B55" s="1164"/>
      <c r="C55" s="1164"/>
      <c r="D55" s="1164"/>
      <c r="E55" s="1164"/>
      <c r="F55" s="1164"/>
      <c r="G55" s="1164"/>
      <c r="H55" s="1164"/>
      <c r="I55" s="1165"/>
    </row>
    <row r="56" spans="1:9" ht="14.45" customHeight="1" x14ac:dyDescent="0.25">
      <c r="A56" s="1114" t="s">
        <v>37</v>
      </c>
      <c r="B56" s="1115"/>
      <c r="C56" s="1115"/>
      <c r="D56" s="1115"/>
      <c r="E56" s="1115"/>
      <c r="F56" s="1115"/>
      <c r="G56" s="1115"/>
      <c r="H56" s="1115"/>
      <c r="I56" s="1115"/>
    </row>
    <row r="57" spans="1:9" ht="18" x14ac:dyDescent="0.25">
      <c r="A57" s="1166" t="s">
        <v>196</v>
      </c>
      <c r="B57" s="1166"/>
      <c r="C57" s="1166"/>
      <c r="D57" s="1166"/>
      <c r="E57" s="1166"/>
      <c r="F57" s="1166"/>
      <c r="G57" s="1166"/>
      <c r="H57" s="1166"/>
      <c r="I57" s="1166"/>
    </row>
    <row r="58" spans="1:9" ht="18" x14ac:dyDescent="0.25">
      <c r="A58" s="1065" t="s">
        <v>197</v>
      </c>
      <c r="B58" s="1066"/>
      <c r="C58" s="1066"/>
      <c r="D58" s="1066"/>
      <c r="E58" s="1066"/>
      <c r="F58" s="1066"/>
      <c r="G58" s="1066"/>
      <c r="H58" s="1066"/>
      <c r="I58" s="1067"/>
    </row>
    <row r="59" spans="1:9" ht="18" x14ac:dyDescent="0.25">
      <c r="A59" s="1065" t="s">
        <v>198</v>
      </c>
      <c r="B59" s="1066"/>
      <c r="C59" s="1066"/>
      <c r="D59" s="1066"/>
      <c r="E59" s="1066"/>
      <c r="F59" s="1066"/>
      <c r="G59" s="1066"/>
      <c r="H59" s="1066"/>
      <c r="I59" s="1067"/>
    </row>
  </sheetData>
  <mergeCells count="48">
    <mergeCell ref="A59:I59"/>
    <mergeCell ref="A53:I53"/>
    <mergeCell ref="A54:I54"/>
    <mergeCell ref="A55:I55"/>
    <mergeCell ref="A56:I56"/>
    <mergeCell ref="A57:I57"/>
    <mergeCell ref="A58:I58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80EBF-6FF1-4CDD-AD31-E7C4633329D4}">
  <dimension ref="A1:Q91"/>
  <sheetViews>
    <sheetView workbookViewId="0">
      <selection activeCell="M8" sqref="M8"/>
    </sheetView>
  </sheetViews>
  <sheetFormatPr baseColWidth="10" defaultColWidth="8.42578125" defaultRowHeight="12.75" x14ac:dyDescent="0.25"/>
  <cols>
    <col min="1" max="1" width="10" style="176" bestFit="1" customWidth="1"/>
    <col min="2" max="2" width="44.28515625" style="176" bestFit="1" customWidth="1"/>
    <col min="3" max="3" width="10.42578125" style="176" bestFit="1" customWidth="1"/>
    <col min="4" max="4" width="10.42578125" style="176" customWidth="1"/>
    <col min="5" max="5" width="11" style="176" customWidth="1"/>
    <col min="6" max="6" width="9.5703125" style="176" bestFit="1" customWidth="1"/>
    <col min="7" max="7" width="10.85546875" style="258" customWidth="1"/>
    <col min="8" max="8" width="10.42578125" style="249" bestFit="1" customWidth="1"/>
    <col min="9" max="9" width="4.5703125" style="249" customWidth="1"/>
    <col min="10" max="10" width="1.85546875" style="175" customWidth="1"/>
    <col min="11" max="11" width="7" style="176" bestFit="1" customWidth="1"/>
    <col min="12" max="12" width="6.28515625" style="176" customWidth="1"/>
    <col min="13" max="13" width="20.42578125" style="176" customWidth="1"/>
    <col min="14" max="14" width="6.42578125" style="176" bestFit="1" customWidth="1"/>
    <col min="15" max="16" width="8.42578125" style="176"/>
    <col min="17" max="17" width="3.28515625" style="176" customWidth="1"/>
    <col min="18" max="16384" width="8.42578125" style="176"/>
  </cols>
  <sheetData>
    <row r="1" spans="1:10" ht="27.75" customHeight="1" x14ac:dyDescent="0.25">
      <c r="A1" s="171"/>
      <c r="B1" s="171"/>
      <c r="C1" s="171"/>
      <c r="D1" s="171"/>
      <c r="E1" s="172" t="s">
        <v>93</v>
      </c>
      <c r="F1" s="173" t="s">
        <v>94</v>
      </c>
      <c r="G1" s="173" t="s">
        <v>95</v>
      </c>
      <c r="H1" s="173" t="s">
        <v>96</v>
      </c>
      <c r="I1" s="174"/>
    </row>
    <row r="2" spans="1:10" ht="30.75" customHeight="1" x14ac:dyDescent="0.25">
      <c r="A2" s="171"/>
      <c r="B2" s="171"/>
      <c r="C2" s="171"/>
      <c r="D2" s="171"/>
      <c r="E2" s="177">
        <f>IFERROR(O62,"")</f>
        <v>68525.610389610389</v>
      </c>
      <c r="F2" s="177">
        <f>IFERROR(H53,"")</f>
        <v>66995</v>
      </c>
      <c r="G2" s="177">
        <f>IFERROR(H54,"")</f>
        <v>101</v>
      </c>
      <c r="H2" s="177">
        <f>IFERROR(H56,"")</f>
        <v>688</v>
      </c>
      <c r="I2" s="178"/>
    </row>
    <row r="3" spans="1:10" ht="15" customHeight="1" x14ac:dyDescent="0.25">
      <c r="A3" s="171"/>
      <c r="B3" s="171"/>
      <c r="C3" s="171"/>
      <c r="D3" s="171"/>
      <c r="E3" s="171"/>
      <c r="F3" s="179"/>
      <c r="G3" s="179"/>
      <c r="H3" s="179"/>
      <c r="I3" s="179"/>
    </row>
    <row r="4" spans="1:10" ht="24.75" customHeight="1" thickBot="1" x14ac:dyDescent="0.3">
      <c r="A4" s="727"/>
      <c r="B4" s="727"/>
      <c r="C4" s="727"/>
      <c r="D4" s="727"/>
      <c r="E4" s="727"/>
      <c r="F4" s="727"/>
      <c r="G4" s="727"/>
      <c r="H4" s="727"/>
      <c r="I4" s="180"/>
    </row>
    <row r="5" spans="1:10" ht="19.5" customHeight="1" thickBot="1" x14ac:dyDescent="0.3">
      <c r="A5" s="728" t="s">
        <v>97</v>
      </c>
      <c r="B5" s="729"/>
      <c r="C5" s="729"/>
      <c r="D5" s="729"/>
      <c r="E5" s="729"/>
      <c r="F5" s="729"/>
      <c r="G5" s="729"/>
      <c r="H5" s="730"/>
      <c r="I5" s="181"/>
    </row>
    <row r="6" spans="1:10" ht="19.5" thickBot="1" x14ac:dyDescent="0.3">
      <c r="A6" s="181"/>
      <c r="B6" s="181"/>
      <c r="C6" s="181"/>
      <c r="D6" s="181"/>
      <c r="E6" s="181"/>
      <c r="F6" s="731" t="s">
        <v>98</v>
      </c>
      <c r="G6" s="731"/>
      <c r="H6" s="182">
        <f ca="1">TODAY()</f>
        <v>46056</v>
      </c>
      <c r="I6" s="182"/>
    </row>
    <row r="7" spans="1:10" ht="26.25" thickBot="1" x14ac:dyDescent="0.3">
      <c r="A7" s="183" t="s">
        <v>99</v>
      </c>
      <c r="B7" s="184" t="s">
        <v>100</v>
      </c>
      <c r="C7" s="184" t="s">
        <v>99</v>
      </c>
      <c r="D7" s="185" t="s">
        <v>101</v>
      </c>
      <c r="E7" s="185" t="s">
        <v>102</v>
      </c>
      <c r="F7" s="185" t="s">
        <v>103</v>
      </c>
      <c r="G7" s="185" t="s">
        <v>104</v>
      </c>
      <c r="H7" s="186" t="s">
        <v>105</v>
      </c>
      <c r="I7" s="187"/>
    </row>
    <row r="8" spans="1:10" ht="13.5" x14ac:dyDescent="0.25">
      <c r="A8" s="188">
        <v>5000</v>
      </c>
      <c r="B8" s="176" t="s">
        <v>81</v>
      </c>
      <c r="C8" s="189">
        <f>+A8</f>
        <v>5000</v>
      </c>
      <c r="D8" s="190" t="s">
        <v>145</v>
      </c>
      <c r="E8" s="190">
        <v>8.4499999999999993</v>
      </c>
      <c r="F8" s="190">
        <f>IFERROR(C8*E8,"")</f>
        <v>42250</v>
      </c>
      <c r="G8" s="191">
        <f t="shared" ref="G8:G14" si="0">IFERROR(F8/$F$66,"")</f>
        <v>0.61391234348867862</v>
      </c>
      <c r="H8" s="192" t="s">
        <v>80</v>
      </c>
      <c r="I8" s="192"/>
      <c r="J8" s="193"/>
    </row>
    <row r="9" spans="1:10" ht="13.5" hidden="1" x14ac:dyDescent="0.25">
      <c r="A9" s="188"/>
      <c r="B9" s="176" t="str">
        <f>IFERROR(VLOOKUP(H9,'[1]Consolidado MP Planta'!$A$2:$M$823,3,0),"")</f>
        <v/>
      </c>
      <c r="C9" s="189">
        <f t="shared" ref="C9:C14" si="1">+A9</f>
        <v>0</v>
      </c>
      <c r="D9" s="190" t="str">
        <f>IFERROR(VLOOKUP(H9,'[1]Consolidado MP Planta'!$A$2:$M$823,13,0),"")</f>
        <v/>
      </c>
      <c r="E9" s="190" t="str">
        <f>IFERROR(VLOOKUP(H9,'[1]Consolidado MP Planta'!$A$2:$M$823,12,0),"")</f>
        <v/>
      </c>
      <c r="F9" s="190" t="str">
        <f t="shared" ref="F9:F14" si="2">IFERROR(C9*E9,"")</f>
        <v/>
      </c>
      <c r="G9" s="191" t="str">
        <f t="shared" si="0"/>
        <v/>
      </c>
      <c r="H9" s="192"/>
      <c r="I9" s="192"/>
      <c r="J9" s="193"/>
    </row>
    <row r="10" spans="1:10" ht="13.5" hidden="1" x14ac:dyDescent="0.25">
      <c r="A10" s="188"/>
      <c r="B10" s="176" t="str">
        <f>IFERROR(VLOOKUP(H10,'[1]Consolidado MP Planta'!$A$2:$M$823,3,0),"")</f>
        <v/>
      </c>
      <c r="C10" s="189">
        <f t="shared" si="1"/>
        <v>0</v>
      </c>
      <c r="D10" s="190" t="str">
        <f>IFERROR(VLOOKUP(H10,'[1]Consolidado MP Planta'!$A$2:$M$823,13,0),"")</f>
        <v/>
      </c>
      <c r="E10" s="190" t="str">
        <f>IFERROR(VLOOKUP(H10,'[1]Consolidado MP Planta'!$A$2:$M$823,12,0),"")</f>
        <v/>
      </c>
      <c r="F10" s="190" t="str">
        <f t="shared" si="2"/>
        <v/>
      </c>
      <c r="G10" s="191" t="str">
        <f t="shared" si="0"/>
        <v/>
      </c>
      <c r="H10" s="192"/>
      <c r="I10" s="192"/>
      <c r="J10" s="193"/>
    </row>
    <row r="11" spans="1:10" ht="13.5" hidden="1" x14ac:dyDescent="0.25">
      <c r="A11" s="188"/>
      <c r="B11" s="176" t="str">
        <f>IFERROR(VLOOKUP(H11,'[1]Consolidado MP Planta'!$A$2:$M$823,3,0),"")</f>
        <v/>
      </c>
      <c r="C11" s="189">
        <f t="shared" si="1"/>
        <v>0</v>
      </c>
      <c r="D11" s="190" t="str">
        <f>IFERROR(VLOOKUP(H11,'[1]Consolidado MP Planta'!$A$2:$M$823,13,0),"")</f>
        <v/>
      </c>
      <c r="E11" s="190" t="str">
        <f>IFERROR(VLOOKUP(H11,'[1]Consolidado MP Planta'!$A$2:$M$823,12,0),"")</f>
        <v/>
      </c>
      <c r="F11" s="190" t="str">
        <f t="shared" si="2"/>
        <v/>
      </c>
      <c r="G11" s="191" t="str">
        <f t="shared" si="0"/>
        <v/>
      </c>
      <c r="H11" s="192"/>
      <c r="I11" s="192"/>
      <c r="J11" s="193"/>
    </row>
    <row r="12" spans="1:10" ht="13.5" hidden="1" x14ac:dyDescent="0.25">
      <c r="A12" s="188"/>
      <c r="B12" s="176" t="str">
        <f>IFERROR(VLOOKUP(H12,'[1]Consolidado MP Planta'!$A$2:$M$823,3,0),"")</f>
        <v/>
      </c>
      <c r="C12" s="189">
        <f t="shared" si="1"/>
        <v>0</v>
      </c>
      <c r="D12" s="190" t="str">
        <f>IFERROR(VLOOKUP(H12,'[1]Consolidado MP Planta'!$A$2:$M$823,13,0),"")</f>
        <v/>
      </c>
      <c r="E12" s="190" t="str">
        <f>IFERROR(VLOOKUP(H12,'[1]Consolidado MP Planta'!$A$2:$M$823,12,0),"")</f>
        <v/>
      </c>
      <c r="F12" s="190" t="str">
        <f t="shared" si="2"/>
        <v/>
      </c>
      <c r="G12" s="191" t="str">
        <f t="shared" si="0"/>
        <v/>
      </c>
      <c r="H12" s="192"/>
      <c r="I12" s="192"/>
      <c r="J12" s="193"/>
    </row>
    <row r="13" spans="1:10" ht="13.5" hidden="1" x14ac:dyDescent="0.25">
      <c r="A13" s="188"/>
      <c r="B13" s="176" t="str">
        <f>IFERROR(VLOOKUP(H13,'[1]Consolidado MP Planta'!$A$2:$M$823,3,0),"")</f>
        <v/>
      </c>
      <c r="C13" s="189">
        <f t="shared" si="1"/>
        <v>0</v>
      </c>
      <c r="D13" s="190" t="str">
        <f>IFERROR(VLOOKUP(H13,'[1]Consolidado MP Planta'!$A$2:$M$823,13,0),"")</f>
        <v/>
      </c>
      <c r="E13" s="190" t="str">
        <f>IFERROR(VLOOKUP(H13,'[1]Consolidado MP Planta'!$A$2:$M$823,12,0),"")</f>
        <v/>
      </c>
      <c r="F13" s="190" t="str">
        <f t="shared" si="2"/>
        <v/>
      </c>
      <c r="G13" s="191" t="str">
        <f t="shared" si="0"/>
        <v/>
      </c>
      <c r="H13" s="192"/>
      <c r="I13" s="192"/>
      <c r="J13" s="193"/>
    </row>
    <row r="14" spans="1:10" ht="13.5" hidden="1" x14ac:dyDescent="0.25">
      <c r="A14" s="188"/>
      <c r="B14" s="176" t="str">
        <f>IFERROR(VLOOKUP(H14,'[1]Consolidado MP Planta'!$A$2:$M$823,3,0),"")</f>
        <v/>
      </c>
      <c r="C14" s="189">
        <f t="shared" si="1"/>
        <v>0</v>
      </c>
      <c r="D14" s="190" t="str">
        <f>IFERROR(VLOOKUP(H14,'[1]Consolidado MP Planta'!$A$2:$M$823,13,0),"")</f>
        <v/>
      </c>
      <c r="E14" s="190" t="str">
        <f>IFERROR(VLOOKUP(H14,'[1]Consolidado MP Planta'!$A$2:$M$823,12,0),"")</f>
        <v/>
      </c>
      <c r="F14" s="190" t="str">
        <f t="shared" si="2"/>
        <v/>
      </c>
      <c r="G14" s="191" t="str">
        <f t="shared" si="0"/>
        <v/>
      </c>
      <c r="H14" s="192"/>
      <c r="I14" s="192"/>
      <c r="J14" s="193"/>
    </row>
    <row r="15" spans="1:10" ht="14.25" thickBot="1" x14ac:dyDescent="0.3">
      <c r="A15" s="188"/>
      <c r="B15" s="176" t="str">
        <f>IFERROR(VLOOKUP(H15,[2]Hoja2!$A$2:$G$589,2,0),"")</f>
        <v/>
      </c>
      <c r="C15" s="189"/>
      <c r="D15" s="190"/>
      <c r="E15" s="190"/>
      <c r="F15" s="190"/>
      <c r="G15" s="191"/>
      <c r="H15" s="192"/>
      <c r="I15" s="192"/>
      <c r="J15" s="193"/>
    </row>
    <row r="16" spans="1:10" ht="26.25" thickBot="1" x14ac:dyDescent="0.3">
      <c r="A16" s="183" t="s">
        <v>99</v>
      </c>
      <c r="B16" s="184" t="s">
        <v>106</v>
      </c>
      <c r="C16" s="184" t="s">
        <v>99</v>
      </c>
      <c r="D16" s="185" t="s">
        <v>101</v>
      </c>
      <c r="E16" s="185" t="s">
        <v>102</v>
      </c>
      <c r="F16" s="185" t="s">
        <v>103</v>
      </c>
      <c r="G16" s="185" t="s">
        <v>104</v>
      </c>
      <c r="H16" s="186" t="s">
        <v>105</v>
      </c>
      <c r="I16" s="187"/>
      <c r="J16" s="193"/>
    </row>
    <row r="17" spans="1:12" ht="13.5" x14ac:dyDescent="0.25">
      <c r="A17" s="188">
        <v>10100</v>
      </c>
      <c r="B17" s="176" t="s">
        <v>79</v>
      </c>
      <c r="C17" s="189">
        <f>+A17</f>
        <v>10100</v>
      </c>
      <c r="D17" s="189" t="s">
        <v>144</v>
      </c>
      <c r="E17" s="190">
        <v>2.4500000000000002</v>
      </c>
      <c r="F17" s="190">
        <f>IFERROR(E17*C17,"")</f>
        <v>24745</v>
      </c>
      <c r="G17" s="191">
        <f t="shared" ref="G17:G24" si="3">IFERROR(F17/$F$66,"")</f>
        <v>0.35955647194384266</v>
      </c>
      <c r="H17" s="192" t="s">
        <v>67</v>
      </c>
      <c r="I17" s="192"/>
      <c r="J17" s="193"/>
    </row>
    <row r="18" spans="1:12" ht="13.5" hidden="1" x14ac:dyDescent="0.25">
      <c r="A18" s="188"/>
      <c r="B18" s="176" t="str">
        <f>IFERROR(VLOOKUP(H18,[1]SEMIELABORADOS!$A$2:$M$6000,2,0),"")</f>
        <v/>
      </c>
      <c r="C18" s="189">
        <f t="shared" ref="C18:C24" si="4">+A18</f>
        <v>0</v>
      </c>
      <c r="D18" s="189" t="str">
        <f>IFERROR(VLOOKUP(H18,[1]SEMIELABORADOS!$A$2:$M$6000,6,0),"")</f>
        <v/>
      </c>
      <c r="E18" s="190" t="str">
        <f>IFERROR(VLOOKUP(H18,[1]SEMIELABORADOS!$A$2:$H$65536,8,0),"")</f>
        <v/>
      </c>
      <c r="F18" s="190" t="str">
        <f t="shared" ref="F18:F24" si="5">IFERROR(E18*C18,"")</f>
        <v/>
      </c>
      <c r="G18" s="191" t="str">
        <f t="shared" si="3"/>
        <v/>
      </c>
      <c r="H18" s="192"/>
      <c r="I18" s="192"/>
      <c r="J18" s="193"/>
    </row>
    <row r="19" spans="1:12" ht="13.5" hidden="1" x14ac:dyDescent="0.25">
      <c r="A19" s="188"/>
      <c r="B19" s="176" t="str">
        <f>IFERROR(VLOOKUP(H19,[1]SEMIELABORADOS!$A$2:$M$6000,2,0),"")</f>
        <v/>
      </c>
      <c r="C19" s="189">
        <f>+A19</f>
        <v>0</v>
      </c>
      <c r="D19" s="189" t="str">
        <f>IFERROR(VLOOKUP(H19,[1]SEMIELABORADOS!$A$2:$M$6000,6,0),"")</f>
        <v/>
      </c>
      <c r="E19" s="190" t="str">
        <f>IFERROR(VLOOKUP(H19,[1]SEMIELABORADOS!$A$2:$H$65536,8,0),"")</f>
        <v/>
      </c>
      <c r="F19" s="190" t="str">
        <f>IFERROR(E19*C19,"")</f>
        <v/>
      </c>
      <c r="G19" s="191" t="str">
        <f t="shared" si="3"/>
        <v/>
      </c>
      <c r="H19" s="192"/>
      <c r="I19" s="192"/>
      <c r="J19" s="193"/>
    </row>
    <row r="20" spans="1:12" ht="13.5" hidden="1" x14ac:dyDescent="0.25">
      <c r="A20" s="188"/>
      <c r="B20" s="176" t="str">
        <f>IFERROR(VLOOKUP(H20,[1]SEMIELABORADOS!$A$2:$M$6000,2,0),"")</f>
        <v/>
      </c>
      <c r="C20" s="189">
        <f>+A20</f>
        <v>0</v>
      </c>
      <c r="D20" s="189" t="str">
        <f>IFERROR(VLOOKUP(H20,[1]SEMIELABORADOS!$A$2:$M$6000,6,0),"")</f>
        <v/>
      </c>
      <c r="E20" s="190" t="str">
        <f>IFERROR(VLOOKUP(H20,[1]SEMIELABORADOS!$A$2:$H$65536,8,0),"")</f>
        <v/>
      </c>
      <c r="F20" s="190" t="str">
        <f>IFERROR(E20*C20,"")</f>
        <v/>
      </c>
      <c r="G20" s="191" t="str">
        <f t="shared" si="3"/>
        <v/>
      </c>
      <c r="H20" s="192"/>
      <c r="I20" s="192"/>
      <c r="J20" s="193"/>
    </row>
    <row r="21" spans="1:12" ht="13.5" hidden="1" x14ac:dyDescent="0.25">
      <c r="A21" s="188"/>
      <c r="B21" s="176" t="str">
        <f>IFERROR(VLOOKUP(H21,[1]SEMIELABORADOS!$A$2:$M$6000,2,0),"")</f>
        <v/>
      </c>
      <c r="C21" s="189">
        <f>+A21</f>
        <v>0</v>
      </c>
      <c r="D21" s="189" t="str">
        <f>IFERROR(VLOOKUP(H21,[1]SEMIELABORADOS!$A$2:$M$6000,6,0),"")</f>
        <v/>
      </c>
      <c r="E21" s="190" t="str">
        <f>IFERROR(VLOOKUP(H21,[1]SEMIELABORADOS!$A$2:$H$65536,8,0),"")</f>
        <v/>
      </c>
      <c r="F21" s="190" t="str">
        <f>IFERROR(E21*C21,"")</f>
        <v/>
      </c>
      <c r="G21" s="191" t="str">
        <f t="shared" si="3"/>
        <v/>
      </c>
      <c r="H21" s="192"/>
      <c r="I21" s="192"/>
      <c r="J21" s="193"/>
    </row>
    <row r="22" spans="1:12" ht="13.5" hidden="1" x14ac:dyDescent="0.25">
      <c r="A22" s="188"/>
      <c r="B22" s="176" t="str">
        <f>IFERROR(VLOOKUP(H22,[1]SEMIELABORADOS!$A$2:$M$6000,2,0),"")</f>
        <v/>
      </c>
      <c r="C22" s="189">
        <f t="shared" si="4"/>
        <v>0</v>
      </c>
      <c r="D22" s="189" t="str">
        <f>IFERROR(VLOOKUP(H22,[1]SEMIELABORADOS!$A$2:$M$6000,6,0),"")</f>
        <v/>
      </c>
      <c r="E22" s="190" t="str">
        <f>IFERROR(VLOOKUP(H22,[1]SEMIELABORADOS!$A$2:$H$65536,8,0),"")</f>
        <v/>
      </c>
      <c r="F22" s="190" t="str">
        <f t="shared" si="5"/>
        <v/>
      </c>
      <c r="G22" s="191" t="str">
        <f t="shared" si="3"/>
        <v/>
      </c>
      <c r="H22" s="192"/>
      <c r="I22" s="192"/>
      <c r="J22" s="193"/>
    </row>
    <row r="23" spans="1:12" ht="13.5" hidden="1" x14ac:dyDescent="0.25">
      <c r="A23" s="188"/>
      <c r="B23" s="176" t="str">
        <f>IFERROR(VLOOKUP(H23,[1]SEMIELABORADOS!$A$2:$M$6000,2,0),"")</f>
        <v/>
      </c>
      <c r="C23" s="189">
        <f t="shared" si="4"/>
        <v>0</v>
      </c>
      <c r="D23" s="189" t="str">
        <f>IFERROR(VLOOKUP(H23,[1]SEMIELABORADOS!$A$2:$M$6000,6,0),"")</f>
        <v/>
      </c>
      <c r="E23" s="190" t="str">
        <f>IFERROR(VLOOKUP(H23,[1]SEMIELABORADOS!$A$2:$H$65536,8,0),"")</f>
        <v/>
      </c>
      <c r="F23" s="190" t="str">
        <f t="shared" si="5"/>
        <v/>
      </c>
      <c r="G23" s="191" t="str">
        <f t="shared" si="3"/>
        <v/>
      </c>
      <c r="H23" s="192"/>
      <c r="I23" s="192"/>
      <c r="J23" s="193"/>
    </row>
    <row r="24" spans="1:12" ht="13.5" hidden="1" x14ac:dyDescent="0.25">
      <c r="A24" s="188"/>
      <c r="B24" s="176" t="str">
        <f>IFERROR(VLOOKUP(H24,[1]SEMIELABORADOS!$A$2:$M$6000,2,0),"")</f>
        <v/>
      </c>
      <c r="C24" s="189">
        <f t="shared" si="4"/>
        <v>0</v>
      </c>
      <c r="D24" s="189" t="str">
        <f>IFERROR(VLOOKUP(H24,[1]SEMIELABORADOS!$A$2:$M$6000,6,0),"")</f>
        <v/>
      </c>
      <c r="E24" s="190" t="str">
        <f>IFERROR(VLOOKUP(H24,[1]SEMIELABORADOS!$A$2:$H$65536,8,0),"")</f>
        <v/>
      </c>
      <c r="F24" s="190" t="str">
        <f t="shared" si="5"/>
        <v/>
      </c>
      <c r="G24" s="191" t="str">
        <f t="shared" si="3"/>
        <v/>
      </c>
      <c r="H24" s="192"/>
      <c r="I24" s="192"/>
      <c r="J24" s="193"/>
    </row>
    <row r="25" spans="1:12" ht="14.25" thickBot="1" x14ac:dyDescent="0.3">
      <c r="A25" s="188"/>
      <c r="C25" s="189"/>
      <c r="D25" s="189"/>
      <c r="E25" s="190"/>
      <c r="F25" s="190"/>
      <c r="G25" s="191"/>
      <c r="H25" s="192"/>
      <c r="I25" s="192"/>
      <c r="J25" s="193"/>
    </row>
    <row r="26" spans="1:12" ht="26.25" hidden="1" thickBot="1" x14ac:dyDescent="0.3">
      <c r="A26" s="183" t="s">
        <v>99</v>
      </c>
      <c r="B26" s="184" t="s">
        <v>22</v>
      </c>
      <c r="C26" s="184" t="s">
        <v>99</v>
      </c>
      <c r="D26" s="185" t="s">
        <v>101</v>
      </c>
      <c r="E26" s="185" t="s">
        <v>102</v>
      </c>
      <c r="F26" s="185" t="s">
        <v>103</v>
      </c>
      <c r="G26" s="185" t="s">
        <v>104</v>
      </c>
      <c r="H26" s="186" t="s">
        <v>105</v>
      </c>
      <c r="I26" s="187"/>
    </row>
    <row r="27" spans="1:12" ht="13.5" hidden="1" x14ac:dyDescent="0.25">
      <c r="A27" s="188">
        <v>0</v>
      </c>
      <c r="B27" s="194" t="str">
        <f>IFERROR(VLOOKUP(H27,'[1]Consolidado MP Planta'!$A$2:$M$823,3,0),"")</f>
        <v/>
      </c>
      <c r="C27" s="189">
        <f t="shared" ref="C27:C32" si="6">+A27</f>
        <v>0</v>
      </c>
      <c r="D27" s="190" t="str">
        <f>IFERROR(VLOOKUP(H27,'[1]Consolidado MP Planta'!$A$2:$M$823,13,0),"")</f>
        <v/>
      </c>
      <c r="E27" s="190" t="str">
        <f>IFERROR(VLOOKUP(H27,'[1]Consolidado MP Planta'!$A$2:$M$823,12,0),"")</f>
        <v/>
      </c>
      <c r="F27" s="190" t="str">
        <f t="shared" ref="F27:F32" si="7">IFERROR(C27*E27,"")</f>
        <v/>
      </c>
      <c r="G27" s="191" t="str">
        <f t="shared" ref="G27:G32" si="8">IFERROR(F27/$F$66,"")</f>
        <v/>
      </c>
      <c r="H27" s="195"/>
      <c r="I27" s="195"/>
      <c r="J27" s="193"/>
      <c r="K27" s="726"/>
      <c r="L27" s="726"/>
    </row>
    <row r="28" spans="1:12" ht="13.5" hidden="1" x14ac:dyDescent="0.25">
      <c r="A28" s="188"/>
      <c r="B28" s="194" t="str">
        <f>IFERROR(VLOOKUP(H28,'[1]Consolidado MP Planta'!$A$2:$M$823,3,0),"")</f>
        <v/>
      </c>
      <c r="C28" s="189">
        <f t="shared" si="6"/>
        <v>0</v>
      </c>
      <c r="D28" s="190" t="str">
        <f>IFERROR(VLOOKUP(H28,'[1]Consolidado MP Planta'!$A$2:$M$823,13,0),"")</f>
        <v/>
      </c>
      <c r="E28" s="190" t="str">
        <f>IFERROR(VLOOKUP(H28,'[1]Consolidado MP Planta'!$A$2:$M$823,12,0),"")</f>
        <v/>
      </c>
      <c r="F28" s="190" t="str">
        <f t="shared" si="7"/>
        <v/>
      </c>
      <c r="G28" s="191" t="str">
        <f t="shared" si="8"/>
        <v/>
      </c>
      <c r="H28" s="195"/>
      <c r="I28" s="195"/>
      <c r="J28" s="193"/>
      <c r="K28" s="726"/>
      <c r="L28" s="726"/>
    </row>
    <row r="29" spans="1:12" ht="13.5" hidden="1" x14ac:dyDescent="0.25">
      <c r="A29" s="188"/>
      <c r="B29" s="194" t="str">
        <f>IFERROR(VLOOKUP(H29,'[1]Consolidado MP Planta'!$A$2:$M$823,3,0),"")</f>
        <v/>
      </c>
      <c r="C29" s="189">
        <f t="shared" si="6"/>
        <v>0</v>
      </c>
      <c r="D29" s="190" t="str">
        <f>IFERROR(VLOOKUP(H29,'[1]Consolidado MP Planta'!$A$2:$M$823,13,0),"")</f>
        <v/>
      </c>
      <c r="E29" s="190" t="str">
        <f>IFERROR(VLOOKUP(H29,'[1]Consolidado MP Planta'!$A$2:$M$823,12,0),"")</f>
        <v/>
      </c>
      <c r="F29" s="190" t="str">
        <f t="shared" si="7"/>
        <v/>
      </c>
      <c r="G29" s="191" t="str">
        <f t="shared" si="8"/>
        <v/>
      </c>
      <c r="H29" s="195"/>
      <c r="I29" s="195"/>
      <c r="J29" s="193"/>
      <c r="K29" s="726"/>
      <c r="L29" s="726"/>
    </row>
    <row r="30" spans="1:12" ht="13.5" hidden="1" x14ac:dyDescent="0.25">
      <c r="A30" s="188"/>
      <c r="B30" s="194" t="str">
        <f>IFERROR(VLOOKUP(H30,'[1]Consolidado MP Planta'!$A$2:$M$823,3,0),"")</f>
        <v/>
      </c>
      <c r="C30" s="189">
        <f t="shared" si="6"/>
        <v>0</v>
      </c>
      <c r="D30" s="190" t="str">
        <f>IFERROR(VLOOKUP(H30,'[1]Consolidado MP Planta'!$A$2:$M$823,13,0),"")</f>
        <v/>
      </c>
      <c r="E30" s="190" t="str">
        <f>IFERROR(VLOOKUP(H30,'[1]Consolidado MP Planta'!$A$2:$M$823,12,0),"")</f>
        <v/>
      </c>
      <c r="F30" s="190" t="str">
        <f t="shared" si="7"/>
        <v/>
      </c>
      <c r="G30" s="191" t="str">
        <f t="shared" si="8"/>
        <v/>
      </c>
      <c r="H30" s="195"/>
      <c r="I30" s="195"/>
      <c r="J30" s="193"/>
      <c r="K30" s="726"/>
      <c r="L30" s="726"/>
    </row>
    <row r="31" spans="1:12" ht="13.5" hidden="1" x14ac:dyDescent="0.25">
      <c r="A31" s="188"/>
      <c r="B31" s="194" t="str">
        <f>IFERROR(VLOOKUP(H31,'[1]Consolidado MP Planta'!$A$2:$M$823,3,0),"")</f>
        <v/>
      </c>
      <c r="C31" s="189">
        <f t="shared" si="6"/>
        <v>0</v>
      </c>
      <c r="D31" s="190" t="str">
        <f>IFERROR(VLOOKUP(H31,'[1]Consolidado MP Planta'!$A$2:$M$823,13,0),"")</f>
        <v/>
      </c>
      <c r="E31" s="190" t="str">
        <f>IFERROR(VLOOKUP(H31,'[1]Consolidado MP Planta'!$A$2:$M$823,12,0),"")</f>
        <v/>
      </c>
      <c r="F31" s="190" t="str">
        <f t="shared" si="7"/>
        <v/>
      </c>
      <c r="G31" s="191" t="str">
        <f t="shared" si="8"/>
        <v/>
      </c>
      <c r="H31" s="195"/>
      <c r="I31" s="195"/>
      <c r="J31" s="193"/>
      <c r="K31" s="196"/>
      <c r="L31" s="197"/>
    </row>
    <row r="32" spans="1:12" ht="13.5" hidden="1" x14ac:dyDescent="0.25">
      <c r="A32" s="188"/>
      <c r="B32" s="194" t="str">
        <f>IFERROR(VLOOKUP(H32,'[1]Consolidado MP Planta'!$A$2:$M$823,3,0),"")</f>
        <v/>
      </c>
      <c r="C32" s="189">
        <f t="shared" si="6"/>
        <v>0</v>
      </c>
      <c r="D32" s="190" t="str">
        <f>IFERROR(VLOOKUP(H32,'[1]Consolidado MP Planta'!$A$2:$M$823,13,0),"")</f>
        <v/>
      </c>
      <c r="E32" s="190" t="str">
        <f>IFERROR(VLOOKUP(H32,'[1]Consolidado MP Planta'!$A$2:$M$823,12,0),"")</f>
        <v/>
      </c>
      <c r="F32" s="190" t="str">
        <f t="shared" si="7"/>
        <v/>
      </c>
      <c r="G32" s="191" t="str">
        <f t="shared" si="8"/>
        <v/>
      </c>
      <c r="H32" s="195"/>
      <c r="I32" s="195"/>
      <c r="J32" s="193"/>
    </row>
    <row r="33" spans="1:13" ht="14.25" hidden="1" thickBot="1" x14ac:dyDescent="0.3">
      <c r="A33" s="188"/>
      <c r="B33" s="194"/>
      <c r="C33" s="189"/>
      <c r="D33" s="190"/>
      <c r="E33" s="190"/>
      <c r="F33" s="190"/>
      <c r="G33" s="191"/>
      <c r="H33" s="195"/>
      <c r="I33" s="195"/>
      <c r="J33" s="193"/>
    </row>
    <row r="34" spans="1:13" ht="26.25" thickBot="1" x14ac:dyDescent="0.25">
      <c r="A34" s="183" t="s">
        <v>99</v>
      </c>
      <c r="B34" s="184" t="s">
        <v>107</v>
      </c>
      <c r="C34" s="184" t="s">
        <v>99</v>
      </c>
      <c r="D34" s="185" t="s">
        <v>101</v>
      </c>
      <c r="E34" s="185" t="s">
        <v>102</v>
      </c>
      <c r="F34" s="185" t="s">
        <v>103</v>
      </c>
      <c r="G34" s="185" t="s">
        <v>104</v>
      </c>
      <c r="H34" s="186" t="s">
        <v>105</v>
      </c>
      <c r="I34" s="195"/>
      <c r="J34" s="193"/>
    </row>
    <row r="35" spans="1:13" ht="13.5" x14ac:dyDescent="0.25">
      <c r="A35" s="188">
        <f>+A17</f>
        <v>10100</v>
      </c>
      <c r="B35" s="194" t="s">
        <v>79</v>
      </c>
      <c r="C35" s="189">
        <f>+A35</f>
        <v>10100</v>
      </c>
      <c r="D35" s="190" t="s">
        <v>144</v>
      </c>
      <c r="E35" s="190">
        <v>0.01</v>
      </c>
      <c r="F35" s="190">
        <f>IFERROR(E35*C35,"")</f>
        <v>101</v>
      </c>
      <c r="G35" s="191">
        <f t="shared" ref="G35:G41" si="9">IFERROR(F35/$F$66,"")</f>
        <v>1.4675774365054803E-3</v>
      </c>
      <c r="H35" s="195" t="s">
        <v>67</v>
      </c>
      <c r="I35" s="195"/>
      <c r="J35" s="193"/>
    </row>
    <row r="36" spans="1:13" ht="13.5" hidden="1" x14ac:dyDescent="0.25">
      <c r="A36" s="188">
        <f t="shared" ref="A36:A41" si="10">+A18</f>
        <v>0</v>
      </c>
      <c r="B36" s="194" t="str">
        <f>IFERROR(VLOOKUP(H36,[1]SEMIELABORADOS!$A$2:$M$6000,2,0),"")</f>
        <v/>
      </c>
      <c r="C36" s="189">
        <f t="shared" ref="C36:C41" si="11">+A36</f>
        <v>0</v>
      </c>
      <c r="D36" s="190" t="str">
        <f>IFERROR(VLOOKUP(H36,[1]SEMIELABORADOS!$A$2:$M$6000,6,0),"")</f>
        <v/>
      </c>
      <c r="E36" s="190" t="str">
        <f>IFERROR(VLOOKUP(H36,[1]SEMIELABORADOS!$A$2:$M$65536,10,0),"")</f>
        <v/>
      </c>
      <c r="F36" s="190" t="str">
        <f t="shared" ref="F36:F41" si="12">IFERROR(E36*C36,"")</f>
        <v/>
      </c>
      <c r="G36" s="191" t="str">
        <f t="shared" si="9"/>
        <v/>
      </c>
      <c r="H36" s="195"/>
      <c r="I36" s="195"/>
      <c r="J36" s="193"/>
    </row>
    <row r="37" spans="1:13" ht="13.5" hidden="1" x14ac:dyDescent="0.25">
      <c r="A37" s="188">
        <f t="shared" si="10"/>
        <v>0</v>
      </c>
      <c r="B37" s="194" t="str">
        <f>IFERROR(VLOOKUP(H37,[1]SEMIELABORADOS!$A$2:$M$6000,2,0),"")</f>
        <v/>
      </c>
      <c r="C37" s="189">
        <f t="shared" si="11"/>
        <v>0</v>
      </c>
      <c r="D37" s="190" t="str">
        <f>IFERROR(VLOOKUP(H37,[1]SEMIELABORADOS!$A$2:$M$6000,6,0),"")</f>
        <v/>
      </c>
      <c r="E37" s="190" t="str">
        <f>IFERROR(VLOOKUP(H37,[1]SEMIELABORADOS!$A$2:$M$65536,10,0),"")</f>
        <v/>
      </c>
      <c r="F37" s="190" t="str">
        <f t="shared" si="12"/>
        <v/>
      </c>
      <c r="G37" s="191" t="str">
        <f t="shared" si="9"/>
        <v/>
      </c>
      <c r="H37" s="195"/>
      <c r="I37" s="195"/>
      <c r="J37" s="193"/>
    </row>
    <row r="38" spans="1:13" ht="13.5" hidden="1" x14ac:dyDescent="0.25">
      <c r="A38" s="188">
        <f t="shared" si="10"/>
        <v>0</v>
      </c>
      <c r="B38" s="194" t="str">
        <f>IFERROR(VLOOKUP(H38,[1]SEMIELABORADOS!$A$2:$M$6000,2,0),"")</f>
        <v/>
      </c>
      <c r="C38" s="189">
        <f>+A38</f>
        <v>0</v>
      </c>
      <c r="D38" s="190" t="str">
        <f>IFERROR(VLOOKUP(H38,[1]SEMIELABORADOS!$A$2:$M$6000,6,0),"")</f>
        <v/>
      </c>
      <c r="E38" s="190" t="str">
        <f>IFERROR(VLOOKUP(H38,[1]SEMIELABORADOS!$A$2:$M$65536,10,0),"")</f>
        <v/>
      </c>
      <c r="F38" s="190" t="str">
        <f>IFERROR(E38*C38,"")</f>
        <v/>
      </c>
      <c r="G38" s="191" t="str">
        <f t="shared" si="9"/>
        <v/>
      </c>
      <c r="H38" s="195"/>
      <c r="I38" s="195"/>
      <c r="J38" s="193"/>
    </row>
    <row r="39" spans="1:13" ht="13.5" hidden="1" x14ac:dyDescent="0.25">
      <c r="A39" s="188">
        <f t="shared" si="10"/>
        <v>0</v>
      </c>
      <c r="B39" s="194" t="str">
        <f>IFERROR(VLOOKUP(H39,[1]SEMIELABORADOS!$A$2:$M$6000,2,0),"")</f>
        <v/>
      </c>
      <c r="C39" s="189">
        <f>+A39</f>
        <v>0</v>
      </c>
      <c r="D39" s="190" t="str">
        <f>IFERROR(VLOOKUP(H39,[1]SEMIELABORADOS!$A$2:$M$6000,6,0),"")</f>
        <v/>
      </c>
      <c r="E39" s="190" t="str">
        <f>IFERROR(VLOOKUP(H39,[1]SEMIELABORADOS!$A$2:$M$65536,10,0),"")</f>
        <v/>
      </c>
      <c r="F39" s="190" t="str">
        <f>IFERROR(E39*C39,"")</f>
        <v/>
      </c>
      <c r="G39" s="191" t="str">
        <f t="shared" si="9"/>
        <v/>
      </c>
      <c r="H39" s="195"/>
      <c r="I39" s="195"/>
      <c r="J39" s="193"/>
    </row>
    <row r="40" spans="1:13" ht="13.5" hidden="1" x14ac:dyDescent="0.25">
      <c r="A40" s="188">
        <f t="shared" si="10"/>
        <v>0</v>
      </c>
      <c r="B40" s="194" t="str">
        <f>IFERROR(VLOOKUP(H40,[1]SEMIELABORADOS!$A$2:$M$6000,2,0),"")</f>
        <v/>
      </c>
      <c r="C40" s="189">
        <f t="shared" si="11"/>
        <v>0</v>
      </c>
      <c r="D40" s="190" t="str">
        <f>IFERROR(VLOOKUP(H40,[1]SEMIELABORADOS!$A$2:$M$6000,6,0),"")</f>
        <v/>
      </c>
      <c r="E40" s="190" t="str">
        <f>IFERROR(VLOOKUP(H40,[1]SEMIELABORADOS!$A$2:$M$65536,10,0),"")</f>
        <v/>
      </c>
      <c r="F40" s="190" t="str">
        <f t="shared" si="12"/>
        <v/>
      </c>
      <c r="G40" s="191" t="str">
        <f t="shared" si="9"/>
        <v/>
      </c>
      <c r="H40" s="195"/>
      <c r="I40" s="195"/>
      <c r="J40" s="193"/>
    </row>
    <row r="41" spans="1:13" ht="13.5" hidden="1" x14ac:dyDescent="0.25">
      <c r="A41" s="188">
        <f t="shared" si="10"/>
        <v>0</v>
      </c>
      <c r="B41" s="194" t="str">
        <f>IFERROR(VLOOKUP(H41,[1]SEMIELABORADOS!$A$2:$M$6000,2,0),"")</f>
        <v/>
      </c>
      <c r="C41" s="189">
        <f t="shared" si="11"/>
        <v>0</v>
      </c>
      <c r="D41" s="190" t="str">
        <f>IFERROR(VLOOKUP(H41,[1]SEMIELABORADOS!$A$2:$M$6000,6,0),"")</f>
        <v/>
      </c>
      <c r="E41" s="190" t="str">
        <f>IFERROR(VLOOKUP(H41,[1]SEMIELABORADOS!$A$2:$M$65536,10,0),"")</f>
        <v/>
      </c>
      <c r="F41" s="190" t="str">
        <f t="shared" si="12"/>
        <v/>
      </c>
      <c r="G41" s="191" t="str">
        <f t="shared" si="9"/>
        <v/>
      </c>
      <c r="H41" s="195"/>
      <c r="I41" s="195"/>
      <c r="J41" s="193"/>
    </row>
    <row r="42" spans="1:13" ht="14.25" thickBot="1" x14ac:dyDescent="0.3">
      <c r="A42" s="188"/>
      <c r="B42" s="194"/>
      <c r="C42" s="189"/>
      <c r="D42" s="190"/>
      <c r="E42" s="190"/>
      <c r="F42" s="190"/>
      <c r="G42" s="191"/>
      <c r="H42" s="195"/>
      <c r="I42" s="195"/>
      <c r="J42" s="193"/>
    </row>
    <row r="43" spans="1:13" ht="26.25" thickBot="1" x14ac:dyDescent="0.3">
      <c r="A43" s="183" t="s">
        <v>99</v>
      </c>
      <c r="B43" s="184" t="s">
        <v>108</v>
      </c>
      <c r="C43" s="184" t="s">
        <v>99</v>
      </c>
      <c r="D43" s="185" t="s">
        <v>101</v>
      </c>
      <c r="E43" s="185" t="s">
        <v>102</v>
      </c>
      <c r="F43" s="185" t="s">
        <v>103</v>
      </c>
      <c r="G43" s="185" t="s">
        <v>104</v>
      </c>
      <c r="H43" s="186" t="s">
        <v>105</v>
      </c>
      <c r="I43" s="187"/>
      <c r="J43" s="193"/>
    </row>
    <row r="44" spans="1:13" ht="13.5" x14ac:dyDescent="0.25">
      <c r="A44" s="188">
        <f>+A35</f>
        <v>10100</v>
      </c>
      <c r="B44" s="194" t="s">
        <v>79</v>
      </c>
      <c r="C44" s="189">
        <f>+A44</f>
        <v>10100</v>
      </c>
      <c r="D44" s="190" t="s">
        <v>144</v>
      </c>
      <c r="E44" s="190">
        <v>0.03</v>
      </c>
      <c r="F44" s="190">
        <f>IFERROR(E44*C44,"")</f>
        <v>303</v>
      </c>
      <c r="G44" s="191">
        <f>IFERROR(F44/$F$66,"")</f>
        <v>4.4027323095164406E-3</v>
      </c>
      <c r="H44" s="195" t="s">
        <v>67</v>
      </c>
      <c r="I44" s="187"/>
      <c r="J44" s="193"/>
    </row>
    <row r="45" spans="1:13" ht="13.5" hidden="1" x14ac:dyDescent="0.25">
      <c r="A45" s="188">
        <f t="shared" ref="A45:A50" si="13">+A36</f>
        <v>0</v>
      </c>
      <c r="B45" s="194" t="str">
        <f>IFERROR(VLOOKUP(H45,[1]SEMIELABORADOS!$A$2:$M$6000,2,0),"")</f>
        <v/>
      </c>
      <c r="C45" s="189">
        <f t="shared" ref="C45:C50" si="14">+A45</f>
        <v>0</v>
      </c>
      <c r="D45" s="190" t="str">
        <f>IFERROR(VLOOKUP(H45,[1]SEMIELABORADOS!$A$2:$M$6000,6,0),"")</f>
        <v/>
      </c>
      <c r="E45" s="190" t="str">
        <f>IFERROR(VLOOKUP(H45,[1]SEMIELABORADOS!$A$2:$M$65536,12,0),"")</f>
        <v/>
      </c>
      <c r="F45" s="190" t="str">
        <f t="shared" ref="F45:F50" si="15">IFERROR(E45*C45,"")</f>
        <v/>
      </c>
      <c r="G45" s="191" t="str">
        <f t="shared" ref="G45:G50" si="16">IFERROR(F45/$F$66,"")</f>
        <v/>
      </c>
      <c r="H45" s="195"/>
      <c r="I45" s="187"/>
      <c r="J45" s="193"/>
      <c r="M45" s="198"/>
    </row>
    <row r="46" spans="1:13" ht="13.5" hidden="1" x14ac:dyDescent="0.25">
      <c r="A46" s="188">
        <f t="shared" si="13"/>
        <v>0</v>
      </c>
      <c r="B46" s="194" t="str">
        <f>IFERROR(VLOOKUP(H46,[1]SEMIELABORADOS!$A$2:$M$6000,2,0),"")</f>
        <v/>
      </c>
      <c r="C46" s="189">
        <f t="shared" si="14"/>
        <v>0</v>
      </c>
      <c r="D46" s="190" t="str">
        <f>IFERROR(VLOOKUP(H46,[1]SEMIELABORADOS!$A$2:$M$6000,6,0),"")</f>
        <v/>
      </c>
      <c r="E46" s="190" t="str">
        <f>IFERROR(VLOOKUP(H46,[1]SEMIELABORADOS!$A$2:$M$65536,12,0),"")</f>
        <v/>
      </c>
      <c r="F46" s="190" t="str">
        <f t="shared" si="15"/>
        <v/>
      </c>
      <c r="G46" s="191" t="str">
        <f t="shared" si="16"/>
        <v/>
      </c>
      <c r="H46" s="195"/>
      <c r="I46" s="187"/>
      <c r="J46" s="193"/>
    </row>
    <row r="47" spans="1:13" ht="13.5" hidden="1" x14ac:dyDescent="0.25">
      <c r="A47" s="188">
        <f t="shared" si="13"/>
        <v>0</v>
      </c>
      <c r="B47" s="194" t="str">
        <f>IFERROR(VLOOKUP(H47,[1]SEMIELABORADOS!$A$2:$M$6000,2,0),"")</f>
        <v/>
      </c>
      <c r="C47" s="189">
        <f t="shared" si="14"/>
        <v>0</v>
      </c>
      <c r="D47" s="190" t="str">
        <f>IFERROR(VLOOKUP(H47,[1]SEMIELABORADOS!$A$2:$M$6000,6,0),"")</f>
        <v/>
      </c>
      <c r="E47" s="190" t="str">
        <f>IFERROR(VLOOKUP(H47,[1]SEMIELABORADOS!$A$2:$M$65536,12,0),"")</f>
        <v/>
      </c>
      <c r="F47" s="190" t="str">
        <f t="shared" si="15"/>
        <v/>
      </c>
      <c r="G47" s="191" t="str">
        <f t="shared" si="16"/>
        <v/>
      </c>
      <c r="H47" s="195"/>
      <c r="I47" s="187"/>
      <c r="J47" s="193"/>
    </row>
    <row r="48" spans="1:13" ht="13.5" hidden="1" x14ac:dyDescent="0.25">
      <c r="A48" s="188">
        <f t="shared" si="13"/>
        <v>0</v>
      </c>
      <c r="B48" s="194" t="str">
        <f>IFERROR(VLOOKUP(H48,[1]SEMIELABORADOS!$A$2:$M$6000,2,0),"")</f>
        <v/>
      </c>
      <c r="C48" s="189">
        <f t="shared" si="14"/>
        <v>0</v>
      </c>
      <c r="D48" s="190" t="str">
        <f>IFERROR(VLOOKUP(H48,[1]SEMIELABORADOS!$A$2:$M$6000,6,0),"")</f>
        <v/>
      </c>
      <c r="E48" s="190" t="str">
        <f>IFERROR(VLOOKUP(H48,[1]SEMIELABORADOS!$A$2:$M$65536,12,0),"")</f>
        <v/>
      </c>
      <c r="F48" s="190" t="str">
        <f t="shared" si="15"/>
        <v/>
      </c>
      <c r="G48" s="191" t="str">
        <f t="shared" si="16"/>
        <v/>
      </c>
      <c r="H48" s="195"/>
      <c r="I48" s="187"/>
      <c r="J48" s="193"/>
    </row>
    <row r="49" spans="1:17" ht="13.5" hidden="1" x14ac:dyDescent="0.25">
      <c r="A49" s="188">
        <f t="shared" si="13"/>
        <v>0</v>
      </c>
      <c r="B49" s="194" t="str">
        <f>IFERROR(VLOOKUP(H49,[1]SEMIELABORADOS!$A$2:$M$6000,2,0),"")</f>
        <v/>
      </c>
      <c r="C49" s="189">
        <f t="shared" si="14"/>
        <v>0</v>
      </c>
      <c r="D49" s="190" t="str">
        <f>IFERROR(VLOOKUP(H49,[1]SEMIELABORADOS!$A$2:$M$6000,6,0),"")</f>
        <v/>
      </c>
      <c r="E49" s="190" t="str">
        <f>IFERROR(VLOOKUP(H49,[1]SEMIELABORADOS!$A$2:$M$65536,12,0),"")</f>
        <v/>
      </c>
      <c r="F49" s="190" t="str">
        <f t="shared" si="15"/>
        <v/>
      </c>
      <c r="G49" s="191" t="str">
        <f t="shared" si="16"/>
        <v/>
      </c>
      <c r="H49" s="195"/>
      <c r="I49" s="187"/>
      <c r="J49" s="193"/>
    </row>
    <row r="50" spans="1:17" ht="13.5" hidden="1" x14ac:dyDescent="0.25">
      <c r="A50" s="188">
        <f t="shared" si="13"/>
        <v>0</v>
      </c>
      <c r="B50" s="194" t="str">
        <f>IFERROR(VLOOKUP(H50,[1]SEMIELABORADOS!$A$2:$M$6000,2,0),"")</f>
        <v/>
      </c>
      <c r="C50" s="189">
        <f t="shared" si="14"/>
        <v>0</v>
      </c>
      <c r="D50" s="190" t="str">
        <f>IFERROR(VLOOKUP(H50,[1]SEMIELABORADOS!$A$2:$M$6000,6,0),"")</f>
        <v/>
      </c>
      <c r="E50" s="190" t="str">
        <f>IFERROR(VLOOKUP(H50,[1]SEMIELABORADOS!$A$2:$M$65536,12,0),"")</f>
        <v/>
      </c>
      <c r="F50" s="190" t="str">
        <f t="shared" si="15"/>
        <v/>
      </c>
      <c r="G50" s="191" t="str">
        <f t="shared" si="16"/>
        <v/>
      </c>
      <c r="H50" s="194"/>
      <c r="I50" s="187"/>
      <c r="J50" s="193"/>
    </row>
    <row r="51" spans="1:17" ht="13.5" x14ac:dyDescent="0.25">
      <c r="A51" s="188">
        <v>1</v>
      </c>
      <c r="B51" s="194" t="s">
        <v>109</v>
      </c>
      <c r="C51" s="189">
        <f>+A51</f>
        <v>1</v>
      </c>
      <c r="D51" s="189" t="s">
        <v>110</v>
      </c>
      <c r="E51" s="190">
        <f>+F65</f>
        <v>385</v>
      </c>
      <c r="F51" s="190">
        <f>IFERROR(C51*E51,"")</f>
        <v>385</v>
      </c>
      <c r="G51" s="191">
        <f>IFERROR(F51/$F$66,"")</f>
        <v>5.5942308223228708E-3</v>
      </c>
      <c r="H51" s="199"/>
      <c r="I51" s="199"/>
      <c r="J51" s="193"/>
    </row>
    <row r="52" spans="1:17" ht="14.25" thickBot="1" x14ac:dyDescent="0.3">
      <c r="A52" s="188"/>
      <c r="B52" s="194"/>
      <c r="C52" s="189"/>
      <c r="D52" s="189"/>
      <c r="E52" s="190"/>
      <c r="F52" s="190"/>
      <c r="G52" s="191"/>
      <c r="H52" s="199"/>
      <c r="I52" s="199"/>
      <c r="J52" s="193"/>
    </row>
    <row r="53" spans="1:17" ht="13.5" thickBot="1" x14ac:dyDescent="0.3">
      <c r="A53" s="200"/>
      <c r="B53" s="736" t="s">
        <v>111</v>
      </c>
      <c r="C53" s="736"/>
      <c r="D53" s="736"/>
      <c r="E53" s="736"/>
      <c r="F53" s="202">
        <f>SUM(F8:F14,F17:F24)</f>
        <v>66995</v>
      </c>
      <c r="G53" s="191">
        <f>+F53/$F$66</f>
        <v>0.97346881543252128</v>
      </c>
      <c r="H53" s="203">
        <f>+F53/$D$60</f>
        <v>66995</v>
      </c>
      <c r="I53" s="203"/>
      <c r="J53" s="204"/>
      <c r="K53" s="205"/>
      <c r="L53" s="205"/>
      <c r="M53" s="205"/>
      <c r="N53" s="205"/>
      <c r="O53" s="205"/>
      <c r="P53" s="205"/>
      <c r="Q53" s="206"/>
    </row>
    <row r="54" spans="1:17" x14ac:dyDescent="0.2">
      <c r="A54" s="200"/>
      <c r="B54" s="736" t="s">
        <v>112</v>
      </c>
      <c r="C54" s="736"/>
      <c r="D54" s="736"/>
      <c r="E54" s="736"/>
      <c r="F54" s="202">
        <f>SUM(F27:F32,F35:F41)</f>
        <v>101</v>
      </c>
      <c r="G54" s="191">
        <f>+F54/$F$66</f>
        <v>1.4675774365054803E-3</v>
      </c>
      <c r="H54" s="203">
        <f>+F54/$D$60</f>
        <v>101</v>
      </c>
      <c r="I54" s="203"/>
      <c r="J54" s="207"/>
      <c r="K54" s="737" t="s">
        <v>113</v>
      </c>
      <c r="L54" s="738"/>
      <c r="M54" s="738"/>
      <c r="N54" s="738"/>
      <c r="O54" s="208">
        <f>+F55</f>
        <v>67096</v>
      </c>
      <c r="P54" s="208"/>
      <c r="Q54" s="209"/>
    </row>
    <row r="55" spans="1:17" x14ac:dyDescent="0.2">
      <c r="A55" s="200"/>
      <c r="B55" s="736" t="s">
        <v>114</v>
      </c>
      <c r="C55" s="736"/>
      <c r="D55" s="736"/>
      <c r="E55" s="736"/>
      <c r="F55" s="202">
        <f>+F53+F54</f>
        <v>67096</v>
      </c>
      <c r="G55" s="191">
        <f>+F55/$F$66</f>
        <v>0.97493639286902678</v>
      </c>
      <c r="H55" s="203">
        <f>+F55/$D$60</f>
        <v>67096</v>
      </c>
      <c r="I55" s="203"/>
      <c r="J55" s="210"/>
      <c r="K55" s="211"/>
      <c r="M55" s="212" t="s">
        <v>115</v>
      </c>
      <c r="N55" s="213"/>
      <c r="O55" s="208">
        <f>+H56</f>
        <v>688</v>
      </c>
      <c r="P55" s="208"/>
      <c r="Q55" s="209"/>
    </row>
    <row r="56" spans="1:17" ht="13.5" thickBot="1" x14ac:dyDescent="0.25">
      <c r="A56" s="200"/>
      <c r="B56" s="201"/>
      <c r="C56" s="736" t="s">
        <v>116</v>
      </c>
      <c r="D56" s="736"/>
      <c r="E56" s="736"/>
      <c r="F56" s="202">
        <f>SUM(F44:F51)</f>
        <v>688</v>
      </c>
      <c r="G56" s="191">
        <f>+F56/$F$66</f>
        <v>9.9969631318393114E-3</v>
      </c>
      <c r="H56" s="203">
        <f>+F56/$D$60</f>
        <v>688</v>
      </c>
      <c r="I56" s="203"/>
      <c r="J56" s="210"/>
      <c r="K56" s="211"/>
      <c r="L56" s="211"/>
      <c r="M56" s="211" t="s">
        <v>117</v>
      </c>
      <c r="N56" s="214"/>
      <c r="O56" s="208">
        <f>O54*N56</f>
        <v>0</v>
      </c>
      <c r="P56" s="208"/>
      <c r="Q56" s="209"/>
    </row>
    <row r="57" spans="1:17" ht="13.5" thickBot="1" x14ac:dyDescent="0.25">
      <c r="A57" s="200"/>
      <c r="B57" s="215"/>
      <c r="C57" s="215"/>
      <c r="D57" s="215"/>
      <c r="E57" s="215"/>
      <c r="F57" s="216"/>
      <c r="G57" s="191"/>
      <c r="H57" s="217"/>
      <c r="I57" s="203"/>
      <c r="J57" s="210"/>
      <c r="K57" s="218"/>
      <c r="M57" s="219" t="s">
        <v>118</v>
      </c>
      <c r="N57" s="220"/>
      <c r="O57" s="221">
        <f>SUM(O54:O56)</f>
        <v>67784</v>
      </c>
      <c r="P57" s="222"/>
      <c r="Q57" s="209"/>
    </row>
    <row r="58" spans="1:17" x14ac:dyDescent="0.2">
      <c r="B58" s="739" t="s">
        <v>119</v>
      </c>
      <c r="C58" s="739"/>
      <c r="D58" s="223">
        <v>15000</v>
      </c>
      <c r="E58" s="224"/>
      <c r="G58" s="191"/>
      <c r="H58" s="217">
        <f>+H56/77</f>
        <v>8.9350649350649345</v>
      </c>
      <c r="I58" s="225"/>
      <c r="J58" s="210"/>
      <c r="K58" s="218"/>
      <c r="L58" s="211"/>
      <c r="M58" s="211" t="s">
        <v>120</v>
      </c>
      <c r="N58" s="226"/>
      <c r="O58" s="208">
        <f>+H59</f>
        <v>741.61038961038957</v>
      </c>
      <c r="P58" s="208"/>
      <c r="Q58" s="209"/>
    </row>
    <row r="59" spans="1:17" x14ac:dyDescent="0.2">
      <c r="B59" s="739" t="s">
        <v>121</v>
      </c>
      <c r="C59" s="739"/>
      <c r="D59" s="227">
        <v>15000</v>
      </c>
      <c r="E59" s="224"/>
      <c r="G59" s="191"/>
      <c r="H59" s="217">
        <f>+H58*83</f>
        <v>741.61038961038957</v>
      </c>
      <c r="I59" s="225"/>
      <c r="J59" s="210"/>
      <c r="K59" s="218"/>
      <c r="L59" s="211"/>
      <c r="M59" s="740" t="s">
        <v>118</v>
      </c>
      <c r="N59" s="740"/>
      <c r="O59" s="208">
        <f>SUM(O57:O58)</f>
        <v>68525.610389610389</v>
      </c>
      <c r="P59" s="208"/>
      <c r="Q59" s="209"/>
    </row>
    <row r="60" spans="1:17" ht="13.5" thickBot="1" x14ac:dyDescent="0.25">
      <c r="B60" s="732" t="s">
        <v>122</v>
      </c>
      <c r="C60" s="732"/>
      <c r="D60" s="223">
        <f>+D58/D59</f>
        <v>1</v>
      </c>
      <c r="E60" s="224"/>
      <c r="F60" s="228"/>
      <c r="G60" s="191"/>
      <c r="H60" s="217"/>
      <c r="I60" s="225"/>
      <c r="J60" s="210"/>
      <c r="K60" s="218"/>
      <c r="L60" s="740"/>
      <c r="M60" s="740"/>
      <c r="N60" s="226"/>
      <c r="O60" s="208">
        <f>+O59*N60</f>
        <v>0</v>
      </c>
      <c r="P60" s="208"/>
      <c r="Q60" s="209"/>
    </row>
    <row r="61" spans="1:17" ht="13.5" thickBot="1" x14ac:dyDescent="0.25">
      <c r="B61" s="732" t="s">
        <v>123</v>
      </c>
      <c r="C61" s="732"/>
      <c r="D61" s="229"/>
      <c r="E61" s="224"/>
      <c r="F61" s="228"/>
      <c r="G61" s="191"/>
      <c r="H61" s="217"/>
      <c r="I61" s="225"/>
      <c r="J61" s="210"/>
      <c r="K61" s="733" t="s">
        <v>124</v>
      </c>
      <c r="L61" s="734"/>
      <c r="M61" s="734"/>
      <c r="N61" s="735"/>
      <c r="O61" s="221">
        <f>SUM(O59:O60)</f>
        <v>68525.610389610389</v>
      </c>
      <c r="P61" s="230" t="s">
        <v>125</v>
      </c>
      <c r="Q61" s="209"/>
    </row>
    <row r="62" spans="1:17" ht="13.5" thickBot="1" x14ac:dyDescent="0.25">
      <c r="C62" s="200" t="s">
        <v>126</v>
      </c>
      <c r="D62" s="231"/>
      <c r="E62" s="174" t="s">
        <v>127</v>
      </c>
      <c r="F62" s="232" t="s">
        <v>128</v>
      </c>
      <c r="G62" s="191"/>
      <c r="H62" s="217"/>
      <c r="I62" s="225"/>
      <c r="J62" s="233"/>
      <c r="K62" s="234"/>
      <c r="L62" s="746" t="s">
        <v>129</v>
      </c>
      <c r="M62" s="746"/>
      <c r="N62" s="746"/>
      <c r="O62" s="235">
        <f>+O61/D60</f>
        <v>68525.610389610389</v>
      </c>
      <c r="P62" s="236">
        <f>+O62/D59</f>
        <v>4.568374025974026</v>
      </c>
      <c r="Q62" s="237"/>
    </row>
    <row r="63" spans="1:17" ht="13.5" thickBot="1" x14ac:dyDescent="0.25">
      <c r="B63" s="747" t="s">
        <v>114</v>
      </c>
      <c r="C63" s="747"/>
      <c r="D63" s="747"/>
      <c r="E63" s="238">
        <f>+F63/F63</f>
        <v>1</v>
      </c>
      <c r="F63" s="239">
        <f>SUM(F55)</f>
        <v>67096</v>
      </c>
      <c r="G63" s="191">
        <f>+F63/$F$66</f>
        <v>0.97493639286902678</v>
      </c>
      <c r="H63" s="217"/>
      <c r="I63" s="225"/>
      <c r="K63" s="748"/>
      <c r="L63" s="749"/>
      <c r="M63" s="749"/>
      <c r="N63" s="749"/>
      <c r="O63" s="240"/>
      <c r="P63" s="241"/>
    </row>
    <row r="64" spans="1:17" ht="13.5" thickBot="1" x14ac:dyDescent="0.3">
      <c r="B64" s="750" t="s">
        <v>130</v>
      </c>
      <c r="C64" s="750"/>
      <c r="D64" s="750"/>
      <c r="E64" s="242">
        <v>0.02</v>
      </c>
      <c r="F64" s="239">
        <f>+F53*E64</f>
        <v>1339.9</v>
      </c>
      <c r="G64" s="191">
        <f>+F64/$F$66</f>
        <v>1.9469376308650428E-2</v>
      </c>
      <c r="H64" s="203"/>
      <c r="I64" s="225"/>
      <c r="J64" s="243"/>
      <c r="O64" s="244"/>
      <c r="P64" s="201"/>
    </row>
    <row r="65" spans="2:13" ht="13.5" thickBot="1" x14ac:dyDescent="0.3">
      <c r="B65" s="751" t="s">
        <v>131</v>
      </c>
      <c r="C65" s="752"/>
      <c r="D65" s="245">
        <v>5</v>
      </c>
      <c r="E65" s="246">
        <v>77</v>
      </c>
      <c r="F65" s="239">
        <f>+E65*D65</f>
        <v>385</v>
      </c>
      <c r="G65" s="191">
        <f>+F65/$F$66</f>
        <v>5.5942308223228708E-3</v>
      </c>
      <c r="H65" s="203"/>
      <c r="I65" s="203"/>
      <c r="J65" s="193"/>
    </row>
    <row r="66" spans="2:13" ht="13.5" thickBot="1" x14ac:dyDescent="0.3">
      <c r="B66" s="753" t="s">
        <v>132</v>
      </c>
      <c r="C66" s="754"/>
      <c r="D66" s="754"/>
      <c r="E66" s="755"/>
      <c r="F66" s="216">
        <f>SUM(F63:F65)</f>
        <v>68820.899999999994</v>
      </c>
      <c r="G66" s="191">
        <f>+F66/$F$66</f>
        <v>1</v>
      </c>
      <c r="H66" s="756"/>
      <c r="I66" s="203"/>
      <c r="J66" s="193"/>
      <c r="M66" s="176" t="s">
        <v>133</v>
      </c>
    </row>
    <row r="67" spans="2:13" x14ac:dyDescent="0.25">
      <c r="C67" s="198"/>
      <c r="D67" s="198"/>
      <c r="E67" s="248"/>
      <c r="F67" s="239"/>
      <c r="G67" s="191"/>
      <c r="H67" s="756"/>
      <c r="I67" s="247"/>
      <c r="J67" s="176"/>
      <c r="M67" s="176" t="s">
        <v>134</v>
      </c>
    </row>
    <row r="68" spans="2:13" ht="13.5" thickBot="1" x14ac:dyDescent="0.3">
      <c r="B68" s="741" t="s">
        <v>135</v>
      </c>
      <c r="C68" s="741"/>
      <c r="D68" s="741"/>
      <c r="E68" s="741"/>
      <c r="F68" s="741"/>
      <c r="G68" s="191"/>
      <c r="H68" s="250"/>
      <c r="I68" s="247"/>
      <c r="J68" s="176"/>
      <c r="M68" s="176" t="s">
        <v>136</v>
      </c>
    </row>
    <row r="69" spans="2:13" ht="13.5" thickBot="1" x14ac:dyDescent="0.3">
      <c r="B69" s="251" t="s">
        <v>137</v>
      </c>
      <c r="C69" s="252">
        <f>+F53</f>
        <v>66995</v>
      </c>
      <c r="D69" s="252">
        <f>+D58</f>
        <v>15000</v>
      </c>
      <c r="E69" s="253">
        <f>+C69/D69</f>
        <v>4.466333333333333</v>
      </c>
      <c r="F69" s="191"/>
      <c r="G69" s="250"/>
      <c r="H69" s="193"/>
      <c r="I69" s="250"/>
      <c r="J69" s="176"/>
    </row>
    <row r="70" spans="2:13" x14ac:dyDescent="0.25">
      <c r="B70" s="254"/>
      <c r="C70" s="255"/>
      <c r="D70" s="256"/>
      <c r="E70" s="239"/>
      <c r="F70" s="191"/>
      <c r="G70" s="250"/>
      <c r="H70" s="193"/>
      <c r="I70" s="193"/>
      <c r="J70" s="176"/>
    </row>
    <row r="71" spans="2:13" x14ac:dyDescent="0.25">
      <c r="B71" s="251" t="s">
        <v>138</v>
      </c>
      <c r="C71" s="252">
        <f>SUM(F63:F64)</f>
        <v>68435.899999999994</v>
      </c>
      <c r="D71" s="252">
        <f>+D58</f>
        <v>15000</v>
      </c>
      <c r="E71" s="257">
        <f>+C71/D71</f>
        <v>4.5623933333333326</v>
      </c>
      <c r="F71" s="191"/>
      <c r="G71" s="250"/>
      <c r="H71" s="193"/>
      <c r="I71" s="193"/>
      <c r="J71" s="176"/>
    </row>
    <row r="72" spans="2:13" x14ac:dyDescent="0.25">
      <c r="B72" s="251"/>
      <c r="C72" s="252"/>
      <c r="D72" s="252"/>
      <c r="E72" s="257"/>
      <c r="F72" s="191"/>
      <c r="G72" s="250"/>
      <c r="H72" s="193"/>
      <c r="I72" s="193"/>
      <c r="J72" s="176"/>
    </row>
    <row r="73" spans="2:13" ht="13.5" thickBot="1" x14ac:dyDescent="0.3">
      <c r="B73" s="251" t="s">
        <v>139</v>
      </c>
      <c r="C73" s="252">
        <f>+F65</f>
        <v>385</v>
      </c>
      <c r="D73" s="252">
        <f>+D58</f>
        <v>15000</v>
      </c>
      <c r="E73" s="257">
        <f>+C73/D73</f>
        <v>2.5666666666666667E-2</v>
      </c>
      <c r="F73" s="191"/>
      <c r="G73" s="250"/>
      <c r="H73" s="193"/>
      <c r="I73" s="193"/>
      <c r="J73" s="176"/>
    </row>
    <row r="74" spans="2:13" ht="13.5" thickBot="1" x14ac:dyDescent="0.3">
      <c r="B74" s="251" t="s">
        <v>140</v>
      </c>
      <c r="C74" s="252">
        <f>+F56</f>
        <v>688</v>
      </c>
      <c r="D74" s="252">
        <f>+D73</f>
        <v>15000</v>
      </c>
      <c r="E74" s="253">
        <f>+C74/D74</f>
        <v>4.5866666666666667E-2</v>
      </c>
      <c r="F74" s="191"/>
      <c r="G74" s="250"/>
      <c r="H74" s="193"/>
      <c r="I74" s="193"/>
      <c r="J74" s="176"/>
    </row>
    <row r="75" spans="2:13" ht="13.5" thickBot="1" x14ac:dyDescent="0.3">
      <c r="B75" s="215"/>
      <c r="C75" s="216"/>
      <c r="D75" s="216"/>
      <c r="E75" s="257"/>
      <c r="F75" s="191"/>
      <c r="G75" s="250"/>
      <c r="H75" s="193"/>
      <c r="I75" s="193"/>
      <c r="J75" s="176"/>
    </row>
    <row r="76" spans="2:13" ht="13.5" thickBot="1" x14ac:dyDescent="0.3">
      <c r="B76" s="251" t="s">
        <v>141</v>
      </c>
      <c r="C76" s="252">
        <f>+F54</f>
        <v>101</v>
      </c>
      <c r="D76" s="252">
        <f>+D74</f>
        <v>15000</v>
      </c>
      <c r="E76" s="253">
        <f>+C76/D76</f>
        <v>6.7333333333333334E-3</v>
      </c>
      <c r="F76" s="191"/>
      <c r="G76" s="250"/>
      <c r="H76" s="193"/>
      <c r="I76" s="193"/>
      <c r="J76" s="193"/>
    </row>
    <row r="77" spans="2:13" ht="13.5" thickBot="1" x14ac:dyDescent="0.3">
      <c r="B77" s="215"/>
      <c r="C77" s="216"/>
      <c r="D77" s="216"/>
      <c r="E77" s="257"/>
      <c r="F77" s="191"/>
      <c r="G77" s="250"/>
      <c r="H77" s="193"/>
      <c r="I77" s="193"/>
    </row>
    <row r="78" spans="2:13" ht="13.5" thickBot="1" x14ac:dyDescent="0.3">
      <c r="B78" s="742" t="s">
        <v>142</v>
      </c>
      <c r="C78" s="743"/>
      <c r="D78" s="744"/>
      <c r="E78" s="253">
        <f>+E69+E74</f>
        <v>4.5122</v>
      </c>
      <c r="G78" s="191"/>
      <c r="H78" s="250"/>
      <c r="I78" s="193"/>
      <c r="J78" s="257"/>
    </row>
    <row r="79" spans="2:13" x14ac:dyDescent="0.25">
      <c r="I79" s="250"/>
      <c r="J79" s="176"/>
    </row>
    <row r="80" spans="2:13" ht="13.5" thickBot="1" x14ac:dyDescent="0.3">
      <c r="B80" s="741" t="s">
        <v>143</v>
      </c>
      <c r="C80" s="741"/>
      <c r="D80" s="741"/>
      <c r="E80" s="741"/>
      <c r="F80" s="741"/>
      <c r="G80" s="191"/>
      <c r="H80" s="250"/>
      <c r="J80" s="176"/>
    </row>
    <row r="81" spans="1:10" ht="13.5" thickBot="1" x14ac:dyDescent="0.3">
      <c r="B81" s="251" t="s">
        <v>137</v>
      </c>
      <c r="C81" s="252">
        <f>+C69</f>
        <v>66995</v>
      </c>
      <c r="D81" s="252">
        <f>+D60</f>
        <v>1</v>
      </c>
      <c r="E81" s="253">
        <f>+C81/D81</f>
        <v>66995</v>
      </c>
      <c r="F81" s="191"/>
      <c r="G81" s="250"/>
      <c r="H81" s="193"/>
      <c r="I81" s="250"/>
      <c r="J81" s="176"/>
    </row>
    <row r="82" spans="1:10" x14ac:dyDescent="0.25">
      <c r="B82" s="254"/>
      <c r="C82" s="255"/>
      <c r="D82" s="256"/>
      <c r="E82" s="239"/>
      <c r="F82" s="191"/>
      <c r="G82" s="250"/>
      <c r="H82" s="193"/>
      <c r="I82" s="193"/>
      <c r="J82" s="176"/>
    </row>
    <row r="83" spans="1:10" x14ac:dyDescent="0.25">
      <c r="B83" s="251" t="s">
        <v>138</v>
      </c>
      <c r="C83" s="252">
        <f>+C71</f>
        <v>68435.899999999994</v>
      </c>
      <c r="D83" s="252">
        <f>+D60</f>
        <v>1</v>
      </c>
      <c r="E83" s="257">
        <f>+C83/D83</f>
        <v>68435.899999999994</v>
      </c>
      <c r="F83" s="191"/>
      <c r="G83" s="250"/>
      <c r="H83" s="193"/>
      <c r="I83" s="193"/>
      <c r="J83" s="176"/>
    </row>
    <row r="84" spans="1:10" x14ac:dyDescent="0.25">
      <c r="B84" s="251"/>
      <c r="C84" s="252"/>
      <c r="D84" s="252"/>
      <c r="E84" s="257"/>
      <c r="F84" s="191"/>
      <c r="G84" s="250"/>
      <c r="H84" s="193"/>
      <c r="I84" s="193"/>
      <c r="J84" s="176"/>
    </row>
    <row r="85" spans="1:10" ht="13.5" thickBot="1" x14ac:dyDescent="0.3">
      <c r="B85" s="251" t="s">
        <v>140</v>
      </c>
      <c r="C85" s="252">
        <f>+C73</f>
        <v>385</v>
      </c>
      <c r="D85" s="252">
        <f>+D60</f>
        <v>1</v>
      </c>
      <c r="E85" s="257">
        <f>+C85/D85</f>
        <v>385</v>
      </c>
      <c r="F85" s="259"/>
      <c r="G85" s="249"/>
      <c r="H85" s="175"/>
      <c r="I85" s="193"/>
    </row>
    <row r="86" spans="1:10" ht="13.5" thickBot="1" x14ac:dyDescent="0.3">
      <c r="B86" s="251" t="s">
        <v>140</v>
      </c>
      <c r="C86" s="252">
        <f>+C74</f>
        <v>688</v>
      </c>
      <c r="D86" s="252">
        <f>+D85</f>
        <v>1</v>
      </c>
      <c r="E86" s="253">
        <f>+C86/D86</f>
        <v>688</v>
      </c>
      <c r="F86" s="258"/>
      <c r="G86" s="249"/>
      <c r="H86" s="175"/>
      <c r="I86" s="175"/>
    </row>
    <row r="87" spans="1:10" x14ac:dyDescent="0.25">
      <c r="I87" s="175"/>
    </row>
    <row r="88" spans="1:10" x14ac:dyDescent="0.2">
      <c r="A88" s="745"/>
      <c r="B88" s="745"/>
      <c r="C88" s="260"/>
      <c r="D88" s="260"/>
      <c r="E88" s="261"/>
      <c r="G88" s="262"/>
    </row>
    <row r="89" spans="1:10" x14ac:dyDescent="0.2">
      <c r="A89" s="194"/>
      <c r="B89" s="263"/>
      <c r="C89" s="264"/>
      <c r="D89" s="264"/>
      <c r="E89" s="265"/>
      <c r="G89" s="262"/>
    </row>
    <row r="90" spans="1:10" x14ac:dyDescent="0.2">
      <c r="A90" s="194"/>
      <c r="B90" s="263"/>
      <c r="C90" s="266"/>
      <c r="D90" s="266"/>
      <c r="E90" s="194"/>
      <c r="G90" s="262"/>
    </row>
    <row r="91" spans="1:10" x14ac:dyDescent="0.2">
      <c r="A91" s="194"/>
      <c r="B91" s="263"/>
      <c r="C91" s="267"/>
      <c r="D91" s="267"/>
      <c r="E91" s="194"/>
      <c r="G91" s="262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585C2E-D30E-41A4-9E72-76F652F6C6CC}">
  <ds:schemaRefs>
    <ds:schemaRef ds:uri="http://purl.org/dc/elements/1.1/"/>
    <ds:schemaRef ds:uri="http://purl.org/dc/dcmitype/"/>
    <ds:schemaRef ds:uri="http://schemas.microsoft.com/office/2006/documentManagement/types"/>
    <ds:schemaRef ds:uri="eae225b5-53a6-4b69-be5f-a92fedf9fd97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7b4e74ba-38a7-42d4-a9ca-1da0fc041db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C926737-B4DD-4774-9623-1F483F6B2C69}"/>
</file>

<file path=customXml/itemProps3.xml><?xml version="1.0" encoding="utf-8"?>
<ds:datastoreItem xmlns:ds="http://schemas.openxmlformats.org/officeDocument/2006/customXml" ds:itemID="{47653557-2799-44D9-8744-A2D4D7269E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Costo Ensamble </vt:lpstr>
      <vt:lpstr>Crema Dulce Leche </vt:lpstr>
      <vt:lpstr>Mezcla Sirope Dulce leche </vt:lpstr>
      <vt:lpstr>Empaque Relleno de Caramelo </vt:lpstr>
      <vt:lpstr>Relleno Caramelo Spoon</vt:lpstr>
      <vt:lpstr>Batido Vainilla Dawn</vt:lpstr>
      <vt:lpstr>Premezcla Vainilla Dawn</vt:lpstr>
      <vt:lpstr>Costo Rosquete</vt:lpstr>
      <vt:lpstr>Almibar </vt:lpstr>
      <vt:lpstr>Costo almibar flor de caña </vt:lpstr>
      <vt:lpstr>Mezcla Flan Caramelo</vt:lpstr>
      <vt:lpstr>Caramelo para flan</vt:lpstr>
      <vt:lpstr>Costo Flan</vt:lpstr>
      <vt:lpstr>Costo Marañon Caramelizado</vt:lpstr>
      <vt:lpstr>Costo semillas bañ belcolad</vt:lpstr>
      <vt:lpstr>Crema ron</vt:lpstr>
      <vt:lpstr>Crema Beidge</vt:lpstr>
      <vt:lpstr>Crema Blanca Supremo</vt:lpstr>
      <vt:lpstr>Costo Crema Ron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Allan Brenes</cp:lastModifiedBy>
  <cp:lastPrinted>2026-02-03T22:06:24Z</cp:lastPrinted>
  <dcterms:created xsi:type="dcterms:W3CDTF">2025-09-29T20:06:28Z</dcterms:created>
  <dcterms:modified xsi:type="dcterms:W3CDTF">2026-02-03T22:07:12Z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
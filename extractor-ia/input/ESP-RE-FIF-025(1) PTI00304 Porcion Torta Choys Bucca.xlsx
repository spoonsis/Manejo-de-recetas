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4E5570F1-D9B8-445B-94A2-5FFD0B113074}" xr6:coauthVersionLast="47" xr6:coauthVersionMax="47" xr10:uidLastSave="{DA3F40F7-3126-462C-8A30-57D24022411F}"/>
  <bookViews>
    <workbookView xWindow="-120" yWindow="-120" windowWidth="20730" windowHeight="11040" xr2:uid="{217A3977-67FC-4D80-B5B3-14C4BE39FC8A}"/>
  </bookViews>
  <sheets>
    <sheet name="ENSAMBLE" sheetId="11" r:id="rId1"/>
    <sheet name="cOSTO" sheetId="12" state="hidden" r:id="rId2"/>
  </sheets>
  <externalReferences>
    <externalReference r:id="rId3"/>
    <externalReference r:id="rId4"/>
    <externalReference r:id="rId5"/>
  </externalReferences>
  <definedNames>
    <definedName name="_xlnm.Print_Area" localSheetId="0">ENSAMBLE!$A$1:$I$47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2" l="1"/>
  <c r="F62" i="12" s="1"/>
  <c r="D62" i="12"/>
  <c r="C62" i="12"/>
  <c r="B62" i="12"/>
  <c r="A62" i="12"/>
  <c r="A60" i="12"/>
  <c r="C60" i="12" s="1"/>
  <c r="A59" i="12"/>
  <c r="C59" i="12" s="1"/>
  <c r="C55" i="12"/>
  <c r="A55" i="12"/>
  <c r="E49" i="12"/>
  <c r="F49" i="12" s="1"/>
  <c r="D49" i="12"/>
  <c r="B49" i="12"/>
  <c r="A49" i="12"/>
  <c r="C49" i="12" s="1"/>
  <c r="A48" i="12"/>
  <c r="C48" i="12" s="1"/>
  <c r="A47" i="12"/>
  <c r="C47" i="12" s="1"/>
  <c r="A46" i="12"/>
  <c r="C46" i="12" s="1"/>
  <c r="A45" i="12"/>
  <c r="C45" i="12" s="1"/>
  <c r="A44" i="12"/>
  <c r="C44" i="12" s="1"/>
  <c r="A43" i="12"/>
  <c r="C43" i="12" s="1"/>
  <c r="A42" i="12"/>
  <c r="C42" i="12" s="1"/>
  <c r="A41" i="12"/>
  <c r="C41" i="12" s="1"/>
  <c r="A40" i="12"/>
  <c r="C40" i="12" s="1"/>
  <c r="C21" i="12"/>
  <c r="C20" i="12"/>
  <c r="C19" i="12"/>
  <c r="F18" i="12"/>
  <c r="C18" i="12"/>
  <c r="D85" i="12"/>
  <c r="D86" i="12" s="1"/>
  <c r="D88" i="12" s="1"/>
  <c r="D83" i="12"/>
  <c r="D81" i="12"/>
  <c r="F77" i="12"/>
  <c r="C85" i="12" s="1"/>
  <c r="C97" i="12" s="1"/>
  <c r="D72" i="12"/>
  <c r="D95" i="12" s="1"/>
  <c r="C63" i="12"/>
  <c r="A39" i="12"/>
  <c r="A52" i="12" s="1"/>
  <c r="C52" i="12" s="1"/>
  <c r="E36" i="12"/>
  <c r="D36" i="12"/>
  <c r="C36" i="12"/>
  <c r="B36" i="12"/>
  <c r="C35" i="12"/>
  <c r="D34" i="12"/>
  <c r="C34" i="12"/>
  <c r="B34" i="12"/>
  <c r="D33" i="12"/>
  <c r="C33" i="12"/>
  <c r="B33" i="12"/>
  <c r="D32" i="12"/>
  <c r="C32" i="12"/>
  <c r="B32" i="12"/>
  <c r="C31" i="12"/>
  <c r="B31" i="12"/>
  <c r="E28" i="12"/>
  <c r="F28" i="12" s="1"/>
  <c r="D28" i="12"/>
  <c r="C28" i="12"/>
  <c r="B28" i="12"/>
  <c r="E27" i="12"/>
  <c r="D27" i="12"/>
  <c r="C27" i="12"/>
  <c r="B27" i="12"/>
  <c r="C26" i="12"/>
  <c r="C25" i="12"/>
  <c r="F24" i="12"/>
  <c r="C24" i="12"/>
  <c r="C23" i="12"/>
  <c r="C22" i="12"/>
  <c r="C17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C8" i="12"/>
  <c r="H6" i="12"/>
  <c r="A61" i="12" l="1"/>
  <c r="C61" i="12" s="1"/>
  <c r="F59" i="12"/>
  <c r="F23" i="12"/>
  <c r="A58" i="12"/>
  <c r="C58" i="12" s="1"/>
  <c r="A57" i="12"/>
  <c r="C57" i="12" s="1"/>
  <c r="F22" i="12"/>
  <c r="F21" i="12"/>
  <c r="A56" i="12"/>
  <c r="C56" i="12" s="1"/>
  <c r="F56" i="12" s="1"/>
  <c r="A54" i="12"/>
  <c r="C54" i="12" s="1"/>
  <c r="A53" i="12"/>
  <c r="C53" i="12" s="1"/>
  <c r="F53" i="12" s="1"/>
  <c r="F17" i="12"/>
  <c r="F57" i="12"/>
  <c r="F58" i="12"/>
  <c r="F52" i="12"/>
  <c r="F44" i="12"/>
  <c r="F45" i="12"/>
  <c r="F40" i="12"/>
  <c r="F43" i="12"/>
  <c r="F46" i="12"/>
  <c r="F11" i="12"/>
  <c r="F14" i="12"/>
  <c r="F10" i="12"/>
  <c r="F13" i="12"/>
  <c r="F8" i="12"/>
  <c r="F31" i="12"/>
  <c r="F36" i="12"/>
  <c r="E63" i="12"/>
  <c r="F63" i="12" s="1"/>
  <c r="F12" i="12"/>
  <c r="F35" i="12"/>
  <c r="F9" i="12"/>
  <c r="C39" i="12"/>
  <c r="F39" i="12" s="1"/>
  <c r="F34" i="12"/>
  <c r="F27" i="12"/>
  <c r="F32" i="12"/>
  <c r="F33" i="12"/>
  <c r="D97" i="12"/>
  <c r="D98" i="12" s="1"/>
  <c r="D93" i="12"/>
  <c r="E85" i="12"/>
  <c r="E97" i="12" l="1"/>
  <c r="J15" i="11" l="1"/>
  <c r="J16" i="11"/>
  <c r="J12" i="11"/>
  <c r="J13" i="11"/>
  <c r="J14" i="11"/>
  <c r="J11" i="11"/>
  <c r="J10" i="11"/>
  <c r="D36" i="11"/>
  <c r="J33" i="11"/>
  <c r="E22" i="11"/>
  <c r="E21" i="11"/>
  <c r="E20" i="11"/>
  <c r="D37" i="11" s="1"/>
  <c r="E19" i="11"/>
  <c r="E18" i="11"/>
  <c r="E17" i="11"/>
  <c r="J17" i="11" s="1"/>
  <c r="E11" i="11"/>
  <c r="E47" i="12" l="1"/>
  <c r="F47" i="12" s="1"/>
  <c r="E25" i="12"/>
  <c r="F25" i="12" s="1"/>
  <c r="E41" i="12"/>
  <c r="F41" i="12" s="1"/>
  <c r="E48" i="12"/>
  <c r="F48" i="12" s="1"/>
  <c r="E26" i="12"/>
  <c r="F26" i="12" s="1"/>
  <c r="E42" i="12" l="1"/>
  <c r="F42" i="12" s="1"/>
  <c r="E60" i="12"/>
  <c r="F60" i="12" s="1"/>
  <c r="E54" i="12"/>
  <c r="F54" i="12" s="1"/>
  <c r="E61" i="12"/>
  <c r="F61" i="12" s="1"/>
  <c r="E19" i="12" l="1"/>
  <c r="F19" i="12" s="1"/>
  <c r="F66" i="12"/>
  <c r="E20" i="12"/>
  <c r="F20" i="12" s="1"/>
  <c r="H66" i="12" l="1"/>
  <c r="G2" i="12" s="1"/>
  <c r="C88" i="12"/>
  <c r="E88" i="12" s="1"/>
  <c r="F65" i="12"/>
  <c r="C81" i="12" l="1"/>
  <c r="F67" i="12"/>
  <c r="F76" i="12"/>
  <c r="H65" i="12"/>
  <c r="F2" i="12" s="1"/>
  <c r="E55" i="12"/>
  <c r="F55" i="12" s="1"/>
  <c r="F68" i="12" l="1"/>
  <c r="H67" i="12"/>
  <c r="F75" i="12"/>
  <c r="O66" i="12"/>
  <c r="O68" i="12" s="1"/>
  <c r="E81" i="12"/>
  <c r="C93" i="12"/>
  <c r="E93" i="12" s="1"/>
  <c r="H68" i="12" l="1"/>
  <c r="C86" i="12"/>
  <c r="E75" i="12"/>
  <c r="F78" i="12"/>
  <c r="C83" i="12"/>
  <c r="E86" i="12" l="1"/>
  <c r="E90" i="12" s="1"/>
  <c r="C98" i="12"/>
  <c r="E98" i="12" s="1"/>
  <c r="C95" i="12"/>
  <c r="E95" i="12" s="1"/>
  <c r="E83" i="12"/>
  <c r="G75" i="12"/>
  <c r="G8" i="12"/>
  <c r="G46" i="12"/>
  <c r="G23" i="12"/>
  <c r="G78" i="12"/>
  <c r="G11" i="12"/>
  <c r="G39" i="12"/>
  <c r="G57" i="12"/>
  <c r="G43" i="12"/>
  <c r="G22" i="12"/>
  <c r="G62" i="12"/>
  <c r="G17" i="12"/>
  <c r="G44" i="12"/>
  <c r="G21" i="12"/>
  <c r="G40" i="12"/>
  <c r="G24" i="12"/>
  <c r="G14" i="12"/>
  <c r="G13" i="12"/>
  <c r="G56" i="12"/>
  <c r="G12" i="12"/>
  <c r="G34" i="12"/>
  <c r="G36" i="12"/>
  <c r="G59" i="12"/>
  <c r="G53" i="12"/>
  <c r="G33" i="12"/>
  <c r="G49" i="12"/>
  <c r="G63" i="12"/>
  <c r="G31" i="12"/>
  <c r="G45" i="12"/>
  <c r="G32" i="12"/>
  <c r="G58" i="12"/>
  <c r="G9" i="12"/>
  <c r="G10" i="12"/>
  <c r="G52" i="12"/>
  <c r="G27" i="12"/>
  <c r="G35" i="12"/>
  <c r="G28" i="12"/>
  <c r="G77" i="12"/>
  <c r="G18" i="12"/>
  <c r="G25" i="12"/>
  <c r="G41" i="12"/>
  <c r="G47" i="12"/>
  <c r="G26" i="12"/>
  <c r="G48" i="12"/>
  <c r="G42" i="12"/>
  <c r="G60" i="12"/>
  <c r="G54" i="12"/>
  <c r="G61" i="12"/>
  <c r="G20" i="12"/>
  <c r="G66" i="12"/>
  <c r="G19" i="12"/>
  <c r="G65" i="12"/>
  <c r="G55" i="12"/>
  <c r="G76" i="12"/>
  <c r="G67" i="12"/>
  <c r="G68" i="12"/>
  <c r="H70" i="12"/>
  <c r="H71" i="12" s="1"/>
  <c r="O70" i="12" s="1"/>
  <c r="O67" i="12"/>
  <c r="O69" i="12" s="1"/>
  <c r="O71" i="12" s="1"/>
  <c r="O72" i="12" s="1"/>
  <c r="O73" i="12" s="1"/>
  <c r="O74" i="12" s="1"/>
  <c r="H2" i="12"/>
  <c r="O76" i="12" l="1"/>
  <c r="E2" i="12"/>
  <c r="P74" i="12"/>
</calcChain>
</file>

<file path=xl/sharedStrings.xml><?xml version="1.0" encoding="utf-8"?>
<sst xmlns="http://schemas.openxmlformats.org/spreadsheetml/2006/main" count="320" uniqueCount="157">
  <si>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</si>
  <si>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</si>
  <si>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</si>
  <si>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</si>
  <si>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</si>
  <si>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</si>
  <si>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</si>
  <si>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</si>
  <si>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</si>
  <si>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</si>
  <si>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</si>
  <si>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</si>
  <si>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</si>
  <si>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</si>
  <si>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</si>
  <si>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</si>
  <si>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</si>
  <si>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</si>
  <si>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</si>
  <si>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</si>
  <si>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</si>
  <si>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</si>
  <si>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</si>
  <si>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</si>
  <si>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</si>
  <si>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</si>
  <si>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</si>
  <si>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CEMUSA</t>
  </si>
  <si>
    <t>0702007</t>
  </si>
  <si>
    <t>ETIQ.FECHA VENCIMIENTO BLANCO (ROLLO)</t>
  </si>
  <si>
    <t>ETIPLAST</t>
  </si>
  <si>
    <t>min</t>
  </si>
  <si>
    <t>ud</t>
  </si>
  <si>
    <t>Javier Tong, Chef</t>
  </si>
  <si>
    <t>0702123</t>
  </si>
  <si>
    <t>ETIQUETA BLANCA 2 5/8X1 15/16 (UND)</t>
  </si>
  <si>
    <t>FAS</t>
  </si>
  <si>
    <t>51400020</t>
  </si>
  <si>
    <t>BURBUJA I-3 ALTA (CAJA:250 UND)</t>
  </si>
  <si>
    <t>INIX</t>
  </si>
  <si>
    <t>ETIQUETA BLANCA R-153 (UND)</t>
  </si>
  <si>
    <t>ROSQUETE EASY VAINILLA  SP 1400G</t>
  </si>
  <si>
    <t>SE00455</t>
  </si>
  <si>
    <t>EM10050</t>
  </si>
  <si>
    <t>EM10124</t>
  </si>
  <si>
    <t>EM10011</t>
  </si>
  <si>
    <t>EM10004</t>
  </si>
  <si>
    <t>AREA QUE PRODUCE:</t>
  </si>
  <si>
    <t xml:space="preserve">AREA QUE EMPACA: </t>
  </si>
  <si>
    <t>Figuras</t>
  </si>
  <si>
    <t># Código Netsuite</t>
  </si>
  <si>
    <t>Ensamble</t>
  </si>
  <si>
    <t>Decoración</t>
  </si>
  <si>
    <t/>
  </si>
  <si>
    <t>Empaque</t>
  </si>
  <si>
    <t>PESO DE CADA PORCIÓN</t>
  </si>
  <si>
    <t>CONTROL DE CAMBIOS</t>
  </si>
  <si>
    <t>SE00254</t>
  </si>
  <si>
    <t>Leches Pasteurizada Con Agua</t>
  </si>
  <si>
    <t>190g c/ capa</t>
  </si>
  <si>
    <t>MP10176</t>
  </si>
  <si>
    <t>Dulce Leche La Ciabata</t>
  </si>
  <si>
    <t>LA CIABATA</t>
  </si>
  <si>
    <t>1 taza</t>
  </si>
  <si>
    <t>Procesado Chocolate con mani y arroz inflado</t>
  </si>
  <si>
    <t>Crema Dulce de Caramelo</t>
  </si>
  <si>
    <t>2 tazas</t>
  </si>
  <si>
    <t>SE00032</t>
  </si>
  <si>
    <t>Crema Dulce Leche</t>
  </si>
  <si>
    <t>BOQUILLA #842 / 18g c/ porcion</t>
  </si>
  <si>
    <t>SE00051</t>
  </si>
  <si>
    <t>Ganache Chocolate Blanco</t>
  </si>
  <si>
    <t>SE00001</t>
  </si>
  <si>
    <t>Ganache Chocolate Oscuro</t>
  </si>
  <si>
    <t>SE00298</t>
  </si>
  <si>
    <t>Ganache De Dulce Leche</t>
  </si>
  <si>
    <t>Hilos 6g c/ porcion</t>
  </si>
  <si>
    <t>Mezcla mani y arroz inflado</t>
  </si>
  <si>
    <t>2g c/ porcion</t>
  </si>
  <si>
    <t>Sebastian Díaz, Gte Manufactura</t>
  </si>
  <si>
    <t xml:space="preserve">Pelado Chocolate Choclate Choys </t>
  </si>
  <si>
    <t>NUEVO</t>
  </si>
  <si>
    <t>ETIQUETA PORCION CHOYS BUCCA</t>
  </si>
  <si>
    <t>1. Cortar cada plancha por la mitad de manera transversal. Humeder con mezcla de tres lechas cada tapa.</t>
  </si>
  <si>
    <t>2. Rellenar una mitad de rosquete con dulce de leche La Ciabatta, crema con caramelo y procesado de chocolate mani y arroz tostado.</t>
  </si>
  <si>
    <t>3.- Tapar con la otra mitad del rosquete, Cortar 24 porciones con dimensiones aproximadas (6unidades a lo largox 4 unidades a lo ancho)</t>
  </si>
  <si>
    <t>4.- Decorar cada porcion, con lineas de crema usando boquilla 842, hacer hilos de ganache de chocolate, luego hilos de ganache balnco y al final hilos de ganache dulce.</t>
  </si>
  <si>
    <t xml:space="preserve"> 5. Cerrar el contenedor.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</si>
  <si>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</si>
  <si>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</si>
  <si>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</si>
  <si>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</si>
  <si>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</si>
  <si>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</si>
  <si>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</si>
  <si>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</si>
  <si>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</si>
  <si>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</si>
  <si>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</si>
  <si>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</si>
  <si>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</si>
  <si>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</si>
  <si>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</si>
  <si>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</si>
  <si>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</si>
  <si>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</si>
  <si>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</si>
  <si>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</si>
  <si>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</si>
  <si>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</si>
  <si>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</si>
  <si>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</si>
  <si>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</si>
  <si>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</si>
  <si>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</si>
  <si>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</si>
  <si>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</si>
  <si>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</si>
  <si>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</si>
  <si>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</si>
  <si>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</si>
  <si>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</si>
  <si>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</si>
  <si>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</si>
  <si>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</si>
  <si>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</si>
  <si>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</si>
  <si>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</si>
  <si>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</si>
  <si>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</si>
  <si>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</si>
  <si>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</si>
  <si>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</si>
  <si>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</si>
  <si>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</si>
  <si>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</si>
  <si>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</si>
  <si>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</si>
  <si>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</si>
  <si>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</si>
  <si>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</si>
  <si>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und</t>
  </si>
  <si>
    <t>Gramos</t>
  </si>
  <si>
    <t>Nuevo</t>
  </si>
  <si>
    <t>gramos</t>
  </si>
  <si>
    <t>701096</t>
  </si>
  <si>
    <t>Und</t>
  </si>
  <si>
    <t>porcion</t>
  </si>
  <si>
    <t>SE00846</t>
  </si>
  <si>
    <t>SE00847</t>
  </si>
  <si>
    <t>SE00849</t>
  </si>
  <si>
    <t>SE00845</t>
  </si>
  <si>
    <t>PTI00304 Porcion Torta Choys Bucca</t>
  </si>
  <si>
    <t>01</t>
  </si>
  <si>
    <t>1/2 ud 
c/ porcion</t>
  </si>
  <si>
    <t>ESP-RE-FIF-025</t>
  </si>
  <si>
    <t xml:space="preserve">13g cada 
chocolate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</si>
</sst>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6" fillId="0" borderId="0"/>
    <xf numFmtId="0" fontId="2" fillId="0" borderId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6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273">
    <xf numFmtId="0" fontId="0" fillId="0" borderId="0" xfId="0"/>
    <xf numFmtId="0" fontId="5" fillId="2" borderId="1" xfId="2" applyFont="1" applyFill="1" applyBorder="1" applyAlignment="1">
      <alignment horizontal="right"/>
    </xf>
    <xf numFmtId="0" fontId="5" fillId="2" borderId="2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right"/>
    </xf>
    <xf numFmtId="0" fontId="4" fillId="2" borderId="2" xfId="2" applyFont="1" applyFill="1" applyBorder="1" applyAlignment="1">
      <alignment horizontal="right"/>
    </xf>
    <xf numFmtId="49" fontId="4" fillId="2" borderId="8" xfId="2" applyNumberFormat="1" applyFont="1" applyFill="1" applyBorder="1" applyAlignment="1">
      <alignment horizontal="center"/>
    </xf>
    <xf numFmtId="0" fontId="4" fillId="2" borderId="11" xfId="2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 vertical="center" wrapText="1"/>
    </xf>
    <xf numFmtId="1" fontId="5" fillId="3" borderId="10" xfId="1" applyNumberFormat="1" applyFont="1" applyFill="1" applyBorder="1" applyAlignment="1">
      <alignment horizontal="center"/>
    </xf>
    <xf numFmtId="1" fontId="5" fillId="3" borderId="10" xfId="1" applyNumberFormat="1" applyFont="1" applyFill="1" applyBorder="1" applyAlignment="1">
      <alignment horizontal="center" wrapText="1"/>
    </xf>
    <xf numFmtId="0" fontId="5" fillId="3" borderId="9" xfId="1" applyFont="1" applyFill="1" applyBorder="1" applyAlignment="1">
      <alignment horizontal="center"/>
    </xf>
    <xf numFmtId="0" fontId="7" fillId="5" borderId="0" xfId="0" applyFont="1" applyFill="1" applyAlignment="1">
      <alignment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12" fillId="0" borderId="2" xfId="10" applyFont="1" applyFill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43" fontId="14" fillId="0" borderId="0" xfId="1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8" borderId="44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 wrapText="1"/>
    </xf>
    <xf numFmtId="0" fontId="12" fillId="8" borderId="4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11" applyNumberFormat="1" applyFont="1" applyFill="1" applyAlignment="1">
      <alignment horizontal="center" vertical="center"/>
    </xf>
    <xf numFmtId="4" fontId="12" fillId="0" borderId="0" xfId="11" applyNumberFormat="1" applyFont="1" applyFill="1" applyAlignment="1">
      <alignment horizontal="center" vertical="center"/>
    </xf>
    <xf numFmtId="10" fontId="12" fillId="0" borderId="0" xfId="4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4" applyNumberFormat="1" applyFont="1" applyFill="1" applyAlignment="1">
      <alignment vertical="center"/>
    </xf>
    <xf numFmtId="0" fontId="7" fillId="0" borderId="0" xfId="0" applyFont="1"/>
    <xf numFmtId="49" fontId="12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10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0" applyNumberFormat="1" applyFont="1" applyFill="1" applyAlignment="1">
      <alignment vertical="center"/>
    </xf>
    <xf numFmtId="43" fontId="20" fillId="0" borderId="0" xfId="10" applyFont="1" applyFill="1" applyAlignment="1">
      <alignment horizontal="center" vertical="center"/>
    </xf>
    <xf numFmtId="10" fontId="13" fillId="8" borderId="47" xfId="4" applyNumberFormat="1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47" xfId="0" applyFont="1" applyFill="1" applyBorder="1" applyAlignment="1">
      <alignment vertical="center"/>
    </xf>
    <xf numFmtId="43" fontId="20" fillId="8" borderId="48" xfId="10" applyFont="1" applyFill="1" applyBorder="1" applyAlignment="1">
      <alignment horizontal="center" vertical="center"/>
    </xf>
    <xf numFmtId="43" fontId="22" fillId="0" borderId="0" xfId="10" applyFont="1" applyFill="1" applyBorder="1" applyAlignment="1">
      <alignment horizontal="right"/>
    </xf>
    <xf numFmtId="0" fontId="7" fillId="8" borderId="48" xfId="0" applyFont="1" applyFill="1" applyBorder="1" applyAlignment="1">
      <alignment vertical="center"/>
    </xf>
    <xf numFmtId="10" fontId="13" fillId="8" borderId="48" xfId="4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23" fillId="0" borderId="0" xfId="4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0" applyNumberFormat="1" applyFont="1" applyFill="1" applyAlignment="1">
      <alignment vertical="center"/>
    </xf>
    <xf numFmtId="4" fontId="20" fillId="0" borderId="0" xfId="11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7" xfId="0" applyFont="1" applyBorder="1" applyAlignment="1">
      <alignment horizontal="right"/>
    </xf>
    <xf numFmtId="43" fontId="26" fillId="4" borderId="49" xfId="10" applyFont="1" applyFill="1" applyBorder="1" applyAlignment="1">
      <alignment horizontal="right"/>
    </xf>
    <xf numFmtId="43" fontId="26" fillId="0" borderId="0" xfId="10" applyFont="1" applyFill="1" applyBorder="1" applyAlignment="1">
      <alignment horizontal="right"/>
    </xf>
    <xf numFmtId="43" fontId="12" fillId="0" borderId="2" xfId="10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11" applyNumberFormat="1" applyFont="1" applyFill="1" applyAlignment="1">
      <alignment horizontal="center" vertical="center"/>
    </xf>
    <xf numFmtId="10" fontId="28" fillId="0" borderId="0" xfId="4" applyNumberFormat="1" applyFont="1" applyFill="1" applyAlignment="1">
      <alignment horizontal="right"/>
    </xf>
    <xf numFmtId="170" fontId="12" fillId="8" borderId="2" xfId="10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12" fillId="9" borderId="2" xfId="10" applyFont="1" applyFill="1" applyBorder="1" applyAlignment="1">
      <alignment vertical="center"/>
    </xf>
    <xf numFmtId="167" fontId="29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8" borderId="50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0" applyNumberFormat="1" applyFont="1" applyFill="1" applyBorder="1" applyAlignment="1">
      <alignment horizontal="center"/>
    </xf>
    <xf numFmtId="2" fontId="25" fillId="0" borderId="0" xfId="10" applyNumberFormat="1" applyFont="1" applyFill="1" applyBorder="1" applyAlignment="1">
      <alignment horizontal="center"/>
    </xf>
    <xf numFmtId="0" fontId="7" fillId="8" borderId="50" xfId="0" applyFont="1" applyFill="1" applyBorder="1" applyAlignment="1">
      <alignment vertical="center"/>
    </xf>
    <xf numFmtId="10" fontId="7" fillId="0" borderId="0" xfId="4" applyNumberFormat="1" applyFont="1" applyFill="1" applyAlignment="1">
      <alignment vertical="center"/>
    </xf>
    <xf numFmtId="4" fontId="7" fillId="0" borderId="0" xfId="10" applyNumberFormat="1" applyFont="1" applyFill="1" applyAlignment="1">
      <alignment vertical="center"/>
    </xf>
    <xf numFmtId="43" fontId="26" fillId="8" borderId="6" xfId="10" applyFont="1" applyFill="1" applyBorder="1" applyAlignment="1">
      <alignment horizontal="right"/>
    </xf>
    <xf numFmtId="0" fontId="12" fillId="8" borderId="5" xfId="0" applyFont="1" applyFill="1" applyBorder="1" applyAlignment="1">
      <alignment horizontal="right" vertical="center"/>
    </xf>
    <xf numFmtId="10" fontId="32" fillId="0" borderId="0" xfId="10" applyNumberFormat="1" applyFont="1" applyFill="1" applyAlignment="1">
      <alignment vertical="center"/>
    </xf>
    <xf numFmtId="10" fontId="13" fillId="0" borderId="0" xfId="4" applyNumberFormat="1" applyFont="1" applyFill="1" applyBorder="1" applyAlignment="1">
      <alignment vertical="center"/>
    </xf>
    <xf numFmtId="167" fontId="33" fillId="0" borderId="0" xfId="0" applyNumberFormat="1" applyFont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43" fontId="34" fillId="0" borderId="0" xfId="10" applyFont="1" applyFill="1" applyAlignment="1">
      <alignment vertical="center"/>
    </xf>
    <xf numFmtId="4" fontId="35" fillId="0" borderId="0" xfId="11" applyNumberFormat="1" applyFont="1" applyFill="1" applyAlignment="1">
      <alignment horizontal="center" vertical="center" wrapText="1"/>
    </xf>
    <xf numFmtId="9" fontId="7" fillId="0" borderId="0" xfId="10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0" applyNumberFormat="1" applyFont="1" applyFill="1" applyAlignment="1">
      <alignment vertical="center"/>
    </xf>
    <xf numFmtId="4" fontId="12" fillId="11" borderId="49" xfId="1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10" applyFont="1" applyFill="1" applyAlignment="1">
      <alignment vertical="center"/>
    </xf>
    <xf numFmtId="9" fontId="36" fillId="0" borderId="0" xfId="10" applyNumberFormat="1" applyFont="1" applyFill="1" applyAlignment="1">
      <alignment vertical="center"/>
    </xf>
    <xf numFmtId="4" fontId="12" fillId="0" borderId="0" xfId="10" applyNumberFormat="1" applyFont="1" applyFill="1" applyAlignment="1">
      <alignment horizontal="center" vertical="center"/>
    </xf>
    <xf numFmtId="10" fontId="29" fillId="0" borderId="0" xfId="4" applyNumberFormat="1" applyFont="1" applyFill="1" applyAlignment="1">
      <alignment vertical="center"/>
    </xf>
    <xf numFmtId="43" fontId="29" fillId="0" borderId="0" xfId="10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0" applyFont="1" applyFill="1" applyBorder="1"/>
    <xf numFmtId="10" fontId="29" fillId="0" borderId="0" xfId="4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43" fontId="7" fillId="0" borderId="0" xfId="10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7" fontId="12" fillId="0" borderId="0" xfId="0" applyNumberFormat="1" applyFont="1"/>
    <xf numFmtId="14" fontId="4" fillId="2" borderId="22" xfId="2" applyNumberFormat="1" applyFont="1" applyFill="1" applyBorder="1" applyAlignment="1">
      <alignment horizontal="center" vertical="center" wrapText="1"/>
    </xf>
    <xf numFmtId="14" fontId="4" fillId="2" borderId="40" xfId="2" applyNumberFormat="1" applyFont="1" applyFill="1" applyBorder="1" applyAlignment="1">
      <alignment horizontal="center" vertical="center" wrapText="1"/>
    </xf>
    <xf numFmtId="14" fontId="4" fillId="2" borderId="41" xfId="2" applyNumberFormat="1" applyFont="1" applyFill="1" applyBorder="1" applyAlignment="1">
      <alignment horizontal="center" vertical="center" wrapText="1"/>
    </xf>
    <xf numFmtId="0" fontId="4" fillId="2" borderId="33" xfId="2" applyFont="1" applyFill="1" applyBorder="1" applyAlignment="1">
      <alignment horizontal="left"/>
    </xf>
    <xf numFmtId="0" fontId="4" fillId="2" borderId="34" xfId="2" applyFont="1" applyFill="1" applyBorder="1" applyAlignment="1">
      <alignment horizontal="left"/>
    </xf>
    <xf numFmtId="0" fontId="4" fillId="2" borderId="35" xfId="2" applyFont="1" applyFill="1" applyBorder="1" applyAlignment="1">
      <alignment horizontal="left"/>
    </xf>
    <xf numFmtId="0" fontId="4" fillId="2" borderId="14" xfId="2" applyFont="1" applyFill="1" applyBorder="1" applyAlignment="1">
      <alignment horizontal="left"/>
    </xf>
    <xf numFmtId="0" fontId="4" fillId="2" borderId="15" xfId="2" applyFont="1" applyFill="1" applyBorder="1" applyAlignment="1">
      <alignment horizontal="left"/>
    </xf>
    <xf numFmtId="0" fontId="4" fillId="2" borderId="12" xfId="2" applyFont="1" applyFill="1" applyBorder="1" applyAlignment="1">
      <alignment horizontal="left"/>
    </xf>
    <xf numFmtId="0" fontId="4" fillId="2" borderId="23" xfId="2" applyFont="1" applyFill="1" applyBorder="1" applyAlignment="1">
      <alignment horizontal="center"/>
    </xf>
    <xf numFmtId="0" fontId="4" fillId="2" borderId="24" xfId="2" applyFont="1" applyFill="1" applyBorder="1" applyAlignment="1">
      <alignment horizontal="center"/>
    </xf>
    <xf numFmtId="0" fontId="4" fillId="2" borderId="36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9" xfId="2" applyFont="1" applyFill="1" applyBorder="1" applyAlignment="1">
      <alignment horizontal="center"/>
    </xf>
    <xf numFmtId="0" fontId="4" fillId="2" borderId="30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center"/>
    </xf>
    <xf numFmtId="0" fontId="5" fillId="2" borderId="20" xfId="2" applyFont="1" applyFill="1" applyBorder="1" applyAlignment="1">
      <alignment horizontal="right" vertical="top" wrapText="1"/>
    </xf>
    <xf numFmtId="0" fontId="5" fillId="2" borderId="38" xfId="2" applyFont="1" applyFill="1" applyBorder="1" applyAlignment="1">
      <alignment horizontal="right" vertical="top" wrapText="1"/>
    </xf>
    <xf numFmtId="0" fontId="5" fillId="2" borderId="39" xfId="2" applyFont="1" applyFill="1" applyBorder="1" applyAlignment="1">
      <alignment horizontal="right" vertical="top" wrapText="1"/>
    </xf>
    <xf numFmtId="0" fontId="10" fillId="2" borderId="0" xfId="7" applyFont="1" applyFill="1" applyAlignment="1">
      <alignment horizontal="right"/>
    </xf>
    <xf numFmtId="0" fontId="10" fillId="2" borderId="0" xfId="7" applyFont="1" applyFill="1"/>
    <xf numFmtId="0" fontId="5" fillId="3" borderId="32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/>
    </xf>
    <xf numFmtId="0" fontId="29" fillId="0" borderId="2" xfId="0" applyFont="1" applyBorder="1" applyAlignment="1">
      <alignment horizontal="right" vertical="center"/>
    </xf>
    <xf numFmtId="0" fontId="30" fillId="0" borderId="36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7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1" fillId="0" borderId="23" xfId="0" applyFont="1" applyBorder="1" applyAlignment="1">
      <alignment horizontal="right"/>
    </xf>
    <xf numFmtId="0" fontId="21" fillId="0" borderId="24" xfId="0" applyFont="1" applyBorder="1" applyAlignment="1">
      <alignment horizontal="right"/>
    </xf>
    <xf numFmtId="0" fontId="7" fillId="0" borderId="2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37" fillId="0" borderId="37" xfId="0" applyFont="1" applyBorder="1" applyAlignment="1">
      <alignment horizontal="right" vertical="center"/>
    </xf>
    <xf numFmtId="0" fontId="37" fillId="0" borderId="6" xfId="0" applyFont="1" applyBorder="1" applyAlignment="1">
      <alignment horizontal="right" vertical="center"/>
    </xf>
    <xf numFmtId="0" fontId="37" fillId="0" borderId="5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13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8" borderId="37" xfId="0" applyFont="1" applyFill="1" applyBorder="1" applyAlignment="1">
      <alignment horizontal="right"/>
    </xf>
    <xf numFmtId="0" fontId="26" fillId="8" borderId="6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0" fontId="12" fillId="0" borderId="43" xfId="0" applyFont="1" applyBorder="1" applyAlignment="1">
      <alignment horizontal="right" vertical="center"/>
    </xf>
    <xf numFmtId="0" fontId="12" fillId="10" borderId="37" xfId="0" applyFont="1" applyFill="1" applyBorder="1" applyAlignment="1">
      <alignment horizontal="right" vertical="center"/>
    </xf>
    <xf numFmtId="0" fontId="12" fillId="10" borderId="6" xfId="0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right" vertical="center"/>
    </xf>
    <xf numFmtId="4" fontId="35" fillId="0" borderId="0" xfId="11" applyNumberFormat="1" applyFont="1" applyFill="1" applyAlignment="1">
      <alignment horizontal="center" vertical="center" wrapText="1"/>
    </xf>
    <xf numFmtId="0" fontId="40" fillId="4" borderId="37" xfId="2" applyFont="1" applyFill="1" applyBorder="1" applyAlignment="1">
      <alignment horizontal="center" vertical="center" wrapText="1"/>
    </xf>
    <xf numFmtId="0" fontId="40" fillId="4" borderId="6" xfId="2" applyFont="1" applyFill="1" applyBorder="1" applyAlignment="1">
      <alignment horizontal="center" vertical="center" wrapText="1"/>
    </xf>
    <xf numFmtId="0" fontId="40" fillId="4" borderId="5" xfId="2" applyFont="1" applyFill="1" applyBorder="1" applyAlignment="1">
      <alignment horizontal="center" vertical="center" wrapText="1"/>
    </xf>
    <xf numFmtId="0" fontId="41" fillId="2" borderId="13" xfId="7" applyFont="1" applyFill="1" applyBorder="1" applyAlignment="1">
      <alignment horizontal="center"/>
    </xf>
    <xf numFmtId="14" fontId="41" fillId="2" borderId="0" xfId="7" applyNumberFormat="1" applyFont="1" applyFill="1" applyAlignment="1">
      <alignment horizontal="center" vertical="center" wrapText="1"/>
    </xf>
    <xf numFmtId="0" fontId="42" fillId="0" borderId="25" xfId="1" applyFont="1" applyBorder="1" applyAlignment="1">
      <alignment horizontal="center" vertical="center"/>
    </xf>
    <xf numFmtId="0" fontId="42" fillId="0" borderId="12" xfId="1" applyFont="1" applyBorder="1" applyAlignment="1">
      <alignment horizontal="center" vertical="center"/>
    </xf>
    <xf numFmtId="0" fontId="43" fillId="0" borderId="2" xfId="1" applyFont="1" applyBorder="1" applyAlignment="1">
      <alignment vertical="center"/>
    </xf>
    <xf numFmtId="0" fontId="42" fillId="0" borderId="2" xfId="1" applyFont="1" applyBorder="1" applyAlignment="1">
      <alignment horizontal="center" vertical="center"/>
    </xf>
    <xf numFmtId="1" fontId="42" fillId="0" borderId="2" xfId="1" applyNumberFormat="1" applyFont="1" applyBorder="1" applyAlignment="1">
      <alignment horizontal="center"/>
    </xf>
    <xf numFmtId="1" fontId="42" fillId="0" borderId="2" xfId="1" applyNumberFormat="1" applyFont="1" applyBorder="1" applyAlignment="1">
      <alignment horizontal="center" wrapText="1"/>
    </xf>
    <xf numFmtId="0" fontId="44" fillId="0" borderId="8" xfId="1" applyFont="1" applyBorder="1" applyAlignment="1">
      <alignment horizontal="center"/>
    </xf>
    <xf numFmtId="49" fontId="44" fillId="0" borderId="2" xfId="0" applyNumberFormat="1" applyFont="1" applyBorder="1" applyAlignment="1">
      <alignment horizontal="center" vertical="center"/>
    </xf>
    <xf numFmtId="49" fontId="44" fillId="0" borderId="2" xfId="0" applyNumberFormat="1" applyFont="1" applyBorder="1" applyAlignment="1">
      <alignment horizontal="left" vertical="center"/>
    </xf>
    <xf numFmtId="0" fontId="44" fillId="0" borderId="12" xfId="0" applyFont="1" applyBorder="1" applyAlignment="1">
      <alignment horizontal="center"/>
    </xf>
    <xf numFmtId="1" fontId="44" fillId="0" borderId="2" xfId="0" applyNumberFormat="1" applyFont="1" applyBorder="1" applyAlignment="1">
      <alignment horizontal="center"/>
    </xf>
    <xf numFmtId="1" fontId="44" fillId="0" borderId="2" xfId="0" applyNumberFormat="1" applyFont="1" applyBorder="1" applyAlignment="1">
      <alignment horizontal="center" wrapText="1"/>
    </xf>
    <xf numFmtId="0" fontId="45" fillId="0" borderId="2" xfId="8" applyFont="1" applyBorder="1" applyAlignment="1">
      <alignment horizontal="center"/>
    </xf>
    <xf numFmtId="0" fontId="44" fillId="0" borderId="2" xfId="8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0" xfId="0" applyFont="1"/>
    <xf numFmtId="16" fontId="44" fillId="0" borderId="2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/>
    </xf>
    <xf numFmtId="165" fontId="44" fillId="0" borderId="3" xfId="0" applyNumberFormat="1" applyFont="1" applyBorder="1" applyAlignment="1">
      <alignment horizontal="center" wrapText="1"/>
    </xf>
    <xf numFmtId="0" fontId="44" fillId="0" borderId="0" xfId="0" applyFont="1" applyAlignment="1">
      <alignment horizontal="center"/>
    </xf>
    <xf numFmtId="0" fontId="45" fillId="0" borderId="2" xfId="0" applyFont="1" applyBorder="1"/>
    <xf numFmtId="0" fontId="44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4" fillId="0" borderId="42" xfId="0" applyFont="1" applyBorder="1" applyAlignment="1">
      <alignment horizontal="center" vertical="center"/>
    </xf>
    <xf numFmtId="0" fontId="44" fillId="0" borderId="2" xfId="0" applyFont="1" applyBorder="1" applyAlignment="1">
      <alignment horizontal="left" vertical="center"/>
    </xf>
    <xf numFmtId="0" fontId="42" fillId="0" borderId="2" xfId="0" applyFont="1" applyBorder="1" applyAlignment="1">
      <alignment horizontal="center"/>
    </xf>
    <xf numFmtId="0" fontId="44" fillId="0" borderId="2" xfId="0" applyFont="1" applyBorder="1"/>
    <xf numFmtId="0" fontId="44" fillId="5" borderId="2" xfId="0" applyFont="1" applyFill="1" applyBorder="1"/>
    <xf numFmtId="1" fontId="44" fillId="0" borderId="2" xfId="1" applyNumberFormat="1" applyFont="1" applyBorder="1" applyAlignment="1">
      <alignment horizontal="center"/>
    </xf>
    <xf numFmtId="1" fontId="44" fillId="0" borderId="2" xfId="1" applyNumberFormat="1" applyFont="1" applyBorder="1" applyAlignment="1">
      <alignment horizontal="center" wrapText="1"/>
    </xf>
    <xf numFmtId="0" fontId="44" fillId="0" borderId="3" xfId="1" applyFont="1" applyBorder="1" applyAlignment="1">
      <alignment horizontal="center"/>
    </xf>
    <xf numFmtId="49" fontId="44" fillId="0" borderId="25" xfId="1" applyNumberFormat="1" applyFont="1" applyBorder="1" applyAlignment="1">
      <alignment horizontal="center"/>
    </xf>
    <xf numFmtId="49" fontId="44" fillId="0" borderId="12" xfId="1" applyNumberFormat="1" applyFont="1" applyBorder="1" applyAlignment="1">
      <alignment horizontal="center"/>
    </xf>
    <xf numFmtId="0" fontId="42" fillId="5" borderId="2" xfId="1" applyFont="1" applyFill="1" applyBorder="1" applyAlignment="1">
      <alignment horizontal="left"/>
    </xf>
    <xf numFmtId="0" fontId="44" fillId="0" borderId="2" xfId="1" applyFont="1" applyBorder="1" applyAlignment="1">
      <alignment horizontal="center"/>
    </xf>
    <xf numFmtId="166" fontId="44" fillId="0" borderId="2" xfId="1" applyNumberFormat="1" applyFont="1" applyBorder="1" applyAlignment="1">
      <alignment horizontal="center"/>
    </xf>
    <xf numFmtId="0" fontId="44" fillId="0" borderId="2" xfId="9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45" fillId="5" borderId="2" xfId="0" applyFont="1" applyFill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3" fillId="5" borderId="2" xfId="1" applyFont="1" applyFill="1" applyBorder="1" applyAlignment="1">
      <alignment vertical="center"/>
    </xf>
    <xf numFmtId="0" fontId="42" fillId="0" borderId="12" xfId="1" applyFont="1" applyBorder="1" applyAlignment="1">
      <alignment horizontal="center"/>
    </xf>
    <xf numFmtId="2" fontId="44" fillId="0" borderId="2" xfId="1" applyNumberFormat="1" applyFont="1" applyBorder="1" applyAlignment="1">
      <alignment horizontal="center"/>
    </xf>
    <xf numFmtId="49" fontId="44" fillId="5" borderId="25" xfId="1" applyNumberFormat="1" applyFont="1" applyFill="1" applyBorder="1" applyAlignment="1">
      <alignment horizontal="center"/>
    </xf>
    <xf numFmtId="49" fontId="44" fillId="5" borderId="12" xfId="1" applyNumberFormat="1" applyFont="1" applyFill="1" applyBorder="1" applyAlignment="1">
      <alignment horizontal="center"/>
    </xf>
    <xf numFmtId="49" fontId="44" fillId="5" borderId="2" xfId="1" applyNumberFormat="1" applyFont="1" applyFill="1" applyBorder="1"/>
    <xf numFmtId="12" fontId="44" fillId="0" borderId="2" xfId="1" applyNumberFormat="1" applyFont="1" applyBorder="1" applyAlignment="1">
      <alignment horizontal="center"/>
    </xf>
    <xf numFmtId="49" fontId="44" fillId="0" borderId="2" xfId="1" applyNumberFormat="1" applyFont="1" applyBorder="1"/>
    <xf numFmtId="49" fontId="46" fillId="2" borderId="36" xfId="1" applyNumberFormat="1" applyFont="1" applyFill="1" applyBorder="1" applyAlignment="1">
      <alignment horizontal="center" vertical="center"/>
    </xf>
    <xf numFmtId="49" fontId="46" fillId="2" borderId="0" xfId="1" applyNumberFormat="1" applyFont="1" applyFill="1" applyAlignment="1">
      <alignment horizontal="center" vertical="center"/>
    </xf>
    <xf numFmtId="0" fontId="44" fillId="2" borderId="0" xfId="1" applyFont="1" applyFill="1"/>
    <xf numFmtId="1" fontId="44" fillId="2" borderId="0" xfId="1" applyNumberFormat="1" applyFont="1" applyFill="1" applyAlignment="1">
      <alignment horizontal="center"/>
    </xf>
    <xf numFmtId="164" fontId="44" fillId="2" borderId="0" xfId="1" applyNumberFormat="1" applyFont="1" applyFill="1" applyAlignment="1">
      <alignment horizontal="center" wrapText="1"/>
    </xf>
    <xf numFmtId="0" fontId="44" fillId="2" borderId="7" xfId="1" applyFont="1" applyFill="1" applyBorder="1" applyAlignment="1">
      <alignment horizontal="center"/>
    </xf>
    <xf numFmtId="0" fontId="44" fillId="3" borderId="37" xfId="1" applyFont="1" applyFill="1" applyBorder="1" applyAlignment="1">
      <alignment horizontal="center"/>
    </xf>
    <xf numFmtId="0" fontId="44" fillId="3" borderId="6" xfId="1" applyFont="1" applyFill="1" applyBorder="1" applyAlignment="1">
      <alignment horizontal="center"/>
    </xf>
    <xf numFmtId="0" fontId="44" fillId="3" borderId="6" xfId="1" applyFont="1" applyFill="1" applyBorder="1"/>
    <xf numFmtId="0" fontId="42" fillId="3" borderId="6" xfId="1" applyFont="1" applyFill="1" applyBorder="1" applyAlignment="1">
      <alignment horizontal="center"/>
    </xf>
    <xf numFmtId="1" fontId="42" fillId="3" borderId="6" xfId="1" applyNumberFormat="1" applyFont="1" applyFill="1" applyBorder="1" applyAlignment="1">
      <alignment horizontal="center"/>
    </xf>
    <xf numFmtId="164" fontId="44" fillId="3" borderId="6" xfId="1" applyNumberFormat="1" applyFont="1" applyFill="1" applyBorder="1" applyAlignment="1">
      <alignment horizontal="center" wrapText="1"/>
    </xf>
    <xf numFmtId="0" fontId="44" fillId="3" borderId="5" xfId="1" applyFont="1" applyFill="1" applyBorder="1" applyAlignment="1">
      <alignment horizontal="center"/>
    </xf>
    <xf numFmtId="0" fontId="42" fillId="0" borderId="29" xfId="1" applyFont="1" applyBorder="1" applyAlignment="1">
      <alignment horizontal="right"/>
    </xf>
    <xf numFmtId="0" fontId="42" fillId="0" borderId="30" xfId="1" applyFont="1" applyBorder="1" applyAlignment="1">
      <alignment horizontal="right"/>
    </xf>
    <xf numFmtId="0" fontId="42" fillId="0" borderId="31" xfId="1" applyFont="1" applyBorder="1" applyAlignment="1">
      <alignment horizontal="right"/>
    </xf>
    <xf numFmtId="1" fontId="44" fillId="0" borderId="3" xfId="0" applyNumberFormat="1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164" fontId="44" fillId="0" borderId="3" xfId="1" applyNumberFormat="1" applyFont="1" applyBorder="1" applyAlignment="1">
      <alignment horizontal="right"/>
    </xf>
    <xf numFmtId="0" fontId="44" fillId="2" borderId="4" xfId="1" applyFont="1" applyFill="1" applyBorder="1" applyAlignment="1">
      <alignment horizontal="center"/>
    </xf>
    <xf numFmtId="0" fontId="44" fillId="2" borderId="27" xfId="1" applyFont="1" applyFill="1" applyBorder="1" applyAlignment="1">
      <alignment horizontal="center"/>
    </xf>
    <xf numFmtId="0" fontId="42" fillId="0" borderId="28" xfId="1" applyFont="1" applyBorder="1" applyAlignment="1">
      <alignment horizontal="right"/>
    </xf>
    <xf numFmtId="0" fontId="42" fillId="0" borderId="15" xfId="1" applyFont="1" applyBorder="1" applyAlignment="1">
      <alignment horizontal="right"/>
    </xf>
    <xf numFmtId="0" fontId="42" fillId="0" borderId="12" xfId="1" applyFont="1" applyBorder="1" applyAlignment="1">
      <alignment horizontal="right"/>
    </xf>
    <xf numFmtId="0" fontId="44" fillId="0" borderId="2" xfId="1" applyFont="1" applyBorder="1" applyAlignment="1">
      <alignment horizontal="right"/>
    </xf>
    <xf numFmtId="164" fontId="44" fillId="0" borderId="14" xfId="1" applyNumberFormat="1" applyFont="1" applyBorder="1" applyAlignment="1">
      <alignment horizontal="center"/>
    </xf>
    <xf numFmtId="164" fontId="44" fillId="0" borderId="26" xfId="1" applyNumberFormat="1" applyFont="1" applyBorder="1" applyAlignment="1">
      <alignment horizontal="center"/>
    </xf>
    <xf numFmtId="164" fontId="44" fillId="0" borderId="14" xfId="1" applyNumberFormat="1" applyFont="1" applyBorder="1" applyAlignment="1">
      <alignment horizontal="right" wrapText="1"/>
    </xf>
    <xf numFmtId="164" fontId="44" fillId="0" borderId="12" xfId="1" applyNumberFormat="1" applyFont="1" applyBorder="1" applyAlignment="1">
      <alignment horizontal="right" wrapText="1"/>
    </xf>
    <xf numFmtId="0" fontId="42" fillId="0" borderId="16" xfId="1" applyFont="1" applyBorder="1" applyAlignment="1">
      <alignment horizontal="right"/>
    </xf>
    <xf numFmtId="0" fontId="42" fillId="0" borderId="17" xfId="1" applyFont="1" applyBorder="1" applyAlignment="1">
      <alignment horizontal="right"/>
    </xf>
    <xf numFmtId="0" fontId="42" fillId="0" borderId="10" xfId="1" applyFont="1" applyBorder="1" applyAlignment="1">
      <alignment horizontal="right"/>
    </xf>
    <xf numFmtId="1" fontId="44" fillId="0" borderId="10" xfId="0" applyNumberFormat="1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44" fillId="0" borderId="10" xfId="1" applyFont="1" applyBorder="1" applyAlignment="1">
      <alignment horizontal="right"/>
    </xf>
    <xf numFmtId="164" fontId="44" fillId="0" borderId="18" xfId="1" applyNumberFormat="1" applyFont="1" applyBorder="1" applyAlignment="1">
      <alignment horizontal="center"/>
    </xf>
    <xf numFmtId="164" fontId="44" fillId="0" borderId="19" xfId="1" applyNumberFormat="1" applyFont="1" applyBorder="1" applyAlignment="1">
      <alignment horizontal="center"/>
    </xf>
    <xf numFmtId="0" fontId="44" fillId="0" borderId="25" xfId="0" applyFont="1" applyBorder="1" applyAlignment="1">
      <alignment horizontal="left" wrapText="1"/>
    </xf>
    <xf numFmtId="0" fontId="44" fillId="0" borderId="12" xfId="0" applyFont="1" applyBorder="1" applyAlignment="1">
      <alignment horizontal="left" wrapText="1"/>
    </xf>
    <xf numFmtId="0" fontId="44" fillId="0" borderId="2" xfId="0" applyFont="1" applyBorder="1" applyAlignment="1">
      <alignment horizontal="left" wrapText="1"/>
    </xf>
    <xf numFmtId="0" fontId="44" fillId="0" borderId="8" xfId="0" applyFont="1" applyBorder="1" applyAlignment="1">
      <alignment horizontal="left" wrapText="1"/>
    </xf>
    <xf numFmtId="0" fontId="42" fillId="3" borderId="37" xfId="1" applyFont="1" applyFill="1" applyBorder="1" applyAlignment="1">
      <alignment horizontal="center"/>
    </xf>
    <xf numFmtId="0" fontId="42" fillId="3" borderId="6" xfId="1" applyFont="1" applyFill="1" applyBorder="1" applyAlignment="1">
      <alignment horizontal="center"/>
    </xf>
    <xf numFmtId="0" fontId="42" fillId="3" borderId="5" xfId="1" applyFont="1" applyFill="1" applyBorder="1" applyAlignment="1">
      <alignment horizontal="center"/>
    </xf>
    <xf numFmtId="0" fontId="44" fillId="0" borderId="51" xfId="1" applyFont="1" applyBorder="1" applyAlignment="1">
      <alignment horizontal="left"/>
    </xf>
    <xf numFmtId="0" fontId="44" fillId="0" borderId="52" xfId="1" applyFont="1" applyBorder="1" applyAlignment="1">
      <alignment horizontal="left"/>
    </xf>
    <xf numFmtId="0" fontId="44" fillId="0" borderId="53" xfId="1" applyFont="1" applyBorder="1" applyAlignment="1">
      <alignment horizontal="left"/>
    </xf>
    <xf numFmtId="0" fontId="42" fillId="6" borderId="2" xfId="2" applyFont="1" applyFill="1" applyBorder="1" applyAlignment="1">
      <alignment horizontal="center"/>
    </xf>
    <xf numFmtId="0" fontId="44" fillId="2" borderId="2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/>
    </xf>
    <xf numFmtId="0" fontId="45" fillId="0" borderId="2" xfId="0" applyFont="1" applyBorder="1" applyAlignment="1">
      <alignment horizontal="center" wrapText="1"/>
    </xf>
    <xf numFmtId="49" fontId="42" fillId="0" borderId="2" xfId="1" applyNumberFormat="1" applyFont="1" applyBorder="1" applyAlignment="1">
      <alignment horizontal="center"/>
    </xf>
  </cellXfs>
  <cellStyles count="12">
    <cellStyle name="Millares" xfId="10" builtinId="3"/>
    <cellStyle name="Millares [0]" xfId="11" builtinId="6"/>
    <cellStyle name="Normal" xfId="0" builtinId="0"/>
    <cellStyle name="Normal 2" xfId="1" xr:uid="{1C46DDD5-6F28-4EA9-9FCA-A3E6AA711BAD}"/>
    <cellStyle name="Normal 3 2" xfId="9" xr:uid="{60EAC3D9-A95D-4AA6-B57B-6341977DAF94}"/>
    <cellStyle name="Normal 5" xfId="8" xr:uid="{8EAD7136-3A9A-4200-9996-6EB0048B8AAA}"/>
    <cellStyle name="Normal_CRITERIOS DE EVALUACION PT DE GB" xfId="2" xr:uid="{2C285BBD-6EE6-4D0A-9E6F-D6C78A2066DA}"/>
    <cellStyle name="Normal_CRITERIOS DE EVALUACION PT DE GB 2" xfId="7" xr:uid="{E2BFF296-2EB2-40E5-A11B-4478D6216B82}"/>
    <cellStyle name="Porcentaje 2" xfId="3" xr:uid="{EC85611E-E2C6-43E5-BB7B-526FDCA86289}"/>
    <cellStyle name="Porcentaje 3" xfId="4" xr:uid="{61024188-C50C-4648-A07D-2161D4C7D329}"/>
    <cellStyle name="Porcentaje 4" xfId="5" xr:uid="{3D1A1DEE-9A06-4E2F-B2FE-74AEFDF86681}"/>
    <cellStyle name="Porcentaje 4 2" xfId="6" xr:uid="{6CD985B1-3FF1-4DDF-A047-A138C99712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52160</xdr:colOff>
      <xdr:row>0</xdr:row>
      <xdr:rowOff>129268</xdr:rowOff>
    </xdr:from>
    <xdr:to>
      <xdr:col>1</xdr:col>
      <xdr:colOff>1000802</xdr:colOff>
      <xdr:row>4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C6BCD15-F06A-42EF-988D-DF0C9EEE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60" y="129268"/>
          <a:ext cx="1710642" cy="763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6/Torta%20Choys.xlsx" TargetMode="External"/><Relationship Id="rId1" Type="http://schemas.openxmlformats.org/officeDocument/2006/relationships/externalLinkPath" Target="https://sedepast-my.sharepoint.com/personal/eramirez_fascr_com/Documents/Escritorio/INDUSTRIA%202022/INDUSTRIA%202026/Torta%20Cho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samble"/>
      <sheetName val="Ensamble 2"/>
      <sheetName val="Rosquete Easy Vainilla "/>
      <sheetName val="Batido"/>
      <sheetName val="Premezcla "/>
      <sheetName val="Leches Pasteurizada con Agua"/>
      <sheetName val="Mezcla leche Pasteurizada "/>
      <sheetName val="Crema Dulce de leche "/>
      <sheetName val="Ganache Chocolate Blanco"/>
      <sheetName val="Ganache Chocolate Oscuro"/>
      <sheetName val="Ganache Dulce leche"/>
      <sheetName val="Costo Ensamble "/>
      <sheetName val="Mezcla Mani y Arroz"/>
      <sheetName val="Costo Mezcla Mani Arroz"/>
      <sheetName val="Chocolate con Mani y Arroz Infl"/>
      <sheetName val="Mani tostado"/>
      <sheetName val="Costo Choco Mani y arroz inf"/>
      <sheetName val="Procesado Choco Mani y Arr"/>
      <sheetName val="Costo Procesado"/>
      <sheetName val="Crema Dulce de Caramelo "/>
      <sheetName val="Crema Dulce"/>
      <sheetName val="Costo Crema Dulce Caramelo"/>
      <sheetName val="Pelado "/>
      <sheetName val="Costo Pelado choco Cho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9">
          <cell r="E69">
            <v>3.0487799999999998</v>
          </cell>
        </row>
        <row r="74">
          <cell r="E74">
            <v>0.25241999999999998</v>
          </cell>
        </row>
        <row r="76">
          <cell r="E76">
            <v>3.4269999999999995E-2</v>
          </cell>
        </row>
      </sheetData>
      <sheetData sheetId="14"/>
      <sheetData sheetId="15"/>
      <sheetData sheetId="16"/>
      <sheetData sheetId="17"/>
      <sheetData sheetId="18">
        <row r="69">
          <cell r="E69">
            <v>6.0421052631578949</v>
          </cell>
        </row>
        <row r="74">
          <cell r="E74">
            <v>0.57526315789473681</v>
          </cell>
        </row>
        <row r="76">
          <cell r="E76">
            <v>5.9747368421052632E-2</v>
          </cell>
        </row>
      </sheetData>
      <sheetData sheetId="19"/>
      <sheetData sheetId="20"/>
      <sheetData sheetId="21">
        <row r="69">
          <cell r="E69">
            <v>2.3189899999999999</v>
          </cell>
        </row>
        <row r="74">
          <cell r="E74">
            <v>0.16400000000000001</v>
          </cell>
        </row>
        <row r="76">
          <cell r="E76">
            <v>0</v>
          </cell>
        </row>
      </sheetData>
      <sheetData sheetId="22"/>
      <sheetData sheetId="23">
        <row r="69">
          <cell r="E69">
            <v>8.6061111111111117</v>
          </cell>
        </row>
        <row r="74">
          <cell r="E74">
            <v>0.64166666666666672</v>
          </cell>
        </row>
        <row r="76">
          <cell r="E76">
            <v>0.14480000000000001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E873-7EDD-4428-9B8C-D46CF911D83E}">
  <sheetPr>
    <pageSetUpPr fitToPage="1"/>
  </sheetPr>
  <dimension ref="A1:J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5.28515625" customWidth="1"/>
    <col min="3" max="3" width="65.5703125" customWidth="1"/>
    <col min="4" max="4" width="19.42578125" customWidth="1"/>
    <col min="5" max="5" width="13.28515625" customWidth="1"/>
    <col min="7" max="7" width="22.140625" customWidth="1"/>
    <col min="8" max="8" width="16.7109375" customWidth="1"/>
    <col min="9" max="9" width="19.7109375" customWidth="1"/>
  </cols>
  <sheetData>
    <row r="1" spans="1:10" ht="15.75" x14ac:dyDescent="0.25">
      <c r="A1" s="117"/>
      <c r="B1" s="118"/>
      <c r="C1" s="123" t="s">
        <v>23</v>
      </c>
      <c r="D1" s="123"/>
      <c r="E1" s="123"/>
      <c r="F1" s="123"/>
      <c r="G1" s="123"/>
      <c r="H1" s="1" t="s">
        <v>0</v>
      </c>
      <c r="I1" s="6" t="s">
        <v>155</v>
      </c>
    </row>
    <row r="2" spans="1:10" ht="16.5" thickBot="1" x14ac:dyDescent="0.3">
      <c r="A2" s="119"/>
      <c r="B2" s="120"/>
      <c r="C2" s="124" t="s">
        <v>1</v>
      </c>
      <c r="D2" s="124"/>
      <c r="E2" s="124"/>
      <c r="F2" s="124"/>
      <c r="G2" s="124"/>
      <c r="H2" s="2" t="s">
        <v>2</v>
      </c>
      <c r="I2" s="5" t="s">
        <v>153</v>
      </c>
    </row>
    <row r="3" spans="1:10" ht="24.75" customHeight="1" thickBot="1" x14ac:dyDescent="0.25">
      <c r="A3" s="119"/>
      <c r="B3" s="120"/>
      <c r="C3" s="167" t="s">
        <v>152</v>
      </c>
      <c r="D3" s="168"/>
      <c r="E3" s="168"/>
      <c r="F3" s="168"/>
      <c r="G3" s="169"/>
      <c r="H3" s="125" t="s">
        <v>3</v>
      </c>
      <c r="I3" s="108">
        <v>46148</v>
      </c>
    </row>
    <row r="4" spans="1:10" ht="13.5" x14ac:dyDescent="0.25">
      <c r="A4" s="119"/>
      <c r="B4" s="120"/>
      <c r="C4" s="3" t="s">
        <v>4</v>
      </c>
      <c r="D4" s="111" t="s">
        <v>33</v>
      </c>
      <c r="E4" s="112"/>
      <c r="F4" s="112"/>
      <c r="G4" s="113"/>
      <c r="H4" s="126"/>
      <c r="I4" s="109"/>
    </row>
    <row r="5" spans="1:10" ht="14.25" thickBot="1" x14ac:dyDescent="0.3">
      <c r="A5" s="121"/>
      <c r="B5" s="122"/>
      <c r="C5" s="4" t="s">
        <v>5</v>
      </c>
      <c r="D5" s="114" t="s">
        <v>79</v>
      </c>
      <c r="E5" s="115"/>
      <c r="F5" s="115"/>
      <c r="G5" s="116"/>
      <c r="H5" s="127"/>
      <c r="I5" s="110"/>
    </row>
    <row r="6" spans="1:10" ht="18.75" thickBot="1" x14ac:dyDescent="0.3">
      <c r="A6" s="128" t="s">
        <v>47</v>
      </c>
      <c r="B6" s="128"/>
      <c r="C6" s="128"/>
      <c r="D6" s="170" t="s">
        <v>49</v>
      </c>
      <c r="E6" s="170"/>
      <c r="F6" s="170"/>
      <c r="G6" s="129" t="s">
        <v>48</v>
      </c>
      <c r="H6" s="129"/>
      <c r="I6" s="171" t="s">
        <v>49</v>
      </c>
    </row>
    <row r="7" spans="1:10" ht="27" customHeight="1" x14ac:dyDescent="0.2">
      <c r="A7" s="130" t="s">
        <v>6</v>
      </c>
      <c r="B7" s="132" t="s">
        <v>50</v>
      </c>
      <c r="C7" s="134" t="s">
        <v>7</v>
      </c>
      <c r="D7" s="134" t="s">
        <v>8</v>
      </c>
      <c r="E7" s="134" t="s">
        <v>9</v>
      </c>
      <c r="F7" s="134"/>
      <c r="G7" s="134" t="s">
        <v>10</v>
      </c>
      <c r="H7" s="134"/>
      <c r="I7" s="7" t="s">
        <v>11</v>
      </c>
    </row>
    <row r="8" spans="1:10" ht="26.25" thickBot="1" x14ac:dyDescent="0.25">
      <c r="A8" s="131"/>
      <c r="B8" s="133"/>
      <c r="C8" s="135"/>
      <c r="D8" s="135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10" ht="20.25" x14ac:dyDescent="0.3">
      <c r="A9" s="172"/>
      <c r="B9" s="173"/>
      <c r="C9" s="174" t="s">
        <v>51</v>
      </c>
      <c r="D9" s="175"/>
      <c r="E9" s="176"/>
      <c r="F9" s="177"/>
      <c r="G9" s="176"/>
      <c r="H9" s="177"/>
      <c r="I9" s="178"/>
    </row>
    <row r="10" spans="1:10" ht="20.25" x14ac:dyDescent="0.3">
      <c r="A10" s="179"/>
      <c r="B10" s="179" t="s">
        <v>42</v>
      </c>
      <c r="C10" s="180" t="s">
        <v>41</v>
      </c>
      <c r="D10" s="181" t="s">
        <v>36</v>
      </c>
      <c r="E10" s="182">
        <v>1215</v>
      </c>
      <c r="F10" s="183" t="s">
        <v>26</v>
      </c>
      <c r="G10" s="184"/>
      <c r="H10" s="185"/>
      <c r="I10" s="178"/>
      <c r="J10">
        <f>1/24</f>
        <v>4.1666666666666664E-2</v>
      </c>
    </row>
    <row r="11" spans="1:10" ht="20.25" x14ac:dyDescent="0.3">
      <c r="A11" s="186"/>
      <c r="B11" s="187" t="s">
        <v>57</v>
      </c>
      <c r="C11" s="188" t="s">
        <v>58</v>
      </c>
      <c r="D11" s="189" t="s">
        <v>36</v>
      </c>
      <c r="E11" s="190">
        <f>190*2</f>
        <v>380</v>
      </c>
      <c r="F11" s="183" t="s">
        <v>26</v>
      </c>
      <c r="G11" s="191"/>
      <c r="H11" s="185" t="s">
        <v>59</v>
      </c>
      <c r="I11" s="178"/>
      <c r="J11">
        <f>+E11/$D$35</f>
        <v>15.833333333333334</v>
      </c>
    </row>
    <row r="12" spans="1:10" ht="20.25" x14ac:dyDescent="0.3">
      <c r="A12" s="192"/>
      <c r="B12" s="187" t="s">
        <v>60</v>
      </c>
      <c r="C12" s="193" t="s">
        <v>61</v>
      </c>
      <c r="D12" s="194" t="s">
        <v>62</v>
      </c>
      <c r="E12" s="190">
        <v>310</v>
      </c>
      <c r="F12" s="183" t="s">
        <v>26</v>
      </c>
      <c r="G12" s="191"/>
      <c r="H12" s="185" t="s">
        <v>63</v>
      </c>
      <c r="I12" s="178"/>
      <c r="J12">
        <f>+E12/$D$35</f>
        <v>12.916666666666666</v>
      </c>
    </row>
    <row r="13" spans="1:10" ht="20.25" x14ac:dyDescent="0.3">
      <c r="A13" s="194"/>
      <c r="B13" s="187" t="s">
        <v>148</v>
      </c>
      <c r="C13" s="193" t="s">
        <v>65</v>
      </c>
      <c r="D13" s="189" t="s">
        <v>36</v>
      </c>
      <c r="E13" s="195">
        <v>175</v>
      </c>
      <c r="F13" s="187" t="s">
        <v>26</v>
      </c>
      <c r="G13" s="191"/>
      <c r="H13" s="185" t="s">
        <v>66</v>
      </c>
      <c r="I13" s="178"/>
      <c r="J13">
        <f>+E13/$D$35</f>
        <v>7.291666666666667</v>
      </c>
    </row>
    <row r="14" spans="1:10" ht="20.25" x14ac:dyDescent="0.3">
      <c r="A14" s="196"/>
      <c r="B14" s="187" t="s">
        <v>149</v>
      </c>
      <c r="C14" s="193" t="s">
        <v>64</v>
      </c>
      <c r="D14" s="186" t="s">
        <v>36</v>
      </c>
      <c r="E14" s="186">
        <v>100</v>
      </c>
      <c r="F14" s="183" t="s">
        <v>26</v>
      </c>
      <c r="G14" s="191"/>
      <c r="H14" s="185" t="s">
        <v>63</v>
      </c>
      <c r="I14" s="178"/>
      <c r="J14">
        <f>+E14/$D$35</f>
        <v>4.166666666666667</v>
      </c>
    </row>
    <row r="15" spans="1:10" ht="20.25" x14ac:dyDescent="0.3">
      <c r="A15" s="186"/>
      <c r="B15" s="186"/>
      <c r="C15" s="200"/>
      <c r="D15" s="201"/>
      <c r="E15" s="201"/>
      <c r="F15" s="202"/>
      <c r="G15" s="176"/>
      <c r="H15" s="203"/>
      <c r="I15" s="178"/>
      <c r="J15">
        <f>+E15/$D$35</f>
        <v>0</v>
      </c>
    </row>
    <row r="16" spans="1:10" ht="20.25" x14ac:dyDescent="0.3">
      <c r="A16" s="204"/>
      <c r="B16" s="205"/>
      <c r="C16" s="206" t="s">
        <v>52</v>
      </c>
      <c r="D16" s="207"/>
      <c r="E16" s="208"/>
      <c r="F16" s="202"/>
      <c r="G16" s="176"/>
      <c r="H16" s="203"/>
      <c r="I16" s="178"/>
      <c r="J16">
        <f>+E16/$D$35</f>
        <v>0</v>
      </c>
    </row>
    <row r="17" spans="1:10" ht="20.25" x14ac:dyDescent="0.3">
      <c r="A17" s="186"/>
      <c r="B17" s="187" t="s">
        <v>67</v>
      </c>
      <c r="C17" s="193" t="s">
        <v>68</v>
      </c>
      <c r="D17" s="187" t="s">
        <v>36</v>
      </c>
      <c r="E17" s="187">
        <f>18*24</f>
        <v>432</v>
      </c>
      <c r="F17" s="187" t="s">
        <v>26</v>
      </c>
      <c r="G17" s="176"/>
      <c r="H17" s="203" t="s">
        <v>69</v>
      </c>
      <c r="I17" s="178"/>
      <c r="J17">
        <f>+E17/$D$35</f>
        <v>18</v>
      </c>
    </row>
    <row r="18" spans="1:10" ht="20.25" x14ac:dyDescent="0.3">
      <c r="A18" s="209"/>
      <c r="B18" s="187" t="s">
        <v>70</v>
      </c>
      <c r="C18" s="193" t="s">
        <v>71</v>
      </c>
      <c r="D18" s="187" t="s">
        <v>36</v>
      </c>
      <c r="E18" s="187">
        <f>6*24</f>
        <v>144</v>
      </c>
      <c r="F18" s="187" t="s">
        <v>26</v>
      </c>
      <c r="G18" s="176"/>
      <c r="H18" s="203" t="s">
        <v>76</v>
      </c>
      <c r="I18" s="178"/>
    </row>
    <row r="19" spans="1:10" ht="20.25" x14ac:dyDescent="0.3">
      <c r="A19" s="186"/>
      <c r="B19" s="187" t="s">
        <v>72</v>
      </c>
      <c r="C19" s="193" t="s">
        <v>73</v>
      </c>
      <c r="D19" s="187" t="s">
        <v>36</v>
      </c>
      <c r="E19" s="187">
        <f>6*24</f>
        <v>144</v>
      </c>
      <c r="F19" s="187" t="s">
        <v>26</v>
      </c>
      <c r="G19" s="176"/>
      <c r="H19" s="203" t="s">
        <v>76</v>
      </c>
      <c r="I19" s="178"/>
    </row>
    <row r="20" spans="1:10" ht="20.25" x14ac:dyDescent="0.3">
      <c r="A20" s="186"/>
      <c r="B20" s="187" t="s">
        <v>74</v>
      </c>
      <c r="C20" s="193" t="s">
        <v>75</v>
      </c>
      <c r="D20" s="187" t="s">
        <v>36</v>
      </c>
      <c r="E20" s="187">
        <f>6*24</f>
        <v>144</v>
      </c>
      <c r="F20" s="187" t="s">
        <v>26</v>
      </c>
      <c r="G20" s="176"/>
      <c r="H20" s="203" t="s">
        <v>76</v>
      </c>
      <c r="I20" s="178"/>
    </row>
    <row r="21" spans="1:10" ht="20.25" x14ac:dyDescent="0.3">
      <c r="A21" s="210"/>
      <c r="B21" s="187" t="s">
        <v>150</v>
      </c>
      <c r="C21" s="193" t="s">
        <v>77</v>
      </c>
      <c r="D21" s="187" t="s">
        <v>36</v>
      </c>
      <c r="E21" s="187">
        <f>2*24</f>
        <v>48</v>
      </c>
      <c r="F21" s="187" t="s">
        <v>26</v>
      </c>
      <c r="G21" s="176"/>
      <c r="H21" s="203" t="s">
        <v>78</v>
      </c>
      <c r="I21" s="178"/>
    </row>
    <row r="22" spans="1:10" ht="40.5" x14ac:dyDescent="0.3">
      <c r="A22" s="210"/>
      <c r="B22" s="187" t="s">
        <v>151</v>
      </c>
      <c r="C22" s="193" t="s">
        <v>80</v>
      </c>
      <c r="D22" s="187" t="s">
        <v>36</v>
      </c>
      <c r="E22" s="211">
        <f>+(13/2)*24</f>
        <v>156</v>
      </c>
      <c r="F22" s="211" t="s">
        <v>26</v>
      </c>
      <c r="G22" s="195"/>
      <c r="H22" s="177" t="s">
        <v>154</v>
      </c>
      <c r="I22" s="271" t="s">
        <v>156</v>
      </c>
    </row>
    <row r="23" spans="1:10" ht="20.25" x14ac:dyDescent="0.3">
      <c r="A23" s="186"/>
      <c r="B23" s="187"/>
      <c r="C23" s="193"/>
      <c r="D23" s="212"/>
      <c r="E23" s="187"/>
      <c r="F23" s="187"/>
      <c r="G23" s="176"/>
      <c r="H23" s="203"/>
      <c r="I23" s="178"/>
    </row>
    <row r="24" spans="1:10" ht="20.25" x14ac:dyDescent="0.3">
      <c r="A24" s="272"/>
      <c r="B24" s="272"/>
      <c r="C24" s="213" t="s">
        <v>54</v>
      </c>
      <c r="D24" s="214" t="s">
        <v>53</v>
      </c>
      <c r="E24" s="176"/>
      <c r="F24" s="177"/>
      <c r="G24" s="176"/>
      <c r="H24" s="203"/>
      <c r="I24" s="178"/>
    </row>
    <row r="25" spans="1:10" ht="20.25" x14ac:dyDescent="0.3">
      <c r="A25" s="186" t="s">
        <v>37</v>
      </c>
      <c r="B25" s="186" t="s">
        <v>43</v>
      </c>
      <c r="C25" s="199" t="s">
        <v>38</v>
      </c>
      <c r="D25" s="181" t="s">
        <v>39</v>
      </c>
      <c r="E25" s="182">
        <v>24</v>
      </c>
      <c r="F25" s="183" t="s">
        <v>32</v>
      </c>
      <c r="G25" s="191"/>
      <c r="H25" s="203"/>
      <c r="I25" s="178"/>
    </row>
    <row r="26" spans="1:10" ht="20.25" x14ac:dyDescent="0.3">
      <c r="A26" s="194">
        <v>701096</v>
      </c>
      <c r="B26" s="194" t="s">
        <v>44</v>
      </c>
      <c r="C26" s="197" t="s">
        <v>40</v>
      </c>
      <c r="D26" s="181" t="s">
        <v>27</v>
      </c>
      <c r="E26" s="182">
        <v>24</v>
      </c>
      <c r="F26" s="183" t="s">
        <v>32</v>
      </c>
      <c r="G26" s="215"/>
      <c r="H26" s="203"/>
      <c r="I26" s="178"/>
    </row>
    <row r="27" spans="1:10" ht="20.25" x14ac:dyDescent="0.3">
      <c r="A27" s="186" t="s">
        <v>34</v>
      </c>
      <c r="B27" s="186" t="s">
        <v>45</v>
      </c>
      <c r="C27" s="199" t="s">
        <v>35</v>
      </c>
      <c r="D27" s="181" t="s">
        <v>27</v>
      </c>
      <c r="E27" s="182">
        <v>24</v>
      </c>
      <c r="F27" s="183" t="s">
        <v>32</v>
      </c>
      <c r="G27" s="176"/>
      <c r="H27" s="203"/>
      <c r="I27" s="178"/>
    </row>
    <row r="28" spans="1:10" ht="20.25" x14ac:dyDescent="0.3">
      <c r="A28" s="194" t="s">
        <v>28</v>
      </c>
      <c r="B28" s="194" t="s">
        <v>46</v>
      </c>
      <c r="C28" s="197" t="s">
        <v>29</v>
      </c>
      <c r="D28" s="181" t="s">
        <v>30</v>
      </c>
      <c r="E28" s="186">
        <v>24</v>
      </c>
      <c r="F28" s="183" t="s">
        <v>32</v>
      </c>
      <c r="G28" s="176"/>
      <c r="H28" s="177"/>
      <c r="I28" s="178"/>
    </row>
    <row r="29" spans="1:10" ht="20.25" x14ac:dyDescent="0.3">
      <c r="A29" s="216"/>
      <c r="B29" s="217" t="s">
        <v>81</v>
      </c>
      <c r="C29" s="218" t="s">
        <v>82</v>
      </c>
      <c r="D29" s="207"/>
      <c r="E29" s="201">
        <v>24</v>
      </c>
      <c r="F29" s="202" t="s">
        <v>32</v>
      </c>
      <c r="G29" s="219"/>
      <c r="H29" s="207"/>
      <c r="I29" s="178"/>
    </row>
    <row r="30" spans="1:10" ht="20.25" x14ac:dyDescent="0.3">
      <c r="A30" s="204"/>
      <c r="B30" s="205"/>
      <c r="C30" s="220"/>
      <c r="D30" s="207"/>
      <c r="E30" s="207"/>
      <c r="F30" s="202"/>
      <c r="G30" s="207"/>
      <c r="H30" s="207"/>
      <c r="I30" s="178"/>
    </row>
    <row r="31" spans="1:10" ht="21" thickBot="1" x14ac:dyDescent="0.35">
      <c r="A31" s="221"/>
      <c r="B31" s="222"/>
      <c r="C31" s="223"/>
      <c r="D31" s="223"/>
      <c r="E31" s="224"/>
      <c r="F31" s="225"/>
      <c r="G31" s="223"/>
      <c r="H31" s="223"/>
      <c r="I31" s="226"/>
    </row>
    <row r="32" spans="1:10" ht="21" thickBot="1" x14ac:dyDescent="0.35">
      <c r="A32" s="227"/>
      <c r="B32" s="228"/>
      <c r="C32" s="229"/>
      <c r="D32" s="230" t="s">
        <v>12</v>
      </c>
      <c r="E32" s="231" t="s">
        <v>15</v>
      </c>
      <c r="F32" s="232"/>
      <c r="G32" s="229"/>
      <c r="H32" s="229"/>
      <c r="I32" s="233"/>
    </row>
    <row r="33" spans="1:10" ht="20.25" x14ac:dyDescent="0.3">
      <c r="A33" s="234" t="s">
        <v>16</v>
      </c>
      <c r="B33" s="235"/>
      <c r="C33" s="236"/>
      <c r="D33" s="237">
        <v>2640</v>
      </c>
      <c r="E33" s="238" t="s">
        <v>26</v>
      </c>
      <c r="F33" s="239" t="s">
        <v>24</v>
      </c>
      <c r="G33" s="239"/>
      <c r="H33" s="240"/>
      <c r="I33" s="241"/>
      <c r="J33">
        <f>110*24</f>
        <v>2640</v>
      </c>
    </row>
    <row r="34" spans="1:10" ht="20.25" x14ac:dyDescent="0.3">
      <c r="A34" s="242" t="s">
        <v>17</v>
      </c>
      <c r="B34" s="243"/>
      <c r="C34" s="244"/>
      <c r="D34" s="198">
        <v>20</v>
      </c>
      <c r="E34" s="186" t="s">
        <v>31</v>
      </c>
      <c r="F34" s="245" t="s">
        <v>18</v>
      </c>
      <c r="G34" s="245"/>
      <c r="H34" s="246"/>
      <c r="I34" s="247"/>
    </row>
    <row r="35" spans="1:10" ht="20.25" x14ac:dyDescent="0.3">
      <c r="A35" s="242" t="s">
        <v>19</v>
      </c>
      <c r="B35" s="243"/>
      <c r="C35" s="244"/>
      <c r="D35" s="186">
        <v>24</v>
      </c>
      <c r="E35" s="186" t="s">
        <v>32</v>
      </c>
      <c r="F35" s="245" t="s">
        <v>25</v>
      </c>
      <c r="G35" s="245"/>
      <c r="H35" s="246"/>
      <c r="I35" s="247"/>
    </row>
    <row r="36" spans="1:10" ht="20.25" x14ac:dyDescent="0.3">
      <c r="A36" s="242" t="s">
        <v>55</v>
      </c>
      <c r="B36" s="243"/>
      <c r="C36" s="244"/>
      <c r="D36" s="186">
        <f>+D33/D35</f>
        <v>110</v>
      </c>
      <c r="E36" s="186" t="s">
        <v>26</v>
      </c>
      <c r="F36" s="248" t="s">
        <v>20</v>
      </c>
      <c r="G36" s="249"/>
      <c r="H36" s="246"/>
      <c r="I36" s="247"/>
    </row>
    <row r="37" spans="1:10" ht="21" thickBot="1" x14ac:dyDescent="0.35">
      <c r="A37" s="250" t="s">
        <v>21</v>
      </c>
      <c r="B37" s="251"/>
      <c r="C37" s="252"/>
      <c r="D37" s="253">
        <f>SUM(E10:E22)-D33</f>
        <v>608</v>
      </c>
      <c r="E37" s="254" t="s">
        <v>26</v>
      </c>
      <c r="F37" s="255"/>
      <c r="G37" s="255"/>
      <c r="H37" s="256"/>
      <c r="I37" s="257"/>
    </row>
    <row r="38" spans="1:10" ht="21" thickBot="1" x14ac:dyDescent="0.35">
      <c r="A38" s="262" t="s">
        <v>22</v>
      </c>
      <c r="B38" s="263"/>
      <c r="C38" s="263"/>
      <c r="D38" s="263"/>
      <c r="E38" s="263"/>
      <c r="F38" s="263"/>
      <c r="G38" s="263"/>
      <c r="H38" s="263"/>
      <c r="I38" s="264"/>
    </row>
    <row r="39" spans="1:10" ht="20.25" x14ac:dyDescent="0.3">
      <c r="A39" s="258" t="s">
        <v>83</v>
      </c>
      <c r="B39" s="259"/>
      <c r="C39" s="260"/>
      <c r="D39" s="260"/>
      <c r="E39" s="260"/>
      <c r="F39" s="260"/>
      <c r="G39" s="260"/>
      <c r="H39" s="260"/>
      <c r="I39" s="261"/>
    </row>
    <row r="40" spans="1:10" ht="20.25" x14ac:dyDescent="0.3">
      <c r="A40" s="258" t="s">
        <v>84</v>
      </c>
      <c r="B40" s="259"/>
      <c r="C40" s="260"/>
      <c r="D40" s="260"/>
      <c r="E40" s="260"/>
      <c r="F40" s="260"/>
      <c r="G40" s="260"/>
      <c r="H40" s="260"/>
      <c r="I40" s="261"/>
    </row>
    <row r="41" spans="1:10" ht="20.25" x14ac:dyDescent="0.3">
      <c r="A41" s="258" t="s">
        <v>85</v>
      </c>
      <c r="B41" s="259"/>
      <c r="C41" s="260"/>
      <c r="D41" s="260"/>
      <c r="E41" s="260"/>
      <c r="F41" s="260"/>
      <c r="G41" s="260"/>
      <c r="H41" s="260"/>
      <c r="I41" s="261"/>
    </row>
    <row r="42" spans="1:10" ht="20.25" x14ac:dyDescent="0.3">
      <c r="A42" s="258" t="s">
        <v>86</v>
      </c>
      <c r="B42" s="259"/>
      <c r="C42" s="260"/>
      <c r="D42" s="260"/>
      <c r="E42" s="260"/>
      <c r="F42" s="260"/>
      <c r="G42" s="260"/>
      <c r="H42" s="260"/>
      <c r="I42" s="261"/>
    </row>
    <row r="43" spans="1:10" ht="20.25" x14ac:dyDescent="0.3">
      <c r="A43" s="260" t="s">
        <v>87</v>
      </c>
      <c r="B43" s="260"/>
      <c r="C43" s="260"/>
      <c r="D43" s="260"/>
      <c r="E43" s="260"/>
      <c r="F43" s="260"/>
      <c r="G43" s="260"/>
      <c r="H43" s="260"/>
      <c r="I43" s="260"/>
    </row>
    <row r="44" spans="1:10" ht="20.25" x14ac:dyDescent="0.3">
      <c r="A44" s="265"/>
      <c r="B44" s="266"/>
      <c r="C44" s="266"/>
      <c r="D44" s="266"/>
      <c r="E44" s="266"/>
      <c r="F44" s="266"/>
      <c r="G44" s="266"/>
      <c r="H44" s="266"/>
      <c r="I44" s="267"/>
    </row>
    <row r="45" spans="1:10" ht="20.25" x14ac:dyDescent="0.3">
      <c r="A45" s="268" t="s">
        <v>56</v>
      </c>
      <c r="B45" s="268"/>
      <c r="C45" s="268"/>
      <c r="D45" s="268"/>
      <c r="E45" s="268"/>
      <c r="F45" s="268"/>
      <c r="G45" s="268"/>
      <c r="H45" s="268"/>
      <c r="I45" s="268"/>
    </row>
    <row r="46" spans="1:10" ht="20.25" x14ac:dyDescent="0.3">
      <c r="A46" s="269"/>
      <c r="B46" s="269"/>
      <c r="C46" s="269"/>
      <c r="D46" s="269"/>
      <c r="E46" s="269"/>
      <c r="F46" s="269"/>
      <c r="G46" s="269"/>
      <c r="H46" s="269"/>
      <c r="I46" s="269"/>
    </row>
    <row r="47" spans="1:10" ht="20.25" customHeight="1" x14ac:dyDescent="0.25">
      <c r="A47" s="270"/>
      <c r="B47" s="270"/>
      <c r="C47" s="270"/>
      <c r="D47" s="270"/>
      <c r="E47" s="270"/>
      <c r="F47" s="270"/>
      <c r="G47" s="270"/>
      <c r="H47" s="270"/>
      <c r="I47" s="270"/>
    </row>
  </sheetData>
  <mergeCells count="42">
    <mergeCell ref="A44:I44"/>
    <mergeCell ref="A45:I45"/>
    <mergeCell ref="A46:I46"/>
    <mergeCell ref="A47:I47"/>
    <mergeCell ref="A37:C37"/>
    <mergeCell ref="F37:G37"/>
    <mergeCell ref="H37:I37"/>
    <mergeCell ref="A38:I38"/>
    <mergeCell ref="A39:I39"/>
    <mergeCell ref="A40:I40"/>
    <mergeCell ref="A41:I41"/>
    <mergeCell ref="A42:I42"/>
    <mergeCell ref="A43:I43"/>
    <mergeCell ref="A35:C35"/>
    <mergeCell ref="F35:G35"/>
    <mergeCell ref="H35:I35"/>
    <mergeCell ref="A36:C36"/>
    <mergeCell ref="F36:G36"/>
    <mergeCell ref="H36:I36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0940-2FB5-4027-A887-341DF47881C7}">
  <dimension ref="A1:Q103"/>
  <sheetViews>
    <sheetView workbookViewId="0">
      <selection activeCell="L15" sqref="L15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88</v>
      </c>
      <c r="F1" s="13" t="s">
        <v>89</v>
      </c>
      <c r="G1" s="13" t="s">
        <v>90</v>
      </c>
      <c r="H1" s="13" t="s">
        <v>91</v>
      </c>
      <c r="I1" s="14"/>
    </row>
    <row r="2" spans="1:10" ht="30.75" customHeight="1" x14ac:dyDescent="0.2">
      <c r="A2" s="11"/>
      <c r="B2" s="11"/>
      <c r="C2" s="11"/>
      <c r="D2" s="11"/>
      <c r="E2" s="17">
        <f>IFERROR(O74,"")</f>
        <v>12966.563749430394</v>
      </c>
      <c r="F2" s="17">
        <f>IFERROR(H65,"")</f>
        <v>7605.9285496491229</v>
      </c>
      <c r="G2" s="17">
        <f>IFERROR(H66,"")</f>
        <v>1438.9884968421054</v>
      </c>
      <c r="H2" s="17">
        <f>IFERROR(H68,"")</f>
        <v>1887.2924757894737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137"/>
      <c r="B4" s="137"/>
      <c r="C4" s="137"/>
      <c r="D4" s="137"/>
      <c r="E4" s="137"/>
      <c r="F4" s="137"/>
      <c r="G4" s="137"/>
      <c r="H4" s="137"/>
      <c r="I4" s="20"/>
    </row>
    <row r="5" spans="1:10" ht="19.5" customHeight="1" thickBot="1" x14ac:dyDescent="0.25">
      <c r="A5" s="138" t="s">
        <v>92</v>
      </c>
      <c r="B5" s="139"/>
      <c r="C5" s="139"/>
      <c r="D5" s="139"/>
      <c r="E5" s="139"/>
      <c r="F5" s="139"/>
      <c r="G5" s="139"/>
      <c r="H5" s="140"/>
      <c r="I5" s="21"/>
    </row>
    <row r="6" spans="1:10" ht="19.5" thickBot="1" x14ac:dyDescent="0.25">
      <c r="A6" s="21"/>
      <c r="B6" s="21"/>
      <c r="C6" s="21"/>
      <c r="D6" s="21"/>
      <c r="E6" s="21"/>
      <c r="F6" s="141" t="s">
        <v>93</v>
      </c>
      <c r="G6" s="141"/>
      <c r="H6" s="22">
        <f ca="1">TODAY()</f>
        <v>46148</v>
      </c>
      <c r="I6" s="22"/>
    </row>
    <row r="7" spans="1:10" ht="26.25" thickBot="1" x14ac:dyDescent="0.25">
      <c r="A7" s="23" t="s">
        <v>94</v>
      </c>
      <c r="B7" s="24" t="s">
        <v>95</v>
      </c>
      <c r="C7" s="24" t="s">
        <v>94</v>
      </c>
      <c r="D7" s="25" t="s">
        <v>96</v>
      </c>
      <c r="E7" s="25" t="s">
        <v>97</v>
      </c>
      <c r="F7" s="25" t="s">
        <v>98</v>
      </c>
      <c r="G7" s="25" t="s">
        <v>99</v>
      </c>
      <c r="H7" s="26" t="s">
        <v>100</v>
      </c>
      <c r="I7" s="27"/>
    </row>
    <row r="8" spans="1:10" ht="13.5" x14ac:dyDescent="0.25">
      <c r="A8" s="28">
        <v>310</v>
      </c>
      <c r="B8" s="16" t="s">
        <v>61</v>
      </c>
      <c r="C8" s="29">
        <f>+A8</f>
        <v>310</v>
      </c>
      <c r="D8" s="30" t="s">
        <v>142</v>
      </c>
      <c r="E8" s="30">
        <v>1.96</v>
      </c>
      <c r="F8" s="30">
        <f>IFERROR(C8*E8,"")</f>
        <v>607.6</v>
      </c>
      <c r="G8" s="31">
        <f t="shared" ref="G8:G14" si="0">IFERROR(F8/$F$78,"")</f>
        <v>5.6589176160558037E-2</v>
      </c>
      <c r="H8" s="32" t="s">
        <v>60</v>
      </c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94</v>
      </c>
      <c r="B16" s="24" t="s">
        <v>101</v>
      </c>
      <c r="C16" s="24" t="s">
        <v>94</v>
      </c>
      <c r="D16" s="25" t="s">
        <v>96</v>
      </c>
      <c r="E16" s="25" t="s">
        <v>97</v>
      </c>
      <c r="F16" s="25" t="s">
        <v>98</v>
      </c>
      <c r="G16" s="25" t="s">
        <v>99</v>
      </c>
      <c r="H16" s="26" t="s">
        <v>100</v>
      </c>
      <c r="I16" s="27"/>
      <c r="J16" s="33"/>
    </row>
    <row r="17" spans="1:12" ht="13.5" x14ac:dyDescent="0.25">
      <c r="A17" s="28">
        <v>1</v>
      </c>
      <c r="B17" s="16" t="s">
        <v>41</v>
      </c>
      <c r="C17" s="29">
        <f>+A17</f>
        <v>1</v>
      </c>
      <c r="D17" s="29" t="s">
        <v>140</v>
      </c>
      <c r="E17" s="30">
        <v>1464</v>
      </c>
      <c r="F17" s="30">
        <f>IFERROR(E17*C17,"")</f>
        <v>1464</v>
      </c>
      <c r="G17" s="31">
        <f>IFERROR(F17/$F$78,"")</f>
        <v>0.13635048370483371</v>
      </c>
      <c r="H17" s="32" t="s">
        <v>42</v>
      </c>
      <c r="I17" s="32"/>
      <c r="J17" s="33"/>
    </row>
    <row r="18" spans="1:12" ht="13.5" x14ac:dyDescent="0.25">
      <c r="A18" s="28">
        <v>380</v>
      </c>
      <c r="B18" s="16" t="s">
        <v>58</v>
      </c>
      <c r="C18" s="29">
        <f t="shared" ref="C18:C21" si="3">+A18</f>
        <v>380</v>
      </c>
      <c r="D18" s="29" t="s">
        <v>142</v>
      </c>
      <c r="E18" s="30">
        <v>1.1100000000000001</v>
      </c>
      <c r="F18" s="30">
        <f t="shared" ref="F18:F21" si="4">IFERROR(E18*C18,"")</f>
        <v>421.8</v>
      </c>
      <c r="G18" s="31">
        <f t="shared" ref="G18:G21" si="5">IFERROR(F18/$F$78,"")</f>
        <v>3.9284586083810698E-2</v>
      </c>
      <c r="H18" s="32" t="s">
        <v>57</v>
      </c>
      <c r="I18" s="32"/>
      <c r="J18" s="33"/>
    </row>
    <row r="19" spans="1:12" ht="13.5" x14ac:dyDescent="0.25">
      <c r="A19" s="28">
        <v>175</v>
      </c>
      <c r="B19" s="16" t="s">
        <v>65</v>
      </c>
      <c r="C19" s="29">
        <f t="shared" si="3"/>
        <v>175</v>
      </c>
      <c r="D19" s="29" t="s">
        <v>142</v>
      </c>
      <c r="E19" s="30">
        <f>+'[3]Costo Crema Dulce Caramelo'!$E$69</f>
        <v>2.3189899999999999</v>
      </c>
      <c r="F19" s="30">
        <f t="shared" si="4"/>
        <v>405.82324999999997</v>
      </c>
      <c r="G19" s="31">
        <f t="shared" si="5"/>
        <v>3.7796582265141841E-2</v>
      </c>
      <c r="H19" s="32" t="s">
        <v>143</v>
      </c>
      <c r="I19" s="32"/>
      <c r="J19" s="33"/>
    </row>
    <row r="20" spans="1:12" ht="13.5" x14ac:dyDescent="0.25">
      <c r="A20" s="28">
        <v>100</v>
      </c>
      <c r="B20" s="16" t="s">
        <v>64</v>
      </c>
      <c r="C20" s="29">
        <f t="shared" si="3"/>
        <v>100</v>
      </c>
      <c r="D20" s="29" t="s">
        <v>142</v>
      </c>
      <c r="E20" s="30">
        <f>+'[3]Costo Procesado'!$E$69</f>
        <v>6.0421052631578949</v>
      </c>
      <c r="F20" s="30">
        <f t="shared" si="4"/>
        <v>604.21052631578948</v>
      </c>
      <c r="G20" s="31">
        <f t="shared" si="5"/>
        <v>5.627349557562162E-2</v>
      </c>
      <c r="H20" s="32" t="s">
        <v>143</v>
      </c>
      <c r="I20" s="32"/>
      <c r="J20" s="33"/>
    </row>
    <row r="21" spans="1:12" ht="13.5" x14ac:dyDescent="0.25">
      <c r="A21" s="28">
        <v>432</v>
      </c>
      <c r="B21" s="16" t="s">
        <v>68</v>
      </c>
      <c r="C21" s="29">
        <f t="shared" si="3"/>
        <v>432</v>
      </c>
      <c r="D21" s="29" t="s">
        <v>142</v>
      </c>
      <c r="E21" s="30">
        <v>2.2999999999999998</v>
      </c>
      <c r="F21" s="30">
        <f t="shared" si="4"/>
        <v>993.59999999999991</v>
      </c>
      <c r="G21" s="31">
        <f t="shared" si="5"/>
        <v>9.2539508612788771E-2</v>
      </c>
      <c r="H21" s="32" t="s">
        <v>67</v>
      </c>
      <c r="I21" s="32"/>
      <c r="J21" s="33"/>
    </row>
    <row r="22" spans="1:12" ht="13.5" x14ac:dyDescent="0.25">
      <c r="A22" s="28">
        <v>144</v>
      </c>
      <c r="B22" s="16" t="s">
        <v>71</v>
      </c>
      <c r="C22" s="29">
        <f t="shared" ref="C22:C28" si="6">+A22</f>
        <v>144</v>
      </c>
      <c r="D22" s="29" t="s">
        <v>142</v>
      </c>
      <c r="E22" s="30">
        <v>3.14</v>
      </c>
      <c r="F22" s="30">
        <f t="shared" ref="F22:F28" si="7">IFERROR(E22*C22,"")</f>
        <v>452.16</v>
      </c>
      <c r="G22" s="31">
        <f t="shared" ref="G22:G28" si="8">IFERROR(F22/$F$78,"")</f>
        <v>4.2112182180312575E-2</v>
      </c>
      <c r="H22" s="32" t="s">
        <v>70</v>
      </c>
      <c r="I22" s="32"/>
      <c r="J22" s="33"/>
    </row>
    <row r="23" spans="1:12" ht="13.5" x14ac:dyDescent="0.25">
      <c r="A23" s="28">
        <v>144</v>
      </c>
      <c r="B23" s="16" t="s">
        <v>73</v>
      </c>
      <c r="C23" s="29">
        <f>+A23</f>
        <v>144</v>
      </c>
      <c r="D23" s="29" t="s">
        <v>142</v>
      </c>
      <c r="E23" s="30">
        <v>4.6900000000000004</v>
      </c>
      <c r="F23" s="30">
        <f>IFERROR(E23*C23,"")</f>
        <v>675.36</v>
      </c>
      <c r="G23" s="31">
        <f t="shared" si="8"/>
        <v>6.2900042810721646E-2</v>
      </c>
      <c r="H23" s="32" t="s">
        <v>72</v>
      </c>
      <c r="I23" s="32"/>
      <c r="J23" s="33"/>
    </row>
    <row r="24" spans="1:12" ht="13.5" x14ac:dyDescent="0.25">
      <c r="A24" s="28">
        <v>144</v>
      </c>
      <c r="B24" s="16" t="s">
        <v>75</v>
      </c>
      <c r="C24" s="29">
        <f>+A24</f>
        <v>144</v>
      </c>
      <c r="D24" s="29" t="s">
        <v>142</v>
      </c>
      <c r="E24" s="30">
        <v>3.42</v>
      </c>
      <c r="F24" s="30">
        <f>IFERROR(E24*C24,"")</f>
        <v>492.48</v>
      </c>
      <c r="G24" s="31">
        <f t="shared" si="8"/>
        <v>4.5867408616773568E-2</v>
      </c>
      <c r="H24" s="32" t="s">
        <v>74</v>
      </c>
      <c r="I24" s="32"/>
      <c r="J24" s="33"/>
    </row>
    <row r="25" spans="1:12" ht="13.5" x14ac:dyDescent="0.25">
      <c r="A25" s="28">
        <v>48</v>
      </c>
      <c r="B25" s="16" t="s">
        <v>77</v>
      </c>
      <c r="C25" s="29">
        <f>+A25</f>
        <v>48</v>
      </c>
      <c r="D25" s="29" t="s">
        <v>142</v>
      </c>
      <c r="E25" s="30">
        <f>+'[3]Costo Mezcla Mani Arroz'!$E$69</f>
        <v>3.0487799999999998</v>
      </c>
      <c r="F25" s="30">
        <f>IFERROR(E25*C25,"")</f>
        <v>146.34143999999998</v>
      </c>
      <c r="G25" s="31">
        <f t="shared" si="8"/>
        <v>1.3629594351135175E-2</v>
      </c>
      <c r="H25" s="32" t="s">
        <v>143</v>
      </c>
      <c r="I25" s="32"/>
      <c r="J25" s="33"/>
    </row>
    <row r="26" spans="1:12" ht="13.5" x14ac:dyDescent="0.25">
      <c r="A26" s="28">
        <v>156</v>
      </c>
      <c r="B26" s="16" t="s">
        <v>80</v>
      </c>
      <c r="C26" s="29">
        <f t="shared" si="6"/>
        <v>156</v>
      </c>
      <c r="D26" s="29" t="s">
        <v>142</v>
      </c>
      <c r="E26" s="30">
        <f>+'[3]Costo Pelado choco Choys'!$E$69</f>
        <v>8.6061111111111117</v>
      </c>
      <c r="F26" s="30">
        <f t="shared" si="7"/>
        <v>1342.5533333333335</v>
      </c>
      <c r="G26" s="31">
        <f t="shared" si="8"/>
        <v>0.1250394784149842</v>
      </c>
      <c r="H26" s="32" t="s">
        <v>143</v>
      </c>
      <c r="I26" s="32"/>
      <c r="J26" s="33"/>
    </row>
    <row r="27" spans="1:12" ht="13.5" x14ac:dyDescent="0.25">
      <c r="A27" s="28"/>
      <c r="B27" s="16" t="str">
        <f>IFERROR(VLOOKUP(H27,[1]SEMIELABORADOS!$A$2:$M$6000,2,0),"")</f>
        <v/>
      </c>
      <c r="C27" s="29">
        <f t="shared" si="6"/>
        <v>0</v>
      </c>
      <c r="D27" s="29" t="str">
        <f>IFERROR(VLOOKUP(H27,[1]SEMIELABORADOS!$A$2:$M$6000,6,0),"")</f>
        <v/>
      </c>
      <c r="E27" s="30" t="str">
        <f>IFERROR(VLOOKUP(H27,[1]SEMIELABORADOS!$A$2:$H$65536,8,0),"")</f>
        <v/>
      </c>
      <c r="F27" s="30" t="str">
        <f t="shared" si="7"/>
        <v/>
      </c>
      <c r="G27" s="31" t="str">
        <f t="shared" si="8"/>
        <v/>
      </c>
      <c r="H27" s="32"/>
      <c r="I27" s="32"/>
      <c r="J27" s="33"/>
    </row>
    <row r="28" spans="1:12" ht="13.5" x14ac:dyDescent="0.25">
      <c r="A28" s="28"/>
      <c r="B28" s="16" t="str">
        <f>IFERROR(VLOOKUP(H28,[1]SEMIELABORADOS!$A$2:$M$6000,2,0),"")</f>
        <v/>
      </c>
      <c r="C28" s="29">
        <f t="shared" si="6"/>
        <v>0</v>
      </c>
      <c r="D28" s="29" t="str">
        <f>IFERROR(VLOOKUP(H28,[1]SEMIELABORADOS!$A$2:$M$6000,6,0),"")</f>
        <v/>
      </c>
      <c r="E28" s="30" t="str">
        <f>IFERROR(VLOOKUP(H28,[1]SEMIELABORADOS!$A$2:$H$65536,8,0),"")</f>
        <v/>
      </c>
      <c r="F28" s="30" t="str">
        <f t="shared" si="7"/>
        <v/>
      </c>
      <c r="G28" s="31" t="str">
        <f t="shared" si="8"/>
        <v/>
      </c>
      <c r="H28" s="32"/>
      <c r="I28" s="32"/>
      <c r="J28" s="33"/>
    </row>
    <row r="29" spans="1:12" ht="14.25" thickBot="1" x14ac:dyDescent="0.3">
      <c r="A29" s="28"/>
      <c r="C29" s="29"/>
      <c r="D29" s="29"/>
      <c r="E29" s="30"/>
      <c r="F29" s="30"/>
      <c r="G29" s="31"/>
      <c r="H29" s="32"/>
      <c r="I29" s="32"/>
      <c r="J29" s="33"/>
    </row>
    <row r="30" spans="1:12" ht="26.25" thickBot="1" x14ac:dyDescent="0.25">
      <c r="A30" s="23" t="s">
        <v>94</v>
      </c>
      <c r="B30" s="24" t="s">
        <v>102</v>
      </c>
      <c r="C30" s="24" t="s">
        <v>94</v>
      </c>
      <c r="D30" s="25" t="s">
        <v>96</v>
      </c>
      <c r="E30" s="25" t="s">
        <v>97</v>
      </c>
      <c r="F30" s="25" t="s">
        <v>98</v>
      </c>
      <c r="G30" s="25" t="s">
        <v>99</v>
      </c>
      <c r="H30" s="26" t="s">
        <v>100</v>
      </c>
      <c r="I30" s="27"/>
    </row>
    <row r="31" spans="1:12" ht="13.5" x14ac:dyDescent="0.25">
      <c r="A31" s="28">
        <v>24</v>
      </c>
      <c r="B31" s="34" t="str">
        <f>IFERROR(VLOOKUP(H31,'[1]Consolidado MP Planta'!$A$2:$M$823,3,0),"")</f>
        <v>BURBUJA I-3 ALTA (CAJA:250 UND)</v>
      </c>
      <c r="C31" s="29">
        <f t="shared" ref="C31:C36" si="9">+A31</f>
        <v>24</v>
      </c>
      <c r="D31" s="30" t="s">
        <v>146</v>
      </c>
      <c r="E31" s="30">
        <v>35</v>
      </c>
      <c r="F31" s="30">
        <f t="shared" ref="F31:F36" si="10">IFERROR(C31*E31,"")</f>
        <v>840</v>
      </c>
      <c r="G31" s="31">
        <f t="shared" ref="G31:G36" si="11">IFERROR(F31/$F$78,"")</f>
        <v>7.823388409293737E-2</v>
      </c>
      <c r="H31" s="35" t="s">
        <v>37</v>
      </c>
      <c r="I31" s="35"/>
      <c r="J31" s="33"/>
      <c r="K31" s="136"/>
      <c r="L31" s="136"/>
    </row>
    <row r="32" spans="1:12" ht="13.5" x14ac:dyDescent="0.25">
      <c r="A32" s="28">
        <v>24</v>
      </c>
      <c r="B32" s="34" t="str">
        <f>IFERROR(VLOOKUP(H32,'[1]Consolidado MP Planta'!$A$2:$M$823,3,0),"")</f>
        <v>ETIQUETA BLANCA R-153 (UND)</v>
      </c>
      <c r="C32" s="29">
        <f t="shared" si="9"/>
        <v>24</v>
      </c>
      <c r="D32" s="30" t="str">
        <f>IFERROR(VLOOKUP(H32,'[1]Consolidado MP Planta'!$A$2:$M$823,13,0),"")</f>
        <v>Und</v>
      </c>
      <c r="E32" s="30">
        <v>0.39</v>
      </c>
      <c r="F32" s="30">
        <f t="shared" si="10"/>
        <v>9.36</v>
      </c>
      <c r="G32" s="31">
        <f t="shared" si="11"/>
        <v>8.7174899417844496E-4</v>
      </c>
      <c r="H32" s="35" t="s">
        <v>145</v>
      </c>
      <c r="I32" s="35"/>
      <c r="J32" s="33"/>
      <c r="K32" s="136"/>
      <c r="L32" s="136"/>
    </row>
    <row r="33" spans="1:12" ht="13.5" x14ac:dyDescent="0.25">
      <c r="A33" s="28">
        <v>24</v>
      </c>
      <c r="B33" s="34" t="str">
        <f>IFERROR(VLOOKUP(H33,'[1]Consolidado MP Planta'!$A$2:$M$823,3,0),"")</f>
        <v>ETIQUETA BLANCA 2 5/8X1 15/16 (UND)</v>
      </c>
      <c r="C33" s="29">
        <f t="shared" si="9"/>
        <v>24</v>
      </c>
      <c r="D33" s="30" t="str">
        <f>IFERROR(VLOOKUP(H33,'[1]Consolidado MP Planta'!$A$2:$M$823,13,0),"")</f>
        <v>Und</v>
      </c>
      <c r="E33" s="30">
        <v>2.13</v>
      </c>
      <c r="F33" s="30">
        <f t="shared" si="10"/>
        <v>51.12</v>
      </c>
      <c r="G33" s="31">
        <f t="shared" si="11"/>
        <v>4.7610906605130452E-3</v>
      </c>
      <c r="H33" s="35" t="s">
        <v>34</v>
      </c>
      <c r="I33" s="35"/>
      <c r="J33" s="33"/>
      <c r="K33" s="136"/>
      <c r="L33" s="136"/>
    </row>
    <row r="34" spans="1:12" ht="13.5" x14ac:dyDescent="0.25">
      <c r="A34" s="28">
        <v>24</v>
      </c>
      <c r="B34" s="34" t="str">
        <f>IFERROR(VLOOKUP(H34,'[1]Consolidado MP Planta'!$A$2:$M$823,3,0),"")</f>
        <v>ETIQ.FECHA VENCIMIENTO BLANCO (ROLLO)</v>
      </c>
      <c r="C34" s="29">
        <f t="shared" si="9"/>
        <v>24</v>
      </c>
      <c r="D34" s="30" t="str">
        <f>IFERROR(VLOOKUP(H34,'[1]Consolidado MP Planta'!$A$2:$M$823,13,0),"")</f>
        <v>Gramos</v>
      </c>
      <c r="E34" s="30">
        <v>0.33</v>
      </c>
      <c r="F34" s="30">
        <f t="shared" si="10"/>
        <v>7.92</v>
      </c>
      <c r="G34" s="31">
        <f t="shared" si="11"/>
        <v>7.3763376430483808E-4</v>
      </c>
      <c r="H34" s="35" t="s">
        <v>28</v>
      </c>
      <c r="I34" s="35"/>
      <c r="J34" s="33"/>
      <c r="K34" s="136"/>
      <c r="L34" s="136"/>
    </row>
    <row r="35" spans="1:12" ht="13.5" x14ac:dyDescent="0.25">
      <c r="A35" s="28">
        <v>24</v>
      </c>
      <c r="B35" s="34" t="s">
        <v>82</v>
      </c>
      <c r="C35" s="29">
        <f t="shared" si="9"/>
        <v>24</v>
      </c>
      <c r="D35" s="30" t="s">
        <v>146</v>
      </c>
      <c r="E35" s="30">
        <v>20</v>
      </c>
      <c r="F35" s="30">
        <f t="shared" si="10"/>
        <v>480</v>
      </c>
      <c r="G35" s="31">
        <f t="shared" si="11"/>
        <v>4.4705076624535642E-2</v>
      </c>
      <c r="H35" s="35"/>
      <c r="I35" s="35"/>
      <c r="J35" s="33"/>
      <c r="K35" s="36"/>
      <c r="L35" s="37"/>
    </row>
    <row r="36" spans="1:12" ht="13.5" x14ac:dyDescent="0.25">
      <c r="A36" s="28"/>
      <c r="B36" s="34" t="str">
        <f>IFERROR(VLOOKUP(H36,'[1]Consolidado MP Planta'!$A$2:$M$823,3,0),"")</f>
        <v/>
      </c>
      <c r="C36" s="29">
        <f t="shared" si="9"/>
        <v>0</v>
      </c>
      <c r="D36" s="30" t="str">
        <f>IFERROR(VLOOKUP(H36,'[1]Consolidado MP Planta'!$A$2:$M$823,13,0),"")</f>
        <v/>
      </c>
      <c r="E36" s="30" t="str">
        <f>IFERROR(VLOOKUP(H36,'[1]Consolidado MP Planta'!$A$2:$M$823,12,0),"")</f>
        <v/>
      </c>
      <c r="F36" s="30" t="str">
        <f t="shared" si="10"/>
        <v/>
      </c>
      <c r="G36" s="31" t="str">
        <f t="shared" si="11"/>
        <v/>
      </c>
      <c r="H36" s="35"/>
      <c r="I36" s="35"/>
      <c r="J36" s="33"/>
    </row>
    <row r="37" spans="1:12" ht="14.25" thickBot="1" x14ac:dyDescent="0.3">
      <c r="A37" s="28"/>
      <c r="B37" s="34"/>
      <c r="C37" s="29"/>
      <c r="D37" s="30"/>
      <c r="E37" s="30"/>
      <c r="F37" s="30"/>
      <c r="G37" s="31"/>
      <c r="H37" s="35"/>
      <c r="I37" s="35"/>
      <c r="J37" s="33"/>
    </row>
    <row r="38" spans="1:12" ht="26.25" thickBot="1" x14ac:dyDescent="0.25">
      <c r="A38" s="23" t="s">
        <v>94</v>
      </c>
      <c r="B38" s="24" t="s">
        <v>103</v>
      </c>
      <c r="C38" s="24" t="s">
        <v>94</v>
      </c>
      <c r="D38" s="25" t="s">
        <v>96</v>
      </c>
      <c r="E38" s="25" t="s">
        <v>97</v>
      </c>
      <c r="F38" s="25" t="s">
        <v>98</v>
      </c>
      <c r="G38" s="25" t="s">
        <v>99</v>
      </c>
      <c r="H38" s="26" t="s">
        <v>100</v>
      </c>
      <c r="I38" s="35"/>
      <c r="J38" s="33"/>
    </row>
    <row r="39" spans="1:12" ht="13.5" x14ac:dyDescent="0.25">
      <c r="A39" s="28">
        <f>+A17</f>
        <v>1</v>
      </c>
      <c r="B39" s="34" t="s">
        <v>41</v>
      </c>
      <c r="C39" s="29">
        <f>+A39</f>
        <v>1</v>
      </c>
      <c r="D39" s="30" t="s">
        <v>141</v>
      </c>
      <c r="E39" s="30">
        <v>16.579999999999998</v>
      </c>
      <c r="F39" s="30">
        <f>IFERROR(E39*C39,"")</f>
        <v>16.579999999999998</v>
      </c>
      <c r="G39" s="31">
        <f>IFERROR(F39/$F$78,"")</f>
        <v>1.5441878550725018E-3</v>
      </c>
      <c r="H39" s="35" t="s">
        <v>42</v>
      </c>
      <c r="I39" s="35"/>
      <c r="J39" s="33"/>
    </row>
    <row r="40" spans="1:12" ht="13.5" x14ac:dyDescent="0.25">
      <c r="A40" s="28">
        <f t="shared" ref="A40:A49" si="12">+A18</f>
        <v>380</v>
      </c>
      <c r="B40" s="34" t="s">
        <v>58</v>
      </c>
      <c r="C40" s="29">
        <f t="shared" ref="C40:C49" si="13">+A40</f>
        <v>380</v>
      </c>
      <c r="D40" s="30" t="s">
        <v>142</v>
      </c>
      <c r="E40" s="30">
        <v>0.01</v>
      </c>
      <c r="F40" s="30">
        <f t="shared" ref="F40:F49" si="14">IFERROR(E40*C40,"")</f>
        <v>3.8000000000000003</v>
      </c>
      <c r="G40" s="31">
        <f t="shared" ref="G40:G49" si="15">IFERROR(F40/$F$78,"")</f>
        <v>3.5391518994424051E-4</v>
      </c>
      <c r="H40" s="35" t="s">
        <v>57</v>
      </c>
      <c r="I40" s="35"/>
      <c r="J40" s="33"/>
    </row>
    <row r="41" spans="1:12" ht="13.5" x14ac:dyDescent="0.25">
      <c r="A41" s="28">
        <f t="shared" si="12"/>
        <v>175</v>
      </c>
      <c r="B41" s="34" t="s">
        <v>65</v>
      </c>
      <c r="C41" s="29">
        <f t="shared" si="13"/>
        <v>175</v>
      </c>
      <c r="D41" s="30" t="s">
        <v>142</v>
      </c>
      <c r="E41" s="30">
        <f>+'[3]Costo Crema Dulce Caramelo'!$E$76</f>
        <v>0</v>
      </c>
      <c r="F41" s="30">
        <f t="shared" si="14"/>
        <v>0</v>
      </c>
      <c r="G41" s="31">
        <f t="shared" si="15"/>
        <v>0</v>
      </c>
      <c r="H41" s="35" t="s">
        <v>143</v>
      </c>
      <c r="I41" s="35"/>
      <c r="J41" s="33"/>
    </row>
    <row r="42" spans="1:12" ht="13.5" x14ac:dyDescent="0.25">
      <c r="A42" s="28">
        <f t="shared" si="12"/>
        <v>100</v>
      </c>
      <c r="B42" s="34" t="s">
        <v>64</v>
      </c>
      <c r="C42" s="29">
        <f t="shared" si="13"/>
        <v>100</v>
      </c>
      <c r="D42" s="30" t="s">
        <v>142</v>
      </c>
      <c r="E42" s="30">
        <f>+'[3]Costo Procesado'!$E$76</f>
        <v>5.9747368421052632E-2</v>
      </c>
      <c r="F42" s="30">
        <f t="shared" si="14"/>
        <v>5.9747368421052629</v>
      </c>
      <c r="G42" s="31">
        <f t="shared" si="15"/>
        <v>5.564605590369831E-4</v>
      </c>
      <c r="H42" s="35" t="s">
        <v>143</v>
      </c>
      <c r="I42" s="35"/>
      <c r="J42" s="33"/>
    </row>
    <row r="43" spans="1:12" ht="13.5" x14ac:dyDescent="0.25">
      <c r="A43" s="28">
        <f t="shared" si="12"/>
        <v>432</v>
      </c>
      <c r="B43" s="34" t="s">
        <v>68</v>
      </c>
      <c r="C43" s="29">
        <f t="shared" si="13"/>
        <v>432</v>
      </c>
      <c r="D43" s="30" t="s">
        <v>142</v>
      </c>
      <c r="E43" s="30">
        <v>0</v>
      </c>
      <c r="F43" s="30">
        <f t="shared" si="14"/>
        <v>0</v>
      </c>
      <c r="G43" s="31">
        <f t="shared" si="15"/>
        <v>0</v>
      </c>
      <c r="H43" s="35" t="s">
        <v>67</v>
      </c>
      <c r="I43" s="35"/>
      <c r="J43" s="33"/>
    </row>
    <row r="44" spans="1:12" ht="13.5" x14ac:dyDescent="0.25">
      <c r="A44" s="28">
        <f t="shared" si="12"/>
        <v>144</v>
      </c>
      <c r="B44" s="34" t="s">
        <v>71</v>
      </c>
      <c r="C44" s="29">
        <f t="shared" si="13"/>
        <v>144</v>
      </c>
      <c r="D44" s="30" t="s">
        <v>142</v>
      </c>
      <c r="E44" s="30">
        <v>0</v>
      </c>
      <c r="F44" s="30">
        <f t="shared" si="14"/>
        <v>0</v>
      </c>
      <c r="G44" s="31">
        <f t="shared" si="15"/>
        <v>0</v>
      </c>
      <c r="H44" s="35" t="s">
        <v>70</v>
      </c>
      <c r="I44" s="35"/>
      <c r="J44" s="33"/>
    </row>
    <row r="45" spans="1:12" ht="13.5" x14ac:dyDescent="0.25">
      <c r="A45" s="28">
        <f t="shared" si="12"/>
        <v>144</v>
      </c>
      <c r="B45" s="34" t="s">
        <v>73</v>
      </c>
      <c r="C45" s="29">
        <f t="shared" si="13"/>
        <v>144</v>
      </c>
      <c r="D45" s="30" t="s">
        <v>142</v>
      </c>
      <c r="E45" s="30">
        <v>0</v>
      </c>
      <c r="F45" s="30">
        <f t="shared" si="14"/>
        <v>0</v>
      </c>
      <c r="G45" s="31">
        <f t="shared" si="15"/>
        <v>0</v>
      </c>
      <c r="H45" s="35" t="s">
        <v>72</v>
      </c>
      <c r="I45" s="35"/>
      <c r="J45" s="33"/>
    </row>
    <row r="46" spans="1:12" ht="13.5" x14ac:dyDescent="0.25">
      <c r="A46" s="28">
        <f t="shared" si="12"/>
        <v>144</v>
      </c>
      <c r="B46" s="34" t="s">
        <v>75</v>
      </c>
      <c r="C46" s="29">
        <f t="shared" si="13"/>
        <v>144</v>
      </c>
      <c r="D46" s="30" t="s">
        <v>142</v>
      </c>
      <c r="E46" s="30">
        <v>0</v>
      </c>
      <c r="F46" s="30">
        <f t="shared" si="14"/>
        <v>0</v>
      </c>
      <c r="G46" s="31">
        <f t="shared" si="15"/>
        <v>0</v>
      </c>
      <c r="H46" s="35" t="s">
        <v>74</v>
      </c>
      <c r="I46" s="35"/>
      <c r="J46" s="33"/>
    </row>
    <row r="47" spans="1:12" ht="13.5" x14ac:dyDescent="0.25">
      <c r="A47" s="28">
        <f t="shared" si="12"/>
        <v>48</v>
      </c>
      <c r="B47" s="34" t="s">
        <v>77</v>
      </c>
      <c r="C47" s="29">
        <f t="shared" si="13"/>
        <v>48</v>
      </c>
      <c r="D47" s="30" t="s">
        <v>142</v>
      </c>
      <c r="E47" s="30">
        <f>+'[3]Costo Mezcla Mani Arroz'!$E$76</f>
        <v>3.4269999999999995E-2</v>
      </c>
      <c r="F47" s="30">
        <f t="shared" si="14"/>
        <v>1.6449599999999998</v>
      </c>
      <c r="G47" s="31">
        <f t="shared" si="15"/>
        <v>1.5320429759228363E-4</v>
      </c>
      <c r="H47" s="35" t="s">
        <v>143</v>
      </c>
      <c r="I47" s="35"/>
      <c r="J47" s="33"/>
    </row>
    <row r="48" spans="1:12" ht="13.5" x14ac:dyDescent="0.25">
      <c r="A48" s="28">
        <f t="shared" si="12"/>
        <v>156</v>
      </c>
      <c r="B48" s="34" t="s">
        <v>80</v>
      </c>
      <c r="C48" s="29">
        <f t="shared" si="13"/>
        <v>156</v>
      </c>
      <c r="D48" s="30" t="s">
        <v>142</v>
      </c>
      <c r="E48" s="30">
        <f>+'[3]Costo Pelado choco Choys'!$E$76</f>
        <v>0.14480000000000001</v>
      </c>
      <c r="F48" s="30">
        <f t="shared" si="14"/>
        <v>22.588800000000003</v>
      </c>
      <c r="G48" s="31">
        <f t="shared" si="15"/>
        <v>2.1038209059506476E-3</v>
      </c>
      <c r="H48" s="35" t="s">
        <v>143</v>
      </c>
      <c r="I48" s="35"/>
      <c r="J48" s="33"/>
    </row>
    <row r="49" spans="1:13" ht="13.5" x14ac:dyDescent="0.25">
      <c r="A49" s="28">
        <f t="shared" si="12"/>
        <v>0</v>
      </c>
      <c r="B49" s="34" t="str">
        <f>IFERROR(VLOOKUP(H49,[1]SEMIELABORADOS!$A$2:$M$6000,2,0),"")</f>
        <v/>
      </c>
      <c r="C49" s="29">
        <f t="shared" si="13"/>
        <v>0</v>
      </c>
      <c r="D49" s="30" t="str">
        <f>IFERROR(VLOOKUP(H49,[1]SEMIELABORADOS!$A$2:$M$6000,6,0),"")</f>
        <v/>
      </c>
      <c r="E49" s="30" t="str">
        <f>IFERROR(VLOOKUP(H49,[1]SEMIELABORADOS!$A$2:$M$65536,10,0),"")</f>
        <v/>
      </c>
      <c r="F49" s="30" t="str">
        <f t="shared" si="14"/>
        <v/>
      </c>
      <c r="G49" s="31" t="str">
        <f t="shared" si="15"/>
        <v/>
      </c>
      <c r="H49" s="35"/>
      <c r="I49" s="35"/>
      <c r="J49" s="33"/>
    </row>
    <row r="50" spans="1:13" ht="14.25" thickBot="1" x14ac:dyDescent="0.3">
      <c r="A50" s="28"/>
      <c r="B50" s="34"/>
      <c r="C50" s="29"/>
      <c r="D50" s="30"/>
      <c r="E50" s="30"/>
      <c r="F50" s="30"/>
      <c r="G50" s="31"/>
      <c r="H50" s="35"/>
      <c r="I50" s="35"/>
      <c r="J50" s="33"/>
    </row>
    <row r="51" spans="1:13" ht="26.25" thickBot="1" x14ac:dyDescent="0.25">
      <c r="A51" s="23" t="s">
        <v>94</v>
      </c>
      <c r="B51" s="24" t="s">
        <v>104</v>
      </c>
      <c r="C51" s="24" t="s">
        <v>94</v>
      </c>
      <c r="D51" s="25" t="s">
        <v>96</v>
      </c>
      <c r="E51" s="25" t="s">
        <v>97</v>
      </c>
      <c r="F51" s="25" t="s">
        <v>98</v>
      </c>
      <c r="G51" s="25" t="s">
        <v>99</v>
      </c>
      <c r="H51" s="26" t="s">
        <v>100</v>
      </c>
      <c r="I51" s="27"/>
      <c r="J51" s="33"/>
    </row>
    <row r="52" spans="1:13" ht="13.5" x14ac:dyDescent="0.25">
      <c r="A52" s="28">
        <f>+A39</f>
        <v>1</v>
      </c>
      <c r="B52" s="34" t="s">
        <v>41</v>
      </c>
      <c r="C52" s="29">
        <f>+A52</f>
        <v>1</v>
      </c>
      <c r="D52" s="30" t="s">
        <v>141</v>
      </c>
      <c r="E52" s="30">
        <v>64.89</v>
      </c>
      <c r="F52" s="30">
        <f>IFERROR(E52*C52,"")</f>
        <v>64.89</v>
      </c>
      <c r="G52" s="31">
        <f>IFERROR(F52/$F$78,"")</f>
        <v>6.0435675461794122E-3</v>
      </c>
      <c r="H52" s="35" t="s">
        <v>42</v>
      </c>
      <c r="I52" s="27"/>
      <c r="J52" s="33"/>
    </row>
    <row r="53" spans="1:13" ht="13.5" x14ac:dyDescent="0.25">
      <c r="A53" s="28">
        <f t="shared" ref="A53:A62" si="16">+A40</f>
        <v>380</v>
      </c>
      <c r="B53" s="34" t="s">
        <v>58</v>
      </c>
      <c r="C53" s="29">
        <f t="shared" ref="C53:C62" si="17">+A53</f>
        <v>380</v>
      </c>
      <c r="D53" s="30" t="s">
        <v>142</v>
      </c>
      <c r="E53" s="30">
        <v>0.13</v>
      </c>
      <c r="F53" s="30">
        <f t="shared" ref="F53:F62" si="18">IFERROR(E53*C53,"")</f>
        <v>49.4</v>
      </c>
      <c r="G53" s="31">
        <f t="shared" ref="G53:G62" si="19">IFERROR(F53/$F$78,"")</f>
        <v>4.6008974692751262E-3</v>
      </c>
      <c r="H53" s="35" t="s">
        <v>57</v>
      </c>
      <c r="I53" s="27"/>
      <c r="J53" s="33"/>
    </row>
    <row r="54" spans="1:13" ht="13.5" x14ac:dyDescent="0.25">
      <c r="A54" s="28">
        <f t="shared" si="16"/>
        <v>175</v>
      </c>
      <c r="B54" s="34" t="s">
        <v>65</v>
      </c>
      <c r="C54" s="29">
        <f t="shared" si="17"/>
        <v>175</v>
      </c>
      <c r="D54" s="30" t="s">
        <v>142</v>
      </c>
      <c r="E54" s="30">
        <f>+'[3]Costo Crema Dulce Caramelo'!$E$74</f>
        <v>0.16400000000000001</v>
      </c>
      <c r="F54" s="30">
        <f t="shared" si="18"/>
        <v>28.700000000000003</v>
      </c>
      <c r="G54" s="31">
        <f t="shared" si="19"/>
        <v>2.6729910398420272E-3</v>
      </c>
      <c r="H54" s="35" t="s">
        <v>143</v>
      </c>
      <c r="I54" s="27"/>
      <c r="J54" s="33"/>
    </row>
    <row r="55" spans="1:13" ht="13.5" x14ac:dyDescent="0.25">
      <c r="A55" s="28">
        <f t="shared" si="16"/>
        <v>100</v>
      </c>
      <c r="B55" s="34" t="s">
        <v>64</v>
      </c>
      <c r="C55" s="29">
        <f t="shared" si="17"/>
        <v>100</v>
      </c>
      <c r="D55" s="30" t="s">
        <v>142</v>
      </c>
      <c r="E55" s="30">
        <f>+'[3]Costo Procesado'!$E$74</f>
        <v>0.57526315789473681</v>
      </c>
      <c r="F55" s="30">
        <f t="shared" si="18"/>
        <v>57.526315789473678</v>
      </c>
      <c r="G55" s="31">
        <f t="shared" si="19"/>
        <v>5.3577465735326155E-3</v>
      </c>
      <c r="H55" s="35" t="s">
        <v>143</v>
      </c>
      <c r="I55" s="27"/>
      <c r="J55" s="33"/>
    </row>
    <row r="56" spans="1:13" ht="13.5" x14ac:dyDescent="0.25">
      <c r="A56" s="28">
        <f t="shared" si="16"/>
        <v>432</v>
      </c>
      <c r="B56" s="34" t="s">
        <v>68</v>
      </c>
      <c r="C56" s="29">
        <f t="shared" si="17"/>
        <v>432</v>
      </c>
      <c r="D56" s="30" t="s">
        <v>142</v>
      </c>
      <c r="E56" s="30">
        <v>0.01</v>
      </c>
      <c r="F56" s="30">
        <f t="shared" si="18"/>
        <v>4.32</v>
      </c>
      <c r="G56" s="31">
        <f t="shared" si="19"/>
        <v>4.0234568962082081E-4</v>
      </c>
      <c r="H56" s="35" t="s">
        <v>67</v>
      </c>
      <c r="I56" s="27"/>
      <c r="J56" s="33"/>
    </row>
    <row r="57" spans="1:13" ht="13.5" x14ac:dyDescent="0.25">
      <c r="A57" s="28">
        <f t="shared" si="16"/>
        <v>144</v>
      </c>
      <c r="B57" s="34" t="s">
        <v>71</v>
      </c>
      <c r="C57" s="29">
        <f t="shared" si="17"/>
        <v>144</v>
      </c>
      <c r="D57" s="30" t="s">
        <v>144</v>
      </c>
      <c r="E57" s="30">
        <v>0.04</v>
      </c>
      <c r="F57" s="30">
        <f t="shared" si="18"/>
        <v>5.76</v>
      </c>
      <c r="G57" s="31">
        <f t="shared" si="19"/>
        <v>5.3646091949442764E-4</v>
      </c>
      <c r="H57" s="35" t="s">
        <v>70</v>
      </c>
      <c r="I57" s="27"/>
      <c r="J57" s="33"/>
      <c r="M57" s="38"/>
    </row>
    <row r="58" spans="1:13" ht="13.5" x14ac:dyDescent="0.25">
      <c r="A58" s="28">
        <f t="shared" si="16"/>
        <v>144</v>
      </c>
      <c r="B58" s="34" t="s">
        <v>73</v>
      </c>
      <c r="C58" s="29">
        <f t="shared" si="17"/>
        <v>144</v>
      </c>
      <c r="D58" s="30" t="s">
        <v>142</v>
      </c>
      <c r="E58" s="30">
        <v>0.04</v>
      </c>
      <c r="F58" s="30">
        <f t="shared" si="18"/>
        <v>5.76</v>
      </c>
      <c r="G58" s="31">
        <f t="shared" si="19"/>
        <v>5.3646091949442764E-4</v>
      </c>
      <c r="H58" s="35" t="s">
        <v>72</v>
      </c>
      <c r="I58" s="27"/>
      <c r="J58" s="33"/>
    </row>
    <row r="59" spans="1:13" ht="13.5" x14ac:dyDescent="0.25">
      <c r="A59" s="28">
        <f t="shared" si="16"/>
        <v>144</v>
      </c>
      <c r="B59" s="34" t="s">
        <v>75</v>
      </c>
      <c r="C59" s="29">
        <f t="shared" si="17"/>
        <v>144</v>
      </c>
      <c r="D59" s="30" t="s">
        <v>142</v>
      </c>
      <c r="E59" s="30">
        <v>0.13</v>
      </c>
      <c r="F59" s="30">
        <f t="shared" si="18"/>
        <v>18.72</v>
      </c>
      <c r="G59" s="31">
        <f t="shared" si="19"/>
        <v>1.7434979883568899E-3</v>
      </c>
      <c r="H59" s="35" t="s">
        <v>74</v>
      </c>
      <c r="I59" s="27"/>
      <c r="J59" s="33"/>
    </row>
    <row r="60" spans="1:13" ht="13.5" x14ac:dyDescent="0.25">
      <c r="A60" s="28">
        <f t="shared" si="16"/>
        <v>48</v>
      </c>
      <c r="B60" s="34" t="s">
        <v>77</v>
      </c>
      <c r="C60" s="29">
        <f t="shared" si="17"/>
        <v>48</v>
      </c>
      <c r="D60" s="30" t="s">
        <v>142</v>
      </c>
      <c r="E60" s="30">
        <f>+'[3]Costo Mezcla Mani Arroz'!$E$74</f>
        <v>0.25241999999999998</v>
      </c>
      <c r="F60" s="30">
        <f t="shared" si="18"/>
        <v>12.116159999999999</v>
      </c>
      <c r="G60" s="31">
        <f t="shared" si="19"/>
        <v>1.1284455441565285E-3</v>
      </c>
      <c r="H60" s="35" t="s">
        <v>143</v>
      </c>
      <c r="I60" s="27"/>
      <c r="J60" s="33"/>
    </row>
    <row r="61" spans="1:13" ht="13.5" x14ac:dyDescent="0.25">
      <c r="A61" s="28">
        <f t="shared" si="16"/>
        <v>156</v>
      </c>
      <c r="B61" s="34" t="s">
        <v>80</v>
      </c>
      <c r="C61" s="29">
        <f t="shared" si="17"/>
        <v>156</v>
      </c>
      <c r="D61" s="30" t="s">
        <v>142</v>
      </c>
      <c r="E61" s="30">
        <f>+'[3]Costo Pelado choco Choys'!$E$74</f>
        <v>0.64166666666666672</v>
      </c>
      <c r="F61" s="30">
        <f t="shared" si="18"/>
        <v>100.10000000000001</v>
      </c>
      <c r="G61" s="31">
        <f t="shared" si="19"/>
        <v>9.3228711877417041E-3</v>
      </c>
      <c r="H61" s="35" t="s">
        <v>143</v>
      </c>
      <c r="I61" s="27"/>
      <c r="J61" s="33"/>
    </row>
    <row r="62" spans="1:13" ht="13.5" x14ac:dyDescent="0.25">
      <c r="A62" s="28">
        <f t="shared" si="16"/>
        <v>0</v>
      </c>
      <c r="B62" s="34" t="str">
        <f>IFERROR(VLOOKUP(H62,[1]SEMIELABORADOS!$A$2:$M$6000,2,0),"")</f>
        <v/>
      </c>
      <c r="C62" s="29">
        <f t="shared" si="17"/>
        <v>0</v>
      </c>
      <c r="D62" s="30" t="str">
        <f>IFERROR(VLOOKUP(H62,[1]SEMIELABORADOS!$A$2:$M$6000,6,0),"")</f>
        <v/>
      </c>
      <c r="E62" s="30" t="str">
        <f>IFERROR(VLOOKUP(H62,[1]SEMIELABORADOS!$A$2:$M$65536,12,0),"")</f>
        <v/>
      </c>
      <c r="F62" s="30" t="str">
        <f t="shared" si="18"/>
        <v/>
      </c>
      <c r="G62" s="31" t="str">
        <f t="shared" si="19"/>
        <v/>
      </c>
      <c r="H62" s="35"/>
      <c r="I62" s="27"/>
      <c r="J62" s="33"/>
    </row>
    <row r="63" spans="1:13" ht="13.5" x14ac:dyDescent="0.25">
      <c r="A63" s="28">
        <v>1</v>
      </c>
      <c r="B63" s="34" t="s">
        <v>105</v>
      </c>
      <c r="C63" s="29">
        <f>+A63</f>
        <v>1</v>
      </c>
      <c r="D63" s="29" t="s">
        <v>106</v>
      </c>
      <c r="E63" s="30">
        <f>+F77</f>
        <v>1540</v>
      </c>
      <c r="F63" s="30">
        <f>IFERROR(C63*E63,"")</f>
        <v>1540</v>
      </c>
      <c r="G63" s="31">
        <f>IFERROR(F63/$F$78,"")</f>
        <v>0.14342878750371851</v>
      </c>
      <c r="H63" s="39"/>
      <c r="I63" s="39"/>
      <c r="J63" s="33"/>
    </row>
    <row r="64" spans="1:13" ht="14.25" thickBot="1" x14ac:dyDescent="0.3">
      <c r="A64" s="28"/>
      <c r="B64" s="34"/>
      <c r="C64" s="29"/>
      <c r="D64" s="29"/>
      <c r="E64" s="30"/>
      <c r="F64" s="30"/>
      <c r="G64" s="31"/>
      <c r="H64" s="39"/>
      <c r="I64" s="39"/>
      <c r="J64" s="33"/>
    </row>
    <row r="65" spans="1:17" ht="13.5" thickBot="1" x14ac:dyDescent="0.25">
      <c r="A65" s="40"/>
      <c r="B65" s="146" t="s">
        <v>107</v>
      </c>
      <c r="C65" s="146"/>
      <c r="D65" s="146"/>
      <c r="E65" s="146"/>
      <c r="F65" s="42">
        <f>SUM(F8:F14,F17:F28)</f>
        <v>7605.9285496491229</v>
      </c>
      <c r="G65" s="31">
        <f>+F65/$F$78</f>
        <v>0.70838253877668178</v>
      </c>
      <c r="H65" s="43">
        <f>+F65/$D$72</f>
        <v>7605.9285496491229</v>
      </c>
      <c r="I65" s="43"/>
      <c r="J65" s="44"/>
      <c r="K65" s="45"/>
      <c r="L65" s="45"/>
      <c r="M65" s="45"/>
      <c r="N65" s="45"/>
      <c r="O65" s="45"/>
      <c r="P65" s="45"/>
      <c r="Q65" s="46"/>
    </row>
    <row r="66" spans="1:17" x14ac:dyDescent="0.2">
      <c r="A66" s="40"/>
      <c r="B66" s="146" t="s">
        <v>108</v>
      </c>
      <c r="C66" s="146"/>
      <c r="D66" s="146"/>
      <c r="E66" s="146"/>
      <c r="F66" s="42">
        <f>SUM(F31:F36,F39:F49)</f>
        <v>1438.9884968421054</v>
      </c>
      <c r="G66" s="31">
        <f>+F66/$F$78</f>
        <v>0.13402102294406601</v>
      </c>
      <c r="H66" s="43">
        <f>+F66/$D$72</f>
        <v>1438.9884968421054</v>
      </c>
      <c r="I66" s="43"/>
      <c r="J66" s="47"/>
      <c r="K66" s="147" t="s">
        <v>109</v>
      </c>
      <c r="L66" s="148"/>
      <c r="M66" s="148"/>
      <c r="N66" s="148"/>
      <c r="O66" s="48">
        <f>+F67</f>
        <v>9044.9170464912277</v>
      </c>
      <c r="P66" s="48"/>
      <c r="Q66" s="49"/>
    </row>
    <row r="67" spans="1:17" x14ac:dyDescent="0.2">
      <c r="A67" s="40"/>
      <c r="B67" s="146" t="s">
        <v>110</v>
      </c>
      <c r="C67" s="146"/>
      <c r="D67" s="146"/>
      <c r="E67" s="146"/>
      <c r="F67" s="42">
        <f>+F65+F66</f>
        <v>9044.9170464912277</v>
      </c>
      <c r="G67" s="31">
        <f>+F67/$F$78</f>
        <v>0.84240356172074782</v>
      </c>
      <c r="H67" s="43">
        <f>+F67/$D$72</f>
        <v>9044.9170464912277</v>
      </c>
      <c r="I67" s="43"/>
      <c r="J67" s="50"/>
      <c r="K67" s="51"/>
      <c r="M67" s="52" t="s">
        <v>111</v>
      </c>
      <c r="N67" s="53"/>
      <c r="O67" s="48">
        <f>+H68</f>
        <v>1887.2924757894737</v>
      </c>
      <c r="P67" s="48"/>
      <c r="Q67" s="49"/>
    </row>
    <row r="68" spans="1:17" ht="13.5" thickBot="1" x14ac:dyDescent="0.25">
      <c r="A68" s="40"/>
      <c r="B68" s="41"/>
      <c r="C68" s="146" t="s">
        <v>112</v>
      </c>
      <c r="D68" s="146"/>
      <c r="E68" s="146"/>
      <c r="F68" s="42">
        <f>SUM(F52:F63)</f>
        <v>1887.2924757894737</v>
      </c>
      <c r="G68" s="31">
        <f>+F68/$F$78</f>
        <v>0.17577407238141249</v>
      </c>
      <c r="H68" s="43">
        <f>+F68/$D$72</f>
        <v>1887.2924757894737</v>
      </c>
      <c r="I68" s="43"/>
      <c r="J68" s="50"/>
      <c r="K68" s="51"/>
      <c r="L68" s="51"/>
      <c r="M68" s="51" t="s">
        <v>113</v>
      </c>
      <c r="N68" s="54"/>
      <c r="O68" s="48">
        <f>O66*N68</f>
        <v>0</v>
      </c>
      <c r="P68" s="48"/>
      <c r="Q68" s="49"/>
    </row>
    <row r="69" spans="1:17" ht="13.5" thickBot="1" x14ac:dyDescent="0.25">
      <c r="A69" s="40"/>
      <c r="B69" s="55"/>
      <c r="C69" s="55"/>
      <c r="D69" s="55"/>
      <c r="E69" s="55"/>
      <c r="F69" s="56"/>
      <c r="G69" s="31"/>
      <c r="H69" s="57"/>
      <c r="I69" s="43"/>
      <c r="J69" s="50"/>
      <c r="K69" s="58"/>
      <c r="M69" s="59" t="s">
        <v>114</v>
      </c>
      <c r="N69" s="60"/>
      <c r="O69" s="61">
        <f>SUM(O66:O68)</f>
        <v>10932.209522280702</v>
      </c>
      <c r="P69" s="62"/>
      <c r="Q69" s="49"/>
    </row>
    <row r="70" spans="1:17" x14ac:dyDescent="0.2">
      <c r="B70" s="149" t="s">
        <v>115</v>
      </c>
      <c r="C70" s="149"/>
      <c r="D70" s="63">
        <v>2640</v>
      </c>
      <c r="E70" s="64"/>
      <c r="G70" s="31"/>
      <c r="H70" s="57">
        <f>+H68/77</f>
        <v>24.510291893369789</v>
      </c>
      <c r="I70" s="65"/>
      <c r="J70" s="50"/>
      <c r="K70" s="58"/>
      <c r="L70" s="51"/>
      <c r="M70" s="51" t="s">
        <v>116</v>
      </c>
      <c r="N70" s="66"/>
      <c r="O70" s="48">
        <f>+H71</f>
        <v>2034.3542271496924</v>
      </c>
      <c r="P70" s="48"/>
      <c r="Q70" s="49"/>
    </row>
    <row r="71" spans="1:17" x14ac:dyDescent="0.2">
      <c r="B71" s="149" t="s">
        <v>117</v>
      </c>
      <c r="C71" s="149"/>
      <c r="D71" s="67">
        <v>2640</v>
      </c>
      <c r="E71" s="64"/>
      <c r="G71" s="31"/>
      <c r="H71" s="57">
        <f>+H70*83</f>
        <v>2034.3542271496924</v>
      </c>
      <c r="I71" s="65"/>
      <c r="J71" s="50"/>
      <c r="K71" s="58"/>
      <c r="L71" s="51"/>
      <c r="M71" s="150" t="s">
        <v>114</v>
      </c>
      <c r="N71" s="150"/>
      <c r="O71" s="48">
        <f>SUM(O69:O70)</f>
        <v>12966.563749430394</v>
      </c>
      <c r="P71" s="48"/>
      <c r="Q71" s="49"/>
    </row>
    <row r="72" spans="1:17" ht="13.5" thickBot="1" x14ac:dyDescent="0.25">
      <c r="B72" s="142" t="s">
        <v>118</v>
      </c>
      <c r="C72" s="142"/>
      <c r="D72" s="63">
        <f>+D70/D71</f>
        <v>1</v>
      </c>
      <c r="E72" s="64"/>
      <c r="F72" s="68"/>
      <c r="G72" s="31"/>
      <c r="H72" s="57"/>
      <c r="I72" s="65"/>
      <c r="J72" s="50"/>
      <c r="K72" s="58"/>
      <c r="L72" s="150"/>
      <c r="M72" s="150"/>
      <c r="N72" s="66"/>
      <c r="O72" s="48">
        <f>+O71*N72</f>
        <v>0</v>
      </c>
      <c r="P72" s="48"/>
      <c r="Q72" s="49"/>
    </row>
    <row r="73" spans="1:17" ht="13.5" thickBot="1" x14ac:dyDescent="0.25">
      <c r="B73" s="142" t="s">
        <v>119</v>
      </c>
      <c r="C73" s="142"/>
      <c r="D73" s="69"/>
      <c r="E73" s="64"/>
      <c r="F73" s="68"/>
      <c r="G73" s="31"/>
      <c r="H73" s="57"/>
      <c r="I73" s="65"/>
      <c r="J73" s="50"/>
      <c r="K73" s="143" t="s">
        <v>120</v>
      </c>
      <c r="L73" s="144"/>
      <c r="M73" s="144"/>
      <c r="N73" s="145"/>
      <c r="O73" s="61">
        <f>SUM(O71:O72)</f>
        <v>12966.563749430394</v>
      </c>
      <c r="P73" s="70" t="s">
        <v>121</v>
      </c>
      <c r="Q73" s="49"/>
    </row>
    <row r="74" spans="1:17" ht="13.5" thickBot="1" x14ac:dyDescent="0.25">
      <c r="C74" s="40" t="s">
        <v>122</v>
      </c>
      <c r="D74" s="71"/>
      <c r="E74" s="14" t="s">
        <v>123</v>
      </c>
      <c r="F74" s="72" t="s">
        <v>124</v>
      </c>
      <c r="G74" s="31"/>
      <c r="H74" s="57"/>
      <c r="I74" s="65"/>
      <c r="J74" s="73"/>
      <c r="K74" s="74"/>
      <c r="L74" s="156" t="s">
        <v>125</v>
      </c>
      <c r="M74" s="156"/>
      <c r="N74" s="156"/>
      <c r="O74" s="75">
        <f>+O73/D72</f>
        <v>12966.563749430394</v>
      </c>
      <c r="P74" s="76">
        <f>+O74/D71</f>
        <v>4.9115771778145429</v>
      </c>
      <c r="Q74" s="77"/>
    </row>
    <row r="75" spans="1:17" ht="13.5" thickBot="1" x14ac:dyDescent="0.25">
      <c r="B75" s="157" t="s">
        <v>110</v>
      </c>
      <c r="C75" s="157"/>
      <c r="D75" s="157"/>
      <c r="E75" s="78">
        <f>+F75/F75</f>
        <v>1</v>
      </c>
      <c r="F75" s="79">
        <f>SUM(F67)</f>
        <v>9044.9170464912277</v>
      </c>
      <c r="G75" s="31">
        <f>+F75/$F$78</f>
        <v>0.84240356172074782</v>
      </c>
      <c r="H75" s="57"/>
      <c r="I75" s="65"/>
      <c r="K75" s="158"/>
      <c r="L75" s="159"/>
      <c r="M75" s="159"/>
      <c r="N75" s="159"/>
      <c r="O75" s="80"/>
      <c r="P75" s="81"/>
    </row>
    <row r="76" spans="1:17" ht="13.5" thickBot="1" x14ac:dyDescent="0.25">
      <c r="B76" s="160" t="s">
        <v>126</v>
      </c>
      <c r="C76" s="160"/>
      <c r="D76" s="160"/>
      <c r="E76" s="82">
        <v>0.02</v>
      </c>
      <c r="F76" s="79">
        <f>+F65*E76</f>
        <v>152.11857099298246</v>
      </c>
      <c r="G76" s="31">
        <f>+F76/$F$78</f>
        <v>1.4167650775533636E-2</v>
      </c>
      <c r="H76" s="43"/>
      <c r="I76" s="65"/>
      <c r="J76" s="83"/>
      <c r="N76" s="16" t="s">
        <v>147</v>
      </c>
      <c r="O76" s="84">
        <f>+O74/24</f>
        <v>540.27348955959974</v>
      </c>
      <c r="P76" s="41"/>
    </row>
    <row r="77" spans="1:17" ht="13.5" thickBot="1" x14ac:dyDescent="0.25">
      <c r="B77" s="161" t="s">
        <v>127</v>
      </c>
      <c r="C77" s="162"/>
      <c r="D77" s="85">
        <v>20</v>
      </c>
      <c r="E77" s="86">
        <v>77</v>
      </c>
      <c r="F77" s="79">
        <f>+E77*D77</f>
        <v>1540</v>
      </c>
      <c r="G77" s="31">
        <f>+F77/$F$78</f>
        <v>0.14342878750371851</v>
      </c>
      <c r="H77" s="43"/>
      <c r="I77" s="43"/>
      <c r="J77" s="33"/>
    </row>
    <row r="78" spans="1:17" ht="13.5" thickBot="1" x14ac:dyDescent="0.25">
      <c r="B78" s="163" t="s">
        <v>128</v>
      </c>
      <c r="C78" s="164"/>
      <c r="D78" s="164"/>
      <c r="E78" s="165"/>
      <c r="F78" s="56">
        <f>SUM(F75:F77)</f>
        <v>10737.035617484211</v>
      </c>
      <c r="G78" s="31">
        <f>+F78/$F$78</f>
        <v>1</v>
      </c>
      <c r="H78" s="166"/>
      <c r="I78" s="43"/>
      <c r="J78" s="33"/>
      <c r="M78" s="16" t="s">
        <v>129</v>
      </c>
    </row>
    <row r="79" spans="1:17" x14ac:dyDescent="0.2">
      <c r="C79" s="38"/>
      <c r="D79" s="38"/>
      <c r="E79" s="88"/>
      <c r="F79" s="79"/>
      <c r="G79" s="31"/>
      <c r="H79" s="166"/>
      <c r="I79" s="87"/>
      <c r="J79" s="16"/>
      <c r="M79" s="16" t="s">
        <v>130</v>
      </c>
    </row>
    <row r="80" spans="1:17" ht="13.5" thickBot="1" x14ac:dyDescent="0.25">
      <c r="B80" s="151" t="s">
        <v>131</v>
      </c>
      <c r="C80" s="151"/>
      <c r="D80" s="151"/>
      <c r="E80" s="151"/>
      <c r="F80" s="151"/>
      <c r="G80" s="31"/>
      <c r="H80" s="90"/>
      <c r="I80" s="87"/>
      <c r="J80" s="16"/>
      <c r="M80" s="16" t="s">
        <v>132</v>
      </c>
    </row>
    <row r="81" spans="2:10" ht="13.5" thickBot="1" x14ac:dyDescent="0.25">
      <c r="B81" s="91" t="s">
        <v>133</v>
      </c>
      <c r="C81" s="92">
        <f>+F65</f>
        <v>7605.9285496491229</v>
      </c>
      <c r="D81" s="92">
        <f>+D70</f>
        <v>2640</v>
      </c>
      <c r="E81" s="93">
        <f>+C81/D81</f>
        <v>2.8810335415337587</v>
      </c>
      <c r="F81" s="31"/>
      <c r="G81" s="90"/>
      <c r="H81" s="33"/>
      <c r="I81" s="90"/>
      <c r="J81" s="16"/>
    </row>
    <row r="82" spans="2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2:10" x14ac:dyDescent="0.2">
      <c r="B83" s="91" t="s">
        <v>134</v>
      </c>
      <c r="C83" s="92">
        <f>SUM(F75:F76)</f>
        <v>9197.0356174842109</v>
      </c>
      <c r="D83" s="92">
        <f>+D70</f>
        <v>2640</v>
      </c>
      <c r="E83" s="97">
        <f>+C83/D83</f>
        <v>3.4837256126834131</v>
      </c>
      <c r="F83" s="31"/>
      <c r="G83" s="90"/>
      <c r="H83" s="33"/>
      <c r="I83" s="33"/>
      <c r="J83" s="16"/>
    </row>
    <row r="84" spans="2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2:10" ht="13.5" thickBot="1" x14ac:dyDescent="0.25">
      <c r="B85" s="91" t="s">
        <v>135</v>
      </c>
      <c r="C85" s="92">
        <f>+F77</f>
        <v>1540</v>
      </c>
      <c r="D85" s="92">
        <f>+D70</f>
        <v>2640</v>
      </c>
      <c r="E85" s="97">
        <f>+C85/D85</f>
        <v>0.58333333333333337</v>
      </c>
      <c r="F85" s="31"/>
      <c r="G85" s="90"/>
      <c r="H85" s="33"/>
      <c r="I85" s="33"/>
      <c r="J85" s="16"/>
    </row>
    <row r="86" spans="2:10" ht="13.5" thickBot="1" x14ac:dyDescent="0.25">
      <c r="B86" s="91" t="s">
        <v>136</v>
      </c>
      <c r="C86" s="92">
        <f>+F68</f>
        <v>1887.2924757894737</v>
      </c>
      <c r="D86" s="92">
        <f>+D85</f>
        <v>2640</v>
      </c>
      <c r="E86" s="93">
        <f>+C86/D86</f>
        <v>0.71488351355661883</v>
      </c>
      <c r="F86" s="31"/>
      <c r="G86" s="90"/>
      <c r="H86" s="33"/>
      <c r="I86" s="33"/>
      <c r="J86" s="16"/>
    </row>
    <row r="87" spans="2:10" ht="13.5" thickBot="1" x14ac:dyDescent="0.25">
      <c r="B87" s="55"/>
      <c r="C87" s="56"/>
      <c r="D87" s="56"/>
      <c r="E87" s="97"/>
      <c r="F87" s="31"/>
      <c r="G87" s="90"/>
      <c r="H87" s="33"/>
      <c r="I87" s="33"/>
      <c r="J87" s="16"/>
    </row>
    <row r="88" spans="2:10" ht="13.5" thickBot="1" x14ac:dyDescent="0.25">
      <c r="B88" s="91" t="s">
        <v>137</v>
      </c>
      <c r="C88" s="92">
        <f>+F66</f>
        <v>1438.9884968421054</v>
      </c>
      <c r="D88" s="92">
        <f>+D86</f>
        <v>2640</v>
      </c>
      <c r="E88" s="93">
        <f>+C88/D88</f>
        <v>0.54507140031897927</v>
      </c>
      <c r="F88" s="31"/>
      <c r="G88" s="90"/>
      <c r="H88" s="33"/>
      <c r="I88" s="33"/>
      <c r="J88" s="33"/>
    </row>
    <row r="89" spans="2:10" ht="13.5" thickBot="1" x14ac:dyDescent="0.25">
      <c r="B89" s="55"/>
      <c r="C89" s="56"/>
      <c r="D89" s="56"/>
      <c r="E89" s="97"/>
      <c r="F89" s="31"/>
      <c r="G89" s="90"/>
      <c r="H89" s="33"/>
      <c r="I89" s="33"/>
    </row>
    <row r="90" spans="2:10" ht="13.5" thickBot="1" x14ac:dyDescent="0.25">
      <c r="B90" s="152" t="s">
        <v>138</v>
      </c>
      <c r="C90" s="153"/>
      <c r="D90" s="154"/>
      <c r="E90" s="93">
        <f>+E81+E86</f>
        <v>3.5959170550903776</v>
      </c>
      <c r="G90" s="31"/>
      <c r="H90" s="90"/>
      <c r="I90" s="33"/>
      <c r="J90" s="97"/>
    </row>
    <row r="91" spans="2:10" x14ac:dyDescent="0.2">
      <c r="I91" s="90"/>
      <c r="J91" s="16"/>
    </row>
    <row r="92" spans="2:10" ht="13.5" thickBot="1" x14ac:dyDescent="0.25">
      <c r="B92" s="151" t="s">
        <v>139</v>
      </c>
      <c r="C92" s="151"/>
      <c r="D92" s="151"/>
      <c r="E92" s="151"/>
      <c r="F92" s="151"/>
      <c r="G92" s="31"/>
      <c r="H92" s="90"/>
      <c r="J92" s="16"/>
    </row>
    <row r="93" spans="2:10" ht="13.5" thickBot="1" x14ac:dyDescent="0.25">
      <c r="B93" s="91" t="s">
        <v>133</v>
      </c>
      <c r="C93" s="92">
        <f>+C81</f>
        <v>7605.9285496491229</v>
      </c>
      <c r="D93" s="92">
        <f>+D72</f>
        <v>1</v>
      </c>
      <c r="E93" s="93">
        <f>+C93/D93</f>
        <v>7605.9285496491229</v>
      </c>
      <c r="F93" s="31"/>
      <c r="G93" s="90"/>
      <c r="H93" s="33"/>
      <c r="I93" s="90"/>
      <c r="J93" s="16"/>
    </row>
    <row r="94" spans="2:10" x14ac:dyDescent="0.2">
      <c r="B94" s="94"/>
      <c r="C94" s="95"/>
      <c r="D94" s="96"/>
      <c r="E94" s="79"/>
      <c r="F94" s="31"/>
      <c r="G94" s="90"/>
      <c r="H94" s="33"/>
      <c r="I94" s="33"/>
      <c r="J94" s="16"/>
    </row>
    <row r="95" spans="2:10" x14ac:dyDescent="0.2">
      <c r="B95" s="91" t="s">
        <v>134</v>
      </c>
      <c r="C95" s="92">
        <f>+C83</f>
        <v>9197.0356174842109</v>
      </c>
      <c r="D95" s="92">
        <f>+D72</f>
        <v>1</v>
      </c>
      <c r="E95" s="97">
        <f>+C95/D95</f>
        <v>9197.0356174842109</v>
      </c>
      <c r="F95" s="31"/>
      <c r="G95" s="90"/>
      <c r="H95" s="33"/>
      <c r="I95" s="33"/>
      <c r="J95" s="16"/>
    </row>
    <row r="96" spans="2:10" x14ac:dyDescent="0.2">
      <c r="B96" s="91"/>
      <c r="C96" s="92"/>
      <c r="D96" s="92"/>
      <c r="E96" s="97"/>
      <c r="F96" s="31"/>
      <c r="G96" s="90"/>
      <c r="H96" s="33"/>
      <c r="I96" s="33"/>
      <c r="J96" s="16"/>
    </row>
    <row r="97" spans="1:9" ht="13.5" thickBot="1" x14ac:dyDescent="0.25">
      <c r="B97" s="91" t="s">
        <v>136</v>
      </c>
      <c r="C97" s="92">
        <f>+C85</f>
        <v>1540</v>
      </c>
      <c r="D97" s="92">
        <f>+D72</f>
        <v>1</v>
      </c>
      <c r="E97" s="97">
        <f>+C97/D97</f>
        <v>1540</v>
      </c>
      <c r="F97" s="99"/>
      <c r="G97" s="89"/>
      <c r="H97" s="15"/>
      <c r="I97" s="33"/>
    </row>
    <row r="98" spans="1:9" ht="13.5" thickBot="1" x14ac:dyDescent="0.25">
      <c r="B98" s="91" t="s">
        <v>136</v>
      </c>
      <c r="C98" s="92">
        <f>+C86</f>
        <v>1887.2924757894737</v>
      </c>
      <c r="D98" s="92">
        <f>+D97</f>
        <v>1</v>
      </c>
      <c r="E98" s="93">
        <f>+C98/D98</f>
        <v>1887.2924757894737</v>
      </c>
      <c r="F98" s="98"/>
      <c r="G98" s="89"/>
      <c r="H98" s="15"/>
      <c r="I98" s="15"/>
    </row>
    <row r="99" spans="1:9" x14ac:dyDescent="0.2">
      <c r="I99" s="15"/>
    </row>
    <row r="100" spans="1:9" x14ac:dyDescent="0.2">
      <c r="A100" s="155"/>
      <c r="B100" s="155"/>
      <c r="C100" s="100"/>
      <c r="D100" s="100"/>
      <c r="E100" s="101"/>
      <c r="G100" s="102"/>
    </row>
    <row r="101" spans="1:9" x14ac:dyDescent="0.2">
      <c r="A101" s="34"/>
      <c r="B101" s="103"/>
      <c r="C101" s="104"/>
      <c r="D101" s="104"/>
      <c r="E101" s="105"/>
      <c r="G101" s="102"/>
    </row>
    <row r="102" spans="1:9" x14ac:dyDescent="0.2">
      <c r="A102" s="34"/>
      <c r="B102" s="103"/>
      <c r="C102" s="106"/>
      <c r="D102" s="106"/>
      <c r="E102" s="34"/>
      <c r="G102" s="102"/>
    </row>
    <row r="103" spans="1:9" x14ac:dyDescent="0.2">
      <c r="A103" s="34"/>
      <c r="B103" s="103"/>
      <c r="C103" s="107"/>
      <c r="D103" s="107"/>
      <c r="E103" s="34"/>
      <c r="G103" s="102"/>
    </row>
  </sheetData>
  <mergeCells count="30">
    <mergeCell ref="B80:F80"/>
    <mergeCell ref="B90:D90"/>
    <mergeCell ref="B92:F92"/>
    <mergeCell ref="A100:B100"/>
    <mergeCell ref="L74:N74"/>
    <mergeCell ref="B75:D75"/>
    <mergeCell ref="K75:N75"/>
    <mergeCell ref="B76:D76"/>
    <mergeCell ref="B77:C77"/>
    <mergeCell ref="B78:E78"/>
    <mergeCell ref="H78:H79"/>
    <mergeCell ref="B73:C73"/>
    <mergeCell ref="K73:N73"/>
    <mergeCell ref="K34:L34"/>
    <mergeCell ref="B65:E65"/>
    <mergeCell ref="B66:E66"/>
    <mergeCell ref="K66:N66"/>
    <mergeCell ref="B67:E67"/>
    <mergeCell ref="C68:E68"/>
    <mergeCell ref="B70:C70"/>
    <mergeCell ref="B71:C71"/>
    <mergeCell ref="M71:N71"/>
    <mergeCell ref="B72:C72"/>
    <mergeCell ref="L72:M72"/>
    <mergeCell ref="K33:L33"/>
    <mergeCell ref="A4:H4"/>
    <mergeCell ref="A5:H5"/>
    <mergeCell ref="F6:G6"/>
    <mergeCell ref="K31:L31"/>
    <mergeCell ref="K32:L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3D15F7-F503-4E7C-83D5-F0421AA944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77E90-C267-4698-9E1B-8D0432B549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8E8A574-94C5-4C57-AE2A-72388B5A004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15744B7-A814-4392-99A6-6DE37072E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ENSAMBLE</vt:lpstr>
      <vt:lpstr>cOSTO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2026-05-06T20:58:44Z</cp:lastPrinted>
  <dcterms:created xsi:type="dcterms:W3CDTF">2012-05-10T22:32:20Z</dcterms:created>
  <dcterms:modified xsi:type="dcterms:W3CDTF">2026-05-06T20:59:08Z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315600.000000000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
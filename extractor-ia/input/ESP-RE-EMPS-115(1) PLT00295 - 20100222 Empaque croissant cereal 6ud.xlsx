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" documentId="8_{38288D4F-A553-4B2E-BD8C-7CF46B620DD1}" xr6:coauthVersionLast="47" xr6:coauthVersionMax="47" xr10:uidLastSave="{624C47C6-A37C-4333-B77B-BE468C25BA58}"/>
  <bookViews>
    <workbookView xWindow="-120" yWindow="-120" windowWidth="20730" windowHeight="11040" xr2:uid="{EFD1BD17-2DF0-40A5-B97E-F6B2EF238C68}"/>
  </bookViews>
  <sheets>
    <sheet name="Croissant Cereal " sheetId="2" r:id="rId1"/>
    <sheet name="Costo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3" l="1"/>
  <c r="D86" i="3" s="1"/>
  <c r="D83" i="3"/>
  <c r="D73" i="3"/>
  <c r="D74" i="3" s="1"/>
  <c r="D76" i="3" s="1"/>
  <c r="D71" i="3"/>
  <c r="D69" i="3"/>
  <c r="F65" i="3"/>
  <c r="D60" i="3"/>
  <c r="D81" i="3" s="1"/>
  <c r="E51" i="3"/>
  <c r="F51" i="3" s="1"/>
  <c r="C51" i="3"/>
  <c r="E50" i="3"/>
  <c r="D50" i="3"/>
  <c r="B50" i="3"/>
  <c r="E49" i="3"/>
  <c r="D49" i="3"/>
  <c r="B49" i="3"/>
  <c r="E48" i="3"/>
  <c r="D48" i="3"/>
  <c r="B48" i="3"/>
  <c r="E47" i="3"/>
  <c r="D47" i="3"/>
  <c r="B47" i="3"/>
  <c r="E46" i="3"/>
  <c r="D46" i="3"/>
  <c r="B46" i="3"/>
  <c r="E45" i="3"/>
  <c r="D45" i="3"/>
  <c r="B45" i="3"/>
  <c r="E44" i="3"/>
  <c r="D44" i="3"/>
  <c r="B44" i="3"/>
  <c r="E41" i="3"/>
  <c r="D41" i="3"/>
  <c r="B41" i="3"/>
  <c r="A41" i="3"/>
  <c r="C41" i="3" s="1"/>
  <c r="E40" i="3"/>
  <c r="D40" i="3"/>
  <c r="B40" i="3"/>
  <c r="A40" i="3"/>
  <c r="C40" i="3" s="1"/>
  <c r="E39" i="3"/>
  <c r="F39" i="3" s="1"/>
  <c r="D39" i="3"/>
  <c r="B39" i="3"/>
  <c r="A39" i="3"/>
  <c r="C39" i="3" s="1"/>
  <c r="E38" i="3"/>
  <c r="F38" i="3" s="1"/>
  <c r="D38" i="3"/>
  <c r="C38" i="3"/>
  <c r="B38" i="3"/>
  <c r="A38" i="3"/>
  <c r="A47" i="3" s="1"/>
  <c r="C47" i="3" s="1"/>
  <c r="E37" i="3"/>
  <c r="D37" i="3"/>
  <c r="B37" i="3"/>
  <c r="A37" i="3"/>
  <c r="C37" i="3" s="1"/>
  <c r="E36" i="3"/>
  <c r="D36" i="3"/>
  <c r="B36" i="3"/>
  <c r="A36" i="3"/>
  <c r="A45" i="3" s="1"/>
  <c r="C45" i="3" s="1"/>
  <c r="E35" i="3"/>
  <c r="F35" i="3" s="1"/>
  <c r="D35" i="3"/>
  <c r="C35" i="3"/>
  <c r="B35" i="3"/>
  <c r="A35" i="3"/>
  <c r="A44" i="3" s="1"/>
  <c r="C44" i="3" s="1"/>
  <c r="F32" i="3"/>
  <c r="C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C27" i="3"/>
  <c r="F27" i="3" s="1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E19" i="3"/>
  <c r="F19" i="3" s="1"/>
  <c r="D19" i="3"/>
  <c r="C19" i="3"/>
  <c r="B19" i="3"/>
  <c r="E18" i="3"/>
  <c r="F18" i="3" s="1"/>
  <c r="D18" i="3"/>
  <c r="C18" i="3"/>
  <c r="B18" i="3"/>
  <c r="E17" i="3"/>
  <c r="F17" i="3" s="1"/>
  <c r="D17" i="3"/>
  <c r="C17" i="3"/>
  <c r="B17" i="3"/>
  <c r="B15" i="3"/>
  <c r="E14" i="3"/>
  <c r="F14" i="3" s="1"/>
  <c r="D14" i="3"/>
  <c r="C14" i="3"/>
  <c r="B14" i="3"/>
  <c r="E13" i="3"/>
  <c r="D13" i="3"/>
  <c r="C13" i="3"/>
  <c r="B13" i="3"/>
  <c r="E12" i="3"/>
  <c r="F12" i="3" s="1"/>
  <c r="D12" i="3"/>
  <c r="C12" i="3"/>
  <c r="B12" i="3"/>
  <c r="E11" i="3"/>
  <c r="D11" i="3"/>
  <c r="C11" i="3"/>
  <c r="B11" i="3"/>
  <c r="E10" i="3"/>
  <c r="F10" i="3" s="1"/>
  <c r="D10" i="3"/>
  <c r="C10" i="3"/>
  <c r="B10" i="3"/>
  <c r="E9" i="3"/>
  <c r="D9" i="3"/>
  <c r="C9" i="3"/>
  <c r="B9" i="3"/>
  <c r="F8" i="3"/>
  <c r="C8" i="3"/>
  <c r="H6" i="3"/>
  <c r="D26" i="2"/>
  <c r="D28" i="2"/>
  <c r="F45" i="3" l="1"/>
  <c r="F13" i="3"/>
  <c r="F47" i="3"/>
  <c r="F44" i="3"/>
  <c r="F11" i="3"/>
  <c r="F30" i="3"/>
  <c r="F9" i="3"/>
  <c r="F28" i="3"/>
  <c r="F31" i="3"/>
  <c r="F29" i="3"/>
  <c r="F48" i="3"/>
  <c r="F40" i="3"/>
  <c r="F41" i="3"/>
  <c r="F50" i="3"/>
  <c r="F36" i="3"/>
  <c r="F37" i="3"/>
  <c r="C36" i="3"/>
  <c r="C73" i="3"/>
  <c r="A49" i="3"/>
  <c r="C49" i="3" s="1"/>
  <c r="F49" i="3" s="1"/>
  <c r="A46" i="3"/>
  <c r="C46" i="3" s="1"/>
  <c r="F46" i="3" s="1"/>
  <c r="A48" i="3"/>
  <c r="C48" i="3" s="1"/>
  <c r="A50" i="3"/>
  <c r="C50" i="3" s="1"/>
  <c r="F53" i="3" l="1"/>
  <c r="H53" i="3" s="1"/>
  <c r="F2" i="3" s="1"/>
  <c r="F56" i="3"/>
  <c r="C85" i="3"/>
  <c r="E85" i="3" s="1"/>
  <c r="E73" i="3"/>
  <c r="F54" i="3"/>
  <c r="F64" i="3" l="1"/>
  <c r="C69" i="3"/>
  <c r="C81" i="3" s="1"/>
  <c r="E81" i="3" s="1"/>
  <c r="F55" i="3"/>
  <c r="O54" i="3" s="1"/>
  <c r="E69" i="3"/>
  <c r="H56" i="3"/>
  <c r="C74" i="3"/>
  <c r="C76" i="3"/>
  <c r="E76" i="3" s="1"/>
  <c r="H54" i="3"/>
  <c r="G2" i="3" s="1"/>
  <c r="H55" i="3" l="1"/>
  <c r="F63" i="3"/>
  <c r="E63" i="3" s="1"/>
  <c r="O56" i="3"/>
  <c r="C71" i="3"/>
  <c r="C86" i="3"/>
  <c r="E86" i="3" s="1"/>
  <c r="E74" i="3"/>
  <c r="E78" i="3" s="1"/>
  <c r="O55" i="3"/>
  <c r="H2" i="3"/>
  <c r="H58" i="3"/>
  <c r="H59" i="3" s="1"/>
  <c r="O58" i="3" s="1"/>
  <c r="F66" i="3" l="1"/>
  <c r="G63" i="3" s="1"/>
  <c r="O57" i="3"/>
  <c r="O59" i="3" s="1"/>
  <c r="O60" i="3" s="1"/>
  <c r="O61" i="3" s="1"/>
  <c r="O62" i="3" s="1"/>
  <c r="C83" i="3"/>
  <c r="E83" i="3" s="1"/>
  <c r="E71" i="3"/>
  <c r="G30" i="3"/>
  <c r="G23" i="3"/>
  <c r="G22" i="3"/>
  <c r="G14" i="3"/>
  <c r="G44" i="3"/>
  <c r="G10" i="3"/>
  <c r="G13" i="3"/>
  <c r="G24" i="3"/>
  <c r="G47" i="3"/>
  <c r="G17" i="3"/>
  <c r="G35" i="3"/>
  <c r="G36" i="3"/>
  <c r="G40" i="3"/>
  <c r="G56" i="3"/>
  <c r="G55" i="3"/>
  <c r="G64" i="3"/>
  <c r="G53" i="3" l="1"/>
  <c r="G65" i="3"/>
  <c r="G38" i="3"/>
  <c r="G49" i="3"/>
  <c r="G21" i="3"/>
  <c r="G51" i="3"/>
  <c r="G46" i="3"/>
  <c r="G8" i="3"/>
  <c r="G20" i="3"/>
  <c r="G41" i="3"/>
  <c r="G9" i="3"/>
  <c r="G29" i="3"/>
  <c r="G48" i="3"/>
  <c r="G18" i="3"/>
  <c r="G45" i="3"/>
  <c r="G37" i="3"/>
  <c r="G19" i="3"/>
  <c r="G12" i="3"/>
  <c r="G54" i="3"/>
  <c r="G50" i="3"/>
  <c r="G28" i="3"/>
  <c r="G11" i="3"/>
  <c r="G39" i="3"/>
  <c r="G31" i="3"/>
  <c r="G27" i="3"/>
  <c r="G32" i="3"/>
  <c r="G66" i="3"/>
  <c r="P62" i="3"/>
  <c r="E2" i="3"/>
  <c r="O64" i="3"/>
  <c r="O65" i="3" s="1"/>
</calcChain>
</file>

<file path=xl/sharedStrings.xml><?xml version="1.0" encoding="utf-8"?>
<sst xmlns="http://schemas.openxmlformats.org/spreadsheetml/2006/main" count="184" uniqueCount="130">
  <si>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</si>
  <si>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</si>
  <si>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</si>
  <si>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</si>
  <si>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</si>
  <si>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</si>
  <si>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</si>
  <si>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</si>
  <si>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</si>
  <si>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</si>
  <si>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</si>
  <si>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</si>
  <si>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</si>
  <si>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</si>
  <si>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</si>
  <si>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</si>
  <si>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</si>
  <si>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</si>
  <si>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</si>
  <si>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</si>
  <si>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</si>
  <si>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</si>
  <si>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</si>
  <si>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</si>
  <si>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</si>
  <si>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</si>
  <si>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</si>
  <si>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CONTROL DE CAMBIOS</t>
  </si>
  <si>
    <t>Esteban Cartin, Gte Manufactura</t>
  </si>
  <si>
    <t>Pastas</t>
  </si>
  <si>
    <t xml:space="preserve"># Código </t>
  </si>
  <si>
    <t># Código Netsuite</t>
  </si>
  <si>
    <t>Ensamble</t>
  </si>
  <si>
    <t>Decoración</t>
  </si>
  <si>
    <t>Empaque</t>
  </si>
  <si>
    <t>Tiempo de Horneo:</t>
  </si>
  <si>
    <t>Horno:</t>
  </si>
  <si>
    <t>Temperatura de Horneo:</t>
  </si>
  <si>
    <t>Otros</t>
  </si>
  <si>
    <t>Juan Pablo Brenes, Chef</t>
  </si>
  <si>
    <t>PANAMAR</t>
  </si>
  <si>
    <t>LITOGRAFIA CR</t>
  </si>
  <si>
    <t>EM10016</t>
  </si>
  <si>
    <t>BOLSA 12x18 TRANSP (KILO)</t>
  </si>
  <si>
    <t>PLASTICOS P</t>
  </si>
  <si>
    <t>EM10002</t>
  </si>
  <si>
    <t>ETIQ.BLANCA 1 1/4 * 3/4</t>
  </si>
  <si>
    <t>CEMUSA</t>
  </si>
  <si>
    <t>EM10004</t>
  </si>
  <si>
    <t>ETIQ.FECHA VENCIMIENTO BLANCO</t>
  </si>
  <si>
    <t>ETIPLAST</t>
  </si>
  <si>
    <t>EM10003</t>
  </si>
  <si>
    <t>ETIQ.FECHA VENCIMIENTO AMARILLO</t>
  </si>
  <si>
    <t>EM10018</t>
  </si>
  <si>
    <t>Papel Mantequilla</t>
  </si>
  <si>
    <t xml:space="preserve"> 15 minutos a 180ªc</t>
  </si>
  <si>
    <t>1.- Colocar los croissants en la bandeja con papel mantequilla y llevar al horno por 15 minutos a 180ªC. Dejar enfriar.</t>
  </si>
  <si>
    <t>2.- Empacar 6 unidades en la caja mediana con tapa y metido en una bolsa.</t>
  </si>
  <si>
    <t>3. Empacar</t>
  </si>
  <si>
    <t>18 unidades</t>
  </si>
  <si>
    <t>cajas</t>
  </si>
  <si>
    <t>cajas de 6 unidades</t>
  </si>
  <si>
    <t>CROISSANT MINI CEREALES</t>
  </si>
  <si>
    <t>27g horneado cada uno</t>
  </si>
  <si>
    <t>EM10055</t>
  </si>
  <si>
    <t>Caja Blanca Pequeña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</si>
  <si>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</si>
  <si>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</si>
  <si>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</si>
  <si>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</si>
  <si>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</si>
  <si>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</si>
  <si>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</si>
  <si>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</si>
  <si>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</si>
  <si>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</si>
  <si>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</si>
  <si>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</si>
  <si>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</si>
  <si>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 xml:space="preserve">und </t>
  </si>
  <si>
    <t>MATERIA PRIMA SEMIELABORADOS</t>
  </si>
  <si>
    <t>EMPAQUE</t>
  </si>
  <si>
    <t>und</t>
  </si>
  <si>
    <t>1950702</t>
  </si>
  <si>
    <t>0702069</t>
  </si>
  <si>
    <t>0702007</t>
  </si>
  <si>
    <t>0702006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</si>
  <si>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</si>
  <si>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</si>
  <si>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</si>
  <si>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</si>
  <si>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</si>
  <si>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</si>
  <si>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</si>
  <si>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</si>
  <si>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</si>
  <si>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</si>
  <si>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</si>
  <si>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</si>
  <si>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</si>
  <si>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</si>
  <si>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</si>
  <si>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</si>
  <si>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</si>
  <si>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</si>
  <si>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</si>
  <si>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</si>
  <si>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</si>
  <si>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</si>
  <si>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</si>
  <si>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</si>
  <si>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</si>
  <si>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</si>
  <si>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</si>
  <si>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</si>
  <si>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</si>
  <si>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</si>
  <si>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</si>
  <si>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</si>
  <si>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</si>
  <si>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</si>
  <si>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</si>
  <si>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</si>
  <si>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CAJA</t>
  </si>
  <si>
    <t>3 cajas (6 und)</t>
  </si>
  <si>
    <t>UND</t>
  </si>
  <si>
    <t>MP10935</t>
  </si>
  <si>
    <t>PLT00295 - 20100222 Empaque croissant cereal 6ud</t>
  </si>
  <si>
    <t>01</t>
  </si>
  <si>
    <t>ESP-RE-EMPS-115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</si>
</sst>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_);_(* \(#,##0.00\);_(* &quot;-&quot;??_);_(@_)"/>
  </numFmts>
  <fonts count="46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43" fontId="6" fillId="0" borderId="0" applyFont="0" applyFill="0" applyBorder="0" applyAlignment="0" applyProtection="0"/>
    <xf numFmtId="0" fontId="1" fillId="0" borderId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69">
    <xf numFmtId="0" fontId="0" fillId="0" borderId="0" xfId="0"/>
    <xf numFmtId="0" fontId="1" fillId="3" borderId="31" xfId="2" applyFont="1" applyFill="1" applyBorder="1" applyAlignment="1">
      <alignment horizontal="center"/>
    </xf>
    <xf numFmtId="0" fontId="8" fillId="3" borderId="32" xfId="2" applyFont="1" applyFill="1" applyBorder="1" applyAlignment="1">
      <alignment horizontal="right"/>
    </xf>
    <xf numFmtId="0" fontId="8" fillId="3" borderId="21" xfId="2" applyFont="1" applyFill="1" applyBorder="1" applyAlignment="1">
      <alignment horizontal="right"/>
    </xf>
    <xf numFmtId="49" fontId="2" fillId="3" borderId="27" xfId="2" applyNumberFormat="1" applyFont="1" applyFill="1" applyBorder="1" applyAlignment="1">
      <alignment horizontal="center"/>
    </xf>
    <xf numFmtId="0" fontId="2" fillId="3" borderId="23" xfId="2" applyFont="1" applyFill="1" applyBorder="1" applyAlignment="1">
      <alignment horizontal="right"/>
    </xf>
    <xf numFmtId="0" fontId="2" fillId="3" borderId="21" xfId="2" applyFont="1" applyFill="1" applyBorder="1" applyAlignment="1">
      <alignment horizontal="right"/>
    </xf>
    <xf numFmtId="0" fontId="8" fillId="2" borderId="31" xfId="1" applyFont="1" applyFill="1" applyBorder="1" applyAlignment="1">
      <alignment horizontal="center" vertical="center" wrapText="1"/>
    </xf>
    <xf numFmtId="1" fontId="8" fillId="2" borderId="16" xfId="1" applyNumberFormat="1" applyFont="1" applyFill="1" applyBorder="1" applyAlignment="1">
      <alignment horizontal="center"/>
    </xf>
    <xf numFmtId="1" fontId="8" fillId="2" borderId="16" xfId="1" applyNumberFormat="1" applyFont="1" applyFill="1" applyBorder="1" applyAlignment="1">
      <alignment horizontal="center" wrapText="1"/>
    </xf>
    <xf numFmtId="0" fontId="8" fillId="2" borderId="30" xfId="1" applyFont="1" applyFill="1" applyBorder="1" applyAlignment="1">
      <alignment horizontal="center"/>
    </xf>
    <xf numFmtId="0" fontId="3" fillId="4" borderId="0" xfId="0" applyFont="1" applyFill="1" applyAlignment="1">
      <alignment vertical="center"/>
    </xf>
    <xf numFmtId="0" fontId="11" fillId="8" borderId="21" xfId="0" applyFont="1" applyFill="1" applyBorder="1" applyAlignment="1">
      <alignment horizontal="center" vertical="center" wrapText="1"/>
    </xf>
    <xf numFmtId="0" fontId="11" fillId="8" borderId="2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3" fontId="11" fillId="0" borderId="21" xfId="3" applyFont="1" applyFill="1" applyBorder="1" applyAlignment="1">
      <alignment horizontal="center" vertical="center"/>
    </xf>
    <xf numFmtId="43" fontId="11" fillId="0" borderId="0" xfId="3" applyFont="1" applyFill="1" applyBorder="1" applyAlignment="1">
      <alignment horizontal="center" vertical="center"/>
    </xf>
    <xf numFmtId="43" fontId="13" fillId="0" borderId="0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11" fillId="9" borderId="43" xfId="0" applyFont="1" applyFill="1" applyBorder="1" applyAlignment="1">
      <alignment horizontal="center" vertical="center"/>
    </xf>
    <xf numFmtId="0" fontId="11" fillId="9" borderId="44" xfId="0" applyFont="1" applyFill="1" applyBorder="1" applyAlignment="1">
      <alignment horizontal="center" vertical="center"/>
    </xf>
    <xf numFmtId="0" fontId="11" fillId="9" borderId="44" xfId="0" applyFont="1" applyFill="1" applyBorder="1" applyAlignment="1">
      <alignment horizontal="center" vertical="center" wrapText="1"/>
    </xf>
    <xf numFmtId="0" fontId="11" fillId="9" borderId="4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" fontId="17" fillId="0" borderId="0" xfId="5" applyNumberFormat="1" applyFont="1" applyFill="1" applyAlignment="1">
      <alignment horizontal="center" vertical="center"/>
    </xf>
    <xf numFmtId="4" fontId="11" fillId="0" borderId="0" xfId="5" applyNumberFormat="1" applyFont="1" applyFill="1" applyAlignment="1">
      <alignment horizontal="center" vertical="center"/>
    </xf>
    <xf numFmtId="10" fontId="11" fillId="0" borderId="0" xfId="6" applyNumberFormat="1" applyFont="1" applyFill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0" fontId="12" fillId="0" borderId="0" xfId="6" applyNumberFormat="1" applyFont="1" applyFill="1" applyAlignment="1">
      <alignment vertical="center"/>
    </xf>
    <xf numFmtId="0" fontId="3" fillId="0" borderId="0" xfId="0" applyFont="1"/>
    <xf numFmtId="49" fontId="11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43" fontId="3" fillId="0" borderId="0" xfId="3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" fontId="11" fillId="0" borderId="0" xfId="3" applyNumberFormat="1" applyFont="1" applyFill="1" applyAlignment="1">
      <alignment vertical="center"/>
    </xf>
    <xf numFmtId="43" fontId="19" fillId="0" borderId="0" xfId="3" applyFont="1" applyFill="1" applyAlignment="1">
      <alignment horizontal="center" vertical="center"/>
    </xf>
    <xf numFmtId="10" fontId="12" fillId="9" borderId="46" xfId="6" applyNumberFormat="1" applyFont="1" applyFill="1" applyBorder="1" applyAlignment="1">
      <alignment vertical="center"/>
    </xf>
    <xf numFmtId="0" fontId="3" fillId="9" borderId="12" xfId="0" applyFont="1" applyFill="1" applyBorder="1" applyAlignment="1">
      <alignment vertical="center"/>
    </xf>
    <xf numFmtId="0" fontId="3" fillId="9" borderId="46" xfId="0" applyFont="1" applyFill="1" applyBorder="1" applyAlignment="1">
      <alignment vertical="center"/>
    </xf>
    <xf numFmtId="43" fontId="19" fillId="9" borderId="47" xfId="3" applyFont="1" applyFill="1" applyBorder="1" applyAlignment="1">
      <alignment horizontal="center" vertical="center"/>
    </xf>
    <xf numFmtId="43" fontId="21" fillId="0" borderId="0" xfId="3" applyFont="1" applyFill="1" applyBorder="1" applyAlignment="1">
      <alignment horizontal="right"/>
    </xf>
    <xf numFmtId="0" fontId="3" fillId="9" borderId="47" xfId="0" applyFont="1" applyFill="1" applyBorder="1" applyAlignment="1">
      <alignment vertical="center"/>
    </xf>
    <xf numFmtId="10" fontId="12" fillId="9" borderId="47" xfId="6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9" fontId="22" fillId="0" borderId="0" xfId="6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3" applyNumberFormat="1" applyFont="1" applyFill="1" applyAlignment="1">
      <alignment vertical="center"/>
    </xf>
    <xf numFmtId="4" fontId="19" fillId="0" borderId="0" xfId="5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25" xfId="0" applyFont="1" applyBorder="1" applyAlignment="1">
      <alignment horizontal="right"/>
    </xf>
    <xf numFmtId="43" fontId="25" fillId="5" borderId="48" xfId="3" applyFont="1" applyFill="1" applyBorder="1" applyAlignment="1">
      <alignment horizontal="right"/>
    </xf>
    <xf numFmtId="43" fontId="25" fillId="0" borderId="0" xfId="3" applyFont="1" applyFill="1" applyBorder="1" applyAlignment="1">
      <alignment horizontal="right"/>
    </xf>
    <xf numFmtId="43" fontId="11" fillId="0" borderId="21" xfId="3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5" applyNumberFormat="1" applyFont="1" applyFill="1" applyAlignment="1">
      <alignment horizontal="center" vertical="center"/>
    </xf>
    <xf numFmtId="10" fontId="27" fillId="0" borderId="0" xfId="6" applyNumberFormat="1" applyFont="1" applyFill="1" applyAlignment="1">
      <alignment horizontal="right"/>
    </xf>
    <xf numFmtId="169" fontId="11" fillId="9" borderId="21" xfId="3" applyNumberFormat="1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43" fontId="11" fillId="10" borderId="21" xfId="3" applyFont="1" applyFill="1" applyBorder="1" applyAlignment="1">
      <alignment vertical="center"/>
    </xf>
    <xf numFmtId="170" fontId="28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9" borderId="49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3" applyNumberFormat="1" applyFont="1" applyFill="1" applyBorder="1" applyAlignment="1">
      <alignment horizontal="center"/>
    </xf>
    <xf numFmtId="2" fontId="24" fillId="0" borderId="0" xfId="3" applyNumberFormat="1" applyFont="1" applyFill="1" applyBorder="1" applyAlignment="1">
      <alignment horizontal="center"/>
    </xf>
    <xf numFmtId="0" fontId="3" fillId="9" borderId="49" xfId="0" applyFont="1" applyFill="1" applyBorder="1" applyAlignment="1">
      <alignment vertical="center"/>
    </xf>
    <xf numFmtId="10" fontId="3" fillId="0" borderId="0" xfId="6" applyNumberFormat="1" applyFont="1" applyFill="1" applyAlignment="1">
      <alignment vertical="center"/>
    </xf>
    <xf numFmtId="4" fontId="3" fillId="0" borderId="0" xfId="3" applyNumberFormat="1" applyFont="1" applyFill="1" applyAlignment="1">
      <alignment vertical="center"/>
    </xf>
    <xf numFmtId="43" fontId="25" fillId="9" borderId="12" xfId="3" applyFont="1" applyFill="1" applyBorder="1" applyAlignment="1">
      <alignment horizontal="right"/>
    </xf>
    <xf numFmtId="0" fontId="11" fillId="9" borderId="11" xfId="0" applyFont="1" applyFill="1" applyBorder="1" applyAlignment="1">
      <alignment horizontal="right" vertical="center"/>
    </xf>
    <xf numFmtId="10" fontId="31" fillId="0" borderId="0" xfId="3" applyNumberFormat="1" applyFont="1" applyFill="1" applyAlignment="1">
      <alignment vertical="center"/>
    </xf>
    <xf numFmtId="10" fontId="12" fillId="0" borderId="0" xfId="6" applyNumberFormat="1" applyFont="1" applyFill="1" applyBorder="1" applyAlignment="1">
      <alignment vertical="center"/>
    </xf>
    <xf numFmtId="170" fontId="32" fillId="0" borderId="0" xfId="0" applyNumberFormat="1" applyFont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43" fontId="33" fillId="0" borderId="0" xfId="3" applyFont="1" applyFill="1" applyAlignment="1">
      <alignment vertical="center"/>
    </xf>
    <xf numFmtId="4" fontId="34" fillId="0" borderId="0" xfId="5" applyNumberFormat="1" applyFont="1" applyFill="1" applyAlignment="1">
      <alignment horizontal="center" vertical="center" wrapText="1"/>
    </xf>
    <xf numFmtId="9" fontId="3" fillId="0" borderId="0" xfId="3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11" fillId="12" borderId="48" xfId="3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43" fontId="35" fillId="0" borderId="0" xfId="3" applyFont="1" applyFill="1" applyAlignment="1">
      <alignment vertical="center"/>
    </xf>
    <xf numFmtId="9" fontId="35" fillId="0" borderId="0" xfId="3" applyNumberFormat="1" applyFont="1" applyFill="1" applyAlignment="1">
      <alignment vertical="center"/>
    </xf>
    <xf numFmtId="4" fontId="11" fillId="0" borderId="0" xfId="3" applyNumberFormat="1" applyFont="1" applyFill="1" applyAlignment="1">
      <alignment horizontal="center" vertical="center"/>
    </xf>
    <xf numFmtId="10" fontId="28" fillId="0" borderId="0" xfId="6" applyNumberFormat="1" applyFont="1" applyFill="1" applyAlignment="1">
      <alignment vertical="center"/>
    </xf>
    <xf numFmtId="43" fontId="28" fillId="0" borderId="0" xfId="3" applyFont="1" applyFill="1" applyBorder="1" applyAlignment="1">
      <alignment vertical="center"/>
    </xf>
    <xf numFmtId="4" fontId="3" fillId="0" borderId="0" xfId="0" applyNumberFormat="1" applyFont="1" applyAlignment="1">
      <alignment horizontal="center"/>
    </xf>
    <xf numFmtId="43" fontId="3" fillId="0" borderId="0" xfId="3" applyFont="1" applyFill="1" applyBorder="1"/>
    <xf numFmtId="10" fontId="28" fillId="0" borderId="0" xfId="6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43" fontId="3" fillId="0" borderId="0" xfId="3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70" fontId="11" fillId="0" borderId="0" xfId="0" applyNumberFormat="1" applyFont="1"/>
    <xf numFmtId="14" fontId="2" fillId="3" borderId="40" xfId="2" applyNumberFormat="1" applyFont="1" applyFill="1" applyBorder="1" applyAlignment="1">
      <alignment horizontal="center" vertical="center" wrapText="1"/>
    </xf>
    <xf numFmtId="14" fontId="2" fillId="3" borderId="42" xfId="2" applyNumberFormat="1" applyFont="1" applyFill="1" applyBorder="1" applyAlignment="1">
      <alignment horizontal="center" vertical="center" wrapText="1"/>
    </xf>
    <xf numFmtId="14" fontId="2" fillId="3" borderId="28" xfId="2" applyNumberFormat="1" applyFont="1" applyFill="1" applyBorder="1" applyAlignment="1">
      <alignment horizontal="center" vertical="center" wrapText="1"/>
    </xf>
    <xf numFmtId="0" fontId="2" fillId="3" borderId="41" xfId="2" applyFont="1" applyFill="1" applyBorder="1" applyAlignment="1">
      <alignment horizontal="left"/>
    </xf>
    <xf numFmtId="0" fontId="2" fillId="3" borderId="9" xfId="2" applyFont="1" applyFill="1" applyBorder="1" applyAlignment="1">
      <alignment horizontal="left"/>
    </xf>
    <xf numFmtId="0" fontId="2" fillId="3" borderId="8" xfId="2" applyFont="1" applyFill="1" applyBorder="1" applyAlignment="1">
      <alignment horizontal="left"/>
    </xf>
    <xf numFmtId="0" fontId="2" fillId="3" borderId="20" xfId="2" applyFont="1" applyFill="1" applyBorder="1" applyAlignment="1">
      <alignment horizontal="left"/>
    </xf>
    <xf numFmtId="0" fontId="2" fillId="3" borderId="6" xfId="2" applyFont="1" applyFill="1" applyBorder="1" applyAlignment="1">
      <alignment horizontal="left"/>
    </xf>
    <xf numFmtId="0" fontId="2" fillId="3" borderId="5" xfId="2" applyFont="1" applyFill="1" applyBorder="1" applyAlignment="1">
      <alignment horizontal="left"/>
    </xf>
    <xf numFmtId="0" fontId="2" fillId="3" borderId="34" xfId="2" applyFont="1" applyFill="1" applyBorder="1" applyAlignment="1">
      <alignment horizontal="center"/>
    </xf>
    <xf numFmtId="0" fontId="2" fillId="3" borderId="37" xfId="2" applyFont="1" applyFill="1" applyBorder="1" applyAlignment="1">
      <alignment horizontal="center"/>
    </xf>
    <xf numFmtId="0" fontId="2" fillId="3" borderId="26" xfId="2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0" fontId="2" fillId="3" borderId="4" xfId="2" applyFont="1" applyFill="1" applyBorder="1" applyAlignment="1">
      <alignment horizontal="center"/>
    </xf>
    <xf numFmtId="0" fontId="2" fillId="3" borderId="3" xfId="2" applyFont="1" applyFill="1" applyBorder="1" applyAlignment="1">
      <alignment horizontal="center"/>
    </xf>
    <xf numFmtId="0" fontId="7" fillId="3" borderId="32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center"/>
    </xf>
    <xf numFmtId="0" fontId="7" fillId="3" borderId="38" xfId="2" applyFont="1" applyFill="1" applyBorder="1" applyAlignment="1">
      <alignment horizontal="center"/>
    </xf>
    <xf numFmtId="0" fontId="7" fillId="3" borderId="17" xfId="2" applyFont="1" applyFill="1" applyBorder="1" applyAlignment="1">
      <alignment horizontal="center"/>
    </xf>
    <xf numFmtId="0" fontId="8" fillId="3" borderId="39" xfId="2" applyFont="1" applyFill="1" applyBorder="1" applyAlignment="1">
      <alignment horizontal="right" vertical="top" wrapText="1"/>
    </xf>
    <xf numFmtId="0" fontId="8" fillId="3" borderId="35" xfId="2" applyFont="1" applyFill="1" applyBorder="1" applyAlignment="1">
      <alignment horizontal="right" vertical="top" wrapText="1"/>
    </xf>
    <xf numFmtId="0" fontId="8" fillId="3" borderId="36" xfId="2" applyFont="1" applyFill="1" applyBorder="1" applyAlignment="1">
      <alignment horizontal="right" vertical="top" wrapText="1"/>
    </xf>
    <xf numFmtId="0" fontId="5" fillId="3" borderId="0" xfId="2" applyFont="1" applyFill="1" applyAlignment="1">
      <alignment horizontal="right"/>
    </xf>
    <xf numFmtId="0" fontId="5" fillId="3" borderId="0" xfId="2" applyFont="1" applyFill="1"/>
    <xf numFmtId="0" fontId="8" fillId="2" borderId="33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6" fillId="0" borderId="13" xfId="0" applyFont="1" applyBorder="1" applyAlignment="1">
      <alignment horizontal="right" vertical="center"/>
    </xf>
    <xf numFmtId="0" fontId="36" fillId="0" borderId="12" xfId="0" applyFont="1" applyBorder="1" applyAlignment="1">
      <alignment horizontal="right" vertical="center"/>
    </xf>
    <xf numFmtId="0" fontId="36" fillId="0" borderId="11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1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9" borderId="13" xfId="0" applyFont="1" applyFill="1" applyBorder="1" applyAlignment="1">
      <alignment horizontal="right"/>
    </xf>
    <xf numFmtId="0" fontId="25" fillId="9" borderId="12" xfId="0" applyFont="1" applyFill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1" fillId="0" borderId="50" xfId="0" applyFont="1" applyBorder="1" applyAlignment="1">
      <alignment horizontal="right" vertical="center"/>
    </xf>
    <xf numFmtId="0" fontId="11" fillId="11" borderId="13" xfId="0" applyFont="1" applyFill="1" applyBorder="1" applyAlignment="1">
      <alignment horizontal="right" vertical="center"/>
    </xf>
    <xf numFmtId="0" fontId="11" fillId="11" borderId="12" xfId="0" applyFont="1" applyFill="1" applyBorder="1" applyAlignment="1">
      <alignment horizontal="right" vertical="center"/>
    </xf>
    <xf numFmtId="0" fontId="11" fillId="11" borderId="11" xfId="0" applyFont="1" applyFill="1" applyBorder="1" applyAlignment="1">
      <alignment horizontal="right" vertical="center"/>
    </xf>
    <xf numFmtId="4" fontId="34" fillId="0" borderId="0" xfId="5" applyNumberFormat="1" applyFont="1" applyFill="1" applyAlignment="1">
      <alignment horizontal="center" vertical="center" wrapText="1"/>
    </xf>
    <xf numFmtId="0" fontId="28" fillId="0" borderId="21" xfId="0" applyFont="1" applyBorder="1" applyAlignment="1">
      <alignment horizontal="right" vertical="center"/>
    </xf>
    <xf numFmtId="0" fontId="29" fillId="0" borderId="26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25" xfId="0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20" fillId="0" borderId="34" xfId="0" applyFont="1" applyBorder="1" applyAlignment="1">
      <alignment horizontal="right"/>
    </xf>
    <xf numFmtId="0" fontId="20" fillId="0" borderId="37" xfId="0" applyFont="1" applyBorder="1" applyAlignment="1">
      <alignment horizontal="right"/>
    </xf>
    <xf numFmtId="0" fontId="3" fillId="0" borderId="21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right" vertical="center" wrapText="1"/>
    </xf>
    <xf numFmtId="0" fontId="39" fillId="5" borderId="21" xfId="2" applyFont="1" applyFill="1" applyBorder="1" applyAlignment="1">
      <alignment horizontal="center" vertical="center" wrapText="1"/>
    </xf>
    <xf numFmtId="0" fontId="40" fillId="3" borderId="1" xfId="2" applyFont="1" applyFill="1" applyBorder="1" applyAlignment="1">
      <alignment horizontal="center"/>
    </xf>
    <xf numFmtId="14" fontId="40" fillId="3" borderId="0" xfId="2" applyNumberFormat="1" applyFont="1" applyFill="1" applyAlignment="1">
      <alignment horizontal="center" vertical="center" wrapText="1"/>
    </xf>
    <xf numFmtId="0" fontId="41" fillId="0" borderId="29" xfId="1" applyFont="1" applyBorder="1" applyAlignment="1">
      <alignment horizontal="center" vertical="center"/>
    </xf>
    <xf numFmtId="0" fontId="41" fillId="0" borderId="5" xfId="1" applyFont="1" applyBorder="1" applyAlignment="1">
      <alignment horizontal="center" vertical="center"/>
    </xf>
    <xf numFmtId="0" fontId="42" fillId="0" borderId="21" xfId="1" applyFont="1" applyBorder="1" applyAlignment="1">
      <alignment vertical="center"/>
    </xf>
    <xf numFmtId="0" fontId="41" fillId="0" borderId="21" xfId="1" applyFont="1" applyBorder="1" applyAlignment="1">
      <alignment horizontal="center" vertical="center"/>
    </xf>
    <xf numFmtId="1" fontId="41" fillId="0" borderId="21" xfId="1" applyNumberFormat="1" applyFont="1" applyBorder="1" applyAlignment="1">
      <alignment horizontal="center"/>
    </xf>
    <xf numFmtId="1" fontId="41" fillId="0" borderId="21" xfId="1" applyNumberFormat="1" applyFont="1" applyBorder="1" applyAlignment="1">
      <alignment horizontal="center" wrapText="1"/>
    </xf>
    <xf numFmtId="0" fontId="43" fillId="0" borderId="27" xfId="1" applyFont="1" applyBorder="1" applyAlignment="1">
      <alignment horizontal="center"/>
    </xf>
    <xf numFmtId="0" fontId="43" fillId="0" borderId="29" xfId="0" applyFont="1" applyBorder="1" applyAlignment="1">
      <alignment horizontal="center"/>
    </xf>
    <xf numFmtId="0" fontId="43" fillId="7" borderId="0" xfId="0" applyFont="1" applyFill="1" applyAlignment="1">
      <alignment horizontal="center"/>
    </xf>
    <xf numFmtId="0" fontId="43" fillId="7" borderId="21" xfId="0" applyFont="1" applyFill="1" applyBorder="1"/>
    <xf numFmtId="0" fontId="43" fillId="0" borderId="23" xfId="0" applyFont="1" applyBorder="1" applyAlignment="1">
      <alignment horizontal="center"/>
    </xf>
    <xf numFmtId="1" fontId="43" fillId="0" borderId="23" xfId="0" applyNumberFormat="1" applyFont="1" applyBorder="1" applyAlignment="1">
      <alignment horizontal="center"/>
    </xf>
    <xf numFmtId="0" fontId="43" fillId="7" borderId="23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21" xfId="0" applyFont="1" applyBorder="1" applyAlignment="1">
      <alignment horizontal="center"/>
    </xf>
    <xf numFmtId="2" fontId="41" fillId="0" borderId="21" xfId="1" applyNumberFormat="1" applyFont="1" applyBorder="1" applyAlignment="1">
      <alignment horizontal="center"/>
    </xf>
    <xf numFmtId="1" fontId="43" fillId="0" borderId="21" xfId="0" applyNumberFormat="1" applyFont="1" applyBorder="1" applyAlignment="1">
      <alignment horizontal="center"/>
    </xf>
    <xf numFmtId="0" fontId="43" fillId="0" borderId="21" xfId="1" applyFont="1" applyBorder="1" applyAlignment="1">
      <alignment horizontal="center"/>
    </xf>
    <xf numFmtId="0" fontId="43" fillId="4" borderId="21" xfId="0" applyFont="1" applyFill="1" applyBorder="1"/>
    <xf numFmtId="1" fontId="43" fillId="0" borderId="21" xfId="1" applyNumberFormat="1" applyFont="1" applyBorder="1" applyAlignment="1">
      <alignment horizontal="center"/>
    </xf>
    <xf numFmtId="1" fontId="43" fillId="0" borderId="21" xfId="1" applyNumberFormat="1" applyFont="1" applyBorder="1" applyAlignment="1">
      <alignment horizontal="center" wrapText="1"/>
    </xf>
    <xf numFmtId="49" fontId="43" fillId="0" borderId="29" xfId="1" applyNumberFormat="1" applyFont="1" applyBorder="1" applyAlignment="1">
      <alignment horizontal="center"/>
    </xf>
    <xf numFmtId="49" fontId="43" fillId="0" borderId="5" xfId="1" applyNumberFormat="1" applyFont="1" applyBorder="1" applyAlignment="1">
      <alignment horizontal="center"/>
    </xf>
    <xf numFmtId="0" fontId="41" fillId="4" borderId="21" xfId="1" applyFont="1" applyFill="1" applyBorder="1" applyAlignment="1">
      <alignment horizontal="left"/>
    </xf>
    <xf numFmtId="165" fontId="43" fillId="0" borderId="21" xfId="1" applyNumberFormat="1" applyFont="1" applyBorder="1" applyAlignment="1">
      <alignment horizontal="center"/>
    </xf>
    <xf numFmtId="0" fontId="43" fillId="0" borderId="29" xfId="4" applyFont="1" applyBorder="1" applyAlignment="1">
      <alignment horizontal="center"/>
    </xf>
    <xf numFmtId="0" fontId="43" fillId="4" borderId="21" xfId="4" applyFont="1" applyFill="1" applyBorder="1"/>
    <xf numFmtId="16" fontId="43" fillId="0" borderId="21" xfId="4" applyNumberFormat="1" applyFont="1" applyBorder="1" applyAlignment="1">
      <alignment horizontal="center"/>
    </xf>
    <xf numFmtId="0" fontId="42" fillId="4" borderId="21" xfId="1" applyFont="1" applyFill="1" applyBorder="1" applyAlignment="1">
      <alignment vertical="center"/>
    </xf>
    <xf numFmtId="0" fontId="41" fillId="0" borderId="5" xfId="1" applyFont="1" applyBorder="1" applyAlignment="1">
      <alignment horizontal="center"/>
    </xf>
    <xf numFmtId="165" fontId="41" fillId="0" borderId="21" xfId="1" applyNumberFormat="1" applyFont="1" applyBorder="1" applyAlignment="1">
      <alignment horizontal="center"/>
    </xf>
    <xf numFmtId="0" fontId="43" fillId="0" borderId="21" xfId="0" applyFont="1" applyBorder="1" applyAlignment="1">
      <alignment horizontal="center" wrapText="1"/>
    </xf>
    <xf numFmtId="166" fontId="41" fillId="4" borderId="21" xfId="3" applyNumberFormat="1" applyFont="1" applyFill="1" applyBorder="1" applyAlignment="1">
      <alignment horizontal="center"/>
    </xf>
    <xf numFmtId="0" fontId="43" fillId="0" borderId="5" xfId="0" applyFont="1" applyBorder="1" applyAlignment="1">
      <alignment horizontal="center"/>
    </xf>
    <xf numFmtId="0" fontId="41" fillId="0" borderId="21" xfId="0" applyFont="1" applyBorder="1"/>
    <xf numFmtId="0" fontId="44" fillId="0" borderId="29" xfId="0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44" fillId="0" borderId="21" xfId="0" applyFont="1" applyBorder="1"/>
    <xf numFmtId="0" fontId="44" fillId="0" borderId="21" xfId="0" applyFont="1" applyBorder="1" applyAlignment="1">
      <alignment horizontal="center" vertical="center"/>
    </xf>
    <xf numFmtId="0" fontId="44" fillId="0" borderId="21" xfId="0" applyFont="1" applyBorder="1" applyAlignment="1">
      <alignment horizontal="left" vertical="center"/>
    </xf>
    <xf numFmtId="12" fontId="43" fillId="0" borderId="21" xfId="1" applyNumberFormat="1" applyFont="1" applyBorder="1" applyAlignment="1">
      <alignment horizontal="center"/>
    </xf>
    <xf numFmtId="49" fontId="45" fillId="3" borderId="26" xfId="1" applyNumberFormat="1" applyFont="1" applyFill="1" applyBorder="1" applyAlignment="1">
      <alignment horizontal="center" vertical="center"/>
    </xf>
    <xf numFmtId="49" fontId="45" fillId="3" borderId="0" xfId="1" applyNumberFormat="1" applyFont="1" applyFill="1" applyAlignment="1">
      <alignment horizontal="center" vertical="center"/>
    </xf>
    <xf numFmtId="0" fontId="43" fillId="3" borderId="0" xfId="1" applyFont="1" applyFill="1"/>
    <xf numFmtId="1" fontId="43" fillId="3" borderId="0" xfId="1" applyNumberFormat="1" applyFont="1" applyFill="1" applyAlignment="1">
      <alignment horizontal="center"/>
    </xf>
    <xf numFmtId="164" fontId="43" fillId="3" borderId="0" xfId="1" applyNumberFormat="1" applyFont="1" applyFill="1" applyAlignment="1">
      <alignment horizontal="center" wrapText="1"/>
    </xf>
    <xf numFmtId="0" fontId="43" fillId="3" borderId="25" xfId="1" applyFont="1" applyFill="1" applyBorder="1" applyAlignment="1">
      <alignment horizontal="center"/>
    </xf>
    <xf numFmtId="0" fontId="43" fillId="2" borderId="13" xfId="1" applyFont="1" applyFill="1" applyBorder="1" applyAlignment="1">
      <alignment horizontal="center"/>
    </xf>
    <xf numFmtId="0" fontId="43" fillId="2" borderId="12" xfId="1" applyFont="1" applyFill="1" applyBorder="1" applyAlignment="1">
      <alignment horizontal="center"/>
    </xf>
    <xf numFmtId="0" fontId="43" fillId="2" borderId="12" xfId="1" applyFont="1" applyFill="1" applyBorder="1"/>
    <xf numFmtId="0" fontId="41" fillId="2" borderId="12" xfId="1" applyFont="1" applyFill="1" applyBorder="1" applyAlignment="1">
      <alignment horizontal="center"/>
    </xf>
    <xf numFmtId="1" fontId="41" fillId="2" borderId="12" xfId="1" applyNumberFormat="1" applyFont="1" applyFill="1" applyBorder="1" applyAlignment="1">
      <alignment horizontal="center"/>
    </xf>
    <xf numFmtId="164" fontId="43" fillId="2" borderId="12" xfId="1" applyNumberFormat="1" applyFont="1" applyFill="1" applyBorder="1" applyAlignment="1">
      <alignment horizontal="center" wrapText="1"/>
    </xf>
    <xf numFmtId="0" fontId="43" fillId="2" borderId="11" xfId="1" applyFont="1" applyFill="1" applyBorder="1" applyAlignment="1">
      <alignment horizontal="center"/>
    </xf>
    <xf numFmtId="0" fontId="41" fillId="0" borderId="4" xfId="1" applyFont="1" applyBorder="1" applyAlignment="1">
      <alignment horizontal="right"/>
    </xf>
    <xf numFmtId="0" fontId="41" fillId="0" borderId="3" xfId="1" applyFont="1" applyBorder="1" applyAlignment="1">
      <alignment horizontal="right"/>
    </xf>
    <xf numFmtId="0" fontId="41" fillId="0" borderId="24" xfId="1" applyFont="1" applyBorder="1" applyAlignment="1">
      <alignment horizontal="right"/>
    </xf>
    <xf numFmtId="0" fontId="43" fillId="0" borderId="22" xfId="0" applyFont="1" applyBorder="1" applyAlignment="1">
      <alignment horizontal="center"/>
    </xf>
    <xf numFmtId="164" fontId="43" fillId="0" borderId="23" xfId="1" applyNumberFormat="1" applyFont="1" applyBorder="1" applyAlignment="1">
      <alignment horizontal="right"/>
    </xf>
    <xf numFmtId="0" fontId="43" fillId="3" borderId="22" xfId="1" applyFont="1" applyFill="1" applyBorder="1" applyAlignment="1">
      <alignment horizontal="center"/>
    </xf>
    <xf numFmtId="0" fontId="43" fillId="3" borderId="2" xfId="1" applyFont="1" applyFill="1" applyBorder="1" applyAlignment="1">
      <alignment horizontal="center"/>
    </xf>
    <xf numFmtId="0" fontId="41" fillId="0" borderId="7" xfId="1" applyFont="1" applyBorder="1" applyAlignment="1">
      <alignment horizontal="right"/>
    </xf>
    <xf numFmtId="0" fontId="41" fillId="0" borderId="6" xfId="1" applyFont="1" applyBorder="1" applyAlignment="1">
      <alignment horizontal="right"/>
    </xf>
    <xf numFmtId="0" fontId="41" fillId="0" borderId="5" xfId="1" applyFont="1" applyBorder="1" applyAlignment="1">
      <alignment horizontal="right"/>
    </xf>
    <xf numFmtId="0" fontId="41" fillId="0" borderId="21" xfId="0" applyFont="1" applyBorder="1" applyAlignment="1">
      <alignment horizontal="center"/>
    </xf>
    <xf numFmtId="0" fontId="43" fillId="0" borderId="21" xfId="1" applyFont="1" applyBorder="1" applyAlignment="1">
      <alignment horizontal="right"/>
    </xf>
    <xf numFmtId="164" fontId="43" fillId="7" borderId="20" xfId="1" applyNumberFormat="1" applyFont="1" applyFill="1" applyBorder="1" applyAlignment="1">
      <alignment horizontal="center"/>
    </xf>
    <xf numFmtId="164" fontId="43" fillId="7" borderId="19" xfId="1" applyNumberFormat="1" applyFont="1" applyFill="1" applyBorder="1" applyAlignment="1">
      <alignment horizontal="center"/>
    </xf>
    <xf numFmtId="0" fontId="43" fillId="7" borderId="21" xfId="0" applyFont="1" applyFill="1" applyBorder="1" applyAlignment="1">
      <alignment horizontal="center"/>
    </xf>
    <xf numFmtId="164" fontId="43" fillId="0" borderId="20" xfId="1" applyNumberFormat="1" applyFont="1" applyBorder="1" applyAlignment="1">
      <alignment horizontal="right" wrapText="1"/>
    </xf>
    <xf numFmtId="164" fontId="43" fillId="0" borderId="5" xfId="1" applyNumberFormat="1" applyFont="1" applyBorder="1" applyAlignment="1">
      <alignment horizontal="right" wrapText="1"/>
    </xf>
    <xf numFmtId="0" fontId="41" fillId="0" borderId="18" xfId="1" applyFont="1" applyBorder="1" applyAlignment="1">
      <alignment horizontal="right"/>
    </xf>
    <xf numFmtId="0" fontId="41" fillId="0" borderId="17" xfId="1" applyFont="1" applyBorder="1" applyAlignment="1">
      <alignment horizontal="right"/>
    </xf>
    <xf numFmtId="0" fontId="41" fillId="0" borderId="16" xfId="1" applyFont="1" applyBorder="1" applyAlignment="1">
      <alignment horizontal="right"/>
    </xf>
    <xf numFmtId="1" fontId="43" fillId="0" borderId="16" xfId="0" applyNumberFormat="1" applyFont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16" xfId="1" applyFont="1" applyBorder="1" applyAlignment="1">
      <alignment horizontal="right"/>
    </xf>
    <xf numFmtId="164" fontId="43" fillId="0" borderId="15" xfId="1" applyNumberFormat="1" applyFont="1" applyBorder="1" applyAlignment="1">
      <alignment horizontal="center"/>
    </xf>
    <xf numFmtId="164" fontId="43" fillId="0" borderId="14" xfId="1" applyNumberFormat="1" applyFont="1" applyBorder="1" applyAlignment="1">
      <alignment horizontal="center"/>
    </xf>
    <xf numFmtId="0" fontId="43" fillId="0" borderId="10" xfId="0" applyFont="1" applyBorder="1" applyAlignment="1">
      <alignment horizontal="left"/>
    </xf>
    <xf numFmtId="0" fontId="43" fillId="0" borderId="9" xfId="0" applyFont="1" applyBorder="1" applyAlignment="1">
      <alignment horizontal="left"/>
    </xf>
    <xf numFmtId="0" fontId="43" fillId="0" borderId="8" xfId="0" applyFont="1" applyBorder="1" applyAlignment="1">
      <alignment horizontal="left"/>
    </xf>
    <xf numFmtId="0" fontId="43" fillId="0" borderId="7" xfId="0" applyFont="1" applyBorder="1" applyAlignment="1">
      <alignment horizontal="left"/>
    </xf>
    <xf numFmtId="0" fontId="43" fillId="0" borderId="6" xfId="0" applyFont="1" applyBorder="1" applyAlignment="1">
      <alignment horizontal="left"/>
    </xf>
    <xf numFmtId="0" fontId="43" fillId="0" borderId="5" xfId="0" applyFont="1" applyBorder="1" applyAlignment="1">
      <alignment horizontal="left"/>
    </xf>
    <xf numFmtId="0" fontId="43" fillId="0" borderId="51" xfId="0" applyFont="1" applyBorder="1" applyAlignment="1">
      <alignment horizontal="center"/>
    </xf>
    <xf numFmtId="0" fontId="44" fillId="0" borderId="21" xfId="0" applyFont="1" applyBorder="1" applyAlignment="1">
      <alignment horizontal="center"/>
    </xf>
    <xf numFmtId="0" fontId="41" fillId="2" borderId="13" xfId="1" applyFont="1" applyFill="1" applyBorder="1" applyAlignment="1">
      <alignment horizontal="center"/>
    </xf>
    <xf numFmtId="0" fontId="41" fillId="2" borderId="12" xfId="1" applyFont="1" applyFill="1" applyBorder="1" applyAlignment="1">
      <alignment horizontal="center"/>
    </xf>
    <xf numFmtId="0" fontId="41" fillId="2" borderId="11" xfId="1" applyFont="1" applyFill="1" applyBorder="1" applyAlignment="1">
      <alignment horizontal="center"/>
    </xf>
    <xf numFmtId="0" fontId="43" fillId="0" borderId="52" xfId="1" applyFont="1" applyBorder="1" applyAlignment="1">
      <alignment horizontal="left"/>
    </xf>
    <xf numFmtId="0" fontId="43" fillId="0" borderId="53" xfId="1" applyFont="1" applyBorder="1" applyAlignment="1">
      <alignment horizontal="left"/>
    </xf>
    <xf numFmtId="0" fontId="43" fillId="0" borderId="54" xfId="1" applyFont="1" applyBorder="1" applyAlignment="1">
      <alignment horizontal="left"/>
    </xf>
    <xf numFmtId="0" fontId="41" fillId="6" borderId="21" xfId="2" applyFont="1" applyFill="1" applyBorder="1" applyAlignment="1">
      <alignment horizontal="center"/>
    </xf>
    <xf numFmtId="0" fontId="43" fillId="3" borderId="21" xfId="2" applyFont="1" applyFill="1" applyBorder="1" applyAlignment="1">
      <alignment horizontal="left"/>
    </xf>
    <xf numFmtId="49" fontId="41" fillId="0" borderId="21" xfId="1" applyNumberFormat="1" applyFont="1" applyBorder="1" applyAlignment="1">
      <alignment horizontal="center"/>
    </xf>
  </cellXfs>
  <cellStyles count="7">
    <cellStyle name="Millares" xfId="3" builtinId="3"/>
    <cellStyle name="Millares [0]" xfId="5" builtinId="6"/>
    <cellStyle name="Normal" xfId="0" builtinId="0"/>
    <cellStyle name="Normal 2" xfId="1" xr:uid="{C6D6C818-7A50-4EB5-BDC9-46EC24762E02}"/>
    <cellStyle name="Normal 3 2" xfId="4" xr:uid="{E9ACCA26-286F-4599-83E3-CDAFCB1990EB}"/>
    <cellStyle name="Normal_CRITERIOS DE EVALUACION PT DE GB 2" xfId="2" xr:uid="{1681D0E9-B51E-4210-8149-4CDDDC244EFE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0</xdr:row>
      <xdr:rowOff>178594</xdr:rowOff>
    </xdr:from>
    <xdr:to>
      <xdr:col>1</xdr:col>
      <xdr:colOff>1001853</xdr:colOff>
      <xdr:row>4</xdr:row>
      <xdr:rowOff>34925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46EF64FB-4776-47FF-B694-9575E0C30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78594"/>
          <a:ext cx="1847197" cy="90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342900</xdr:colOff>
      <xdr:row>6</xdr:row>
      <xdr:rowOff>15240</xdr:rowOff>
    </xdr:from>
    <xdr:to>
      <xdr:col>47</xdr:col>
      <xdr:colOff>123122</xdr:colOff>
      <xdr:row>26</xdr:row>
      <xdr:rowOff>127958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C2AC57-7CED-4A33-AA6F-363AEEFA1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729740"/>
          <a:ext cx="20872382" cy="13319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6F95-9A00-45A7-8D29-E077A29DC1C9}">
  <sheetPr>
    <pageSetUpPr fitToPage="1"/>
  </sheetPr>
  <dimension ref="A1:I36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3.28515625" bestFit="1" customWidth="1"/>
    <col min="2" max="2" width="15.85546875" customWidth="1"/>
    <col min="3" max="3" width="56.7109375" bestFit="1" customWidth="1"/>
    <col min="4" max="4" width="24.140625" bestFit="1" customWidth="1"/>
    <col min="5" max="5" width="15.85546875" customWidth="1"/>
    <col min="8" max="8" width="20.140625" customWidth="1"/>
    <col min="9" max="9" width="18" bestFit="1" customWidth="1"/>
  </cols>
  <sheetData>
    <row r="1" spans="1:9" ht="15" x14ac:dyDescent="0.2">
      <c r="A1" s="117"/>
      <c r="B1" s="118"/>
      <c r="C1" s="123" t="s">
        <v>26</v>
      </c>
      <c r="D1" s="123"/>
      <c r="E1" s="123"/>
      <c r="F1" s="123"/>
      <c r="G1" s="123"/>
      <c r="H1" s="2" t="s">
        <v>25</v>
      </c>
      <c r="I1" s="1" t="s">
        <v>129</v>
      </c>
    </row>
    <row r="2" spans="1:9" ht="18" customHeight="1" thickBot="1" x14ac:dyDescent="0.3">
      <c r="A2" s="119"/>
      <c r="B2" s="120"/>
      <c r="C2" s="124" t="s">
        <v>24</v>
      </c>
      <c r="D2" s="125"/>
      <c r="E2" s="125"/>
      <c r="F2" s="125"/>
      <c r="G2" s="126"/>
      <c r="H2" s="3" t="s">
        <v>23</v>
      </c>
      <c r="I2" s="4" t="s">
        <v>128</v>
      </c>
    </row>
    <row r="3" spans="1:9" ht="31.5" customHeight="1" thickBot="1" x14ac:dyDescent="0.25">
      <c r="A3" s="119"/>
      <c r="B3" s="120"/>
      <c r="C3" s="169" t="s">
        <v>127</v>
      </c>
      <c r="D3" s="169"/>
      <c r="E3" s="169"/>
      <c r="F3" s="169"/>
      <c r="G3" s="169"/>
      <c r="H3" s="127" t="s">
        <v>22</v>
      </c>
      <c r="I3" s="108">
        <v>46133</v>
      </c>
    </row>
    <row r="4" spans="1:9" ht="18" customHeight="1" x14ac:dyDescent="0.25">
      <c r="A4" s="119"/>
      <c r="B4" s="120"/>
      <c r="C4" s="5" t="s">
        <v>21</v>
      </c>
      <c r="D4" s="111" t="s">
        <v>39</v>
      </c>
      <c r="E4" s="112"/>
      <c r="F4" s="112"/>
      <c r="G4" s="113"/>
      <c r="H4" s="128"/>
      <c r="I4" s="109"/>
    </row>
    <row r="5" spans="1:9" ht="14.25" thickBot="1" x14ac:dyDescent="0.3">
      <c r="A5" s="121"/>
      <c r="B5" s="122"/>
      <c r="C5" s="6" t="s">
        <v>20</v>
      </c>
      <c r="D5" s="114" t="s">
        <v>28</v>
      </c>
      <c r="E5" s="115"/>
      <c r="F5" s="115"/>
      <c r="G5" s="116"/>
      <c r="H5" s="129"/>
      <c r="I5" s="110"/>
    </row>
    <row r="6" spans="1:9" ht="18.75" thickBot="1" x14ac:dyDescent="0.3">
      <c r="A6" s="130" t="s">
        <v>19</v>
      </c>
      <c r="B6" s="130"/>
      <c r="C6" s="130"/>
      <c r="D6" s="170" t="s">
        <v>29</v>
      </c>
      <c r="E6" s="170"/>
      <c r="F6" s="170"/>
      <c r="G6" s="131" t="s">
        <v>18</v>
      </c>
      <c r="H6" s="131"/>
      <c r="I6" s="171" t="s">
        <v>29</v>
      </c>
    </row>
    <row r="7" spans="1:9" ht="25.5" x14ac:dyDescent="0.2">
      <c r="A7" s="132" t="s">
        <v>30</v>
      </c>
      <c r="B7" s="134" t="s">
        <v>31</v>
      </c>
      <c r="C7" s="136" t="s">
        <v>17</v>
      </c>
      <c r="D7" s="136" t="s">
        <v>16</v>
      </c>
      <c r="E7" s="136" t="s">
        <v>15</v>
      </c>
      <c r="F7" s="136"/>
      <c r="G7" s="136" t="s">
        <v>14</v>
      </c>
      <c r="H7" s="136"/>
      <c r="I7" s="7" t="s">
        <v>13</v>
      </c>
    </row>
    <row r="8" spans="1:9" ht="26.25" thickBot="1" x14ac:dyDescent="0.25">
      <c r="A8" s="133"/>
      <c r="B8" s="135"/>
      <c r="C8" s="137"/>
      <c r="D8" s="137"/>
      <c r="E8" s="8" t="s">
        <v>10</v>
      </c>
      <c r="F8" s="9" t="s">
        <v>12</v>
      </c>
      <c r="G8" s="8" t="s">
        <v>10</v>
      </c>
      <c r="H8" s="9" t="s">
        <v>12</v>
      </c>
      <c r="I8" s="10" t="s">
        <v>11</v>
      </c>
    </row>
    <row r="9" spans="1:9" ht="20.25" x14ac:dyDescent="0.3">
      <c r="A9" s="172"/>
      <c r="B9" s="173"/>
      <c r="C9" s="174" t="s">
        <v>32</v>
      </c>
      <c r="D9" s="175"/>
      <c r="E9" s="176"/>
      <c r="F9" s="177"/>
      <c r="G9" s="176"/>
      <c r="H9" s="177"/>
      <c r="I9" s="178"/>
    </row>
    <row r="10" spans="1:9" ht="20.25" x14ac:dyDescent="0.3">
      <c r="A10" s="258"/>
      <c r="B10" s="180" t="s">
        <v>126</v>
      </c>
      <c r="C10" s="181" t="s">
        <v>62</v>
      </c>
      <c r="D10" s="182" t="s">
        <v>40</v>
      </c>
      <c r="E10" s="182">
        <v>540</v>
      </c>
      <c r="F10" s="182" t="s">
        <v>1</v>
      </c>
      <c r="G10" s="183"/>
      <c r="H10" s="184" t="s">
        <v>59</v>
      </c>
      <c r="I10" s="178"/>
    </row>
    <row r="11" spans="1:9" ht="20.25" x14ac:dyDescent="0.3">
      <c r="A11" s="259"/>
      <c r="B11" s="187" t="s">
        <v>53</v>
      </c>
      <c r="C11" s="186" t="s">
        <v>54</v>
      </c>
      <c r="D11" s="187"/>
      <c r="E11" s="187">
        <v>1</v>
      </c>
      <c r="F11" s="187" t="s">
        <v>4</v>
      </c>
      <c r="G11" s="188"/>
      <c r="H11" s="182"/>
      <c r="I11" s="178"/>
    </row>
    <row r="12" spans="1:9" ht="20.25" x14ac:dyDescent="0.3">
      <c r="A12" s="187"/>
      <c r="B12" s="187"/>
      <c r="C12" s="191"/>
      <c r="D12" s="192"/>
      <c r="E12" s="192"/>
      <c r="F12" s="193"/>
      <c r="G12" s="176"/>
      <c r="H12" s="177"/>
      <c r="I12" s="178"/>
    </row>
    <row r="13" spans="1:9" ht="20.25" x14ac:dyDescent="0.3">
      <c r="A13" s="194"/>
      <c r="B13" s="195"/>
      <c r="C13" s="196" t="s">
        <v>33</v>
      </c>
      <c r="D13" s="190"/>
      <c r="E13" s="197"/>
      <c r="F13" s="193"/>
      <c r="G13" s="176"/>
      <c r="H13" s="177"/>
      <c r="I13" s="178"/>
    </row>
    <row r="14" spans="1:9" ht="20.25" x14ac:dyDescent="0.3">
      <c r="A14" s="198"/>
      <c r="B14" s="190"/>
      <c r="C14" s="199"/>
      <c r="D14" s="200"/>
      <c r="E14" s="192"/>
      <c r="F14" s="193"/>
      <c r="G14" s="176"/>
      <c r="H14" s="177"/>
      <c r="I14" s="178"/>
    </row>
    <row r="15" spans="1:9" ht="20.25" x14ac:dyDescent="0.3">
      <c r="A15" s="268"/>
      <c r="B15" s="268"/>
      <c r="C15" s="201" t="s">
        <v>34</v>
      </c>
      <c r="D15" s="202"/>
      <c r="E15" s="203"/>
      <c r="F15" s="177"/>
      <c r="G15" s="176"/>
      <c r="H15" s="186"/>
      <c r="I15" s="178"/>
    </row>
    <row r="16" spans="1:9" ht="20.25" x14ac:dyDescent="0.3">
      <c r="A16" s="179"/>
      <c r="B16" s="185" t="s">
        <v>64</v>
      </c>
      <c r="C16" s="186" t="s">
        <v>65</v>
      </c>
      <c r="D16" s="187" t="s">
        <v>41</v>
      </c>
      <c r="E16" s="187">
        <v>6</v>
      </c>
      <c r="F16" s="204" t="s">
        <v>4</v>
      </c>
      <c r="G16" s="205"/>
      <c r="H16" s="177"/>
      <c r="I16" s="178"/>
    </row>
    <row r="17" spans="1:9" ht="20.25" x14ac:dyDescent="0.3">
      <c r="A17" s="179">
        <v>1950702</v>
      </c>
      <c r="B17" s="206" t="s">
        <v>42</v>
      </c>
      <c r="C17" s="207" t="s">
        <v>43</v>
      </c>
      <c r="D17" s="187" t="s">
        <v>44</v>
      </c>
      <c r="E17" s="187">
        <v>3</v>
      </c>
      <c r="F17" s="204" t="s">
        <v>4</v>
      </c>
      <c r="G17" s="205"/>
      <c r="H17" s="177"/>
      <c r="I17" s="178"/>
    </row>
    <row r="18" spans="1:9" ht="20.25" x14ac:dyDescent="0.3">
      <c r="A18" s="208">
        <v>702069</v>
      </c>
      <c r="B18" s="209" t="s">
        <v>45</v>
      </c>
      <c r="C18" s="210" t="s">
        <v>46</v>
      </c>
      <c r="D18" s="187" t="s">
        <v>47</v>
      </c>
      <c r="E18" s="187">
        <v>3</v>
      </c>
      <c r="F18" s="204" t="s">
        <v>4</v>
      </c>
      <c r="G18" s="205"/>
      <c r="H18" s="177"/>
      <c r="I18" s="178"/>
    </row>
    <row r="19" spans="1:9" ht="20.25" x14ac:dyDescent="0.3">
      <c r="A19" s="211">
        <v>702007</v>
      </c>
      <c r="B19" s="211" t="s">
        <v>48</v>
      </c>
      <c r="C19" s="212" t="s">
        <v>49</v>
      </c>
      <c r="D19" s="187" t="s">
        <v>50</v>
      </c>
      <c r="E19" s="187">
        <v>3</v>
      </c>
      <c r="F19" s="204" t="s">
        <v>4</v>
      </c>
      <c r="G19" s="176"/>
      <c r="H19" s="177"/>
      <c r="I19" s="178"/>
    </row>
    <row r="20" spans="1:9" ht="20.25" x14ac:dyDescent="0.3">
      <c r="A20" s="211">
        <v>702006</v>
      </c>
      <c r="B20" s="211" t="s">
        <v>51</v>
      </c>
      <c r="C20" s="212" t="s">
        <v>52</v>
      </c>
      <c r="D20" s="187" t="s">
        <v>50</v>
      </c>
      <c r="E20" s="187">
        <v>3</v>
      </c>
      <c r="F20" s="204" t="s">
        <v>4</v>
      </c>
      <c r="G20" s="176"/>
      <c r="H20" s="177"/>
      <c r="I20" s="178"/>
    </row>
    <row r="21" spans="1:9" ht="20.25" x14ac:dyDescent="0.3">
      <c r="A21" s="211"/>
      <c r="B21" s="211"/>
      <c r="C21" s="212"/>
      <c r="D21" s="187"/>
      <c r="E21" s="187"/>
      <c r="F21" s="204"/>
      <c r="G21" s="213"/>
      <c r="H21" s="190"/>
      <c r="I21" s="178"/>
    </row>
    <row r="22" spans="1:9" ht="21" thickBot="1" x14ac:dyDescent="0.35">
      <c r="A22" s="214"/>
      <c r="B22" s="215"/>
      <c r="C22" s="216"/>
      <c r="D22" s="216"/>
      <c r="E22" s="217"/>
      <c r="F22" s="218"/>
      <c r="G22" s="216"/>
      <c r="H22" s="216"/>
      <c r="I22" s="219"/>
    </row>
    <row r="23" spans="1:9" ht="21" thickBot="1" x14ac:dyDescent="0.35">
      <c r="A23" s="220"/>
      <c r="B23" s="221"/>
      <c r="C23" s="222"/>
      <c r="D23" s="223" t="s">
        <v>10</v>
      </c>
      <c r="E23" s="224" t="s">
        <v>9</v>
      </c>
      <c r="F23" s="225"/>
      <c r="G23" s="222"/>
      <c r="H23" s="222"/>
      <c r="I23" s="226"/>
    </row>
    <row r="24" spans="1:9" ht="20.25" x14ac:dyDescent="0.3">
      <c r="A24" s="227" t="s">
        <v>8</v>
      </c>
      <c r="B24" s="228"/>
      <c r="C24" s="229"/>
      <c r="D24" s="183">
        <v>486</v>
      </c>
      <c r="E24" s="230" t="s">
        <v>1</v>
      </c>
      <c r="F24" s="231" t="s">
        <v>35</v>
      </c>
      <c r="G24" s="231"/>
      <c r="H24" s="232"/>
      <c r="I24" s="233"/>
    </row>
    <row r="25" spans="1:9" ht="20.25" x14ac:dyDescent="0.3">
      <c r="A25" s="234" t="s">
        <v>7</v>
      </c>
      <c r="B25" s="235"/>
      <c r="C25" s="236"/>
      <c r="D25" s="237">
        <v>6</v>
      </c>
      <c r="E25" s="187" t="s">
        <v>6</v>
      </c>
      <c r="F25" s="238" t="s">
        <v>36</v>
      </c>
      <c r="G25" s="238"/>
      <c r="H25" s="239" t="s">
        <v>63</v>
      </c>
      <c r="I25" s="240"/>
    </row>
    <row r="26" spans="1:9" ht="20.25" x14ac:dyDescent="0.3">
      <c r="A26" s="234" t="s">
        <v>5</v>
      </c>
      <c r="B26" s="235"/>
      <c r="C26" s="236"/>
      <c r="D26" s="189">
        <f>D24/D27</f>
        <v>3</v>
      </c>
      <c r="E26" s="241" t="s">
        <v>60</v>
      </c>
      <c r="F26" s="238" t="s">
        <v>37</v>
      </c>
      <c r="G26" s="238"/>
      <c r="H26" s="239" t="s">
        <v>55</v>
      </c>
      <c r="I26" s="240"/>
    </row>
    <row r="27" spans="1:9" ht="20.25" x14ac:dyDescent="0.3">
      <c r="A27" s="234" t="s">
        <v>3</v>
      </c>
      <c r="B27" s="235"/>
      <c r="C27" s="236"/>
      <c r="D27" s="189">
        <v>162</v>
      </c>
      <c r="E27" s="187" t="s">
        <v>1</v>
      </c>
      <c r="F27" s="242" t="s">
        <v>38</v>
      </c>
      <c r="G27" s="243"/>
      <c r="H27" s="239" t="s">
        <v>61</v>
      </c>
      <c r="I27" s="240"/>
    </row>
    <row r="28" spans="1:9" ht="21" thickBot="1" x14ac:dyDescent="0.35">
      <c r="A28" s="244" t="s">
        <v>2</v>
      </c>
      <c r="B28" s="245"/>
      <c r="C28" s="246"/>
      <c r="D28" s="247">
        <f>SUM(E10)-D24</f>
        <v>54</v>
      </c>
      <c r="E28" s="248" t="s">
        <v>1</v>
      </c>
      <c r="F28" s="249"/>
      <c r="G28" s="249"/>
      <c r="H28" s="250"/>
      <c r="I28" s="251"/>
    </row>
    <row r="29" spans="1:9" ht="21" thickBot="1" x14ac:dyDescent="0.35">
      <c r="A29" s="260" t="s">
        <v>0</v>
      </c>
      <c r="B29" s="261"/>
      <c r="C29" s="261"/>
      <c r="D29" s="261"/>
      <c r="E29" s="261"/>
      <c r="F29" s="261"/>
      <c r="G29" s="261"/>
      <c r="H29" s="261"/>
      <c r="I29" s="262"/>
    </row>
    <row r="30" spans="1:9" ht="20.25" x14ac:dyDescent="0.3">
      <c r="A30" s="252" t="s">
        <v>56</v>
      </c>
      <c r="B30" s="253"/>
      <c r="C30" s="253"/>
      <c r="D30" s="253"/>
      <c r="E30" s="253"/>
      <c r="F30" s="253"/>
      <c r="G30" s="253"/>
      <c r="H30" s="253"/>
      <c r="I30" s="254"/>
    </row>
    <row r="31" spans="1:9" ht="20.25" x14ac:dyDescent="0.3">
      <c r="A31" s="255" t="s">
        <v>57</v>
      </c>
      <c r="B31" s="256"/>
      <c r="C31" s="256"/>
      <c r="D31" s="256"/>
      <c r="E31" s="256"/>
      <c r="F31" s="256"/>
      <c r="G31" s="256"/>
      <c r="H31" s="256"/>
      <c r="I31" s="257"/>
    </row>
    <row r="32" spans="1:9" ht="20.25" x14ac:dyDescent="0.3">
      <c r="A32" s="255" t="s">
        <v>58</v>
      </c>
      <c r="B32" s="256"/>
      <c r="C32" s="256"/>
      <c r="D32" s="256"/>
      <c r="E32" s="256"/>
      <c r="F32" s="256"/>
      <c r="G32" s="256"/>
      <c r="H32" s="256"/>
      <c r="I32" s="256"/>
    </row>
    <row r="33" spans="1:9" ht="20.25" x14ac:dyDescent="0.3">
      <c r="A33" s="263"/>
      <c r="B33" s="264"/>
      <c r="C33" s="264"/>
      <c r="D33" s="264"/>
      <c r="E33" s="264"/>
      <c r="F33" s="264"/>
      <c r="G33" s="264"/>
      <c r="H33" s="264"/>
      <c r="I33" s="265"/>
    </row>
    <row r="34" spans="1:9" ht="20.25" x14ac:dyDescent="0.3">
      <c r="A34" s="266" t="s">
        <v>27</v>
      </c>
      <c r="B34" s="266"/>
      <c r="C34" s="266"/>
      <c r="D34" s="266"/>
      <c r="E34" s="266"/>
      <c r="F34" s="266"/>
      <c r="G34" s="266"/>
      <c r="H34" s="266"/>
      <c r="I34" s="266"/>
    </row>
    <row r="35" spans="1:9" ht="20.25" x14ac:dyDescent="0.3">
      <c r="A35" s="267"/>
      <c r="B35" s="267"/>
      <c r="C35" s="267"/>
      <c r="D35" s="267"/>
      <c r="E35" s="267"/>
      <c r="F35" s="267"/>
      <c r="G35" s="267"/>
      <c r="H35" s="267"/>
      <c r="I35" s="267"/>
    </row>
    <row r="36" spans="1:9" ht="20.25" x14ac:dyDescent="0.3">
      <c r="A36" s="267"/>
      <c r="B36" s="267"/>
      <c r="C36" s="267"/>
      <c r="D36" s="267"/>
      <c r="E36" s="267"/>
      <c r="F36" s="267"/>
      <c r="G36" s="267"/>
      <c r="H36" s="267"/>
      <c r="I36" s="267"/>
    </row>
  </sheetData>
  <mergeCells count="40">
    <mergeCell ref="A33:I33"/>
    <mergeCell ref="A34:I34"/>
    <mergeCell ref="A35:I35"/>
    <mergeCell ref="A36:I36"/>
    <mergeCell ref="A32:I32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honeticPr fontId="9" type="noConversion"/>
  <pageMargins left="0.25" right="0.25" top="0.75" bottom="0.75" header="0.3" footer="0.3"/>
  <pageSetup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65C7-1A61-4797-A825-2F6B5B6EDAEB}">
  <dimension ref="A1:Q91"/>
  <sheetViews>
    <sheetView workbookViewId="0">
      <selection activeCell="E32" sqref="E32"/>
    </sheetView>
  </sheetViews>
  <sheetFormatPr baseColWidth="10" defaultColWidth="8.42578125" defaultRowHeight="12.75" x14ac:dyDescent="0.2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98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5" width="9.28515625" style="16" bestFit="1" customWidth="1"/>
    <col min="16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">
      <c r="A1" s="11"/>
      <c r="B1" s="11"/>
      <c r="C1" s="11"/>
      <c r="D1" s="11"/>
      <c r="E1" s="12" t="s">
        <v>66</v>
      </c>
      <c r="F1" s="13" t="s">
        <v>67</v>
      </c>
      <c r="G1" s="13" t="s">
        <v>68</v>
      </c>
      <c r="H1" s="13" t="s">
        <v>69</v>
      </c>
      <c r="I1" s="14"/>
    </row>
    <row r="2" spans="1:10" ht="30.75" customHeight="1" x14ac:dyDescent="0.2">
      <c r="A2" s="11"/>
      <c r="B2" s="11"/>
      <c r="C2" s="11"/>
      <c r="D2" s="11"/>
      <c r="E2" s="17">
        <f>IFERROR(O62,"")</f>
        <v>4405.5</v>
      </c>
      <c r="F2" s="17">
        <f>IFERROR(H53,"")</f>
        <v>3168</v>
      </c>
      <c r="G2" s="17">
        <f>IFERROR(H54,"")</f>
        <v>277.5</v>
      </c>
      <c r="H2" s="17">
        <f>IFERROR(H56,"")</f>
        <v>462</v>
      </c>
      <c r="I2" s="18"/>
    </row>
    <row r="3" spans="1:10" ht="15" customHeight="1" x14ac:dyDescent="0.2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25">
      <c r="A4" s="164"/>
      <c r="B4" s="164"/>
      <c r="C4" s="164"/>
      <c r="D4" s="164"/>
      <c r="E4" s="164"/>
      <c r="F4" s="164"/>
      <c r="G4" s="164"/>
      <c r="H4" s="164"/>
      <c r="I4" s="20"/>
    </row>
    <row r="5" spans="1:10" ht="19.5" customHeight="1" thickBot="1" x14ac:dyDescent="0.25">
      <c r="A5" s="165" t="s">
        <v>70</v>
      </c>
      <c r="B5" s="166"/>
      <c r="C5" s="166"/>
      <c r="D5" s="166"/>
      <c r="E5" s="166"/>
      <c r="F5" s="166"/>
      <c r="G5" s="166"/>
      <c r="H5" s="167"/>
      <c r="I5" s="21"/>
    </row>
    <row r="6" spans="1:10" ht="19.5" thickBot="1" x14ac:dyDescent="0.25">
      <c r="A6" s="21"/>
      <c r="B6" s="21"/>
      <c r="C6" s="21"/>
      <c r="D6" s="21"/>
      <c r="E6" s="21"/>
      <c r="F6" s="168" t="s">
        <v>71</v>
      </c>
      <c r="G6" s="168"/>
      <c r="H6" s="22">
        <f ca="1">TODAY()</f>
        <v>46133</v>
      </c>
      <c r="I6" s="22"/>
    </row>
    <row r="7" spans="1:10" ht="26.25" thickBot="1" x14ac:dyDescent="0.25">
      <c r="A7" s="23" t="s">
        <v>72</v>
      </c>
      <c r="B7" s="24" t="s">
        <v>73</v>
      </c>
      <c r="C7" s="24" t="s">
        <v>72</v>
      </c>
      <c r="D7" s="25" t="s">
        <v>74</v>
      </c>
      <c r="E7" s="25" t="s">
        <v>75</v>
      </c>
      <c r="F7" s="25" t="s">
        <v>76</v>
      </c>
      <c r="G7" s="25" t="s">
        <v>77</v>
      </c>
      <c r="H7" s="26" t="s">
        <v>78</v>
      </c>
      <c r="I7" s="27"/>
    </row>
    <row r="8" spans="1:10" ht="13.5" x14ac:dyDescent="0.25">
      <c r="A8" s="28">
        <v>18</v>
      </c>
      <c r="B8" s="16" t="s">
        <v>62</v>
      </c>
      <c r="C8" s="29">
        <f>+A8</f>
        <v>18</v>
      </c>
      <c r="D8" s="30" t="s">
        <v>79</v>
      </c>
      <c r="E8" s="30">
        <v>176</v>
      </c>
      <c r="F8" s="30">
        <f>IFERROR(C8*E8,"")</f>
        <v>3168</v>
      </c>
      <c r="G8" s="31">
        <f t="shared" ref="G8:G14" si="0">IFERROR(F8/$F$66,"")</f>
        <v>0.79781206086338974</v>
      </c>
      <c r="H8" s="32"/>
      <c r="I8" s="32"/>
      <c r="J8" s="33"/>
    </row>
    <row r="9" spans="1:10" ht="13.5" hidden="1" x14ac:dyDescent="0.25">
      <c r="A9" s="28"/>
      <c r="B9" s="16" t="str">
        <f>IFERROR(VLOOKUP(H9,'[1]Consolidado MP Planta'!$A$2:$M$823,3,0),"")</f>
        <v/>
      </c>
      <c r="C9" s="29">
        <f t="shared" ref="C9:C14" si="1">+A9</f>
        <v>0</v>
      </c>
      <c r="D9" s="30" t="str">
        <f>IFERROR(VLOOKUP(H9,'[1]Consolidado MP Planta'!$A$2:$M$823,13,0),"")</f>
        <v/>
      </c>
      <c r="E9" s="30" t="str">
        <f>IFERROR(VLOOKUP(H9,'[1]Consolidado MP Planta'!$A$2:$M$823,12,0),"")</f>
        <v/>
      </c>
      <c r="F9" s="30" t="str">
        <f t="shared" ref="F9:F14" si="2">IFERROR(C9*E9,"")</f>
        <v/>
      </c>
      <c r="G9" s="31" t="str">
        <f t="shared" si="0"/>
        <v/>
      </c>
      <c r="H9" s="32"/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3.5" x14ac:dyDescent="0.25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hidden="1" thickBot="1" x14ac:dyDescent="0.25">
      <c r="A16" s="23" t="s">
        <v>72</v>
      </c>
      <c r="B16" s="24" t="s">
        <v>80</v>
      </c>
      <c r="C16" s="24" t="s">
        <v>72</v>
      </c>
      <c r="D16" s="25" t="s">
        <v>74</v>
      </c>
      <c r="E16" s="25" t="s">
        <v>75</v>
      </c>
      <c r="F16" s="25" t="s">
        <v>76</v>
      </c>
      <c r="G16" s="25" t="s">
        <v>77</v>
      </c>
      <c r="H16" s="26" t="s">
        <v>78</v>
      </c>
      <c r="I16" s="27"/>
      <c r="J16" s="33"/>
    </row>
    <row r="17" spans="1:12" ht="13.5" hidden="1" x14ac:dyDescent="0.25">
      <c r="A17" s="28"/>
      <c r="B17" s="16" t="str">
        <f>IFERROR(VLOOKUP(H17,[1]SEMIELABORADOS!$A$2:$M$6000,2,0),"")</f>
        <v/>
      </c>
      <c r="C17" s="29">
        <f>+A17</f>
        <v>0</v>
      </c>
      <c r="D17" s="29" t="str">
        <f>IFERROR(VLOOKUP(H17,[1]SEMIELABORADOS!$A$2:$M$6000,6,0),"")</f>
        <v/>
      </c>
      <c r="E17" s="30" t="str">
        <f>IFERROR(VLOOKUP(H17,[1]SEMIELABORADOS!$A$2:$H$65536,8,0),"")</f>
        <v/>
      </c>
      <c r="F17" s="30" t="str">
        <f>IFERROR(E17*C17,"")</f>
        <v/>
      </c>
      <c r="G17" s="31" t="str">
        <f t="shared" ref="G17:G24" si="3">IFERROR(F17/$F$66,"")</f>
        <v/>
      </c>
      <c r="H17" s="32"/>
      <c r="I17" s="32"/>
      <c r="J17" s="33"/>
    </row>
    <row r="18" spans="1:12" ht="13.5" hidden="1" x14ac:dyDescent="0.25">
      <c r="A18" s="28"/>
      <c r="B18" s="16" t="str">
        <f>IFERROR(VLOOKUP(H18,[1]SEMIELABORADOS!$A$2:$M$6000,2,0),"")</f>
        <v/>
      </c>
      <c r="C18" s="29">
        <f t="shared" ref="C18:C24" si="4">+A18</f>
        <v>0</v>
      </c>
      <c r="D18" s="29" t="str">
        <f>IFERROR(VLOOKUP(H18,[1]SEMIELABORADOS!$A$2:$M$6000,6,0),"")</f>
        <v/>
      </c>
      <c r="E18" s="30" t="str">
        <f>IFERROR(VLOOKUP(H18,[1]SEMIELABORADOS!$A$2:$H$65536,8,0),"")</f>
        <v/>
      </c>
      <c r="F18" s="30" t="str">
        <f t="shared" ref="F18:F24" si="5">IFERROR(E18*C18,"")</f>
        <v/>
      </c>
      <c r="G18" s="31" t="str">
        <f t="shared" si="3"/>
        <v/>
      </c>
      <c r="H18" s="32"/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thickBot="1" x14ac:dyDescent="0.25">
      <c r="A26" s="23" t="s">
        <v>72</v>
      </c>
      <c r="B26" s="24" t="s">
        <v>81</v>
      </c>
      <c r="C26" s="24" t="s">
        <v>72</v>
      </c>
      <c r="D26" s="25" t="s">
        <v>74</v>
      </c>
      <c r="E26" s="25" t="s">
        <v>75</v>
      </c>
      <c r="F26" s="25" t="s">
        <v>76</v>
      </c>
      <c r="G26" s="25" t="s">
        <v>77</v>
      </c>
      <c r="H26" s="26" t="s">
        <v>78</v>
      </c>
      <c r="I26" s="27"/>
    </row>
    <row r="27" spans="1:12" ht="13.5" x14ac:dyDescent="0.25">
      <c r="A27" s="28">
        <v>1</v>
      </c>
      <c r="B27" s="34" t="s">
        <v>54</v>
      </c>
      <c r="C27" s="29">
        <f t="shared" ref="C27:C32" si="6">+A27</f>
        <v>1</v>
      </c>
      <c r="D27" s="30" t="s">
        <v>82</v>
      </c>
      <c r="E27" s="30">
        <v>42.76</v>
      </c>
      <c r="F27" s="30">
        <f t="shared" ref="F27:F32" si="7">IFERROR(C27*E27,"")</f>
        <v>42.76</v>
      </c>
      <c r="G27" s="31">
        <f t="shared" ref="G27:G32" si="8">IFERROR(F27/$F$66,"")</f>
        <v>1.0768448144734389E-2</v>
      </c>
      <c r="H27" s="35" t="s">
        <v>53</v>
      </c>
      <c r="I27" s="35"/>
      <c r="J27" s="33"/>
      <c r="K27" s="158"/>
      <c r="L27" s="158"/>
    </row>
    <row r="28" spans="1:12" ht="13.5" x14ac:dyDescent="0.25">
      <c r="A28" s="28">
        <v>3</v>
      </c>
      <c r="B28" s="34" t="str">
        <f>IFERROR(VLOOKUP(H28,'[1]Consolidado MP Planta'!$A$2:$M$823,3,0),"")</f>
        <v>BOLSA 12x18 TRANSP KILO</v>
      </c>
      <c r="C28" s="29">
        <f t="shared" si="6"/>
        <v>3</v>
      </c>
      <c r="D28" s="30" t="str">
        <f>IFERROR(VLOOKUP(H28,'[1]Consolidado MP Planta'!$A$2:$M$823,13,0),"")</f>
        <v>Und</v>
      </c>
      <c r="E28" s="30">
        <f>IFERROR(VLOOKUP(H28,'[1]Consolidado MP Planta'!$A$2:$M$823,12,0),"")</f>
        <v>16</v>
      </c>
      <c r="F28" s="30">
        <f t="shared" si="7"/>
        <v>48</v>
      </c>
      <c r="G28" s="31">
        <f t="shared" si="8"/>
        <v>1.2088061528233178E-2</v>
      </c>
      <c r="H28" s="35" t="s">
        <v>83</v>
      </c>
      <c r="I28" s="35"/>
      <c r="J28" s="33"/>
      <c r="K28" s="158"/>
      <c r="L28" s="158"/>
    </row>
    <row r="29" spans="1:12" ht="13.5" x14ac:dyDescent="0.25">
      <c r="A29" s="28">
        <v>3</v>
      </c>
      <c r="B29" s="34" t="str">
        <f>IFERROR(VLOOKUP(H29,'[1]Consolidado MP Planta'!$A$2:$M$823,3,0),"")</f>
        <v>ETIQ.BLANCA 1 1/4 * 3/4 (UND)</v>
      </c>
      <c r="C29" s="29">
        <f t="shared" si="6"/>
        <v>3</v>
      </c>
      <c r="D29" s="30" t="str">
        <f>IFERROR(VLOOKUP(H29,'[1]Consolidado MP Planta'!$A$2:$M$823,13,0),"")</f>
        <v>Und</v>
      </c>
      <c r="E29" s="30">
        <f>IFERROR(VLOOKUP(H29,'[1]Consolidado MP Planta'!$A$2:$M$823,12,0),"")</f>
        <v>0.57999999999999996</v>
      </c>
      <c r="F29" s="30">
        <f t="shared" si="7"/>
        <v>1.7399999999999998</v>
      </c>
      <c r="G29" s="31">
        <f t="shared" si="8"/>
        <v>4.3819223039845266E-4</v>
      </c>
      <c r="H29" s="35" t="s">
        <v>84</v>
      </c>
      <c r="I29" s="35"/>
      <c r="J29" s="33"/>
      <c r="K29" s="158"/>
      <c r="L29" s="158"/>
    </row>
    <row r="30" spans="1:12" ht="13.5" x14ac:dyDescent="0.25">
      <c r="A30" s="28">
        <v>3</v>
      </c>
      <c r="B30" s="34" t="str">
        <f>IFERROR(VLOOKUP(H30,'[1]Consolidado MP Planta'!$A$2:$M$823,3,0),"")</f>
        <v>ETIQ.FECHA VENCIMIENTO BLANCO (ROLLO)</v>
      </c>
      <c r="C30" s="29">
        <f t="shared" si="6"/>
        <v>3</v>
      </c>
      <c r="D30" s="30" t="str">
        <f>IFERROR(VLOOKUP(H30,'[1]Consolidado MP Planta'!$A$2:$M$823,13,0),"")</f>
        <v>Gramos</v>
      </c>
      <c r="E30" s="30">
        <f>IFERROR(VLOOKUP(H30,'[1]Consolidado MP Planta'!$A$2:$M$823,12,0),"")</f>
        <v>0.33333333333333331</v>
      </c>
      <c r="F30" s="30">
        <f t="shared" si="7"/>
        <v>1</v>
      </c>
      <c r="G30" s="31">
        <f t="shared" si="8"/>
        <v>2.5183461517152455E-4</v>
      </c>
      <c r="H30" s="35" t="s">
        <v>85</v>
      </c>
      <c r="I30" s="35"/>
      <c r="J30" s="33"/>
      <c r="K30" s="158"/>
      <c r="L30" s="158"/>
    </row>
    <row r="31" spans="1:12" ht="13.5" x14ac:dyDescent="0.25">
      <c r="A31" s="28">
        <v>3</v>
      </c>
      <c r="B31" s="34" t="str">
        <f>IFERROR(VLOOKUP(H31,'[1]Consolidado MP Planta'!$A$2:$M$823,3,0),"")</f>
        <v>ETIQ.FECHA VENCIMIENTO AMARILLO (ROLLO)</v>
      </c>
      <c r="C31" s="29">
        <f t="shared" si="6"/>
        <v>3</v>
      </c>
      <c r="D31" s="30" t="str">
        <f>IFERROR(VLOOKUP(H31,'[1]Consolidado MP Planta'!$A$2:$M$823,13,0),"")</f>
        <v>Und</v>
      </c>
      <c r="E31" s="30">
        <f>IFERROR(VLOOKUP(H31,'[1]Consolidado MP Planta'!$A$2:$M$823,12,0),"")</f>
        <v>0.33333333333333331</v>
      </c>
      <c r="F31" s="30">
        <f t="shared" si="7"/>
        <v>1</v>
      </c>
      <c r="G31" s="31">
        <f t="shared" si="8"/>
        <v>2.5183461517152455E-4</v>
      </c>
      <c r="H31" s="35" t="s">
        <v>86</v>
      </c>
      <c r="I31" s="35"/>
      <c r="J31" s="33"/>
      <c r="K31" s="36"/>
      <c r="L31" s="37"/>
    </row>
    <row r="32" spans="1:12" ht="13.5" x14ac:dyDescent="0.25">
      <c r="A32" s="28">
        <v>6</v>
      </c>
      <c r="B32" s="34" t="s">
        <v>65</v>
      </c>
      <c r="C32" s="29">
        <f t="shared" si="6"/>
        <v>6</v>
      </c>
      <c r="D32" s="30" t="s">
        <v>82</v>
      </c>
      <c r="E32" s="30">
        <v>30.5</v>
      </c>
      <c r="F32" s="30">
        <f t="shared" si="7"/>
        <v>183</v>
      </c>
      <c r="G32" s="31">
        <f t="shared" si="8"/>
        <v>4.6085734576388995E-2</v>
      </c>
      <c r="H32" s="35" t="s">
        <v>64</v>
      </c>
      <c r="I32" s="35"/>
      <c r="J32" s="33"/>
    </row>
    <row r="33" spans="1:13" ht="14.25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hidden="1" thickBot="1" x14ac:dyDescent="0.25">
      <c r="A34" s="23" t="s">
        <v>72</v>
      </c>
      <c r="B34" s="24" t="s">
        <v>87</v>
      </c>
      <c r="C34" s="24" t="s">
        <v>72</v>
      </c>
      <c r="D34" s="25" t="s">
        <v>74</v>
      </c>
      <c r="E34" s="25" t="s">
        <v>75</v>
      </c>
      <c r="F34" s="25" t="s">
        <v>76</v>
      </c>
      <c r="G34" s="25" t="s">
        <v>77</v>
      </c>
      <c r="H34" s="26" t="s">
        <v>78</v>
      </c>
      <c r="I34" s="35"/>
      <c r="J34" s="33"/>
    </row>
    <row r="35" spans="1:13" ht="14.25" hidden="1" thickBot="1" x14ac:dyDescent="0.3">
      <c r="A35" s="28">
        <f>+A17</f>
        <v>0</v>
      </c>
      <c r="B35" s="34" t="str">
        <f>IFERROR(VLOOKUP(H35,[1]SEMIELABORADOS!$A$2:$M$6000,2,0),"")</f>
        <v/>
      </c>
      <c r="C35" s="29">
        <f>+A35</f>
        <v>0</v>
      </c>
      <c r="D35" s="30" t="str">
        <f>IFERROR(VLOOKUP(H35,[1]SEMIELABORADOS!$A$2:$M$6000,6,0),"")</f>
        <v/>
      </c>
      <c r="E35" s="30" t="str">
        <f>IFERROR(VLOOKUP(H35,[1]SEMIELABORADOS!$A$2:$M$65536,10,0),"")</f>
        <v/>
      </c>
      <c r="F35" s="30" t="str">
        <f>IFERROR(E35*C35,"")</f>
        <v/>
      </c>
      <c r="G35" s="31" t="str">
        <f t="shared" ref="G35:G41" si="9">IFERROR(F35/$F$66,"")</f>
        <v/>
      </c>
      <c r="H35" s="35"/>
      <c r="I35" s="35"/>
      <c r="J35" s="33"/>
    </row>
    <row r="36" spans="1:13" ht="14.25" hidden="1" thickBot="1" x14ac:dyDescent="0.3">
      <c r="A36" s="28">
        <f t="shared" ref="A36:A41" si="10">+A18</f>
        <v>0</v>
      </c>
      <c r="B36" s="34" t="str">
        <f>IFERROR(VLOOKUP(H36,[1]SEMIELABORADOS!$A$2:$M$6000,2,0),"")</f>
        <v/>
      </c>
      <c r="C36" s="29">
        <f t="shared" ref="C36:C41" si="11">+A36</f>
        <v>0</v>
      </c>
      <c r="D36" s="30" t="str">
        <f>IFERROR(VLOOKUP(H36,[1]SEMIELABORADOS!$A$2:$M$6000,6,0),"")</f>
        <v/>
      </c>
      <c r="E36" s="30" t="str">
        <f>IFERROR(VLOOKUP(H36,[1]SEMIELABORADOS!$A$2:$M$65536,10,0),"")</f>
        <v/>
      </c>
      <c r="F36" s="30" t="str">
        <f t="shared" ref="F36:F41" si="12">IFERROR(E36*C36,"")</f>
        <v/>
      </c>
      <c r="G36" s="31" t="str">
        <f t="shared" si="9"/>
        <v/>
      </c>
      <c r="H36" s="35"/>
      <c r="I36" s="35"/>
      <c r="J36" s="33"/>
    </row>
    <row r="37" spans="1:13" ht="14.25" hidden="1" thickBot="1" x14ac:dyDescent="0.3">
      <c r="A37" s="28">
        <f t="shared" si="10"/>
        <v>0</v>
      </c>
      <c r="B37" s="34" t="str">
        <f>IFERROR(VLOOKUP(H37,[1]SEMIELABORADOS!$A$2:$M$6000,2,0),"")</f>
        <v/>
      </c>
      <c r="C37" s="29">
        <f t="shared" si="11"/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 t="shared" si="12"/>
        <v/>
      </c>
      <c r="G37" s="31" t="str">
        <f t="shared" si="9"/>
        <v/>
      </c>
      <c r="H37" s="35"/>
      <c r="I37" s="35"/>
      <c r="J37" s="33"/>
    </row>
    <row r="38" spans="1:13" ht="14.25" hidden="1" thickBot="1" x14ac:dyDescent="0.3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4.25" hidden="1" thickBot="1" x14ac:dyDescent="0.3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4.25" hidden="1" thickBot="1" x14ac:dyDescent="0.3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4.25" hidden="1" thickBot="1" x14ac:dyDescent="0.3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hidden="1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25">
      <c r="A43" s="23" t="s">
        <v>72</v>
      </c>
      <c r="B43" s="24" t="s">
        <v>88</v>
      </c>
      <c r="C43" s="24" t="s">
        <v>72</v>
      </c>
      <c r="D43" s="25" t="s">
        <v>74</v>
      </c>
      <c r="E43" s="25" t="s">
        <v>75</v>
      </c>
      <c r="F43" s="25" t="s">
        <v>76</v>
      </c>
      <c r="G43" s="25" t="s">
        <v>77</v>
      </c>
      <c r="H43" s="26" t="s">
        <v>78</v>
      </c>
      <c r="I43" s="27"/>
      <c r="J43" s="33"/>
    </row>
    <row r="44" spans="1:13" ht="13.5" hidden="1" x14ac:dyDescent="0.25">
      <c r="A44" s="28">
        <f>+A35</f>
        <v>0</v>
      </c>
      <c r="B44" s="34" t="str">
        <f>IFERROR(VLOOKUP(H44,[1]SEMIELABORADOS!$A$2:$M$6000,2,0),"")</f>
        <v/>
      </c>
      <c r="C44" s="29">
        <f>+A44</f>
        <v>0</v>
      </c>
      <c r="D44" s="30" t="str">
        <f>IFERROR(VLOOKUP(H44,[1]SEMIELABORADOS!$A$2:$M$6000,6,0),"")</f>
        <v/>
      </c>
      <c r="E44" s="30" t="str">
        <f>IFERROR(VLOOKUP(H44,[1]SEMIELABORADOS!$A$2:$M$65536,12,0),"")</f>
        <v/>
      </c>
      <c r="F44" s="30" t="str">
        <f>IFERROR(E44*C44,"")</f>
        <v/>
      </c>
      <c r="G44" s="31" t="str">
        <f>IFERROR(F44/$F$66,"")</f>
        <v/>
      </c>
      <c r="H44" s="35"/>
      <c r="I44" s="27"/>
      <c r="J44" s="33"/>
    </row>
    <row r="45" spans="1:13" ht="13.5" hidden="1" x14ac:dyDescent="0.25">
      <c r="A45" s="28">
        <f t="shared" ref="A45:A50" si="13">+A36</f>
        <v>0</v>
      </c>
      <c r="B45" s="34" t="str">
        <f>IFERROR(VLOOKUP(H45,[1]SEMIELABORADOS!$A$2:$M$6000,2,0),"")</f>
        <v/>
      </c>
      <c r="C45" s="29">
        <f t="shared" ref="C45:C50" si="14">+A45</f>
        <v>0</v>
      </c>
      <c r="D45" s="30" t="str">
        <f>IFERROR(VLOOKUP(H45,[1]SEMIELABORADOS!$A$2:$M$6000,6,0),"")</f>
        <v/>
      </c>
      <c r="E45" s="30" t="str">
        <f>IFERROR(VLOOKUP(H45,[1]SEMIELABORADOS!$A$2:$M$65536,12,0),"")</f>
        <v/>
      </c>
      <c r="F45" s="30" t="str">
        <f t="shared" ref="F45:F50" si="15">IFERROR(E45*C45,"")</f>
        <v/>
      </c>
      <c r="G45" s="31" t="str">
        <f t="shared" ref="G45:G50" si="16">IFERROR(F45/$F$66,"")</f>
        <v/>
      </c>
      <c r="H45" s="35"/>
      <c r="I45" s="27"/>
      <c r="J45" s="33"/>
      <c r="M45" s="38"/>
    </row>
    <row r="46" spans="1:13" ht="13.5" hidden="1" x14ac:dyDescent="0.25">
      <c r="A46" s="28">
        <f t="shared" si="13"/>
        <v>0</v>
      </c>
      <c r="B46" s="34" t="str">
        <f>IFERROR(VLOOKUP(H46,[1]SEMIELABORADOS!$A$2:$M$6000,2,0),"")</f>
        <v/>
      </c>
      <c r="C46" s="29">
        <f t="shared" si="14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5"/>
        <v/>
      </c>
      <c r="G46" s="31" t="str">
        <f t="shared" si="16"/>
        <v/>
      </c>
      <c r="H46" s="35"/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89</v>
      </c>
      <c r="C51" s="29">
        <f>+A51</f>
        <v>1</v>
      </c>
      <c r="D51" s="29" t="s">
        <v>90</v>
      </c>
      <c r="E51" s="30">
        <f>+F65</f>
        <v>462</v>
      </c>
      <c r="F51" s="30">
        <f>IFERROR(C51*E51,"")</f>
        <v>462</v>
      </c>
      <c r="G51" s="31">
        <f>IFERROR(F51/$F$66,"")</f>
        <v>0.11634759220924434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25">
      <c r="A53" s="40"/>
      <c r="B53" s="159" t="s">
        <v>91</v>
      </c>
      <c r="C53" s="159"/>
      <c r="D53" s="159"/>
      <c r="E53" s="159"/>
      <c r="F53" s="42">
        <f>SUM(F8:F14,F17:F24)</f>
        <v>3168</v>
      </c>
      <c r="G53" s="31">
        <f>+F53/$F$66</f>
        <v>0.79781206086338974</v>
      </c>
      <c r="H53" s="43">
        <f>+F53/$D$60</f>
        <v>3168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159" t="s">
        <v>92</v>
      </c>
      <c r="C54" s="159"/>
      <c r="D54" s="159"/>
      <c r="E54" s="159"/>
      <c r="F54" s="42">
        <f>SUM(F27:F32,F35:F41)</f>
        <v>277.5</v>
      </c>
      <c r="G54" s="31">
        <f>+F54/$F$66</f>
        <v>6.9884105710098066E-2</v>
      </c>
      <c r="H54" s="43">
        <f>+F54/$D$60</f>
        <v>277.5</v>
      </c>
      <c r="I54" s="43"/>
      <c r="J54" s="47"/>
      <c r="K54" s="160" t="s">
        <v>93</v>
      </c>
      <c r="L54" s="161"/>
      <c r="M54" s="161"/>
      <c r="N54" s="161"/>
      <c r="O54" s="48">
        <f>+F55</f>
        <v>3445.5</v>
      </c>
      <c r="P54" s="48"/>
      <c r="Q54" s="49"/>
    </row>
    <row r="55" spans="1:17" x14ac:dyDescent="0.2">
      <c r="A55" s="40"/>
      <c r="B55" s="159" t="s">
        <v>94</v>
      </c>
      <c r="C55" s="159"/>
      <c r="D55" s="159"/>
      <c r="E55" s="159"/>
      <c r="F55" s="42">
        <f>+F53+F54</f>
        <v>3445.5</v>
      </c>
      <c r="G55" s="31">
        <f>+F55/$F$66</f>
        <v>0.8676961665734878</v>
      </c>
      <c r="H55" s="43">
        <f>+F55/$D$60</f>
        <v>3445.5</v>
      </c>
      <c r="I55" s="43"/>
      <c r="J55" s="50"/>
      <c r="K55" s="51"/>
      <c r="M55" s="52" t="s">
        <v>95</v>
      </c>
      <c r="N55" s="53"/>
      <c r="O55" s="48">
        <f>+H56</f>
        <v>462</v>
      </c>
      <c r="P55" s="48"/>
      <c r="Q55" s="49"/>
    </row>
    <row r="56" spans="1:17" ht="13.5" thickBot="1" x14ac:dyDescent="0.25">
      <c r="A56" s="40"/>
      <c r="B56" s="41"/>
      <c r="C56" s="159" t="s">
        <v>96</v>
      </c>
      <c r="D56" s="159"/>
      <c r="E56" s="159"/>
      <c r="F56" s="42">
        <f>SUM(F44:F51)</f>
        <v>462</v>
      </c>
      <c r="G56" s="31">
        <f>+F56/$F$66</f>
        <v>0.11634759220924434</v>
      </c>
      <c r="H56" s="43">
        <f>+F56/$D$60</f>
        <v>462</v>
      </c>
      <c r="I56" s="43"/>
      <c r="J56" s="50"/>
      <c r="K56" s="51"/>
      <c r="L56" s="51"/>
      <c r="M56" s="51" t="s">
        <v>97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98</v>
      </c>
      <c r="N57" s="60"/>
      <c r="O57" s="61">
        <f>SUM(O54:O56)</f>
        <v>3907.5</v>
      </c>
      <c r="P57" s="62"/>
      <c r="Q57" s="49"/>
    </row>
    <row r="58" spans="1:17" x14ac:dyDescent="0.2">
      <c r="B58" s="162" t="s">
        <v>99</v>
      </c>
      <c r="C58" s="162"/>
      <c r="D58" s="63">
        <v>486</v>
      </c>
      <c r="E58" s="64"/>
      <c r="G58" s="31"/>
      <c r="H58" s="57">
        <f>+H56/77</f>
        <v>6</v>
      </c>
      <c r="I58" s="65"/>
      <c r="J58" s="50"/>
      <c r="K58" s="58"/>
      <c r="L58" s="51"/>
      <c r="M58" s="51" t="s">
        <v>100</v>
      </c>
      <c r="N58" s="66"/>
      <c r="O58" s="48">
        <f>+H59</f>
        <v>498</v>
      </c>
      <c r="P58" s="48"/>
      <c r="Q58" s="49"/>
    </row>
    <row r="59" spans="1:17" x14ac:dyDescent="0.2">
      <c r="B59" s="162" t="s">
        <v>101</v>
      </c>
      <c r="C59" s="162"/>
      <c r="D59" s="67">
        <v>486</v>
      </c>
      <c r="E59" s="64"/>
      <c r="G59" s="31"/>
      <c r="H59" s="57">
        <f>+H58*83</f>
        <v>498</v>
      </c>
      <c r="I59" s="65"/>
      <c r="J59" s="50"/>
      <c r="K59" s="58"/>
      <c r="L59" s="51"/>
      <c r="M59" s="163" t="s">
        <v>98</v>
      </c>
      <c r="N59" s="163"/>
      <c r="O59" s="48">
        <f>SUM(O57:O58)</f>
        <v>4405.5</v>
      </c>
      <c r="P59" s="48"/>
      <c r="Q59" s="49"/>
    </row>
    <row r="60" spans="1:17" ht="13.5" thickBot="1" x14ac:dyDescent="0.25">
      <c r="B60" s="154" t="s">
        <v>102</v>
      </c>
      <c r="C60" s="154"/>
      <c r="D60" s="63">
        <f>+D58/D59</f>
        <v>1</v>
      </c>
      <c r="E60" s="64"/>
      <c r="F60" s="68"/>
      <c r="G60" s="31"/>
      <c r="H60" s="57"/>
      <c r="I60" s="65"/>
      <c r="J60" s="50"/>
      <c r="K60" s="58"/>
      <c r="L60" s="163"/>
      <c r="M60" s="163"/>
      <c r="N60" s="66"/>
      <c r="O60" s="48">
        <f>+O59*N60</f>
        <v>0</v>
      </c>
      <c r="P60" s="48"/>
      <c r="Q60" s="49"/>
    </row>
    <row r="61" spans="1:17" ht="13.5" thickBot="1" x14ac:dyDescent="0.25">
      <c r="B61" s="154" t="s">
        <v>103</v>
      </c>
      <c r="C61" s="154"/>
      <c r="D61" s="69"/>
      <c r="E61" s="64"/>
      <c r="F61" s="68"/>
      <c r="G61" s="31"/>
      <c r="H61" s="57"/>
      <c r="I61" s="65"/>
      <c r="J61" s="50"/>
      <c r="K61" s="155" t="s">
        <v>104</v>
      </c>
      <c r="L61" s="156"/>
      <c r="M61" s="156"/>
      <c r="N61" s="157"/>
      <c r="O61" s="61">
        <f>SUM(O59:O60)</f>
        <v>4405.5</v>
      </c>
      <c r="P61" s="70" t="s">
        <v>105</v>
      </c>
      <c r="Q61" s="49"/>
    </row>
    <row r="62" spans="1:17" ht="13.5" thickBot="1" x14ac:dyDescent="0.25">
      <c r="C62" s="40" t="s">
        <v>106</v>
      </c>
      <c r="D62" s="71"/>
      <c r="E62" s="14" t="s">
        <v>107</v>
      </c>
      <c r="F62" s="72" t="s">
        <v>108</v>
      </c>
      <c r="G62" s="31"/>
      <c r="H62" s="57"/>
      <c r="I62" s="65"/>
      <c r="J62" s="73"/>
      <c r="K62" s="74"/>
      <c r="L62" s="143" t="s">
        <v>124</v>
      </c>
      <c r="M62" s="143"/>
      <c r="N62" s="143"/>
      <c r="O62" s="75">
        <f>+O61/D60</f>
        <v>4405.5</v>
      </c>
      <c r="P62" s="76">
        <f>+O62/D59</f>
        <v>9.0648148148148149</v>
      </c>
      <c r="Q62" s="77"/>
    </row>
    <row r="63" spans="1:17" ht="13.5" thickBot="1" x14ac:dyDescent="0.25">
      <c r="B63" s="144" t="s">
        <v>94</v>
      </c>
      <c r="C63" s="144"/>
      <c r="D63" s="144"/>
      <c r="E63" s="78">
        <f>+F63/F63</f>
        <v>1</v>
      </c>
      <c r="F63" s="79">
        <f>SUM(F55)</f>
        <v>3445.5</v>
      </c>
      <c r="G63" s="31">
        <f>+F63/$F$66</f>
        <v>0.8676961665734878</v>
      </c>
      <c r="H63" s="57"/>
      <c r="I63" s="65"/>
      <c r="K63" s="145"/>
      <c r="L63" s="146"/>
      <c r="M63" s="146"/>
      <c r="N63" s="146"/>
      <c r="O63" s="80"/>
      <c r="P63" s="81"/>
    </row>
    <row r="64" spans="1:17" ht="13.5" thickBot="1" x14ac:dyDescent="0.25">
      <c r="B64" s="147" t="s">
        <v>109</v>
      </c>
      <c r="C64" s="147"/>
      <c r="D64" s="147"/>
      <c r="E64" s="82">
        <v>0.02</v>
      </c>
      <c r="F64" s="79">
        <f>+F53*E64</f>
        <v>63.36</v>
      </c>
      <c r="G64" s="31">
        <f>+F64/$F$66</f>
        <v>1.5956241217267794E-2</v>
      </c>
      <c r="H64" s="43"/>
      <c r="I64" s="65"/>
      <c r="J64" s="83"/>
      <c r="N64" s="16" t="s">
        <v>123</v>
      </c>
      <c r="O64" s="84">
        <f>+O62/3</f>
        <v>1468.5</v>
      </c>
      <c r="P64" s="41"/>
    </row>
    <row r="65" spans="2:15" ht="13.5" thickBot="1" x14ac:dyDescent="0.25">
      <c r="B65" s="148" t="s">
        <v>110</v>
      </c>
      <c r="C65" s="149"/>
      <c r="D65" s="85">
        <v>6</v>
      </c>
      <c r="E65" s="86">
        <v>77</v>
      </c>
      <c r="F65" s="79">
        <f>+E65*D65</f>
        <v>462</v>
      </c>
      <c r="G65" s="31">
        <f>+F65/$F$66</f>
        <v>0.11634759220924434</v>
      </c>
      <c r="H65" s="43"/>
      <c r="I65" s="43"/>
      <c r="J65" s="33"/>
      <c r="N65" s="16" t="s">
        <v>125</v>
      </c>
      <c r="O65" s="16">
        <f>+O64/6</f>
        <v>244.75</v>
      </c>
    </row>
    <row r="66" spans="2:15" ht="13.5" thickBot="1" x14ac:dyDescent="0.25">
      <c r="B66" s="150" t="s">
        <v>111</v>
      </c>
      <c r="C66" s="151"/>
      <c r="D66" s="151"/>
      <c r="E66" s="152"/>
      <c r="F66" s="56">
        <f>SUM(F63:F65)</f>
        <v>3970.86</v>
      </c>
      <c r="G66" s="31">
        <f>+F66/$F$66</f>
        <v>1</v>
      </c>
      <c r="H66" s="153"/>
      <c r="I66" s="43"/>
      <c r="J66" s="33"/>
      <c r="M66" s="16" t="s">
        <v>112</v>
      </c>
    </row>
    <row r="67" spans="2:15" x14ac:dyDescent="0.2">
      <c r="C67" s="38"/>
      <c r="D67" s="38"/>
      <c r="E67" s="88"/>
      <c r="F67" s="79"/>
      <c r="G67" s="31"/>
      <c r="H67" s="153"/>
      <c r="I67" s="87"/>
      <c r="J67" s="16"/>
      <c r="M67" s="16" t="s">
        <v>113</v>
      </c>
    </row>
    <row r="68" spans="2:15" ht="13.5" thickBot="1" x14ac:dyDescent="0.25">
      <c r="B68" s="138" t="s">
        <v>114</v>
      </c>
      <c r="C68" s="138"/>
      <c r="D68" s="138"/>
      <c r="E68" s="138"/>
      <c r="F68" s="138"/>
      <c r="G68" s="31"/>
      <c r="H68" s="90"/>
      <c r="I68" s="87"/>
      <c r="J68" s="16"/>
      <c r="M68" s="16" t="s">
        <v>115</v>
      </c>
    </row>
    <row r="69" spans="2:15" ht="13.5" thickBot="1" x14ac:dyDescent="0.25">
      <c r="B69" s="91" t="s">
        <v>116</v>
      </c>
      <c r="C69" s="92">
        <f>+F53</f>
        <v>3168</v>
      </c>
      <c r="D69" s="92">
        <f>+D58</f>
        <v>486</v>
      </c>
      <c r="E69" s="93">
        <f>+C69/D69</f>
        <v>6.5185185185185182</v>
      </c>
      <c r="F69" s="31"/>
      <c r="G69" s="90"/>
      <c r="H69" s="33"/>
      <c r="I69" s="90"/>
      <c r="J69" s="16"/>
    </row>
    <row r="70" spans="2:15" x14ac:dyDescent="0.2">
      <c r="B70" s="94"/>
      <c r="C70" s="95"/>
      <c r="D70" s="96"/>
      <c r="E70" s="79"/>
      <c r="F70" s="31"/>
      <c r="G70" s="90"/>
      <c r="H70" s="33"/>
      <c r="I70" s="33"/>
      <c r="J70" s="16"/>
    </row>
    <row r="71" spans="2:15" x14ac:dyDescent="0.2">
      <c r="B71" s="91" t="s">
        <v>117</v>
      </c>
      <c r="C71" s="92">
        <f>SUM(F63:F64)</f>
        <v>3508.86</v>
      </c>
      <c r="D71" s="92">
        <f>+D58</f>
        <v>486</v>
      </c>
      <c r="E71" s="97">
        <f>+C71/D71</f>
        <v>7.2198765432098764</v>
      </c>
      <c r="F71" s="31"/>
      <c r="G71" s="90"/>
      <c r="H71" s="33"/>
      <c r="I71" s="33"/>
      <c r="J71" s="16"/>
    </row>
    <row r="72" spans="2:15" x14ac:dyDescent="0.2">
      <c r="B72" s="91"/>
      <c r="C72" s="92"/>
      <c r="D72" s="92"/>
      <c r="E72" s="97"/>
      <c r="F72" s="31"/>
      <c r="G72" s="90"/>
      <c r="H72" s="33"/>
      <c r="I72" s="33"/>
      <c r="J72" s="16"/>
    </row>
    <row r="73" spans="2:15" ht="13.5" thickBot="1" x14ac:dyDescent="0.25">
      <c r="B73" s="91" t="s">
        <v>118</v>
      </c>
      <c r="C73" s="92">
        <f>+F65</f>
        <v>462</v>
      </c>
      <c r="D73" s="92">
        <f>+D58</f>
        <v>486</v>
      </c>
      <c r="E73" s="97">
        <f>+C73/D73</f>
        <v>0.95061728395061729</v>
      </c>
      <c r="F73" s="31"/>
      <c r="G73" s="90"/>
      <c r="H73" s="33"/>
      <c r="I73" s="33"/>
      <c r="J73" s="16"/>
    </row>
    <row r="74" spans="2:15" ht="13.5" thickBot="1" x14ac:dyDescent="0.25">
      <c r="B74" s="91" t="s">
        <v>119</v>
      </c>
      <c r="C74" s="92">
        <f>+F56</f>
        <v>462</v>
      </c>
      <c r="D74" s="92">
        <f>+D73</f>
        <v>486</v>
      </c>
      <c r="E74" s="93">
        <f>+C74/D74</f>
        <v>0.95061728395061729</v>
      </c>
      <c r="F74" s="31"/>
      <c r="G74" s="90"/>
      <c r="H74" s="33"/>
      <c r="I74" s="33"/>
      <c r="J74" s="16"/>
    </row>
    <row r="75" spans="2:15" ht="13.5" thickBot="1" x14ac:dyDescent="0.25">
      <c r="B75" s="55"/>
      <c r="C75" s="56"/>
      <c r="D75" s="56"/>
      <c r="E75" s="97"/>
      <c r="F75" s="31"/>
      <c r="G75" s="90"/>
      <c r="H75" s="33"/>
      <c r="I75" s="33"/>
      <c r="J75" s="16"/>
    </row>
    <row r="76" spans="2:15" ht="13.5" thickBot="1" x14ac:dyDescent="0.25">
      <c r="B76" s="91" t="s">
        <v>120</v>
      </c>
      <c r="C76" s="92">
        <f>+F54</f>
        <v>277.5</v>
      </c>
      <c r="D76" s="92">
        <f>+D74</f>
        <v>486</v>
      </c>
      <c r="E76" s="93">
        <f>+C76/D76</f>
        <v>0.57098765432098764</v>
      </c>
      <c r="F76" s="31"/>
      <c r="G76" s="90"/>
      <c r="H76" s="33"/>
      <c r="I76" s="33"/>
      <c r="J76" s="33"/>
    </row>
    <row r="77" spans="2:15" ht="13.5" thickBot="1" x14ac:dyDescent="0.25">
      <c r="B77" s="55"/>
      <c r="C77" s="56"/>
      <c r="D77" s="56"/>
      <c r="E77" s="97"/>
      <c r="F77" s="31"/>
      <c r="G77" s="90"/>
      <c r="H77" s="33"/>
      <c r="I77" s="33"/>
    </row>
    <row r="78" spans="2:15" ht="13.5" thickBot="1" x14ac:dyDescent="0.25">
      <c r="B78" s="139" t="s">
        <v>121</v>
      </c>
      <c r="C78" s="140"/>
      <c r="D78" s="141"/>
      <c r="E78" s="93">
        <f>+E69+E74</f>
        <v>7.4691358024691352</v>
      </c>
      <c r="G78" s="31"/>
      <c r="H78" s="90"/>
      <c r="I78" s="33"/>
      <c r="J78" s="97"/>
    </row>
    <row r="79" spans="2:15" x14ac:dyDescent="0.2">
      <c r="I79" s="90"/>
      <c r="J79" s="16"/>
    </row>
    <row r="80" spans="2:15" ht="13.5" thickBot="1" x14ac:dyDescent="0.25">
      <c r="B80" s="138" t="s">
        <v>122</v>
      </c>
      <c r="C80" s="138"/>
      <c r="D80" s="138"/>
      <c r="E80" s="138"/>
      <c r="F80" s="138"/>
      <c r="G80" s="31"/>
      <c r="H80" s="90"/>
      <c r="J80" s="16"/>
    </row>
    <row r="81" spans="1:10" ht="13.5" thickBot="1" x14ac:dyDescent="0.25">
      <c r="B81" s="91" t="s">
        <v>116</v>
      </c>
      <c r="C81" s="92">
        <f>+C69</f>
        <v>3168</v>
      </c>
      <c r="D81" s="92">
        <f>+D60</f>
        <v>1</v>
      </c>
      <c r="E81" s="93">
        <f>+C81/D81</f>
        <v>3168</v>
      </c>
      <c r="F81" s="31"/>
      <c r="G81" s="90"/>
      <c r="H81" s="33"/>
      <c r="I81" s="90"/>
      <c r="J81" s="16"/>
    </row>
    <row r="82" spans="1:10" x14ac:dyDescent="0.2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">
      <c r="B83" s="91" t="s">
        <v>117</v>
      </c>
      <c r="C83" s="92">
        <f>+C71</f>
        <v>3508.86</v>
      </c>
      <c r="D83" s="92">
        <f>+D60</f>
        <v>1</v>
      </c>
      <c r="E83" s="97">
        <f>+C83/D83</f>
        <v>3508.86</v>
      </c>
      <c r="F83" s="31"/>
      <c r="G83" s="90"/>
      <c r="H83" s="33"/>
      <c r="I83" s="33"/>
      <c r="J83" s="16"/>
    </row>
    <row r="84" spans="1:10" x14ac:dyDescent="0.2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25">
      <c r="B85" s="91" t="s">
        <v>119</v>
      </c>
      <c r="C85" s="92">
        <f>+C73</f>
        <v>462</v>
      </c>
      <c r="D85" s="92">
        <f>+D60</f>
        <v>1</v>
      </c>
      <c r="E85" s="97">
        <f>+C85/D85</f>
        <v>462</v>
      </c>
      <c r="F85" s="99"/>
      <c r="G85" s="89"/>
      <c r="H85" s="15"/>
      <c r="I85" s="33"/>
    </row>
    <row r="86" spans="1:10" ht="13.5" thickBot="1" x14ac:dyDescent="0.25">
      <c r="B86" s="91" t="s">
        <v>119</v>
      </c>
      <c r="C86" s="92">
        <f>+C74</f>
        <v>462</v>
      </c>
      <c r="D86" s="92">
        <f>+D85</f>
        <v>1</v>
      </c>
      <c r="E86" s="93">
        <f>+C86/D86</f>
        <v>462</v>
      </c>
      <c r="F86" s="98"/>
      <c r="G86" s="89"/>
      <c r="H86" s="15"/>
      <c r="I86" s="15"/>
    </row>
    <row r="87" spans="1:10" x14ac:dyDescent="0.2">
      <c r="I87" s="15"/>
    </row>
    <row r="88" spans="1:10" x14ac:dyDescent="0.2">
      <c r="A88" s="142"/>
      <c r="B88" s="142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ABEC842-78CA-4963-B0CD-CA2F722A8EA7}"/>
</file>

<file path=customXml/itemProps2.xml><?xml version="1.0" encoding="utf-8"?>
<ds:datastoreItem xmlns:ds="http://schemas.openxmlformats.org/officeDocument/2006/customXml" ds:itemID="{768760CB-F4E4-46BA-8BA7-F3EF860B2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D18256-CB5B-44C3-9038-FFCF638CEDD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Croissant Cereal </vt:lpstr>
      <vt:lpstr>Costo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2026-04-21T17:54:56Z</cp:lastPrinted>
  <dcterms:created xsi:type="dcterms:W3CDTF">2023-10-05T16:19:36Z</dcterms:created>
  <dcterms:modified xsi:type="dcterms:W3CDTF">2026-04-21T17:54:58Z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
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" documentId="8_{64870CBC-A55C-4FE3-AB82-11B1B9982AF1}" xr6:coauthVersionLast="47" xr6:coauthVersionMax="47" xr10:uidLastSave="{3DC9277F-19A7-44A1-97C4-77989AE20631}"/>
  <bookViews>
    <workbookView xWindow="20370" yWindow="-120" windowWidth="24240" windowHeight="13020" xr2:uid="{22651362-890A-4C77-BFA0-018A20379A69}"/>
  </bookViews>
  <sheets>
    <sheet name="Empaque" sheetId="3" r:id="rId1"/>
    <sheet name="Costo " sheetId="4" state="hidden" r:id="rId2"/>
  </sheets>
  <externalReferences>
    <externalReference r:id="rId3"/>
    <externalReference r:id="rId4"/>
  </externalReferences>
  <definedNames>
    <definedName name="_xlnm.Print_Area" localSheetId="0">Empaque!$A$1:$I$35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4" l="1"/>
  <c r="D74" i="4"/>
  <c r="D76" i="4"/>
  <c r="D71" i="4"/>
  <c r="D69" i="4"/>
  <c r="F65" i="4"/>
  <c r="E51" i="4"/>
  <c r="F51" i="4"/>
  <c r="D60" i="4"/>
  <c r="D85" i="4"/>
  <c r="D86" i="4"/>
  <c r="C51" i="4"/>
  <c r="E50" i="4"/>
  <c r="D50" i="4"/>
  <c r="B50" i="4"/>
  <c r="E49" i="4"/>
  <c r="F49" i="4"/>
  <c r="D49" i="4"/>
  <c r="B49" i="4"/>
  <c r="A49" i="4"/>
  <c r="C49" i="4"/>
  <c r="E48" i="4"/>
  <c r="D48" i="4"/>
  <c r="B48" i="4"/>
  <c r="E47" i="4"/>
  <c r="D47" i="4"/>
  <c r="B47" i="4"/>
  <c r="E46" i="4"/>
  <c r="D46" i="4"/>
  <c r="B46" i="4"/>
  <c r="E45" i="4"/>
  <c r="D45" i="4"/>
  <c r="B45" i="4"/>
  <c r="A45" i="4"/>
  <c r="C45" i="4"/>
  <c r="E44" i="4"/>
  <c r="D44" i="4"/>
  <c r="B44" i="4"/>
  <c r="E41" i="4"/>
  <c r="D41" i="4"/>
  <c r="B41" i="4"/>
  <c r="A41" i="4"/>
  <c r="A50" i="4"/>
  <c r="C50" i="4"/>
  <c r="E40" i="4"/>
  <c r="D40" i="4"/>
  <c r="C40" i="4"/>
  <c r="B40" i="4"/>
  <c r="A40" i="4"/>
  <c r="E39" i="4"/>
  <c r="D39" i="4"/>
  <c r="B39" i="4"/>
  <c r="A39" i="4"/>
  <c r="C39" i="4"/>
  <c r="E38" i="4"/>
  <c r="D38" i="4"/>
  <c r="B38" i="4"/>
  <c r="A38" i="4"/>
  <c r="C38" i="4"/>
  <c r="E37" i="4"/>
  <c r="D37" i="4"/>
  <c r="B37" i="4"/>
  <c r="A37" i="4"/>
  <c r="A46" i="4"/>
  <c r="C46" i="4"/>
  <c r="E36" i="4"/>
  <c r="D36" i="4"/>
  <c r="C36" i="4"/>
  <c r="F36" i="4"/>
  <c r="B36" i="4"/>
  <c r="A36" i="4"/>
  <c r="E35" i="4"/>
  <c r="D35" i="4"/>
  <c r="B35" i="4"/>
  <c r="A35" i="4"/>
  <c r="C35" i="4"/>
  <c r="E32" i="4"/>
  <c r="D32" i="4"/>
  <c r="C32" i="4"/>
  <c r="B32" i="4"/>
  <c r="E31" i="4"/>
  <c r="F31" i="4"/>
  <c r="D31" i="4"/>
  <c r="C31" i="4"/>
  <c r="B31" i="4"/>
  <c r="E30" i="4"/>
  <c r="D30" i="4"/>
  <c r="C30" i="4"/>
  <c r="B30" i="4"/>
  <c r="F29" i="4"/>
  <c r="E29" i="4"/>
  <c r="D29" i="4"/>
  <c r="C29" i="4"/>
  <c r="B29" i="4"/>
  <c r="E28" i="4"/>
  <c r="D28" i="4"/>
  <c r="C28" i="4"/>
  <c r="F28" i="4"/>
  <c r="B28" i="4"/>
  <c r="E27" i="4"/>
  <c r="D27" i="4"/>
  <c r="C27" i="4"/>
  <c r="B27" i="4"/>
  <c r="E24" i="4"/>
  <c r="D24" i="4"/>
  <c r="C24" i="4"/>
  <c r="B24" i="4"/>
  <c r="E23" i="4"/>
  <c r="F23" i="4"/>
  <c r="D23" i="4"/>
  <c r="C23" i="4"/>
  <c r="B23" i="4"/>
  <c r="E22" i="4"/>
  <c r="D22" i="4"/>
  <c r="C22" i="4"/>
  <c r="B22" i="4"/>
  <c r="E21" i="4"/>
  <c r="F21" i="4"/>
  <c r="D21" i="4"/>
  <c r="C21" i="4"/>
  <c r="B21" i="4"/>
  <c r="E20" i="4"/>
  <c r="F20" i="4"/>
  <c r="D20" i="4"/>
  <c r="C20" i="4"/>
  <c r="B20" i="4"/>
  <c r="E19" i="4"/>
  <c r="F19" i="4"/>
  <c r="D19" i="4"/>
  <c r="C19" i="4"/>
  <c r="B19" i="4"/>
  <c r="E18" i="4"/>
  <c r="F18" i="4"/>
  <c r="D18" i="4"/>
  <c r="C18" i="4"/>
  <c r="B18" i="4"/>
  <c r="F17" i="4"/>
  <c r="C17" i="4"/>
  <c r="B15" i="4"/>
  <c r="E14" i="4"/>
  <c r="F14" i="4"/>
  <c r="D14" i="4"/>
  <c r="C14" i="4"/>
  <c r="B14" i="4"/>
  <c r="E13" i="4"/>
  <c r="D13" i="4"/>
  <c r="C13" i="4"/>
  <c r="B13" i="4"/>
  <c r="E12" i="4"/>
  <c r="F12" i="4"/>
  <c r="D12" i="4"/>
  <c r="C12" i="4"/>
  <c r="B12" i="4"/>
  <c r="E11" i="4"/>
  <c r="D11" i="4"/>
  <c r="C11" i="4"/>
  <c r="B11" i="4"/>
  <c r="E10" i="4"/>
  <c r="F10" i="4"/>
  <c r="D10" i="4"/>
  <c r="C10" i="4"/>
  <c r="B10" i="4"/>
  <c r="E9" i="4"/>
  <c r="D9" i="4"/>
  <c r="C9" i="4"/>
  <c r="B9" i="4"/>
  <c r="E8" i="4"/>
  <c r="F8" i="4"/>
  <c r="D8" i="4"/>
  <c r="C8" i="4"/>
  <c r="B8" i="4"/>
  <c r="H6" i="4"/>
  <c r="F46" i="4"/>
  <c r="F50" i="4"/>
  <c r="D81" i="4"/>
  <c r="D83" i="4"/>
  <c r="F40" i="4"/>
  <c r="F38" i="4"/>
  <c r="F39" i="4"/>
  <c r="F30" i="4"/>
  <c r="F32" i="4"/>
  <c r="F27" i="4"/>
  <c r="F22" i="4"/>
  <c r="C41" i="4"/>
  <c r="F41" i="4"/>
  <c r="F24" i="4"/>
  <c r="C37" i="4"/>
  <c r="F37" i="4"/>
  <c r="F9" i="4"/>
  <c r="F11" i="4"/>
  <c r="F13" i="4"/>
  <c r="F35" i="4"/>
  <c r="F53" i="4"/>
  <c r="F45" i="4"/>
  <c r="A44" i="4"/>
  <c r="C44" i="4"/>
  <c r="F44" i="4"/>
  <c r="A48" i="4"/>
  <c r="C48" i="4"/>
  <c r="F48" i="4"/>
  <c r="A47" i="4"/>
  <c r="C47" i="4"/>
  <c r="F47" i="4"/>
  <c r="C73" i="4"/>
  <c r="F54" i="4"/>
  <c r="C76" i="4"/>
  <c r="E76" i="4"/>
  <c r="H54" i="4"/>
  <c r="G2" i="4"/>
  <c r="C69" i="4"/>
  <c r="H53" i="4"/>
  <c r="F2" i="4"/>
  <c r="F64" i="4"/>
  <c r="F55" i="4"/>
  <c r="F56" i="4"/>
  <c r="E73" i="4"/>
  <c r="C85" i="4"/>
  <c r="E85" i="4"/>
  <c r="C81" i="4"/>
  <c r="E81" i="4"/>
  <c r="E69" i="4"/>
  <c r="H56" i="4"/>
  <c r="C74" i="4"/>
  <c r="H55" i="4"/>
  <c r="F63" i="4"/>
  <c r="O54" i="4"/>
  <c r="C71" i="4"/>
  <c r="E63" i="4"/>
  <c r="F66" i="4"/>
  <c r="G63" i="4"/>
  <c r="H2" i="4"/>
  <c r="O55" i="4"/>
  <c r="H58" i="4"/>
  <c r="H59" i="4"/>
  <c r="O58" i="4"/>
  <c r="O56" i="4"/>
  <c r="O57" i="4"/>
  <c r="O59" i="4"/>
  <c r="E74" i="4"/>
  <c r="E78" i="4"/>
  <c r="C86" i="4"/>
  <c r="E86" i="4"/>
  <c r="G66" i="4"/>
  <c r="G21" i="4"/>
  <c r="G17" i="4"/>
  <c r="G54" i="4"/>
  <c r="G41" i="4"/>
  <c r="G20" i="4"/>
  <c r="G38" i="4"/>
  <c r="G8" i="4"/>
  <c r="G22" i="4"/>
  <c r="G51" i="4"/>
  <c r="G40" i="4"/>
  <c r="G9" i="4"/>
  <c r="G18" i="4"/>
  <c r="G32" i="4"/>
  <c r="G29" i="4"/>
  <c r="G39" i="4"/>
  <c r="G10" i="4"/>
  <c r="G28" i="4"/>
  <c r="G23" i="4"/>
  <c r="G11" i="4"/>
  <c r="G49" i="4"/>
  <c r="G46" i="4"/>
  <c r="G12" i="4"/>
  <c r="G24" i="4"/>
  <c r="G14" i="4"/>
  <c r="G35" i="4"/>
  <c r="G30" i="4"/>
  <c r="G27" i="4"/>
  <c r="G36" i="4"/>
  <c r="G31" i="4"/>
  <c r="G65" i="4"/>
  <c r="G13" i="4"/>
  <c r="G50" i="4"/>
  <c r="G19" i="4"/>
  <c r="G37" i="4"/>
  <c r="G47" i="4"/>
  <c r="G44" i="4"/>
  <c r="G53" i="4"/>
  <c r="G45" i="4"/>
  <c r="G48" i="4"/>
  <c r="G55" i="4"/>
  <c r="G56" i="4"/>
  <c r="G64" i="4"/>
  <c r="O60" i="4"/>
  <c r="O61" i="4"/>
  <c r="O62" i="4"/>
  <c r="C83" i="4"/>
  <c r="E83" i="4"/>
  <c r="E71" i="4"/>
  <c r="P62" i="4"/>
  <c r="E2" i="4"/>
</calcChain>
</file>

<file path=xl/sharedStrings.xml><?xml version="1.0" encoding="utf-8"?>
<sst xmlns="http://schemas.openxmlformats.org/spreadsheetml/2006/main" count="159" uniqueCount="112">
  <si>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</si>
  <si>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</si>
  <si>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</si>
  <si>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</si>
  <si>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</si>
  <si>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</si>
  <si>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</si>
  <si>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</si>
  <si>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</si>
  <si>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</si>
  <si>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</si>
  <si>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</si>
  <si>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</si>
  <si>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</si>
  <si>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</si>
  <si>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</si>
  <si>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</si>
  <si>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</si>
  <si>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</si>
  <si>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</si>
  <si>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Und.</t>
  </si>
  <si>
    <t>SERVICIOS DE PASTELERIA S.A.</t>
  </si>
  <si>
    <t>Unidad Internacional</t>
  </si>
  <si>
    <t>Tiempo de Horneo</t>
  </si>
  <si>
    <t>Horno:</t>
  </si>
  <si>
    <t>Temperatura de Horneo</t>
  </si>
  <si>
    <t>CONTROL DE CAMBIOS</t>
  </si>
  <si>
    <t>FAS</t>
  </si>
  <si>
    <t># Codigo Netsuite</t>
  </si>
  <si>
    <t>Esteban Cartin, Gte de Manufactura</t>
  </si>
  <si>
    <t>0702069</t>
  </si>
  <si>
    <t>ETIQ.BLANCA 1 1/4 * 3/4</t>
  </si>
  <si>
    <t>Cemusa</t>
  </si>
  <si>
    <t>ud</t>
  </si>
  <si>
    <t xml:space="preserve">Empaque </t>
  </si>
  <si>
    <t>Etiplast</t>
  </si>
  <si>
    <t>0702007</t>
  </si>
  <si>
    <t>EM10004</t>
  </si>
  <si>
    <t>ETIQ.FECHA VENCIMIENTO BLANCO</t>
  </si>
  <si>
    <t>EM10005</t>
  </si>
  <si>
    <t>AREA QUE PRODUCE:</t>
  </si>
  <si>
    <t xml:space="preserve">AREA QUE EMPACA: </t>
  </si>
  <si>
    <t>Relleno Suspiro Limeño</t>
  </si>
  <si>
    <t>Empaque</t>
  </si>
  <si>
    <t>EM10037</t>
  </si>
  <si>
    <t>Bolsa 8X12 Transparente</t>
  </si>
  <si>
    <t>Cocina Caliente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</si>
  <si>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</si>
  <si>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</si>
  <si>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</si>
  <si>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</si>
  <si>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</si>
  <si>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</si>
  <si>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</si>
  <si>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</si>
  <si>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</si>
  <si>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</si>
  <si>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</si>
  <si>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</si>
  <si>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</si>
  <si>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</si>
  <si>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</si>
  <si>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</si>
  <si>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</si>
  <si>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</si>
  <si>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</si>
  <si>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</si>
  <si>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</si>
  <si>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</si>
  <si>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</si>
  <si>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</si>
  <si>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</si>
  <si>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</si>
  <si>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</si>
  <si>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</si>
  <si>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</si>
  <si>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</si>
  <si>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</si>
  <si>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</si>
  <si>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</si>
  <si>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</si>
  <si>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</si>
  <si>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</si>
  <si>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</si>
  <si>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</si>
  <si>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</si>
  <si>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</si>
  <si>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</si>
  <si>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</si>
  <si>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</si>
  <si>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</si>
  <si>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</si>
  <si>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</si>
  <si>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</si>
  <si>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</si>
  <si>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</si>
  <si>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</si>
  <si>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</si>
  <si>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</si>
  <si>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902000170</t>
  </si>
  <si>
    <t>Gramos</t>
  </si>
  <si>
    <t>1950705</t>
  </si>
  <si>
    <t>ESP-RE-EMPS-072</t>
  </si>
  <si>
    <t>Javier Tong, Chef</t>
  </si>
  <si>
    <t>2-Fechar,Etiquetar</t>
  </si>
  <si>
    <t>2, Cambio de gramaje, cambio de rellno, y cambio en procedimiento</t>
  </si>
  <si>
    <t>SE00475</t>
  </si>
  <si>
    <t xml:space="preserve">1-Empacar 400 g de Mezcla en la Bolsa 8 x 12 y hacer nudo </t>
  </si>
  <si>
    <t>3, Cambio de gramaje, cambio de rellno, y cambio en procedimiento</t>
  </si>
  <si>
    <r>
      <rPr>
        <b/>
        <sz val="16"/>
        <rFont val="Arial"/>
        <family val="2"/>
      </rPr>
      <t>Otros:</t>
    </r>
    <r>
      <rPr>
        <sz val="16"/>
        <rFont val="Arial"/>
        <family val="2"/>
      </rPr>
      <t xml:space="preserve">  </t>
    </r>
  </si>
  <si>
    <t>03</t>
  </si>
  <si>
    <t xml:space="preserve">PTL00225 ( 20500057) Empaque Relleno de Suspiro Limeño 400g Locales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</si>
</sst>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</numFmts>
  <fonts count="4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6"/>
      <name val="Arial"/>
      <family val="2"/>
    </font>
    <font>
      <b/>
      <u/>
      <sz val="16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59">
    <xf numFmtId="0" fontId="0" fillId="0" borderId="0" xfId="0"/>
    <xf numFmtId="0" fontId="4" fillId="2" borderId="0" xfId="0" applyFont="1" applyFill="1"/>
    <xf numFmtId="0" fontId="5" fillId="2" borderId="1" xfId="6" applyFont="1" applyFill="1" applyBorder="1" applyAlignment="1">
      <alignment horizontal="right"/>
    </xf>
    <xf numFmtId="0" fontId="4" fillId="2" borderId="2" xfId="6" applyFont="1" applyFill="1" applyBorder="1" applyAlignment="1">
      <alignment horizontal="right"/>
    </xf>
    <xf numFmtId="0" fontId="4" fillId="2" borderId="1" xfId="6" applyFont="1" applyFill="1" applyBorder="1" applyAlignment="1">
      <alignment horizontal="right"/>
    </xf>
    <xf numFmtId="0" fontId="4" fillId="2" borderId="0" xfId="0" applyFont="1" applyFill="1" applyAlignment="1">
      <alignment horizontal="left" indent="1"/>
    </xf>
    <xf numFmtId="9" fontId="4" fillId="2" borderId="0" xfId="8" applyFont="1" applyFill="1"/>
    <xf numFmtId="0" fontId="8" fillId="0" borderId="0" xfId="5" applyFont="1"/>
    <xf numFmtId="1" fontId="5" fillId="3" borderId="11" xfId="0" applyNumberFormat="1" applyFont="1" applyFill="1" applyBorder="1" applyAlignment="1">
      <alignment horizontal="center"/>
    </xf>
    <xf numFmtId="1" fontId="5" fillId="3" borderId="11" xfId="0" applyNumberFormat="1" applyFont="1" applyFill="1" applyBorder="1" applyAlignment="1">
      <alignment horizontal="center" wrapText="1"/>
    </xf>
    <xf numFmtId="14" fontId="39" fillId="2" borderId="10" xfId="7" applyNumberFormat="1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/>
    </xf>
    <xf numFmtId="49" fontId="9" fillId="2" borderId="1" xfId="6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vertical="center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5" fontId="12" fillId="0" borderId="1" xfId="1" applyFont="1" applyFill="1" applyBorder="1" applyAlignment="1">
      <alignment horizontal="center" vertical="center"/>
    </xf>
    <xf numFmtId="165" fontId="12" fillId="0" borderId="0" xfId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2" applyNumberFormat="1" applyFont="1" applyFill="1" applyAlignment="1">
      <alignment horizontal="center" vertical="center"/>
    </xf>
    <xf numFmtId="4" fontId="12" fillId="0" borderId="0" xfId="2" applyNumberFormat="1" applyFont="1" applyFill="1" applyAlignment="1">
      <alignment horizontal="center" vertical="center"/>
    </xf>
    <xf numFmtId="10" fontId="12" fillId="0" borderId="0" xfId="9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9" applyNumberFormat="1" applyFont="1" applyFill="1" applyAlignment="1">
      <alignment vertical="center"/>
    </xf>
    <xf numFmtId="0" fontId="7" fillId="0" borderId="0" xfId="0" applyFont="1"/>
    <xf numFmtId="49" fontId="12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5" fontId="7" fillId="0" borderId="0" xfId="1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1" applyNumberFormat="1" applyFont="1" applyFill="1" applyAlignment="1">
      <alignment vertical="center"/>
    </xf>
    <xf numFmtId="165" fontId="20" fillId="0" borderId="0" xfId="1" applyFont="1" applyFill="1" applyAlignment="1">
      <alignment horizontal="center" vertical="center"/>
    </xf>
    <xf numFmtId="10" fontId="13" fillId="4" borderId="16" xfId="9" applyNumberFormat="1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165" fontId="20" fillId="4" borderId="17" xfId="1" applyFont="1" applyFill="1" applyBorder="1" applyAlignment="1">
      <alignment horizontal="center" vertical="center"/>
    </xf>
    <xf numFmtId="165" fontId="22" fillId="0" borderId="0" xfId="1" applyFont="1" applyFill="1" applyBorder="1" applyAlignment="1">
      <alignment horizontal="right"/>
    </xf>
    <xf numFmtId="0" fontId="7" fillId="4" borderId="17" xfId="0" applyFont="1" applyFill="1" applyBorder="1" applyAlignment="1">
      <alignment vertical="center"/>
    </xf>
    <xf numFmtId="10" fontId="13" fillId="4" borderId="17" xfId="9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9" fontId="40" fillId="0" borderId="0" xfId="9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20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10" xfId="0" applyFont="1" applyBorder="1" applyAlignment="1">
      <alignment horizontal="right"/>
    </xf>
    <xf numFmtId="165" fontId="25" fillId="5" borderId="18" xfId="1" applyFont="1" applyFill="1" applyBorder="1" applyAlignment="1">
      <alignment horizontal="right"/>
    </xf>
    <xf numFmtId="165" fontId="25" fillId="0" borderId="0" xfId="1" applyFont="1" applyFill="1" applyBorder="1" applyAlignment="1">
      <alignment horizontal="right"/>
    </xf>
    <xf numFmtId="165" fontId="12" fillId="0" borderId="1" xfId="1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20" fillId="0" borderId="0" xfId="2" applyNumberFormat="1" applyFont="1" applyFill="1" applyAlignment="1">
      <alignment horizontal="center" vertical="center"/>
    </xf>
    <xf numFmtId="10" fontId="27" fillId="0" borderId="0" xfId="9" applyNumberFormat="1" applyFont="1" applyFill="1" applyAlignment="1">
      <alignment horizontal="right"/>
    </xf>
    <xf numFmtId="169" fontId="12" fillId="4" borderId="1" xfId="1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165" fontId="12" fillId="6" borderId="1" xfId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4" borderId="19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1" applyNumberFormat="1" applyFont="1" applyFill="1" applyBorder="1" applyAlignment="1">
      <alignment horizontal="center"/>
    </xf>
    <xf numFmtId="2" fontId="24" fillId="0" borderId="0" xfId="1" applyNumberFormat="1" applyFont="1" applyFill="1" applyBorder="1" applyAlignment="1">
      <alignment horizontal="center"/>
    </xf>
    <xf numFmtId="0" fontId="7" fillId="4" borderId="19" xfId="0" applyFont="1" applyFill="1" applyBorder="1" applyAlignment="1">
      <alignment vertical="center"/>
    </xf>
    <xf numFmtId="10" fontId="7" fillId="0" borderId="0" xfId="9" applyNumberFormat="1" applyFont="1" applyFill="1" applyAlignment="1">
      <alignment vertical="center"/>
    </xf>
    <xf numFmtId="4" fontId="7" fillId="0" borderId="0" xfId="1" applyNumberFormat="1" applyFont="1" applyFill="1" applyAlignment="1">
      <alignment vertical="center"/>
    </xf>
    <xf numFmtId="165" fontId="25" fillId="4" borderId="6" xfId="1" applyFont="1" applyFill="1" applyBorder="1" applyAlignment="1">
      <alignment horizontal="right"/>
    </xf>
    <xf numFmtId="0" fontId="12" fillId="4" borderId="7" xfId="0" applyFont="1" applyFill="1" applyBorder="1" applyAlignment="1">
      <alignment horizontal="right" vertical="center"/>
    </xf>
    <xf numFmtId="10" fontId="31" fillId="0" borderId="0" xfId="1" applyNumberFormat="1" applyFont="1" applyFill="1" applyAlignment="1">
      <alignment vertical="center"/>
    </xf>
    <xf numFmtId="10" fontId="13" fillId="0" borderId="0" xfId="9" applyNumberFormat="1" applyFont="1" applyFill="1" applyBorder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165" fontId="33" fillId="0" borderId="0" xfId="1" applyFont="1" applyFill="1" applyAlignment="1">
      <alignment vertical="center"/>
    </xf>
    <xf numFmtId="4" fontId="34" fillId="0" borderId="0" xfId="2" applyNumberFormat="1" applyFont="1" applyFill="1" applyAlignment="1">
      <alignment horizontal="center" vertical="center" wrapText="1"/>
    </xf>
    <xf numFmtId="9" fontId="7" fillId="0" borderId="0" xfId="1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2" fillId="7" borderId="18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165" fontId="35" fillId="0" borderId="0" xfId="1" applyFont="1" applyFill="1" applyAlignment="1">
      <alignment vertical="center"/>
    </xf>
    <xf numFmtId="9" fontId="35" fillId="0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horizontal="center" vertical="center"/>
    </xf>
    <xf numFmtId="10" fontId="28" fillId="0" borderId="0" xfId="9" applyNumberFormat="1" applyFont="1" applyFill="1" applyAlignment="1">
      <alignment vertical="center"/>
    </xf>
    <xf numFmtId="165" fontId="28" fillId="0" borderId="0" xfId="1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165" fontId="7" fillId="0" borderId="0" xfId="1" applyFont="1" applyFill="1" applyBorder="1"/>
    <xf numFmtId="10" fontId="28" fillId="0" borderId="0" xfId="9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165" fontId="7" fillId="0" borderId="0" xfId="1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5" fontId="12" fillId="0" borderId="0" xfId="0" applyNumberFormat="1" applyFont="1"/>
    <xf numFmtId="0" fontId="11" fillId="2" borderId="4" xfId="7" applyFont="1" applyFill="1" applyBorder="1" applyAlignment="1">
      <alignment horizontal="right"/>
    </xf>
    <xf numFmtId="0" fontId="11" fillId="2" borderId="0" xfId="7" applyFont="1" applyFill="1" applyAlignment="1">
      <alignment horizontal="right"/>
    </xf>
    <xf numFmtId="0" fontId="39" fillId="2" borderId="23" xfId="7" applyFont="1" applyFill="1" applyBorder="1" applyAlignment="1">
      <alignment horizontal="center"/>
    </xf>
    <xf numFmtId="0" fontId="11" fillId="2" borderId="0" xfId="7" applyFont="1" applyFill="1"/>
    <xf numFmtId="168" fontId="9" fillId="2" borderId="0" xfId="6" applyNumberFormat="1" applyFont="1" applyFill="1" applyAlignment="1">
      <alignment horizontal="center" vertical="center" wrapText="1"/>
    </xf>
    <xf numFmtId="0" fontId="4" fillId="2" borderId="36" xfId="6" applyFont="1" applyFill="1" applyBorder="1" applyAlignment="1">
      <alignment horizontal="left"/>
    </xf>
    <xf numFmtId="0" fontId="4" fillId="2" borderId="37" xfId="6" applyFont="1" applyFill="1" applyBorder="1" applyAlignment="1">
      <alignment horizontal="left"/>
    </xf>
    <xf numFmtId="0" fontId="4" fillId="2" borderId="31" xfId="6" applyFont="1" applyFill="1" applyBorder="1" applyAlignment="1">
      <alignment horizontal="left"/>
    </xf>
    <xf numFmtId="0" fontId="4" fillId="2" borderId="21" xfId="6" applyFont="1" applyFill="1" applyBorder="1" applyAlignment="1">
      <alignment horizontal="left"/>
    </xf>
    <xf numFmtId="0" fontId="5" fillId="3" borderId="38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1" fontId="5" fillId="3" borderId="44" xfId="0" applyNumberFormat="1" applyFont="1" applyFill="1" applyBorder="1" applyAlignment="1">
      <alignment horizontal="center"/>
    </xf>
    <xf numFmtId="1" fontId="5" fillId="3" borderId="45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0" fontId="4" fillId="2" borderId="46" xfId="6" applyFont="1" applyFill="1" applyBorder="1" applyAlignment="1">
      <alignment horizontal="center"/>
    </xf>
    <xf numFmtId="0" fontId="4" fillId="2" borderId="47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48" xfId="6" applyFont="1" applyFill="1" applyBorder="1" applyAlignment="1">
      <alignment horizontal="center"/>
    </xf>
    <xf numFmtId="0" fontId="4" fillId="2" borderId="23" xfId="6" applyFont="1" applyFill="1" applyBorder="1" applyAlignment="1">
      <alignment horizontal="center"/>
    </xf>
    <xf numFmtId="0" fontId="3" fillId="2" borderId="42" xfId="6" applyFont="1" applyFill="1" applyBorder="1" applyAlignment="1">
      <alignment horizontal="center"/>
    </xf>
    <xf numFmtId="0" fontId="3" fillId="2" borderId="36" xfId="6" applyFont="1" applyFill="1" applyBorder="1" applyAlignment="1">
      <alignment horizontal="center"/>
    </xf>
    <xf numFmtId="0" fontId="3" fillId="2" borderId="11" xfId="6" applyFont="1" applyFill="1" applyBorder="1" applyAlignment="1">
      <alignment horizontal="center"/>
    </xf>
    <xf numFmtId="0" fontId="3" fillId="2" borderId="44" xfId="6" applyFont="1" applyFill="1" applyBorder="1" applyAlignment="1">
      <alignment horizontal="center"/>
    </xf>
    <xf numFmtId="0" fontId="5" fillId="2" borderId="1" xfId="6" applyFont="1" applyFill="1" applyBorder="1" applyAlignment="1">
      <alignment horizontal="right" vertical="top" wrapText="1"/>
    </xf>
    <xf numFmtId="14" fontId="4" fillId="2" borderId="1" xfId="6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36" fillId="0" borderId="5" xfId="0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0" borderId="7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23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5" fillId="4" borderId="5" xfId="0" applyFont="1" applyFill="1" applyBorder="1" applyAlignment="1">
      <alignment horizontal="right"/>
    </xf>
    <xf numFmtId="0" fontId="25" fillId="4" borderId="6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2" fillId="0" borderId="23" xfId="0" applyFont="1" applyBorder="1" applyAlignment="1">
      <alignment horizontal="right" vertical="center"/>
    </xf>
    <xf numFmtId="0" fontId="12" fillId="0" borderId="49" xfId="0" applyFont="1" applyBorder="1" applyAlignment="1">
      <alignment horizontal="right" vertical="center"/>
    </xf>
    <xf numFmtId="0" fontId="12" fillId="8" borderId="5" xfId="0" applyFont="1" applyFill="1" applyBorder="1" applyAlignment="1">
      <alignment horizontal="right" vertical="center"/>
    </xf>
    <xf numFmtId="0" fontId="12" fillId="8" borderId="6" xfId="0" applyFont="1" applyFill="1" applyBorder="1" applyAlignment="1">
      <alignment horizontal="right" vertical="center"/>
    </xf>
    <xf numFmtId="0" fontId="12" fillId="8" borderId="7" xfId="0" applyFont="1" applyFill="1" applyBorder="1" applyAlignment="1">
      <alignment horizontal="right" vertical="center"/>
    </xf>
    <xf numFmtId="4" fontId="34" fillId="0" borderId="0" xfId="2" applyNumberFormat="1" applyFont="1" applyFill="1" applyAlignment="1">
      <alignment horizontal="center" vertical="center" wrapText="1"/>
    </xf>
    <xf numFmtId="0" fontId="28" fillId="0" borderId="1" xfId="0" applyFont="1" applyBorder="1" applyAlignment="1">
      <alignment horizontal="right" vertical="center"/>
    </xf>
    <xf numFmtId="0" fontId="29" fillId="0" borderId="4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10" xfId="0" applyFont="1" applyBorder="1" applyAlignment="1">
      <alignment horizontal="righ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21" fillId="0" borderId="46" xfId="0" applyFont="1" applyBorder="1" applyAlignment="1">
      <alignment horizontal="right"/>
    </xf>
    <xf numFmtId="0" fontId="21" fillId="0" borderId="47" xfId="0" applyFont="1" applyBorder="1" applyAlignment="1">
      <alignment horizontal="right"/>
    </xf>
    <xf numFmtId="0" fontId="7" fillId="0" borderId="1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15" fillId="0" borderId="2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right" vertical="center" wrapText="1"/>
    </xf>
    <xf numFmtId="16" fontId="41" fillId="0" borderId="1" xfId="5" applyNumberFormat="1" applyFont="1" applyBorder="1" applyAlignment="1">
      <alignment horizontal="center"/>
    </xf>
    <xf numFmtId="0" fontId="41" fillId="9" borderId="1" xfId="5" applyFont="1" applyFill="1" applyBorder="1" applyAlignment="1">
      <alignment horizontal="center"/>
    </xf>
    <xf numFmtId="0" fontId="41" fillId="0" borderId="1" xfId="5" applyFont="1" applyBorder="1" applyAlignment="1">
      <alignment horizontal="center"/>
    </xf>
    <xf numFmtId="12" fontId="41" fillId="0" borderId="1" xfId="5" applyNumberFormat="1" applyFont="1" applyBorder="1" applyAlignment="1">
      <alignment horizontal="center" vertical="top"/>
    </xf>
    <xf numFmtId="0" fontId="41" fillId="0" borderId="3" xfId="5" applyFont="1" applyBorder="1" applyAlignment="1">
      <alignment horizontal="center"/>
    </xf>
    <xf numFmtId="0" fontId="41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0" fontId="41" fillId="9" borderId="1" xfId="0" applyFont="1" applyFill="1" applyBorder="1" applyAlignment="1">
      <alignment horizontal="center" vertical="top" wrapText="1"/>
    </xf>
    <xf numFmtId="0" fontId="42" fillId="9" borderId="1" xfId="0" applyFont="1" applyFill="1" applyBorder="1" applyAlignment="1">
      <alignment horizontal="center" vertical="top" wrapText="1"/>
    </xf>
    <xf numFmtId="12" fontId="41" fillId="0" borderId="1" xfId="5" applyNumberFormat="1" applyFont="1" applyBorder="1"/>
    <xf numFmtId="0" fontId="41" fillId="0" borderId="1" xfId="5" applyFont="1" applyBorder="1" applyAlignment="1">
      <alignment horizontal="center" vertical="top"/>
    </xf>
    <xf numFmtId="0" fontId="41" fillId="0" borderId="1" xfId="5" applyFont="1" applyBorder="1"/>
    <xf numFmtId="0" fontId="41" fillId="0" borderId="3" xfId="5" applyFont="1" applyBorder="1"/>
    <xf numFmtId="1" fontId="41" fillId="0" borderId="1" xfId="0" applyNumberFormat="1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1" fillId="0" borderId="1" xfId="0" applyFont="1" applyBorder="1" applyAlignment="1">
      <alignment horizontal="left"/>
    </xf>
    <xf numFmtId="16" fontId="41" fillId="0" borderId="1" xfId="0" applyNumberFormat="1" applyFont="1" applyBorder="1" applyAlignment="1">
      <alignment horizontal="center"/>
    </xf>
    <xf numFmtId="1" fontId="41" fillId="0" borderId="1" xfId="0" applyNumberFormat="1" applyFont="1" applyBorder="1" applyAlignment="1">
      <alignment horizontal="center" wrapText="1"/>
    </xf>
    <xf numFmtId="49" fontId="41" fillId="0" borderId="1" xfId="0" applyNumberFormat="1" applyFont="1" applyBorder="1" applyAlignment="1">
      <alignment horizontal="center"/>
    </xf>
    <xf numFmtId="49" fontId="41" fillId="0" borderId="1" xfId="0" applyNumberFormat="1" applyFont="1" applyBorder="1"/>
    <xf numFmtId="1" fontId="41" fillId="0" borderId="1" xfId="0" applyNumberFormat="1" applyFont="1" applyBorder="1" applyAlignment="1">
      <alignment horizontal="center" vertical="top"/>
    </xf>
    <xf numFmtId="0" fontId="41" fillId="0" borderId="3" xfId="0" applyFont="1" applyBorder="1" applyAlignment="1">
      <alignment horizontal="center"/>
    </xf>
    <xf numFmtId="0" fontId="41" fillId="0" borderId="1" xfId="0" applyFont="1" applyBorder="1"/>
    <xf numFmtId="49" fontId="41" fillId="0" borderId="12" xfId="0" applyNumberFormat="1" applyFont="1" applyBorder="1" applyAlignment="1">
      <alignment horizontal="center"/>
    </xf>
    <xf numFmtId="2" fontId="41" fillId="0" borderId="1" xfId="0" applyNumberFormat="1" applyFont="1" applyBorder="1" applyAlignment="1">
      <alignment horizontal="center"/>
    </xf>
    <xf numFmtId="49" fontId="43" fillId="2" borderId="4" xfId="0" applyNumberFormat="1" applyFont="1" applyFill="1" applyBorder="1" applyAlignment="1">
      <alignment horizontal="center" vertical="center"/>
    </xf>
    <xf numFmtId="49" fontId="43" fillId="2" borderId="0" xfId="0" applyNumberFormat="1" applyFont="1" applyFill="1" applyAlignment="1">
      <alignment horizontal="center" vertical="center"/>
    </xf>
    <xf numFmtId="0" fontId="41" fillId="2" borderId="0" xfId="0" applyFont="1" applyFill="1"/>
    <xf numFmtId="1" fontId="41" fillId="2" borderId="0" xfId="0" applyNumberFormat="1" applyFont="1" applyFill="1" applyAlignment="1">
      <alignment horizontal="center"/>
    </xf>
    <xf numFmtId="167" fontId="41" fillId="2" borderId="0" xfId="0" applyNumberFormat="1" applyFont="1" applyFill="1" applyAlignment="1">
      <alignment horizontal="center" wrapText="1"/>
    </xf>
    <xf numFmtId="0" fontId="41" fillId="2" borderId="10" xfId="0" applyFont="1" applyFill="1" applyBorder="1" applyAlignment="1">
      <alignment horizontal="center"/>
    </xf>
    <xf numFmtId="0" fontId="41" fillId="3" borderId="5" xfId="0" applyFont="1" applyFill="1" applyBorder="1" applyAlignment="1">
      <alignment horizontal="center"/>
    </xf>
    <xf numFmtId="0" fontId="41" fillId="3" borderId="6" xfId="0" applyFont="1" applyFill="1" applyBorder="1" applyAlignment="1">
      <alignment horizontal="center"/>
    </xf>
    <xf numFmtId="0" fontId="41" fillId="3" borderId="6" xfId="0" applyFont="1" applyFill="1" applyBorder="1"/>
    <xf numFmtId="0" fontId="44" fillId="3" borderId="6" xfId="0" applyFont="1" applyFill="1" applyBorder="1" applyAlignment="1">
      <alignment horizontal="center"/>
    </xf>
    <xf numFmtId="1" fontId="44" fillId="3" borderId="6" xfId="0" applyNumberFormat="1" applyFont="1" applyFill="1" applyBorder="1" applyAlignment="1">
      <alignment horizontal="center"/>
    </xf>
    <xf numFmtId="167" fontId="41" fillId="3" borderId="6" xfId="0" applyNumberFormat="1" applyFont="1" applyFill="1" applyBorder="1" applyAlignment="1">
      <alignment horizontal="center" wrapText="1"/>
    </xf>
    <xf numFmtId="0" fontId="41" fillId="3" borderId="7" xfId="0" applyFont="1" applyFill="1" applyBorder="1" applyAlignment="1">
      <alignment horizontal="center"/>
    </xf>
    <xf numFmtId="0" fontId="44" fillId="0" borderId="27" xfId="0" applyFont="1" applyBorder="1" applyAlignment="1">
      <alignment horizontal="right"/>
    </xf>
    <xf numFmtId="0" fontId="44" fillId="0" borderId="28" xfId="0" applyFont="1" applyBorder="1" applyAlignment="1">
      <alignment horizontal="right"/>
    </xf>
    <xf numFmtId="0" fontId="44" fillId="0" borderId="25" xfId="0" applyFont="1" applyBorder="1" applyAlignment="1">
      <alignment horizontal="right"/>
    </xf>
    <xf numFmtId="1" fontId="44" fillId="0" borderId="2" xfId="0" applyNumberFormat="1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167" fontId="41" fillId="0" borderId="2" xfId="0" applyNumberFormat="1" applyFont="1" applyBorder="1" applyAlignment="1">
      <alignment horizontal="right"/>
    </xf>
    <xf numFmtId="0" fontId="41" fillId="2" borderId="8" xfId="0" applyFont="1" applyFill="1" applyBorder="1" applyAlignment="1">
      <alignment horizontal="center"/>
    </xf>
    <xf numFmtId="0" fontId="41" fillId="2" borderId="29" xfId="0" applyFont="1" applyFill="1" applyBorder="1" applyAlignment="1">
      <alignment horizontal="center"/>
    </xf>
    <xf numFmtId="0" fontId="44" fillId="0" borderId="20" xfId="0" applyFont="1" applyBorder="1" applyAlignment="1">
      <alignment horizontal="right"/>
    </xf>
    <xf numFmtId="0" fontId="44" fillId="0" borderId="21" xfId="0" applyFont="1" applyBorder="1" applyAlignment="1">
      <alignment horizontal="right"/>
    </xf>
    <xf numFmtId="0" fontId="44" fillId="0" borderId="30" xfId="0" applyFont="1" applyBorder="1" applyAlignment="1">
      <alignment horizontal="right"/>
    </xf>
    <xf numFmtId="0" fontId="41" fillId="0" borderId="1" xfId="0" applyFont="1" applyBorder="1" applyAlignment="1">
      <alignment horizontal="right"/>
    </xf>
    <xf numFmtId="167" fontId="41" fillId="0" borderId="31" xfId="0" applyNumberFormat="1" applyFont="1" applyBorder="1" applyAlignment="1">
      <alignment horizontal="center"/>
    </xf>
    <xf numFmtId="167" fontId="41" fillId="0" borderId="22" xfId="0" applyNumberFormat="1" applyFont="1" applyBorder="1" applyAlignment="1">
      <alignment horizontal="center"/>
    </xf>
    <xf numFmtId="167" fontId="41" fillId="0" borderId="31" xfId="0" applyNumberFormat="1" applyFont="1" applyBorder="1" applyAlignment="1">
      <alignment horizontal="left" wrapText="1"/>
    </xf>
    <xf numFmtId="167" fontId="41" fillId="0" borderId="21" xfId="0" applyNumberFormat="1" applyFont="1" applyBorder="1" applyAlignment="1">
      <alignment horizontal="left" wrapText="1"/>
    </xf>
    <xf numFmtId="167" fontId="41" fillId="0" borderId="22" xfId="0" applyNumberFormat="1" applyFont="1" applyBorder="1" applyAlignment="1">
      <alignment horizontal="left" wrapText="1"/>
    </xf>
    <xf numFmtId="0" fontId="44" fillId="0" borderId="32" xfId="0" applyFont="1" applyBorder="1" applyAlignment="1">
      <alignment horizontal="right"/>
    </xf>
    <xf numFmtId="0" fontId="44" fillId="0" borderId="33" xfId="0" applyFont="1" applyBorder="1" applyAlignment="1">
      <alignment horizontal="right"/>
    </xf>
    <xf numFmtId="0" fontId="44" fillId="0" borderId="9" xfId="0" applyFont="1" applyBorder="1" applyAlignment="1">
      <alignment horizontal="right"/>
    </xf>
    <xf numFmtId="1" fontId="41" fillId="0" borderId="9" xfId="0" applyNumberFormat="1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41" fillId="0" borderId="9" xfId="0" applyFont="1" applyBorder="1" applyAlignment="1">
      <alignment horizontal="right"/>
    </xf>
    <xf numFmtId="167" fontId="41" fillId="0" borderId="34" xfId="0" applyNumberFormat="1" applyFont="1" applyBorder="1" applyAlignment="1">
      <alignment horizontal="center"/>
    </xf>
    <xf numFmtId="167" fontId="41" fillId="0" borderId="35" xfId="0" applyNumberFormat="1" applyFont="1" applyBorder="1" applyAlignment="1">
      <alignment horizontal="center"/>
    </xf>
    <xf numFmtId="0" fontId="41" fillId="0" borderId="27" xfId="5" applyFont="1" applyBorder="1" applyAlignment="1">
      <alignment horizontal="left" wrapText="1"/>
    </xf>
    <xf numFmtId="0" fontId="41" fillId="0" borderId="28" xfId="5" applyFont="1" applyBorder="1" applyAlignment="1">
      <alignment horizontal="left" wrapText="1"/>
    </xf>
    <xf numFmtId="0" fontId="41" fillId="0" borderId="29" xfId="5" applyFont="1" applyBorder="1" applyAlignment="1">
      <alignment horizontal="left" wrapText="1"/>
    </xf>
    <xf numFmtId="0" fontId="41" fillId="0" borderId="27" xfId="5" applyFont="1" applyBorder="1" applyAlignment="1">
      <alignment horizontal="left"/>
    </xf>
    <xf numFmtId="0" fontId="41" fillId="0" borderId="28" xfId="5" applyFont="1" applyBorder="1" applyAlignment="1">
      <alignment horizontal="left"/>
    </xf>
    <xf numFmtId="0" fontId="41" fillId="0" borderId="29" xfId="5" applyFont="1" applyBorder="1" applyAlignment="1">
      <alignment horizontal="left"/>
    </xf>
    <xf numFmtId="0" fontId="41" fillId="0" borderId="20" xfId="5" applyFont="1" applyBorder="1" applyAlignment="1">
      <alignment horizontal="left" wrapText="1"/>
    </xf>
    <xf numFmtId="0" fontId="41" fillId="0" borderId="21" xfId="5" applyFont="1" applyBorder="1" applyAlignment="1">
      <alignment horizontal="left" wrapText="1"/>
    </xf>
    <xf numFmtId="0" fontId="41" fillId="0" borderId="22" xfId="5" applyFont="1" applyBorder="1" applyAlignment="1">
      <alignment horizontal="left" wrapText="1"/>
    </xf>
    <xf numFmtId="0" fontId="41" fillId="0" borderId="20" xfId="0" applyFont="1" applyBorder="1" applyAlignment="1">
      <alignment horizontal="left"/>
    </xf>
    <xf numFmtId="0" fontId="41" fillId="0" borderId="21" xfId="0" applyFont="1" applyBorder="1" applyAlignment="1">
      <alignment horizontal="left"/>
    </xf>
    <xf numFmtId="0" fontId="41" fillId="0" borderId="22" xfId="0" applyFont="1" applyBorder="1" applyAlignment="1">
      <alignment horizontal="left"/>
    </xf>
    <xf numFmtId="0" fontId="43" fillId="2" borderId="0" xfId="0" applyFont="1" applyFill="1" applyAlignment="1">
      <alignment vertical="center"/>
    </xf>
    <xf numFmtId="0" fontId="44" fillId="3" borderId="5" xfId="0" applyFont="1" applyFill="1" applyBorder="1" applyAlignment="1">
      <alignment horizontal="center"/>
    </xf>
    <xf numFmtId="0" fontId="44" fillId="3" borderId="6" xfId="0" applyFont="1" applyFill="1" applyBorder="1" applyAlignment="1">
      <alignment horizontal="center"/>
    </xf>
    <xf numFmtId="0" fontId="44" fillId="3" borderId="7" xfId="0" applyFont="1" applyFill="1" applyBorder="1" applyAlignment="1">
      <alignment horizontal="center"/>
    </xf>
    <xf numFmtId="0" fontId="44" fillId="11" borderId="24" xfId="0" applyFont="1" applyFill="1" applyBorder="1" applyAlignment="1">
      <alignment horizontal="center"/>
    </xf>
    <xf numFmtId="0" fontId="44" fillId="11" borderId="25" xfId="0" applyFont="1" applyFill="1" applyBorder="1" applyAlignment="1">
      <alignment horizontal="center"/>
    </xf>
    <xf numFmtId="0" fontId="44" fillId="11" borderId="2" xfId="0" applyFont="1" applyFill="1" applyBorder="1" applyAlignment="1">
      <alignment horizontal="center"/>
    </xf>
    <xf numFmtId="0" fontId="44" fillId="11" borderId="26" xfId="0" applyFont="1" applyFill="1" applyBorder="1" applyAlignment="1">
      <alignment horizontal="center"/>
    </xf>
    <xf numFmtId="0" fontId="45" fillId="5" borderId="5" xfId="6" applyFont="1" applyFill="1" applyBorder="1" applyAlignment="1">
      <alignment horizontal="center" vertical="center" wrapText="1"/>
    </xf>
    <xf numFmtId="0" fontId="45" fillId="5" borderId="6" xfId="6" applyFont="1" applyFill="1" applyBorder="1" applyAlignment="1">
      <alignment horizontal="center" vertical="center" wrapText="1"/>
    </xf>
  </cellXfs>
  <cellStyles count="11">
    <cellStyle name="Millares" xfId="1" builtinId="3"/>
    <cellStyle name="Millares [0]" xfId="2" builtinId="6"/>
    <cellStyle name="Millares [0] 2" xfId="3" xr:uid="{5FD15C7F-E85D-4BB4-BA84-1AF55EC6A4FC}"/>
    <cellStyle name="Millares 2" xfId="4" xr:uid="{98F2E156-6225-42F6-8042-AEB7D505E590}"/>
    <cellStyle name="Normal" xfId="0" builtinId="0"/>
    <cellStyle name="Normal 2" xfId="5" xr:uid="{D1AE0DD5-4864-4F0C-8F90-B673E18CA9DB}"/>
    <cellStyle name="Normal_CRITERIOS DE EVALUACION PT DE GB" xfId="6" xr:uid="{9C2B5A33-FF03-4DF5-AE54-08BBDAAD4E8C}"/>
    <cellStyle name="Normal_CRITERIOS DE EVALUACION PT DE GB 2" xfId="7" xr:uid="{399C4385-5F8A-4D72-B433-526B5F84F0C5}"/>
    <cellStyle name="Porcentaje" xfId="8" builtinId="5"/>
    <cellStyle name="Porcentaje 2" xfId="9" xr:uid="{A5AAC2A3-4A0F-4897-B627-9A033A2F2882}"/>
    <cellStyle name="Porcentaje 3" xfId="10" xr:uid="{7F4D3994-B4CE-46DB-B9C7-848B4B23E5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1</xdr:row>
      <xdr:rowOff>31751</xdr:rowOff>
    </xdr:from>
    <xdr:to>
      <xdr:col>1</xdr:col>
      <xdr:colOff>1047750</xdr:colOff>
      <xdr:row>3</xdr:row>
      <xdr:rowOff>95251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594D28C-A342-4AA1-BCA1-975D3D44E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234157"/>
          <a:ext cx="2047875" cy="908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2F74-EBF2-4705-B5BC-B3030C21A492}">
  <sheetPr>
    <pageSetUpPr fitToPage="1"/>
  </sheetPr>
  <dimension ref="A1:M35"/>
  <sheetViews>
    <sheetView tabSelected="1" zoomScale="80" zoomScaleNormal="80" zoomScaleSheetLayoutView="80" workbookViewId="0">
      <selection activeCell="C1" sqref="C1:G1"/>
    </sheetView>
  </sheetViews>
  <sheetFormatPr baseColWidth="10" defaultColWidth="11.42578125" defaultRowHeight="13.5" x14ac:dyDescent="0.25"/>
  <cols>
    <col min="1" max="1" width="16.28515625" style="1" customWidth="1"/>
    <col min="2" max="2" width="17.7109375" style="1" bestFit="1" customWidth="1"/>
    <col min="3" max="3" width="53.28515625" style="1" customWidth="1"/>
    <col min="4" max="4" width="14.140625" style="1" bestFit="1" customWidth="1"/>
    <col min="5" max="5" width="12.7109375" style="1" customWidth="1"/>
    <col min="6" max="6" width="11.42578125" style="1"/>
    <col min="7" max="7" width="21.42578125" style="1" customWidth="1"/>
    <col min="8" max="8" width="15.85546875" style="1" customWidth="1"/>
    <col min="9" max="9" width="18.28515625" style="1" customWidth="1"/>
    <col min="10" max="16384" width="11.42578125" style="1"/>
  </cols>
  <sheetData>
    <row r="1" spans="1:10" ht="15.75" x14ac:dyDescent="0.25">
      <c r="A1" s="131"/>
      <c r="B1" s="132"/>
      <c r="C1" s="137" t="s">
        <v>21</v>
      </c>
      <c r="D1" s="137"/>
      <c r="E1" s="137"/>
      <c r="F1" s="137"/>
      <c r="G1" s="138"/>
      <c r="H1" s="2" t="s">
        <v>0</v>
      </c>
      <c r="I1" s="11" t="s">
        <v>102</v>
      </c>
    </row>
    <row r="2" spans="1:10" ht="16.5" thickBot="1" x14ac:dyDescent="0.3">
      <c r="A2" s="133"/>
      <c r="B2" s="134"/>
      <c r="C2" s="139" t="s">
        <v>1</v>
      </c>
      <c r="D2" s="139"/>
      <c r="E2" s="139"/>
      <c r="F2" s="139"/>
      <c r="G2" s="140"/>
      <c r="H2" s="2" t="s">
        <v>2</v>
      </c>
      <c r="I2" s="12" t="s">
        <v>110</v>
      </c>
    </row>
    <row r="3" spans="1:10" ht="49.9" customHeight="1" thickBot="1" x14ac:dyDescent="0.3">
      <c r="A3" s="133"/>
      <c r="B3" s="134"/>
      <c r="C3" s="257" t="s">
        <v>111</v>
      </c>
      <c r="D3" s="258"/>
      <c r="E3" s="258"/>
      <c r="F3" s="258"/>
      <c r="G3" s="258"/>
      <c r="H3" s="141" t="s">
        <v>3</v>
      </c>
      <c r="I3" s="142">
        <v>45663</v>
      </c>
      <c r="J3" s="114"/>
    </row>
    <row r="4" spans="1:10" x14ac:dyDescent="0.25">
      <c r="A4" s="133"/>
      <c r="B4" s="134"/>
      <c r="C4" s="3" t="s">
        <v>4</v>
      </c>
      <c r="D4" s="115" t="s">
        <v>103</v>
      </c>
      <c r="E4" s="116"/>
      <c r="F4" s="116"/>
      <c r="G4" s="116"/>
      <c r="H4" s="141"/>
      <c r="I4" s="142"/>
      <c r="J4" s="114"/>
    </row>
    <row r="5" spans="1:10" ht="15" customHeight="1" thickBot="1" x14ac:dyDescent="0.3">
      <c r="A5" s="135"/>
      <c r="B5" s="136"/>
      <c r="C5" s="4" t="s">
        <v>5</v>
      </c>
      <c r="D5" s="117" t="s">
        <v>29</v>
      </c>
      <c r="E5" s="118"/>
      <c r="F5" s="118"/>
      <c r="G5" s="118"/>
      <c r="H5" s="141"/>
      <c r="I5" s="142"/>
    </row>
    <row r="6" spans="1:10" ht="15" customHeight="1" thickBot="1" x14ac:dyDescent="0.3">
      <c r="A6" s="110" t="s">
        <v>40</v>
      </c>
      <c r="B6" s="111"/>
      <c r="C6" s="111"/>
      <c r="D6" s="112" t="s">
        <v>46</v>
      </c>
      <c r="E6" s="112"/>
      <c r="F6" s="112"/>
      <c r="G6" s="113" t="s">
        <v>41</v>
      </c>
      <c r="H6" s="113"/>
      <c r="I6" s="10" t="s">
        <v>43</v>
      </c>
    </row>
    <row r="7" spans="1:10" x14ac:dyDescent="0.25">
      <c r="A7" s="119" t="s">
        <v>6</v>
      </c>
      <c r="B7" s="121" t="s">
        <v>28</v>
      </c>
      <c r="C7" s="123" t="s">
        <v>7</v>
      </c>
      <c r="D7" s="123" t="s">
        <v>8</v>
      </c>
      <c r="E7" s="123" t="s">
        <v>22</v>
      </c>
      <c r="F7" s="123"/>
      <c r="G7" s="125" t="s">
        <v>12</v>
      </c>
      <c r="H7" s="126"/>
      <c r="I7" s="127"/>
    </row>
    <row r="8" spans="1:10" ht="27" thickBot="1" x14ac:dyDescent="0.3">
      <c r="A8" s="120"/>
      <c r="B8" s="122"/>
      <c r="C8" s="124"/>
      <c r="D8" s="124"/>
      <c r="E8" s="8" t="s">
        <v>9</v>
      </c>
      <c r="F8" s="9" t="s">
        <v>10</v>
      </c>
      <c r="G8" s="128" t="s">
        <v>9</v>
      </c>
      <c r="H8" s="129"/>
      <c r="I8" s="130"/>
    </row>
    <row r="9" spans="1:10" s="7" customFormat="1" ht="20.25" x14ac:dyDescent="0.3">
      <c r="A9" s="187"/>
      <c r="B9" s="188" t="s">
        <v>106</v>
      </c>
      <c r="C9" s="196" t="s">
        <v>42</v>
      </c>
      <c r="D9" s="174" t="s">
        <v>27</v>
      </c>
      <c r="E9" s="175">
        <v>400</v>
      </c>
      <c r="F9" s="176" t="s">
        <v>11</v>
      </c>
      <c r="G9" s="177"/>
      <c r="H9" s="176"/>
      <c r="I9" s="178"/>
    </row>
    <row r="10" spans="1:10" s="7" customFormat="1" ht="20.25" x14ac:dyDescent="0.3">
      <c r="A10" s="179"/>
      <c r="B10" s="179"/>
      <c r="C10" s="180"/>
      <c r="D10" s="174"/>
      <c r="E10" s="176"/>
      <c r="F10" s="176"/>
      <c r="G10" s="177"/>
      <c r="H10" s="176"/>
      <c r="I10" s="178"/>
    </row>
    <row r="11" spans="1:10" s="7" customFormat="1" ht="20.25" x14ac:dyDescent="0.3">
      <c r="A11" s="181"/>
      <c r="B11" s="181"/>
      <c r="C11" s="182" t="s">
        <v>34</v>
      </c>
      <c r="D11" s="176"/>
      <c r="E11" s="183"/>
      <c r="F11" s="176"/>
      <c r="G11" s="184"/>
      <c r="H11" s="185"/>
      <c r="I11" s="186"/>
    </row>
    <row r="12" spans="1:10" s="7" customFormat="1" ht="20.25" x14ac:dyDescent="0.3">
      <c r="A12" s="187">
        <v>1950705</v>
      </c>
      <c r="B12" s="188" t="s">
        <v>44</v>
      </c>
      <c r="C12" s="189" t="s">
        <v>45</v>
      </c>
      <c r="D12" s="190" t="s">
        <v>35</v>
      </c>
      <c r="E12" s="187">
        <v>1</v>
      </c>
      <c r="F12" s="191" t="s">
        <v>33</v>
      </c>
      <c r="G12" s="184"/>
      <c r="H12" s="185"/>
      <c r="I12" s="178"/>
    </row>
    <row r="13" spans="1:10" s="7" customFormat="1" ht="20.25" x14ac:dyDescent="0.3">
      <c r="A13" s="192" t="s">
        <v>36</v>
      </c>
      <c r="B13" s="192" t="s">
        <v>37</v>
      </c>
      <c r="C13" s="193" t="s">
        <v>38</v>
      </c>
      <c r="D13" s="190" t="s">
        <v>35</v>
      </c>
      <c r="E13" s="187">
        <v>1</v>
      </c>
      <c r="F13" s="191" t="s">
        <v>33</v>
      </c>
      <c r="G13" s="184"/>
      <c r="H13" s="185"/>
      <c r="I13" s="178"/>
    </row>
    <row r="14" spans="1:10" ht="20.25" x14ac:dyDescent="0.3">
      <c r="A14" s="192" t="s">
        <v>30</v>
      </c>
      <c r="B14" s="192" t="s">
        <v>39</v>
      </c>
      <c r="C14" s="193" t="s">
        <v>31</v>
      </c>
      <c r="D14" s="190" t="s">
        <v>32</v>
      </c>
      <c r="E14" s="187">
        <v>1</v>
      </c>
      <c r="F14" s="191" t="s">
        <v>33</v>
      </c>
      <c r="G14" s="194"/>
      <c r="H14" s="187"/>
      <c r="I14" s="195"/>
    </row>
    <row r="15" spans="1:10" ht="20.25" x14ac:dyDescent="0.3">
      <c r="A15" s="187"/>
      <c r="B15" s="188"/>
      <c r="C15" s="189"/>
      <c r="D15" s="188"/>
      <c r="E15" s="187"/>
      <c r="F15" s="191"/>
      <c r="G15" s="194"/>
      <c r="H15" s="187"/>
      <c r="I15" s="195"/>
    </row>
    <row r="16" spans="1:10" ht="20.25" x14ac:dyDescent="0.3">
      <c r="A16" s="187"/>
      <c r="B16" s="188"/>
      <c r="C16" s="196"/>
      <c r="D16" s="190"/>
      <c r="E16" s="187"/>
      <c r="F16" s="191"/>
      <c r="G16" s="187"/>
      <c r="H16" s="187"/>
      <c r="I16" s="195"/>
    </row>
    <row r="17" spans="1:13" ht="20.25" x14ac:dyDescent="0.3">
      <c r="A17" s="197"/>
      <c r="B17" s="192"/>
      <c r="C17" s="193"/>
      <c r="D17" s="198"/>
      <c r="E17" s="187"/>
      <c r="F17" s="191"/>
      <c r="G17" s="187"/>
      <c r="H17" s="187"/>
      <c r="I17" s="195"/>
    </row>
    <row r="18" spans="1:13" ht="20.25" x14ac:dyDescent="0.3">
      <c r="A18" s="197"/>
      <c r="B18" s="192"/>
      <c r="C18" s="193"/>
      <c r="D18" s="198"/>
      <c r="E18" s="187"/>
      <c r="F18" s="191"/>
      <c r="G18" s="191"/>
      <c r="H18" s="191"/>
      <c r="I18" s="195"/>
    </row>
    <row r="19" spans="1:13" ht="21" thickBot="1" x14ac:dyDescent="0.35">
      <c r="A19" s="199"/>
      <c r="B19" s="200"/>
      <c r="C19" s="201"/>
      <c r="D19" s="201"/>
      <c r="E19" s="202"/>
      <c r="F19" s="203"/>
      <c r="G19" s="201"/>
      <c r="H19" s="201"/>
      <c r="I19" s="204"/>
      <c r="L19" s="5"/>
    </row>
    <row r="20" spans="1:13" ht="21" thickBot="1" x14ac:dyDescent="0.35">
      <c r="A20" s="205"/>
      <c r="B20" s="206"/>
      <c r="C20" s="207"/>
      <c r="D20" s="208" t="s">
        <v>9</v>
      </c>
      <c r="E20" s="209" t="s">
        <v>12</v>
      </c>
      <c r="F20" s="210"/>
      <c r="G20" s="207"/>
      <c r="H20" s="207"/>
      <c r="I20" s="211"/>
      <c r="L20" s="5"/>
    </row>
    <row r="21" spans="1:13" ht="20.25" x14ac:dyDescent="0.3">
      <c r="A21" s="212" t="s">
        <v>13</v>
      </c>
      <c r="B21" s="213"/>
      <c r="C21" s="214"/>
      <c r="D21" s="215">
        <v>400</v>
      </c>
      <c r="E21" s="216" t="s">
        <v>11</v>
      </c>
      <c r="F21" s="217" t="s">
        <v>23</v>
      </c>
      <c r="G21" s="217"/>
      <c r="H21" s="218"/>
      <c r="I21" s="219"/>
      <c r="L21" s="5"/>
    </row>
    <row r="22" spans="1:13" ht="20.25" x14ac:dyDescent="0.3">
      <c r="A22" s="220" t="s">
        <v>14</v>
      </c>
      <c r="B22" s="221"/>
      <c r="C22" s="222"/>
      <c r="D22" s="188">
        <v>1</v>
      </c>
      <c r="E22" s="188" t="s">
        <v>19</v>
      </c>
      <c r="F22" s="223" t="s">
        <v>24</v>
      </c>
      <c r="G22" s="223"/>
      <c r="H22" s="224"/>
      <c r="I22" s="225"/>
      <c r="L22" s="5"/>
    </row>
    <row r="23" spans="1:13" ht="20.25" x14ac:dyDescent="0.3">
      <c r="A23" s="220" t="s">
        <v>15</v>
      </c>
      <c r="B23" s="221"/>
      <c r="C23" s="222"/>
      <c r="D23" s="188">
        <v>1</v>
      </c>
      <c r="E23" s="188" t="s">
        <v>20</v>
      </c>
      <c r="F23" s="223" t="s">
        <v>25</v>
      </c>
      <c r="G23" s="223"/>
      <c r="H23" s="224"/>
      <c r="I23" s="225"/>
      <c r="L23" s="5"/>
    </row>
    <row r="24" spans="1:13" ht="20.25" x14ac:dyDescent="0.3">
      <c r="A24" s="220" t="s">
        <v>16</v>
      </c>
      <c r="B24" s="221"/>
      <c r="C24" s="222"/>
      <c r="D24" s="188">
        <v>400</v>
      </c>
      <c r="E24" s="188" t="s">
        <v>11</v>
      </c>
      <c r="F24" s="226" t="s">
        <v>109</v>
      </c>
      <c r="G24" s="227"/>
      <c r="H24" s="227"/>
      <c r="I24" s="228"/>
      <c r="L24" s="5"/>
      <c r="M24" s="6"/>
    </row>
    <row r="25" spans="1:13" ht="21" thickBot="1" x14ac:dyDescent="0.35">
      <c r="A25" s="229" t="s">
        <v>17</v>
      </c>
      <c r="B25" s="230"/>
      <c r="C25" s="231"/>
      <c r="D25" s="232">
        <v>0</v>
      </c>
      <c r="E25" s="233" t="s">
        <v>11</v>
      </c>
      <c r="F25" s="234"/>
      <c r="G25" s="234"/>
      <c r="H25" s="235"/>
      <c r="I25" s="236"/>
      <c r="L25" s="5"/>
    </row>
    <row r="26" spans="1:13" ht="21" thickBot="1" x14ac:dyDescent="0.35">
      <c r="A26" s="250" t="s">
        <v>18</v>
      </c>
      <c r="B26" s="251"/>
      <c r="C26" s="251"/>
      <c r="D26" s="251"/>
      <c r="E26" s="251"/>
      <c r="F26" s="251"/>
      <c r="G26" s="251"/>
      <c r="H26" s="251"/>
      <c r="I26" s="252"/>
    </row>
    <row r="27" spans="1:13" ht="20.25" x14ac:dyDescent="0.3">
      <c r="A27" s="237" t="s">
        <v>107</v>
      </c>
      <c r="B27" s="238"/>
      <c r="C27" s="238"/>
      <c r="D27" s="238"/>
      <c r="E27" s="238"/>
      <c r="F27" s="238"/>
      <c r="G27" s="238"/>
      <c r="H27" s="238"/>
      <c r="I27" s="239"/>
    </row>
    <row r="28" spans="1:13" ht="20.25" x14ac:dyDescent="0.3">
      <c r="A28" s="240" t="s">
        <v>104</v>
      </c>
      <c r="B28" s="241"/>
      <c r="C28" s="241"/>
      <c r="D28" s="241"/>
      <c r="E28" s="241"/>
      <c r="F28" s="241"/>
      <c r="G28" s="241"/>
      <c r="H28" s="241"/>
      <c r="I28" s="242"/>
    </row>
    <row r="29" spans="1:13" ht="16.149999999999999" customHeight="1" x14ac:dyDescent="0.3">
      <c r="A29" s="243"/>
      <c r="B29" s="244"/>
      <c r="C29" s="244"/>
      <c r="D29" s="244"/>
      <c r="E29" s="244"/>
      <c r="F29" s="244"/>
      <c r="G29" s="244"/>
      <c r="H29" s="244"/>
      <c r="I29" s="245"/>
    </row>
    <row r="30" spans="1:13" ht="16.149999999999999" customHeight="1" x14ac:dyDescent="0.3">
      <c r="A30" s="243"/>
      <c r="B30" s="244"/>
      <c r="C30" s="244"/>
      <c r="D30" s="244"/>
      <c r="E30" s="244"/>
      <c r="F30" s="244"/>
      <c r="G30" s="244"/>
      <c r="H30" s="244"/>
      <c r="I30" s="245"/>
    </row>
    <row r="31" spans="1:13" ht="20.25" x14ac:dyDescent="0.3">
      <c r="A31" s="253" t="s">
        <v>26</v>
      </c>
      <c r="B31" s="254"/>
      <c r="C31" s="255"/>
      <c r="D31" s="255"/>
      <c r="E31" s="255"/>
      <c r="F31" s="255"/>
      <c r="G31" s="255"/>
      <c r="H31" s="255"/>
      <c r="I31" s="256"/>
    </row>
    <row r="32" spans="1:13" ht="20.25" x14ac:dyDescent="0.3">
      <c r="A32" s="246" t="s">
        <v>105</v>
      </c>
      <c r="B32" s="247"/>
      <c r="C32" s="247"/>
      <c r="D32" s="247"/>
      <c r="E32" s="247"/>
      <c r="F32" s="247"/>
      <c r="G32" s="247"/>
      <c r="H32" s="247"/>
      <c r="I32" s="248"/>
    </row>
    <row r="33" spans="1:9" ht="20.25" x14ac:dyDescent="0.3">
      <c r="A33" s="246" t="s">
        <v>108</v>
      </c>
      <c r="B33" s="247"/>
      <c r="C33" s="247"/>
      <c r="D33" s="247"/>
      <c r="E33" s="247"/>
      <c r="F33" s="247"/>
      <c r="G33" s="247"/>
      <c r="H33" s="247"/>
      <c r="I33" s="248"/>
    </row>
    <row r="34" spans="1:9" ht="20.25" x14ac:dyDescent="0.3">
      <c r="A34" s="246"/>
      <c r="B34" s="247"/>
      <c r="C34" s="247"/>
      <c r="D34" s="247"/>
      <c r="E34" s="247"/>
      <c r="F34" s="247"/>
      <c r="G34" s="247"/>
      <c r="H34" s="247"/>
      <c r="I34" s="248"/>
    </row>
    <row r="35" spans="1:9" ht="20.25" x14ac:dyDescent="0.3">
      <c r="A35" s="249"/>
      <c r="B35" s="249"/>
      <c r="C35" s="249"/>
      <c r="D35" s="201"/>
      <c r="E35" s="201"/>
      <c r="F35" s="201"/>
      <c r="G35" s="201"/>
      <c r="H35" s="201"/>
      <c r="I35" s="201"/>
    </row>
  </sheetData>
  <mergeCells count="42">
    <mergeCell ref="J3:J4"/>
    <mergeCell ref="D4:G4"/>
    <mergeCell ref="D5:G5"/>
    <mergeCell ref="A7:A8"/>
    <mergeCell ref="B7:B8"/>
    <mergeCell ref="C7:C8"/>
    <mergeCell ref="D7:D8"/>
    <mergeCell ref="E7:F7"/>
    <mergeCell ref="G7:I7"/>
    <mergeCell ref="G8:I8"/>
    <mergeCell ref="A1:B5"/>
    <mergeCell ref="C1:G1"/>
    <mergeCell ref="C2:G2"/>
    <mergeCell ref="C3:G3"/>
    <mergeCell ref="H3:H5"/>
    <mergeCell ref="I3:I5"/>
    <mergeCell ref="A25:C25"/>
    <mergeCell ref="F25:G25"/>
    <mergeCell ref="H25:I25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I24"/>
    <mergeCell ref="A34:I34"/>
    <mergeCell ref="A6:C6"/>
    <mergeCell ref="D6:F6"/>
    <mergeCell ref="G6:H6"/>
    <mergeCell ref="A30:I30"/>
    <mergeCell ref="A31:I31"/>
    <mergeCell ref="A32:I32"/>
    <mergeCell ref="A33:I33"/>
    <mergeCell ref="A26:I26"/>
    <mergeCell ref="A27:I27"/>
    <mergeCell ref="A28:I28"/>
    <mergeCell ref="A29:I29"/>
  </mergeCells>
  <pageMargins left="0.25" right="0.25" top="0.75" bottom="0.75" header="0.3" footer="0.3"/>
  <pageSetup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3F7F-22B9-4823-8CD2-926BF7395D93}">
  <dimension ref="A1:Q91"/>
  <sheetViews>
    <sheetView workbookViewId="0">
      <selection activeCell="G60" sqref="G60"/>
    </sheetView>
  </sheetViews>
  <sheetFormatPr baseColWidth="10" defaultColWidth="8.42578125" defaultRowHeight="12.75" x14ac:dyDescent="0.2"/>
  <cols>
    <col min="1" max="1" width="10" style="18" bestFit="1" customWidth="1"/>
    <col min="2" max="2" width="44.28515625" style="18" bestFit="1" customWidth="1"/>
    <col min="3" max="3" width="10.42578125" style="18" bestFit="1" customWidth="1"/>
    <col min="4" max="4" width="10.42578125" style="18" customWidth="1"/>
    <col min="5" max="5" width="9.7109375" style="18" bestFit="1" customWidth="1"/>
    <col min="6" max="6" width="9.5703125" style="18" bestFit="1" customWidth="1"/>
    <col min="7" max="7" width="9.5703125" style="100" bestFit="1" customWidth="1"/>
    <col min="8" max="8" width="10.42578125" style="91" bestFit="1" customWidth="1"/>
    <col min="9" max="9" width="4.5703125" style="91" customWidth="1"/>
    <col min="10" max="10" width="1.85546875" style="17" customWidth="1"/>
    <col min="11" max="11" width="7" style="18" bestFit="1" customWidth="1"/>
    <col min="12" max="12" width="6.28515625" style="18" customWidth="1"/>
    <col min="13" max="13" width="20.42578125" style="18" customWidth="1"/>
    <col min="14" max="14" width="6.42578125" style="18" bestFit="1" customWidth="1"/>
    <col min="15" max="16" width="8.42578125" style="18"/>
    <col min="17" max="17" width="3.28515625" style="18" customWidth="1"/>
    <col min="18" max="16384" width="8.42578125" style="18"/>
  </cols>
  <sheetData>
    <row r="1" spans="1:10" ht="27.75" customHeight="1" x14ac:dyDescent="0.2">
      <c r="A1" s="13"/>
      <c r="B1" s="13"/>
      <c r="C1" s="13"/>
      <c r="D1" s="13"/>
      <c r="E1" s="14" t="s">
        <v>47</v>
      </c>
      <c r="F1" s="15" t="s">
        <v>48</v>
      </c>
      <c r="G1" s="15" t="s">
        <v>49</v>
      </c>
      <c r="H1" s="15" t="s">
        <v>50</v>
      </c>
      <c r="I1" s="16"/>
    </row>
    <row r="2" spans="1:10" ht="30.75" customHeight="1" x14ac:dyDescent="0.2">
      <c r="A2" s="13"/>
      <c r="B2" s="13"/>
      <c r="C2" s="13"/>
      <c r="D2" s="13"/>
      <c r="E2" s="19">
        <f>IFERROR(O62,"")</f>
        <v>1152.9133333333334</v>
      </c>
      <c r="F2" s="19">
        <f>IFERROR(H53,"")</f>
        <v>860</v>
      </c>
      <c r="G2" s="19">
        <f>IFERROR(H54,"")</f>
        <v>10.913333333333334</v>
      </c>
      <c r="H2" s="19">
        <f>IFERROR(H56,"")</f>
        <v>154</v>
      </c>
      <c r="I2" s="20"/>
    </row>
    <row r="3" spans="1:10" ht="15" customHeight="1" x14ac:dyDescent="0.2">
      <c r="A3" s="13"/>
      <c r="B3" s="13"/>
      <c r="C3" s="13"/>
      <c r="D3" s="13"/>
      <c r="E3" s="13"/>
      <c r="F3" s="21"/>
      <c r="G3" s="21"/>
      <c r="H3" s="21"/>
      <c r="I3" s="21"/>
    </row>
    <row r="4" spans="1:10" ht="24.75" customHeight="1" thickBot="1" x14ac:dyDescent="0.25">
      <c r="A4" s="169"/>
      <c r="B4" s="169"/>
      <c r="C4" s="169"/>
      <c r="D4" s="169"/>
      <c r="E4" s="169"/>
      <c r="F4" s="169"/>
      <c r="G4" s="169"/>
      <c r="H4" s="169"/>
      <c r="I4" s="22"/>
    </row>
    <row r="5" spans="1:10" ht="19.5" customHeight="1" thickBot="1" x14ac:dyDescent="0.25">
      <c r="A5" s="170" t="s">
        <v>51</v>
      </c>
      <c r="B5" s="171"/>
      <c r="C5" s="171"/>
      <c r="D5" s="171"/>
      <c r="E5" s="171"/>
      <c r="F5" s="171"/>
      <c r="G5" s="171"/>
      <c r="H5" s="172"/>
      <c r="I5" s="23"/>
    </row>
    <row r="6" spans="1:10" ht="19.5" thickBot="1" x14ac:dyDescent="0.25">
      <c r="A6" s="23"/>
      <c r="B6" s="23"/>
      <c r="C6" s="23"/>
      <c r="D6" s="23"/>
      <c r="E6" s="23"/>
      <c r="F6" s="173" t="s">
        <v>52</v>
      </c>
      <c r="G6" s="173"/>
      <c r="H6" s="24">
        <f ca="1">TODAY()</f>
        <v>46029</v>
      </c>
      <c r="I6" s="24"/>
    </row>
    <row r="7" spans="1:10" ht="26.25" hidden="1" thickBot="1" x14ac:dyDescent="0.25">
      <c r="A7" s="25" t="s">
        <v>53</v>
      </c>
      <c r="B7" s="26" t="s">
        <v>54</v>
      </c>
      <c r="C7" s="26" t="s">
        <v>53</v>
      </c>
      <c r="D7" s="27" t="s">
        <v>55</v>
      </c>
      <c r="E7" s="27" t="s">
        <v>56</v>
      </c>
      <c r="F7" s="27" t="s">
        <v>57</v>
      </c>
      <c r="G7" s="27" t="s">
        <v>58</v>
      </c>
      <c r="H7" s="28" t="s">
        <v>59</v>
      </c>
      <c r="I7" s="29"/>
    </row>
    <row r="8" spans="1:10" ht="13.5" hidden="1" x14ac:dyDescent="0.25">
      <c r="A8" s="30"/>
      <c r="B8" s="18" t="str">
        <f>IFERROR(VLOOKUP(H8,'[1]Consolidado MP Planta'!$A$2:$M$823,3,0),"")</f>
        <v/>
      </c>
      <c r="C8" s="31">
        <f>+A8</f>
        <v>0</v>
      </c>
      <c r="D8" s="32" t="str">
        <f>IFERROR(VLOOKUP(H8,'[1]Consolidado MP Planta'!$A$2:$M$823,13,0),"")</f>
        <v/>
      </c>
      <c r="E8" s="32" t="str">
        <f>IFERROR(VLOOKUP(H8,'[1]Consolidado MP Planta'!$A$2:$M$823,12,0),"")</f>
        <v/>
      </c>
      <c r="F8" s="32" t="str">
        <f>IFERROR(C8*E8,"")</f>
        <v/>
      </c>
      <c r="G8" s="33" t="str">
        <f t="shared" ref="G8:G14" si="0">IFERROR(F8/$F$66,"")</f>
        <v/>
      </c>
      <c r="H8" s="34"/>
      <c r="I8" s="34"/>
      <c r="J8" s="35"/>
    </row>
    <row r="9" spans="1:10" ht="13.5" hidden="1" x14ac:dyDescent="0.25">
      <c r="A9" s="30"/>
      <c r="B9" s="18" t="str">
        <f>IFERROR(VLOOKUP(H9,'[1]Consolidado MP Planta'!$A$2:$M$823,3,0),"")</f>
        <v/>
      </c>
      <c r="C9" s="31">
        <f t="shared" ref="C9:C14" si="1">+A9</f>
        <v>0</v>
      </c>
      <c r="D9" s="32" t="str">
        <f>IFERROR(VLOOKUP(H9,'[1]Consolidado MP Planta'!$A$2:$M$823,13,0),"")</f>
        <v/>
      </c>
      <c r="E9" s="32" t="str">
        <f>IFERROR(VLOOKUP(H9,'[1]Consolidado MP Planta'!$A$2:$M$823,12,0),"")</f>
        <v/>
      </c>
      <c r="F9" s="32" t="str">
        <f t="shared" ref="F9:F14" si="2">IFERROR(C9*E9,"")</f>
        <v/>
      </c>
      <c r="G9" s="33" t="str">
        <f t="shared" si="0"/>
        <v/>
      </c>
      <c r="H9" s="34"/>
      <c r="I9" s="34"/>
      <c r="J9" s="35"/>
    </row>
    <row r="10" spans="1:10" ht="13.5" hidden="1" x14ac:dyDescent="0.25">
      <c r="A10" s="30"/>
      <c r="B10" s="18" t="str">
        <f>IFERROR(VLOOKUP(H10,'[1]Consolidado MP Planta'!$A$2:$M$823,3,0),"")</f>
        <v/>
      </c>
      <c r="C10" s="31">
        <f t="shared" si="1"/>
        <v>0</v>
      </c>
      <c r="D10" s="32" t="str">
        <f>IFERROR(VLOOKUP(H10,'[1]Consolidado MP Planta'!$A$2:$M$823,13,0),"")</f>
        <v/>
      </c>
      <c r="E10" s="32" t="str">
        <f>IFERROR(VLOOKUP(H10,'[1]Consolidado MP Planta'!$A$2:$M$823,12,0),"")</f>
        <v/>
      </c>
      <c r="F10" s="32" t="str">
        <f t="shared" si="2"/>
        <v/>
      </c>
      <c r="G10" s="33" t="str">
        <f t="shared" si="0"/>
        <v/>
      </c>
      <c r="H10" s="34"/>
      <c r="I10" s="34"/>
      <c r="J10" s="35"/>
    </row>
    <row r="11" spans="1:10" ht="13.5" hidden="1" x14ac:dyDescent="0.25">
      <c r="A11" s="30"/>
      <c r="B11" s="18" t="str">
        <f>IFERROR(VLOOKUP(H11,'[1]Consolidado MP Planta'!$A$2:$M$823,3,0),"")</f>
        <v/>
      </c>
      <c r="C11" s="31">
        <f t="shared" si="1"/>
        <v>0</v>
      </c>
      <c r="D11" s="32" t="str">
        <f>IFERROR(VLOOKUP(H11,'[1]Consolidado MP Planta'!$A$2:$M$823,13,0),"")</f>
        <v/>
      </c>
      <c r="E11" s="32" t="str">
        <f>IFERROR(VLOOKUP(H11,'[1]Consolidado MP Planta'!$A$2:$M$823,12,0),"")</f>
        <v/>
      </c>
      <c r="F11" s="32" t="str">
        <f t="shared" si="2"/>
        <v/>
      </c>
      <c r="G11" s="33" t="str">
        <f t="shared" si="0"/>
        <v/>
      </c>
      <c r="H11" s="34"/>
      <c r="I11" s="34"/>
      <c r="J11" s="35"/>
    </row>
    <row r="12" spans="1:10" ht="13.5" hidden="1" x14ac:dyDescent="0.25">
      <c r="A12" s="30"/>
      <c r="B12" s="18" t="str">
        <f>IFERROR(VLOOKUP(H12,'[1]Consolidado MP Planta'!$A$2:$M$823,3,0),"")</f>
        <v/>
      </c>
      <c r="C12" s="31">
        <f t="shared" si="1"/>
        <v>0</v>
      </c>
      <c r="D12" s="32" t="str">
        <f>IFERROR(VLOOKUP(H12,'[1]Consolidado MP Planta'!$A$2:$M$823,13,0),"")</f>
        <v/>
      </c>
      <c r="E12" s="32" t="str">
        <f>IFERROR(VLOOKUP(H12,'[1]Consolidado MP Planta'!$A$2:$M$823,12,0),"")</f>
        <v/>
      </c>
      <c r="F12" s="32" t="str">
        <f t="shared" si="2"/>
        <v/>
      </c>
      <c r="G12" s="33" t="str">
        <f t="shared" si="0"/>
        <v/>
      </c>
      <c r="H12" s="34"/>
      <c r="I12" s="34"/>
      <c r="J12" s="35"/>
    </row>
    <row r="13" spans="1:10" ht="13.5" hidden="1" x14ac:dyDescent="0.25">
      <c r="A13" s="30"/>
      <c r="B13" s="18" t="str">
        <f>IFERROR(VLOOKUP(H13,'[1]Consolidado MP Planta'!$A$2:$M$823,3,0),"")</f>
        <v/>
      </c>
      <c r="C13" s="31">
        <f t="shared" si="1"/>
        <v>0</v>
      </c>
      <c r="D13" s="32" t="str">
        <f>IFERROR(VLOOKUP(H13,'[1]Consolidado MP Planta'!$A$2:$M$823,13,0),"")</f>
        <v/>
      </c>
      <c r="E13" s="32" t="str">
        <f>IFERROR(VLOOKUP(H13,'[1]Consolidado MP Planta'!$A$2:$M$823,12,0),"")</f>
        <v/>
      </c>
      <c r="F13" s="32" t="str">
        <f t="shared" si="2"/>
        <v/>
      </c>
      <c r="G13" s="33" t="str">
        <f t="shared" si="0"/>
        <v/>
      </c>
      <c r="H13" s="34"/>
      <c r="I13" s="34"/>
      <c r="J13" s="35"/>
    </row>
    <row r="14" spans="1:10" ht="13.5" hidden="1" x14ac:dyDescent="0.25">
      <c r="A14" s="30"/>
      <c r="B14" s="18" t="str">
        <f>IFERROR(VLOOKUP(H14,'[1]Consolidado MP Planta'!$A$2:$M$823,3,0),"")</f>
        <v/>
      </c>
      <c r="C14" s="31">
        <f t="shared" si="1"/>
        <v>0</v>
      </c>
      <c r="D14" s="32" t="str">
        <f>IFERROR(VLOOKUP(H14,'[1]Consolidado MP Planta'!$A$2:$M$823,13,0),"")</f>
        <v/>
      </c>
      <c r="E14" s="32" t="str">
        <f>IFERROR(VLOOKUP(H14,'[1]Consolidado MP Planta'!$A$2:$M$823,12,0),"")</f>
        <v/>
      </c>
      <c r="F14" s="32" t="str">
        <f t="shared" si="2"/>
        <v/>
      </c>
      <c r="G14" s="33" t="str">
        <f t="shared" si="0"/>
        <v/>
      </c>
      <c r="H14" s="34"/>
      <c r="I14" s="34"/>
      <c r="J14" s="35"/>
    </row>
    <row r="15" spans="1:10" ht="14.25" hidden="1" thickBot="1" x14ac:dyDescent="0.3">
      <c r="A15" s="30"/>
      <c r="B15" s="18" t="str">
        <f>IFERROR(VLOOKUP(H15,'[2]ARTICULOS MP PLANTA'!$A$2:$G$589,2,0),"")</f>
        <v/>
      </c>
      <c r="C15" s="31"/>
      <c r="D15" s="32"/>
      <c r="E15" s="32"/>
      <c r="F15" s="32"/>
      <c r="G15" s="33"/>
      <c r="H15" s="34"/>
      <c r="I15" s="34"/>
      <c r="J15" s="35"/>
    </row>
    <row r="16" spans="1:10" ht="26.25" thickBot="1" x14ac:dyDescent="0.25">
      <c r="A16" s="25" t="s">
        <v>53</v>
      </c>
      <c r="B16" s="26" t="s">
        <v>60</v>
      </c>
      <c r="C16" s="26" t="s">
        <v>53</v>
      </c>
      <c r="D16" s="27" t="s">
        <v>55</v>
      </c>
      <c r="E16" s="27" t="s">
        <v>56</v>
      </c>
      <c r="F16" s="27" t="s">
        <v>57</v>
      </c>
      <c r="G16" s="27" t="s">
        <v>58</v>
      </c>
      <c r="H16" s="28" t="s">
        <v>59</v>
      </c>
      <c r="I16" s="29"/>
      <c r="J16" s="35"/>
    </row>
    <row r="17" spans="1:12" ht="13.5" x14ac:dyDescent="0.25">
      <c r="A17" s="30">
        <v>400</v>
      </c>
      <c r="B17" s="18" t="s">
        <v>42</v>
      </c>
      <c r="C17" s="31">
        <f>+A17</f>
        <v>400</v>
      </c>
      <c r="D17" s="31" t="s">
        <v>100</v>
      </c>
      <c r="E17" s="32">
        <v>2.15</v>
      </c>
      <c r="F17" s="32">
        <f>IFERROR(E17*C17,"")</f>
        <v>860</v>
      </c>
      <c r="G17" s="33">
        <f t="shared" ref="G17:G24" si="3">IFERROR(F17/$F$66,"")</f>
        <v>0.82524613445754469</v>
      </c>
      <c r="H17" s="34" t="s">
        <v>99</v>
      </c>
      <c r="I17" s="34"/>
      <c r="J17" s="35"/>
    </row>
    <row r="18" spans="1:12" ht="13.5" hidden="1" x14ac:dyDescent="0.25">
      <c r="A18" s="30"/>
      <c r="B18" s="18" t="str">
        <f>IFERROR(VLOOKUP(H18,[1]SEMIELABORADOS!$A$2:$M$6000,2,0),"")</f>
        <v/>
      </c>
      <c r="C18" s="31">
        <f t="shared" ref="C18:C24" si="4">+A18</f>
        <v>0</v>
      </c>
      <c r="D18" s="31" t="str">
        <f>IFERROR(VLOOKUP(H18,[1]SEMIELABORADOS!$A$2:$M$6000,6,0),"")</f>
        <v/>
      </c>
      <c r="E18" s="32" t="str">
        <f>IFERROR(VLOOKUP(H18,[1]SEMIELABORADOS!$A$2:$H$65536,8,0),"")</f>
        <v/>
      </c>
      <c r="F18" s="32" t="str">
        <f t="shared" ref="F18:F24" si="5">IFERROR(E18*C18,"")</f>
        <v/>
      </c>
      <c r="G18" s="33" t="str">
        <f t="shared" si="3"/>
        <v/>
      </c>
      <c r="H18" s="34"/>
      <c r="I18" s="34"/>
      <c r="J18" s="35"/>
    </row>
    <row r="19" spans="1:12" ht="13.5" hidden="1" x14ac:dyDescent="0.25">
      <c r="A19" s="30"/>
      <c r="B19" s="18" t="str">
        <f>IFERROR(VLOOKUP(H19,[1]SEMIELABORADOS!$A$2:$M$6000,2,0),"")</f>
        <v/>
      </c>
      <c r="C19" s="31">
        <f>+A19</f>
        <v>0</v>
      </c>
      <c r="D19" s="31" t="str">
        <f>IFERROR(VLOOKUP(H19,[1]SEMIELABORADOS!$A$2:$M$6000,6,0),"")</f>
        <v/>
      </c>
      <c r="E19" s="32" t="str">
        <f>IFERROR(VLOOKUP(H19,[1]SEMIELABORADOS!$A$2:$H$65536,8,0),"")</f>
        <v/>
      </c>
      <c r="F19" s="32" t="str">
        <f>IFERROR(E19*C19,"")</f>
        <v/>
      </c>
      <c r="G19" s="33" t="str">
        <f t="shared" si="3"/>
        <v/>
      </c>
      <c r="H19" s="34"/>
      <c r="I19" s="34"/>
      <c r="J19" s="35"/>
    </row>
    <row r="20" spans="1:12" ht="13.5" hidden="1" x14ac:dyDescent="0.25">
      <c r="A20" s="30"/>
      <c r="B20" s="18" t="str">
        <f>IFERROR(VLOOKUP(H20,[1]SEMIELABORADOS!$A$2:$M$6000,2,0),"")</f>
        <v/>
      </c>
      <c r="C20" s="31">
        <f>+A20</f>
        <v>0</v>
      </c>
      <c r="D20" s="31" t="str">
        <f>IFERROR(VLOOKUP(H20,[1]SEMIELABORADOS!$A$2:$M$6000,6,0),"")</f>
        <v/>
      </c>
      <c r="E20" s="32" t="str">
        <f>IFERROR(VLOOKUP(H20,[1]SEMIELABORADOS!$A$2:$H$65536,8,0),"")</f>
        <v/>
      </c>
      <c r="F20" s="32" t="str">
        <f>IFERROR(E20*C20,"")</f>
        <v/>
      </c>
      <c r="G20" s="33" t="str">
        <f t="shared" si="3"/>
        <v/>
      </c>
      <c r="H20" s="34"/>
      <c r="I20" s="34"/>
      <c r="J20" s="35"/>
    </row>
    <row r="21" spans="1:12" ht="13.5" hidden="1" x14ac:dyDescent="0.25">
      <c r="A21" s="30"/>
      <c r="B21" s="18" t="str">
        <f>IFERROR(VLOOKUP(H21,[1]SEMIELABORADOS!$A$2:$M$6000,2,0),"")</f>
        <v/>
      </c>
      <c r="C21" s="31">
        <f>+A21</f>
        <v>0</v>
      </c>
      <c r="D21" s="31" t="str">
        <f>IFERROR(VLOOKUP(H21,[1]SEMIELABORADOS!$A$2:$M$6000,6,0),"")</f>
        <v/>
      </c>
      <c r="E21" s="32" t="str">
        <f>IFERROR(VLOOKUP(H21,[1]SEMIELABORADOS!$A$2:$H$65536,8,0),"")</f>
        <v/>
      </c>
      <c r="F21" s="32" t="str">
        <f>IFERROR(E21*C21,"")</f>
        <v/>
      </c>
      <c r="G21" s="33" t="str">
        <f t="shared" si="3"/>
        <v/>
      </c>
      <c r="H21" s="34"/>
      <c r="I21" s="34"/>
      <c r="J21" s="35"/>
    </row>
    <row r="22" spans="1:12" ht="13.5" hidden="1" x14ac:dyDescent="0.25">
      <c r="A22" s="30"/>
      <c r="B22" s="18" t="str">
        <f>IFERROR(VLOOKUP(H22,[1]SEMIELABORADOS!$A$2:$M$6000,2,0),"")</f>
        <v/>
      </c>
      <c r="C22" s="31">
        <f t="shared" si="4"/>
        <v>0</v>
      </c>
      <c r="D22" s="31" t="str">
        <f>IFERROR(VLOOKUP(H22,[1]SEMIELABORADOS!$A$2:$M$6000,6,0),"")</f>
        <v/>
      </c>
      <c r="E22" s="32" t="str">
        <f>IFERROR(VLOOKUP(H22,[1]SEMIELABORADOS!$A$2:$H$65536,8,0),"")</f>
        <v/>
      </c>
      <c r="F22" s="32" t="str">
        <f t="shared" si="5"/>
        <v/>
      </c>
      <c r="G22" s="33" t="str">
        <f t="shared" si="3"/>
        <v/>
      </c>
      <c r="H22" s="34"/>
      <c r="I22" s="34"/>
      <c r="J22" s="35"/>
    </row>
    <row r="23" spans="1:12" ht="13.5" hidden="1" x14ac:dyDescent="0.25">
      <c r="A23" s="30"/>
      <c r="B23" s="18" t="str">
        <f>IFERROR(VLOOKUP(H23,[1]SEMIELABORADOS!$A$2:$M$6000,2,0),"")</f>
        <v/>
      </c>
      <c r="C23" s="31">
        <f t="shared" si="4"/>
        <v>0</v>
      </c>
      <c r="D23" s="31" t="str">
        <f>IFERROR(VLOOKUP(H23,[1]SEMIELABORADOS!$A$2:$M$6000,6,0),"")</f>
        <v/>
      </c>
      <c r="E23" s="32" t="str">
        <f>IFERROR(VLOOKUP(H23,[1]SEMIELABORADOS!$A$2:$H$65536,8,0),"")</f>
        <v/>
      </c>
      <c r="F23" s="32" t="str">
        <f t="shared" si="5"/>
        <v/>
      </c>
      <c r="G23" s="33" t="str">
        <f t="shared" si="3"/>
        <v/>
      </c>
      <c r="H23" s="34"/>
      <c r="I23" s="34"/>
      <c r="J23" s="35"/>
    </row>
    <row r="24" spans="1:12" ht="13.5" hidden="1" x14ac:dyDescent="0.25">
      <c r="A24" s="30"/>
      <c r="B24" s="18" t="str">
        <f>IFERROR(VLOOKUP(H24,[1]SEMIELABORADOS!$A$2:$M$6000,2,0),"")</f>
        <v/>
      </c>
      <c r="C24" s="31">
        <f t="shared" si="4"/>
        <v>0</v>
      </c>
      <c r="D24" s="31" t="str">
        <f>IFERROR(VLOOKUP(H24,[1]SEMIELABORADOS!$A$2:$M$6000,6,0),"")</f>
        <v/>
      </c>
      <c r="E24" s="32" t="str">
        <f>IFERROR(VLOOKUP(H24,[1]SEMIELABORADOS!$A$2:$H$65536,8,0),"")</f>
        <v/>
      </c>
      <c r="F24" s="32" t="str">
        <f t="shared" si="5"/>
        <v/>
      </c>
      <c r="G24" s="33" t="str">
        <f t="shared" si="3"/>
        <v/>
      </c>
      <c r="H24" s="34"/>
      <c r="I24" s="34"/>
      <c r="J24" s="35"/>
    </row>
    <row r="25" spans="1:12" ht="14.25" thickBot="1" x14ac:dyDescent="0.3">
      <c r="A25" s="30"/>
      <c r="C25" s="31"/>
      <c r="D25" s="31"/>
      <c r="E25" s="32"/>
      <c r="F25" s="32"/>
      <c r="G25" s="33"/>
      <c r="H25" s="34"/>
      <c r="I25" s="34"/>
      <c r="J25" s="35"/>
    </row>
    <row r="26" spans="1:12" ht="26.25" thickBot="1" x14ac:dyDescent="0.25">
      <c r="A26" s="25" t="s">
        <v>53</v>
      </c>
      <c r="B26" s="26" t="s">
        <v>61</v>
      </c>
      <c r="C26" s="26" t="s">
        <v>53</v>
      </c>
      <c r="D26" s="27" t="s">
        <v>55</v>
      </c>
      <c r="E26" s="27" t="s">
        <v>56</v>
      </c>
      <c r="F26" s="27" t="s">
        <v>57</v>
      </c>
      <c r="G26" s="27" t="s">
        <v>58</v>
      </c>
      <c r="H26" s="28" t="s">
        <v>59</v>
      </c>
      <c r="I26" s="29"/>
    </row>
    <row r="27" spans="1:12" ht="13.5" x14ac:dyDescent="0.25">
      <c r="A27" s="30">
        <v>1</v>
      </c>
      <c r="B27" s="36" t="str">
        <f>IFERROR(VLOOKUP(H27,'[1]Consolidado MP Planta'!$A$2:$M$823,3,0),"")</f>
        <v>BOLSA 8x12 TRANSPARENTE KILO</v>
      </c>
      <c r="C27" s="31">
        <f t="shared" ref="C27:C32" si="6">+A27</f>
        <v>1</v>
      </c>
      <c r="D27" s="32" t="str">
        <f>IFERROR(VLOOKUP(H27,'[1]Consolidado MP Planta'!$A$2:$M$823,13,0),"")</f>
        <v>Und</v>
      </c>
      <c r="E27" s="32">
        <f>IFERROR(VLOOKUP(H27,'[1]Consolidado MP Planta'!$A$2:$M$823,12,0),"")</f>
        <v>10</v>
      </c>
      <c r="F27" s="32">
        <f t="shared" ref="F27:F32" si="7">IFERROR(C27*E27,"")</f>
        <v>10</v>
      </c>
      <c r="G27" s="33">
        <f t="shared" ref="G27:G32" si="8">IFERROR(F27/$F$66,"")</f>
        <v>9.5958852843900551E-3</v>
      </c>
      <c r="H27" s="37" t="s">
        <v>101</v>
      </c>
      <c r="I27" s="37"/>
      <c r="J27" s="35"/>
      <c r="K27" s="163"/>
      <c r="L27" s="163"/>
    </row>
    <row r="28" spans="1:12" ht="13.5" x14ac:dyDescent="0.25">
      <c r="A28" s="30">
        <v>1</v>
      </c>
      <c r="B28" s="36" t="str">
        <f>IFERROR(VLOOKUP(H28,'[1]Consolidado MP Planta'!$A$2:$M$823,3,0),"")</f>
        <v>ETIQ.FECHA VENCIMIENTO BLANCO (ROLLO)</v>
      </c>
      <c r="C28" s="31">
        <f t="shared" si="6"/>
        <v>1</v>
      </c>
      <c r="D28" s="32" t="str">
        <f>IFERROR(VLOOKUP(H28,'[1]Consolidado MP Planta'!$A$2:$M$823,13,0),"")</f>
        <v>Gramos</v>
      </c>
      <c r="E28" s="32">
        <f>IFERROR(VLOOKUP(H28,'[1]Consolidado MP Planta'!$A$2:$M$823,12,0),"")</f>
        <v>0.33333333333333331</v>
      </c>
      <c r="F28" s="32">
        <f t="shared" si="7"/>
        <v>0.33333333333333331</v>
      </c>
      <c r="G28" s="33">
        <f t="shared" si="8"/>
        <v>3.1986284281300181E-4</v>
      </c>
      <c r="H28" s="37" t="s">
        <v>36</v>
      </c>
      <c r="I28" s="37"/>
      <c r="J28" s="35"/>
      <c r="K28" s="163"/>
      <c r="L28" s="163"/>
    </row>
    <row r="29" spans="1:12" ht="13.5" x14ac:dyDescent="0.25">
      <c r="A29" s="30">
        <v>1</v>
      </c>
      <c r="B29" s="36" t="str">
        <f>IFERROR(VLOOKUP(H29,'[1]Consolidado MP Planta'!$A$2:$M$823,3,0),"")</f>
        <v>ETIQ.BLANCA 1 1/4 * 3/4 (UND)</v>
      </c>
      <c r="C29" s="31">
        <f t="shared" si="6"/>
        <v>1</v>
      </c>
      <c r="D29" s="32" t="str">
        <f>IFERROR(VLOOKUP(H29,'[1]Consolidado MP Planta'!$A$2:$M$823,13,0),"")</f>
        <v>Und</v>
      </c>
      <c r="E29" s="32">
        <f>IFERROR(VLOOKUP(H29,'[1]Consolidado MP Planta'!$A$2:$M$823,12,0),"")</f>
        <v>0.57999999999999996</v>
      </c>
      <c r="F29" s="32">
        <f t="shared" si="7"/>
        <v>0.57999999999999996</v>
      </c>
      <c r="G29" s="33">
        <f t="shared" si="8"/>
        <v>5.5656134649462315E-4</v>
      </c>
      <c r="H29" s="37" t="s">
        <v>30</v>
      </c>
      <c r="I29" s="37"/>
      <c r="J29" s="35"/>
      <c r="K29" s="163"/>
      <c r="L29" s="163"/>
    </row>
    <row r="30" spans="1:12" ht="13.5" hidden="1" x14ac:dyDescent="0.25">
      <c r="A30" s="30"/>
      <c r="B30" s="36" t="str">
        <f>IFERROR(VLOOKUP(H30,'[1]Consolidado MP Planta'!$A$2:$M$823,3,0),"")</f>
        <v/>
      </c>
      <c r="C30" s="31">
        <f t="shared" si="6"/>
        <v>0</v>
      </c>
      <c r="D30" s="32" t="str">
        <f>IFERROR(VLOOKUP(H30,'[1]Consolidado MP Planta'!$A$2:$M$823,13,0),"")</f>
        <v/>
      </c>
      <c r="E30" s="32" t="str">
        <f>IFERROR(VLOOKUP(H30,'[1]Consolidado MP Planta'!$A$2:$M$823,12,0),"")</f>
        <v/>
      </c>
      <c r="F30" s="32" t="str">
        <f t="shared" si="7"/>
        <v/>
      </c>
      <c r="G30" s="33" t="str">
        <f t="shared" si="8"/>
        <v/>
      </c>
      <c r="H30" s="37"/>
      <c r="I30" s="37"/>
      <c r="J30" s="35"/>
      <c r="K30" s="163"/>
      <c r="L30" s="163"/>
    </row>
    <row r="31" spans="1:12" ht="13.5" hidden="1" x14ac:dyDescent="0.25">
      <c r="A31" s="30"/>
      <c r="B31" s="36" t="str">
        <f>IFERROR(VLOOKUP(H31,'[1]Consolidado MP Planta'!$A$2:$M$823,3,0),"")</f>
        <v/>
      </c>
      <c r="C31" s="31">
        <f t="shared" si="6"/>
        <v>0</v>
      </c>
      <c r="D31" s="32" t="str">
        <f>IFERROR(VLOOKUP(H31,'[1]Consolidado MP Planta'!$A$2:$M$823,13,0),"")</f>
        <v/>
      </c>
      <c r="E31" s="32" t="str">
        <f>IFERROR(VLOOKUP(H31,'[1]Consolidado MP Planta'!$A$2:$M$823,12,0),"")</f>
        <v/>
      </c>
      <c r="F31" s="32" t="str">
        <f t="shared" si="7"/>
        <v/>
      </c>
      <c r="G31" s="33" t="str">
        <f t="shared" si="8"/>
        <v/>
      </c>
      <c r="H31" s="37"/>
      <c r="I31" s="37"/>
      <c r="J31" s="35"/>
      <c r="K31" s="38"/>
      <c r="L31" s="39"/>
    </row>
    <row r="32" spans="1:12" ht="13.5" hidden="1" x14ac:dyDescent="0.25">
      <c r="A32" s="30"/>
      <c r="B32" s="36" t="str">
        <f>IFERROR(VLOOKUP(H32,'[1]Consolidado MP Planta'!$A$2:$M$823,3,0),"")</f>
        <v/>
      </c>
      <c r="C32" s="31">
        <f t="shared" si="6"/>
        <v>0</v>
      </c>
      <c r="D32" s="32" t="str">
        <f>IFERROR(VLOOKUP(H32,'[1]Consolidado MP Planta'!$A$2:$M$823,13,0),"")</f>
        <v/>
      </c>
      <c r="E32" s="32" t="str">
        <f>IFERROR(VLOOKUP(H32,'[1]Consolidado MP Planta'!$A$2:$M$823,12,0),"")</f>
        <v/>
      </c>
      <c r="F32" s="32" t="str">
        <f t="shared" si="7"/>
        <v/>
      </c>
      <c r="G32" s="33" t="str">
        <f t="shared" si="8"/>
        <v/>
      </c>
      <c r="H32" s="37"/>
      <c r="I32" s="37"/>
      <c r="J32" s="35"/>
    </row>
    <row r="33" spans="1:13" ht="14.25" thickBot="1" x14ac:dyDescent="0.3">
      <c r="A33" s="30"/>
      <c r="B33" s="36"/>
      <c r="C33" s="31"/>
      <c r="D33" s="32"/>
      <c r="E33" s="32"/>
      <c r="F33" s="32"/>
      <c r="G33" s="33"/>
      <c r="H33" s="37"/>
      <c r="I33" s="37"/>
      <c r="J33" s="35"/>
    </row>
    <row r="34" spans="1:13" ht="26.25" hidden="1" thickBot="1" x14ac:dyDescent="0.25">
      <c r="A34" s="25" t="s">
        <v>53</v>
      </c>
      <c r="B34" s="26" t="s">
        <v>62</v>
      </c>
      <c r="C34" s="26" t="s">
        <v>53</v>
      </c>
      <c r="D34" s="27" t="s">
        <v>55</v>
      </c>
      <c r="E34" s="27" t="s">
        <v>56</v>
      </c>
      <c r="F34" s="27" t="s">
        <v>57</v>
      </c>
      <c r="G34" s="27" t="s">
        <v>58</v>
      </c>
      <c r="H34" s="28" t="s">
        <v>59</v>
      </c>
      <c r="I34" s="37"/>
      <c r="J34" s="35"/>
    </row>
    <row r="35" spans="1:13" ht="13.5" hidden="1" x14ac:dyDescent="0.25">
      <c r="A35" s="30">
        <f>+A17</f>
        <v>400</v>
      </c>
      <c r="B35" s="36" t="str">
        <f>IFERROR(VLOOKUP(H35,[1]SEMIELABORADOS!$A$2:$M$6000,2,0),"")</f>
        <v/>
      </c>
      <c r="C35" s="31">
        <f>+A35</f>
        <v>400</v>
      </c>
      <c r="D35" s="32" t="str">
        <f>IFERROR(VLOOKUP(H35,[1]SEMIELABORADOS!$A$2:$M$6000,6,0),"")</f>
        <v/>
      </c>
      <c r="E35" s="32" t="str">
        <f>IFERROR(VLOOKUP(H35,[1]SEMIELABORADOS!$A$2:$M$65536,10,0),"")</f>
        <v/>
      </c>
      <c r="F35" s="32" t="str">
        <f>IFERROR(E35*C35,"")</f>
        <v/>
      </c>
      <c r="G35" s="33" t="str">
        <f t="shared" ref="G35:G41" si="9">IFERROR(F35/$F$66,"")</f>
        <v/>
      </c>
      <c r="H35" s="37"/>
      <c r="I35" s="37"/>
      <c r="J35" s="35"/>
    </row>
    <row r="36" spans="1:13" ht="13.5" hidden="1" x14ac:dyDescent="0.25">
      <c r="A36" s="30">
        <f t="shared" ref="A36:A41" si="10">+A18</f>
        <v>0</v>
      </c>
      <c r="B36" s="36" t="str">
        <f>IFERROR(VLOOKUP(H36,[1]SEMIELABORADOS!$A$2:$M$6000,2,0),"")</f>
        <v/>
      </c>
      <c r="C36" s="31">
        <f t="shared" ref="C36:C41" si="11">+A36</f>
        <v>0</v>
      </c>
      <c r="D36" s="32" t="str">
        <f>IFERROR(VLOOKUP(H36,[1]SEMIELABORADOS!$A$2:$M$6000,6,0),"")</f>
        <v/>
      </c>
      <c r="E36" s="32" t="str">
        <f>IFERROR(VLOOKUP(H36,[1]SEMIELABORADOS!$A$2:$M$65536,10,0),"")</f>
        <v/>
      </c>
      <c r="F36" s="32" t="str">
        <f t="shared" ref="F36:F41" si="12">IFERROR(E36*C36,"")</f>
        <v/>
      </c>
      <c r="G36" s="33" t="str">
        <f t="shared" si="9"/>
        <v/>
      </c>
      <c r="H36" s="37"/>
      <c r="I36" s="37"/>
      <c r="J36" s="35"/>
    </row>
    <row r="37" spans="1:13" ht="13.5" hidden="1" x14ac:dyDescent="0.25">
      <c r="A37" s="30">
        <f t="shared" si="10"/>
        <v>0</v>
      </c>
      <c r="B37" s="36" t="str">
        <f>IFERROR(VLOOKUP(H37,[1]SEMIELABORADOS!$A$2:$M$6000,2,0),"")</f>
        <v/>
      </c>
      <c r="C37" s="31">
        <f t="shared" si="11"/>
        <v>0</v>
      </c>
      <c r="D37" s="32" t="str">
        <f>IFERROR(VLOOKUP(H37,[1]SEMIELABORADOS!$A$2:$M$6000,6,0),"")</f>
        <v/>
      </c>
      <c r="E37" s="32" t="str">
        <f>IFERROR(VLOOKUP(H37,[1]SEMIELABORADOS!$A$2:$M$65536,10,0),"")</f>
        <v/>
      </c>
      <c r="F37" s="32" t="str">
        <f t="shared" si="12"/>
        <v/>
      </c>
      <c r="G37" s="33" t="str">
        <f t="shared" si="9"/>
        <v/>
      </c>
      <c r="H37" s="37"/>
      <c r="I37" s="37"/>
      <c r="J37" s="35"/>
    </row>
    <row r="38" spans="1:13" ht="13.5" hidden="1" x14ac:dyDescent="0.25">
      <c r="A38" s="30">
        <f t="shared" si="10"/>
        <v>0</v>
      </c>
      <c r="B38" s="36" t="str">
        <f>IFERROR(VLOOKUP(H38,[1]SEMIELABORADOS!$A$2:$M$6000,2,0),"")</f>
        <v/>
      </c>
      <c r="C38" s="31">
        <f>+A38</f>
        <v>0</v>
      </c>
      <c r="D38" s="32" t="str">
        <f>IFERROR(VLOOKUP(H38,[1]SEMIELABORADOS!$A$2:$M$6000,6,0),"")</f>
        <v/>
      </c>
      <c r="E38" s="32" t="str">
        <f>IFERROR(VLOOKUP(H38,[1]SEMIELABORADOS!$A$2:$M$65536,10,0),"")</f>
        <v/>
      </c>
      <c r="F38" s="32" t="str">
        <f>IFERROR(E38*C38,"")</f>
        <v/>
      </c>
      <c r="G38" s="33" t="str">
        <f t="shared" si="9"/>
        <v/>
      </c>
      <c r="H38" s="37"/>
      <c r="I38" s="37"/>
      <c r="J38" s="35"/>
    </row>
    <row r="39" spans="1:13" ht="13.5" hidden="1" x14ac:dyDescent="0.25">
      <c r="A39" s="30">
        <f t="shared" si="10"/>
        <v>0</v>
      </c>
      <c r="B39" s="36" t="str">
        <f>IFERROR(VLOOKUP(H39,[1]SEMIELABORADOS!$A$2:$M$6000,2,0),"")</f>
        <v/>
      </c>
      <c r="C39" s="31">
        <f>+A39</f>
        <v>0</v>
      </c>
      <c r="D39" s="32" t="str">
        <f>IFERROR(VLOOKUP(H39,[1]SEMIELABORADOS!$A$2:$M$6000,6,0),"")</f>
        <v/>
      </c>
      <c r="E39" s="32" t="str">
        <f>IFERROR(VLOOKUP(H39,[1]SEMIELABORADOS!$A$2:$M$65536,10,0),"")</f>
        <v/>
      </c>
      <c r="F39" s="32" t="str">
        <f>IFERROR(E39*C39,"")</f>
        <v/>
      </c>
      <c r="G39" s="33" t="str">
        <f t="shared" si="9"/>
        <v/>
      </c>
      <c r="H39" s="37"/>
      <c r="I39" s="37"/>
      <c r="J39" s="35"/>
    </row>
    <row r="40" spans="1:13" ht="13.5" hidden="1" x14ac:dyDescent="0.25">
      <c r="A40" s="30">
        <f t="shared" si="10"/>
        <v>0</v>
      </c>
      <c r="B40" s="36" t="str">
        <f>IFERROR(VLOOKUP(H40,[1]SEMIELABORADOS!$A$2:$M$6000,2,0),"")</f>
        <v/>
      </c>
      <c r="C40" s="31">
        <f t="shared" si="11"/>
        <v>0</v>
      </c>
      <c r="D40" s="32" t="str">
        <f>IFERROR(VLOOKUP(H40,[1]SEMIELABORADOS!$A$2:$M$6000,6,0),"")</f>
        <v/>
      </c>
      <c r="E40" s="32" t="str">
        <f>IFERROR(VLOOKUP(H40,[1]SEMIELABORADOS!$A$2:$M$65536,10,0),"")</f>
        <v/>
      </c>
      <c r="F40" s="32" t="str">
        <f t="shared" si="12"/>
        <v/>
      </c>
      <c r="G40" s="33" t="str">
        <f t="shared" si="9"/>
        <v/>
      </c>
      <c r="H40" s="37"/>
      <c r="I40" s="37"/>
      <c r="J40" s="35"/>
    </row>
    <row r="41" spans="1:13" ht="13.5" hidden="1" x14ac:dyDescent="0.25">
      <c r="A41" s="30">
        <f t="shared" si="10"/>
        <v>0</v>
      </c>
      <c r="B41" s="36" t="str">
        <f>IFERROR(VLOOKUP(H41,[1]SEMIELABORADOS!$A$2:$M$6000,2,0),"")</f>
        <v/>
      </c>
      <c r="C41" s="31">
        <f t="shared" si="11"/>
        <v>0</v>
      </c>
      <c r="D41" s="32" t="str">
        <f>IFERROR(VLOOKUP(H41,[1]SEMIELABORADOS!$A$2:$M$6000,6,0),"")</f>
        <v/>
      </c>
      <c r="E41" s="32" t="str">
        <f>IFERROR(VLOOKUP(H41,[1]SEMIELABORADOS!$A$2:$M$65536,10,0),"")</f>
        <v/>
      </c>
      <c r="F41" s="32" t="str">
        <f t="shared" si="12"/>
        <v/>
      </c>
      <c r="G41" s="33" t="str">
        <f t="shared" si="9"/>
        <v/>
      </c>
      <c r="H41" s="37"/>
      <c r="I41" s="37"/>
      <c r="J41" s="35"/>
    </row>
    <row r="42" spans="1:13" ht="14.25" hidden="1" thickBot="1" x14ac:dyDescent="0.3">
      <c r="A42" s="30"/>
      <c r="B42" s="36"/>
      <c r="C42" s="31"/>
      <c r="D42" s="32"/>
      <c r="E42" s="32"/>
      <c r="F42" s="32"/>
      <c r="G42" s="33"/>
      <c r="H42" s="37"/>
      <c r="I42" s="37"/>
      <c r="J42" s="35"/>
    </row>
    <row r="43" spans="1:13" ht="26.25" thickBot="1" x14ac:dyDescent="0.25">
      <c r="A43" s="25" t="s">
        <v>53</v>
      </c>
      <c r="B43" s="26" t="s">
        <v>63</v>
      </c>
      <c r="C43" s="26" t="s">
        <v>53</v>
      </c>
      <c r="D43" s="27" t="s">
        <v>55</v>
      </c>
      <c r="E43" s="27" t="s">
        <v>56</v>
      </c>
      <c r="F43" s="27" t="s">
        <v>57</v>
      </c>
      <c r="G43" s="27" t="s">
        <v>58</v>
      </c>
      <c r="H43" s="28" t="s">
        <v>59</v>
      </c>
      <c r="I43" s="29"/>
      <c r="J43" s="35"/>
    </row>
    <row r="44" spans="1:13" ht="13.5" hidden="1" x14ac:dyDescent="0.25">
      <c r="A44" s="30">
        <f>+A35</f>
        <v>400</v>
      </c>
      <c r="B44" s="36" t="str">
        <f>IFERROR(VLOOKUP(H44,[1]SEMIELABORADOS!$A$2:$M$6000,2,0),"")</f>
        <v/>
      </c>
      <c r="C44" s="31">
        <f>+A44</f>
        <v>400</v>
      </c>
      <c r="D44" s="32" t="str">
        <f>IFERROR(VLOOKUP(H44,[1]SEMIELABORADOS!$A$2:$M$6000,6,0),"")</f>
        <v/>
      </c>
      <c r="E44" s="32" t="str">
        <f>IFERROR(VLOOKUP(H44,[1]SEMIELABORADOS!$A$2:$M$65536,12,0),"")</f>
        <v/>
      </c>
      <c r="F44" s="32" t="str">
        <f>IFERROR(E44*C44,"")</f>
        <v/>
      </c>
      <c r="G44" s="33" t="str">
        <f>IFERROR(F44/$F$66,"")</f>
        <v/>
      </c>
      <c r="H44" s="37"/>
      <c r="I44" s="29"/>
      <c r="J44" s="35"/>
    </row>
    <row r="45" spans="1:13" ht="13.5" hidden="1" x14ac:dyDescent="0.25">
      <c r="A45" s="30">
        <f t="shared" ref="A45:A50" si="13">+A36</f>
        <v>0</v>
      </c>
      <c r="B45" s="36" t="str">
        <f>IFERROR(VLOOKUP(H45,[1]SEMIELABORADOS!$A$2:$M$6000,2,0),"")</f>
        <v/>
      </c>
      <c r="C45" s="31">
        <f t="shared" ref="C45:C50" si="14">+A45</f>
        <v>0</v>
      </c>
      <c r="D45" s="32" t="str">
        <f>IFERROR(VLOOKUP(H45,[1]SEMIELABORADOS!$A$2:$M$6000,6,0),"")</f>
        <v/>
      </c>
      <c r="E45" s="32" t="str">
        <f>IFERROR(VLOOKUP(H45,[1]SEMIELABORADOS!$A$2:$M$65536,12,0),"")</f>
        <v/>
      </c>
      <c r="F45" s="32" t="str">
        <f t="shared" ref="F45:F50" si="15">IFERROR(E45*C45,"")</f>
        <v/>
      </c>
      <c r="G45" s="33" t="str">
        <f t="shared" ref="G45:G50" si="16">IFERROR(F45/$F$66,"")</f>
        <v/>
      </c>
      <c r="H45" s="37"/>
      <c r="I45" s="29"/>
      <c r="J45" s="35"/>
      <c r="M45" s="40"/>
    </row>
    <row r="46" spans="1:13" ht="13.5" hidden="1" x14ac:dyDescent="0.25">
      <c r="A46" s="30">
        <f t="shared" si="13"/>
        <v>0</v>
      </c>
      <c r="B46" s="36" t="str">
        <f>IFERROR(VLOOKUP(H46,[1]SEMIELABORADOS!$A$2:$M$6000,2,0),"")</f>
        <v/>
      </c>
      <c r="C46" s="31">
        <f t="shared" si="14"/>
        <v>0</v>
      </c>
      <c r="D46" s="32" t="str">
        <f>IFERROR(VLOOKUP(H46,[1]SEMIELABORADOS!$A$2:$M$6000,6,0),"")</f>
        <v/>
      </c>
      <c r="E46" s="32" t="str">
        <f>IFERROR(VLOOKUP(H46,[1]SEMIELABORADOS!$A$2:$M$65536,12,0),"")</f>
        <v/>
      </c>
      <c r="F46" s="32" t="str">
        <f t="shared" si="15"/>
        <v/>
      </c>
      <c r="G46" s="33" t="str">
        <f t="shared" si="16"/>
        <v/>
      </c>
      <c r="H46" s="37"/>
      <c r="I46" s="29"/>
      <c r="J46" s="35"/>
    </row>
    <row r="47" spans="1:13" ht="13.5" hidden="1" x14ac:dyDescent="0.25">
      <c r="A47" s="30">
        <f t="shared" si="13"/>
        <v>0</v>
      </c>
      <c r="B47" s="36" t="str">
        <f>IFERROR(VLOOKUP(H47,[1]SEMIELABORADOS!$A$2:$M$6000,2,0),"")</f>
        <v/>
      </c>
      <c r="C47" s="31">
        <f t="shared" si="14"/>
        <v>0</v>
      </c>
      <c r="D47" s="32" t="str">
        <f>IFERROR(VLOOKUP(H47,[1]SEMIELABORADOS!$A$2:$M$6000,6,0),"")</f>
        <v/>
      </c>
      <c r="E47" s="32" t="str">
        <f>IFERROR(VLOOKUP(H47,[1]SEMIELABORADOS!$A$2:$M$65536,12,0),"")</f>
        <v/>
      </c>
      <c r="F47" s="32" t="str">
        <f t="shared" si="15"/>
        <v/>
      </c>
      <c r="G47" s="33" t="str">
        <f t="shared" si="16"/>
        <v/>
      </c>
      <c r="H47" s="37"/>
      <c r="I47" s="29"/>
      <c r="J47" s="35"/>
    </row>
    <row r="48" spans="1:13" ht="13.5" hidden="1" x14ac:dyDescent="0.25">
      <c r="A48" s="30">
        <f t="shared" si="13"/>
        <v>0</v>
      </c>
      <c r="B48" s="36" t="str">
        <f>IFERROR(VLOOKUP(H48,[1]SEMIELABORADOS!$A$2:$M$6000,2,0),"")</f>
        <v/>
      </c>
      <c r="C48" s="31">
        <f t="shared" si="14"/>
        <v>0</v>
      </c>
      <c r="D48" s="32" t="str">
        <f>IFERROR(VLOOKUP(H48,[1]SEMIELABORADOS!$A$2:$M$6000,6,0),"")</f>
        <v/>
      </c>
      <c r="E48" s="32" t="str">
        <f>IFERROR(VLOOKUP(H48,[1]SEMIELABORADOS!$A$2:$M$65536,12,0),"")</f>
        <v/>
      </c>
      <c r="F48" s="32" t="str">
        <f t="shared" si="15"/>
        <v/>
      </c>
      <c r="G48" s="33" t="str">
        <f t="shared" si="16"/>
        <v/>
      </c>
      <c r="H48" s="37"/>
      <c r="I48" s="29"/>
      <c r="J48" s="35"/>
    </row>
    <row r="49" spans="1:17" ht="13.5" hidden="1" x14ac:dyDescent="0.25">
      <c r="A49" s="30">
        <f t="shared" si="13"/>
        <v>0</v>
      </c>
      <c r="B49" s="36" t="str">
        <f>IFERROR(VLOOKUP(H49,[1]SEMIELABORADOS!$A$2:$M$6000,2,0),"")</f>
        <v/>
      </c>
      <c r="C49" s="31">
        <f t="shared" si="14"/>
        <v>0</v>
      </c>
      <c r="D49" s="32" t="str">
        <f>IFERROR(VLOOKUP(H49,[1]SEMIELABORADOS!$A$2:$M$6000,6,0),"")</f>
        <v/>
      </c>
      <c r="E49" s="32" t="str">
        <f>IFERROR(VLOOKUP(H49,[1]SEMIELABORADOS!$A$2:$M$65536,12,0),"")</f>
        <v/>
      </c>
      <c r="F49" s="32" t="str">
        <f t="shared" si="15"/>
        <v/>
      </c>
      <c r="G49" s="33" t="str">
        <f t="shared" si="16"/>
        <v/>
      </c>
      <c r="H49" s="37"/>
      <c r="I49" s="29"/>
      <c r="J49" s="35"/>
    </row>
    <row r="50" spans="1:17" ht="13.5" hidden="1" x14ac:dyDescent="0.25">
      <c r="A50" s="30">
        <f t="shared" si="13"/>
        <v>0</v>
      </c>
      <c r="B50" s="36" t="str">
        <f>IFERROR(VLOOKUP(H50,[1]SEMIELABORADOS!$A$2:$M$6000,2,0),"")</f>
        <v/>
      </c>
      <c r="C50" s="31">
        <f t="shared" si="14"/>
        <v>0</v>
      </c>
      <c r="D50" s="32" t="str">
        <f>IFERROR(VLOOKUP(H50,[1]SEMIELABORADOS!$A$2:$M$6000,6,0),"")</f>
        <v/>
      </c>
      <c r="E50" s="32" t="str">
        <f>IFERROR(VLOOKUP(H50,[1]SEMIELABORADOS!$A$2:$M$65536,12,0),"")</f>
        <v/>
      </c>
      <c r="F50" s="32" t="str">
        <f t="shared" si="15"/>
        <v/>
      </c>
      <c r="G50" s="33" t="str">
        <f t="shared" si="16"/>
        <v/>
      </c>
      <c r="H50" s="36"/>
      <c r="I50" s="29"/>
      <c r="J50" s="35"/>
    </row>
    <row r="51" spans="1:17" ht="13.5" x14ac:dyDescent="0.25">
      <c r="A51" s="30">
        <v>1</v>
      </c>
      <c r="B51" s="36" t="s">
        <v>64</v>
      </c>
      <c r="C51" s="31">
        <f>+A51</f>
        <v>1</v>
      </c>
      <c r="D51" s="31" t="s">
        <v>65</v>
      </c>
      <c r="E51" s="32">
        <f>+F65</f>
        <v>154</v>
      </c>
      <c r="F51" s="32">
        <f>IFERROR(C51*E51,"")</f>
        <v>154</v>
      </c>
      <c r="G51" s="33">
        <f>IFERROR(F51/$F$66,"")</f>
        <v>0.14777663337960684</v>
      </c>
      <c r="H51" s="41"/>
      <c r="I51" s="41"/>
      <c r="J51" s="35"/>
    </row>
    <row r="52" spans="1:17" ht="14.25" thickBot="1" x14ac:dyDescent="0.3">
      <c r="A52" s="30"/>
      <c r="B52" s="36"/>
      <c r="C52" s="31"/>
      <c r="D52" s="31"/>
      <c r="E52" s="32"/>
      <c r="F52" s="32"/>
      <c r="G52" s="33"/>
      <c r="H52" s="41"/>
      <c r="I52" s="41"/>
      <c r="J52" s="35"/>
    </row>
    <row r="53" spans="1:17" ht="13.5" thickBot="1" x14ac:dyDescent="0.25">
      <c r="A53" s="42"/>
      <c r="B53" s="164" t="s">
        <v>66</v>
      </c>
      <c r="C53" s="164"/>
      <c r="D53" s="164"/>
      <c r="E53" s="164"/>
      <c r="F53" s="44">
        <f>SUM(F8:F14,F17:F24)</f>
        <v>860</v>
      </c>
      <c r="G53" s="33">
        <f>+F53/$F$66</f>
        <v>0.82524613445754469</v>
      </c>
      <c r="H53" s="45">
        <f>+F53/$D$60</f>
        <v>860</v>
      </c>
      <c r="I53" s="45"/>
      <c r="J53" s="46"/>
      <c r="K53" s="47"/>
      <c r="L53" s="47"/>
      <c r="M53" s="47"/>
      <c r="N53" s="47"/>
      <c r="O53" s="47"/>
      <c r="P53" s="47"/>
      <c r="Q53" s="48"/>
    </row>
    <row r="54" spans="1:17" x14ac:dyDescent="0.2">
      <c r="A54" s="42"/>
      <c r="B54" s="164" t="s">
        <v>67</v>
      </c>
      <c r="C54" s="164"/>
      <c r="D54" s="164"/>
      <c r="E54" s="164"/>
      <c r="F54" s="44">
        <f>SUM(F27:F32,F35:F41)</f>
        <v>10.913333333333334</v>
      </c>
      <c r="G54" s="33">
        <f>+F54/$F$66</f>
        <v>1.0472309473697681E-2</v>
      </c>
      <c r="H54" s="45">
        <f>+F54/$D$60</f>
        <v>10.913333333333334</v>
      </c>
      <c r="I54" s="45"/>
      <c r="J54" s="49"/>
      <c r="K54" s="165" t="s">
        <v>68</v>
      </c>
      <c r="L54" s="166"/>
      <c r="M54" s="166"/>
      <c r="N54" s="166"/>
      <c r="O54" s="50">
        <f>+F55</f>
        <v>870.9133333333333</v>
      </c>
      <c r="P54" s="50"/>
      <c r="Q54" s="51"/>
    </row>
    <row r="55" spans="1:17" x14ac:dyDescent="0.2">
      <c r="A55" s="42"/>
      <c r="B55" s="164" t="s">
        <v>69</v>
      </c>
      <c r="C55" s="164"/>
      <c r="D55" s="164"/>
      <c r="E55" s="164"/>
      <c r="F55" s="44">
        <f>+F53+F54</f>
        <v>870.9133333333333</v>
      </c>
      <c r="G55" s="33">
        <f>+F55/$F$66</f>
        <v>0.83571844393124228</v>
      </c>
      <c r="H55" s="45">
        <f>+F55/$D$60</f>
        <v>870.9133333333333</v>
      </c>
      <c r="I55" s="45"/>
      <c r="J55" s="52"/>
      <c r="K55" s="53"/>
      <c r="M55" s="54" t="s">
        <v>70</v>
      </c>
      <c r="N55" s="55"/>
      <c r="O55" s="50">
        <f>+H56</f>
        <v>154</v>
      </c>
      <c r="P55" s="50"/>
      <c r="Q55" s="51"/>
    </row>
    <row r="56" spans="1:17" ht="13.5" thickBot="1" x14ac:dyDescent="0.25">
      <c r="A56" s="42"/>
      <c r="B56" s="43"/>
      <c r="C56" s="164" t="s">
        <v>71</v>
      </c>
      <c r="D56" s="164"/>
      <c r="E56" s="164"/>
      <c r="F56" s="44">
        <f>SUM(F44:F51)</f>
        <v>154</v>
      </c>
      <c r="G56" s="33">
        <f>+F56/$F$66</f>
        <v>0.14777663337960684</v>
      </c>
      <c r="H56" s="45">
        <f>+F56/$D$60</f>
        <v>154</v>
      </c>
      <c r="I56" s="45"/>
      <c r="J56" s="52"/>
      <c r="K56" s="53"/>
      <c r="L56" s="53"/>
      <c r="M56" s="53" t="s">
        <v>72</v>
      </c>
      <c r="N56" s="56"/>
      <c r="O56" s="50">
        <f>O54*N56</f>
        <v>0</v>
      </c>
      <c r="P56" s="50"/>
      <c r="Q56" s="51"/>
    </row>
    <row r="57" spans="1:17" ht="13.5" thickBot="1" x14ac:dyDescent="0.25">
      <c r="A57" s="42"/>
      <c r="B57" s="57"/>
      <c r="C57" s="57"/>
      <c r="D57" s="57"/>
      <c r="E57" s="57"/>
      <c r="F57" s="58"/>
      <c r="G57" s="33"/>
      <c r="H57" s="59"/>
      <c r="I57" s="45"/>
      <c r="J57" s="52"/>
      <c r="K57" s="60"/>
      <c r="M57" s="61" t="s">
        <v>73</v>
      </c>
      <c r="N57" s="62"/>
      <c r="O57" s="63">
        <f>SUM(O54:O56)</f>
        <v>1024.9133333333334</v>
      </c>
      <c r="P57" s="64"/>
      <c r="Q57" s="51"/>
    </row>
    <row r="58" spans="1:17" x14ac:dyDescent="0.2">
      <c r="B58" s="167" t="s">
        <v>74</v>
      </c>
      <c r="C58" s="167"/>
      <c r="D58" s="65">
        <v>400</v>
      </c>
      <c r="E58" s="66"/>
      <c r="G58" s="33"/>
      <c r="H58" s="59">
        <f>+H56/77</f>
        <v>2</v>
      </c>
      <c r="I58" s="67"/>
      <c r="J58" s="52"/>
      <c r="K58" s="60"/>
      <c r="L58" s="53"/>
      <c r="M58" s="53" t="s">
        <v>75</v>
      </c>
      <c r="N58" s="68"/>
      <c r="O58" s="50">
        <f>+H59</f>
        <v>128</v>
      </c>
      <c r="P58" s="50"/>
      <c r="Q58" s="51"/>
    </row>
    <row r="59" spans="1:17" x14ac:dyDescent="0.2">
      <c r="B59" s="167" t="s">
        <v>76</v>
      </c>
      <c r="C59" s="167"/>
      <c r="D59" s="69">
        <v>400</v>
      </c>
      <c r="E59" s="66"/>
      <c r="G59" s="33"/>
      <c r="H59" s="59">
        <f>+H58*64</f>
        <v>128</v>
      </c>
      <c r="I59" s="67"/>
      <c r="J59" s="52"/>
      <c r="K59" s="60"/>
      <c r="L59" s="53"/>
      <c r="M59" s="168" t="s">
        <v>73</v>
      </c>
      <c r="N59" s="168"/>
      <c r="O59" s="50">
        <f>SUM(O57:O58)</f>
        <v>1152.9133333333334</v>
      </c>
      <c r="P59" s="50"/>
      <c r="Q59" s="51"/>
    </row>
    <row r="60" spans="1:17" ht="13.5" thickBot="1" x14ac:dyDescent="0.25">
      <c r="B60" s="159" t="s">
        <v>77</v>
      </c>
      <c r="C60" s="159"/>
      <c r="D60" s="65">
        <f>+D58/D59</f>
        <v>1</v>
      </c>
      <c r="E60" s="66"/>
      <c r="F60" s="70"/>
      <c r="G60" s="33"/>
      <c r="H60" s="59"/>
      <c r="I60" s="67"/>
      <c r="J60" s="52"/>
      <c r="K60" s="60"/>
      <c r="L60" s="168"/>
      <c r="M60" s="168"/>
      <c r="N60" s="68"/>
      <c r="O60" s="50">
        <f>+O59*N60</f>
        <v>0</v>
      </c>
      <c r="P60" s="50"/>
      <c r="Q60" s="51"/>
    </row>
    <row r="61" spans="1:17" ht="13.5" thickBot="1" x14ac:dyDescent="0.25">
      <c r="B61" s="159" t="s">
        <v>78</v>
      </c>
      <c r="C61" s="159"/>
      <c r="D61" s="71"/>
      <c r="E61" s="66"/>
      <c r="F61" s="70"/>
      <c r="G61" s="33"/>
      <c r="H61" s="59"/>
      <c r="I61" s="67"/>
      <c r="J61" s="52"/>
      <c r="K61" s="160" t="s">
        <v>79</v>
      </c>
      <c r="L61" s="161"/>
      <c r="M61" s="161"/>
      <c r="N61" s="162"/>
      <c r="O61" s="63">
        <f>SUM(O59:O60)</f>
        <v>1152.9133333333334</v>
      </c>
      <c r="P61" s="72" t="s">
        <v>80</v>
      </c>
      <c r="Q61" s="51"/>
    </row>
    <row r="62" spans="1:17" ht="13.5" thickBot="1" x14ac:dyDescent="0.25">
      <c r="C62" s="42" t="s">
        <v>81</v>
      </c>
      <c r="D62" s="73"/>
      <c r="E62" s="16" t="s">
        <v>82</v>
      </c>
      <c r="F62" s="74" t="s">
        <v>83</v>
      </c>
      <c r="G62" s="33"/>
      <c r="H62" s="59"/>
      <c r="I62" s="67"/>
      <c r="J62" s="75"/>
      <c r="K62" s="76"/>
      <c r="L62" s="148" t="s">
        <v>84</v>
      </c>
      <c r="M62" s="148"/>
      <c r="N62" s="148"/>
      <c r="O62" s="77">
        <f>+O61/D60</f>
        <v>1152.9133333333334</v>
      </c>
      <c r="P62" s="78">
        <f>+O62/D59</f>
        <v>2.8822833333333335</v>
      </c>
      <c r="Q62" s="79"/>
    </row>
    <row r="63" spans="1:17" ht="13.5" thickBot="1" x14ac:dyDescent="0.25">
      <c r="B63" s="149" t="s">
        <v>69</v>
      </c>
      <c r="C63" s="149"/>
      <c r="D63" s="149"/>
      <c r="E63" s="80">
        <f>+F63/F63</f>
        <v>1</v>
      </c>
      <c r="F63" s="81">
        <f>SUM(F55)</f>
        <v>870.9133333333333</v>
      </c>
      <c r="G63" s="33">
        <f>+F63/$F$66</f>
        <v>0.83571844393124228</v>
      </c>
      <c r="H63" s="59"/>
      <c r="I63" s="67"/>
      <c r="K63" s="150"/>
      <c r="L63" s="151"/>
      <c r="M63" s="151"/>
      <c r="N63" s="151"/>
      <c r="O63" s="82"/>
      <c r="P63" s="83"/>
    </row>
    <row r="64" spans="1:17" ht="13.5" thickBot="1" x14ac:dyDescent="0.25">
      <c r="B64" s="152" t="s">
        <v>85</v>
      </c>
      <c r="C64" s="152"/>
      <c r="D64" s="152"/>
      <c r="E64" s="84">
        <v>0.02</v>
      </c>
      <c r="F64" s="81">
        <f>+F53*E64</f>
        <v>17.2</v>
      </c>
      <c r="G64" s="33">
        <f>+F64/$F$66</f>
        <v>1.6504922689150894E-2</v>
      </c>
      <c r="H64" s="45"/>
      <c r="I64" s="67"/>
      <c r="J64" s="85"/>
      <c r="O64" s="86"/>
      <c r="P64" s="43"/>
    </row>
    <row r="65" spans="2:13" ht="13.5" thickBot="1" x14ac:dyDescent="0.25">
      <c r="B65" s="153" t="s">
        <v>86</v>
      </c>
      <c r="C65" s="154"/>
      <c r="D65" s="87">
        <v>2</v>
      </c>
      <c r="E65" s="88">
        <v>77</v>
      </c>
      <c r="F65" s="81">
        <f>+E65*D65</f>
        <v>154</v>
      </c>
      <c r="G65" s="33">
        <f>+F65/$F$66</f>
        <v>0.14777663337960684</v>
      </c>
      <c r="H65" s="45"/>
      <c r="I65" s="45"/>
      <c r="J65" s="35"/>
    </row>
    <row r="66" spans="2:13" ht="13.5" thickBot="1" x14ac:dyDescent="0.25">
      <c r="B66" s="155" t="s">
        <v>87</v>
      </c>
      <c r="C66" s="156"/>
      <c r="D66" s="156"/>
      <c r="E66" s="157"/>
      <c r="F66" s="58">
        <f>SUM(F63:F65)</f>
        <v>1042.1133333333332</v>
      </c>
      <c r="G66" s="33">
        <f>+F66/$F$66</f>
        <v>1</v>
      </c>
      <c r="H66" s="158"/>
      <c r="I66" s="45"/>
      <c r="J66" s="35"/>
      <c r="M66" s="18" t="s">
        <v>88</v>
      </c>
    </row>
    <row r="67" spans="2:13" x14ac:dyDescent="0.2">
      <c r="C67" s="40"/>
      <c r="D67" s="40"/>
      <c r="E67" s="90"/>
      <c r="F67" s="81"/>
      <c r="G67" s="33"/>
      <c r="H67" s="158"/>
      <c r="I67" s="89"/>
      <c r="J67" s="18"/>
      <c r="M67" s="18" t="s">
        <v>89</v>
      </c>
    </row>
    <row r="68" spans="2:13" ht="13.5" thickBot="1" x14ac:dyDescent="0.25">
      <c r="B68" s="143" t="s">
        <v>90</v>
      </c>
      <c r="C68" s="143"/>
      <c r="D68" s="143"/>
      <c r="E68" s="143"/>
      <c r="F68" s="143"/>
      <c r="G68" s="33"/>
      <c r="H68" s="92"/>
      <c r="I68" s="89"/>
      <c r="J68" s="18"/>
      <c r="M68" s="18" t="s">
        <v>91</v>
      </c>
    </row>
    <row r="69" spans="2:13" ht="13.5" thickBot="1" x14ac:dyDescent="0.25">
      <c r="B69" s="93" t="s">
        <v>92</v>
      </c>
      <c r="C69" s="94">
        <f>+F53</f>
        <v>860</v>
      </c>
      <c r="D69" s="94">
        <f>+D58</f>
        <v>400</v>
      </c>
      <c r="E69" s="95">
        <f>+C69/D69</f>
        <v>2.15</v>
      </c>
      <c r="F69" s="33"/>
      <c r="G69" s="92"/>
      <c r="H69" s="35"/>
      <c r="I69" s="92"/>
      <c r="J69" s="18"/>
    </row>
    <row r="70" spans="2:13" x14ac:dyDescent="0.2">
      <c r="B70" s="96"/>
      <c r="C70" s="97"/>
      <c r="D70" s="98"/>
      <c r="E70" s="81"/>
      <c r="F70" s="33"/>
      <c r="G70" s="92"/>
      <c r="H70" s="35"/>
      <c r="I70" s="35"/>
      <c r="J70" s="18"/>
    </row>
    <row r="71" spans="2:13" x14ac:dyDescent="0.2">
      <c r="B71" s="93" t="s">
        <v>93</v>
      </c>
      <c r="C71" s="94">
        <f>SUM(F63:F64)</f>
        <v>888.11333333333334</v>
      </c>
      <c r="D71" s="94">
        <f>+D58</f>
        <v>400</v>
      </c>
      <c r="E71" s="99">
        <f>+C71/D71</f>
        <v>2.2202833333333332</v>
      </c>
      <c r="F71" s="33"/>
      <c r="G71" s="92"/>
      <c r="H71" s="35"/>
      <c r="I71" s="35"/>
      <c r="J71" s="18"/>
    </row>
    <row r="72" spans="2:13" x14ac:dyDescent="0.2">
      <c r="B72" s="93"/>
      <c r="C72" s="94"/>
      <c r="D72" s="94"/>
      <c r="E72" s="99"/>
      <c r="F72" s="33"/>
      <c r="G72" s="92"/>
      <c r="H72" s="35"/>
      <c r="I72" s="35"/>
      <c r="J72" s="18"/>
    </row>
    <row r="73" spans="2:13" ht="13.5" thickBot="1" x14ac:dyDescent="0.25">
      <c r="B73" s="93" t="s">
        <v>94</v>
      </c>
      <c r="C73" s="94">
        <f>+F65</f>
        <v>154</v>
      </c>
      <c r="D73" s="94">
        <f>+D58</f>
        <v>400</v>
      </c>
      <c r="E73" s="99">
        <f>+C73/D73</f>
        <v>0.38500000000000001</v>
      </c>
      <c r="F73" s="33"/>
      <c r="G73" s="92"/>
      <c r="H73" s="35"/>
      <c r="I73" s="35"/>
      <c r="J73" s="18"/>
    </row>
    <row r="74" spans="2:13" ht="13.5" thickBot="1" x14ac:dyDescent="0.25">
      <c r="B74" s="93" t="s">
        <v>95</v>
      </c>
      <c r="C74" s="94">
        <f>+F56</f>
        <v>154</v>
      </c>
      <c r="D74" s="94">
        <f>+D73</f>
        <v>400</v>
      </c>
      <c r="E74" s="95">
        <f>+C74/D74</f>
        <v>0.38500000000000001</v>
      </c>
      <c r="F74" s="33"/>
      <c r="G74" s="92"/>
      <c r="H74" s="35"/>
      <c r="I74" s="35"/>
      <c r="J74" s="18"/>
    </row>
    <row r="75" spans="2:13" ht="13.5" thickBot="1" x14ac:dyDescent="0.25">
      <c r="B75" s="57"/>
      <c r="C75" s="58"/>
      <c r="D75" s="58"/>
      <c r="E75" s="99"/>
      <c r="F75" s="33"/>
      <c r="G75" s="92"/>
      <c r="H75" s="35"/>
      <c r="I75" s="35"/>
      <c r="J75" s="18"/>
    </row>
    <row r="76" spans="2:13" ht="13.5" thickBot="1" x14ac:dyDescent="0.25">
      <c r="B76" s="93" t="s">
        <v>96</v>
      </c>
      <c r="C76" s="94">
        <f>+F54</f>
        <v>10.913333333333334</v>
      </c>
      <c r="D76" s="94">
        <f>+D74</f>
        <v>400</v>
      </c>
      <c r="E76" s="95">
        <f>+C76/D76</f>
        <v>2.7283333333333337E-2</v>
      </c>
      <c r="F76" s="33"/>
      <c r="G76" s="92"/>
      <c r="H76" s="35"/>
      <c r="I76" s="35"/>
      <c r="J76" s="35"/>
    </row>
    <row r="77" spans="2:13" ht="13.5" thickBot="1" x14ac:dyDescent="0.25">
      <c r="B77" s="57"/>
      <c r="C77" s="58"/>
      <c r="D77" s="58"/>
      <c r="E77" s="99"/>
      <c r="F77" s="33"/>
      <c r="G77" s="92"/>
      <c r="H77" s="35"/>
      <c r="I77" s="35"/>
    </row>
    <row r="78" spans="2:13" ht="13.5" thickBot="1" x14ac:dyDescent="0.25">
      <c r="B78" s="144" t="s">
        <v>97</v>
      </c>
      <c r="C78" s="145"/>
      <c r="D78" s="146"/>
      <c r="E78" s="95">
        <f>+E69+E74</f>
        <v>2.5350000000000001</v>
      </c>
      <c r="G78" s="33"/>
      <c r="H78" s="92"/>
      <c r="I78" s="35"/>
      <c r="J78" s="99"/>
    </row>
    <row r="79" spans="2:13" x14ac:dyDescent="0.2">
      <c r="I79" s="92"/>
      <c r="J79" s="18"/>
    </row>
    <row r="80" spans="2:13" ht="13.5" thickBot="1" x14ac:dyDescent="0.25">
      <c r="B80" s="143" t="s">
        <v>98</v>
      </c>
      <c r="C80" s="143"/>
      <c r="D80" s="143"/>
      <c r="E80" s="143"/>
      <c r="F80" s="143"/>
      <c r="G80" s="33"/>
      <c r="H80" s="92"/>
      <c r="J80" s="18"/>
    </row>
    <row r="81" spans="1:10" ht="13.5" thickBot="1" x14ac:dyDescent="0.25">
      <c r="B81" s="93" t="s">
        <v>92</v>
      </c>
      <c r="C81" s="94">
        <f>+C69</f>
        <v>860</v>
      </c>
      <c r="D81" s="94">
        <f>+D60</f>
        <v>1</v>
      </c>
      <c r="E81" s="95">
        <f>+C81/D81</f>
        <v>860</v>
      </c>
      <c r="F81" s="33"/>
      <c r="G81" s="92"/>
      <c r="H81" s="35"/>
      <c r="I81" s="92"/>
      <c r="J81" s="18"/>
    </row>
    <row r="82" spans="1:10" x14ac:dyDescent="0.2">
      <c r="B82" s="96"/>
      <c r="C82" s="97"/>
      <c r="D82" s="98"/>
      <c r="E82" s="81"/>
      <c r="F82" s="33"/>
      <c r="G82" s="92"/>
      <c r="H82" s="35"/>
      <c r="I82" s="35"/>
      <c r="J82" s="18"/>
    </row>
    <row r="83" spans="1:10" x14ac:dyDescent="0.2">
      <c r="B83" s="93" t="s">
        <v>93</v>
      </c>
      <c r="C83" s="94">
        <f>+C71</f>
        <v>888.11333333333334</v>
      </c>
      <c r="D83" s="94">
        <f>+D60</f>
        <v>1</v>
      </c>
      <c r="E83" s="99">
        <f>+C83/D83</f>
        <v>888.11333333333334</v>
      </c>
      <c r="F83" s="33"/>
      <c r="G83" s="92"/>
      <c r="H83" s="35"/>
      <c r="I83" s="35"/>
      <c r="J83" s="18"/>
    </row>
    <row r="84" spans="1:10" x14ac:dyDescent="0.2">
      <c r="B84" s="93"/>
      <c r="C84" s="94"/>
      <c r="D84" s="94"/>
      <c r="E84" s="99"/>
      <c r="F84" s="33"/>
      <c r="G84" s="92"/>
      <c r="H84" s="35"/>
      <c r="I84" s="35"/>
      <c r="J84" s="18"/>
    </row>
    <row r="85" spans="1:10" ht="13.5" thickBot="1" x14ac:dyDescent="0.25">
      <c r="B85" s="93" t="s">
        <v>95</v>
      </c>
      <c r="C85" s="94">
        <f>+C73</f>
        <v>154</v>
      </c>
      <c r="D85" s="94">
        <f>+D60</f>
        <v>1</v>
      </c>
      <c r="E85" s="99">
        <f>+C85/D85</f>
        <v>154</v>
      </c>
      <c r="F85" s="101"/>
      <c r="G85" s="91"/>
      <c r="H85" s="17"/>
      <c r="I85" s="35"/>
    </row>
    <row r="86" spans="1:10" ht="13.5" thickBot="1" x14ac:dyDescent="0.25">
      <c r="B86" s="93" t="s">
        <v>95</v>
      </c>
      <c r="C86" s="94">
        <f>+C74</f>
        <v>154</v>
      </c>
      <c r="D86" s="94">
        <f>+D85</f>
        <v>1</v>
      </c>
      <c r="E86" s="95">
        <f>+C86/D86</f>
        <v>154</v>
      </c>
      <c r="F86" s="100"/>
      <c r="G86" s="91"/>
      <c r="H86" s="17"/>
      <c r="I86" s="17"/>
    </row>
    <row r="87" spans="1:10" x14ac:dyDescent="0.2">
      <c r="I87" s="17"/>
    </row>
    <row r="88" spans="1:10" x14ac:dyDescent="0.2">
      <c r="A88" s="147"/>
      <c r="B88" s="147"/>
      <c r="C88" s="102"/>
      <c r="D88" s="102"/>
      <c r="E88" s="103"/>
      <c r="G88" s="104"/>
    </row>
    <row r="89" spans="1:10" x14ac:dyDescent="0.2">
      <c r="A89" s="36"/>
      <c r="B89" s="105"/>
      <c r="C89" s="106"/>
      <c r="D89" s="106"/>
      <c r="E89" s="107"/>
      <c r="G89" s="104"/>
    </row>
    <row r="90" spans="1:10" x14ac:dyDescent="0.2">
      <c r="A90" s="36"/>
      <c r="B90" s="105"/>
      <c r="C90" s="108"/>
      <c r="D90" s="108"/>
      <c r="E90" s="36"/>
      <c r="G90" s="104"/>
    </row>
    <row r="91" spans="1:10" x14ac:dyDescent="0.2">
      <c r="A91" s="36"/>
      <c r="B91" s="105"/>
      <c r="C91" s="109"/>
      <c r="D91" s="109"/>
      <c r="E91" s="36"/>
      <c r="G91" s="104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47E106A-8F15-463A-85B9-979C1EC99D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843EEF-6BDE-4FDE-9E63-7683EB02097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4EC03CD-0F8E-4068-A411-CCE539C639BE}"/>
</file>

<file path=customXml/itemProps4.xml><?xml version="1.0" encoding="utf-8"?>
<ds:datastoreItem xmlns:ds="http://schemas.openxmlformats.org/officeDocument/2006/customXml" ds:itemID="{9CA47816-AFB5-4B97-AB11-28FC0C0F9779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Empaque</vt:lpstr>
      <vt:lpstr>Costo </vt:lpstr>
      <vt:lpstr>Empaque!Área_de_impresión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2026-01-07T19:11:17Z</cp:lastPrinted>
  <dcterms:created xsi:type="dcterms:W3CDTF">2012-05-10T22:32:20Z</dcterms:created>
  <dcterms:modified xsi:type="dcterms:W3CDTF">2026-01-07T19:12:38Z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397000.000000000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</Properties>
</file>
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C9BBE568-1760-409B-B6DE-AB37A6BE6377}" xr6:coauthVersionLast="47" xr6:coauthVersionMax="47" xr10:uidLastSave="{D0820972-B745-4E4A-B53A-EDFB28DEBA16}"/>
  <bookViews>
    <workbookView xWindow="-120" yWindow="-120" windowWidth="20730" windowHeight="11040" xr2:uid="{0E74A515-377F-48BD-8D83-79DCC85D6C65}"/>
  </bookViews>
  <sheets>
    <sheet name="RECETA" sheetId="1" r:id="rId1"/>
    <sheet name="COSTO" sheetId="2" state="hidden" r:id="rId2"/>
  </sheets>
  <externalReferences>
    <externalReference r:id="rId3"/>
    <externalReference r:id="rId4"/>
  </externalReferences>
  <definedNames>
    <definedName name="_xlnm.Print_Area" localSheetId="0">RECETA!$A$1:$I$37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D44" i="2"/>
  <c r="B44" i="2"/>
  <c r="E41" i="2"/>
  <c r="F41" i="2" s="1"/>
  <c r="D41" i="2"/>
  <c r="B41" i="2"/>
  <c r="A41" i="2"/>
  <c r="C41" i="2" s="1"/>
  <c r="E40" i="2"/>
  <c r="F40" i="2" s="1"/>
  <c r="D40" i="2"/>
  <c r="B40" i="2"/>
  <c r="A40" i="2"/>
  <c r="C40" i="2" s="1"/>
  <c r="E39" i="2"/>
  <c r="D39" i="2"/>
  <c r="C39" i="2"/>
  <c r="B39" i="2"/>
  <c r="A39" i="2"/>
  <c r="A48" i="2" s="1"/>
  <c r="C48" i="2" s="1"/>
  <c r="E38" i="2"/>
  <c r="D38" i="2"/>
  <c r="B38" i="2"/>
  <c r="A38" i="2"/>
  <c r="A47" i="2" s="1"/>
  <c r="C47" i="2" s="1"/>
  <c r="E37" i="2"/>
  <c r="F37" i="2" s="1"/>
  <c r="D37" i="2"/>
  <c r="B37" i="2"/>
  <c r="A37" i="2"/>
  <c r="C37" i="2" s="1"/>
  <c r="E36" i="2"/>
  <c r="F36" i="2" s="1"/>
  <c r="D36" i="2"/>
  <c r="B36" i="2"/>
  <c r="A36" i="2"/>
  <c r="C36" i="2" s="1"/>
  <c r="E35" i="2"/>
  <c r="D35" i="2"/>
  <c r="B35" i="2"/>
  <c r="A35" i="2"/>
  <c r="A44" i="2" s="1"/>
  <c r="C44" i="2" s="1"/>
  <c r="E32" i="2"/>
  <c r="D32" i="2"/>
  <c r="C32" i="2"/>
  <c r="B32" i="2"/>
  <c r="E31" i="2"/>
  <c r="F31" i="2" s="1"/>
  <c r="D31" i="2"/>
  <c r="C31" i="2"/>
  <c r="B31" i="2"/>
  <c r="E30" i="2"/>
  <c r="D30" i="2"/>
  <c r="C30" i="2"/>
  <c r="B30" i="2"/>
  <c r="E29" i="2"/>
  <c r="D29" i="2"/>
  <c r="C29" i="2"/>
  <c r="B29" i="2"/>
  <c r="C28" i="2"/>
  <c r="E27" i="2"/>
  <c r="F27" i="2" s="1"/>
  <c r="D27" i="2"/>
  <c r="C27" i="2"/>
  <c r="B27" i="2"/>
  <c r="E24" i="2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E18" i="2"/>
  <c r="F18" i="2" s="1"/>
  <c r="D18" i="2"/>
  <c r="C18" i="2"/>
  <c r="B18" i="2"/>
  <c r="D17" i="2"/>
  <c r="C17" i="2"/>
  <c r="B17" i="2"/>
  <c r="B15" i="2"/>
  <c r="E14" i="2"/>
  <c r="D14" i="2"/>
  <c r="C14" i="2"/>
  <c r="B14" i="2"/>
  <c r="E13" i="2"/>
  <c r="F13" i="2" s="1"/>
  <c r="D13" i="2"/>
  <c r="C13" i="2"/>
  <c r="B13" i="2"/>
  <c r="E12" i="2"/>
  <c r="F12" i="2" s="1"/>
  <c r="D12" i="2"/>
  <c r="C12" i="2"/>
  <c r="B12" i="2"/>
  <c r="E11" i="2"/>
  <c r="F11" i="2" s="1"/>
  <c r="D11" i="2"/>
  <c r="C11" i="2"/>
  <c r="B11" i="2"/>
  <c r="E10" i="2"/>
  <c r="F10" i="2" s="1"/>
  <c r="D10" i="2"/>
  <c r="C10" i="2"/>
  <c r="B10" i="2"/>
  <c r="E9" i="2"/>
  <c r="D9" i="2"/>
  <c r="C9" i="2"/>
  <c r="B9" i="2"/>
  <c r="E8" i="2"/>
  <c r="D8" i="2"/>
  <c r="C8" i="2"/>
  <c r="B8" i="2"/>
  <c r="H6" i="2"/>
  <c r="K24" i="1"/>
  <c r="F48" i="2" l="1"/>
  <c r="F8" i="2"/>
  <c r="F14" i="2"/>
  <c r="D83" i="2"/>
  <c r="D81" i="2"/>
  <c r="F30" i="2"/>
  <c r="F32" i="2"/>
  <c r="F24" i="2"/>
  <c r="F39" i="2"/>
  <c r="C38" i="2"/>
  <c r="F38" i="2" s="1"/>
  <c r="F9" i="2"/>
  <c r="F29" i="2"/>
  <c r="F28" i="2"/>
  <c r="F44" i="2"/>
  <c r="C35" i="2"/>
  <c r="F35" i="2" s="1"/>
  <c r="F17" i="2"/>
  <c r="F47" i="2"/>
  <c r="C85" i="2"/>
  <c r="E85" i="2" s="1"/>
  <c r="E73" i="2"/>
  <c r="A46" i="2"/>
  <c r="C46" i="2" s="1"/>
  <c r="F46" i="2" s="1"/>
  <c r="A50" i="2"/>
  <c r="C50" i="2" s="1"/>
  <c r="F50" i="2" s="1"/>
  <c r="E51" i="2"/>
  <c r="F51" i="2" s="1"/>
  <c r="A45" i="2"/>
  <c r="C45" i="2" s="1"/>
  <c r="F45" i="2" s="1"/>
  <c r="A49" i="2"/>
  <c r="C49" i="2" s="1"/>
  <c r="F49" i="2" s="1"/>
  <c r="D25" i="1"/>
  <c r="F53" i="2" l="1"/>
  <c r="F64" i="2" s="1"/>
  <c r="F54" i="2"/>
  <c r="H54" i="2" s="1"/>
  <c r="G2" i="2" s="1"/>
  <c r="F56" i="2"/>
  <c r="H53" i="2" l="1"/>
  <c r="F2" i="2" s="1"/>
  <c r="C69" i="2"/>
  <c r="F55" i="2"/>
  <c r="O54" i="2" s="1"/>
  <c r="C76" i="2"/>
  <c r="E76" i="2" s="1"/>
  <c r="C74" i="2"/>
  <c r="H56" i="2"/>
  <c r="H2" i="2" s="1"/>
  <c r="E69" i="2"/>
  <c r="C81" i="2"/>
  <c r="E81" i="2" s="1"/>
  <c r="F63" i="2" l="1"/>
  <c r="F66" i="2" s="1"/>
  <c r="G63" i="2" s="1"/>
  <c r="H55" i="2"/>
  <c r="O56" i="2"/>
  <c r="O55" i="2"/>
  <c r="O58" i="2"/>
  <c r="E74" i="2"/>
  <c r="C86" i="2"/>
  <c r="E86" i="2" s="1"/>
  <c r="E63" i="2"/>
  <c r="C71" i="2" l="1"/>
  <c r="E71" i="2" s="1"/>
  <c r="E78" i="2"/>
  <c r="O57" i="2"/>
  <c r="O59" i="2" s="1"/>
  <c r="O60" i="2" s="1"/>
  <c r="O61" i="2" s="1"/>
  <c r="O62" i="2" s="1"/>
  <c r="C83" i="2"/>
  <c r="E83" i="2" s="1"/>
  <c r="G66" i="2"/>
  <c r="G11" i="2"/>
  <c r="G13" i="2"/>
  <c r="G32" i="2"/>
  <c r="G40" i="2"/>
  <c r="G37" i="2"/>
  <c r="G8" i="2"/>
  <c r="G19" i="2"/>
  <c r="G23" i="2"/>
  <c r="G31" i="2"/>
  <c r="G65" i="2"/>
  <c r="G36" i="2"/>
  <c r="G48" i="2"/>
  <c r="G17" i="2"/>
  <c r="G21" i="2"/>
  <c r="G27" i="2"/>
  <c r="G44" i="2"/>
  <c r="G18" i="2"/>
  <c r="G29" i="2"/>
  <c r="G35" i="2"/>
  <c r="G24" i="2"/>
  <c r="G14" i="2"/>
  <c r="G41" i="2"/>
  <c r="G10" i="2"/>
  <c r="G9" i="2"/>
  <c r="G20" i="2"/>
  <c r="G38" i="2"/>
  <c r="G28" i="2"/>
  <c r="G30" i="2"/>
  <c r="G39" i="2"/>
  <c r="G12" i="2"/>
  <c r="G22" i="2"/>
  <c r="G45" i="2"/>
  <c r="G50" i="2"/>
  <c r="G54" i="2"/>
  <c r="G51" i="2"/>
  <c r="G47" i="2"/>
  <c r="G46" i="2"/>
  <c r="G53" i="2"/>
  <c r="G49" i="2"/>
  <c r="G64" i="2"/>
  <c r="G55" i="2"/>
  <c r="G56" i="2"/>
  <c r="P62" i="2" l="1"/>
  <c r="E2" i="2"/>
</calcChain>
</file>

<file path=xl/sharedStrings.xml><?xml version="1.0" encoding="utf-8"?>
<sst xmlns="http://schemas.openxmlformats.org/spreadsheetml/2006/main" count="154" uniqueCount="105">
  <si>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</si>
  <si>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</si>
  <si>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</si>
  <si>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</si>
  <si>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</si>
  <si>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</si>
  <si>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</si>
  <si>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</si>
  <si>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</si>
  <si>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</si>
  <si>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</si>
  <si>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</si>
  <si>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</si>
  <si>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</si>
  <si>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</si>
  <si>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</si>
  <si>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</si>
  <si>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</si>
  <si>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</si>
  <si>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</si>
  <si>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</si>
  <si>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</si>
  <si>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</si>
  <si>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</si>
  <si>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</si>
  <si>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</si>
  <si>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</si>
  <si>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</si>
  <si>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</si>
  <si>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</si>
  <si>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 xml:space="preserve">Cocina </t>
  </si>
  <si>
    <t>Ud</t>
  </si>
  <si>
    <t>CONTROL DE CAMBIOS</t>
  </si>
  <si>
    <t>ud</t>
  </si>
  <si>
    <t>FAS</t>
  </si>
  <si>
    <t>1950702</t>
  </si>
  <si>
    <t>BOLSA 12x18 TRANSP (KILO)</t>
  </si>
  <si>
    <t>PLASTICOS P</t>
  </si>
  <si>
    <t>0702067</t>
  </si>
  <si>
    <t>ETIQ.BLANCA 1 13/16 * 1 7/8 (UND)</t>
  </si>
  <si>
    <t>0702007</t>
  </si>
  <si>
    <t>ETIQ.FECHA VENCIMIENTO BLANCO (ROLLO)</t>
  </si>
  <si>
    <t>2- Hacer nudo</t>
  </si>
  <si>
    <t xml:space="preserve">1- Colocar en una bolsa 12x18 2000g de pipian </t>
  </si>
  <si>
    <t>3- Etiquetar con nombre y fecha de vencimiento, mantener en refrigeración hasta su uso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</si>
  <si>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</si>
  <si>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</si>
  <si>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</si>
  <si>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</si>
  <si>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</si>
  <si>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</si>
  <si>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</si>
  <si>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</si>
  <si>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</si>
  <si>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</si>
  <si>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</si>
  <si>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</si>
  <si>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</si>
  <si>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</si>
  <si>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</si>
  <si>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</si>
  <si>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</si>
  <si>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</si>
  <si>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</si>
  <si>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</si>
  <si>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</si>
  <si>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</si>
  <si>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</si>
  <si>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</si>
  <si>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</si>
  <si>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</si>
  <si>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</si>
  <si>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</si>
  <si>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</si>
  <si>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</si>
  <si>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</si>
  <si>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</si>
  <si>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</si>
  <si>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</si>
  <si>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</si>
  <si>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</si>
  <si>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</si>
  <si>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</si>
  <si>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</si>
  <si>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</si>
  <si>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</si>
  <si>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</si>
  <si>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</si>
  <si>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</si>
  <si>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</si>
  <si>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</si>
  <si>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</si>
  <si>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</si>
  <si>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908000022</t>
  </si>
  <si>
    <t>Und</t>
  </si>
  <si>
    <t>Esteban Cartin, Gte Manufactura</t>
  </si>
  <si>
    <t>EM10120</t>
  </si>
  <si>
    <t>EM10004</t>
  </si>
  <si>
    <t>EM10016</t>
  </si>
  <si>
    <t>SE00554</t>
  </si>
  <si>
    <t>Empaque Pipian 2000g 909000005 (SE00560)</t>
  </si>
  <si>
    <t># Código Netsuite</t>
  </si>
  <si>
    <t>SALSA DE PIPIAN</t>
  </si>
  <si>
    <t>01</t>
  </si>
  <si>
    <t>ESP-RE-EMPS-089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</si>
</sst>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_([$€-2]* #,##0.00_);_([$€-2]* \(#,##0.00\);_([$€-2]* &quot;-&quot;??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i/>
      <sz val="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5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7" applyFont="1" applyFill="1" applyBorder="1" applyAlignment="1">
      <alignment horizontal="center" vertical="center"/>
    </xf>
    <xf numFmtId="43" fontId="8" fillId="0" borderId="0" xfId="7" applyFont="1" applyFill="1" applyBorder="1" applyAlignment="1">
      <alignment horizontal="center" vertical="center"/>
    </xf>
    <xf numFmtId="43" fontId="10" fillId="0" borderId="0" xfId="7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5" applyNumberFormat="1" applyFont="1" applyFill="1" applyAlignment="1">
      <alignment horizontal="center" vertical="center"/>
    </xf>
    <xf numFmtId="4" fontId="8" fillId="0" borderId="0" xfId="5" applyNumberFormat="1" applyFont="1" applyFill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2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7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7" applyNumberFormat="1" applyFont="1" applyFill="1" applyAlignment="1">
      <alignment vertical="center"/>
    </xf>
    <xf numFmtId="43" fontId="16" fillId="0" borderId="0" xfId="7" applyFont="1" applyFill="1" applyAlignment="1">
      <alignment horizontal="center" vertical="center"/>
    </xf>
    <xf numFmtId="10" fontId="9" fillId="7" borderId="37" xfId="2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7" xfId="0" applyFont="1" applyFill="1" applyBorder="1" applyAlignment="1">
      <alignment vertical="center"/>
    </xf>
    <xf numFmtId="43" fontId="16" fillId="7" borderId="38" xfId="7" applyFont="1" applyFill="1" applyBorder="1" applyAlignment="1">
      <alignment horizontal="center" vertical="center"/>
    </xf>
    <xf numFmtId="43" fontId="18" fillId="0" borderId="0" xfId="7" applyFont="1" applyFill="1" applyBorder="1" applyAlignment="1">
      <alignment horizontal="right"/>
    </xf>
    <xf numFmtId="0" fontId="7" fillId="7" borderId="38" xfId="0" applyFont="1" applyFill="1" applyBorder="1" applyAlignment="1">
      <alignment vertical="center"/>
    </xf>
    <xf numFmtId="10" fontId="9" fillId="7" borderId="38" xfId="2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2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7" applyNumberFormat="1" applyFont="1" applyFill="1" applyAlignment="1">
      <alignment vertical="center"/>
    </xf>
    <xf numFmtId="4" fontId="16" fillId="0" borderId="0" xfId="5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9" xfId="7" applyFont="1" applyFill="1" applyBorder="1" applyAlignment="1">
      <alignment horizontal="right"/>
    </xf>
    <xf numFmtId="43" fontId="22" fillId="0" borderId="0" xfId="7" applyFont="1" applyFill="1" applyBorder="1" applyAlignment="1">
      <alignment horizontal="right"/>
    </xf>
    <xf numFmtId="43" fontId="8" fillId="0" borderId="17" xfId="7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5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horizontal="right"/>
    </xf>
    <xf numFmtId="170" fontId="8" fillId="7" borderId="17" xfId="7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7" applyFont="1" applyFill="1" applyBorder="1" applyAlignment="1">
      <alignment vertical="center"/>
    </xf>
    <xf numFmtId="167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4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7" applyNumberFormat="1" applyFont="1" applyFill="1" applyBorder="1" applyAlignment="1">
      <alignment horizontal="center"/>
    </xf>
    <xf numFmtId="2" fontId="21" fillId="0" borderId="0" xfId="7" applyNumberFormat="1" applyFont="1" applyFill="1" applyBorder="1" applyAlignment="1">
      <alignment horizontal="center"/>
    </xf>
    <xf numFmtId="0" fontId="7" fillId="7" borderId="40" xfId="0" applyFont="1" applyFill="1" applyBorder="1" applyAlignment="1">
      <alignment vertical="center"/>
    </xf>
    <xf numFmtId="10" fontId="7" fillId="0" borderId="0" xfId="2" applyNumberFormat="1" applyFont="1" applyFill="1" applyAlignment="1">
      <alignment vertical="center"/>
    </xf>
    <xf numFmtId="4" fontId="7" fillId="0" borderId="0" xfId="7" applyNumberFormat="1" applyFont="1" applyFill="1" applyAlignment="1">
      <alignment vertical="center"/>
    </xf>
    <xf numFmtId="43" fontId="22" fillId="7" borderId="8" xfId="7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7" applyNumberFormat="1" applyFont="1" applyFill="1" applyAlignment="1">
      <alignment vertical="center"/>
    </xf>
    <xf numFmtId="10" fontId="9" fillId="0" borderId="0" xfId="2" applyNumberFormat="1" applyFont="1" applyFill="1" applyBorder="1" applyAlignment="1">
      <alignment vertical="center"/>
    </xf>
    <xf numFmtId="167" fontId="29" fillId="0" borderId="0" xfId="0" applyNumberFormat="1" applyFont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43" fontId="30" fillId="0" borderId="0" xfId="7" applyFont="1" applyFill="1" applyAlignment="1">
      <alignment vertical="center"/>
    </xf>
    <xf numFmtId="9" fontId="7" fillId="0" borderId="0" xfId="7" applyNumberFormat="1" applyFont="1" applyFill="1" applyAlignment="1">
      <alignment vertical="center"/>
    </xf>
    <xf numFmtId="4" fontId="31" fillId="0" borderId="0" xfId="5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8" fillId="10" borderId="39" xfId="7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7" applyFont="1" applyFill="1" applyAlignment="1">
      <alignment vertical="center"/>
    </xf>
    <xf numFmtId="9" fontId="32" fillId="0" borderId="0" xfId="7" applyNumberFormat="1" applyFont="1" applyFill="1" applyAlignment="1">
      <alignment vertical="center"/>
    </xf>
    <xf numFmtId="4" fontId="8" fillId="0" borderId="0" xfId="7" applyNumberFormat="1" applyFont="1" applyFill="1" applyAlignment="1">
      <alignment horizontal="center" vertical="center"/>
    </xf>
    <xf numFmtId="10" fontId="25" fillId="0" borderId="0" xfId="2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7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7" applyFont="1" applyFill="1" applyBorder="1"/>
    <xf numFmtId="10" fontId="25" fillId="0" borderId="0" xfId="2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7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7" fontId="8" fillId="0" borderId="0" xfId="0" applyNumberFormat="1" applyFont="1"/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8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5" applyNumberFormat="1" applyFont="1" applyFill="1" applyAlignment="1">
      <alignment horizontal="center" vertical="center" wrapText="1"/>
    </xf>
    <xf numFmtId="0" fontId="36" fillId="2" borderId="2" xfId="3" applyFont="1" applyFill="1" applyBorder="1" applyAlignment="1">
      <alignment horizontal="center" vertical="center"/>
    </xf>
    <xf numFmtId="14" fontId="36" fillId="2" borderId="0" xfId="3" applyNumberFormat="1" applyFont="1" applyFill="1" applyAlignment="1">
      <alignment horizontal="center" vertical="center" wrapText="1"/>
    </xf>
    <xf numFmtId="0" fontId="37" fillId="0" borderId="17" xfId="0" applyFont="1" applyBorder="1" applyAlignment="1">
      <alignment horizontal="center" vertical="top"/>
    </xf>
    <xf numFmtId="0" fontId="38" fillId="0" borderId="0" xfId="0" applyFont="1" applyAlignment="1">
      <alignment horizontal="center"/>
    </xf>
    <xf numFmtId="0" fontId="37" fillId="0" borderId="17" xfId="0" applyFont="1" applyBorder="1" applyAlignment="1">
      <alignment vertical="top"/>
    </xf>
    <xf numFmtId="0" fontId="39" fillId="4" borderId="17" xfId="0" applyFont="1" applyFill="1" applyBorder="1" applyAlignment="1">
      <alignment horizontal="center" vertical="center"/>
    </xf>
    <xf numFmtId="1" fontId="39" fillId="4" borderId="17" xfId="0" applyNumberFormat="1" applyFont="1" applyFill="1" applyBorder="1" applyAlignment="1">
      <alignment horizontal="center"/>
    </xf>
    <xf numFmtId="1" fontId="39" fillId="4" borderId="17" xfId="0" applyNumberFormat="1" applyFont="1" applyFill="1" applyBorder="1" applyAlignment="1">
      <alignment horizontal="center" wrapText="1"/>
    </xf>
    <xf numFmtId="1" fontId="39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4" borderId="24" xfId="0" applyFont="1" applyFill="1" applyBorder="1" applyAlignment="1">
      <alignment horizontal="center"/>
    </xf>
    <xf numFmtId="0" fontId="41" fillId="0" borderId="17" xfId="0" applyFont="1" applyBorder="1" applyAlignment="1">
      <alignment vertical="top"/>
    </xf>
    <xf numFmtId="0" fontId="37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vertical="center"/>
    </xf>
    <xf numFmtId="16" fontId="39" fillId="0" borderId="17" xfId="1" applyNumberFormat="1" applyFont="1" applyBorder="1" applyAlignment="1">
      <alignment horizontal="center" vertical="center"/>
    </xf>
    <xf numFmtId="1" fontId="39" fillId="0" borderId="17" xfId="1" applyNumberFormat="1" applyFont="1" applyBorder="1" applyAlignment="1">
      <alignment horizontal="center" vertical="center"/>
    </xf>
    <xf numFmtId="1" fontId="39" fillId="0" borderId="17" xfId="1" applyNumberFormat="1" applyFont="1" applyBorder="1" applyAlignment="1">
      <alignment horizontal="center" vertical="center" wrapText="1"/>
    </xf>
    <xf numFmtId="0" fontId="39" fillId="0" borderId="25" xfId="1" applyFont="1" applyBorder="1" applyAlignment="1">
      <alignment horizontal="center"/>
    </xf>
    <xf numFmtId="49" fontId="39" fillId="0" borderId="17" xfId="1" applyNumberFormat="1" applyFont="1" applyBorder="1"/>
    <xf numFmtId="16" fontId="39" fillId="0" borderId="17" xfId="1" applyNumberFormat="1" applyFont="1" applyBorder="1" applyAlignment="1">
      <alignment horizontal="center"/>
    </xf>
    <xf numFmtId="0" fontId="39" fillId="0" borderId="25" xfId="1" applyFont="1" applyBorder="1" applyAlignment="1">
      <alignment horizontal="center" vertical="center"/>
    </xf>
    <xf numFmtId="49" fontId="39" fillId="0" borderId="17" xfId="1" applyNumberFormat="1" applyFont="1" applyBorder="1" applyAlignment="1">
      <alignment vertical="center"/>
    </xf>
    <xf numFmtId="49" fontId="39" fillId="0" borderId="25" xfId="1" applyNumberFormat="1" applyFont="1" applyBorder="1" applyAlignment="1">
      <alignment horizontal="center"/>
    </xf>
    <xf numFmtId="49" fontId="39" fillId="0" borderId="16" xfId="1" applyNumberFormat="1" applyFont="1" applyBorder="1" applyAlignment="1">
      <alignment horizontal="center"/>
    </xf>
    <xf numFmtId="1" fontId="39" fillId="0" borderId="17" xfId="1" applyNumberFormat="1" applyFont="1" applyBorder="1" applyAlignment="1">
      <alignment horizontal="center"/>
    </xf>
    <xf numFmtId="1" fontId="39" fillId="0" borderId="17" xfId="1" applyNumberFormat="1" applyFont="1" applyBorder="1" applyAlignment="1">
      <alignment horizontal="center" wrapText="1"/>
    </xf>
    <xf numFmtId="49" fontId="39" fillId="4" borderId="25" xfId="0" applyNumberFormat="1" applyFont="1" applyFill="1" applyBorder="1" applyAlignment="1">
      <alignment horizontal="right"/>
    </xf>
    <xf numFmtId="49" fontId="39" fillId="4" borderId="16" xfId="0" applyNumberFormat="1" applyFont="1" applyFill="1" applyBorder="1" applyAlignment="1">
      <alignment horizontal="right"/>
    </xf>
    <xf numFmtId="49" fontId="39" fillId="4" borderId="17" xfId="0" applyNumberFormat="1" applyFont="1" applyFill="1" applyBorder="1"/>
    <xf numFmtId="0" fontId="39" fillId="0" borderId="17" xfId="0" applyFont="1" applyBorder="1"/>
    <xf numFmtId="0" fontId="39" fillId="0" borderId="24" xfId="0" applyFont="1" applyBorder="1" applyAlignment="1">
      <alignment horizontal="center"/>
    </xf>
    <xf numFmtId="0" fontId="39" fillId="0" borderId="25" xfId="0" quotePrefix="1" applyFont="1" applyBorder="1" applyAlignment="1">
      <alignment horizontal="right"/>
    </xf>
    <xf numFmtId="0" fontId="39" fillId="0" borderId="16" xfId="0" quotePrefix="1" applyFont="1" applyBorder="1" applyAlignment="1">
      <alignment horizontal="right"/>
    </xf>
    <xf numFmtId="0" fontId="39" fillId="0" borderId="17" xfId="0" quotePrefix="1" applyFont="1" applyBorder="1"/>
    <xf numFmtId="1" fontId="39" fillId="0" borderId="17" xfId="0" applyNumberFormat="1" applyFont="1" applyBorder="1" applyAlignment="1">
      <alignment horizontal="center" wrapText="1"/>
    </xf>
    <xf numFmtId="49" fontId="37" fillId="2" borderId="23" xfId="0" applyNumberFormat="1" applyFont="1" applyFill="1" applyBorder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1" fontId="39" fillId="2" borderId="0" xfId="0" applyNumberFormat="1" applyFont="1" applyFill="1" applyAlignment="1">
      <alignment horizontal="center"/>
    </xf>
    <xf numFmtId="165" fontId="39" fillId="2" borderId="0" xfId="0" applyNumberFormat="1" applyFont="1" applyFill="1" applyAlignment="1">
      <alignment horizontal="center" wrapText="1"/>
    </xf>
    <xf numFmtId="0" fontId="39" fillId="2" borderId="22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8" xfId="0" applyFont="1" applyFill="1" applyBorder="1"/>
    <xf numFmtId="0" fontId="40" fillId="3" borderId="8" xfId="0" applyFont="1" applyFill="1" applyBorder="1" applyAlignment="1">
      <alignment horizontal="center"/>
    </xf>
    <xf numFmtId="1" fontId="40" fillId="3" borderId="8" xfId="0" applyNumberFormat="1" applyFont="1" applyFill="1" applyBorder="1" applyAlignment="1">
      <alignment horizontal="center"/>
    </xf>
    <xf numFmtId="165" fontId="39" fillId="3" borderId="8" xfId="0" applyNumberFormat="1" applyFont="1" applyFill="1" applyBorder="1" applyAlignment="1">
      <alignment horizontal="center" wrapText="1"/>
    </xf>
    <xf numFmtId="0" fontId="39" fillId="3" borderId="7" xfId="0" applyFont="1" applyFill="1" applyBorder="1" applyAlignment="1">
      <alignment horizontal="center"/>
    </xf>
    <xf numFmtId="0" fontId="40" fillId="0" borderId="6" xfId="0" applyFont="1" applyBorder="1" applyAlignment="1">
      <alignment horizontal="right"/>
    </xf>
    <xf numFmtId="0" fontId="40" fillId="0" borderId="5" xfId="0" applyFont="1" applyBorder="1" applyAlignment="1">
      <alignment horizontal="right"/>
    </xf>
    <xf numFmtId="0" fontId="40" fillId="0" borderId="21" xfId="0" applyFont="1" applyBorder="1" applyAlignment="1">
      <alignment horizontal="right"/>
    </xf>
    <xf numFmtId="1" fontId="39" fillId="4" borderId="20" xfId="0" applyNumberFormat="1" applyFont="1" applyFill="1" applyBorder="1" applyAlignment="1">
      <alignment horizontal="center"/>
    </xf>
    <xf numFmtId="0" fontId="39" fillId="0" borderId="19" xfId="0" applyFont="1" applyBorder="1" applyAlignment="1">
      <alignment horizontal="center"/>
    </xf>
    <xf numFmtId="165" fontId="39" fillId="0" borderId="20" xfId="0" applyNumberFormat="1" applyFont="1" applyBorder="1" applyAlignment="1">
      <alignment horizontal="right"/>
    </xf>
    <xf numFmtId="0" fontId="39" fillId="2" borderId="19" xfId="0" applyFont="1" applyFill="1" applyBorder="1" applyAlignment="1">
      <alignment horizontal="center"/>
    </xf>
    <xf numFmtId="0" fontId="39" fillId="2" borderId="4" xfId="0" applyFont="1" applyFill="1" applyBorder="1" applyAlignment="1">
      <alignment horizontal="center"/>
    </xf>
    <xf numFmtId="0" fontId="40" fillId="0" borderId="18" xfId="0" applyFont="1" applyBorder="1" applyAlignment="1">
      <alignment horizontal="right"/>
    </xf>
    <xf numFmtId="0" fontId="40" fillId="0" borderId="33" xfId="0" applyFont="1" applyBorder="1" applyAlignment="1">
      <alignment horizontal="right"/>
    </xf>
    <xf numFmtId="0" fontId="40" fillId="0" borderId="16" xfId="0" applyFont="1" applyBorder="1" applyAlignment="1">
      <alignment horizontal="right"/>
    </xf>
    <xf numFmtId="0" fontId="40" fillId="4" borderId="17" xfId="0" applyFont="1" applyFill="1" applyBorder="1" applyAlignment="1">
      <alignment horizontal="center"/>
    </xf>
    <xf numFmtId="0" fontId="39" fillId="0" borderId="17" xfId="0" applyFont="1" applyBorder="1" applyAlignment="1">
      <alignment horizontal="right"/>
    </xf>
    <xf numFmtId="165" fontId="39" fillId="0" borderId="15" xfId="0" applyNumberFormat="1" applyFont="1" applyBorder="1" applyAlignment="1">
      <alignment horizontal="center"/>
    </xf>
    <xf numFmtId="165" fontId="39" fillId="0" borderId="14" xfId="0" applyNumberFormat="1" applyFont="1" applyBorder="1" applyAlignment="1">
      <alignment horizontal="center"/>
    </xf>
    <xf numFmtId="0" fontId="39" fillId="4" borderId="17" xfId="0" applyFont="1" applyFill="1" applyBorder="1" applyAlignment="1">
      <alignment horizontal="center"/>
    </xf>
    <xf numFmtId="165" fontId="39" fillId="0" borderId="15" xfId="0" applyNumberFormat="1" applyFont="1" applyBorder="1" applyAlignment="1">
      <alignment horizontal="center" wrapText="1"/>
    </xf>
    <xf numFmtId="165" fontId="39" fillId="0" borderId="33" xfId="0" applyNumberFormat="1" applyFont="1" applyBorder="1" applyAlignment="1">
      <alignment horizontal="center" wrapText="1"/>
    </xf>
    <xf numFmtId="165" fontId="39" fillId="0" borderId="14" xfId="0" applyNumberFormat="1" applyFont="1" applyBorder="1" applyAlignment="1">
      <alignment horizontal="center" wrapText="1"/>
    </xf>
    <xf numFmtId="0" fontId="40" fillId="0" borderId="13" xfId="0" applyFont="1" applyBorder="1" applyAlignment="1">
      <alignment horizontal="right"/>
    </xf>
    <xf numFmtId="0" fontId="40" fillId="0" borderId="41" xfId="0" applyFont="1" applyBorder="1" applyAlignment="1">
      <alignment horizontal="right"/>
    </xf>
    <xf numFmtId="0" fontId="40" fillId="0" borderId="12" xfId="0" applyFont="1" applyBorder="1" applyAlignment="1">
      <alignment horizontal="right"/>
    </xf>
    <xf numFmtId="1" fontId="39" fillId="4" borderId="12" xfId="0" applyNumberFormat="1" applyFont="1" applyFill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2" xfId="0" applyFont="1" applyBorder="1" applyAlignment="1">
      <alignment horizontal="right"/>
    </xf>
    <xf numFmtId="165" fontId="39" fillId="0" borderId="11" xfId="0" applyNumberFormat="1" applyFont="1" applyBorder="1" applyAlignment="1">
      <alignment horizontal="center"/>
    </xf>
    <xf numFmtId="165" fontId="39" fillId="0" borderId="10" xfId="0" applyNumberFormat="1" applyFont="1" applyBorder="1" applyAlignment="1">
      <alignment horizontal="center"/>
    </xf>
    <xf numFmtId="0" fontId="39" fillId="0" borderId="6" xfId="1" applyFont="1" applyBorder="1" applyAlignment="1">
      <alignment horizontal="left"/>
    </xf>
    <xf numFmtId="0" fontId="39" fillId="0" borderId="5" xfId="1" applyFont="1" applyBorder="1" applyAlignment="1">
      <alignment horizontal="left"/>
    </xf>
    <xf numFmtId="0" fontId="39" fillId="0" borderId="4" xfId="1" applyFont="1" applyBorder="1" applyAlignment="1">
      <alignment horizontal="left"/>
    </xf>
    <xf numFmtId="0" fontId="39" fillId="0" borderId="3" xfId="1" applyFont="1" applyBorder="1" applyAlignment="1">
      <alignment horizontal="left"/>
    </xf>
    <xf numFmtId="0" fontId="39" fillId="0" borderId="2" xfId="1" applyFont="1" applyBorder="1" applyAlignment="1">
      <alignment horizontal="left"/>
    </xf>
    <xf numFmtId="0" fontId="39" fillId="0" borderId="1" xfId="1" applyFont="1" applyBorder="1" applyAlignment="1">
      <alignment horizontal="left"/>
    </xf>
    <xf numFmtId="0" fontId="40" fillId="3" borderId="9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40" fillId="3" borderId="7" xfId="0" applyFont="1" applyFill="1" applyBorder="1" applyAlignment="1">
      <alignment horizontal="center"/>
    </xf>
    <xf numFmtId="0" fontId="40" fillId="3" borderId="30" xfId="1" applyFont="1" applyFill="1" applyBorder="1" applyAlignment="1">
      <alignment horizontal="center" vertical="center"/>
    </xf>
    <xf numFmtId="0" fontId="40" fillId="3" borderId="31" xfId="1" applyFont="1" applyFill="1" applyBorder="1" applyAlignment="1">
      <alignment horizontal="center" vertical="center"/>
    </xf>
    <xf numFmtId="0" fontId="40" fillId="3" borderId="32" xfId="1" applyFont="1" applyFill="1" applyBorder="1" applyAlignment="1">
      <alignment horizontal="center" vertical="center"/>
    </xf>
    <xf numFmtId="0" fontId="37" fillId="2" borderId="17" xfId="1" applyFont="1" applyFill="1" applyBorder="1" applyAlignment="1">
      <alignment horizontal="left" vertical="center"/>
    </xf>
    <xf numFmtId="0" fontId="42" fillId="5" borderId="17" xfId="3" applyFont="1" applyFill="1" applyBorder="1" applyAlignment="1">
      <alignment horizontal="center" vertical="center" wrapText="1"/>
    </xf>
  </cellXfs>
  <cellStyles count="8">
    <cellStyle name="Euro" xfId="6" xr:uid="{89DB03C0-8E7D-4CA1-A8DB-88CD75D469C8}"/>
    <cellStyle name="Millares" xfId="7" builtinId="3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107155</xdr:colOff>
      <xdr:row>0</xdr:row>
      <xdr:rowOff>142874</xdr:rowOff>
    </xdr:from>
    <xdr:to>
      <xdr:col>1</xdr:col>
      <xdr:colOff>927272</xdr:colOff>
      <xdr:row>4</xdr:row>
      <xdr:rowOff>11905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FDDFD6D9-CABE-4655-BB81-73BB3B72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142874"/>
          <a:ext cx="1939305" cy="833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>
        <row r="2">
          <cell r="A2" t="str">
            <v>42</v>
          </cell>
        </row>
      </sheetData>
      <sheetData sheetId="7" refreshError="1"/>
      <sheetData sheetId="8">
        <row r="2">
          <cell r="A2" t="str">
            <v>10261</v>
          </cell>
        </row>
      </sheetData>
      <sheetData sheetId="9">
        <row r="2">
          <cell r="A2" t="str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zoomScaleSheetLayoutView="80" workbookViewId="0">
      <selection activeCell="A36" sqref="A36:I36"/>
    </sheetView>
  </sheetViews>
  <sheetFormatPr baseColWidth="10" defaultColWidth="11.42578125" defaultRowHeight="12.75" x14ac:dyDescent="0.2"/>
  <cols>
    <col min="1" max="1" width="16.85546875" style="1" bestFit="1" customWidth="1"/>
    <col min="2" max="2" width="15" style="1" customWidth="1"/>
    <col min="3" max="3" width="65.85546875" style="1" customWidth="1"/>
    <col min="4" max="4" width="20.85546875" style="1" bestFit="1" customWidth="1"/>
    <col min="5" max="5" width="11.42578125" style="1"/>
    <col min="6" max="6" width="13.140625" style="1" customWidth="1"/>
    <col min="7" max="7" width="12.5703125" style="1" customWidth="1"/>
    <col min="8" max="8" width="14.7109375" style="1" customWidth="1"/>
    <col min="9" max="9" width="17.5703125" style="1" customWidth="1"/>
    <col min="10" max="16384" width="11.42578125" style="1"/>
  </cols>
  <sheetData>
    <row r="1" spans="1:9" ht="18" x14ac:dyDescent="0.25">
      <c r="A1" s="116"/>
      <c r="B1" s="117"/>
      <c r="C1" s="134" t="s">
        <v>26</v>
      </c>
      <c r="D1" s="134"/>
      <c r="E1" s="134"/>
      <c r="F1" s="134"/>
      <c r="G1" s="134"/>
      <c r="H1" s="18" t="s">
        <v>25</v>
      </c>
      <c r="I1" s="17" t="s">
        <v>104</v>
      </c>
    </row>
    <row r="2" spans="1:9" ht="18" x14ac:dyDescent="0.25">
      <c r="A2" s="118"/>
      <c r="B2" s="119"/>
      <c r="C2" s="135" t="s">
        <v>24</v>
      </c>
      <c r="D2" s="135"/>
      <c r="E2" s="135"/>
      <c r="F2" s="135"/>
      <c r="G2" s="135"/>
      <c r="H2" s="16" t="s">
        <v>23</v>
      </c>
      <c r="I2" s="15" t="s">
        <v>103</v>
      </c>
    </row>
    <row r="3" spans="1:9" ht="26.25" customHeight="1" x14ac:dyDescent="0.2">
      <c r="A3" s="118"/>
      <c r="B3" s="119"/>
      <c r="C3" s="257" t="s">
        <v>100</v>
      </c>
      <c r="D3" s="257"/>
      <c r="E3" s="257"/>
      <c r="F3" s="257"/>
      <c r="G3" s="257"/>
      <c r="H3" s="136" t="s">
        <v>22</v>
      </c>
      <c r="I3" s="130">
        <v>45945</v>
      </c>
    </row>
    <row r="4" spans="1:9" ht="14.45" customHeight="1" x14ac:dyDescent="0.2">
      <c r="A4" s="118"/>
      <c r="B4" s="119"/>
      <c r="C4" s="14" t="s">
        <v>21</v>
      </c>
      <c r="D4" s="132" t="s">
        <v>29</v>
      </c>
      <c r="E4" s="132"/>
      <c r="F4" s="132"/>
      <c r="G4" s="132"/>
      <c r="H4" s="136"/>
      <c r="I4" s="130"/>
    </row>
    <row r="5" spans="1:9" ht="15" customHeight="1" thickBot="1" x14ac:dyDescent="0.25">
      <c r="A5" s="120"/>
      <c r="B5" s="121"/>
      <c r="C5" s="13" t="s">
        <v>20</v>
      </c>
      <c r="D5" s="133" t="s">
        <v>95</v>
      </c>
      <c r="E5" s="133"/>
      <c r="F5" s="133"/>
      <c r="G5" s="133"/>
      <c r="H5" s="137"/>
      <c r="I5" s="131"/>
    </row>
    <row r="6" spans="1:9" hidden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122" t="s">
        <v>19</v>
      </c>
      <c r="B7" s="122"/>
      <c r="C7" s="122"/>
      <c r="D7" s="169" t="s">
        <v>30</v>
      </c>
      <c r="E7" s="169"/>
      <c r="F7" s="169"/>
      <c r="G7" s="123" t="s">
        <v>18</v>
      </c>
      <c r="H7" s="123"/>
      <c r="I7" s="170" t="s">
        <v>28</v>
      </c>
    </row>
    <row r="8" spans="1:9" ht="25.5" x14ac:dyDescent="0.2">
      <c r="A8" s="124" t="s">
        <v>17</v>
      </c>
      <c r="B8" s="128" t="s">
        <v>101</v>
      </c>
      <c r="C8" s="126" t="s">
        <v>16</v>
      </c>
      <c r="D8" s="126" t="s">
        <v>15</v>
      </c>
      <c r="E8" s="126" t="s">
        <v>14</v>
      </c>
      <c r="F8" s="126"/>
      <c r="G8" s="126" t="s">
        <v>13</v>
      </c>
      <c r="H8" s="126"/>
      <c r="I8" s="7" t="s">
        <v>12</v>
      </c>
    </row>
    <row r="9" spans="1:9" ht="27" customHeight="1" thickBot="1" x14ac:dyDescent="0.25">
      <c r="A9" s="125"/>
      <c r="B9" s="129"/>
      <c r="C9" s="127"/>
      <c r="D9" s="127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71">
        <v>908000022</v>
      </c>
      <c r="B10" s="172" t="s">
        <v>99</v>
      </c>
      <c r="C10" s="173" t="s">
        <v>102</v>
      </c>
      <c r="D10" s="174" t="s">
        <v>34</v>
      </c>
      <c r="E10" s="175">
        <v>2000</v>
      </c>
      <c r="F10" s="176" t="s">
        <v>1</v>
      </c>
      <c r="G10" s="177"/>
      <c r="H10" s="178"/>
      <c r="I10" s="179"/>
    </row>
    <row r="11" spans="1:9" ht="20.25" x14ac:dyDescent="0.3">
      <c r="A11" s="171"/>
      <c r="B11" s="171"/>
      <c r="C11" s="173"/>
      <c r="D11" s="174"/>
      <c r="E11" s="175"/>
      <c r="F11" s="176"/>
      <c r="G11" s="177"/>
      <c r="H11" s="178"/>
      <c r="I11" s="179"/>
    </row>
    <row r="12" spans="1:9" ht="20.25" x14ac:dyDescent="0.3">
      <c r="A12" s="171"/>
      <c r="B12" s="171"/>
      <c r="C12" s="173"/>
      <c r="D12" s="174"/>
      <c r="E12" s="175"/>
      <c r="F12" s="176"/>
      <c r="G12" s="177"/>
      <c r="H12" s="178"/>
      <c r="I12" s="179"/>
    </row>
    <row r="13" spans="1:9" ht="20.25" x14ac:dyDescent="0.3">
      <c r="A13" s="171"/>
      <c r="B13" s="171"/>
      <c r="C13" s="173"/>
      <c r="D13" s="174"/>
      <c r="E13" s="175"/>
      <c r="F13" s="176"/>
      <c r="G13" s="177"/>
      <c r="H13" s="178"/>
      <c r="I13" s="179"/>
    </row>
    <row r="14" spans="1:9" ht="20.25" x14ac:dyDescent="0.3">
      <c r="A14" s="171"/>
      <c r="B14" s="171"/>
      <c r="C14" s="180" t="s">
        <v>28</v>
      </c>
      <c r="D14" s="174"/>
      <c r="E14" s="175"/>
      <c r="F14" s="176"/>
      <c r="G14" s="177"/>
      <c r="H14" s="178"/>
      <c r="I14" s="179"/>
    </row>
    <row r="15" spans="1:9" ht="20.25" x14ac:dyDescent="0.3">
      <c r="A15" s="181">
        <v>702067</v>
      </c>
      <c r="B15" s="181" t="s">
        <v>96</v>
      </c>
      <c r="C15" s="182" t="s">
        <v>39</v>
      </c>
      <c r="D15" s="183" t="s">
        <v>27</v>
      </c>
      <c r="E15" s="184">
        <v>1</v>
      </c>
      <c r="F15" s="185" t="s">
        <v>33</v>
      </c>
      <c r="G15" s="177"/>
      <c r="H15" s="178"/>
      <c r="I15" s="179"/>
    </row>
    <row r="16" spans="1:9" ht="20.25" x14ac:dyDescent="0.3">
      <c r="A16" s="186">
        <v>702007</v>
      </c>
      <c r="B16" s="181" t="s">
        <v>97</v>
      </c>
      <c r="C16" s="187" t="s">
        <v>41</v>
      </c>
      <c r="D16" s="188" t="s">
        <v>27</v>
      </c>
      <c r="E16" s="184">
        <v>1</v>
      </c>
      <c r="F16" s="185" t="s">
        <v>33</v>
      </c>
      <c r="G16" s="177"/>
      <c r="H16" s="178"/>
      <c r="I16" s="179"/>
    </row>
    <row r="17" spans="1:13" ht="20.25" x14ac:dyDescent="0.3">
      <c r="A17" s="189">
        <v>1950702</v>
      </c>
      <c r="B17" s="181" t="s">
        <v>98</v>
      </c>
      <c r="C17" s="190" t="s">
        <v>36</v>
      </c>
      <c r="D17" s="183" t="s">
        <v>37</v>
      </c>
      <c r="E17" s="184">
        <v>1</v>
      </c>
      <c r="F17" s="185" t="s">
        <v>33</v>
      </c>
      <c r="G17" s="177"/>
      <c r="H17" s="178"/>
      <c r="I17" s="179"/>
    </row>
    <row r="18" spans="1:13" ht="20.25" x14ac:dyDescent="0.3">
      <c r="A18" s="191"/>
      <c r="B18" s="192"/>
      <c r="C18" s="187"/>
      <c r="D18" s="188"/>
      <c r="E18" s="193"/>
      <c r="F18" s="194"/>
      <c r="G18" s="177"/>
      <c r="H18" s="178"/>
      <c r="I18" s="179"/>
    </row>
    <row r="19" spans="1:13" ht="20.25" x14ac:dyDescent="0.3">
      <c r="A19" s="195"/>
      <c r="B19" s="196"/>
      <c r="C19" s="197"/>
      <c r="D19" s="198"/>
      <c r="E19" s="178"/>
      <c r="F19" s="178"/>
      <c r="G19" s="177"/>
      <c r="H19" s="178"/>
      <c r="I19" s="199"/>
    </row>
    <row r="20" spans="1:13" ht="20.25" x14ac:dyDescent="0.3">
      <c r="A20" s="200"/>
      <c r="B20" s="201"/>
      <c r="C20" s="202"/>
      <c r="D20" s="198"/>
      <c r="E20" s="203"/>
      <c r="F20" s="203"/>
      <c r="G20" s="203"/>
      <c r="H20" s="203"/>
      <c r="I20" s="199"/>
    </row>
    <row r="21" spans="1:13" ht="21" thickBot="1" x14ac:dyDescent="0.35">
      <c r="A21" s="204"/>
      <c r="B21" s="205"/>
      <c r="C21" s="206"/>
      <c r="D21" s="206"/>
      <c r="E21" s="207"/>
      <c r="F21" s="208"/>
      <c r="G21" s="206"/>
      <c r="H21" s="206"/>
      <c r="I21" s="209"/>
      <c r="L21" s="2"/>
    </row>
    <row r="22" spans="1:13" ht="21" thickBot="1" x14ac:dyDescent="0.35">
      <c r="A22" s="210"/>
      <c r="B22" s="211"/>
      <c r="C22" s="212"/>
      <c r="D22" s="213" t="s">
        <v>9</v>
      </c>
      <c r="E22" s="214" t="s">
        <v>8</v>
      </c>
      <c r="F22" s="215"/>
      <c r="G22" s="212"/>
      <c r="H22" s="212"/>
      <c r="I22" s="216"/>
      <c r="L22" s="2"/>
    </row>
    <row r="23" spans="1:13" ht="20.25" x14ac:dyDescent="0.3">
      <c r="A23" s="217" t="s">
        <v>7</v>
      </c>
      <c r="B23" s="218"/>
      <c r="C23" s="219"/>
      <c r="D23" s="220">
        <v>2000</v>
      </c>
      <c r="E23" s="221" t="s">
        <v>1</v>
      </c>
      <c r="F23" s="222"/>
      <c r="G23" s="222"/>
      <c r="H23" s="223"/>
      <c r="I23" s="224"/>
      <c r="L23" s="2"/>
    </row>
    <row r="24" spans="1:13" ht="20.25" x14ac:dyDescent="0.3">
      <c r="A24" s="225" t="s">
        <v>6</v>
      </c>
      <c r="B24" s="226"/>
      <c r="C24" s="227"/>
      <c r="D24" s="228">
        <v>1</v>
      </c>
      <c r="E24" s="178" t="s">
        <v>5</v>
      </c>
      <c r="F24" s="229"/>
      <c r="G24" s="229"/>
      <c r="H24" s="230"/>
      <c r="I24" s="231"/>
      <c r="K24" s="1">
        <f>1/2</f>
        <v>0.5</v>
      </c>
      <c r="L24" s="2"/>
    </row>
    <row r="25" spans="1:13" ht="20.25" x14ac:dyDescent="0.3">
      <c r="A25" s="225" t="s">
        <v>4</v>
      </c>
      <c r="B25" s="226"/>
      <c r="C25" s="227"/>
      <c r="D25" s="232">
        <f>D23/D26</f>
        <v>1</v>
      </c>
      <c r="E25" s="178" t="s">
        <v>31</v>
      </c>
      <c r="F25" s="229"/>
      <c r="G25" s="229"/>
      <c r="H25" s="230"/>
      <c r="I25" s="231"/>
      <c r="L25" s="2"/>
    </row>
    <row r="26" spans="1:13" ht="20.25" x14ac:dyDescent="0.3">
      <c r="A26" s="225" t="s">
        <v>3</v>
      </c>
      <c r="B26" s="226"/>
      <c r="C26" s="227"/>
      <c r="D26" s="175">
        <v>2000</v>
      </c>
      <c r="E26" s="178" t="s">
        <v>1</v>
      </c>
      <c r="F26" s="233"/>
      <c r="G26" s="234"/>
      <c r="H26" s="234"/>
      <c r="I26" s="235"/>
      <c r="L26" s="2"/>
      <c r="M26" s="3"/>
    </row>
    <row r="27" spans="1:13" ht="21" thickBot="1" x14ac:dyDescent="0.35">
      <c r="A27" s="236" t="s">
        <v>2</v>
      </c>
      <c r="B27" s="237"/>
      <c r="C27" s="238"/>
      <c r="D27" s="239">
        <v>0</v>
      </c>
      <c r="E27" s="240" t="s">
        <v>1</v>
      </c>
      <c r="F27" s="241"/>
      <c r="G27" s="241"/>
      <c r="H27" s="242"/>
      <c r="I27" s="243"/>
      <c r="L27" s="2"/>
    </row>
    <row r="28" spans="1:13" ht="21" thickBot="1" x14ac:dyDescent="0.35">
      <c r="A28" s="250" t="s">
        <v>0</v>
      </c>
      <c r="B28" s="251"/>
      <c r="C28" s="251"/>
      <c r="D28" s="251"/>
      <c r="E28" s="251"/>
      <c r="F28" s="251"/>
      <c r="G28" s="251"/>
      <c r="H28" s="251"/>
      <c r="I28" s="252"/>
    </row>
    <row r="29" spans="1:13" ht="20.25" x14ac:dyDescent="0.3">
      <c r="A29" s="244" t="s">
        <v>43</v>
      </c>
      <c r="B29" s="245"/>
      <c r="C29" s="245"/>
      <c r="D29" s="245"/>
      <c r="E29" s="245"/>
      <c r="F29" s="245"/>
      <c r="G29" s="245"/>
      <c r="H29" s="245"/>
      <c r="I29" s="246"/>
    </row>
    <row r="30" spans="1:13" ht="20.25" x14ac:dyDescent="0.3">
      <c r="A30" s="244" t="s">
        <v>42</v>
      </c>
      <c r="B30" s="245"/>
      <c r="C30" s="245"/>
      <c r="D30" s="245"/>
      <c r="E30" s="245"/>
      <c r="F30" s="245"/>
      <c r="G30" s="245"/>
      <c r="H30" s="245"/>
      <c r="I30" s="246"/>
    </row>
    <row r="31" spans="1:13" ht="20.25" x14ac:dyDescent="0.3">
      <c r="A31" s="244" t="s">
        <v>44</v>
      </c>
      <c r="B31" s="245"/>
      <c r="C31" s="245"/>
      <c r="D31" s="245"/>
      <c r="E31" s="245"/>
      <c r="F31" s="245"/>
      <c r="G31" s="245"/>
      <c r="H31" s="245"/>
      <c r="I31" s="246"/>
    </row>
    <row r="32" spans="1:13" ht="20.25" x14ac:dyDescent="0.3">
      <c r="A32" s="244"/>
      <c r="B32" s="245"/>
      <c r="C32" s="245"/>
      <c r="D32" s="245"/>
      <c r="E32" s="245"/>
      <c r="F32" s="245"/>
      <c r="G32" s="245"/>
      <c r="H32" s="245"/>
      <c r="I32" s="246"/>
    </row>
    <row r="33" spans="1:9" ht="20.25" x14ac:dyDescent="0.3">
      <c r="A33" s="244"/>
      <c r="B33" s="245"/>
      <c r="C33" s="245"/>
      <c r="D33" s="245"/>
      <c r="E33" s="245"/>
      <c r="F33" s="245"/>
      <c r="G33" s="245"/>
      <c r="H33" s="245"/>
      <c r="I33" s="246"/>
    </row>
    <row r="34" spans="1:9" ht="20.25" x14ac:dyDescent="0.3">
      <c r="A34" s="244"/>
      <c r="B34" s="245"/>
      <c r="C34" s="245"/>
      <c r="D34" s="245"/>
      <c r="E34" s="245"/>
      <c r="F34" s="245"/>
      <c r="G34" s="245"/>
      <c r="H34" s="245"/>
      <c r="I34" s="246"/>
    </row>
    <row r="35" spans="1:9" ht="21" thickBot="1" x14ac:dyDescent="0.35">
      <c r="A35" s="247"/>
      <c r="B35" s="248"/>
      <c r="C35" s="248"/>
      <c r="D35" s="248"/>
      <c r="E35" s="248"/>
      <c r="F35" s="248"/>
      <c r="G35" s="248"/>
      <c r="H35" s="248"/>
      <c r="I35" s="249"/>
    </row>
    <row r="36" spans="1:9" ht="20.25" x14ac:dyDescent="0.2">
      <c r="A36" s="253" t="s">
        <v>32</v>
      </c>
      <c r="B36" s="254"/>
      <c r="C36" s="254"/>
      <c r="D36" s="254"/>
      <c r="E36" s="254"/>
      <c r="F36" s="254"/>
      <c r="G36" s="254"/>
      <c r="H36" s="254"/>
      <c r="I36" s="255"/>
    </row>
    <row r="37" spans="1:9" ht="20.25" x14ac:dyDescent="0.2">
      <c r="A37" s="256"/>
      <c r="B37" s="256"/>
      <c r="C37" s="256"/>
      <c r="D37" s="256"/>
      <c r="E37" s="256"/>
      <c r="F37" s="256"/>
      <c r="G37" s="256"/>
      <c r="H37" s="256"/>
      <c r="I37" s="256"/>
    </row>
    <row r="38" spans="1:9" ht="20.25" x14ac:dyDescent="0.2">
      <c r="A38" s="256"/>
      <c r="B38" s="256"/>
      <c r="C38" s="256"/>
      <c r="D38" s="256"/>
      <c r="E38" s="256"/>
      <c r="F38" s="256"/>
      <c r="G38" s="256"/>
      <c r="H38" s="256"/>
      <c r="I38" s="256"/>
    </row>
    <row r="39" spans="1:9" ht="20.25" x14ac:dyDescent="0.2">
      <c r="A39" s="256"/>
      <c r="B39" s="256"/>
      <c r="C39" s="256"/>
      <c r="D39" s="256"/>
      <c r="E39" s="256"/>
      <c r="F39" s="256"/>
      <c r="G39" s="256"/>
      <c r="H39" s="256"/>
      <c r="I39" s="256"/>
    </row>
  </sheetData>
  <mergeCells count="44">
    <mergeCell ref="A37:I37"/>
    <mergeCell ref="A38:I38"/>
    <mergeCell ref="A39:I39"/>
    <mergeCell ref="A31:I31"/>
    <mergeCell ref="F27:G27"/>
    <mergeCell ref="H27:I27"/>
    <mergeCell ref="A28:I28"/>
    <mergeCell ref="A29:I29"/>
    <mergeCell ref="A30:I30"/>
    <mergeCell ref="F26:G26"/>
    <mergeCell ref="H26:I26"/>
    <mergeCell ref="I3:I5"/>
    <mergeCell ref="D4:G4"/>
    <mergeCell ref="D5:G5"/>
    <mergeCell ref="C1:G1"/>
    <mergeCell ref="C2:G2"/>
    <mergeCell ref="C3:G3"/>
    <mergeCell ref="H3:H5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A36:I36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A35:I35"/>
    <mergeCell ref="A27:C27"/>
    <mergeCell ref="A33:I33"/>
    <mergeCell ref="A32:I32"/>
    <mergeCell ref="A34:I34"/>
  </mergeCells>
  <printOptions horizontalCentered="1"/>
  <pageMargins left="0.7" right="0.7" top="0.75" bottom="0.75" header="0.3" footer="0.3"/>
  <pageSetup scale="48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C375-9D74-44F2-B42F-27E82478E189}">
  <dimension ref="A1:Q91"/>
  <sheetViews>
    <sheetView topLeftCell="A57" workbookViewId="0">
      <selection activeCell="M68" sqref="M68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5" bestFit="1" customWidth="1"/>
    <col min="8" max="8" width="10.42578125" style="106" bestFit="1" customWidth="1"/>
    <col min="9" max="9" width="4.5703125" style="106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45</v>
      </c>
      <c r="F1" s="21" t="s">
        <v>46</v>
      </c>
      <c r="G1" s="21" t="s">
        <v>47</v>
      </c>
      <c r="H1" s="21" t="s">
        <v>48</v>
      </c>
      <c r="I1" s="22"/>
    </row>
    <row r="2" spans="1:10" ht="30.75" customHeight="1" x14ac:dyDescent="0.25">
      <c r="A2" s="19"/>
      <c r="B2" s="19"/>
      <c r="C2" s="19"/>
      <c r="D2" s="19"/>
      <c r="E2" s="25">
        <f>IFERROR(O62,"")</f>
        <v>5858.9731309167055</v>
      </c>
      <c r="F2" s="25">
        <f>IFERROR(H53,"")</f>
        <v>4380</v>
      </c>
      <c r="G2" s="25">
        <f>IFERROR(H54,"")</f>
        <v>25.242955576470589</v>
      </c>
      <c r="H2" s="25">
        <f>IFERROR(H56,"")</f>
        <v>155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139"/>
      <c r="B4" s="139"/>
      <c r="C4" s="139"/>
      <c r="D4" s="139"/>
      <c r="E4" s="139"/>
      <c r="F4" s="139"/>
      <c r="G4" s="139"/>
      <c r="H4" s="139"/>
      <c r="I4" s="28"/>
    </row>
    <row r="5" spans="1:10" ht="19.5" customHeight="1" thickBot="1" x14ac:dyDescent="0.3">
      <c r="A5" s="140" t="s">
        <v>49</v>
      </c>
      <c r="B5" s="141"/>
      <c r="C5" s="141"/>
      <c r="D5" s="141"/>
      <c r="E5" s="141"/>
      <c r="F5" s="141"/>
      <c r="G5" s="141"/>
      <c r="H5" s="142"/>
      <c r="I5" s="29"/>
    </row>
    <row r="6" spans="1:10" ht="19.5" thickBot="1" x14ac:dyDescent="0.3">
      <c r="A6" s="29"/>
      <c r="B6" s="29"/>
      <c r="C6" s="29"/>
      <c r="D6" s="29"/>
      <c r="E6" s="29"/>
      <c r="F6" s="143" t="s">
        <v>50</v>
      </c>
      <c r="G6" s="143"/>
      <c r="H6" s="30">
        <f ca="1">TODAY()</f>
        <v>45945</v>
      </c>
      <c r="I6" s="30"/>
    </row>
    <row r="7" spans="1:10" ht="26.25" hidden="1" thickBot="1" x14ac:dyDescent="0.3">
      <c r="A7" s="31" t="s">
        <v>51</v>
      </c>
      <c r="B7" s="32" t="s">
        <v>52</v>
      </c>
      <c r="C7" s="32" t="s">
        <v>51</v>
      </c>
      <c r="D7" s="33" t="s">
        <v>53</v>
      </c>
      <c r="E7" s="33" t="s">
        <v>54</v>
      </c>
      <c r="F7" s="33" t="s">
        <v>55</v>
      </c>
      <c r="G7" s="33" t="s">
        <v>56</v>
      </c>
      <c r="H7" s="34" t="s">
        <v>57</v>
      </c>
      <c r="I7" s="35"/>
    </row>
    <row r="8" spans="1:10" ht="13.5" hidden="1" x14ac:dyDescent="0.25">
      <c r="A8" s="36"/>
      <c r="B8" s="24" t="str">
        <f>IFERROR(VLOOKUP(H8,'[1]Consolidado MP Planta'!$A$2:$M$823,3,0),"")</f>
        <v/>
      </c>
      <c r="C8" s="37">
        <f>+A8</f>
        <v>0</v>
      </c>
      <c r="D8" s="38" t="str">
        <f>IFERROR(VLOOKUP(H8,'[1]Consolidado MP Planta'!$A$2:$M$823,13,0),"")</f>
        <v/>
      </c>
      <c r="E8" s="38" t="str">
        <f>IFERROR(VLOOKUP(H8,'[1]Consolidado MP Planta'!$A$2:$M$823,12,0),"")</f>
        <v/>
      </c>
      <c r="F8" s="38" t="str">
        <f>IFERROR(C8*E8,"")</f>
        <v/>
      </c>
      <c r="G8" s="39" t="str">
        <f t="shared" ref="G8:G14" si="0">IFERROR(F8/$F$66,"")</f>
        <v/>
      </c>
      <c r="H8" s="40"/>
      <c r="I8" s="40"/>
      <c r="J8" s="41"/>
    </row>
    <row r="9" spans="1:10" ht="13.5" hidden="1" x14ac:dyDescent="0.25">
      <c r="A9" s="36"/>
      <c r="B9" s="24" t="str">
        <f>IFERROR(VLOOKUP(H9,'[1]Consolidado MP Planta'!$A$2:$M$823,3,0),"")</f>
        <v/>
      </c>
      <c r="C9" s="37">
        <f t="shared" ref="C9:C14" si="1">+A9</f>
        <v>0</v>
      </c>
      <c r="D9" s="38" t="str">
        <f>IFERROR(VLOOKUP(H9,'[1]Consolidado MP Planta'!$A$2:$M$823,13,0),"")</f>
        <v/>
      </c>
      <c r="E9" s="38" t="str">
        <f>IFERROR(VLOOKUP(H9,'[1]Consolidado MP Planta'!$A$2:$M$823,12,0),"")</f>
        <v/>
      </c>
      <c r="F9" s="38" t="str">
        <f t="shared" ref="F9:F14" si="2">IFERROR(C9*E9,"")</f>
        <v/>
      </c>
      <c r="G9" s="39" t="str">
        <f t="shared" si="0"/>
        <v/>
      </c>
      <c r="H9" s="40"/>
      <c r="I9" s="40"/>
      <c r="J9" s="41"/>
    </row>
    <row r="10" spans="1:10" ht="13.5" hidden="1" x14ac:dyDescent="0.25">
      <c r="A10" s="36"/>
      <c r="B10" s="24" t="str">
        <f>IFERROR(VLOOKUP(H10,'[1]Consolidado MP Planta'!$A$2:$M$823,3,0),"")</f>
        <v/>
      </c>
      <c r="C10" s="37">
        <f t="shared" si="1"/>
        <v>0</v>
      </c>
      <c r="D10" s="38" t="str">
        <f>IFERROR(VLOOKUP(H10,'[1]Consolidado MP Planta'!$A$2:$M$823,13,0),"")</f>
        <v/>
      </c>
      <c r="E10" s="38" t="str">
        <f>IFERROR(VLOOKUP(H10,'[1]Consolidado MP Planta'!$A$2:$M$823,12,0),"")</f>
        <v/>
      </c>
      <c r="F10" s="38" t="str">
        <f t="shared" si="2"/>
        <v/>
      </c>
      <c r="G10" s="39" t="str">
        <f t="shared" si="0"/>
        <v/>
      </c>
      <c r="H10" s="40"/>
      <c r="I10" s="40"/>
      <c r="J10" s="41"/>
    </row>
    <row r="11" spans="1:10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0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0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</row>
    <row r="14" spans="1:10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0" ht="14.25" hidden="1" thickBot="1" x14ac:dyDescent="0.3">
      <c r="A15" s="36"/>
      <c r="B15" s="24" t="str">
        <f>IFERROR(VLOOKUP(H15,'[2]Consolidado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0" ht="26.25" thickBot="1" x14ac:dyDescent="0.3">
      <c r="A16" s="31" t="s">
        <v>51</v>
      </c>
      <c r="B16" s="32" t="s">
        <v>58</v>
      </c>
      <c r="C16" s="32" t="s">
        <v>51</v>
      </c>
      <c r="D16" s="33" t="s">
        <v>53</v>
      </c>
      <c r="E16" s="33" t="s">
        <v>54</v>
      </c>
      <c r="F16" s="33" t="s">
        <v>55</v>
      </c>
      <c r="G16" s="33" t="s">
        <v>56</v>
      </c>
      <c r="H16" s="34" t="s">
        <v>57</v>
      </c>
      <c r="I16" s="35"/>
      <c r="J16" s="41"/>
    </row>
    <row r="17" spans="1:12" ht="13.5" x14ac:dyDescent="0.25">
      <c r="A17" s="36">
        <v>2000</v>
      </c>
      <c r="B17" s="24" t="str">
        <f>IFERROR(VLOOKUP(H17,[1]SEMIELABORADOS!$A$2:$M$6000,2,0),"")</f>
        <v>MEZCLA PIPIAN (KILO)</v>
      </c>
      <c r="C17" s="37">
        <f>+A17</f>
        <v>2000</v>
      </c>
      <c r="D17" s="37" t="str">
        <f>IFERROR(VLOOKUP(H17,[1]SEMIELABORADOS!$A$2:$M$6000,6,0),"")</f>
        <v>Gramo</v>
      </c>
      <c r="E17" s="38">
        <v>2.19</v>
      </c>
      <c r="F17" s="38">
        <f>IFERROR(E17*C17,"")</f>
        <v>4380</v>
      </c>
      <c r="G17" s="39">
        <f t="shared" ref="G17:G24" si="3">IFERROR(F17/$F$66,"")</f>
        <v>0.96309394206968713</v>
      </c>
      <c r="H17" s="40" t="s">
        <v>93</v>
      </c>
      <c r="I17" s="40"/>
      <c r="J17" s="41"/>
    </row>
    <row r="18" spans="1:12" ht="13.5" hidden="1" x14ac:dyDescent="0.25">
      <c r="A18" s="36"/>
      <c r="B18" s="24" t="str">
        <f>IFERROR(VLOOKUP(H18,[1]SEMIELABORADOS!$A$2:$M$6000,2,0),"")</f>
        <v/>
      </c>
      <c r="C18" s="37">
        <f t="shared" ref="C18:C24" si="4">+A18</f>
        <v>0</v>
      </c>
      <c r="D18" s="37" t="str">
        <f>IFERROR(VLOOKUP(H18,[1]SEMIELABORADOS!$A$2:$M$6000,6,0),"")</f>
        <v/>
      </c>
      <c r="E18" s="38" t="str">
        <f>IFERROR(VLOOKUP(H18,[1]SEMIELABORADOS!$A$2:$H$65536,8,0),"")</f>
        <v/>
      </c>
      <c r="F18" s="38" t="str">
        <f t="shared" ref="F18:F24" si="5">IFERROR(E18*C18,"")</f>
        <v/>
      </c>
      <c r="G18" s="39" t="str">
        <f t="shared" si="3"/>
        <v/>
      </c>
      <c r="H18" s="40"/>
      <c r="I18" s="40"/>
      <c r="J18" s="41"/>
    </row>
    <row r="19" spans="1:12" ht="13.5" hidden="1" x14ac:dyDescent="0.25">
      <c r="A19" s="36"/>
      <c r="B19" s="24" t="str">
        <f>IFERROR(VLOOKUP(H19,[1]SEMIELABORADOS!$A$2:$M$6000,2,0),"")</f>
        <v/>
      </c>
      <c r="C19" s="37">
        <f>+A19</f>
        <v>0</v>
      </c>
      <c r="D19" s="37" t="str">
        <f>IFERROR(VLOOKUP(H19,[1]SEMIELABORADOS!$A$2:$M$6000,6,0),"")</f>
        <v/>
      </c>
      <c r="E19" s="38" t="str">
        <f>IFERROR(VLOOKUP(H19,[1]SEMIELABORADOS!$A$2:$H$65536,8,0),"")</f>
        <v/>
      </c>
      <c r="F19" s="38" t="str">
        <f>IFERROR(E19*C19,"")</f>
        <v/>
      </c>
      <c r="G19" s="39" t="str">
        <f t="shared" si="3"/>
        <v/>
      </c>
      <c r="H19" s="40"/>
      <c r="I19" s="40"/>
      <c r="J19" s="41"/>
    </row>
    <row r="20" spans="1:12" ht="13.5" hidden="1" x14ac:dyDescent="0.25">
      <c r="A20" s="36"/>
      <c r="B20" s="24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40"/>
      <c r="I20" s="40"/>
      <c r="J20" s="41"/>
    </row>
    <row r="21" spans="1:12" ht="13.5" hidden="1" x14ac:dyDescent="0.25">
      <c r="A21" s="36"/>
      <c r="B21" s="24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40"/>
      <c r="I21" s="40"/>
      <c r="J21" s="41"/>
    </row>
    <row r="22" spans="1:12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2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2" ht="26.25" thickBot="1" x14ac:dyDescent="0.3">
      <c r="A26" s="31" t="s">
        <v>51</v>
      </c>
      <c r="B26" s="32" t="s">
        <v>28</v>
      </c>
      <c r="C26" s="32" t="s">
        <v>51</v>
      </c>
      <c r="D26" s="33" t="s">
        <v>53</v>
      </c>
      <c r="E26" s="33" t="s">
        <v>54</v>
      </c>
      <c r="F26" s="33" t="s">
        <v>55</v>
      </c>
      <c r="G26" s="33" t="s">
        <v>56</v>
      </c>
      <c r="H26" s="34" t="s">
        <v>57</v>
      </c>
      <c r="I26" s="35"/>
    </row>
    <row r="27" spans="1:12" ht="13.5" x14ac:dyDescent="0.25">
      <c r="A27" s="36">
        <v>1</v>
      </c>
      <c r="B27" s="42" t="str">
        <f>IFERROR(VLOOKUP(H27,'[1]Consolidado MP Planta'!$A$2:$M$823,3,0),"")</f>
        <v>ETIQ.BLANCA 1 13/16 * 1 7/8 (UND)</v>
      </c>
      <c r="C27" s="37">
        <f t="shared" ref="C27:C32" si="6">+A27</f>
        <v>1</v>
      </c>
      <c r="D27" s="38" t="str">
        <f>IFERROR(VLOOKUP(H27,'[1]Consolidado MP Planta'!$A$2:$M$823,13,0),"")</f>
        <v>Und</v>
      </c>
      <c r="E27" s="38">
        <f>IFERROR(VLOOKUP(H27,'[1]Consolidado MP Planta'!$A$2:$M$823,12,0),"")</f>
        <v>1.7949999999999999</v>
      </c>
      <c r="F27" s="38">
        <f t="shared" ref="F27:F32" si="7">IFERROR(C27*E27,"")</f>
        <v>1.7949999999999999</v>
      </c>
      <c r="G27" s="39">
        <f t="shared" ref="G27:G32" si="8">IFERROR(F27/$F$66,"")</f>
        <v>3.9469260867924392E-4</v>
      </c>
      <c r="H27" s="43" t="s">
        <v>38</v>
      </c>
      <c r="I27" s="43"/>
      <c r="J27" s="41"/>
      <c r="K27" s="138"/>
      <c r="L27" s="138"/>
    </row>
    <row r="28" spans="1:12" ht="13.5" x14ac:dyDescent="0.25">
      <c r="A28" s="36">
        <v>1</v>
      </c>
      <c r="B28" s="42" t="s">
        <v>41</v>
      </c>
      <c r="C28" s="37">
        <f t="shared" si="6"/>
        <v>1</v>
      </c>
      <c r="D28" s="38" t="s">
        <v>94</v>
      </c>
      <c r="E28" s="38">
        <v>0.18</v>
      </c>
      <c r="F28" s="38">
        <f t="shared" si="7"/>
        <v>0.18</v>
      </c>
      <c r="G28" s="39">
        <f t="shared" si="8"/>
        <v>3.9579203098754267E-5</v>
      </c>
      <c r="H28" s="43" t="s">
        <v>40</v>
      </c>
      <c r="I28" s="43"/>
      <c r="J28" s="41"/>
      <c r="K28" s="138"/>
      <c r="L28" s="138"/>
    </row>
    <row r="29" spans="1:12" ht="13.5" x14ac:dyDescent="0.25">
      <c r="A29" s="36">
        <v>1</v>
      </c>
      <c r="B29" s="42" t="str">
        <f>IFERROR(VLOOKUP(H29,'[1]Consolidado MP Planta'!$A$2:$M$823,3,0),"")</f>
        <v>BOLSA 12x18 TRANSP KILO</v>
      </c>
      <c r="C29" s="37">
        <f t="shared" si="6"/>
        <v>1</v>
      </c>
      <c r="D29" s="38" t="str">
        <f>IFERROR(VLOOKUP(H29,'[1]Consolidado MP Planta'!$A$2:$M$823,13,0),"")</f>
        <v>Und</v>
      </c>
      <c r="E29" s="38">
        <f>IFERROR(VLOOKUP(H29,'[1]Consolidado MP Planta'!$A$2:$M$823,12,0),"")</f>
        <v>12</v>
      </c>
      <c r="F29" s="38">
        <f t="shared" si="7"/>
        <v>12</v>
      </c>
      <c r="G29" s="39">
        <f t="shared" si="8"/>
        <v>2.6386135399169511E-3</v>
      </c>
      <c r="H29" s="43" t="s">
        <v>35</v>
      </c>
      <c r="I29" s="43"/>
      <c r="J29" s="41"/>
      <c r="K29" s="138"/>
      <c r="L29" s="138"/>
    </row>
    <row r="30" spans="1:12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138"/>
      <c r="L30" s="138"/>
    </row>
    <row r="31" spans="1:12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2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26.25" thickBot="1" x14ac:dyDescent="0.25">
      <c r="A34" s="31" t="s">
        <v>51</v>
      </c>
      <c r="B34" s="32" t="s">
        <v>59</v>
      </c>
      <c r="C34" s="32" t="s">
        <v>51</v>
      </c>
      <c r="D34" s="33" t="s">
        <v>53</v>
      </c>
      <c r="E34" s="33" t="s">
        <v>54</v>
      </c>
      <c r="F34" s="33" t="s">
        <v>55</v>
      </c>
      <c r="G34" s="33" t="s">
        <v>56</v>
      </c>
      <c r="H34" s="34" t="s">
        <v>57</v>
      </c>
      <c r="I34" s="43"/>
      <c r="J34" s="41"/>
    </row>
    <row r="35" spans="1:13" ht="13.5" x14ac:dyDescent="0.25">
      <c r="A35" s="36">
        <f>+A17</f>
        <v>2000</v>
      </c>
      <c r="B35" s="42" t="str">
        <f>IFERROR(VLOOKUP(H35,[1]SEMIELABORADOS!$A$2:$M$6000,2,0),"")</f>
        <v>MEZCLA PIPIAN (KILO)</v>
      </c>
      <c r="C35" s="37">
        <f>+A35</f>
        <v>2000</v>
      </c>
      <c r="D35" s="38" t="str">
        <f>IFERROR(VLOOKUP(H35,[1]SEMIELABORADOS!$A$2:$M$6000,6,0),"")</f>
        <v>Gramo</v>
      </c>
      <c r="E35" s="38">
        <f>IFERROR(VLOOKUP(H35,[1]SEMIELABORADOS!$A$2:$M$65536,10,0),"")</f>
        <v>5.6339777882352948E-3</v>
      </c>
      <c r="F35" s="38">
        <f>IFERROR(E35*C35,"")</f>
        <v>11.267955576470589</v>
      </c>
      <c r="G35" s="39">
        <f t="shared" ref="G35:G41" si="9">IFERROR(F35/$F$66,"")</f>
        <v>2.4776483459381677E-3</v>
      </c>
      <c r="H35" s="43" t="s">
        <v>93</v>
      </c>
      <c r="I35" s="43"/>
      <c r="J35" s="41"/>
    </row>
    <row r="36" spans="1:13" ht="13.5" hidden="1" x14ac:dyDescent="0.25">
      <c r="A36" s="36">
        <f t="shared" ref="A36:A41" si="10">+A18</f>
        <v>0</v>
      </c>
      <c r="B36" s="42" t="str">
        <f>IFERROR(VLOOKUP(H36,[1]SEMIELABORADOS!$A$2:$M$6000,2,0),"")</f>
        <v/>
      </c>
      <c r="C36" s="37">
        <f t="shared" ref="C36:C41" si="11">+A36</f>
        <v>0</v>
      </c>
      <c r="D36" s="38" t="str">
        <f>IFERROR(VLOOKUP(H36,[1]SEMIELABORADOS!$A$2:$M$6000,6,0),"")</f>
        <v/>
      </c>
      <c r="E36" s="38" t="str">
        <f>IFERROR(VLOOKUP(H36,[1]SEMIELABORADOS!$A$2:$M$65536,10,0),"")</f>
        <v/>
      </c>
      <c r="F36" s="38" t="str">
        <f t="shared" ref="F36:F41" si="12">IFERROR(E36*C36,"")</f>
        <v/>
      </c>
      <c r="G36" s="39" t="str">
        <f t="shared" si="9"/>
        <v/>
      </c>
      <c r="H36" s="43"/>
      <c r="I36" s="43"/>
      <c r="J36" s="41"/>
    </row>
    <row r="37" spans="1:13" ht="13.5" hidden="1" x14ac:dyDescent="0.25">
      <c r="A37" s="36">
        <f t="shared" si="10"/>
        <v>0</v>
      </c>
      <c r="B37" s="42" t="str">
        <f>IFERROR(VLOOKUP(H37,[1]SEMIELABORADOS!$A$2:$M$6000,2,0),"")</f>
        <v/>
      </c>
      <c r="C37" s="37">
        <f t="shared" si="11"/>
        <v>0</v>
      </c>
      <c r="D37" s="38" t="str">
        <f>IFERROR(VLOOKUP(H37,[1]SEMIELABORADOS!$A$2:$M$6000,6,0),"")</f>
        <v/>
      </c>
      <c r="E37" s="38" t="str">
        <f>IFERROR(VLOOKUP(H37,[1]SEMIELABORADOS!$A$2:$M$65536,10,0),"")</f>
        <v/>
      </c>
      <c r="F37" s="38" t="str">
        <f t="shared" si="12"/>
        <v/>
      </c>
      <c r="G37" s="39" t="str">
        <f t="shared" si="9"/>
        <v/>
      </c>
      <c r="H37" s="43"/>
      <c r="I37" s="43"/>
      <c r="J37" s="41"/>
    </row>
    <row r="38" spans="1:13" ht="13.5" hidden="1" x14ac:dyDescent="0.25">
      <c r="A38" s="36">
        <f t="shared" si="10"/>
        <v>0</v>
      </c>
      <c r="B38" s="42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3"/>
      <c r="I38" s="43"/>
      <c r="J38" s="41"/>
    </row>
    <row r="39" spans="1:13" ht="13.5" hidden="1" x14ac:dyDescent="0.25">
      <c r="A39" s="36">
        <f t="shared" si="10"/>
        <v>0</v>
      </c>
      <c r="B39" s="42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3"/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26.25" thickBot="1" x14ac:dyDescent="0.3">
      <c r="A43" s="31" t="s">
        <v>51</v>
      </c>
      <c r="B43" s="32" t="s">
        <v>60</v>
      </c>
      <c r="C43" s="32" t="s">
        <v>51</v>
      </c>
      <c r="D43" s="33" t="s">
        <v>53</v>
      </c>
      <c r="E43" s="33" t="s">
        <v>54</v>
      </c>
      <c r="F43" s="33" t="s">
        <v>55</v>
      </c>
      <c r="G43" s="33" t="s">
        <v>56</v>
      </c>
      <c r="H43" s="34" t="s">
        <v>57</v>
      </c>
      <c r="I43" s="35"/>
      <c r="J43" s="41"/>
    </row>
    <row r="44" spans="1:13" ht="13.5" x14ac:dyDescent="0.25">
      <c r="A44" s="36">
        <f>+A35</f>
        <v>2000</v>
      </c>
      <c r="B44" s="42" t="str">
        <f>IFERROR(VLOOKUP(H44,[1]SEMIELABORADOS!$A$2:$M$6000,2,0),"")</f>
        <v>MEZCLA PIPIAN (KILO)</v>
      </c>
      <c r="C44" s="37">
        <f>+A44</f>
        <v>2000</v>
      </c>
      <c r="D44" s="38" t="str">
        <f>IFERROR(VLOOKUP(H44,[1]SEMIELABORADOS!$A$2:$M$6000,6,0),"")</f>
        <v>Gramo</v>
      </c>
      <c r="E44" s="38">
        <v>0.05</v>
      </c>
      <c r="F44" s="38">
        <f>IFERROR(E44*C44,"")</f>
        <v>100</v>
      </c>
      <c r="G44" s="39">
        <f>IFERROR(F44/$F$66,"")</f>
        <v>2.1988446165974593E-2</v>
      </c>
      <c r="H44" s="43" t="s">
        <v>93</v>
      </c>
      <c r="I44" s="35"/>
      <c r="J44" s="41"/>
    </row>
    <row r="45" spans="1:13" ht="13.5" hidden="1" x14ac:dyDescent="0.25">
      <c r="A45" s="36">
        <f t="shared" ref="A45:A50" si="13">+A36</f>
        <v>0</v>
      </c>
      <c r="B45" s="42" t="str">
        <f>IFERROR(VLOOKUP(H45,[1]SEMIELABORADOS!$A$2:$M$6000,2,0),"")</f>
        <v/>
      </c>
      <c r="C45" s="37">
        <f t="shared" ref="C45:C50" si="14">+A45</f>
        <v>0</v>
      </c>
      <c r="D45" s="38" t="str">
        <f>IFERROR(VLOOKUP(H45,[1]SEMIELABORADOS!$A$2:$M$6000,6,0),"")</f>
        <v/>
      </c>
      <c r="E45" s="38" t="str">
        <f>IFERROR(VLOOKUP(H45,[1]SEMIELABORADOS!$A$2:$M$65536,12,0),"")</f>
        <v/>
      </c>
      <c r="F45" s="38" t="str">
        <f t="shared" ref="F45:F50" si="15">IFERROR(E45*C45,"")</f>
        <v/>
      </c>
      <c r="G45" s="39" t="str">
        <f t="shared" ref="G45:G50" si="16">IFERROR(F45/$F$66,"")</f>
        <v/>
      </c>
      <c r="H45" s="43"/>
      <c r="I45" s="35"/>
      <c r="J45" s="41"/>
      <c r="M45" s="46"/>
    </row>
    <row r="46" spans="1:13" ht="13.5" hidden="1" x14ac:dyDescent="0.25">
      <c r="A46" s="36">
        <f t="shared" si="13"/>
        <v>0</v>
      </c>
      <c r="B46" s="42" t="str">
        <f>IFERROR(VLOOKUP(H46,[1]SEMIELABORADOS!$A$2:$M$6000,2,0),"")</f>
        <v/>
      </c>
      <c r="C46" s="37">
        <f t="shared" si="14"/>
        <v>0</v>
      </c>
      <c r="D46" s="38" t="str">
        <f>IFERROR(VLOOKUP(H46,[1]SEMIELABORADOS!$A$2:$M$6000,6,0),"")</f>
        <v/>
      </c>
      <c r="E46" s="38" t="str">
        <f>IFERROR(VLOOKUP(H46,[1]SEMIELABORADOS!$A$2:$M$65536,12,0),"")</f>
        <v/>
      </c>
      <c r="F46" s="38" t="str">
        <f t="shared" si="15"/>
        <v/>
      </c>
      <c r="G46" s="39" t="str">
        <f t="shared" si="16"/>
        <v/>
      </c>
      <c r="H46" s="43"/>
      <c r="I46" s="35"/>
      <c r="J46" s="41"/>
    </row>
    <row r="47" spans="1:13" ht="13.5" hidden="1" x14ac:dyDescent="0.25">
      <c r="A47" s="36">
        <f t="shared" si="13"/>
        <v>0</v>
      </c>
      <c r="B47" s="42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3"/>
      <c r="I47" s="35"/>
      <c r="J47" s="41"/>
    </row>
    <row r="48" spans="1:13" ht="13.5" hidden="1" x14ac:dyDescent="0.25">
      <c r="A48" s="36">
        <f t="shared" si="13"/>
        <v>0</v>
      </c>
      <c r="B48" s="42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3"/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61</v>
      </c>
      <c r="C51" s="37">
        <f>+A51</f>
        <v>1</v>
      </c>
      <c r="D51" s="37" t="s">
        <v>62</v>
      </c>
      <c r="E51" s="38">
        <f>+F65</f>
        <v>55</v>
      </c>
      <c r="F51" s="38">
        <f>IFERROR(C51*E51,"")</f>
        <v>55</v>
      </c>
      <c r="G51" s="39">
        <f>IFERROR(F51/$F$66,"")</f>
        <v>1.2093645391286026E-2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148" t="s">
        <v>63</v>
      </c>
      <c r="C53" s="148"/>
      <c r="D53" s="148"/>
      <c r="E53" s="148"/>
      <c r="F53" s="49">
        <f>SUM(F8:F14,F17:F24)</f>
        <v>4380</v>
      </c>
      <c r="G53" s="39">
        <f>+F53/$F$66</f>
        <v>0.96309394206968713</v>
      </c>
      <c r="H53" s="50">
        <f>+F53/$D$60</f>
        <v>4380</v>
      </c>
      <c r="I53" s="50"/>
      <c r="J53" s="51"/>
      <c r="K53" s="52"/>
      <c r="L53" s="52"/>
      <c r="M53" s="52"/>
      <c r="N53" s="52"/>
      <c r="O53" s="52"/>
      <c r="P53" s="52"/>
      <c r="Q53" s="53"/>
    </row>
    <row r="54" spans="1:17" x14ac:dyDescent="0.2">
      <c r="A54" s="48"/>
      <c r="B54" s="148" t="s">
        <v>64</v>
      </c>
      <c r="C54" s="148"/>
      <c r="D54" s="148"/>
      <c r="E54" s="148"/>
      <c r="F54" s="49">
        <f>SUM(F27:F32,F35:F41)</f>
        <v>25.242955576470589</v>
      </c>
      <c r="G54" s="39">
        <f>+F54/$F$66</f>
        <v>5.5505336976331169E-3</v>
      </c>
      <c r="H54" s="50">
        <f>+F54/$D$60</f>
        <v>25.242955576470589</v>
      </c>
      <c r="I54" s="50"/>
      <c r="J54" s="54"/>
      <c r="K54" s="149" t="s">
        <v>65</v>
      </c>
      <c r="L54" s="150"/>
      <c r="M54" s="150"/>
      <c r="N54" s="150"/>
      <c r="O54" s="55">
        <f>+F55</f>
        <v>4405.2429555764702</v>
      </c>
      <c r="P54" s="55"/>
      <c r="Q54" s="56"/>
    </row>
    <row r="55" spans="1:17" x14ac:dyDescent="0.2">
      <c r="A55" s="48"/>
      <c r="B55" s="148" t="s">
        <v>66</v>
      </c>
      <c r="C55" s="148"/>
      <c r="D55" s="148"/>
      <c r="E55" s="148"/>
      <c r="F55" s="49">
        <f>+F53+F54</f>
        <v>4405.2429555764702</v>
      </c>
      <c r="G55" s="39">
        <f>+F55/$F$66</f>
        <v>0.96864447576732016</v>
      </c>
      <c r="H55" s="50">
        <f>+F55/$D$60</f>
        <v>4405.2429555764702</v>
      </c>
      <c r="I55" s="50"/>
      <c r="J55" s="57"/>
      <c r="K55" s="58"/>
      <c r="L55" s="59" t="s">
        <v>67</v>
      </c>
      <c r="M55" s="59"/>
      <c r="N55" s="60">
        <v>0.18</v>
      </c>
      <c r="O55" s="55">
        <f>+O54*N55</f>
        <v>792.94373200376458</v>
      </c>
      <c r="P55" s="55"/>
      <c r="Q55" s="56"/>
    </row>
    <row r="56" spans="1:17" ht="13.5" thickBot="1" x14ac:dyDescent="0.25">
      <c r="A56" s="48"/>
      <c r="B56" s="61"/>
      <c r="C56" s="148" t="s">
        <v>68</v>
      </c>
      <c r="D56" s="148"/>
      <c r="E56" s="148"/>
      <c r="F56" s="49">
        <f>SUM(F44:F51)</f>
        <v>155</v>
      </c>
      <c r="G56" s="39">
        <f>+F56/$F$66</f>
        <v>3.4082091557260615E-2</v>
      </c>
      <c r="H56" s="50">
        <f>+F56/$D$60</f>
        <v>155</v>
      </c>
      <c r="I56" s="50"/>
      <c r="J56" s="57"/>
      <c r="K56" s="58"/>
      <c r="L56" s="58"/>
      <c r="M56" s="58" t="s">
        <v>69</v>
      </c>
      <c r="N56" s="62"/>
      <c r="O56" s="55">
        <f>O54*N56</f>
        <v>0</v>
      </c>
      <c r="P56" s="55"/>
      <c r="Q56" s="56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0"/>
      <c r="J57" s="57"/>
      <c r="K57" s="66"/>
      <c r="M57" s="67" t="s">
        <v>70</v>
      </c>
      <c r="N57" s="68"/>
      <c r="O57" s="69">
        <f>SUM(O54:O56)</f>
        <v>5198.1866875802352</v>
      </c>
      <c r="P57" s="70"/>
      <c r="Q57" s="56"/>
    </row>
    <row r="58" spans="1:17" x14ac:dyDescent="0.2">
      <c r="B58" s="151" t="s">
        <v>71</v>
      </c>
      <c r="C58" s="151"/>
      <c r="D58" s="71">
        <v>2000</v>
      </c>
      <c r="E58" s="72"/>
      <c r="G58" s="39"/>
      <c r="H58" s="65"/>
      <c r="I58" s="73"/>
      <c r="J58" s="57"/>
      <c r="K58" s="66"/>
      <c r="L58" s="58"/>
      <c r="M58" s="58" t="s">
        <v>72</v>
      </c>
      <c r="N58" s="74">
        <v>0.15</v>
      </c>
      <c r="O58" s="55">
        <f>+O54*N58</f>
        <v>660.78644333647048</v>
      </c>
      <c r="P58" s="55"/>
      <c r="Q58" s="56"/>
    </row>
    <row r="59" spans="1:17" x14ac:dyDescent="0.2">
      <c r="B59" s="151" t="s">
        <v>73</v>
      </c>
      <c r="C59" s="151"/>
      <c r="D59" s="75">
        <v>2000</v>
      </c>
      <c r="E59" s="72"/>
      <c r="G59" s="39"/>
      <c r="H59" s="65"/>
      <c r="I59" s="73"/>
      <c r="J59" s="57"/>
      <c r="K59" s="66"/>
      <c r="L59" s="58"/>
      <c r="M59" s="152" t="s">
        <v>70</v>
      </c>
      <c r="N59" s="152"/>
      <c r="O59" s="55">
        <f>SUM(O57:O58)</f>
        <v>5858.9731309167055</v>
      </c>
      <c r="P59" s="55"/>
      <c r="Q59" s="56"/>
    </row>
    <row r="60" spans="1:17" ht="13.5" thickBot="1" x14ac:dyDescent="0.25">
      <c r="B60" s="144" t="s">
        <v>74</v>
      </c>
      <c r="C60" s="144"/>
      <c r="D60" s="71">
        <f>+D58/D59</f>
        <v>1</v>
      </c>
      <c r="E60" s="72"/>
      <c r="F60" s="76"/>
      <c r="G60" s="39"/>
      <c r="H60" s="65"/>
      <c r="I60" s="73"/>
      <c r="J60" s="57"/>
      <c r="K60" s="66"/>
      <c r="L60" s="152"/>
      <c r="M60" s="152"/>
      <c r="N60" s="74"/>
      <c r="O60" s="55">
        <f>+O59*N60</f>
        <v>0</v>
      </c>
      <c r="P60" s="55"/>
      <c r="Q60" s="56"/>
    </row>
    <row r="61" spans="1:17" ht="13.5" thickBot="1" x14ac:dyDescent="0.25">
      <c r="B61" s="144" t="s">
        <v>75</v>
      </c>
      <c r="C61" s="144"/>
      <c r="D61" s="77"/>
      <c r="E61" s="72"/>
      <c r="F61" s="76"/>
      <c r="G61" s="39"/>
      <c r="H61" s="65"/>
      <c r="I61" s="73"/>
      <c r="J61" s="57"/>
      <c r="K61" s="145" t="s">
        <v>76</v>
      </c>
      <c r="L61" s="146"/>
      <c r="M61" s="146"/>
      <c r="N61" s="147"/>
      <c r="O61" s="69">
        <f>SUM(O59:O60)</f>
        <v>5858.9731309167055</v>
      </c>
      <c r="P61" s="78" t="s">
        <v>77</v>
      </c>
      <c r="Q61" s="56"/>
    </row>
    <row r="62" spans="1:17" ht="13.5" thickBot="1" x14ac:dyDescent="0.25">
      <c r="C62" s="48" t="s">
        <v>78</v>
      </c>
      <c r="D62" s="79"/>
      <c r="E62" s="22" t="s">
        <v>79</v>
      </c>
      <c r="F62" s="80" t="s">
        <v>80</v>
      </c>
      <c r="G62" s="39"/>
      <c r="H62" s="65"/>
      <c r="I62" s="73"/>
      <c r="J62" s="81"/>
      <c r="K62" s="82"/>
      <c r="L62" s="158" t="s">
        <v>81</v>
      </c>
      <c r="M62" s="158"/>
      <c r="N62" s="158"/>
      <c r="O62" s="83">
        <f>+O61/D60</f>
        <v>5858.9731309167055</v>
      </c>
      <c r="P62" s="84">
        <f>+O62/D59</f>
        <v>2.9294865654583528</v>
      </c>
      <c r="Q62" s="85"/>
    </row>
    <row r="63" spans="1:17" ht="13.5" thickBot="1" x14ac:dyDescent="0.25">
      <c r="B63" s="159" t="s">
        <v>66</v>
      </c>
      <c r="C63" s="159"/>
      <c r="D63" s="159"/>
      <c r="E63" s="86">
        <f>+F63/F63</f>
        <v>1</v>
      </c>
      <c r="F63" s="87">
        <f>SUM(F55)</f>
        <v>4405.2429555764702</v>
      </c>
      <c r="G63" s="39">
        <f>+F63/$F$66</f>
        <v>0.96864447576732016</v>
      </c>
      <c r="H63" s="65"/>
      <c r="I63" s="73"/>
      <c r="K63" s="160"/>
      <c r="L63" s="161"/>
      <c r="M63" s="161"/>
      <c r="N63" s="161"/>
      <c r="O63" s="88"/>
      <c r="P63" s="89"/>
    </row>
    <row r="64" spans="1:17" ht="13.5" thickBot="1" x14ac:dyDescent="0.3">
      <c r="B64" s="162" t="s">
        <v>82</v>
      </c>
      <c r="C64" s="162"/>
      <c r="D64" s="162"/>
      <c r="E64" s="90">
        <v>0.02</v>
      </c>
      <c r="F64" s="87">
        <f>+F53*E64</f>
        <v>87.600000000000009</v>
      </c>
      <c r="G64" s="39">
        <f>+F64/$F$66</f>
        <v>1.9261878841393746E-2</v>
      </c>
      <c r="H64" s="50"/>
      <c r="I64" s="73"/>
      <c r="J64" s="91"/>
      <c r="O64" s="92"/>
      <c r="P64" s="61"/>
    </row>
    <row r="65" spans="2:10" ht="13.5" thickBot="1" x14ac:dyDescent="0.3">
      <c r="B65" s="163" t="s">
        <v>83</v>
      </c>
      <c r="C65" s="164"/>
      <c r="D65" s="93">
        <v>1</v>
      </c>
      <c r="E65" s="94">
        <v>55</v>
      </c>
      <c r="F65" s="87">
        <f>+E65*D65</f>
        <v>55</v>
      </c>
      <c r="G65" s="39">
        <f>+F65/$F$66</f>
        <v>1.2093645391286026E-2</v>
      </c>
      <c r="H65" s="50"/>
      <c r="I65" s="50"/>
      <c r="J65" s="41"/>
    </row>
    <row r="66" spans="2:10" ht="13.5" thickBot="1" x14ac:dyDescent="0.3">
      <c r="B66" s="165" t="s">
        <v>84</v>
      </c>
      <c r="C66" s="166"/>
      <c r="D66" s="166"/>
      <c r="E66" s="167"/>
      <c r="F66" s="64">
        <f>SUM(F63:F65)</f>
        <v>4547.8429555764706</v>
      </c>
      <c r="G66" s="39">
        <f>+F66/$F$66</f>
        <v>1</v>
      </c>
      <c r="H66" s="168"/>
      <c r="I66" s="50"/>
      <c r="J66" s="41"/>
    </row>
    <row r="67" spans="2:10" x14ac:dyDescent="0.25">
      <c r="C67" s="46"/>
      <c r="D67" s="46"/>
      <c r="E67" s="95"/>
      <c r="F67" s="87"/>
      <c r="G67" s="39"/>
      <c r="H67" s="168"/>
      <c r="I67" s="96"/>
      <c r="J67" s="24"/>
    </row>
    <row r="68" spans="2:10" ht="13.5" thickBot="1" x14ac:dyDescent="0.3">
      <c r="B68" s="153" t="s">
        <v>85</v>
      </c>
      <c r="C68" s="153"/>
      <c r="D68" s="153"/>
      <c r="E68" s="153"/>
      <c r="F68" s="153"/>
      <c r="G68" s="39"/>
      <c r="H68" s="97"/>
      <c r="I68" s="96"/>
      <c r="J68" s="24"/>
    </row>
    <row r="69" spans="2:10" ht="13.5" thickBot="1" x14ac:dyDescent="0.3">
      <c r="B69" s="98" t="s">
        <v>86</v>
      </c>
      <c r="C69" s="99">
        <f>+F53</f>
        <v>4380</v>
      </c>
      <c r="D69" s="99">
        <f>+D58</f>
        <v>2000</v>
      </c>
      <c r="E69" s="100">
        <f>+C69/D69</f>
        <v>2.19</v>
      </c>
      <c r="F69" s="39"/>
      <c r="G69" s="97"/>
      <c r="H69" s="41"/>
      <c r="I69" s="97"/>
      <c r="J69" s="24"/>
    </row>
    <row r="70" spans="2:10" x14ac:dyDescent="0.25">
      <c r="B70" s="101"/>
      <c r="C70" s="102"/>
      <c r="D70" s="103"/>
      <c r="E70" s="87"/>
      <c r="F70" s="39"/>
      <c r="G70" s="97"/>
      <c r="H70" s="41"/>
      <c r="I70" s="41"/>
      <c r="J70" s="24"/>
    </row>
    <row r="71" spans="2:10" x14ac:dyDescent="0.25">
      <c r="B71" s="98" t="s">
        <v>87</v>
      </c>
      <c r="C71" s="99">
        <f>SUM(F63:F64)</f>
        <v>4492.8429555764706</v>
      </c>
      <c r="D71" s="99">
        <f>+D58</f>
        <v>2000</v>
      </c>
      <c r="E71" s="104">
        <f>+C71/D71</f>
        <v>2.2464214777882354</v>
      </c>
      <c r="F71" s="39"/>
      <c r="G71" s="97"/>
      <c r="H71" s="41"/>
      <c r="I71" s="41"/>
      <c r="J71" s="24"/>
    </row>
    <row r="72" spans="2:10" x14ac:dyDescent="0.25">
      <c r="B72" s="98"/>
      <c r="C72" s="99"/>
      <c r="D72" s="99"/>
      <c r="E72" s="104"/>
      <c r="F72" s="39"/>
      <c r="G72" s="97"/>
      <c r="H72" s="41"/>
      <c r="I72" s="41"/>
      <c r="J72" s="24"/>
    </row>
    <row r="73" spans="2:10" ht="13.5" thickBot="1" x14ac:dyDescent="0.3">
      <c r="B73" s="98" t="s">
        <v>88</v>
      </c>
      <c r="C73" s="99">
        <f>+F65</f>
        <v>55</v>
      </c>
      <c r="D73" s="99">
        <f>+D58</f>
        <v>2000</v>
      </c>
      <c r="E73" s="104">
        <f>+C73/D73</f>
        <v>2.75E-2</v>
      </c>
      <c r="F73" s="39"/>
      <c r="G73" s="97"/>
      <c r="H73" s="41"/>
      <c r="I73" s="41"/>
      <c r="J73" s="24"/>
    </row>
    <row r="74" spans="2:10" ht="13.5" thickBot="1" x14ac:dyDescent="0.3">
      <c r="B74" s="98" t="s">
        <v>89</v>
      </c>
      <c r="C74" s="99">
        <f>+F56</f>
        <v>155</v>
      </c>
      <c r="D74" s="99">
        <f>+D73</f>
        <v>2000</v>
      </c>
      <c r="E74" s="100">
        <f>+C74/D74</f>
        <v>7.7499999999999999E-2</v>
      </c>
      <c r="F74" s="39"/>
      <c r="G74" s="97"/>
      <c r="H74" s="41"/>
      <c r="I74" s="41"/>
      <c r="J74" s="24"/>
    </row>
    <row r="75" spans="2:10" ht="13.5" thickBot="1" x14ac:dyDescent="0.3">
      <c r="B75" s="63"/>
      <c r="C75" s="64"/>
      <c r="D75" s="64"/>
      <c r="E75" s="104"/>
      <c r="F75" s="39"/>
      <c r="G75" s="97"/>
      <c r="H75" s="41"/>
      <c r="I75" s="41"/>
      <c r="J75" s="24"/>
    </row>
    <row r="76" spans="2:10" ht="13.5" thickBot="1" x14ac:dyDescent="0.3">
      <c r="B76" s="98" t="s">
        <v>90</v>
      </c>
      <c r="C76" s="99">
        <f>+F54</f>
        <v>25.242955576470589</v>
      </c>
      <c r="D76" s="99">
        <f>+D74</f>
        <v>2000</v>
      </c>
      <c r="E76" s="100">
        <f>+C76/D76</f>
        <v>1.2621477788235294E-2</v>
      </c>
      <c r="F76" s="39"/>
      <c r="G76" s="97"/>
      <c r="H76" s="41"/>
      <c r="I76" s="41"/>
      <c r="J76" s="41"/>
    </row>
    <row r="77" spans="2:10" ht="13.5" thickBot="1" x14ac:dyDescent="0.3">
      <c r="B77" s="63"/>
      <c r="C77" s="64"/>
      <c r="D77" s="64"/>
      <c r="E77" s="104"/>
      <c r="F77" s="39"/>
      <c r="G77" s="97"/>
      <c r="H77" s="41"/>
      <c r="I77" s="41"/>
    </row>
    <row r="78" spans="2:10" ht="13.5" thickBot="1" x14ac:dyDescent="0.3">
      <c r="B78" s="154" t="s">
        <v>91</v>
      </c>
      <c r="C78" s="155"/>
      <c r="D78" s="156"/>
      <c r="E78" s="100">
        <f>+E69+E74</f>
        <v>2.2675000000000001</v>
      </c>
      <c r="G78" s="39"/>
      <c r="H78" s="97"/>
      <c r="I78" s="41"/>
      <c r="J78" s="104"/>
    </row>
    <row r="79" spans="2:10" x14ac:dyDescent="0.25">
      <c r="I79" s="97"/>
      <c r="J79" s="24"/>
    </row>
    <row r="80" spans="2:10" ht="13.5" thickBot="1" x14ac:dyDescent="0.3">
      <c r="B80" s="153" t="s">
        <v>92</v>
      </c>
      <c r="C80" s="153"/>
      <c r="D80" s="153"/>
      <c r="E80" s="153"/>
      <c r="F80" s="153"/>
      <c r="G80" s="39"/>
      <c r="H80" s="97"/>
      <c r="J80" s="24"/>
    </row>
    <row r="81" spans="1:10" ht="13.5" thickBot="1" x14ac:dyDescent="0.3">
      <c r="B81" s="98" t="s">
        <v>86</v>
      </c>
      <c r="C81" s="99">
        <f>+C69</f>
        <v>4380</v>
      </c>
      <c r="D81" s="99">
        <f>+D60</f>
        <v>1</v>
      </c>
      <c r="E81" s="100">
        <f>+C81/D81</f>
        <v>4380</v>
      </c>
      <c r="F81" s="39"/>
      <c r="G81" s="97"/>
      <c r="H81" s="41"/>
      <c r="I81" s="97"/>
      <c r="J81" s="24"/>
    </row>
    <row r="82" spans="1:10" x14ac:dyDescent="0.25">
      <c r="B82" s="101"/>
      <c r="C82" s="102"/>
      <c r="D82" s="103"/>
      <c r="E82" s="87"/>
      <c r="F82" s="39"/>
      <c r="G82" s="97"/>
      <c r="H82" s="41"/>
      <c r="I82" s="41"/>
      <c r="J82" s="24"/>
    </row>
    <row r="83" spans="1:10" x14ac:dyDescent="0.25">
      <c r="B83" s="98" t="s">
        <v>87</v>
      </c>
      <c r="C83" s="99">
        <f>+C71</f>
        <v>4492.8429555764706</v>
      </c>
      <c r="D83" s="99">
        <f>+D60</f>
        <v>1</v>
      </c>
      <c r="E83" s="104">
        <f>+C83/D83</f>
        <v>4492.8429555764706</v>
      </c>
      <c r="F83" s="39"/>
      <c r="G83" s="97"/>
      <c r="H83" s="41"/>
      <c r="I83" s="41"/>
      <c r="J83" s="24"/>
    </row>
    <row r="84" spans="1:10" x14ac:dyDescent="0.25">
      <c r="B84" s="98"/>
      <c r="C84" s="99"/>
      <c r="D84" s="99"/>
      <c r="E84" s="104"/>
      <c r="F84" s="39"/>
      <c r="G84" s="97"/>
      <c r="H84" s="41"/>
      <c r="I84" s="41"/>
      <c r="J84" s="24"/>
    </row>
    <row r="85" spans="1:10" ht="13.5" thickBot="1" x14ac:dyDescent="0.3">
      <c r="B85" s="98" t="s">
        <v>89</v>
      </c>
      <c r="C85" s="99">
        <f>+C73</f>
        <v>55</v>
      </c>
      <c r="D85" s="99">
        <f>+D60</f>
        <v>1</v>
      </c>
      <c r="E85" s="104">
        <f>+C85/D85</f>
        <v>55</v>
      </c>
      <c r="F85" s="107"/>
      <c r="G85" s="106"/>
      <c r="H85" s="23"/>
      <c r="I85" s="41"/>
    </row>
    <row r="86" spans="1:10" ht="13.5" thickBot="1" x14ac:dyDescent="0.3">
      <c r="B86" s="98" t="s">
        <v>89</v>
      </c>
      <c r="C86" s="99">
        <f>+C74</f>
        <v>155</v>
      </c>
      <c r="D86" s="99">
        <f>+D85</f>
        <v>1</v>
      </c>
      <c r="E86" s="100">
        <f>+C86/D86</f>
        <v>155</v>
      </c>
      <c r="F86" s="105"/>
      <c r="G86" s="106"/>
      <c r="H86" s="23"/>
      <c r="I86" s="23"/>
    </row>
    <row r="87" spans="1:10" x14ac:dyDescent="0.25">
      <c r="I87" s="23"/>
    </row>
    <row r="88" spans="1:10" x14ac:dyDescent="0.2">
      <c r="A88" s="157"/>
      <c r="B88" s="157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0CBEA60-8326-45B0-96BE-D2CC34405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RECETA</vt:lpstr>
      <vt:lpstr>COSTO</vt:lpstr>
      <vt:lpstr>RECETA!Área_de_impresión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2025-10-15T17:22:30Z</cp:lastPrinted>
  <dcterms:created xsi:type="dcterms:W3CDTF">2019-04-03T17:28:37Z</dcterms:created>
  <dcterms:modified xsi:type="dcterms:W3CDTF">2025-10-15T17:23:57Z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261800</vt:r8>
  </property>
  <property fmtid="{D5CDD505-2E9C-101B-9397-08002B2CF9AE}" pid="4" name="MediaServiceImageTags">
    <vt:lpwstr/>
  </property>
</Properties>
</file>
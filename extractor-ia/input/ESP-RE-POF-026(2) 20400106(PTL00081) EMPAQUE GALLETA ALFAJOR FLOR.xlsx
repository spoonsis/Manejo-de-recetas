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6" documentId="8_{54B92958-C4A2-41E4-BF92-11057059BE68}" xr6:coauthVersionLast="47" xr6:coauthVersionMax="47" xr10:uidLastSave="{4488747C-3974-4019-B253-AF54D7457D66}"/>
  <bookViews>
    <workbookView xWindow="-108" yWindow="-108" windowWidth="23256" windowHeight="12456" tabRatio="876" firstSheet="3" activeTab="3" xr2:uid="{3E52E018-59A9-4988-9E72-53F737CFC6A7}"/>
  </bookViews>
  <sheets>
    <sheet name="REC SPOON" sheetId="5" state="hidden" r:id="rId1"/>
    <sheet name="Costo alfajor" sheetId="8" state="hidden" r:id="rId2"/>
    <sheet name="empaque" sheetId="6" state="hidden" r:id="rId3"/>
    <sheet name="Hoja1" sheetId="14" r:id="rId4"/>
    <sheet name="Costo empaque" sheetId="9" state="hidden" r:id="rId5"/>
    <sheet name="INS " sheetId="7" state="hidden" r:id="rId6"/>
    <sheet name="INS 2" sheetId="13" state="hidden" r:id="rId7"/>
    <sheet name="Costo INS" sheetId="10" state="hidden" r:id="rId8"/>
  </sheets>
  <externalReferences>
    <externalReference r:id="rId9"/>
  </externalReferences>
  <definedNames>
    <definedName name="_xlnm.Print_Area" localSheetId="0">'REC SPOON'!$A$1:$H$44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9" l="1"/>
  <c r="F58" i="8"/>
  <c r="E44" i="8"/>
  <c r="I53" i="10"/>
  <c r="I54" i="10"/>
  <c r="F38" i="10"/>
  <c r="G38" i="10" s="1"/>
  <c r="E38" i="10"/>
  <c r="D38" i="10"/>
  <c r="C38" i="10"/>
  <c r="F37" i="10"/>
  <c r="E37" i="10"/>
  <c r="D37" i="10"/>
  <c r="C37" i="10"/>
  <c r="F36" i="10"/>
  <c r="E36" i="10"/>
  <c r="D36" i="10"/>
  <c r="G36" i="10"/>
  <c r="C36" i="10"/>
  <c r="F35" i="10"/>
  <c r="G35" i="10" s="1"/>
  <c r="E35" i="10"/>
  <c r="D35" i="10"/>
  <c r="C35" i="10"/>
  <c r="F34" i="10"/>
  <c r="G34" i="10"/>
  <c r="E34" i="10"/>
  <c r="D34" i="10"/>
  <c r="C34" i="10"/>
  <c r="F33" i="10"/>
  <c r="G33" i="10" s="1"/>
  <c r="E33" i="10"/>
  <c r="D33" i="10"/>
  <c r="C33" i="10"/>
  <c r="F31" i="10"/>
  <c r="E31" i="10"/>
  <c r="D31" i="10"/>
  <c r="C31" i="10"/>
  <c r="F30" i="10"/>
  <c r="G30" i="10"/>
  <c r="E30" i="10"/>
  <c r="D30" i="10"/>
  <c r="C30" i="10"/>
  <c r="F29" i="10"/>
  <c r="G29" i="10" s="1"/>
  <c r="E29" i="10"/>
  <c r="D29" i="10"/>
  <c r="C29" i="10"/>
  <c r="F28" i="10"/>
  <c r="E28" i="10"/>
  <c r="D28" i="10"/>
  <c r="C28" i="10"/>
  <c r="F27" i="10"/>
  <c r="E27" i="10"/>
  <c r="D27" i="10"/>
  <c r="C27" i="10"/>
  <c r="F26" i="10"/>
  <c r="G26" i="10"/>
  <c r="E26" i="10"/>
  <c r="D26" i="10"/>
  <c r="C26" i="10"/>
  <c r="F25" i="10"/>
  <c r="G25" i="10" s="1"/>
  <c r="E25" i="10"/>
  <c r="D25" i="10"/>
  <c r="C25" i="10"/>
  <c r="F24" i="10"/>
  <c r="G24" i="10"/>
  <c r="E24" i="10"/>
  <c r="D24" i="10"/>
  <c r="C24" i="10"/>
  <c r="F20" i="10"/>
  <c r="G20" i="10" s="1"/>
  <c r="E20" i="10"/>
  <c r="D20" i="10"/>
  <c r="C20" i="10"/>
  <c r="F19" i="10"/>
  <c r="G19" i="10"/>
  <c r="E19" i="10"/>
  <c r="D19" i="10"/>
  <c r="C19" i="10"/>
  <c r="F18" i="10"/>
  <c r="G18" i="10"/>
  <c r="E18" i="10"/>
  <c r="D18" i="10"/>
  <c r="C18" i="10"/>
  <c r="F17" i="10"/>
  <c r="G17" i="10" s="1"/>
  <c r="E17" i="10"/>
  <c r="D17" i="10"/>
  <c r="C17" i="10"/>
  <c r="F14" i="10"/>
  <c r="G14" i="10" s="1"/>
  <c r="E14" i="10"/>
  <c r="D14" i="10"/>
  <c r="C14" i="10"/>
  <c r="F13" i="10"/>
  <c r="G13" i="10"/>
  <c r="E13" i="10"/>
  <c r="D13" i="10"/>
  <c r="C13" i="10"/>
  <c r="F12" i="10"/>
  <c r="G12" i="10" s="1"/>
  <c r="E12" i="10"/>
  <c r="D12" i="10"/>
  <c r="C12" i="10"/>
  <c r="F11" i="10"/>
  <c r="G11" i="10"/>
  <c r="E11" i="10"/>
  <c r="D11" i="10"/>
  <c r="C11" i="10"/>
  <c r="F10" i="10"/>
  <c r="E10" i="10"/>
  <c r="D10" i="10"/>
  <c r="C10" i="10"/>
  <c r="D9" i="10"/>
  <c r="I7" i="10"/>
  <c r="D66" i="9"/>
  <c r="D67" i="9"/>
  <c r="D69" i="9"/>
  <c r="D64" i="9"/>
  <c r="D62" i="9"/>
  <c r="F58" i="9"/>
  <c r="D53" i="9"/>
  <c r="D78" i="9"/>
  <c r="D79" i="9"/>
  <c r="C44" i="9"/>
  <c r="E43" i="9"/>
  <c r="C43" i="9"/>
  <c r="A43" i="9"/>
  <c r="E42" i="9"/>
  <c r="F42" i="9" s="1"/>
  <c r="A42" i="9"/>
  <c r="C42" i="9"/>
  <c r="E41" i="9"/>
  <c r="A41" i="9"/>
  <c r="C41" i="9"/>
  <c r="E40" i="9"/>
  <c r="F40" i="9" s="1"/>
  <c r="A40" i="9"/>
  <c r="C40" i="9"/>
  <c r="A39" i="9"/>
  <c r="C39" i="9"/>
  <c r="E36" i="9"/>
  <c r="F36" i="9" s="1"/>
  <c r="G36" i="9" s="1"/>
  <c r="A36" i="9"/>
  <c r="C36" i="9"/>
  <c r="E35" i="9"/>
  <c r="A35" i="9"/>
  <c r="C35" i="9"/>
  <c r="F35" i="9"/>
  <c r="G35" i="9" s="1"/>
  <c r="E34" i="9"/>
  <c r="F34" i="9" s="1"/>
  <c r="G34" i="9" s="1"/>
  <c r="A34" i="9"/>
  <c r="C34" i="9"/>
  <c r="E33" i="9"/>
  <c r="F33" i="9" s="1"/>
  <c r="G33" i="9" s="1"/>
  <c r="A33" i="9"/>
  <c r="C33" i="9"/>
  <c r="A32" i="9"/>
  <c r="C32" i="9"/>
  <c r="E29" i="9"/>
  <c r="F29" i="9" s="1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6" i="9"/>
  <c r="F26" i="9"/>
  <c r="D26" i="9"/>
  <c r="C26" i="9"/>
  <c r="B26" i="9"/>
  <c r="E25" i="9"/>
  <c r="F25" i="9"/>
  <c r="D25" i="9"/>
  <c r="C25" i="9"/>
  <c r="B25" i="9"/>
  <c r="E24" i="9"/>
  <c r="D24" i="9"/>
  <c r="C24" i="9"/>
  <c r="B24" i="9"/>
  <c r="E21" i="9"/>
  <c r="D21" i="9"/>
  <c r="C21" i="9"/>
  <c r="B21" i="9"/>
  <c r="E20" i="9"/>
  <c r="F20" i="9"/>
  <c r="D20" i="9"/>
  <c r="C20" i="9"/>
  <c r="B20" i="9"/>
  <c r="E19" i="9"/>
  <c r="F19" i="9" s="1"/>
  <c r="D19" i="9"/>
  <c r="C19" i="9"/>
  <c r="B19" i="9"/>
  <c r="D18" i="9"/>
  <c r="C18" i="9"/>
  <c r="B18" i="9"/>
  <c r="C17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F11" i="9"/>
  <c r="D11" i="9"/>
  <c r="C11" i="9"/>
  <c r="B11" i="9"/>
  <c r="E10" i="9"/>
  <c r="F10" i="9" s="1"/>
  <c r="D10" i="9"/>
  <c r="C10" i="9"/>
  <c r="B10" i="9"/>
  <c r="E9" i="9"/>
  <c r="D9" i="9"/>
  <c r="C9" i="9"/>
  <c r="B9" i="9"/>
  <c r="E8" i="9"/>
  <c r="D8" i="9"/>
  <c r="C8" i="9"/>
  <c r="F8" i="9"/>
  <c r="B8" i="9"/>
  <c r="H6" i="9"/>
  <c r="D66" i="8"/>
  <c r="D67" i="8"/>
  <c r="D69" i="8"/>
  <c r="D64" i="8"/>
  <c r="D62" i="8"/>
  <c r="C66" i="8"/>
  <c r="E66" i="8"/>
  <c r="D53" i="8"/>
  <c r="D78" i="8"/>
  <c r="D79" i="8"/>
  <c r="C44" i="8"/>
  <c r="F44" i="8"/>
  <c r="E43" i="8"/>
  <c r="A43" i="8"/>
  <c r="C43" i="8"/>
  <c r="F43" i="8"/>
  <c r="E42" i="8"/>
  <c r="A42" i="8"/>
  <c r="C42" i="8"/>
  <c r="F42" i="8"/>
  <c r="E41" i="8"/>
  <c r="A41" i="8"/>
  <c r="C41" i="8"/>
  <c r="E40" i="8"/>
  <c r="F40" i="8"/>
  <c r="A40" i="8"/>
  <c r="C40" i="8"/>
  <c r="E39" i="8"/>
  <c r="F39" i="8" s="1"/>
  <c r="A39" i="8"/>
  <c r="C39" i="8"/>
  <c r="E36" i="8"/>
  <c r="A36" i="8"/>
  <c r="C36" i="8"/>
  <c r="E35" i="8"/>
  <c r="A35" i="8"/>
  <c r="C35" i="8"/>
  <c r="E34" i="8"/>
  <c r="F34" i="8" s="1"/>
  <c r="G34" i="8" s="1"/>
  <c r="A34" i="8"/>
  <c r="C34" i="8"/>
  <c r="E33" i="8"/>
  <c r="C33" i="8"/>
  <c r="F33" i="8"/>
  <c r="G33" i="8"/>
  <c r="A33" i="8"/>
  <c r="E32" i="8"/>
  <c r="A32" i="8"/>
  <c r="C32" i="8"/>
  <c r="E29" i="8"/>
  <c r="F29" i="8"/>
  <c r="D29" i="8"/>
  <c r="C29" i="8"/>
  <c r="B29" i="8"/>
  <c r="E28" i="8"/>
  <c r="F28" i="8" s="1"/>
  <c r="D28" i="8"/>
  <c r="C28" i="8"/>
  <c r="B28" i="8"/>
  <c r="E27" i="8"/>
  <c r="F27" i="8" s="1"/>
  <c r="D27" i="8"/>
  <c r="C27" i="8"/>
  <c r="B27" i="8"/>
  <c r="E26" i="8"/>
  <c r="D26" i="8"/>
  <c r="C26" i="8"/>
  <c r="B26" i="8"/>
  <c r="E25" i="8"/>
  <c r="F25" i="8" s="1"/>
  <c r="D25" i="8"/>
  <c r="C25" i="8"/>
  <c r="B25" i="8"/>
  <c r="E24" i="8"/>
  <c r="F24" i="8"/>
  <c r="D24" i="8"/>
  <c r="C24" i="8"/>
  <c r="B24" i="8"/>
  <c r="E21" i="8"/>
  <c r="F21" i="8"/>
  <c r="D21" i="8"/>
  <c r="C21" i="8"/>
  <c r="B21" i="8"/>
  <c r="E20" i="8"/>
  <c r="F20" i="8" s="1"/>
  <c r="D20" i="8"/>
  <c r="C20" i="8"/>
  <c r="B20" i="8"/>
  <c r="E19" i="8"/>
  <c r="D19" i="8"/>
  <c r="C19" i="8"/>
  <c r="B19" i="8"/>
  <c r="E18" i="8"/>
  <c r="F18" i="8"/>
  <c r="D18" i="8"/>
  <c r="C18" i="8"/>
  <c r="B18" i="8"/>
  <c r="E17" i="8"/>
  <c r="F17" i="8" s="1"/>
  <c r="D17" i="8"/>
  <c r="C17" i="8"/>
  <c r="B17" i="8"/>
  <c r="E14" i="8"/>
  <c r="F14" i="8" s="1"/>
  <c r="D14" i="8"/>
  <c r="C14" i="8"/>
  <c r="B14" i="8"/>
  <c r="E13" i="8"/>
  <c r="F13" i="8" s="1"/>
  <c r="D13" i="8"/>
  <c r="C13" i="8"/>
  <c r="B13" i="8"/>
  <c r="E12" i="8"/>
  <c r="F12" i="8" s="1"/>
  <c r="D12" i="8"/>
  <c r="C12" i="8"/>
  <c r="B12" i="8"/>
  <c r="E11" i="8"/>
  <c r="F11" i="8" s="1"/>
  <c r="D11" i="8"/>
  <c r="C11" i="8"/>
  <c r="B11" i="8"/>
  <c r="E10" i="8"/>
  <c r="F10" i="8" s="1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6" i="9"/>
  <c r="D76" i="8"/>
  <c r="D74" i="9"/>
  <c r="C78" i="8"/>
  <c r="D74" i="8"/>
  <c r="F35" i="8"/>
  <c r="G35" i="8" s="1"/>
  <c r="F12" i="9"/>
  <c r="F13" i="9"/>
  <c r="F41" i="9"/>
  <c r="G27" i="10"/>
  <c r="F19" i="8"/>
  <c r="F41" i="8"/>
  <c r="F43" i="9"/>
  <c r="G31" i="10"/>
  <c r="F14" i="9"/>
  <c r="F24" i="9"/>
  <c r="E78" i="8"/>
  <c r="F26" i="8"/>
  <c r="F36" i="8"/>
  <c r="G36" i="8" s="1"/>
  <c r="C66" i="9"/>
  <c r="E44" i="9"/>
  <c r="F44" i="9"/>
  <c r="G10" i="10"/>
  <c r="G28" i="10"/>
  <c r="G37" i="10"/>
  <c r="F32" i="8"/>
  <c r="G32" i="8"/>
  <c r="F9" i="9"/>
  <c r="F21" i="9"/>
  <c r="F18" i="9"/>
  <c r="C78" i="9"/>
  <c r="E78" i="9"/>
  <c r="E66" i="9"/>
  <c r="F49" i="8" l="1"/>
  <c r="G41" i="10"/>
  <c r="F46" i="8"/>
  <c r="F47" i="8"/>
  <c r="G43" i="10"/>
  <c r="F41" i="10"/>
  <c r="G49" i="10" l="1"/>
  <c r="H47" i="8"/>
  <c r="C69" i="8"/>
  <c r="E69" i="8" s="1"/>
  <c r="O48" i="8"/>
  <c r="H49" i="8"/>
  <c r="C67" i="8"/>
  <c r="F57" i="8"/>
  <c r="H46" i="8"/>
  <c r="F48" i="8"/>
  <c r="C62" i="8"/>
  <c r="O47" i="8" l="1"/>
  <c r="F56" i="8"/>
  <c r="H48" i="8"/>
  <c r="C79" i="8"/>
  <c r="E79" i="8" s="1"/>
  <c r="E67" i="8"/>
  <c r="H2" i="8"/>
  <c r="E39" i="9"/>
  <c r="F39" i="9" s="1"/>
  <c r="E62" i="8"/>
  <c r="E71" i="8" s="1"/>
  <c r="C74" i="8"/>
  <c r="E74" i="8" s="1"/>
  <c r="G2" i="8"/>
  <c r="E32" i="9"/>
  <c r="F32" i="9" s="1"/>
  <c r="F2" i="8"/>
  <c r="E17" i="9"/>
  <c r="F17" i="9" s="1"/>
  <c r="F46" i="9" l="1"/>
  <c r="F49" i="9"/>
  <c r="E56" i="8"/>
  <c r="C64" i="8"/>
  <c r="F59" i="8"/>
  <c r="G32" i="9"/>
  <c r="F47" i="9"/>
  <c r="O49" i="8"/>
  <c r="O50" i="8"/>
  <c r="O51" i="8" l="1"/>
  <c r="O52" i="8" s="1"/>
  <c r="H47" i="9"/>
  <c r="G2" i="9" s="1"/>
  <c r="C69" i="9"/>
  <c r="E69" i="9" s="1"/>
  <c r="G59" i="8"/>
  <c r="G19" i="8"/>
  <c r="G58" i="8"/>
  <c r="G42" i="8"/>
  <c r="G26" i="8"/>
  <c r="G8" i="8"/>
  <c r="G44" i="8"/>
  <c r="G18" i="8"/>
  <c r="G40" i="8"/>
  <c r="G17" i="8"/>
  <c r="G10" i="8"/>
  <c r="G12" i="8"/>
  <c r="G13" i="8"/>
  <c r="G14" i="8"/>
  <c r="G24" i="8"/>
  <c r="G20" i="8"/>
  <c r="G39" i="8"/>
  <c r="G43" i="8"/>
  <c r="G29" i="8"/>
  <c r="G41" i="8"/>
  <c r="G9" i="8"/>
  <c r="G28" i="8"/>
  <c r="G27" i="8"/>
  <c r="G21" i="8"/>
  <c r="G11" i="8"/>
  <c r="G25" i="8"/>
  <c r="G47" i="8"/>
  <c r="G46" i="8"/>
  <c r="G49" i="8"/>
  <c r="G57" i="8"/>
  <c r="G48" i="8"/>
  <c r="C76" i="8"/>
  <c r="E76" i="8" s="1"/>
  <c r="E64" i="8"/>
  <c r="G56" i="8"/>
  <c r="H49" i="9"/>
  <c r="H2" i="9" s="1"/>
  <c r="C67" i="9"/>
  <c r="O48" i="9"/>
  <c r="C62" i="9"/>
  <c r="F57" i="9"/>
  <c r="H46" i="9"/>
  <c r="F2" i="9" s="1"/>
  <c r="F48" i="9"/>
  <c r="O53" i="8" l="1"/>
  <c r="O54" i="8" s="1"/>
  <c r="O55" i="8" s="1"/>
  <c r="C79" i="9"/>
  <c r="E79" i="9" s="1"/>
  <c r="E67" i="9"/>
  <c r="O47" i="9"/>
  <c r="F56" i="9"/>
  <c r="H48" i="9"/>
  <c r="E62" i="9"/>
  <c r="E71" i="9" s="1"/>
  <c r="C74" i="9"/>
  <c r="E74" i="9" s="1"/>
  <c r="P55" i="8" l="1"/>
  <c r="E2" i="8"/>
  <c r="F59" i="9"/>
  <c r="E56" i="9"/>
  <c r="C64" i="9"/>
  <c r="O49" i="9"/>
  <c r="O50" i="9" s="1"/>
  <c r="O51" i="9" l="1"/>
  <c r="O52" i="9"/>
  <c r="G59" i="9"/>
  <c r="G21" i="9"/>
  <c r="G43" i="9"/>
  <c r="G44" i="9"/>
  <c r="G58" i="9"/>
  <c r="G18" i="9"/>
  <c r="G11" i="9"/>
  <c r="G25" i="9"/>
  <c r="G41" i="9"/>
  <c r="G12" i="9"/>
  <c r="G14" i="9"/>
  <c r="G13" i="9"/>
  <c r="G42" i="9"/>
  <c r="G26" i="9"/>
  <c r="G9" i="9"/>
  <c r="G19" i="9"/>
  <c r="G27" i="9"/>
  <c r="G24" i="9"/>
  <c r="G20" i="9"/>
  <c r="G10" i="9"/>
  <c r="G8" i="9"/>
  <c r="G28" i="9"/>
  <c r="G40" i="9"/>
  <c r="G29" i="9"/>
  <c r="G39" i="9"/>
  <c r="G17" i="9"/>
  <c r="G49" i="9"/>
  <c r="G47" i="9"/>
  <c r="G46" i="9"/>
  <c r="G48" i="9"/>
  <c r="G57" i="9"/>
  <c r="C76" i="9"/>
  <c r="E76" i="9" s="1"/>
  <c r="E64" i="9"/>
  <c r="G56" i="9"/>
  <c r="O53" i="9" l="1"/>
  <c r="O54" i="9" s="1"/>
  <c r="O55" i="9" s="1"/>
  <c r="E2" i="9" l="1"/>
  <c r="P55" i="9"/>
  <c r="O57" i="9"/>
  <c r="F9" i="10" s="1"/>
  <c r="G9" i="10" s="1"/>
  <c r="G40" i="10" l="1"/>
  <c r="G42" i="10" l="1"/>
  <c r="G44" i="10" l="1"/>
  <c r="G48" i="10"/>
  <c r="G50" i="10" l="1"/>
  <c r="G51" i="10" s="1"/>
  <c r="G52" i="10" l="1"/>
  <c r="G53" i="10"/>
  <c r="J53" i="10"/>
  <c r="I1" i="10"/>
  <c r="H50" i="10"/>
  <c r="H26" i="10" l="1"/>
  <c r="H10" i="10"/>
  <c r="G55" i="10"/>
  <c r="H27" i="10"/>
  <c r="H28" i="10"/>
  <c r="G54" i="10"/>
  <c r="H30" i="10"/>
  <c r="H13" i="10"/>
  <c r="H24" i="10"/>
  <c r="H18" i="10"/>
  <c r="H36" i="10"/>
  <c r="H14" i="10"/>
  <c r="H37" i="10"/>
  <c r="H20" i="10"/>
  <c r="H35" i="10"/>
  <c r="H17" i="10"/>
  <c r="H31" i="10"/>
  <c r="H29" i="10"/>
  <c r="H38" i="10"/>
  <c r="H33" i="10"/>
  <c r="H19" i="10"/>
  <c r="H34" i="10"/>
  <c r="H11" i="10"/>
  <c r="H25" i="10"/>
  <c r="H12" i="10"/>
  <c r="H43" i="10"/>
  <c r="H41" i="10"/>
  <c r="H49" i="10"/>
  <c r="H9" i="10"/>
  <c r="H40" i="10"/>
  <c r="H42" i="10"/>
  <c r="H48" i="10"/>
  <c r="H44" i="10"/>
  <c r="H51" i="10"/>
</calcChain>
</file>

<file path=xl/sharedStrings.xml><?xml version="1.0" encoding="utf-8"?>
<sst xmlns="http://schemas.openxmlformats.org/spreadsheetml/2006/main" count="531" uniqueCount="225">
  <si>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</si>
  <si>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</si>
  <si>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</si>
  <si>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</si>
  <si>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</si>
  <si>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</si>
  <si>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</si>
  <si>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</si>
  <si>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</si>
  <si>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</si>
  <si>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</si>
  <si>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</si>
  <si>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</si>
  <si>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</si>
  <si>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</si>
  <si>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</si>
  <si>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</si>
  <si>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</si>
  <si>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</si>
  <si>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</si>
  <si>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</si>
  <si>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</si>
  <si>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</si>
  <si>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</si>
  <si>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</si>
  <si>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Jeffry Rodriguez, Gerente de Manufactura</t>
  </si>
  <si>
    <t>EMPAQUE</t>
  </si>
  <si>
    <t>Andrea Zamora,chef</t>
  </si>
  <si>
    <t>Corte Alfajor mediano en flor</t>
  </si>
  <si>
    <t>95013</t>
  </si>
  <si>
    <t>g</t>
  </si>
  <si>
    <t>0510188</t>
  </si>
  <si>
    <t>HARINA (estirar)</t>
  </si>
  <si>
    <t xml:space="preserve">PASTA ALFAJOR </t>
  </si>
  <si>
    <t>SPOON</t>
  </si>
  <si>
    <t>HARISOL</t>
  </si>
  <si>
    <t>min</t>
  </si>
  <si>
    <t>Uds</t>
  </si>
  <si>
    <t>1 Estirar la pasta con ayuda de la maquina hasta 5 mm de espesor. En la laminadora Kemplex utilizar graducion #3, en la laminadora Rondo laminarla en una graduacion de 4,2.</t>
  </si>
  <si>
    <t>2 Porcionar con un cortador en forma de flor.</t>
  </si>
  <si>
    <t>2 Colocar sobre una bandeja</t>
  </si>
  <si>
    <t>4 Hornear por 20 min aprox a 170 ºC en el Dicte 1/ ó 22 minutos en el Dicte 2.</t>
  </si>
  <si>
    <t>NUEVO</t>
  </si>
  <si>
    <t>1950730</t>
  </si>
  <si>
    <t>CAJA BLANCA  PEQUEÑA</t>
  </si>
  <si>
    <t>Litografia CR</t>
  </si>
  <si>
    <t>Ud</t>
  </si>
  <si>
    <t>1950771</t>
  </si>
  <si>
    <t>PAPEL ENCERADO 10X10 (PAQ * 500)</t>
  </si>
  <si>
    <t>Mayca</t>
  </si>
  <si>
    <t>1950702</t>
  </si>
  <si>
    <t>BOLSA 12X18</t>
  </si>
  <si>
    <t>Plasticos P</t>
  </si>
  <si>
    <t>0702007</t>
  </si>
  <si>
    <t>ETIQ.FECHA VENCIMIENTO BLANCO (ROLLO)</t>
  </si>
  <si>
    <t>ETIPLAST</t>
  </si>
  <si>
    <t>0702009</t>
  </si>
  <si>
    <t>ETIQ.FECHA VENCIMIENTO NARANJA</t>
  </si>
  <si>
    <t>1,- Colocar dentro de una caja de cartón pequeña 1/2 hoja de papel encerado, colocar encima 42 tapas de alfajor grande recien horneadas -frios</t>
  </si>
  <si>
    <t>2,- introducir dentro de una bolsa plástica, sellar, etiquetar con nombre, día juliano.</t>
  </si>
  <si>
    <t xml:space="preserve">EMPAQUE GALLETA ALFAJOR FLOR </t>
  </si>
  <si>
    <t xml:space="preserve">CORTE GALLETA ALFAJOR FLOR </t>
  </si>
  <si>
    <t>CÓDIGO</t>
  </si>
  <si>
    <t xml:space="preserve">INSTRUCTIVO </t>
  </si>
  <si>
    <t>REVISION</t>
  </si>
  <si>
    <t>FECHA APROBACION</t>
  </si>
  <si>
    <t xml:space="preserve">ELABORADO: </t>
  </si>
  <si>
    <t>Andrea Zamora, chef</t>
  </si>
  <si>
    <t>APROBADO:</t>
  </si>
  <si>
    <t>Yenny Castro Q, Calidad</t>
  </si>
  <si>
    <t xml:space="preserve">Descrip. - Componentes </t>
  </si>
  <si>
    <t>Cantidades</t>
  </si>
  <si>
    <t>Vida Útil</t>
  </si>
  <si>
    <t>Tipo Almacenamiento</t>
  </si>
  <si>
    <t>Tiempo Calentamiento</t>
  </si>
  <si>
    <t>2 Uds (26g)</t>
  </si>
  <si>
    <t>30g</t>
  </si>
  <si>
    <t>1g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</si>
  <si>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</si>
  <si>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</si>
  <si>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</si>
  <si>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</si>
  <si>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</si>
  <si>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H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</si>
  <si>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</si>
  <si>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4-</t>
    </r>
    <r>
      <rPr>
        <sz val="10"/>
        <rFont val="Century Gothic"/>
        <family val="2"/>
      </rPr>
      <t xml:space="preserve"> U</t>
    </r>
  </si>
  <si>
    <r>
      <rPr>
        <b/>
        <sz val="10"/>
        <rFont val="Century Gothic"/>
        <family val="2"/>
      </rPr>
      <t>5-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</si>
  <si>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>6-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</si>
  <si>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7-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</si>
  <si>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</si>
  <si>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E</t>
    </r>
  </si>
  <si>
    <t>3. ESPECIFICACIONES DEL PLATO</t>
  </si>
  <si>
    <t>Alfajor en Flor</t>
  </si>
  <si>
    <t xml:space="preserve">GALLETA ALFAJOR FLOR </t>
  </si>
  <si>
    <t>0510155</t>
  </si>
  <si>
    <t>Azúcar en polvo</t>
  </si>
  <si>
    <t>Leche condensada cocinada (630g)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</si>
  <si>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</si>
  <si>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</si>
  <si>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</si>
  <si>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</si>
  <si>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</si>
  <si>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</si>
  <si>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</si>
  <si>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</si>
  <si>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</si>
  <si>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</si>
  <si>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</si>
  <si>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</si>
  <si>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</si>
  <si>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</si>
  <si>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</si>
  <si>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</si>
  <si>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</si>
  <si>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</si>
  <si>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</si>
  <si>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</si>
  <si>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</si>
  <si>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</si>
  <si>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</si>
  <si>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</si>
  <si>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</si>
  <si>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</si>
  <si>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</si>
  <si>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</si>
  <si>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</si>
  <si>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</si>
  <si>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</si>
  <si>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</si>
  <si>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</si>
  <si>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</si>
  <si>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</si>
  <si>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</si>
  <si>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</si>
  <si>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</si>
  <si>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</si>
  <si>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</si>
  <si>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</si>
  <si>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</si>
  <si>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</si>
  <si>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</si>
  <si>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</si>
  <si>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</si>
  <si>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</si>
  <si>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</si>
  <si>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</si>
  <si>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</si>
  <si>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</si>
  <si>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</si>
  <si>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</si>
  <si>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</si>
  <si>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</si>
  <si>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</si>
  <si>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</si>
  <si>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</si>
  <si>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</si>
  <si>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</si>
  <si>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</si>
  <si>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</si>
  <si>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</si>
  <si>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</si>
  <si>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</si>
  <si>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</si>
  <si>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</si>
  <si>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</si>
  <si>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</si>
  <si>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</si>
  <si>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</si>
  <si>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</si>
  <si>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>PASTA DE ALFAJOR (23.3 Kg)</t>
  </si>
  <si>
    <t xml:space="preserve">UND </t>
  </si>
  <si>
    <t>1110399</t>
  </si>
  <si>
    <t>1950731</t>
  </si>
  <si>
    <t>1950701</t>
  </si>
  <si>
    <t>1840690</t>
  </si>
  <si>
    <t>0510107</t>
  </si>
  <si>
    <t>Costo 137,66 cada uno</t>
  </si>
  <si>
    <t>CAJA PEQ BLANCA</t>
  </si>
  <si>
    <t>ETIQ.FECHA VENCIMIENTO NARANJA (ROLLO)</t>
  </si>
  <si>
    <t>ETIQ.BLANCA 1 1/4 * 3/4</t>
  </si>
  <si>
    <t>CEMUSA</t>
  </si>
  <si>
    <t>Alfajor en Flor Leche Condensada Cocinada</t>
  </si>
  <si>
    <t>Ver Empaque</t>
  </si>
  <si>
    <t>Temp Ambiente</t>
  </si>
  <si>
    <t>No Aplica</t>
  </si>
  <si>
    <t>LATA LECHE CONDENSADA COCINADA (CAJA= 18,9 kg)</t>
  </si>
  <si>
    <t>CAPSULA  # 5 CON LOGO (1000 UND)</t>
  </si>
  <si>
    <t xml:space="preserve">1 Und </t>
  </si>
  <si>
    <t>No aplica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</si>
  <si>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Seleccionar dos tapas de alfajor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</si>
  <si>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Dosificar un poco de leche condensada cocinada en una manga utilizando sin boquilla 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</si>
  <si>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Con la manga dosificar 30 g de leche condensada cocinada sobre toda la superficie de la tapa del alfajor acorde a la fotografia</t>
    </r>
  </si>
  <si>
    <r>
      <rPr>
        <b/>
        <sz val="10"/>
        <rFont val="Century Gothic"/>
        <family val="2"/>
      </rPr>
      <t>4-</t>
    </r>
    <r>
      <rPr>
        <sz val="10"/>
        <rFont val="Century Gothic"/>
        <family val="2"/>
      </rPr>
      <t xml:space="preserve"> Colocar la segunda tapa sobre la leche condensada cocinada y hacer un poco de presión, decorar con un gramos de azúcar en polvo(1g) sobre todas las superficies acorde a  fotografia. Colocar el alfajor en una blonda #5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</si>
  <si>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Colocar el alfajor en plato de bocadillos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</si>
  <si>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En bolsa kraft</t>
    </r>
  </si>
  <si>
    <t>Galleta peruana en forma de flor rellena de leche condensada cocinada y decorada con azúcar en polvo.
Debe ser etiquetado con el punto de color del día, 12 horas de vida útil (del día)</t>
  </si>
  <si>
    <t>INS</t>
  </si>
  <si>
    <t>20400106</t>
  </si>
  <si>
    <t>ud</t>
  </si>
  <si>
    <t>Postres</t>
  </si>
  <si>
    <t>1,- Colocar dentro de una caja de cartón pequeña 42 tapas de alfajor recien horneadas y frescos.</t>
  </si>
  <si>
    <t>Javier Tong, Chef</t>
  </si>
  <si>
    <t>Esteban Cartin, Gte Manufactura</t>
  </si>
  <si>
    <t xml:space="preserve">2,- Etiquetar con nombre, fecha de vencimiento. Introducir dentro de una bolsa plástica, sellar, </t>
  </si>
  <si>
    <t>BOLSA 8 x12 TRANSP (KILO)</t>
  </si>
  <si>
    <t># Código Netsuite</t>
  </si>
  <si>
    <t>SE00187</t>
  </si>
  <si>
    <t>EM10055</t>
  </si>
  <si>
    <t>EM10037</t>
  </si>
  <si>
    <t>EM10019</t>
  </si>
  <si>
    <t>EM10002</t>
  </si>
  <si>
    <t>Ensamble</t>
  </si>
  <si>
    <t>FAS</t>
  </si>
  <si>
    <t>Empaque</t>
  </si>
  <si>
    <t>LITOGRAFIA CR</t>
  </si>
  <si>
    <t>PLASTICOS P</t>
  </si>
  <si>
    <t>Tiempo de Horneo:</t>
  </si>
  <si>
    <t>Horno:</t>
  </si>
  <si>
    <t>Temperatura de Horneo:</t>
  </si>
  <si>
    <t>Otros</t>
  </si>
  <si>
    <t>CONTROL DE CAMBIOS</t>
  </si>
  <si>
    <t>ESP-RE-POF-026</t>
  </si>
  <si>
    <t xml:space="preserve"> 20400106(PTL00081) EMPAQUE GALLETA ALFAJOR FLOR </t>
  </si>
  <si>
    <t>2, se actualizan datos de receta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</si>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</sst>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&quot;$&quot;#,##0_);[Red]\(&quot;$&quot;#,##0\)"/>
    <numFmt numFmtId="167" formatCode="_-* #,##0.0\ _€_-;\-* #,##0.0\ _€_-;_-* &quot;-&quot;??\ _€_-;_-@_-"/>
    <numFmt numFmtId="168" formatCode="0.0%"/>
    <numFmt numFmtId="169" formatCode="[$-409]d\-mmm\-yy;@"/>
    <numFmt numFmtId="170" formatCode="_(* #,##0.00_);_(* \(#,##0.00\);_(* &quot;-&quot;??_);_(@_)"/>
    <numFmt numFmtId="171" formatCode="_(* #,##0.000_);_(* \(#,##0.000\);_(* &quot;-&quot;??_);_(@_)"/>
  </numFmts>
  <fonts count="8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Century Gothic"/>
      <family val="2"/>
    </font>
    <font>
      <sz val="10"/>
      <name val="Century Gothic"/>
      <family val="2"/>
    </font>
    <font>
      <sz val="12"/>
      <name val="Times New Roman"/>
      <family val="1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8"/>
      <color indexed="17"/>
      <name val="Times New Roman"/>
      <family val="1"/>
    </font>
    <font>
      <sz val="9"/>
      <color indexed="21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9"/>
      <name val="Times New Roman"/>
      <family val="1"/>
    </font>
    <font>
      <sz val="10"/>
      <color indexed="12"/>
      <name val="Times New Roman"/>
      <family val="1"/>
    </font>
    <font>
      <b/>
      <sz val="10"/>
      <color indexed="53"/>
      <name val="Times New Roman"/>
      <family val="1"/>
    </font>
    <font>
      <b/>
      <sz val="16"/>
      <name val="Times New Roman"/>
      <family val="1"/>
    </font>
    <font>
      <sz val="10"/>
      <color indexed="18"/>
      <name val="Times New Roman"/>
      <family val="1"/>
    </font>
    <font>
      <b/>
      <sz val="10"/>
      <color indexed="62"/>
      <name val="Times New Roman"/>
      <family val="1"/>
    </font>
    <font>
      <b/>
      <sz val="12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" fillId="0" borderId="0"/>
    <xf numFmtId="0" fontId="65" fillId="0" borderId="0"/>
    <xf numFmtId="0" fontId="2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/>
  </cellStyleXfs>
  <cellXfs count="585">
    <xf numFmtId="0" fontId="0" fillId="0" borderId="0" xfId="0"/>
    <xf numFmtId="0" fontId="4" fillId="2" borderId="1" xfId="5" applyFont="1" applyFill="1" applyBorder="1" applyAlignment="1">
      <alignment horizontal="right"/>
    </xf>
    <xf numFmtId="0" fontId="1" fillId="2" borderId="2" xfId="5" applyFont="1" applyFill="1" applyBorder="1" applyAlignment="1">
      <alignment horizontal="center"/>
    </xf>
    <xf numFmtId="0" fontId="1" fillId="2" borderId="0" xfId="0" applyFont="1" applyFill="1"/>
    <xf numFmtId="0" fontId="4" fillId="2" borderId="3" xfId="5" applyFont="1" applyFill="1" applyBorder="1" applyAlignment="1">
      <alignment horizontal="right"/>
    </xf>
    <xf numFmtId="49" fontId="1" fillId="2" borderId="4" xfId="5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49" fontId="7" fillId="0" borderId="6" xfId="3" applyNumberFormat="1" applyFont="1" applyBorder="1" applyAlignment="1">
      <alignment horizontal="center"/>
    </xf>
    <xf numFmtId="49" fontId="1" fillId="0" borderId="3" xfId="3" applyNumberFormat="1" applyBorder="1"/>
    <xf numFmtId="16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49" fontId="7" fillId="10" borderId="6" xfId="0" applyNumberFormat="1" applyFont="1" applyFill="1" applyBorder="1" applyAlignment="1">
      <alignment horizontal="right"/>
    </xf>
    <xf numFmtId="49" fontId="1" fillId="10" borderId="3" xfId="0" applyNumberFormat="1" applyFont="1" applyFill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6" xfId="0" quotePrefix="1" applyFont="1" applyBorder="1" applyAlignment="1">
      <alignment horizontal="right"/>
    </xf>
    <xf numFmtId="0" fontId="1" fillId="0" borderId="3" xfId="0" quotePrefix="1" applyFont="1" applyBorder="1"/>
    <xf numFmtId="0" fontId="7" fillId="0" borderId="3" xfId="0" applyFont="1" applyBorder="1"/>
    <xf numFmtId="1" fontId="1" fillId="0" borderId="3" xfId="0" applyNumberFormat="1" applyFont="1" applyBorder="1" applyAlignment="1">
      <alignment horizontal="center" wrapText="1"/>
    </xf>
    <xf numFmtId="49" fontId="8" fillId="2" borderId="7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4" fillId="3" borderId="10" xfId="0" applyFont="1" applyFill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1" fillId="2" borderId="0" xfId="7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" fillId="2" borderId="0" xfId="5" applyFont="1" applyFill="1" applyAlignment="1">
      <alignment horizontal="center"/>
    </xf>
    <xf numFmtId="0" fontId="1" fillId="2" borderId="0" xfId="5" applyFont="1" applyFill="1" applyAlignment="1">
      <alignment horizontal="right"/>
    </xf>
    <xf numFmtId="0" fontId="1" fillId="2" borderId="0" xfId="5" applyFont="1" applyFill="1" applyAlignment="1">
      <alignment horizontal="left"/>
    </xf>
    <xf numFmtId="0" fontId="4" fillId="2" borderId="0" xfId="5" applyFont="1" applyFill="1" applyAlignment="1">
      <alignment horizontal="right" vertical="top" wrapText="1"/>
    </xf>
    <xf numFmtId="14" fontId="1" fillId="2" borderId="0" xfId="5" applyNumberFormat="1" applyFont="1" applyFill="1" applyAlignment="1">
      <alignment horizontal="center" vertical="center" wrapText="1"/>
    </xf>
    <xf numFmtId="0" fontId="1" fillId="2" borderId="3" xfId="5" applyFont="1" applyFill="1" applyBorder="1" applyAlignment="1">
      <alignment horizontal="right"/>
    </xf>
    <xf numFmtId="0" fontId="1" fillId="2" borderId="5" xfId="5" applyFont="1" applyFill="1" applyBorder="1" applyAlignment="1">
      <alignment horizontal="right"/>
    </xf>
    <xf numFmtId="0" fontId="6" fillId="0" borderId="14" xfId="0" applyFont="1" applyBorder="1" applyAlignment="1">
      <alignment horizontal="center" vertical="center"/>
    </xf>
    <xf numFmtId="0" fontId="3" fillId="0" borderId="12" xfId="0" applyFont="1" applyBorder="1"/>
    <xf numFmtId="0" fontId="2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10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14" fontId="66" fillId="2" borderId="0" xfId="5" applyNumberFormat="1" applyFont="1" applyFill="1" applyAlignment="1">
      <alignment horizontal="center" vertical="center" wrapText="1"/>
    </xf>
    <xf numFmtId="49" fontId="4" fillId="0" borderId="3" xfId="3" applyNumberFormat="1" applyFont="1" applyBorder="1"/>
    <xf numFmtId="0" fontId="67" fillId="0" borderId="3" xfId="0" quotePrefix="1" applyFont="1" applyBorder="1" applyAlignment="1">
      <alignment horizontal="center"/>
    </xf>
    <xf numFmtId="0" fontId="12" fillId="0" borderId="17" xfId="0" applyFont="1" applyBorder="1" applyAlignment="1">
      <alignment horizontal="left" vertical="center"/>
    </xf>
    <xf numFmtId="0" fontId="13" fillId="0" borderId="3" xfId="0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49" fontId="13" fillId="0" borderId="3" xfId="0" applyNumberFormat="1" applyFont="1" applyBorder="1" applyAlignment="1">
      <alignment horizontal="center"/>
    </xf>
    <xf numFmtId="49" fontId="14" fillId="0" borderId="3" xfId="0" applyNumberFormat="1" applyFont="1" applyBorder="1"/>
    <xf numFmtId="1" fontId="16" fillId="0" borderId="12" xfId="3" applyNumberFormat="1" applyFont="1" applyBorder="1" applyAlignment="1">
      <alignment horizontal="center"/>
    </xf>
    <xf numFmtId="0" fontId="2" fillId="0" borderId="12" xfId="0" applyFont="1" applyBorder="1"/>
    <xf numFmtId="1" fontId="13" fillId="0" borderId="3" xfId="0" applyNumberFormat="1" applyFont="1" applyBorder="1" applyAlignment="1">
      <alignment horizontal="center"/>
    </xf>
    <xf numFmtId="12" fontId="13" fillId="0" borderId="3" xfId="0" applyNumberFormat="1" applyFont="1" applyBorder="1" applyAlignment="1">
      <alignment horizontal="center"/>
    </xf>
    <xf numFmtId="49" fontId="12" fillId="2" borderId="3" xfId="0" applyNumberFormat="1" applyFont="1" applyFill="1" applyBorder="1" applyAlignment="1">
      <alignment horizontal="center" vertical="center"/>
    </xf>
    <xf numFmtId="0" fontId="13" fillId="0" borderId="3" xfId="0" applyFont="1" applyBorder="1"/>
    <xf numFmtId="16" fontId="16" fillId="0" borderId="17" xfId="0" applyNumberFormat="1" applyFont="1" applyBorder="1" applyAlignment="1">
      <alignment horizontal="center"/>
    </xf>
    <xf numFmtId="0" fontId="65" fillId="0" borderId="3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7" fillId="0" borderId="0" xfId="0" applyFont="1"/>
    <xf numFmtId="0" fontId="19" fillId="0" borderId="3" xfId="0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0" xfId="0" applyFont="1"/>
    <xf numFmtId="0" fontId="16" fillId="0" borderId="1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3" fillId="0" borderId="8" xfId="0" applyFont="1" applyBorder="1" applyAlignment="1">
      <alignment horizontal="center"/>
    </xf>
    <xf numFmtId="0" fontId="15" fillId="0" borderId="19" xfId="0" applyFont="1" applyBorder="1" applyAlignment="1">
      <alignment horizontal="left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49" fontId="68" fillId="10" borderId="22" xfId="4" applyNumberFormat="1" applyFont="1" applyFill="1" applyBorder="1" applyAlignment="1">
      <alignment horizontal="center" vertical="center"/>
    </xf>
    <xf numFmtId="0" fontId="69" fillId="0" borderId="1" xfId="0" quotePrefix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/>
    </xf>
    <xf numFmtId="49" fontId="68" fillId="0" borderId="1" xfId="0" applyNumberFormat="1" applyFont="1" applyBorder="1" applyAlignment="1">
      <alignment horizontal="center" vertical="center"/>
    </xf>
    <xf numFmtId="0" fontId="69" fillId="10" borderId="6" xfId="0" quotePrefix="1" applyFont="1" applyFill="1" applyBorder="1" applyAlignment="1">
      <alignment horizontal="center" vertical="center"/>
    </xf>
    <xf numFmtId="0" fontId="69" fillId="0" borderId="3" xfId="0" quotePrefix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49" fontId="68" fillId="0" borderId="3" xfId="0" applyNumberFormat="1" applyFont="1" applyBorder="1" applyAlignment="1">
      <alignment horizontal="center" vertical="center"/>
    </xf>
    <xf numFmtId="49" fontId="68" fillId="10" borderId="6" xfId="0" applyNumberFormat="1" applyFont="1" applyFill="1" applyBorder="1" applyAlignment="1">
      <alignment horizontal="center" vertical="center"/>
    </xf>
    <xf numFmtId="0" fontId="69" fillId="0" borderId="6" xfId="0" quotePrefix="1" applyFont="1" applyBorder="1" applyAlignment="1">
      <alignment horizontal="center" vertical="center"/>
    </xf>
    <xf numFmtId="49" fontId="68" fillId="0" borderId="6" xfId="3" applyNumberFormat="1" applyFont="1" applyBorder="1" applyAlignment="1">
      <alignment horizontal="center" vertical="center"/>
    </xf>
    <xf numFmtId="49" fontId="68" fillId="0" borderId="3" xfId="3" applyNumberFormat="1" applyFont="1" applyBorder="1" applyAlignment="1">
      <alignment horizontal="center" vertical="center"/>
    </xf>
    <xf numFmtId="0" fontId="68" fillId="0" borderId="3" xfId="3" applyFont="1" applyBorder="1" applyAlignment="1">
      <alignment horizontal="center" vertical="center" wrapText="1"/>
    </xf>
    <xf numFmtId="49" fontId="68" fillId="0" borderId="3" xfId="3" applyNumberFormat="1" applyFont="1" applyBorder="1" applyAlignment="1">
      <alignment horizontal="left" vertical="center"/>
    </xf>
    <xf numFmtId="14" fontId="68" fillId="10" borderId="3" xfId="0" applyNumberFormat="1" applyFont="1" applyFill="1" applyBorder="1" applyAlignment="1">
      <alignment horizontal="left" vertical="center"/>
    </xf>
    <xf numFmtId="0" fontId="68" fillId="10" borderId="3" xfId="0" applyFont="1" applyFill="1" applyBorder="1" applyAlignment="1">
      <alignment horizontal="left" vertical="center"/>
    </xf>
    <xf numFmtId="49" fontId="68" fillId="0" borderId="6" xfId="0" applyNumberFormat="1" applyFont="1" applyBorder="1" applyAlignment="1">
      <alignment horizontal="center" vertical="center" wrapText="1"/>
    </xf>
    <xf numFmtId="0" fontId="68" fillId="0" borderId="3" xfId="0" applyFont="1" applyBorder="1" applyAlignment="1">
      <alignment vertical="center"/>
    </xf>
    <xf numFmtId="0" fontId="68" fillId="0" borderId="23" xfId="3" applyFont="1" applyBorder="1" applyAlignment="1">
      <alignment horizontal="center" vertical="center"/>
    </xf>
    <xf numFmtId="0" fontId="68" fillId="0" borderId="24" xfId="3" applyFont="1" applyBorder="1" applyAlignment="1">
      <alignment horizontal="left" vertical="center"/>
    </xf>
    <xf numFmtId="0" fontId="68" fillId="0" borderId="24" xfId="0" applyFont="1" applyBorder="1" applyAlignment="1">
      <alignment horizontal="center" vertical="center"/>
    </xf>
    <xf numFmtId="49" fontId="68" fillId="0" borderId="24" xfId="0" applyNumberFormat="1" applyFont="1" applyBorder="1" applyAlignment="1">
      <alignment horizontal="center" vertical="center"/>
    </xf>
    <xf numFmtId="0" fontId="16" fillId="0" borderId="7" xfId="0" applyFont="1" applyBorder="1"/>
    <xf numFmtId="0" fontId="23" fillId="0" borderId="0" xfId="0" applyFont="1"/>
    <xf numFmtId="0" fontId="23" fillId="0" borderId="8" xfId="0" applyFont="1" applyBorder="1"/>
    <xf numFmtId="4" fontId="34" fillId="0" borderId="0" xfId="2" applyNumberFormat="1" applyFont="1" applyAlignment="1">
      <alignment horizontal="center" vertical="center"/>
    </xf>
    <xf numFmtId="167" fontId="30" fillId="4" borderId="3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/>
    </xf>
    <xf numFmtId="0" fontId="30" fillId="4" borderId="26" xfId="0" applyFont="1" applyFill="1" applyBorder="1" applyAlignment="1">
      <alignment horizontal="center" vertical="center"/>
    </xf>
    <xf numFmtId="0" fontId="30" fillId="4" borderId="26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4" fontId="30" fillId="5" borderId="28" xfId="1" applyNumberFormat="1" applyFont="1" applyFill="1" applyBorder="1" applyAlignment="1">
      <alignment horizontal="center" vertical="center"/>
    </xf>
    <xf numFmtId="43" fontId="46" fillId="6" borderId="28" xfId="1" applyFont="1" applyFill="1" applyBorder="1" applyAlignment="1">
      <alignment horizontal="right"/>
    </xf>
    <xf numFmtId="0" fontId="35" fillId="4" borderId="10" xfId="0" applyFont="1" applyFill="1" applyBorder="1"/>
    <xf numFmtId="0" fontId="45" fillId="4" borderId="10" xfId="0" applyFont="1" applyFill="1" applyBorder="1"/>
    <xf numFmtId="0" fontId="30" fillId="0" borderId="0" xfId="0" applyFont="1" applyAlignment="1">
      <alignment horizontal="center"/>
    </xf>
    <xf numFmtId="0" fontId="30" fillId="0" borderId="0" xfId="0" applyFont="1"/>
    <xf numFmtId="49" fontId="30" fillId="0" borderId="0" xfId="2" applyNumberFormat="1" applyFont="1" applyAlignment="1">
      <alignment horizontal="center"/>
    </xf>
    <xf numFmtId="0" fontId="41" fillId="0" borderId="0" xfId="0" applyFont="1" applyAlignment="1">
      <alignment horizontal="center"/>
    </xf>
    <xf numFmtId="43" fontId="30" fillId="3" borderId="28" xfId="1" applyFont="1" applyFill="1" applyBorder="1" applyAlignment="1">
      <alignment horizontal="center"/>
    </xf>
    <xf numFmtId="3" fontId="30" fillId="7" borderId="28" xfId="0" applyNumberFormat="1" applyFont="1" applyFill="1" applyBorder="1" applyAlignment="1">
      <alignment horizontal="center"/>
    </xf>
    <xf numFmtId="43" fontId="30" fillId="0" borderId="0" xfId="1" applyFont="1" applyAlignment="1">
      <alignment vertical="top"/>
    </xf>
    <xf numFmtId="4" fontId="30" fillId="0" borderId="0" xfId="1" applyNumberFormat="1" applyFont="1" applyAlignment="1">
      <alignment vertical="top"/>
    </xf>
    <xf numFmtId="10" fontId="27" fillId="4" borderId="29" xfId="6" applyNumberFormat="1" applyFont="1" applyFill="1" applyBorder="1" applyAlignment="1">
      <alignment vertical="center"/>
    </xf>
    <xf numFmtId="0" fontId="14" fillId="4" borderId="10" xfId="0" applyFont="1" applyFill="1" applyBorder="1" applyAlignment="1">
      <alignment vertical="center"/>
    </xf>
    <xf numFmtId="0" fontId="14" fillId="4" borderId="29" xfId="0" applyFont="1" applyFill="1" applyBorder="1" applyAlignment="1">
      <alignment vertical="center"/>
    </xf>
    <xf numFmtId="43" fontId="34" fillId="4" borderId="30" xfId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vertical="center"/>
    </xf>
    <xf numFmtId="10" fontId="27" fillId="4" borderId="30" xfId="6" applyNumberFormat="1" applyFont="1" applyFill="1" applyBorder="1" applyAlignment="1">
      <alignment vertical="center"/>
    </xf>
    <xf numFmtId="0" fontId="14" fillId="4" borderId="31" xfId="0" applyFont="1" applyFill="1" applyBorder="1" applyAlignment="1">
      <alignment vertical="center"/>
    </xf>
    <xf numFmtId="3" fontId="38" fillId="8" borderId="28" xfId="0" applyNumberFormat="1" applyFont="1" applyFill="1" applyBorder="1" applyAlignment="1">
      <alignment horizontal="center"/>
    </xf>
    <xf numFmtId="43" fontId="30" fillId="9" borderId="3" xfId="1" applyFont="1" applyFill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3" fontId="46" fillId="4" borderId="10" xfId="1" applyFont="1" applyFill="1" applyBorder="1" applyAlignment="1">
      <alignment horizontal="right"/>
    </xf>
    <xf numFmtId="0" fontId="30" fillId="4" borderId="11" xfId="0" applyFont="1" applyFill="1" applyBorder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0" fontId="30" fillId="11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30" fillId="11" borderId="3" xfId="0" applyFont="1" applyFill="1" applyBorder="1" applyAlignment="1">
      <alignment horizontal="center" vertical="center" wrapText="1"/>
    </xf>
    <xf numFmtId="0" fontId="30" fillId="12" borderId="28" xfId="0" applyFont="1" applyFill="1" applyBorder="1" applyAlignment="1">
      <alignment horizontal="center" vertical="center"/>
    </xf>
    <xf numFmtId="0" fontId="14" fillId="10" borderId="28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30" fillId="0" borderId="3" xfId="1" applyFont="1" applyBorder="1" applyAlignment="1">
      <alignment horizontal="center" vertical="center"/>
    </xf>
    <xf numFmtId="43" fontId="30" fillId="0" borderId="0" xfId="1" applyFont="1" applyAlignment="1">
      <alignment horizontal="center" vertical="center"/>
    </xf>
    <xf numFmtId="43" fontId="64" fillId="0" borderId="0" xfId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9" fontId="62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2" applyNumberFormat="1" applyFont="1" applyAlignment="1">
      <alignment horizontal="center" vertical="center"/>
    </xf>
    <xf numFmtId="4" fontId="30" fillId="0" borderId="0" xfId="2" applyNumberFormat="1" applyFont="1" applyAlignment="1">
      <alignment horizontal="center" vertical="center"/>
    </xf>
    <xf numFmtId="10" fontId="30" fillId="0" borderId="0" xfId="6" applyNumberFormat="1" applyFont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10" fontId="27" fillId="0" borderId="0" xfId="6" applyNumberFormat="1" applyFont="1" applyAlignment="1">
      <alignment vertical="center"/>
    </xf>
    <xf numFmtId="0" fontId="14" fillId="0" borderId="0" xfId="0" applyFont="1"/>
    <xf numFmtId="49" fontId="30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9" fontId="14" fillId="0" borderId="0" xfId="0" applyNumberFormat="1" applyFont="1"/>
    <xf numFmtId="49" fontId="3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4" fontId="30" fillId="0" borderId="0" xfId="1" applyNumberFormat="1" applyFont="1" applyAlignment="1">
      <alignment vertical="center"/>
    </xf>
    <xf numFmtId="43" fontId="34" fillId="0" borderId="0" xfId="1" applyFont="1" applyAlignment="1">
      <alignment horizontal="center" vertical="center"/>
    </xf>
    <xf numFmtId="43" fontId="45" fillId="0" borderId="0" xfId="1" applyFont="1" applyAlignment="1">
      <alignment horizontal="right"/>
    </xf>
    <xf numFmtId="0" fontId="47" fillId="0" borderId="0" xfId="0" applyFont="1" applyAlignment="1">
      <alignment horizontal="right"/>
    </xf>
    <xf numFmtId="9" fontId="70" fillId="0" borderId="0" xfId="6" applyFont="1" applyAlignment="1">
      <alignment horizontal="center"/>
    </xf>
    <xf numFmtId="0" fontId="34" fillId="0" borderId="0" xfId="0" applyFont="1" applyAlignment="1">
      <alignment horizontal="right" vertical="center"/>
    </xf>
    <xf numFmtId="4" fontId="34" fillId="0" borderId="0" xfId="1" applyNumberFormat="1" applyFont="1" applyAlignment="1">
      <alignment vertical="center"/>
    </xf>
    <xf numFmtId="0" fontId="49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50" fillId="0" borderId="8" xfId="0" applyFont="1" applyBorder="1" applyAlignment="1">
      <alignment horizontal="right"/>
    </xf>
    <xf numFmtId="43" fontId="46" fillId="0" borderId="0" xfId="1" applyFont="1" applyAlignment="1">
      <alignment horizontal="right"/>
    </xf>
    <xf numFmtId="43" fontId="30" fillId="0" borderId="3" xfId="1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10" fontId="48" fillId="0" borderId="0" xfId="6" applyNumberFormat="1" applyFont="1" applyAlignment="1">
      <alignment horizontal="right"/>
    </xf>
    <xf numFmtId="4" fontId="14" fillId="0" borderId="0" xfId="0" applyNumberFormat="1" applyFont="1" applyAlignment="1">
      <alignment horizontal="center" vertical="center"/>
    </xf>
    <xf numFmtId="170" fontId="37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2" fontId="48" fillId="0" borderId="0" xfId="1" applyNumberFormat="1" applyFont="1" applyAlignment="1">
      <alignment horizontal="center"/>
    </xf>
    <xf numFmtId="2" fontId="50" fillId="0" borderId="0" xfId="1" applyNumberFormat="1" applyFont="1" applyAlignment="1">
      <alignment horizontal="center"/>
    </xf>
    <xf numFmtId="10" fontId="14" fillId="0" borderId="0" xfId="6" applyNumberFormat="1" applyFont="1" applyAlignment="1">
      <alignment vertical="center"/>
    </xf>
    <xf numFmtId="4" fontId="14" fillId="0" borderId="0" xfId="1" applyNumberFormat="1" applyFont="1" applyAlignment="1">
      <alignment vertical="center"/>
    </xf>
    <xf numFmtId="10" fontId="36" fillId="0" borderId="0" xfId="1" applyNumberFormat="1" applyFont="1" applyAlignment="1">
      <alignment vertical="center"/>
    </xf>
    <xf numFmtId="170" fontId="54" fillId="0" borderId="0" xfId="0" applyNumberFormat="1" applyFont="1" applyAlignment="1">
      <alignment horizontal="center" vertical="center"/>
    </xf>
    <xf numFmtId="43" fontId="38" fillId="0" borderId="0" xfId="1" applyFont="1" applyAlignment="1">
      <alignment vertical="center"/>
    </xf>
    <xf numFmtId="4" fontId="29" fillId="0" borderId="0" xfId="2" applyNumberFormat="1" applyFont="1" applyAlignment="1">
      <alignment horizontal="center" vertical="center" wrapText="1"/>
    </xf>
    <xf numFmtId="43" fontId="14" fillId="0" borderId="0" xfId="1" applyFont="1" applyAlignment="1">
      <alignment vertical="center"/>
    </xf>
    <xf numFmtId="9" fontId="14" fillId="0" borderId="0" xfId="1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4" fontId="32" fillId="0" borderId="0" xfId="1" applyNumberFormat="1" applyFont="1" applyAlignment="1">
      <alignment vertical="center"/>
    </xf>
    <xf numFmtId="0" fontId="63" fillId="0" borderId="0" xfId="0" applyFont="1" applyAlignment="1">
      <alignment vertical="center"/>
    </xf>
    <xf numFmtId="43" fontId="63" fillId="0" borderId="0" xfId="1" applyFont="1" applyAlignment="1">
      <alignment vertical="center"/>
    </xf>
    <xf numFmtId="9" fontId="63" fillId="0" borderId="0" xfId="1" applyNumberFormat="1" applyFont="1" applyAlignment="1">
      <alignment vertical="center"/>
    </xf>
    <xf numFmtId="4" fontId="30" fillId="0" borderId="0" xfId="1" applyNumberFormat="1" applyFont="1" applyAlignment="1">
      <alignment horizontal="center" vertical="center"/>
    </xf>
    <xf numFmtId="10" fontId="37" fillId="0" borderId="0" xfId="6" applyNumberFormat="1" applyFont="1" applyAlignment="1">
      <alignment vertical="center"/>
    </xf>
    <xf numFmtId="43" fontId="37" fillId="0" borderId="0" xfId="1" applyFont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1" applyFont="1"/>
    <xf numFmtId="0" fontId="37" fillId="0" borderId="0" xfId="0" applyFont="1" applyAlignment="1">
      <alignment horizontal="right"/>
    </xf>
    <xf numFmtId="43" fontId="14" fillId="0" borderId="0" xfId="1" applyFont="1" applyAlignment="1">
      <alignment horizontal="center"/>
    </xf>
    <xf numFmtId="9" fontId="40" fillId="0" borderId="0" xfId="0" applyNumberFormat="1" applyFont="1" applyAlignment="1">
      <alignment horizontal="left"/>
    </xf>
    <xf numFmtId="4" fontId="30" fillId="0" borderId="0" xfId="0" applyNumberFormat="1" applyFont="1" applyAlignment="1">
      <alignment horizontal="center"/>
    </xf>
    <xf numFmtId="170" fontId="30" fillId="0" borderId="0" xfId="0" applyNumberFormat="1" applyFont="1"/>
    <xf numFmtId="0" fontId="35" fillId="0" borderId="0" xfId="0" applyFont="1"/>
    <xf numFmtId="0" fontId="35" fillId="0" borderId="0" xfId="0" applyFont="1" applyAlignment="1">
      <alignment horizontal="center"/>
    </xf>
    <xf numFmtId="0" fontId="44" fillId="0" borderId="0" xfId="0" applyFont="1"/>
    <xf numFmtId="10" fontId="51" fillId="0" borderId="0" xfId="6" applyNumberFormat="1" applyFont="1"/>
    <xf numFmtId="0" fontId="43" fillId="0" borderId="0" xfId="0" applyFont="1" applyAlignment="1">
      <alignment horizontal="center"/>
    </xf>
    <xf numFmtId="0" fontId="61" fillId="0" borderId="0" xfId="0" applyFont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10" fontId="30" fillId="0" borderId="0" xfId="6" applyNumberFormat="1" applyFont="1" applyAlignment="1">
      <alignment horizontal="right" vertical="center"/>
    </xf>
    <xf numFmtId="10" fontId="30" fillId="0" borderId="0" xfId="6" applyNumberFormat="1" applyFont="1" applyAlignment="1">
      <alignment horizontal="right" vertical="top"/>
    </xf>
    <xf numFmtId="9" fontId="30" fillId="0" borderId="0" xfId="6" applyFont="1" applyAlignment="1">
      <alignment horizontal="right" vertical="center"/>
    </xf>
    <xf numFmtId="0" fontId="30" fillId="2" borderId="0" xfId="0" quotePrefix="1" applyFont="1" applyFill="1" applyAlignment="1">
      <alignment horizontal="center"/>
    </xf>
    <xf numFmtId="0" fontId="45" fillId="0" borderId="0" xfId="0" applyFont="1"/>
    <xf numFmtId="43" fontId="52" fillId="0" borderId="0" xfId="1" applyFont="1" applyAlignment="1">
      <alignment horizontal="center"/>
    </xf>
    <xf numFmtId="0" fontId="52" fillId="0" borderId="0" xfId="0" applyFont="1"/>
    <xf numFmtId="4" fontId="52" fillId="0" borderId="0" xfId="2" applyNumberFormat="1" applyFont="1"/>
    <xf numFmtId="10" fontId="52" fillId="0" borderId="0" xfId="6" applyNumberFormat="1" applyFont="1" applyAlignment="1">
      <alignment vertical="center"/>
    </xf>
    <xf numFmtId="49" fontId="52" fillId="0" borderId="0" xfId="2" applyNumberFormat="1" applyFont="1" applyAlignment="1">
      <alignment horizontal="center"/>
    </xf>
    <xf numFmtId="49" fontId="42" fillId="0" borderId="0" xfId="2" applyNumberFormat="1" applyFont="1" applyAlignment="1">
      <alignment horizontal="center" vertical="center"/>
    </xf>
    <xf numFmtId="43" fontId="30" fillId="0" borderId="0" xfId="1" applyFont="1" applyAlignment="1">
      <alignment horizontal="center"/>
    </xf>
    <xf numFmtId="43" fontId="30" fillId="0" borderId="32" xfId="1" applyFont="1" applyBorder="1" applyAlignment="1">
      <alignment horizontal="center"/>
    </xf>
    <xf numFmtId="0" fontId="41" fillId="0" borderId="0" xfId="0" applyFont="1" applyAlignment="1">
      <alignment horizontal="right"/>
    </xf>
    <xf numFmtId="43" fontId="41" fillId="0" borderId="0" xfId="1" applyFont="1" applyAlignment="1">
      <alignment horizontal="center"/>
    </xf>
    <xf numFmtId="0" fontId="54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9" fontId="34" fillId="0" borderId="0" xfId="1" applyNumberFormat="1" applyFont="1" applyAlignment="1">
      <alignment vertical="top"/>
    </xf>
    <xf numFmtId="4" fontId="34" fillId="0" borderId="0" xfId="1" applyNumberFormat="1" applyFont="1" applyAlignment="1">
      <alignment horizontal="center"/>
    </xf>
    <xf numFmtId="0" fontId="14" fillId="0" borderId="33" xfId="0" applyFont="1" applyBorder="1"/>
    <xf numFmtId="10" fontId="37" fillId="0" borderId="0" xfId="6" applyNumberFormat="1" applyFont="1" applyAlignment="1">
      <alignment horizontal="right" vertical="top"/>
    </xf>
    <xf numFmtId="0" fontId="34" fillId="0" borderId="0" xfId="0" applyFont="1" applyAlignment="1">
      <alignment horizontal="center"/>
    </xf>
    <xf numFmtId="10" fontId="30" fillId="0" borderId="0" xfId="6" applyNumberFormat="1" applyFont="1" applyAlignment="1">
      <alignment horizontal="right"/>
    </xf>
    <xf numFmtId="168" fontId="38" fillId="0" borderId="0" xfId="1" applyNumberFormat="1" applyFont="1" applyAlignment="1">
      <alignment vertical="top"/>
    </xf>
    <xf numFmtId="0" fontId="56" fillId="0" borderId="0" xfId="0" applyFont="1"/>
    <xf numFmtId="0" fontId="60" fillId="0" borderId="0" xfId="0" applyFont="1" applyAlignment="1">
      <alignment horizontal="right"/>
    </xf>
    <xf numFmtId="10" fontId="38" fillId="0" borderId="0" xfId="6" applyNumberFormat="1" applyFont="1" applyAlignment="1">
      <alignment horizontal="right"/>
    </xf>
    <xf numFmtId="2" fontId="57" fillId="0" borderId="0" xfId="0" applyNumberFormat="1" applyFont="1" applyAlignment="1">
      <alignment horizontal="center"/>
    </xf>
    <xf numFmtId="10" fontId="55" fillId="0" borderId="0" xfId="6" applyNumberFormat="1" applyFont="1" applyAlignment="1">
      <alignment horizontal="right"/>
    </xf>
    <xf numFmtId="2" fontId="34" fillId="0" borderId="0" xfId="0" applyNumberFormat="1" applyFont="1" applyAlignment="1">
      <alignment horizontal="center"/>
    </xf>
    <xf numFmtId="43" fontId="35" fillId="0" borderId="0" xfId="1" applyFont="1"/>
    <xf numFmtId="10" fontId="41" fillId="0" borderId="0" xfId="6" applyNumberFormat="1" applyFont="1" applyAlignment="1">
      <alignment horizontal="right"/>
    </xf>
    <xf numFmtId="3" fontId="30" fillId="0" borderId="10" xfId="0" applyNumberFormat="1" applyFont="1" applyBorder="1" applyAlignment="1">
      <alignment horizontal="center"/>
    </xf>
    <xf numFmtId="9" fontId="35" fillId="0" borderId="0" xfId="6" applyFont="1"/>
    <xf numFmtId="0" fontId="69" fillId="0" borderId="3" xfId="0" quotePrefix="1" applyFont="1" applyBorder="1" applyAlignment="1">
      <alignment horizontal="left" vertical="center"/>
    </xf>
    <xf numFmtId="0" fontId="18" fillId="2" borderId="1" xfId="5" applyFont="1" applyFill="1" applyBorder="1" applyAlignment="1">
      <alignment horizontal="right"/>
    </xf>
    <xf numFmtId="0" fontId="72" fillId="2" borderId="2" xfId="5" applyFont="1" applyFill="1" applyBorder="1" applyAlignment="1">
      <alignment horizontal="center"/>
    </xf>
    <xf numFmtId="0" fontId="18" fillId="2" borderId="3" xfId="5" applyFont="1" applyFill="1" applyBorder="1" applyAlignment="1">
      <alignment horizontal="right"/>
    </xf>
    <xf numFmtId="49" fontId="72" fillId="2" borderId="4" xfId="5" applyNumberFormat="1" applyFont="1" applyFill="1" applyBorder="1" applyAlignment="1">
      <alignment horizontal="center"/>
    </xf>
    <xf numFmtId="0" fontId="72" fillId="2" borderId="12" xfId="5" applyFont="1" applyFill="1" applyBorder="1" applyAlignment="1">
      <alignment horizontal="right"/>
    </xf>
    <xf numFmtId="0" fontId="72" fillId="2" borderId="3" xfId="5" applyFont="1" applyFill="1" applyBorder="1" applyAlignment="1">
      <alignment horizontal="right"/>
    </xf>
    <xf numFmtId="14" fontId="74" fillId="2" borderId="0" xfId="5" applyNumberFormat="1" applyFont="1" applyFill="1" applyAlignment="1">
      <alignment horizontal="center" vertical="center" wrapText="1"/>
    </xf>
    <xf numFmtId="0" fontId="18" fillId="3" borderId="2" xfId="3" applyFont="1" applyFill="1" applyBorder="1" applyAlignment="1">
      <alignment horizontal="center" vertical="center" wrapText="1"/>
    </xf>
    <xf numFmtId="1" fontId="18" fillId="3" borderId="5" xfId="3" applyNumberFormat="1" applyFont="1" applyFill="1" applyBorder="1" applyAlignment="1">
      <alignment horizontal="center"/>
    </xf>
    <xf numFmtId="1" fontId="18" fillId="3" borderId="5" xfId="3" applyNumberFormat="1" applyFont="1" applyFill="1" applyBorder="1" applyAlignment="1">
      <alignment horizontal="center" wrapText="1"/>
    </xf>
    <xf numFmtId="0" fontId="18" fillId="3" borderId="16" xfId="3" applyFont="1" applyFill="1" applyBorder="1" applyAlignment="1">
      <alignment horizontal="center"/>
    </xf>
    <xf numFmtId="0" fontId="75" fillId="0" borderId="6" xfId="3" applyFont="1" applyBorder="1" applyAlignment="1">
      <alignment horizontal="center" vertical="center"/>
    </xf>
    <xf numFmtId="0" fontId="75" fillId="0" borderId="17" xfId="3" applyFont="1" applyBorder="1" applyAlignment="1">
      <alignment horizontal="center" vertical="center"/>
    </xf>
    <xf numFmtId="0" fontId="76" fillId="0" borderId="3" xfId="3" applyFont="1" applyBorder="1" applyAlignment="1">
      <alignment vertical="center"/>
    </xf>
    <xf numFmtId="0" fontId="75" fillId="0" borderId="3" xfId="3" applyFont="1" applyBorder="1" applyAlignment="1">
      <alignment horizontal="center" vertical="center"/>
    </xf>
    <xf numFmtId="1" fontId="75" fillId="0" borderId="3" xfId="3" applyNumberFormat="1" applyFont="1" applyBorder="1" applyAlignment="1">
      <alignment horizontal="center"/>
    </xf>
    <xf numFmtId="1" fontId="75" fillId="0" borderId="3" xfId="3" applyNumberFormat="1" applyFont="1" applyBorder="1" applyAlignment="1">
      <alignment horizontal="center" wrapText="1"/>
    </xf>
    <xf numFmtId="0" fontId="77" fillId="0" borderId="4" xfId="3" applyFont="1" applyBorder="1" applyAlignment="1">
      <alignment horizontal="center"/>
    </xf>
    <xf numFmtId="0" fontId="78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16" fontId="77" fillId="2" borderId="12" xfId="0" applyNumberFormat="1" applyFont="1" applyFill="1" applyBorder="1" applyAlignment="1">
      <alignment horizontal="center"/>
    </xf>
    <xf numFmtId="1" fontId="77" fillId="2" borderId="12" xfId="0" applyNumberFormat="1" applyFont="1" applyFill="1" applyBorder="1" applyAlignment="1">
      <alignment horizontal="center"/>
    </xf>
    <xf numFmtId="1" fontId="77" fillId="2" borderId="12" xfId="0" applyNumberFormat="1" applyFont="1" applyFill="1" applyBorder="1" applyAlignment="1">
      <alignment horizontal="center" wrapText="1"/>
    </xf>
    <xf numFmtId="0" fontId="72" fillId="0" borderId="12" xfId="0" applyFont="1" applyBorder="1" applyAlignment="1">
      <alignment horizontal="center" wrapText="1"/>
    </xf>
    <xf numFmtId="12" fontId="72" fillId="0" borderId="12" xfId="0" applyNumberFormat="1" applyFont="1" applyBorder="1" applyAlignment="1">
      <alignment horizontal="center"/>
    </xf>
    <xf numFmtId="0" fontId="78" fillId="0" borderId="3" xfId="0" applyFont="1" applyBorder="1" applyAlignment="1">
      <alignment horizontal="center" vertical="top"/>
    </xf>
    <xf numFmtId="0" fontId="78" fillId="0" borderId="17" xfId="0" applyFont="1" applyBorder="1" applyAlignment="1">
      <alignment horizontal="center" vertical="top"/>
    </xf>
    <xf numFmtId="0" fontId="78" fillId="10" borderId="3" xfId="0" applyFont="1" applyFill="1" applyBorder="1"/>
    <xf numFmtId="16" fontId="77" fillId="2" borderId="3" xfId="0" applyNumberFormat="1" applyFont="1" applyFill="1" applyBorder="1" applyAlignment="1">
      <alignment horizontal="center"/>
    </xf>
    <xf numFmtId="1" fontId="77" fillId="2" borderId="3" xfId="0" applyNumberFormat="1" applyFont="1" applyFill="1" applyBorder="1" applyAlignment="1">
      <alignment horizontal="center"/>
    </xf>
    <xf numFmtId="1" fontId="77" fillId="2" borderId="3" xfId="0" applyNumberFormat="1" applyFont="1" applyFill="1" applyBorder="1" applyAlignment="1">
      <alignment horizontal="center" wrapText="1"/>
    </xf>
    <xf numFmtId="0" fontId="78" fillId="0" borderId="3" xfId="0" applyFont="1" applyBorder="1" applyAlignment="1">
      <alignment horizontal="center"/>
    </xf>
    <xf numFmtId="0" fontId="79" fillId="0" borderId="0" xfId="0" applyFont="1"/>
    <xf numFmtId="0" fontId="72" fillId="0" borderId="3" xfId="0" applyFont="1" applyBorder="1" applyAlignment="1">
      <alignment horizontal="center"/>
    </xf>
    <xf numFmtId="1" fontId="77" fillId="0" borderId="3" xfId="3" applyNumberFormat="1" applyFont="1" applyBorder="1" applyAlignment="1">
      <alignment horizontal="center"/>
    </xf>
    <xf numFmtId="0" fontId="77" fillId="0" borderId="3" xfId="3" applyFont="1" applyBorder="1" applyAlignment="1">
      <alignment horizontal="center"/>
    </xf>
    <xf numFmtId="1" fontId="77" fillId="0" borderId="3" xfId="3" applyNumberFormat="1" applyFont="1" applyBorder="1" applyAlignment="1">
      <alignment horizontal="center" wrapText="1"/>
    </xf>
    <xf numFmtId="1" fontId="78" fillId="0" borderId="3" xfId="0" applyNumberFormat="1" applyFont="1" applyBorder="1"/>
    <xf numFmtId="0" fontId="78" fillId="0" borderId="3" xfId="0" applyFont="1" applyBorder="1"/>
    <xf numFmtId="0" fontId="72" fillId="10" borderId="3" xfId="3" applyFont="1" applyFill="1" applyBorder="1" applyAlignment="1">
      <alignment horizontal="center"/>
    </xf>
    <xf numFmtId="49" fontId="77" fillId="0" borderId="6" xfId="3" applyNumberFormat="1" applyFont="1" applyBorder="1" applyAlignment="1">
      <alignment horizontal="center"/>
    </xf>
    <xf numFmtId="49" fontId="77" fillId="0" borderId="17" xfId="3" applyNumberFormat="1" applyFont="1" applyBorder="1" applyAlignment="1">
      <alignment horizontal="center"/>
    </xf>
    <xf numFmtId="0" fontId="75" fillId="10" borderId="3" xfId="3" applyFont="1" applyFill="1" applyBorder="1" applyAlignment="1">
      <alignment horizontal="left"/>
    </xf>
    <xf numFmtId="165" fontId="77" fillId="0" borderId="3" xfId="3" applyNumberFormat="1" applyFont="1" applyBorder="1" applyAlignment="1">
      <alignment horizontal="center"/>
    </xf>
    <xf numFmtId="0" fontId="80" fillId="10" borderId="6" xfId="0" applyFont="1" applyFill="1" applyBorder="1" applyAlignment="1">
      <alignment horizontal="center"/>
    </xf>
    <xf numFmtId="0" fontId="80" fillId="10" borderId="50" xfId="0" applyFont="1" applyFill="1" applyBorder="1" applyAlignment="1">
      <alignment horizontal="center"/>
    </xf>
    <xf numFmtId="0" fontId="80" fillId="10" borderId="12" xfId="0" applyFont="1" applyFill="1" applyBorder="1"/>
    <xf numFmtId="0" fontId="72" fillId="10" borderId="17" xfId="0" applyFont="1" applyFill="1" applyBorder="1" applyAlignment="1">
      <alignment horizontal="center"/>
    </xf>
    <xf numFmtId="1" fontId="72" fillId="10" borderId="12" xfId="0" applyNumberFormat="1" applyFont="1" applyFill="1" applyBorder="1" applyAlignment="1">
      <alignment horizontal="center"/>
    </xf>
    <xf numFmtId="1" fontId="72" fillId="10" borderId="12" xfId="0" applyNumberFormat="1" applyFont="1" applyFill="1" applyBorder="1" applyAlignment="1">
      <alignment horizontal="center" wrapText="1"/>
    </xf>
    <xf numFmtId="49" fontId="72" fillId="10" borderId="12" xfId="0" applyNumberFormat="1" applyFont="1" applyFill="1" applyBorder="1" applyAlignment="1">
      <alignment horizontal="center"/>
    </xf>
    <xf numFmtId="1" fontId="72" fillId="10" borderId="3" xfId="3" applyNumberFormat="1" applyFont="1" applyFill="1" applyBorder="1" applyAlignment="1">
      <alignment horizontal="center"/>
    </xf>
    <xf numFmtId="1" fontId="72" fillId="10" borderId="3" xfId="3" applyNumberFormat="1" applyFont="1" applyFill="1" applyBorder="1" applyAlignment="1">
      <alignment horizontal="center" wrapText="1"/>
    </xf>
    <xf numFmtId="1" fontId="72" fillId="10" borderId="3" xfId="0" applyNumberFormat="1" applyFont="1" applyFill="1" applyBorder="1" applyAlignment="1">
      <alignment horizontal="center"/>
    </xf>
    <xf numFmtId="0" fontId="78" fillId="0" borderId="0" xfId="0" applyFont="1"/>
    <xf numFmtId="16" fontId="72" fillId="10" borderId="3" xfId="0" applyNumberFormat="1" applyFont="1" applyFill="1" applyBorder="1" applyAlignment="1">
      <alignment horizontal="center"/>
    </xf>
    <xf numFmtId="0" fontId="72" fillId="2" borderId="3" xfId="0" applyFont="1" applyFill="1" applyBorder="1" applyAlignment="1">
      <alignment horizontal="center"/>
    </xf>
    <xf numFmtId="1" fontId="72" fillId="0" borderId="12" xfId="0" applyNumberFormat="1" applyFont="1" applyBorder="1" applyAlignment="1">
      <alignment horizontal="center" wrapText="1"/>
    </xf>
    <xf numFmtId="16" fontId="72" fillId="0" borderId="3" xfId="0" applyNumberFormat="1" applyFont="1" applyBorder="1" applyAlignment="1">
      <alignment horizontal="center"/>
    </xf>
    <xf numFmtId="1" fontId="72" fillId="0" borderId="12" xfId="0" applyNumberFormat="1" applyFont="1" applyBorder="1" applyAlignment="1">
      <alignment horizontal="center"/>
    </xf>
    <xf numFmtId="1" fontId="72" fillId="0" borderId="3" xfId="0" applyNumberFormat="1" applyFont="1" applyBorder="1" applyAlignment="1">
      <alignment horizontal="center"/>
    </xf>
    <xf numFmtId="1" fontId="72" fillId="0" borderId="3" xfId="0" applyNumberFormat="1" applyFont="1" applyBorder="1" applyAlignment="1">
      <alignment horizontal="center" wrapText="1"/>
    </xf>
    <xf numFmtId="49" fontId="75" fillId="0" borderId="47" xfId="3" applyNumberFormat="1" applyFont="1" applyBorder="1" applyAlignment="1">
      <alignment horizontal="center"/>
    </xf>
    <xf numFmtId="49" fontId="75" fillId="0" borderId="48" xfId="3" applyNumberFormat="1" applyFont="1" applyBorder="1" applyAlignment="1">
      <alignment horizontal="center"/>
    </xf>
    <xf numFmtId="0" fontId="76" fillId="10" borderId="3" xfId="3" applyFont="1" applyFill="1" applyBorder="1" applyAlignment="1">
      <alignment vertical="center"/>
    </xf>
    <xf numFmtId="0" fontId="75" fillId="0" borderId="17" xfId="3" applyFont="1" applyBorder="1" applyAlignment="1">
      <alignment horizontal="center"/>
    </xf>
    <xf numFmtId="165" fontId="75" fillId="0" borderId="3" xfId="3" applyNumberFormat="1" applyFont="1" applyBorder="1" applyAlignment="1">
      <alignment horizontal="center"/>
    </xf>
    <xf numFmtId="49" fontId="77" fillId="0" borderId="3" xfId="0" applyNumberFormat="1" applyFont="1" applyBorder="1" applyAlignment="1">
      <alignment horizontal="center"/>
    </xf>
    <xf numFmtId="49" fontId="77" fillId="0" borderId="3" xfId="0" applyNumberFormat="1" applyFont="1" applyBorder="1"/>
    <xf numFmtId="0" fontId="77" fillId="0" borderId="3" xfId="0" applyFont="1" applyBorder="1" applyAlignment="1">
      <alignment horizontal="center"/>
    </xf>
    <xf numFmtId="1" fontId="77" fillId="0" borderId="3" xfId="0" applyNumberFormat="1" applyFont="1" applyBorder="1" applyAlignment="1">
      <alignment horizontal="center"/>
    </xf>
    <xf numFmtId="1" fontId="77" fillId="0" borderId="3" xfId="0" applyNumberFormat="1" applyFont="1" applyBorder="1" applyAlignment="1">
      <alignment horizontal="center" wrapText="1"/>
    </xf>
    <xf numFmtId="171" fontId="18" fillId="10" borderId="3" xfId="1" applyNumberFormat="1" applyFont="1" applyFill="1" applyBorder="1" applyAlignment="1">
      <alignment horizontal="center"/>
    </xf>
    <xf numFmtId="0" fontId="81" fillId="0" borderId="3" xfId="8" applyFont="1" applyBorder="1" applyAlignment="1">
      <alignment horizontal="center"/>
    </xf>
    <xf numFmtId="0" fontId="81" fillId="0" borderId="3" xfId="8" applyFont="1" applyBorder="1" applyAlignment="1">
      <alignment horizontal="left"/>
    </xf>
    <xf numFmtId="16" fontId="77" fillId="0" borderId="3" xfId="0" applyNumberFormat="1" applyFont="1" applyBorder="1" applyAlignment="1">
      <alignment horizontal="center"/>
    </xf>
    <xf numFmtId="0" fontId="78" fillId="0" borderId="3" xfId="0" applyFont="1" applyBorder="1" applyAlignment="1">
      <alignment horizontal="center" vertical="center"/>
    </xf>
    <xf numFmtId="0" fontId="78" fillId="0" borderId="3" xfId="0" applyFont="1" applyBorder="1" applyAlignment="1">
      <alignment horizontal="left" vertical="center"/>
    </xf>
    <xf numFmtId="12" fontId="77" fillId="0" borderId="3" xfId="3" applyNumberFormat="1" applyFont="1" applyBorder="1" applyAlignment="1">
      <alignment horizontal="center"/>
    </xf>
    <xf numFmtId="0" fontId="72" fillId="0" borderId="3" xfId="0" quotePrefix="1" applyFont="1" applyBorder="1" applyAlignment="1">
      <alignment horizontal="center"/>
    </xf>
    <xf numFmtId="0" fontId="72" fillId="0" borderId="3" xfId="0" quotePrefix="1" applyFont="1" applyBorder="1"/>
    <xf numFmtId="49" fontId="77" fillId="0" borderId="3" xfId="3" applyNumberFormat="1" applyFont="1" applyBorder="1"/>
    <xf numFmtId="49" fontId="82" fillId="2" borderId="7" xfId="3" applyNumberFormat="1" applyFont="1" applyFill="1" applyBorder="1" applyAlignment="1">
      <alignment horizontal="center" vertical="center"/>
    </xf>
    <xf numFmtId="49" fontId="82" fillId="2" borderId="0" xfId="3" applyNumberFormat="1" applyFont="1" applyFill="1" applyAlignment="1">
      <alignment horizontal="center" vertical="center"/>
    </xf>
    <xf numFmtId="0" fontId="72" fillId="2" borderId="0" xfId="3" applyFont="1" applyFill="1"/>
    <xf numFmtId="1" fontId="72" fillId="2" borderId="0" xfId="3" applyNumberFormat="1" applyFont="1" applyFill="1" applyAlignment="1">
      <alignment horizontal="center"/>
    </xf>
    <xf numFmtId="164" fontId="72" fillId="2" borderId="0" xfId="3" applyNumberFormat="1" applyFont="1" applyFill="1" applyAlignment="1">
      <alignment horizontal="center" wrapText="1"/>
    </xf>
    <xf numFmtId="0" fontId="72" fillId="2" borderId="8" xfId="3" applyFont="1" applyFill="1" applyBorder="1" applyAlignment="1">
      <alignment horizontal="center"/>
    </xf>
    <xf numFmtId="0" fontId="72" fillId="3" borderId="9" xfId="3" applyFont="1" applyFill="1" applyBorder="1" applyAlignment="1">
      <alignment horizontal="center"/>
    </xf>
    <xf numFmtId="0" fontId="72" fillId="3" borderId="10" xfId="3" applyFont="1" applyFill="1" applyBorder="1" applyAlignment="1">
      <alignment horizontal="center"/>
    </xf>
    <xf numFmtId="0" fontId="72" fillId="3" borderId="10" xfId="3" applyFont="1" applyFill="1" applyBorder="1"/>
    <xf numFmtId="0" fontId="18" fillId="3" borderId="10" xfId="3" applyFont="1" applyFill="1" applyBorder="1" applyAlignment="1">
      <alignment horizontal="center"/>
    </xf>
    <xf numFmtId="1" fontId="18" fillId="3" borderId="10" xfId="3" applyNumberFormat="1" applyFont="1" applyFill="1" applyBorder="1" applyAlignment="1">
      <alignment horizontal="center"/>
    </xf>
    <xf numFmtId="164" fontId="72" fillId="3" borderId="10" xfId="3" applyNumberFormat="1" applyFont="1" applyFill="1" applyBorder="1" applyAlignment="1">
      <alignment horizontal="center" wrapText="1"/>
    </xf>
    <xf numFmtId="0" fontId="72" fillId="3" borderId="11" xfId="3" applyFont="1" applyFill="1" applyBorder="1" applyAlignment="1">
      <alignment horizontal="center"/>
    </xf>
    <xf numFmtId="0" fontId="72" fillId="0" borderId="13" xfId="0" applyFont="1" applyBorder="1" applyAlignment="1">
      <alignment horizontal="center"/>
    </xf>
    <xf numFmtId="1" fontId="72" fillId="0" borderId="5" xfId="0" applyNumberFormat="1" applyFont="1" applyBorder="1" applyAlignment="1">
      <alignment horizontal="center"/>
    </xf>
    <xf numFmtId="0" fontId="72" fillId="0" borderId="5" xfId="0" applyFont="1" applyBorder="1" applyAlignment="1">
      <alignment horizontal="center"/>
    </xf>
    <xf numFmtId="0" fontId="5" fillId="2" borderId="0" xfId="5" applyFont="1" applyFill="1" applyAlignment="1">
      <alignment horizontal="right"/>
    </xf>
    <xf numFmtId="14" fontId="1" fillId="2" borderId="4" xfId="5" applyNumberFormat="1" applyFont="1" applyFill="1" applyBorder="1" applyAlignment="1">
      <alignment horizontal="center" vertical="center" wrapText="1"/>
    </xf>
    <xf numFmtId="14" fontId="1" fillId="2" borderId="16" xfId="5" applyNumberFormat="1" applyFont="1" applyFill="1" applyBorder="1" applyAlignment="1">
      <alignment horizontal="center" vertical="center" wrapText="1"/>
    </xf>
    <xf numFmtId="0" fontId="1" fillId="2" borderId="5" xfId="5" applyFont="1" applyFill="1" applyBorder="1" applyAlignment="1">
      <alignment horizontal="left"/>
    </xf>
    <xf numFmtId="0" fontId="5" fillId="2" borderId="1" xfId="5" applyFont="1" applyFill="1" applyBorder="1" applyAlignment="1">
      <alignment horizontal="center"/>
    </xf>
    <xf numFmtId="0" fontId="5" fillId="2" borderId="3" xfId="5" applyFont="1" applyFill="1" applyBorder="1" applyAlignment="1">
      <alignment horizontal="center"/>
    </xf>
    <xf numFmtId="0" fontId="10" fillId="6" borderId="3" xfId="5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66" fillId="2" borderId="35" xfId="5" applyFont="1" applyFill="1" applyBorder="1" applyAlignment="1">
      <alignment horizontal="center"/>
    </xf>
    <xf numFmtId="0" fontId="5" fillId="2" borderId="0" xfId="5" applyFont="1" applyFill="1"/>
    <xf numFmtId="0" fontId="4" fillId="2" borderId="3" xfId="5" applyFont="1" applyFill="1" applyBorder="1" applyAlignment="1">
      <alignment horizontal="right" vertical="top" wrapText="1"/>
    </xf>
    <xf numFmtId="0" fontId="4" fillId="2" borderId="5" xfId="5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22" xfId="5" applyFont="1" applyFill="1" applyBorder="1" applyAlignment="1">
      <alignment horizontal="center"/>
    </xf>
    <xf numFmtId="0" fontId="1" fillId="2" borderId="6" xfId="5" applyFont="1" applyFill="1" applyBorder="1" applyAlignment="1">
      <alignment horizontal="center"/>
    </xf>
    <xf numFmtId="0" fontId="1" fillId="2" borderId="37" xfId="5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1" fillId="0" borderId="46" xfId="0" applyNumberFormat="1" applyFont="1" applyBorder="1" applyAlignment="1">
      <alignment horizontal="center"/>
    </xf>
    <xf numFmtId="164" fontId="1" fillId="0" borderId="49" xfId="0" applyNumberFormat="1" applyFont="1" applyBorder="1" applyAlignment="1">
      <alignment horizontal="center"/>
    </xf>
    <xf numFmtId="0" fontId="1" fillId="2" borderId="3" xfId="5" applyFont="1" applyFill="1" applyBorder="1" applyAlignment="1">
      <alignment horizontal="left"/>
    </xf>
    <xf numFmtId="164" fontId="1" fillId="0" borderId="46" xfId="0" applyNumberFormat="1" applyFont="1" applyBorder="1" applyAlignment="1">
      <alignment horizontal="right" wrapText="1"/>
    </xf>
    <xf numFmtId="164" fontId="1" fillId="0" borderId="17" xfId="0" applyNumberFormat="1" applyFont="1" applyBorder="1" applyAlignment="1">
      <alignment horizontal="right" wrapText="1"/>
    </xf>
    <xf numFmtId="0" fontId="7" fillId="0" borderId="34" xfId="3" applyFont="1" applyBorder="1" applyAlignment="1">
      <alignment horizontal="left"/>
    </xf>
    <xf numFmtId="0" fontId="7" fillId="0" borderId="35" xfId="3" applyFont="1" applyBorder="1" applyAlignment="1">
      <alignment horizontal="left"/>
    </xf>
    <xf numFmtId="0" fontId="7" fillId="0" borderId="36" xfId="3" applyFont="1" applyBorder="1" applyAlignment="1">
      <alignment horizontal="left"/>
    </xf>
    <xf numFmtId="0" fontId="4" fillId="0" borderId="37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38" xfId="0" applyNumberFormat="1" applyFont="1" applyBorder="1" applyAlignment="1">
      <alignment horizontal="center"/>
    </xf>
    <xf numFmtId="164" fontId="1" fillId="0" borderId="39" xfId="0" applyNumberFormat="1" applyFont="1" applyBorder="1" applyAlignment="1">
      <alignment horizontal="center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7" fillId="0" borderId="43" xfId="3" applyFont="1" applyBorder="1" applyAlignment="1">
      <alignment horizontal="left"/>
    </xf>
    <xf numFmtId="0" fontId="7" fillId="0" borderId="44" xfId="3" applyFont="1" applyBorder="1" applyAlignment="1">
      <alignment horizontal="left"/>
    </xf>
    <xf numFmtId="0" fontId="7" fillId="0" borderId="45" xfId="3" applyFont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13" fillId="0" borderId="47" xfId="0" applyFont="1" applyBorder="1" applyAlignment="1">
      <alignment horizontal="left"/>
    </xf>
    <xf numFmtId="0" fontId="13" fillId="0" borderId="48" xfId="0" applyFont="1" applyBorder="1" applyAlignment="1">
      <alignment horizontal="left"/>
    </xf>
    <xf numFmtId="0" fontId="13" fillId="0" borderId="49" xfId="0" applyFont="1" applyBorder="1" applyAlignment="1">
      <alignment horizontal="left"/>
    </xf>
    <xf numFmtId="0" fontId="9" fillId="0" borderId="43" xfId="3" applyFont="1" applyBorder="1" applyAlignment="1">
      <alignment horizontal="left" wrapText="1"/>
    </xf>
    <xf numFmtId="0" fontId="9" fillId="0" borderId="44" xfId="3" applyFont="1" applyBorder="1" applyAlignment="1">
      <alignment horizontal="left" wrapText="1"/>
    </xf>
    <xf numFmtId="0" fontId="9" fillId="0" borderId="45" xfId="3" applyFont="1" applyBorder="1" applyAlignment="1">
      <alignment horizontal="left" wrapText="1"/>
    </xf>
    <xf numFmtId="0" fontId="39" fillId="0" borderId="0" xfId="0" applyFont="1" applyAlignment="1">
      <alignment horizontal="right"/>
    </xf>
    <xf numFmtId="0" fontId="34" fillId="0" borderId="0" xfId="0" applyFont="1" applyAlignment="1">
      <alignment horizontal="center" vertical="center"/>
    </xf>
    <xf numFmtId="0" fontId="30" fillId="7" borderId="9" xfId="0" applyFont="1" applyFill="1" applyBorder="1" applyAlignment="1">
      <alignment horizontal="right" vertical="center"/>
    </xf>
    <xf numFmtId="0" fontId="30" fillId="7" borderId="10" xfId="0" applyFont="1" applyFill="1" applyBorder="1" applyAlignment="1">
      <alignment horizontal="right" vertical="center"/>
    </xf>
    <xf numFmtId="0" fontId="30" fillId="7" borderId="11" xfId="0" applyFont="1" applyFill="1" applyBorder="1" applyAlignment="1">
      <alignment horizontal="right" vertical="center"/>
    </xf>
    <xf numFmtId="0" fontId="30" fillId="0" borderId="35" xfId="0" applyFont="1" applyBorder="1" applyAlignment="1">
      <alignment horizontal="right" vertical="center"/>
    </xf>
    <xf numFmtId="0" fontId="30" fillId="0" borderId="36" xfId="0" applyFont="1" applyBorder="1" applyAlignment="1">
      <alignment horizontal="right" vertical="center"/>
    </xf>
    <xf numFmtId="0" fontId="41" fillId="0" borderId="9" xfId="0" applyFont="1" applyBorder="1" applyAlignment="1">
      <alignment horizontal="right" vertical="center"/>
    </xf>
    <xf numFmtId="0" fontId="41" fillId="0" borderId="10" xfId="0" applyFont="1" applyBorder="1" applyAlignment="1">
      <alignment horizontal="right" vertical="center"/>
    </xf>
    <xf numFmtId="0" fontId="41" fillId="0" borderId="11" xfId="0" applyFont="1" applyBorder="1" applyAlignment="1">
      <alignment horizontal="right" vertical="center"/>
    </xf>
    <xf numFmtId="4" fontId="29" fillId="0" borderId="0" xfId="2" applyNumberFormat="1" applyFont="1" applyAlignment="1">
      <alignment horizontal="center" vertical="center" wrapText="1"/>
    </xf>
    <xf numFmtId="0" fontId="46" fillId="4" borderId="9" xfId="0" applyFont="1" applyFill="1" applyBorder="1" applyAlignment="1">
      <alignment horizontal="right"/>
    </xf>
    <xf numFmtId="0" fontId="46" fillId="4" borderId="10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47" fillId="0" borderId="0" xfId="0" applyFont="1" applyAlignment="1">
      <alignment horizontal="right"/>
    </xf>
    <xf numFmtId="0" fontId="30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48" fillId="0" borderId="35" xfId="0" applyFont="1" applyBorder="1" applyAlignment="1">
      <alignment horizontal="right"/>
    </xf>
    <xf numFmtId="0" fontId="37" fillId="0" borderId="3" xfId="0" applyFont="1" applyBorder="1" applyAlignment="1">
      <alignment horizontal="right" vertical="center"/>
    </xf>
    <xf numFmtId="0" fontId="53" fillId="0" borderId="7" xfId="0" applyFont="1" applyBorder="1" applyAlignment="1">
      <alignment horizontal="right"/>
    </xf>
    <xf numFmtId="0" fontId="53" fillId="0" borderId="0" xfId="0" applyFont="1" applyAlignment="1">
      <alignment horizontal="right"/>
    </xf>
    <xf numFmtId="0" fontId="53" fillId="0" borderId="8" xfId="0" applyFont="1" applyBorder="1" applyAlignment="1">
      <alignment horizontal="right"/>
    </xf>
    <xf numFmtId="0" fontId="14" fillId="0" borderId="3" xfId="0" applyFont="1" applyBorder="1" applyAlignment="1">
      <alignment horizontal="right" vertical="center"/>
    </xf>
    <xf numFmtId="0" fontId="47" fillId="0" borderId="19" xfId="0" applyFont="1" applyBorder="1" applyAlignment="1">
      <alignment horizontal="right"/>
    </xf>
    <xf numFmtId="0" fontId="47" fillId="0" borderId="33" xfId="0" applyFont="1" applyBorder="1" applyAlignment="1">
      <alignment horizontal="right"/>
    </xf>
    <xf numFmtId="0" fontId="30" fillId="0" borderId="0" xfId="0" applyFont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right" vertical="center" wrapText="1"/>
    </xf>
    <xf numFmtId="0" fontId="17" fillId="0" borderId="48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14" fontId="72" fillId="2" borderId="55" xfId="5" applyNumberFormat="1" applyFont="1" applyFill="1" applyBorder="1" applyAlignment="1">
      <alignment horizontal="center" vertical="center" wrapText="1"/>
    </xf>
    <xf numFmtId="14" fontId="72" fillId="2" borderId="63" xfId="5" applyNumberFormat="1" applyFont="1" applyFill="1" applyBorder="1" applyAlignment="1">
      <alignment horizontal="center" vertical="center" wrapText="1"/>
    </xf>
    <xf numFmtId="14" fontId="72" fillId="2" borderId="15" xfId="5" applyNumberFormat="1" applyFont="1" applyFill="1" applyBorder="1" applyAlignment="1">
      <alignment horizontal="center" vertical="center" wrapText="1"/>
    </xf>
    <xf numFmtId="0" fontId="72" fillId="2" borderId="61" xfId="5" applyFont="1" applyFill="1" applyBorder="1" applyAlignment="1">
      <alignment horizontal="left"/>
    </xf>
    <xf numFmtId="0" fontId="72" fillId="2" borderId="41" xfId="5" applyFont="1" applyFill="1" applyBorder="1" applyAlignment="1">
      <alignment horizontal="left"/>
    </xf>
    <xf numFmtId="0" fontId="72" fillId="2" borderId="62" xfId="5" applyFont="1" applyFill="1" applyBorder="1" applyAlignment="1">
      <alignment horizontal="left"/>
    </xf>
    <xf numFmtId="0" fontId="72" fillId="2" borderId="46" xfId="5" applyFont="1" applyFill="1" applyBorder="1" applyAlignment="1">
      <alignment horizontal="left"/>
    </xf>
    <xf numFmtId="0" fontId="72" fillId="2" borderId="48" xfId="5" applyFont="1" applyFill="1" applyBorder="1" applyAlignment="1">
      <alignment horizontal="left"/>
    </xf>
    <xf numFmtId="0" fontId="72" fillId="2" borderId="17" xfId="5" applyFont="1" applyFill="1" applyBorder="1" applyAlignment="1">
      <alignment horizontal="left"/>
    </xf>
    <xf numFmtId="0" fontId="72" fillId="2" borderId="19" xfId="5" applyFont="1" applyFill="1" applyBorder="1" applyAlignment="1">
      <alignment horizontal="center"/>
    </xf>
    <xf numFmtId="0" fontId="72" fillId="2" borderId="33" xfId="5" applyFont="1" applyFill="1" applyBorder="1" applyAlignment="1">
      <alignment horizontal="center"/>
    </xf>
    <xf numFmtId="0" fontId="72" fillId="2" borderId="7" xfId="5" applyFont="1" applyFill="1" applyBorder="1" applyAlignment="1">
      <alignment horizontal="center"/>
    </xf>
    <xf numFmtId="0" fontId="72" fillId="2" borderId="0" xfId="5" applyFont="1" applyFill="1" applyAlignment="1">
      <alignment horizontal="center"/>
    </xf>
    <xf numFmtId="0" fontId="72" fillId="2" borderId="43" xfId="5" applyFont="1" applyFill="1" applyBorder="1" applyAlignment="1">
      <alignment horizontal="center"/>
    </xf>
    <xf numFmtId="0" fontId="72" fillId="2" borderId="44" xfId="5" applyFont="1" applyFill="1" applyBorder="1" applyAlignment="1">
      <alignment horizontal="center"/>
    </xf>
    <xf numFmtId="0" fontId="18" fillId="2" borderId="1" xfId="5" applyFont="1" applyFill="1" applyBorder="1" applyAlignment="1">
      <alignment horizontal="center"/>
    </xf>
    <xf numFmtId="0" fontId="18" fillId="2" borderId="38" xfId="5" applyFont="1" applyFill="1" applyBorder="1" applyAlignment="1">
      <alignment horizontal="center"/>
    </xf>
    <xf numFmtId="0" fontId="18" fillId="2" borderId="53" xfId="5" applyFont="1" applyFill="1" applyBorder="1" applyAlignment="1">
      <alignment horizontal="center"/>
    </xf>
    <xf numFmtId="0" fontId="18" fillId="2" borderId="57" xfId="5" applyFont="1" applyFill="1" applyBorder="1" applyAlignment="1">
      <alignment horizontal="center"/>
    </xf>
    <xf numFmtId="0" fontId="73" fillId="6" borderId="3" xfId="5" applyFont="1" applyFill="1" applyBorder="1" applyAlignment="1">
      <alignment horizontal="center" vertical="center" wrapText="1"/>
    </xf>
    <xf numFmtId="0" fontId="18" fillId="2" borderId="60" xfId="5" applyFont="1" applyFill="1" applyBorder="1" applyAlignment="1">
      <alignment horizontal="right" vertical="top" wrapText="1"/>
    </xf>
    <xf numFmtId="0" fontId="18" fillId="2" borderId="58" xfId="5" applyFont="1" applyFill="1" applyBorder="1" applyAlignment="1">
      <alignment horizontal="right" vertical="top" wrapText="1"/>
    </xf>
    <xf numFmtId="0" fontId="18" fillId="2" borderId="59" xfId="5" applyFont="1" applyFill="1" applyBorder="1" applyAlignment="1">
      <alignment horizontal="right" vertical="top" wrapText="1"/>
    </xf>
    <xf numFmtId="0" fontId="74" fillId="2" borderId="35" xfId="5" applyFont="1" applyFill="1" applyBorder="1" applyAlignment="1">
      <alignment horizontal="center"/>
    </xf>
    <xf numFmtId="0" fontId="18" fillId="3" borderId="22" xfId="3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0" borderId="43" xfId="3" applyFont="1" applyBorder="1" applyAlignment="1">
      <alignment horizontal="right"/>
    </xf>
    <xf numFmtId="0" fontId="18" fillId="0" borderId="44" xfId="3" applyFont="1" applyBorder="1" applyAlignment="1">
      <alignment horizontal="right"/>
    </xf>
    <xf numFmtId="0" fontId="18" fillId="0" borderId="50" xfId="3" applyFont="1" applyBorder="1" applyAlignment="1">
      <alignment horizontal="right"/>
    </xf>
    <xf numFmtId="164" fontId="72" fillId="0" borderId="12" xfId="3" applyNumberFormat="1" applyFont="1" applyBorder="1" applyAlignment="1">
      <alignment horizontal="right"/>
    </xf>
    <xf numFmtId="0" fontId="72" fillId="2" borderId="13" xfId="3" applyFont="1" applyFill="1" applyBorder="1" applyAlignment="1">
      <alignment horizontal="center"/>
    </xf>
    <xf numFmtId="0" fontId="72" fillId="2" borderId="45" xfId="3" applyFont="1" applyFill="1" applyBorder="1" applyAlignment="1">
      <alignment horizontal="center"/>
    </xf>
    <xf numFmtId="0" fontId="18" fillId="0" borderId="47" xfId="3" applyFont="1" applyBorder="1" applyAlignment="1">
      <alignment horizontal="right"/>
    </xf>
    <xf numFmtId="0" fontId="18" fillId="0" borderId="48" xfId="3" applyFont="1" applyBorder="1" applyAlignment="1">
      <alignment horizontal="right"/>
    </xf>
    <xf numFmtId="0" fontId="18" fillId="0" borderId="17" xfId="3" applyFont="1" applyBorder="1" applyAlignment="1">
      <alignment horizontal="right"/>
    </xf>
    <xf numFmtId="0" fontId="72" fillId="0" borderId="3" xfId="3" applyFont="1" applyBorder="1" applyAlignment="1">
      <alignment horizontal="right"/>
    </xf>
    <xf numFmtId="164" fontId="72" fillId="0" borderId="46" xfId="3" applyNumberFormat="1" applyFont="1" applyBorder="1" applyAlignment="1">
      <alignment horizontal="center"/>
    </xf>
    <xf numFmtId="164" fontId="72" fillId="0" borderId="49" xfId="3" applyNumberFormat="1" applyFont="1" applyBorder="1" applyAlignment="1">
      <alignment horizontal="center"/>
    </xf>
    <xf numFmtId="0" fontId="77" fillId="0" borderId="3" xfId="3" applyFont="1" applyBorder="1" applyAlignment="1">
      <alignment horizontal="left"/>
    </xf>
    <xf numFmtId="164" fontId="72" fillId="0" borderId="46" xfId="3" applyNumberFormat="1" applyFont="1" applyBorder="1" applyAlignment="1">
      <alignment horizontal="right" wrapText="1"/>
    </xf>
    <xf numFmtId="164" fontId="72" fillId="0" borderId="17" xfId="3" applyNumberFormat="1" applyFont="1" applyBorder="1" applyAlignment="1">
      <alignment horizontal="right" wrapText="1"/>
    </xf>
    <xf numFmtId="164" fontId="72" fillId="0" borderId="46" xfId="0" applyNumberFormat="1" applyFont="1" applyBorder="1" applyAlignment="1">
      <alignment horizontal="center" wrapText="1"/>
    </xf>
    <xf numFmtId="164" fontId="72" fillId="0" borderId="49" xfId="0" applyNumberFormat="1" applyFont="1" applyBorder="1" applyAlignment="1">
      <alignment horizontal="center" wrapText="1"/>
    </xf>
    <xf numFmtId="0" fontId="18" fillId="0" borderId="37" xfId="3" applyFont="1" applyBorder="1" applyAlignment="1">
      <alignment horizontal="right"/>
    </xf>
    <xf numFmtId="0" fontId="18" fillId="0" borderId="57" xfId="3" applyFont="1" applyBorder="1" applyAlignment="1">
      <alignment horizontal="right"/>
    </xf>
    <xf numFmtId="0" fontId="18" fillId="0" borderId="5" xfId="3" applyFont="1" applyBorder="1" applyAlignment="1">
      <alignment horizontal="right"/>
    </xf>
    <xf numFmtId="0" fontId="72" fillId="0" borderId="5" xfId="3" applyFont="1" applyBorder="1" applyAlignment="1">
      <alignment horizontal="right"/>
    </xf>
    <xf numFmtId="0" fontId="18" fillId="3" borderId="9" xfId="3" applyFont="1" applyFill="1" applyBorder="1" applyAlignment="1">
      <alignment horizontal="left"/>
    </xf>
    <xf numFmtId="0" fontId="18" fillId="3" borderId="10" xfId="3" applyFont="1" applyFill="1" applyBorder="1" applyAlignment="1">
      <alignment horizontal="left"/>
    </xf>
    <xf numFmtId="0" fontId="18" fillId="3" borderId="11" xfId="3" applyFont="1" applyFill="1" applyBorder="1" applyAlignment="1">
      <alignment horizontal="left"/>
    </xf>
    <xf numFmtId="0" fontId="75" fillId="0" borderId="47" xfId="0" applyFont="1" applyBorder="1" applyAlignment="1">
      <alignment horizontal="left"/>
    </xf>
    <xf numFmtId="0" fontId="75" fillId="0" borderId="48" xfId="0" applyFont="1" applyBorder="1" applyAlignment="1">
      <alignment horizontal="left"/>
    </xf>
    <xf numFmtId="0" fontId="75" fillId="0" borderId="49" xfId="0" applyFont="1" applyBorder="1" applyAlignment="1">
      <alignment horizontal="left"/>
    </xf>
    <xf numFmtId="0" fontId="18" fillId="14" borderId="64" xfId="5" applyFont="1" applyFill="1" applyBorder="1" applyAlignment="1">
      <alignment horizontal="center"/>
    </xf>
    <xf numFmtId="0" fontId="18" fillId="14" borderId="33" xfId="5" applyFont="1" applyFill="1" applyBorder="1" applyAlignment="1">
      <alignment horizontal="center"/>
    </xf>
    <xf numFmtId="0" fontId="72" fillId="2" borderId="65" xfId="5" applyFont="1" applyFill="1" applyBorder="1" applyAlignment="1">
      <alignment horizontal="left"/>
    </xf>
    <xf numFmtId="0" fontId="72" fillId="2" borderId="0" xfId="5" applyFont="1" applyFill="1" applyAlignment="1">
      <alignment horizontal="left"/>
    </xf>
    <xf numFmtId="0" fontId="16" fillId="2" borderId="65" xfId="5" applyFont="1" applyFill="1" applyBorder="1" applyAlignment="1">
      <alignment horizontal="left"/>
    </xf>
    <xf numFmtId="0" fontId="16" fillId="2" borderId="0" xfId="5" applyFont="1" applyFill="1" applyAlignment="1">
      <alignment horizontal="left"/>
    </xf>
    <xf numFmtId="0" fontId="5" fillId="0" borderId="43" xfId="3" applyFont="1" applyBorder="1" applyAlignment="1">
      <alignment horizontal="left" wrapText="1"/>
    </xf>
    <xf numFmtId="0" fontId="5" fillId="0" borderId="44" xfId="3" applyFont="1" applyBorder="1" applyAlignment="1">
      <alignment horizontal="left" wrapText="1"/>
    </xf>
    <xf numFmtId="0" fontId="5" fillId="0" borderId="45" xfId="3" applyFont="1" applyBorder="1" applyAlignment="1">
      <alignment horizontal="left" wrapText="1"/>
    </xf>
    <xf numFmtId="0" fontId="77" fillId="0" borderId="47" xfId="0" applyFont="1" applyBorder="1" applyAlignment="1">
      <alignment horizontal="left" wrapText="1"/>
    </xf>
    <xf numFmtId="0" fontId="77" fillId="0" borderId="48" xfId="0" applyFont="1" applyBorder="1" applyAlignment="1">
      <alignment horizontal="left" wrapText="1"/>
    </xf>
    <xf numFmtId="0" fontId="77" fillId="0" borderId="49" xfId="0" applyFont="1" applyBorder="1" applyAlignment="1">
      <alignment horizontal="left" wrapText="1"/>
    </xf>
    <xf numFmtId="0" fontId="77" fillId="0" borderId="6" xfId="0" applyFont="1" applyBorder="1" applyAlignment="1">
      <alignment horizontal="left" wrapText="1"/>
    </xf>
    <xf numFmtId="0" fontId="77" fillId="0" borderId="17" xfId="0" applyFont="1" applyBorder="1" applyAlignment="1">
      <alignment horizontal="left" wrapText="1"/>
    </xf>
    <xf numFmtId="0" fontId="77" fillId="0" borderId="3" xfId="0" applyFont="1" applyBorder="1" applyAlignment="1">
      <alignment horizontal="left" wrapText="1"/>
    </xf>
    <xf numFmtId="0" fontId="77" fillId="0" borderId="4" xfId="0" applyFont="1" applyBorder="1" applyAlignment="1">
      <alignment horizontal="left" wrapText="1"/>
    </xf>
    <xf numFmtId="0" fontId="18" fillId="0" borderId="43" xfId="3" applyFont="1" applyBorder="1" applyAlignment="1">
      <alignment horizontal="left" wrapText="1"/>
    </xf>
    <xf numFmtId="0" fontId="18" fillId="0" borderId="44" xfId="3" applyFont="1" applyBorder="1" applyAlignment="1">
      <alignment horizontal="left" wrapText="1"/>
    </xf>
    <xf numFmtId="0" fontId="18" fillId="0" borderId="45" xfId="3" applyFont="1" applyBorder="1" applyAlignment="1">
      <alignment horizontal="left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left" wrapText="1"/>
    </xf>
    <xf numFmtId="0" fontId="16" fillId="0" borderId="48" xfId="0" applyFont="1" applyBorder="1" applyAlignment="1">
      <alignment horizontal="left" wrapText="1"/>
    </xf>
    <xf numFmtId="0" fontId="16" fillId="0" borderId="49" xfId="0" applyFont="1" applyBorder="1" applyAlignment="1">
      <alignment horizontal="left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8" fillId="0" borderId="24" xfId="0" applyFont="1" applyBorder="1" applyAlignment="1">
      <alignment horizontal="center" vertical="center"/>
    </xf>
    <xf numFmtId="0" fontId="68" fillId="0" borderId="5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8" xfId="0" applyFont="1" applyBorder="1" applyAlignment="1">
      <alignment horizont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 vertical="center" wrapText="1"/>
    </xf>
    <xf numFmtId="1" fontId="15" fillId="0" borderId="54" xfId="0" applyNumberFormat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6" fillId="0" borderId="47" xfId="0" applyFont="1" applyBorder="1" applyAlignment="1">
      <alignment horizontal="left" vertical="center" wrapText="1"/>
    </xf>
    <xf numFmtId="0" fontId="16" fillId="0" borderId="48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right"/>
    </xf>
    <xf numFmtId="0" fontId="17" fillId="4" borderId="10" xfId="0" applyFont="1" applyFill="1" applyBorder="1" applyAlignment="1">
      <alignment horizontal="right"/>
    </xf>
    <xf numFmtId="10" fontId="71" fillId="13" borderId="29" xfId="6" applyNumberFormat="1" applyFont="1" applyFill="1" applyBorder="1" applyAlignment="1">
      <alignment horizontal="center" vertical="center" wrapText="1"/>
    </xf>
    <xf numFmtId="10" fontId="71" fillId="13" borderId="31" xfId="6" applyNumberFormat="1" applyFont="1" applyFill="1" applyBorder="1" applyAlignment="1">
      <alignment horizontal="center" vertical="center"/>
    </xf>
    <xf numFmtId="43" fontId="43" fillId="0" borderId="29" xfId="1" applyFont="1" applyBorder="1" applyAlignment="1">
      <alignment horizontal="center" vertical="center"/>
    </xf>
    <xf numFmtId="43" fontId="43" fillId="0" borderId="31" xfId="1" applyFont="1" applyBorder="1" applyAlignment="1">
      <alignment horizontal="center" vertical="center"/>
    </xf>
    <xf numFmtId="0" fontId="58" fillId="0" borderId="9" xfId="0" applyFont="1" applyBorder="1" applyAlignment="1">
      <alignment horizontal="center"/>
    </xf>
    <xf numFmtId="0" fontId="58" fillId="0" borderId="10" xfId="0" applyFont="1" applyBorder="1" applyAlignment="1">
      <alignment horizontal="center"/>
    </xf>
    <xf numFmtId="0" fontId="58" fillId="0" borderId="11" xfId="0" applyFont="1" applyBorder="1" applyAlignment="1">
      <alignment horizontal="center"/>
    </xf>
    <xf numFmtId="0" fontId="58" fillId="0" borderId="56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2" fillId="0" borderId="0" xfId="0" applyFont="1" applyAlignment="1">
      <alignment horizontal="right" vertical="center" wrapText="1"/>
    </xf>
    <xf numFmtId="0" fontId="59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60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7" fillId="0" borderId="8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Normal" xfId="0" builtinId="0"/>
    <cellStyle name="Normal 2" xfId="3" xr:uid="{B8780A19-CC96-4E2B-949F-73D9A2130821}"/>
    <cellStyle name="Normal 3" xfId="8" xr:uid="{D20B744B-A465-40C5-AFA3-DA9CD39AC0B4}"/>
    <cellStyle name="Normal 4" xfId="4" xr:uid="{89D2C144-109E-41CC-AAAB-254B939DC6C3}"/>
    <cellStyle name="Normal_CRITERIOS DE EVALUACION PT DE GB 2" xfId="5" xr:uid="{064390D6-3B2C-4410-9266-F9F818642F9E}"/>
    <cellStyle name="Porcentaje" xfId="6" builtinId="5"/>
    <cellStyle name="Porcentaje 2" xfId="7" xr:uid="{666EC238-56F5-491B-AA44-9D00C11E9C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4" name="Picture 2">
          <a:extLst>
            <a:ext uri="{FF2B5EF4-FFF2-40B4-BE49-F238E27FC236}">
              <a16:creationId xmlns:a16="http://schemas.microsoft.com/office/drawing/2014/main" id="{4E4778B1-AA88-1630-BFB9-1F243EC5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5" name="Picture 3">
          <a:extLst>
            <a:ext uri="{FF2B5EF4-FFF2-40B4-BE49-F238E27FC236}">
              <a16:creationId xmlns:a16="http://schemas.microsoft.com/office/drawing/2014/main" id="{8D556813-F6F2-E12A-D702-15880007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6" name="Picture 5">
          <a:extLst>
            <a:ext uri="{FF2B5EF4-FFF2-40B4-BE49-F238E27FC236}">
              <a16:creationId xmlns:a16="http://schemas.microsoft.com/office/drawing/2014/main" id="{513C1140-A939-1998-EF88-3FE6D83A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7" name="Picture 6">
          <a:extLst>
            <a:ext uri="{FF2B5EF4-FFF2-40B4-BE49-F238E27FC236}">
              <a16:creationId xmlns:a16="http://schemas.microsoft.com/office/drawing/2014/main" id="{CAA831C7-DC0C-0CEB-4EB7-4EB65506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8" name="Picture 7">
          <a:extLst>
            <a:ext uri="{FF2B5EF4-FFF2-40B4-BE49-F238E27FC236}">
              <a16:creationId xmlns:a16="http://schemas.microsoft.com/office/drawing/2014/main" id="{9DD20975-D00E-DA75-21AC-079E5F939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29" name="Picture 8">
          <a:extLst>
            <a:ext uri="{FF2B5EF4-FFF2-40B4-BE49-F238E27FC236}">
              <a16:creationId xmlns:a16="http://schemas.microsoft.com/office/drawing/2014/main" id="{4671910C-68A7-11C9-670A-50252633F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0" name="Picture 9">
          <a:extLst>
            <a:ext uri="{FF2B5EF4-FFF2-40B4-BE49-F238E27FC236}">
              <a16:creationId xmlns:a16="http://schemas.microsoft.com/office/drawing/2014/main" id="{9A79F756-D014-E5FB-CBCA-1F9E6C37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1" name="Picture 10">
          <a:extLst>
            <a:ext uri="{FF2B5EF4-FFF2-40B4-BE49-F238E27FC236}">
              <a16:creationId xmlns:a16="http://schemas.microsoft.com/office/drawing/2014/main" id="{1B4E847A-09DC-E2AF-50C1-0A927E8B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2" name="Picture 11">
          <a:extLst>
            <a:ext uri="{FF2B5EF4-FFF2-40B4-BE49-F238E27FC236}">
              <a16:creationId xmlns:a16="http://schemas.microsoft.com/office/drawing/2014/main" id="{7CB9347A-96E2-BB40-F95A-0E03611D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3" name="Picture 12">
          <a:extLst>
            <a:ext uri="{FF2B5EF4-FFF2-40B4-BE49-F238E27FC236}">
              <a16:creationId xmlns:a16="http://schemas.microsoft.com/office/drawing/2014/main" id="{7D6112D9-2358-6BE1-5F92-49E2F3BBC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4" name="Picture 14">
          <a:extLst>
            <a:ext uri="{FF2B5EF4-FFF2-40B4-BE49-F238E27FC236}">
              <a16:creationId xmlns:a16="http://schemas.microsoft.com/office/drawing/2014/main" id="{11B7EE73-88A8-AD57-A11E-1215D1B90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5" name="Picture 15">
          <a:extLst>
            <a:ext uri="{FF2B5EF4-FFF2-40B4-BE49-F238E27FC236}">
              <a16:creationId xmlns:a16="http://schemas.microsoft.com/office/drawing/2014/main" id="{427AF5DD-C253-7306-EF99-EA094333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6" name="Picture 16">
          <a:extLst>
            <a:ext uri="{FF2B5EF4-FFF2-40B4-BE49-F238E27FC236}">
              <a16:creationId xmlns:a16="http://schemas.microsoft.com/office/drawing/2014/main" id="{1938CD4C-614E-AA63-FDF6-20BE544D4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7" name="Picture 17">
          <a:extLst>
            <a:ext uri="{FF2B5EF4-FFF2-40B4-BE49-F238E27FC236}">
              <a16:creationId xmlns:a16="http://schemas.microsoft.com/office/drawing/2014/main" id="{9FDCA635-FA36-AF8D-18A8-DD79C61D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8" name="Picture 18">
          <a:extLst>
            <a:ext uri="{FF2B5EF4-FFF2-40B4-BE49-F238E27FC236}">
              <a16:creationId xmlns:a16="http://schemas.microsoft.com/office/drawing/2014/main" id="{D8174FE7-5903-E769-9418-2A8E68ED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39" name="Picture 19">
          <a:extLst>
            <a:ext uri="{FF2B5EF4-FFF2-40B4-BE49-F238E27FC236}">
              <a16:creationId xmlns:a16="http://schemas.microsoft.com/office/drawing/2014/main" id="{0486B400-9227-D8F4-8E9D-FFAECA59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0" name="Picture 20">
          <a:extLst>
            <a:ext uri="{FF2B5EF4-FFF2-40B4-BE49-F238E27FC236}">
              <a16:creationId xmlns:a16="http://schemas.microsoft.com/office/drawing/2014/main" id="{176F910C-2055-B6B7-3ED1-48C440C9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1" name="Picture 21">
          <a:extLst>
            <a:ext uri="{FF2B5EF4-FFF2-40B4-BE49-F238E27FC236}">
              <a16:creationId xmlns:a16="http://schemas.microsoft.com/office/drawing/2014/main" id="{CD8B0D65-9C64-FDF7-84F9-96903718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2" name="Picture 22">
          <a:extLst>
            <a:ext uri="{FF2B5EF4-FFF2-40B4-BE49-F238E27FC236}">
              <a16:creationId xmlns:a16="http://schemas.microsoft.com/office/drawing/2014/main" id="{A4F1C8E8-0F81-84C7-B24E-260AE59D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3" name="Picture 23">
          <a:extLst>
            <a:ext uri="{FF2B5EF4-FFF2-40B4-BE49-F238E27FC236}">
              <a16:creationId xmlns:a16="http://schemas.microsoft.com/office/drawing/2014/main" id="{C63818AF-714B-C231-750F-797F4366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4" name="Picture 24">
          <a:extLst>
            <a:ext uri="{FF2B5EF4-FFF2-40B4-BE49-F238E27FC236}">
              <a16:creationId xmlns:a16="http://schemas.microsoft.com/office/drawing/2014/main" id="{077777BA-9728-C576-2585-48980395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5" name="Picture 25">
          <a:extLst>
            <a:ext uri="{FF2B5EF4-FFF2-40B4-BE49-F238E27FC236}">
              <a16:creationId xmlns:a16="http://schemas.microsoft.com/office/drawing/2014/main" id="{8A29C104-DF73-240B-49C0-9FFFF0F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6" name="Picture 27">
          <a:extLst>
            <a:ext uri="{FF2B5EF4-FFF2-40B4-BE49-F238E27FC236}">
              <a16:creationId xmlns:a16="http://schemas.microsoft.com/office/drawing/2014/main" id="{F523802F-0898-8A01-0836-E229F0BF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047" name="Picture 28">
          <a:extLst>
            <a:ext uri="{FF2B5EF4-FFF2-40B4-BE49-F238E27FC236}">
              <a16:creationId xmlns:a16="http://schemas.microsoft.com/office/drawing/2014/main" id="{6235B7F3-248C-1E60-41F2-2406296AC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888" name="Picture 29">
          <a:extLst>
            <a:ext uri="{FF2B5EF4-FFF2-40B4-BE49-F238E27FC236}">
              <a16:creationId xmlns:a16="http://schemas.microsoft.com/office/drawing/2014/main" id="{FBFBE630-377E-3FBD-8E06-DD78E039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37889" name="Picture 30">
          <a:extLst>
            <a:ext uri="{FF2B5EF4-FFF2-40B4-BE49-F238E27FC236}">
              <a16:creationId xmlns:a16="http://schemas.microsoft.com/office/drawing/2014/main" id="{74F461BC-0720-3DB8-CFE0-3628463E1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3</xdr:row>
      <xdr:rowOff>139700</xdr:rowOff>
    </xdr:to>
    <xdr:pic>
      <xdr:nvPicPr>
        <xdr:cNvPr id="37890" name="Picture 1" descr="LOGO FINAL">
          <a:extLst>
            <a:ext uri="{FF2B5EF4-FFF2-40B4-BE49-F238E27FC236}">
              <a16:creationId xmlns:a16="http://schemas.microsoft.com/office/drawing/2014/main" id="{EBC1382E-10F0-6923-480E-F4A48A26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114300</xdr:rowOff>
    </xdr:from>
    <xdr:to>
      <xdr:col>0</xdr:col>
      <xdr:colOff>1009650</xdr:colOff>
      <xdr:row>3</xdr:row>
      <xdr:rowOff>158750</xdr:rowOff>
    </xdr:to>
    <xdr:pic>
      <xdr:nvPicPr>
        <xdr:cNvPr id="2081" name="Imagen 2">
          <a:extLst>
            <a:ext uri="{FF2B5EF4-FFF2-40B4-BE49-F238E27FC236}">
              <a16:creationId xmlns:a16="http://schemas.microsoft.com/office/drawing/2014/main" id="{E809215C-830F-C37F-174E-D5D2D114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4300"/>
          <a:ext cx="8191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0</xdr:col>
      <xdr:colOff>749300</xdr:colOff>
      <xdr:row>2</xdr:row>
      <xdr:rowOff>209550</xdr:rowOff>
    </xdr:to>
    <xdr:pic>
      <xdr:nvPicPr>
        <xdr:cNvPr id="3105" name="Picture 3" descr="Nuevo Logo">
          <a:extLst>
            <a:ext uri="{FF2B5EF4-FFF2-40B4-BE49-F238E27FC236}">
              <a16:creationId xmlns:a16="http://schemas.microsoft.com/office/drawing/2014/main" id="{54DABF88-89EF-AF0F-F348-33DB3F17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85750"/>
          <a:ext cx="698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0</xdr:col>
      <xdr:colOff>749300</xdr:colOff>
      <xdr:row>2</xdr:row>
      <xdr:rowOff>209550</xdr:rowOff>
    </xdr:to>
    <xdr:pic>
      <xdr:nvPicPr>
        <xdr:cNvPr id="11340" name="Picture 3" descr="Nuevo Logo">
          <a:extLst>
            <a:ext uri="{FF2B5EF4-FFF2-40B4-BE49-F238E27FC236}">
              <a16:creationId xmlns:a16="http://schemas.microsoft.com/office/drawing/2014/main" id="{1EA4DCD3-48A8-0E9E-6983-91C85940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85750"/>
          <a:ext cx="698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279400</xdr:colOff>
      <xdr:row>14</xdr:row>
      <xdr:rowOff>12700</xdr:rowOff>
    </xdr:from>
    <xdr:to>
      <xdr:col>4</xdr:col>
      <xdr:colOff>190500</xdr:colOff>
      <xdr:row>24</xdr:row>
      <xdr:rowOff>146050</xdr:rowOff>
    </xdr:to>
    <xdr:pic>
      <xdr:nvPicPr>
        <xdr:cNvPr id="11341" name="Imagen 2">
          <a:extLst>
            <a:ext uri="{FF2B5EF4-FFF2-40B4-BE49-F238E27FC236}">
              <a16:creationId xmlns:a16="http://schemas.microsoft.com/office/drawing/2014/main" id="{90C6A11E-C051-E808-8353-5626BB98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2" t="52843" r="50665" b="19337"/>
        <a:stretch>
          <a:fillRect/>
        </a:stretch>
      </xdr:blipFill>
      <xdr:spPr bwMode="auto">
        <a:xfrm>
          <a:off x="1060450" y="3460750"/>
          <a:ext cx="4921250" cy="267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527050</xdr:colOff>
      <xdr:row>14</xdr:row>
      <xdr:rowOff>38100</xdr:rowOff>
    </xdr:from>
    <xdr:to>
      <xdr:col>7</xdr:col>
      <xdr:colOff>19050</xdr:colOff>
      <xdr:row>25</xdr:row>
      <xdr:rowOff>6350</xdr:rowOff>
    </xdr:to>
    <xdr:pic>
      <xdr:nvPicPr>
        <xdr:cNvPr id="11342" name="Imagen 4">
          <a:extLst>
            <a:ext uri="{FF2B5EF4-FFF2-40B4-BE49-F238E27FC236}">
              <a16:creationId xmlns:a16="http://schemas.microsoft.com/office/drawing/2014/main" id="{A400D67A-1189-87BB-7828-C3DF10ED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13" t="13298" r="40627" b="40862"/>
        <a:stretch>
          <a:fillRect/>
        </a:stretch>
      </xdr:blipFill>
      <xdr:spPr bwMode="auto">
        <a:xfrm>
          <a:off x="5010150" y="3486150"/>
          <a:ext cx="360680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77" name="Picture 1">
          <a:extLst>
            <a:ext uri="{FF2B5EF4-FFF2-40B4-BE49-F238E27FC236}">
              <a16:creationId xmlns:a16="http://schemas.microsoft.com/office/drawing/2014/main" id="{BD23B126-B778-42D7-C5B0-7BF7EB91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78" name="Picture 2">
          <a:extLst>
            <a:ext uri="{FF2B5EF4-FFF2-40B4-BE49-F238E27FC236}">
              <a16:creationId xmlns:a16="http://schemas.microsoft.com/office/drawing/2014/main" id="{3B2849BD-D141-825F-2B7B-BB5EAEB8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79" name="Picture 3">
          <a:extLst>
            <a:ext uri="{FF2B5EF4-FFF2-40B4-BE49-F238E27FC236}">
              <a16:creationId xmlns:a16="http://schemas.microsoft.com/office/drawing/2014/main" id="{0498BFA1-BE0F-2503-42A2-2867128C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0" name="Picture 4">
          <a:extLst>
            <a:ext uri="{FF2B5EF4-FFF2-40B4-BE49-F238E27FC236}">
              <a16:creationId xmlns:a16="http://schemas.microsoft.com/office/drawing/2014/main" id="{65FD4154-22B8-9C13-8BB5-D5718780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1" name="Picture 5">
          <a:extLst>
            <a:ext uri="{FF2B5EF4-FFF2-40B4-BE49-F238E27FC236}">
              <a16:creationId xmlns:a16="http://schemas.microsoft.com/office/drawing/2014/main" id="{0A6FEF17-844B-5D8F-36DA-B7CE92E5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2" name="Picture 6">
          <a:extLst>
            <a:ext uri="{FF2B5EF4-FFF2-40B4-BE49-F238E27FC236}">
              <a16:creationId xmlns:a16="http://schemas.microsoft.com/office/drawing/2014/main" id="{BA4CBC22-3AEE-9261-0EEF-ED805BD7B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3" name="Picture 7">
          <a:extLst>
            <a:ext uri="{FF2B5EF4-FFF2-40B4-BE49-F238E27FC236}">
              <a16:creationId xmlns:a16="http://schemas.microsoft.com/office/drawing/2014/main" id="{4322ACDE-2740-B61B-797E-2B240CE9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4" name="Picture 8">
          <a:extLst>
            <a:ext uri="{FF2B5EF4-FFF2-40B4-BE49-F238E27FC236}">
              <a16:creationId xmlns:a16="http://schemas.microsoft.com/office/drawing/2014/main" id="{96E7D1AD-D392-9FFC-083F-BB70BA37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5" name="Picture 9">
          <a:extLst>
            <a:ext uri="{FF2B5EF4-FFF2-40B4-BE49-F238E27FC236}">
              <a16:creationId xmlns:a16="http://schemas.microsoft.com/office/drawing/2014/main" id="{8E0530CA-5423-CB3E-FA7B-9982E8B0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86" name="Picture 10">
          <a:extLst>
            <a:ext uri="{FF2B5EF4-FFF2-40B4-BE49-F238E27FC236}">
              <a16:creationId xmlns:a16="http://schemas.microsoft.com/office/drawing/2014/main" id="{E2DBA85B-F4CA-4AD8-8CC8-503D072A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87" name="Picture 11">
          <a:extLst>
            <a:ext uri="{FF2B5EF4-FFF2-40B4-BE49-F238E27FC236}">
              <a16:creationId xmlns:a16="http://schemas.microsoft.com/office/drawing/2014/main" id="{04A4B0C6-C9C1-FCCE-7C9C-0F3E3E339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8" name="Picture 12">
          <a:extLst>
            <a:ext uri="{FF2B5EF4-FFF2-40B4-BE49-F238E27FC236}">
              <a16:creationId xmlns:a16="http://schemas.microsoft.com/office/drawing/2014/main" id="{8B264EFA-9E6F-32DE-87C4-3C4249C3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89" name="Picture 13">
          <a:extLst>
            <a:ext uri="{FF2B5EF4-FFF2-40B4-BE49-F238E27FC236}">
              <a16:creationId xmlns:a16="http://schemas.microsoft.com/office/drawing/2014/main" id="{3B8DCF52-FE2D-3743-012F-3DAB1F22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0" name="Picture 14">
          <a:extLst>
            <a:ext uri="{FF2B5EF4-FFF2-40B4-BE49-F238E27FC236}">
              <a16:creationId xmlns:a16="http://schemas.microsoft.com/office/drawing/2014/main" id="{BD193A42-36F0-16E4-6F32-80387A52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1" name="Picture 15">
          <a:extLst>
            <a:ext uri="{FF2B5EF4-FFF2-40B4-BE49-F238E27FC236}">
              <a16:creationId xmlns:a16="http://schemas.microsoft.com/office/drawing/2014/main" id="{6ABC69FE-A5BA-71DC-D4DF-599992C5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2" name="Picture 16">
          <a:extLst>
            <a:ext uri="{FF2B5EF4-FFF2-40B4-BE49-F238E27FC236}">
              <a16:creationId xmlns:a16="http://schemas.microsoft.com/office/drawing/2014/main" id="{2FC0FE32-C0E3-6D2F-7786-98AC9BFF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3" name="Picture 17">
          <a:extLst>
            <a:ext uri="{FF2B5EF4-FFF2-40B4-BE49-F238E27FC236}">
              <a16:creationId xmlns:a16="http://schemas.microsoft.com/office/drawing/2014/main" id="{5D1A47D0-3C5F-3455-60D9-F4CB90C0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94" name="Picture 18">
          <a:extLst>
            <a:ext uri="{FF2B5EF4-FFF2-40B4-BE49-F238E27FC236}">
              <a16:creationId xmlns:a16="http://schemas.microsoft.com/office/drawing/2014/main" id="{F5E6009A-52F8-C34D-231A-40EC5A40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95" name="Picture 19">
          <a:extLst>
            <a:ext uri="{FF2B5EF4-FFF2-40B4-BE49-F238E27FC236}">
              <a16:creationId xmlns:a16="http://schemas.microsoft.com/office/drawing/2014/main" id="{4F135FE0-3BA1-9A82-78AD-089374F6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796" name="Picture 20">
          <a:extLst>
            <a:ext uri="{FF2B5EF4-FFF2-40B4-BE49-F238E27FC236}">
              <a16:creationId xmlns:a16="http://schemas.microsoft.com/office/drawing/2014/main" id="{D8F1C955-7D8F-54B7-ECBF-32C57188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7" name="Picture 21">
          <a:extLst>
            <a:ext uri="{FF2B5EF4-FFF2-40B4-BE49-F238E27FC236}">
              <a16:creationId xmlns:a16="http://schemas.microsoft.com/office/drawing/2014/main" id="{95E936C3-D14F-F002-0C14-ADD1BFA7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8" name="Picture 22">
          <a:extLst>
            <a:ext uri="{FF2B5EF4-FFF2-40B4-BE49-F238E27FC236}">
              <a16:creationId xmlns:a16="http://schemas.microsoft.com/office/drawing/2014/main" id="{7F7A70B2-C28D-39F0-2D9C-4A292D0A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799" name="Picture 23">
          <a:extLst>
            <a:ext uri="{FF2B5EF4-FFF2-40B4-BE49-F238E27FC236}">
              <a16:creationId xmlns:a16="http://schemas.microsoft.com/office/drawing/2014/main" id="{8F3F5A28-4ECB-97F1-EFBF-03FFF26C0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0" name="Picture 24">
          <a:extLst>
            <a:ext uri="{FF2B5EF4-FFF2-40B4-BE49-F238E27FC236}">
              <a16:creationId xmlns:a16="http://schemas.microsoft.com/office/drawing/2014/main" id="{BD88EC4E-B8DC-AB35-760E-47A5C525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1" name="Picture 25">
          <a:extLst>
            <a:ext uri="{FF2B5EF4-FFF2-40B4-BE49-F238E27FC236}">
              <a16:creationId xmlns:a16="http://schemas.microsoft.com/office/drawing/2014/main" id="{7864A962-DC2F-6E41-1D0B-795CE3D2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2" name="Picture 26">
          <a:extLst>
            <a:ext uri="{FF2B5EF4-FFF2-40B4-BE49-F238E27FC236}">
              <a16:creationId xmlns:a16="http://schemas.microsoft.com/office/drawing/2014/main" id="{27A9618C-EFFF-557E-1F07-FA61CDA9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03" name="Picture 27">
          <a:extLst>
            <a:ext uri="{FF2B5EF4-FFF2-40B4-BE49-F238E27FC236}">
              <a16:creationId xmlns:a16="http://schemas.microsoft.com/office/drawing/2014/main" id="{C3CEFE9B-CF94-56BE-FB3B-20B74160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04" name="Picture 28">
          <a:extLst>
            <a:ext uri="{FF2B5EF4-FFF2-40B4-BE49-F238E27FC236}">
              <a16:creationId xmlns:a16="http://schemas.microsoft.com/office/drawing/2014/main" id="{3C842032-028E-9212-EF0B-1FC5B9181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5" name="Picture 29">
          <a:extLst>
            <a:ext uri="{FF2B5EF4-FFF2-40B4-BE49-F238E27FC236}">
              <a16:creationId xmlns:a16="http://schemas.microsoft.com/office/drawing/2014/main" id="{22ED2FF1-0AB5-13C9-D33B-4C74C991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6" name="Picture 30">
          <a:extLst>
            <a:ext uri="{FF2B5EF4-FFF2-40B4-BE49-F238E27FC236}">
              <a16:creationId xmlns:a16="http://schemas.microsoft.com/office/drawing/2014/main" id="{4C8FF640-07A2-45DA-F77D-460053D3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7" name="Picture 31">
          <a:extLst>
            <a:ext uri="{FF2B5EF4-FFF2-40B4-BE49-F238E27FC236}">
              <a16:creationId xmlns:a16="http://schemas.microsoft.com/office/drawing/2014/main" id="{B9634D84-6F0A-7BA3-6A54-BFE88E46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8" name="Picture 32">
          <a:extLst>
            <a:ext uri="{FF2B5EF4-FFF2-40B4-BE49-F238E27FC236}">
              <a16:creationId xmlns:a16="http://schemas.microsoft.com/office/drawing/2014/main" id="{4C7CC035-8E38-9981-E1A7-1A51D777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09" name="Picture 33">
          <a:extLst>
            <a:ext uri="{FF2B5EF4-FFF2-40B4-BE49-F238E27FC236}">
              <a16:creationId xmlns:a16="http://schemas.microsoft.com/office/drawing/2014/main" id="{DFF7DD01-86E1-EE31-40AB-346524FA2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0" name="Picture 34">
          <a:extLst>
            <a:ext uri="{FF2B5EF4-FFF2-40B4-BE49-F238E27FC236}">
              <a16:creationId xmlns:a16="http://schemas.microsoft.com/office/drawing/2014/main" id="{372A9B75-3A11-6D24-09C6-E2CC128D1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11" name="Picture 35">
          <a:extLst>
            <a:ext uri="{FF2B5EF4-FFF2-40B4-BE49-F238E27FC236}">
              <a16:creationId xmlns:a16="http://schemas.microsoft.com/office/drawing/2014/main" id="{553824D4-BD07-371D-7EF2-A6CA8EBCC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12" name="Picture 36">
          <a:extLst>
            <a:ext uri="{FF2B5EF4-FFF2-40B4-BE49-F238E27FC236}">
              <a16:creationId xmlns:a16="http://schemas.microsoft.com/office/drawing/2014/main" id="{7C479AC8-63FC-B61C-CF80-8C5CB5E62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13" name="Picture 37">
          <a:extLst>
            <a:ext uri="{FF2B5EF4-FFF2-40B4-BE49-F238E27FC236}">
              <a16:creationId xmlns:a16="http://schemas.microsoft.com/office/drawing/2014/main" id="{BEDE846B-307D-A6C1-B1A3-1DCCEA27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4" name="Picture 38">
          <a:extLst>
            <a:ext uri="{FF2B5EF4-FFF2-40B4-BE49-F238E27FC236}">
              <a16:creationId xmlns:a16="http://schemas.microsoft.com/office/drawing/2014/main" id="{B8FF1D31-D869-354E-3EB6-5A845CC3B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5" name="Picture 39">
          <a:extLst>
            <a:ext uri="{FF2B5EF4-FFF2-40B4-BE49-F238E27FC236}">
              <a16:creationId xmlns:a16="http://schemas.microsoft.com/office/drawing/2014/main" id="{4D4B0B59-D682-CA15-FD21-3679F670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6" name="Picture 40">
          <a:extLst>
            <a:ext uri="{FF2B5EF4-FFF2-40B4-BE49-F238E27FC236}">
              <a16:creationId xmlns:a16="http://schemas.microsoft.com/office/drawing/2014/main" id="{979876E1-1411-785C-23E0-087C3AF1E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7" name="Picture 41">
          <a:extLst>
            <a:ext uri="{FF2B5EF4-FFF2-40B4-BE49-F238E27FC236}">
              <a16:creationId xmlns:a16="http://schemas.microsoft.com/office/drawing/2014/main" id="{FA57C786-8F6B-B110-26FE-988CFFFC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8" name="Picture 42">
          <a:extLst>
            <a:ext uri="{FF2B5EF4-FFF2-40B4-BE49-F238E27FC236}">
              <a16:creationId xmlns:a16="http://schemas.microsoft.com/office/drawing/2014/main" id="{003B1580-6A14-F0AA-FA1B-BB0B66F3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19" name="Picture 43">
          <a:extLst>
            <a:ext uri="{FF2B5EF4-FFF2-40B4-BE49-F238E27FC236}">
              <a16:creationId xmlns:a16="http://schemas.microsoft.com/office/drawing/2014/main" id="{E323DA06-13D7-199A-7DA8-0DD41973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20" name="Picture 44">
          <a:extLst>
            <a:ext uri="{FF2B5EF4-FFF2-40B4-BE49-F238E27FC236}">
              <a16:creationId xmlns:a16="http://schemas.microsoft.com/office/drawing/2014/main" id="{5D4E04D1-A3FA-F1C1-808B-A4406A5F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21" name="Picture 45">
          <a:extLst>
            <a:ext uri="{FF2B5EF4-FFF2-40B4-BE49-F238E27FC236}">
              <a16:creationId xmlns:a16="http://schemas.microsoft.com/office/drawing/2014/main" id="{5AF515DD-FD3A-1B24-5078-133EEB5D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2" name="Picture 46">
          <a:extLst>
            <a:ext uri="{FF2B5EF4-FFF2-40B4-BE49-F238E27FC236}">
              <a16:creationId xmlns:a16="http://schemas.microsoft.com/office/drawing/2014/main" id="{323103CF-B7A7-24C1-A10B-D9BDA4EC0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3" name="Picture 47">
          <a:extLst>
            <a:ext uri="{FF2B5EF4-FFF2-40B4-BE49-F238E27FC236}">
              <a16:creationId xmlns:a16="http://schemas.microsoft.com/office/drawing/2014/main" id="{3C6DED88-1F2E-AA10-EA19-49699894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4" name="Picture 48">
          <a:extLst>
            <a:ext uri="{FF2B5EF4-FFF2-40B4-BE49-F238E27FC236}">
              <a16:creationId xmlns:a16="http://schemas.microsoft.com/office/drawing/2014/main" id="{7BBF73D9-0AE2-417D-C9B5-382E9920C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5" name="Picture 49">
          <a:extLst>
            <a:ext uri="{FF2B5EF4-FFF2-40B4-BE49-F238E27FC236}">
              <a16:creationId xmlns:a16="http://schemas.microsoft.com/office/drawing/2014/main" id="{14A7FBE1-C06D-39C9-E67E-78D06686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6" name="Picture 50">
          <a:extLst>
            <a:ext uri="{FF2B5EF4-FFF2-40B4-BE49-F238E27FC236}">
              <a16:creationId xmlns:a16="http://schemas.microsoft.com/office/drawing/2014/main" id="{123FC80F-306E-32A4-5CEB-D70BEEE8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27" name="Picture 51">
          <a:extLst>
            <a:ext uri="{FF2B5EF4-FFF2-40B4-BE49-F238E27FC236}">
              <a16:creationId xmlns:a16="http://schemas.microsoft.com/office/drawing/2014/main" id="{3CCA43BB-C203-2D4F-A281-28C209D3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28" name="Picture 52">
          <a:extLst>
            <a:ext uri="{FF2B5EF4-FFF2-40B4-BE49-F238E27FC236}">
              <a16:creationId xmlns:a16="http://schemas.microsoft.com/office/drawing/2014/main" id="{742FB94D-C904-F644-9F03-B073EE7B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29" name="Picture 53">
          <a:extLst>
            <a:ext uri="{FF2B5EF4-FFF2-40B4-BE49-F238E27FC236}">
              <a16:creationId xmlns:a16="http://schemas.microsoft.com/office/drawing/2014/main" id="{1C7CD1BD-4A7E-C3F6-A474-C4FCBEC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30" name="Picture 54">
          <a:extLst>
            <a:ext uri="{FF2B5EF4-FFF2-40B4-BE49-F238E27FC236}">
              <a16:creationId xmlns:a16="http://schemas.microsoft.com/office/drawing/2014/main" id="{A86366C7-0B54-EB93-5493-2BD0B2B9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1" name="Picture 55">
          <a:extLst>
            <a:ext uri="{FF2B5EF4-FFF2-40B4-BE49-F238E27FC236}">
              <a16:creationId xmlns:a16="http://schemas.microsoft.com/office/drawing/2014/main" id="{62D3D087-667C-7EFC-DE8E-D52781C0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2" name="Picture 56">
          <a:extLst>
            <a:ext uri="{FF2B5EF4-FFF2-40B4-BE49-F238E27FC236}">
              <a16:creationId xmlns:a16="http://schemas.microsoft.com/office/drawing/2014/main" id="{D182E00A-1768-7CD1-962F-94719E56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3" name="Picture 57">
          <a:extLst>
            <a:ext uri="{FF2B5EF4-FFF2-40B4-BE49-F238E27FC236}">
              <a16:creationId xmlns:a16="http://schemas.microsoft.com/office/drawing/2014/main" id="{2636DAD8-C16C-9F00-E6A0-4E019574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4" name="Picture 58">
          <a:extLst>
            <a:ext uri="{FF2B5EF4-FFF2-40B4-BE49-F238E27FC236}">
              <a16:creationId xmlns:a16="http://schemas.microsoft.com/office/drawing/2014/main" id="{EE3F859D-3805-0312-3310-7A5C80E9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5" name="Picture 59">
          <a:extLst>
            <a:ext uri="{FF2B5EF4-FFF2-40B4-BE49-F238E27FC236}">
              <a16:creationId xmlns:a16="http://schemas.microsoft.com/office/drawing/2014/main" id="{B7A84944-8678-5BED-C7C6-3D9FAB0B7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6" name="Picture 60">
          <a:extLst>
            <a:ext uri="{FF2B5EF4-FFF2-40B4-BE49-F238E27FC236}">
              <a16:creationId xmlns:a16="http://schemas.microsoft.com/office/drawing/2014/main" id="{9FDC5778-95AE-6EC0-8E90-5C999E45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37" name="Picture 61">
          <a:extLst>
            <a:ext uri="{FF2B5EF4-FFF2-40B4-BE49-F238E27FC236}">
              <a16:creationId xmlns:a16="http://schemas.microsoft.com/office/drawing/2014/main" id="{5BCE1691-6D25-760D-62E5-EE602D14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38" name="Picture 62">
          <a:extLst>
            <a:ext uri="{FF2B5EF4-FFF2-40B4-BE49-F238E27FC236}">
              <a16:creationId xmlns:a16="http://schemas.microsoft.com/office/drawing/2014/main" id="{8650EC58-ECED-2689-7AEC-C114A28B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39" name="Picture 63">
          <a:extLst>
            <a:ext uri="{FF2B5EF4-FFF2-40B4-BE49-F238E27FC236}">
              <a16:creationId xmlns:a16="http://schemas.microsoft.com/office/drawing/2014/main" id="{345BB7C8-1BE1-CCFB-B4F7-A60D1AB4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0" name="Picture 64">
          <a:extLst>
            <a:ext uri="{FF2B5EF4-FFF2-40B4-BE49-F238E27FC236}">
              <a16:creationId xmlns:a16="http://schemas.microsoft.com/office/drawing/2014/main" id="{769D4C1D-6074-6522-D170-3BC0C42BE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1" name="Picture 65">
          <a:extLst>
            <a:ext uri="{FF2B5EF4-FFF2-40B4-BE49-F238E27FC236}">
              <a16:creationId xmlns:a16="http://schemas.microsoft.com/office/drawing/2014/main" id="{BD317DBC-0F0D-066E-B1BA-F723F98E7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2" name="Picture 66">
          <a:extLst>
            <a:ext uri="{FF2B5EF4-FFF2-40B4-BE49-F238E27FC236}">
              <a16:creationId xmlns:a16="http://schemas.microsoft.com/office/drawing/2014/main" id="{271B2AF4-6250-D984-1C07-AA08C54EE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3" name="Picture 67">
          <a:extLst>
            <a:ext uri="{FF2B5EF4-FFF2-40B4-BE49-F238E27FC236}">
              <a16:creationId xmlns:a16="http://schemas.microsoft.com/office/drawing/2014/main" id="{1BBD2E44-50B6-0726-8B3C-D58419C23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4" name="Picture 68">
          <a:extLst>
            <a:ext uri="{FF2B5EF4-FFF2-40B4-BE49-F238E27FC236}">
              <a16:creationId xmlns:a16="http://schemas.microsoft.com/office/drawing/2014/main" id="{90F9651D-F49C-47D0-3944-BA9CC8C1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45" name="Picture 69">
          <a:extLst>
            <a:ext uri="{FF2B5EF4-FFF2-40B4-BE49-F238E27FC236}">
              <a16:creationId xmlns:a16="http://schemas.microsoft.com/office/drawing/2014/main" id="{3FFEABA9-8157-3174-D1DC-D61653CC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46" name="Picture 70">
          <a:extLst>
            <a:ext uri="{FF2B5EF4-FFF2-40B4-BE49-F238E27FC236}">
              <a16:creationId xmlns:a16="http://schemas.microsoft.com/office/drawing/2014/main" id="{EC10B924-A19A-FD81-D1BC-9BB2DCF9E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47" name="Picture 71">
          <a:extLst>
            <a:ext uri="{FF2B5EF4-FFF2-40B4-BE49-F238E27FC236}">
              <a16:creationId xmlns:a16="http://schemas.microsoft.com/office/drawing/2014/main" id="{10E12CBC-2EC4-1BD9-7727-6F68991C0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8" name="Picture 72">
          <a:extLst>
            <a:ext uri="{FF2B5EF4-FFF2-40B4-BE49-F238E27FC236}">
              <a16:creationId xmlns:a16="http://schemas.microsoft.com/office/drawing/2014/main" id="{42C0954F-1FCE-D1AA-548E-A6C8A49D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49" name="Picture 73">
          <a:extLst>
            <a:ext uri="{FF2B5EF4-FFF2-40B4-BE49-F238E27FC236}">
              <a16:creationId xmlns:a16="http://schemas.microsoft.com/office/drawing/2014/main" id="{DE3DEE7A-1ABB-9393-90FD-DC27B431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0" name="Picture 74">
          <a:extLst>
            <a:ext uri="{FF2B5EF4-FFF2-40B4-BE49-F238E27FC236}">
              <a16:creationId xmlns:a16="http://schemas.microsoft.com/office/drawing/2014/main" id="{C21748B4-A251-103A-34BF-4E9004F98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1" name="Picture 75">
          <a:extLst>
            <a:ext uri="{FF2B5EF4-FFF2-40B4-BE49-F238E27FC236}">
              <a16:creationId xmlns:a16="http://schemas.microsoft.com/office/drawing/2014/main" id="{C93FEAB8-9DB7-BAA7-A9AF-4BF22699D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2" name="Picture 76">
          <a:extLst>
            <a:ext uri="{FF2B5EF4-FFF2-40B4-BE49-F238E27FC236}">
              <a16:creationId xmlns:a16="http://schemas.microsoft.com/office/drawing/2014/main" id="{18B90FC0-8814-CB17-1601-C0ED6066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3" name="Picture 77">
          <a:extLst>
            <a:ext uri="{FF2B5EF4-FFF2-40B4-BE49-F238E27FC236}">
              <a16:creationId xmlns:a16="http://schemas.microsoft.com/office/drawing/2014/main" id="{4CF6980D-CBF2-7BA6-2712-5FA95381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54" name="Picture 78">
          <a:extLst>
            <a:ext uri="{FF2B5EF4-FFF2-40B4-BE49-F238E27FC236}">
              <a16:creationId xmlns:a16="http://schemas.microsoft.com/office/drawing/2014/main" id="{29036899-0440-6636-2E01-C860A58BD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55" name="Picture 79">
          <a:extLst>
            <a:ext uri="{FF2B5EF4-FFF2-40B4-BE49-F238E27FC236}">
              <a16:creationId xmlns:a16="http://schemas.microsoft.com/office/drawing/2014/main" id="{C7D71237-9D1B-133D-14B9-1C7C0F26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6" name="Picture 80">
          <a:extLst>
            <a:ext uri="{FF2B5EF4-FFF2-40B4-BE49-F238E27FC236}">
              <a16:creationId xmlns:a16="http://schemas.microsoft.com/office/drawing/2014/main" id="{28211F4D-61A7-A2E2-1103-E3F162040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7" name="Picture 81">
          <a:extLst>
            <a:ext uri="{FF2B5EF4-FFF2-40B4-BE49-F238E27FC236}">
              <a16:creationId xmlns:a16="http://schemas.microsoft.com/office/drawing/2014/main" id="{692CC11C-EB09-14D4-D824-C919E844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8" name="Picture 82">
          <a:extLst>
            <a:ext uri="{FF2B5EF4-FFF2-40B4-BE49-F238E27FC236}">
              <a16:creationId xmlns:a16="http://schemas.microsoft.com/office/drawing/2014/main" id="{1FCB2637-C04D-EA6D-DA31-E30B9833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59" name="Picture 83">
          <a:extLst>
            <a:ext uri="{FF2B5EF4-FFF2-40B4-BE49-F238E27FC236}">
              <a16:creationId xmlns:a16="http://schemas.microsoft.com/office/drawing/2014/main" id="{FDCECCDE-81CA-3032-71DD-8F5DA6B2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0" name="Picture 84">
          <a:extLst>
            <a:ext uri="{FF2B5EF4-FFF2-40B4-BE49-F238E27FC236}">
              <a16:creationId xmlns:a16="http://schemas.microsoft.com/office/drawing/2014/main" id="{997ECCEE-769B-4F73-F351-81136218B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1" name="Picture 85">
          <a:extLst>
            <a:ext uri="{FF2B5EF4-FFF2-40B4-BE49-F238E27FC236}">
              <a16:creationId xmlns:a16="http://schemas.microsoft.com/office/drawing/2014/main" id="{36D53678-B2D6-E04E-F984-3109516C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62" name="Picture 86">
          <a:extLst>
            <a:ext uri="{FF2B5EF4-FFF2-40B4-BE49-F238E27FC236}">
              <a16:creationId xmlns:a16="http://schemas.microsoft.com/office/drawing/2014/main" id="{27681CA8-9B77-65DD-476C-C760E36E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63" name="Picture 87">
          <a:extLst>
            <a:ext uri="{FF2B5EF4-FFF2-40B4-BE49-F238E27FC236}">
              <a16:creationId xmlns:a16="http://schemas.microsoft.com/office/drawing/2014/main" id="{7225779B-9F59-8F58-8426-D285C562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64" name="Picture 88">
          <a:extLst>
            <a:ext uri="{FF2B5EF4-FFF2-40B4-BE49-F238E27FC236}">
              <a16:creationId xmlns:a16="http://schemas.microsoft.com/office/drawing/2014/main" id="{F2907661-F86A-FCAD-9140-24ADC5FD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5" name="Picture 89">
          <a:extLst>
            <a:ext uri="{FF2B5EF4-FFF2-40B4-BE49-F238E27FC236}">
              <a16:creationId xmlns:a16="http://schemas.microsoft.com/office/drawing/2014/main" id="{C592350B-EB1A-299B-EE1C-3749784F3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6" name="Picture 90">
          <a:extLst>
            <a:ext uri="{FF2B5EF4-FFF2-40B4-BE49-F238E27FC236}">
              <a16:creationId xmlns:a16="http://schemas.microsoft.com/office/drawing/2014/main" id="{900A1536-21CA-5B01-5076-C8476FE83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7" name="Picture 91">
          <a:extLst>
            <a:ext uri="{FF2B5EF4-FFF2-40B4-BE49-F238E27FC236}">
              <a16:creationId xmlns:a16="http://schemas.microsoft.com/office/drawing/2014/main" id="{7C2F7C03-4239-411F-D642-D10FBF62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8" name="Picture 92">
          <a:extLst>
            <a:ext uri="{FF2B5EF4-FFF2-40B4-BE49-F238E27FC236}">
              <a16:creationId xmlns:a16="http://schemas.microsoft.com/office/drawing/2014/main" id="{C06E18F8-33D5-FE1C-0066-C8501342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69" name="Picture 93">
          <a:extLst>
            <a:ext uri="{FF2B5EF4-FFF2-40B4-BE49-F238E27FC236}">
              <a16:creationId xmlns:a16="http://schemas.microsoft.com/office/drawing/2014/main" id="{552B2651-8649-BEF7-A14C-2E889166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0" name="Picture 94">
          <a:extLst>
            <a:ext uri="{FF2B5EF4-FFF2-40B4-BE49-F238E27FC236}">
              <a16:creationId xmlns:a16="http://schemas.microsoft.com/office/drawing/2014/main" id="{7AE92F17-B0F8-F4DB-DF4A-37652639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71" name="Picture 95">
          <a:extLst>
            <a:ext uri="{FF2B5EF4-FFF2-40B4-BE49-F238E27FC236}">
              <a16:creationId xmlns:a16="http://schemas.microsoft.com/office/drawing/2014/main" id="{010F34F7-0D54-8DCA-E22F-FB09546B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72" name="Picture 96">
          <a:extLst>
            <a:ext uri="{FF2B5EF4-FFF2-40B4-BE49-F238E27FC236}">
              <a16:creationId xmlns:a16="http://schemas.microsoft.com/office/drawing/2014/main" id="{5EAB8E25-E456-971B-EB27-72259E8D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3" name="Picture 97">
          <a:extLst>
            <a:ext uri="{FF2B5EF4-FFF2-40B4-BE49-F238E27FC236}">
              <a16:creationId xmlns:a16="http://schemas.microsoft.com/office/drawing/2014/main" id="{35CD58EE-D636-4C6B-E109-17902D935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4" name="Picture 98">
          <a:extLst>
            <a:ext uri="{FF2B5EF4-FFF2-40B4-BE49-F238E27FC236}">
              <a16:creationId xmlns:a16="http://schemas.microsoft.com/office/drawing/2014/main" id="{6F72F5EC-C68B-730D-ED6A-9968FF8B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5" name="Picture 99">
          <a:extLst>
            <a:ext uri="{FF2B5EF4-FFF2-40B4-BE49-F238E27FC236}">
              <a16:creationId xmlns:a16="http://schemas.microsoft.com/office/drawing/2014/main" id="{2697009E-35AB-224F-225D-1BA07DF83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6" name="Picture 100">
          <a:extLst>
            <a:ext uri="{FF2B5EF4-FFF2-40B4-BE49-F238E27FC236}">
              <a16:creationId xmlns:a16="http://schemas.microsoft.com/office/drawing/2014/main" id="{233BF54D-A12A-76FC-0A51-5F9010A8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7" name="Picture 101">
          <a:extLst>
            <a:ext uri="{FF2B5EF4-FFF2-40B4-BE49-F238E27FC236}">
              <a16:creationId xmlns:a16="http://schemas.microsoft.com/office/drawing/2014/main" id="{D23A3032-6916-531B-1A14-5C7BF773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78" name="Picture 102">
          <a:extLst>
            <a:ext uri="{FF2B5EF4-FFF2-40B4-BE49-F238E27FC236}">
              <a16:creationId xmlns:a16="http://schemas.microsoft.com/office/drawing/2014/main" id="{1EABDF47-480D-5743-0648-73D9E5A9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79" name="Picture 103">
          <a:extLst>
            <a:ext uri="{FF2B5EF4-FFF2-40B4-BE49-F238E27FC236}">
              <a16:creationId xmlns:a16="http://schemas.microsoft.com/office/drawing/2014/main" id="{B3D4AA03-424D-2C5D-82F0-03901883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80" name="Picture 104">
          <a:extLst>
            <a:ext uri="{FF2B5EF4-FFF2-40B4-BE49-F238E27FC236}">
              <a16:creationId xmlns:a16="http://schemas.microsoft.com/office/drawing/2014/main" id="{B1AD798E-17CC-A35B-D2AD-179DBB82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7881" name="Picture 105">
          <a:extLst>
            <a:ext uri="{FF2B5EF4-FFF2-40B4-BE49-F238E27FC236}">
              <a16:creationId xmlns:a16="http://schemas.microsoft.com/office/drawing/2014/main" id="{6BCF3C97-1B57-1372-B761-31912D6A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2" name="Picture 106">
          <a:extLst>
            <a:ext uri="{FF2B5EF4-FFF2-40B4-BE49-F238E27FC236}">
              <a16:creationId xmlns:a16="http://schemas.microsoft.com/office/drawing/2014/main" id="{7F20750C-2771-4DFC-0D6F-2B5A508A3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3" name="Picture 107">
          <a:extLst>
            <a:ext uri="{FF2B5EF4-FFF2-40B4-BE49-F238E27FC236}">
              <a16:creationId xmlns:a16="http://schemas.microsoft.com/office/drawing/2014/main" id="{EDB952B0-BED7-D660-F24A-BC892E8C9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4" name="Picture 108">
          <a:extLst>
            <a:ext uri="{FF2B5EF4-FFF2-40B4-BE49-F238E27FC236}">
              <a16:creationId xmlns:a16="http://schemas.microsoft.com/office/drawing/2014/main" id="{7E779E13-E7DF-1CDF-DBB5-441B3B652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5" name="Picture 109">
          <a:extLst>
            <a:ext uri="{FF2B5EF4-FFF2-40B4-BE49-F238E27FC236}">
              <a16:creationId xmlns:a16="http://schemas.microsoft.com/office/drawing/2014/main" id="{11A099CC-9FD5-3F12-FBBE-FD38CFA9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6" name="Picture 110">
          <a:extLst>
            <a:ext uri="{FF2B5EF4-FFF2-40B4-BE49-F238E27FC236}">
              <a16:creationId xmlns:a16="http://schemas.microsoft.com/office/drawing/2014/main" id="{568ADFFA-4F98-8834-6CDE-DF314BBF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7887" name="Picture 111">
          <a:extLst>
            <a:ext uri="{FF2B5EF4-FFF2-40B4-BE49-F238E27FC236}">
              <a16:creationId xmlns:a16="http://schemas.microsoft.com/office/drawing/2014/main" id="{68AEB5CA-8F6A-D5B9-0D54-40EF096D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12" name="Picture 112">
          <a:extLst>
            <a:ext uri="{FF2B5EF4-FFF2-40B4-BE49-F238E27FC236}">
              <a16:creationId xmlns:a16="http://schemas.microsoft.com/office/drawing/2014/main" id="{91EC165F-A9DA-F313-25A8-A88A6C31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13" name="Picture 113">
          <a:extLst>
            <a:ext uri="{FF2B5EF4-FFF2-40B4-BE49-F238E27FC236}">
              <a16:creationId xmlns:a16="http://schemas.microsoft.com/office/drawing/2014/main" id="{44C44FC6-0CD9-8E40-23F1-93DA24D86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4" name="Picture 114">
          <a:extLst>
            <a:ext uri="{FF2B5EF4-FFF2-40B4-BE49-F238E27FC236}">
              <a16:creationId xmlns:a16="http://schemas.microsoft.com/office/drawing/2014/main" id="{E93FC21D-3854-0366-39C3-77A5C13CD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5" name="Picture 115">
          <a:extLst>
            <a:ext uri="{FF2B5EF4-FFF2-40B4-BE49-F238E27FC236}">
              <a16:creationId xmlns:a16="http://schemas.microsoft.com/office/drawing/2014/main" id="{3F574FE1-B426-6E5D-F7D7-2DEB4F605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6" name="Picture 116">
          <a:extLst>
            <a:ext uri="{FF2B5EF4-FFF2-40B4-BE49-F238E27FC236}">
              <a16:creationId xmlns:a16="http://schemas.microsoft.com/office/drawing/2014/main" id="{79CA6741-B238-B693-9C72-843EAC7A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7" name="Picture 117">
          <a:extLst>
            <a:ext uri="{FF2B5EF4-FFF2-40B4-BE49-F238E27FC236}">
              <a16:creationId xmlns:a16="http://schemas.microsoft.com/office/drawing/2014/main" id="{3FB03B64-64C9-8774-F5BA-24F5B86FD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8" name="Picture 118">
          <a:extLst>
            <a:ext uri="{FF2B5EF4-FFF2-40B4-BE49-F238E27FC236}">
              <a16:creationId xmlns:a16="http://schemas.microsoft.com/office/drawing/2014/main" id="{4875C152-9A8B-EECB-3D13-68283CEE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19" name="Picture 119">
          <a:extLst>
            <a:ext uri="{FF2B5EF4-FFF2-40B4-BE49-F238E27FC236}">
              <a16:creationId xmlns:a16="http://schemas.microsoft.com/office/drawing/2014/main" id="{2229B222-4D1F-AD6D-D396-703BAC33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20" name="Picture 120">
          <a:extLst>
            <a:ext uri="{FF2B5EF4-FFF2-40B4-BE49-F238E27FC236}">
              <a16:creationId xmlns:a16="http://schemas.microsoft.com/office/drawing/2014/main" id="{09908048-FF7D-C821-93AC-B96CE831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21" name="Picture 121">
          <a:extLst>
            <a:ext uri="{FF2B5EF4-FFF2-40B4-BE49-F238E27FC236}">
              <a16:creationId xmlns:a16="http://schemas.microsoft.com/office/drawing/2014/main" id="{4860BE2D-6660-56F6-A2E0-28D6A472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22" name="Picture 122">
          <a:extLst>
            <a:ext uri="{FF2B5EF4-FFF2-40B4-BE49-F238E27FC236}">
              <a16:creationId xmlns:a16="http://schemas.microsoft.com/office/drawing/2014/main" id="{EA257F7E-246A-6FE7-39C1-7B0658E0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3" name="Picture 123">
          <a:extLst>
            <a:ext uri="{FF2B5EF4-FFF2-40B4-BE49-F238E27FC236}">
              <a16:creationId xmlns:a16="http://schemas.microsoft.com/office/drawing/2014/main" id="{47414B98-D24B-5601-5A7D-3131F349E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4" name="Picture 124">
          <a:extLst>
            <a:ext uri="{FF2B5EF4-FFF2-40B4-BE49-F238E27FC236}">
              <a16:creationId xmlns:a16="http://schemas.microsoft.com/office/drawing/2014/main" id="{E17396F8-4E0B-5CF0-24C3-51661153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5" name="Picture 125">
          <a:extLst>
            <a:ext uri="{FF2B5EF4-FFF2-40B4-BE49-F238E27FC236}">
              <a16:creationId xmlns:a16="http://schemas.microsoft.com/office/drawing/2014/main" id="{1BC042E4-3D88-95A4-EA0F-BF533B0B0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6" name="Picture 126">
          <a:extLst>
            <a:ext uri="{FF2B5EF4-FFF2-40B4-BE49-F238E27FC236}">
              <a16:creationId xmlns:a16="http://schemas.microsoft.com/office/drawing/2014/main" id="{96AD0DB7-303F-EF6C-DE16-876A4571E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7" name="Picture 127">
          <a:extLst>
            <a:ext uri="{FF2B5EF4-FFF2-40B4-BE49-F238E27FC236}">
              <a16:creationId xmlns:a16="http://schemas.microsoft.com/office/drawing/2014/main" id="{CE7D217D-485F-8D2B-C4AD-124FDA6B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28" name="Picture 128">
          <a:extLst>
            <a:ext uri="{FF2B5EF4-FFF2-40B4-BE49-F238E27FC236}">
              <a16:creationId xmlns:a16="http://schemas.microsoft.com/office/drawing/2014/main" id="{45C48FEF-3829-6F20-17CD-B94E5B3B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29" name="Picture 129">
          <a:extLst>
            <a:ext uri="{FF2B5EF4-FFF2-40B4-BE49-F238E27FC236}">
              <a16:creationId xmlns:a16="http://schemas.microsoft.com/office/drawing/2014/main" id="{DF47E615-2D0D-9ADD-BB4C-879B12B0E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30" name="Picture 130">
          <a:extLst>
            <a:ext uri="{FF2B5EF4-FFF2-40B4-BE49-F238E27FC236}">
              <a16:creationId xmlns:a16="http://schemas.microsoft.com/office/drawing/2014/main" id="{A4B7D951-F79D-A6EB-8305-081012BE4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1" name="Picture 131">
          <a:extLst>
            <a:ext uri="{FF2B5EF4-FFF2-40B4-BE49-F238E27FC236}">
              <a16:creationId xmlns:a16="http://schemas.microsoft.com/office/drawing/2014/main" id="{6EA2987F-42D4-3EE3-356C-9D9AC163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2" name="Picture 132">
          <a:extLst>
            <a:ext uri="{FF2B5EF4-FFF2-40B4-BE49-F238E27FC236}">
              <a16:creationId xmlns:a16="http://schemas.microsoft.com/office/drawing/2014/main" id="{9FC3BED8-D842-B7C1-DA79-6D40E3624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3" name="Picture 133">
          <a:extLst>
            <a:ext uri="{FF2B5EF4-FFF2-40B4-BE49-F238E27FC236}">
              <a16:creationId xmlns:a16="http://schemas.microsoft.com/office/drawing/2014/main" id="{5A274BA7-6AE0-C969-6F66-8EC6047D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4" name="Picture 134">
          <a:extLst>
            <a:ext uri="{FF2B5EF4-FFF2-40B4-BE49-F238E27FC236}">
              <a16:creationId xmlns:a16="http://schemas.microsoft.com/office/drawing/2014/main" id="{F00C2634-5D17-7CB1-AB92-24BAF3BC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5" name="Picture 135">
          <a:extLst>
            <a:ext uri="{FF2B5EF4-FFF2-40B4-BE49-F238E27FC236}">
              <a16:creationId xmlns:a16="http://schemas.microsoft.com/office/drawing/2014/main" id="{C9A3A37E-F531-03D6-4472-4D6133AE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36" name="Picture 136">
          <a:extLst>
            <a:ext uri="{FF2B5EF4-FFF2-40B4-BE49-F238E27FC236}">
              <a16:creationId xmlns:a16="http://schemas.microsoft.com/office/drawing/2014/main" id="{D8C848D3-7773-75A5-FE3B-8B005D783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37" name="Picture 137">
          <a:extLst>
            <a:ext uri="{FF2B5EF4-FFF2-40B4-BE49-F238E27FC236}">
              <a16:creationId xmlns:a16="http://schemas.microsoft.com/office/drawing/2014/main" id="{8BF091A2-C269-B945-D295-A739E87C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38" name="Picture 138">
          <a:extLst>
            <a:ext uri="{FF2B5EF4-FFF2-40B4-BE49-F238E27FC236}">
              <a16:creationId xmlns:a16="http://schemas.microsoft.com/office/drawing/2014/main" id="{AB44B705-BE97-C772-001F-4ACD9C673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39" name="Picture 139">
          <a:extLst>
            <a:ext uri="{FF2B5EF4-FFF2-40B4-BE49-F238E27FC236}">
              <a16:creationId xmlns:a16="http://schemas.microsoft.com/office/drawing/2014/main" id="{0A15B5BD-9012-10E5-D46C-FA6041E0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0" name="Picture 140">
          <a:extLst>
            <a:ext uri="{FF2B5EF4-FFF2-40B4-BE49-F238E27FC236}">
              <a16:creationId xmlns:a16="http://schemas.microsoft.com/office/drawing/2014/main" id="{3934107C-507F-2262-8BE6-80AB0ABA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1" name="Picture 141">
          <a:extLst>
            <a:ext uri="{FF2B5EF4-FFF2-40B4-BE49-F238E27FC236}">
              <a16:creationId xmlns:a16="http://schemas.microsoft.com/office/drawing/2014/main" id="{A575ED6B-E642-4891-48E8-57D0A20E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2" name="Picture 142">
          <a:extLst>
            <a:ext uri="{FF2B5EF4-FFF2-40B4-BE49-F238E27FC236}">
              <a16:creationId xmlns:a16="http://schemas.microsoft.com/office/drawing/2014/main" id="{01E0A09D-4686-57B8-B5DB-ED2A804D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3" name="Picture 143">
          <a:extLst>
            <a:ext uri="{FF2B5EF4-FFF2-40B4-BE49-F238E27FC236}">
              <a16:creationId xmlns:a16="http://schemas.microsoft.com/office/drawing/2014/main" id="{335BDF3A-8ECF-162F-92E9-676D8952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4" name="Picture 144">
          <a:extLst>
            <a:ext uri="{FF2B5EF4-FFF2-40B4-BE49-F238E27FC236}">
              <a16:creationId xmlns:a16="http://schemas.microsoft.com/office/drawing/2014/main" id="{4C4849B2-0F5B-A71A-45DF-953E66DC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5" name="Picture 145">
          <a:extLst>
            <a:ext uri="{FF2B5EF4-FFF2-40B4-BE49-F238E27FC236}">
              <a16:creationId xmlns:a16="http://schemas.microsoft.com/office/drawing/2014/main" id="{2224792F-C794-9E6E-55CB-D9EC6F42D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46" name="Picture 146">
          <a:extLst>
            <a:ext uri="{FF2B5EF4-FFF2-40B4-BE49-F238E27FC236}">
              <a16:creationId xmlns:a16="http://schemas.microsoft.com/office/drawing/2014/main" id="{C39601AF-27CC-986A-641D-AB695500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47" name="Picture 147">
          <a:extLst>
            <a:ext uri="{FF2B5EF4-FFF2-40B4-BE49-F238E27FC236}">
              <a16:creationId xmlns:a16="http://schemas.microsoft.com/office/drawing/2014/main" id="{474FD185-BF40-F817-FF3F-119717CE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8" name="Picture 148">
          <a:extLst>
            <a:ext uri="{FF2B5EF4-FFF2-40B4-BE49-F238E27FC236}">
              <a16:creationId xmlns:a16="http://schemas.microsoft.com/office/drawing/2014/main" id="{4A0678BA-9924-1922-53E5-E1F203153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49" name="Picture 149">
          <a:extLst>
            <a:ext uri="{FF2B5EF4-FFF2-40B4-BE49-F238E27FC236}">
              <a16:creationId xmlns:a16="http://schemas.microsoft.com/office/drawing/2014/main" id="{09FCF6F7-F726-4FB6-AC51-4BE02E23F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0" name="Picture 150">
          <a:extLst>
            <a:ext uri="{FF2B5EF4-FFF2-40B4-BE49-F238E27FC236}">
              <a16:creationId xmlns:a16="http://schemas.microsoft.com/office/drawing/2014/main" id="{AA0A3EE1-4642-AC51-D510-E5A140D5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1" name="Picture 151">
          <a:extLst>
            <a:ext uri="{FF2B5EF4-FFF2-40B4-BE49-F238E27FC236}">
              <a16:creationId xmlns:a16="http://schemas.microsoft.com/office/drawing/2014/main" id="{18E32723-CCA9-8C58-6D23-BF0AC0C7D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2" name="Picture 152">
          <a:extLst>
            <a:ext uri="{FF2B5EF4-FFF2-40B4-BE49-F238E27FC236}">
              <a16:creationId xmlns:a16="http://schemas.microsoft.com/office/drawing/2014/main" id="{DD123F4A-FD98-2BDB-D74D-4CEB7091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3" name="Picture 153">
          <a:extLst>
            <a:ext uri="{FF2B5EF4-FFF2-40B4-BE49-F238E27FC236}">
              <a16:creationId xmlns:a16="http://schemas.microsoft.com/office/drawing/2014/main" id="{48465409-3BC3-A5C6-C747-55FC9066C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54" name="Picture 154">
          <a:extLst>
            <a:ext uri="{FF2B5EF4-FFF2-40B4-BE49-F238E27FC236}">
              <a16:creationId xmlns:a16="http://schemas.microsoft.com/office/drawing/2014/main" id="{87E3B935-4821-4B97-F858-841804B0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55" name="Picture 155">
          <a:extLst>
            <a:ext uri="{FF2B5EF4-FFF2-40B4-BE49-F238E27FC236}">
              <a16:creationId xmlns:a16="http://schemas.microsoft.com/office/drawing/2014/main" id="{08B07183-C4EC-5B5A-119F-6E13B6E26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56" name="Picture 156">
          <a:extLst>
            <a:ext uri="{FF2B5EF4-FFF2-40B4-BE49-F238E27FC236}">
              <a16:creationId xmlns:a16="http://schemas.microsoft.com/office/drawing/2014/main" id="{FB9EE6EF-984C-365C-6C39-12B13C61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7" name="Picture 157">
          <a:extLst>
            <a:ext uri="{FF2B5EF4-FFF2-40B4-BE49-F238E27FC236}">
              <a16:creationId xmlns:a16="http://schemas.microsoft.com/office/drawing/2014/main" id="{0504E407-6892-444A-3784-0CD2D02E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8" name="Picture 158">
          <a:extLst>
            <a:ext uri="{FF2B5EF4-FFF2-40B4-BE49-F238E27FC236}">
              <a16:creationId xmlns:a16="http://schemas.microsoft.com/office/drawing/2014/main" id="{01B868D0-E043-197C-12DC-432C0331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59" name="Picture 159">
          <a:extLst>
            <a:ext uri="{FF2B5EF4-FFF2-40B4-BE49-F238E27FC236}">
              <a16:creationId xmlns:a16="http://schemas.microsoft.com/office/drawing/2014/main" id="{76B41B17-2B55-E034-A131-9B3A3BDC2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0" name="Picture 160">
          <a:extLst>
            <a:ext uri="{FF2B5EF4-FFF2-40B4-BE49-F238E27FC236}">
              <a16:creationId xmlns:a16="http://schemas.microsoft.com/office/drawing/2014/main" id="{D407EFA7-51C5-FBC4-6FFE-256230F5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1" name="Picture 161">
          <a:extLst>
            <a:ext uri="{FF2B5EF4-FFF2-40B4-BE49-F238E27FC236}">
              <a16:creationId xmlns:a16="http://schemas.microsoft.com/office/drawing/2014/main" id="{E2EED8F0-38B1-8E76-DB40-5638CDCF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2" name="Picture 162">
          <a:extLst>
            <a:ext uri="{FF2B5EF4-FFF2-40B4-BE49-F238E27FC236}">
              <a16:creationId xmlns:a16="http://schemas.microsoft.com/office/drawing/2014/main" id="{391CB2DA-3207-327A-0133-A193994B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63" name="Picture 163">
          <a:extLst>
            <a:ext uri="{FF2B5EF4-FFF2-40B4-BE49-F238E27FC236}">
              <a16:creationId xmlns:a16="http://schemas.microsoft.com/office/drawing/2014/main" id="{2C5D4414-14BA-A85E-531B-87BE8968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64" name="Picture 164">
          <a:extLst>
            <a:ext uri="{FF2B5EF4-FFF2-40B4-BE49-F238E27FC236}">
              <a16:creationId xmlns:a16="http://schemas.microsoft.com/office/drawing/2014/main" id="{0D5BDCDA-FB1E-E7A0-07ED-EAB1D280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5" name="Picture 165">
          <a:extLst>
            <a:ext uri="{FF2B5EF4-FFF2-40B4-BE49-F238E27FC236}">
              <a16:creationId xmlns:a16="http://schemas.microsoft.com/office/drawing/2014/main" id="{CAD65689-E4EB-D897-01D3-48C026A1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6" name="Picture 166">
          <a:extLst>
            <a:ext uri="{FF2B5EF4-FFF2-40B4-BE49-F238E27FC236}">
              <a16:creationId xmlns:a16="http://schemas.microsoft.com/office/drawing/2014/main" id="{485D5BA9-5F3A-1344-101C-B9707980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7" name="Picture 167">
          <a:extLst>
            <a:ext uri="{FF2B5EF4-FFF2-40B4-BE49-F238E27FC236}">
              <a16:creationId xmlns:a16="http://schemas.microsoft.com/office/drawing/2014/main" id="{506868C9-9799-927D-9F09-334BA25C4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8" name="Picture 168">
          <a:extLst>
            <a:ext uri="{FF2B5EF4-FFF2-40B4-BE49-F238E27FC236}">
              <a16:creationId xmlns:a16="http://schemas.microsoft.com/office/drawing/2014/main" id="{A239F9F7-3177-917C-152C-130EA838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69" name="Picture 169">
          <a:extLst>
            <a:ext uri="{FF2B5EF4-FFF2-40B4-BE49-F238E27FC236}">
              <a16:creationId xmlns:a16="http://schemas.microsoft.com/office/drawing/2014/main" id="{0DD142CB-F39E-4D9C-53F5-AB9DCFA1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0" name="Picture 170">
          <a:extLst>
            <a:ext uri="{FF2B5EF4-FFF2-40B4-BE49-F238E27FC236}">
              <a16:creationId xmlns:a16="http://schemas.microsoft.com/office/drawing/2014/main" id="{89ECA1D9-1925-28B1-164A-3E70CC27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71" name="Picture 171">
          <a:extLst>
            <a:ext uri="{FF2B5EF4-FFF2-40B4-BE49-F238E27FC236}">
              <a16:creationId xmlns:a16="http://schemas.microsoft.com/office/drawing/2014/main" id="{02DAC508-5A66-B722-ACFD-AD0D918B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72" name="Picture 172">
          <a:extLst>
            <a:ext uri="{FF2B5EF4-FFF2-40B4-BE49-F238E27FC236}">
              <a16:creationId xmlns:a16="http://schemas.microsoft.com/office/drawing/2014/main" id="{16B59642-5416-0964-FD00-F7DE06CE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73" name="Picture 173">
          <a:extLst>
            <a:ext uri="{FF2B5EF4-FFF2-40B4-BE49-F238E27FC236}">
              <a16:creationId xmlns:a16="http://schemas.microsoft.com/office/drawing/2014/main" id="{24C89281-069A-697F-328F-754EDF1A5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4" name="Picture 174">
          <a:extLst>
            <a:ext uri="{FF2B5EF4-FFF2-40B4-BE49-F238E27FC236}">
              <a16:creationId xmlns:a16="http://schemas.microsoft.com/office/drawing/2014/main" id="{1BFF2AEF-EB99-E07A-5067-68A2CD86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5" name="Picture 175">
          <a:extLst>
            <a:ext uri="{FF2B5EF4-FFF2-40B4-BE49-F238E27FC236}">
              <a16:creationId xmlns:a16="http://schemas.microsoft.com/office/drawing/2014/main" id="{3165B006-B90A-9911-4B6B-BA94F41F3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6" name="Picture 176">
          <a:extLst>
            <a:ext uri="{FF2B5EF4-FFF2-40B4-BE49-F238E27FC236}">
              <a16:creationId xmlns:a16="http://schemas.microsoft.com/office/drawing/2014/main" id="{9995BB38-C253-804E-1E9A-59D8C3E65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7" name="Picture 177">
          <a:extLst>
            <a:ext uri="{FF2B5EF4-FFF2-40B4-BE49-F238E27FC236}">
              <a16:creationId xmlns:a16="http://schemas.microsoft.com/office/drawing/2014/main" id="{2947D5F1-2509-C324-0BE3-19B30D68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8" name="Picture 178">
          <a:extLst>
            <a:ext uri="{FF2B5EF4-FFF2-40B4-BE49-F238E27FC236}">
              <a16:creationId xmlns:a16="http://schemas.microsoft.com/office/drawing/2014/main" id="{8CA2FA71-7639-9BF5-9CFB-256720CE1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79" name="Picture 179">
          <a:extLst>
            <a:ext uri="{FF2B5EF4-FFF2-40B4-BE49-F238E27FC236}">
              <a16:creationId xmlns:a16="http://schemas.microsoft.com/office/drawing/2014/main" id="{0ABBAE19-EC3E-A122-A3B4-6808DADD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80" name="Picture 180">
          <a:extLst>
            <a:ext uri="{FF2B5EF4-FFF2-40B4-BE49-F238E27FC236}">
              <a16:creationId xmlns:a16="http://schemas.microsoft.com/office/drawing/2014/main" id="{5DCF413E-25E9-83A2-BCEB-4217071CF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81" name="Picture 181">
          <a:extLst>
            <a:ext uri="{FF2B5EF4-FFF2-40B4-BE49-F238E27FC236}">
              <a16:creationId xmlns:a16="http://schemas.microsoft.com/office/drawing/2014/main" id="{51292153-602D-FDCC-5797-DE50780E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2" name="Picture 182">
          <a:extLst>
            <a:ext uri="{FF2B5EF4-FFF2-40B4-BE49-F238E27FC236}">
              <a16:creationId xmlns:a16="http://schemas.microsoft.com/office/drawing/2014/main" id="{5DD9F494-1458-F886-793F-1FD61406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3" name="Picture 183">
          <a:extLst>
            <a:ext uri="{FF2B5EF4-FFF2-40B4-BE49-F238E27FC236}">
              <a16:creationId xmlns:a16="http://schemas.microsoft.com/office/drawing/2014/main" id="{F1424E34-1BE1-2258-4126-9441D883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4" name="Picture 184">
          <a:extLst>
            <a:ext uri="{FF2B5EF4-FFF2-40B4-BE49-F238E27FC236}">
              <a16:creationId xmlns:a16="http://schemas.microsoft.com/office/drawing/2014/main" id="{395B7E46-A211-F962-A2E6-013D2759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5" name="Picture 185">
          <a:extLst>
            <a:ext uri="{FF2B5EF4-FFF2-40B4-BE49-F238E27FC236}">
              <a16:creationId xmlns:a16="http://schemas.microsoft.com/office/drawing/2014/main" id="{2555DC89-7BE7-B58D-0183-FA2CB9958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6" name="Picture 186">
          <a:extLst>
            <a:ext uri="{FF2B5EF4-FFF2-40B4-BE49-F238E27FC236}">
              <a16:creationId xmlns:a16="http://schemas.microsoft.com/office/drawing/2014/main" id="{3523C74B-2056-E155-7756-3769DBE5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87" name="Picture 187">
          <a:extLst>
            <a:ext uri="{FF2B5EF4-FFF2-40B4-BE49-F238E27FC236}">
              <a16:creationId xmlns:a16="http://schemas.microsoft.com/office/drawing/2014/main" id="{5A096328-51D0-C524-0BBC-6AB04377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88" name="Picture 188">
          <a:extLst>
            <a:ext uri="{FF2B5EF4-FFF2-40B4-BE49-F238E27FC236}">
              <a16:creationId xmlns:a16="http://schemas.microsoft.com/office/drawing/2014/main" id="{02E07D72-1DEA-B9D0-D758-F9AB390C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89" name="Picture 189">
          <a:extLst>
            <a:ext uri="{FF2B5EF4-FFF2-40B4-BE49-F238E27FC236}">
              <a16:creationId xmlns:a16="http://schemas.microsoft.com/office/drawing/2014/main" id="{9530FB67-A5BB-C9EC-5491-9F094E07F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90" name="Picture 190">
          <a:extLst>
            <a:ext uri="{FF2B5EF4-FFF2-40B4-BE49-F238E27FC236}">
              <a16:creationId xmlns:a16="http://schemas.microsoft.com/office/drawing/2014/main" id="{7AAC0C64-5ADC-19E5-B546-AAFD5D92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1" name="Picture 191">
          <a:extLst>
            <a:ext uri="{FF2B5EF4-FFF2-40B4-BE49-F238E27FC236}">
              <a16:creationId xmlns:a16="http://schemas.microsoft.com/office/drawing/2014/main" id="{789A3156-0425-F74C-6396-ECB96FE0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2" name="Picture 192">
          <a:extLst>
            <a:ext uri="{FF2B5EF4-FFF2-40B4-BE49-F238E27FC236}">
              <a16:creationId xmlns:a16="http://schemas.microsoft.com/office/drawing/2014/main" id="{E4E16D92-369B-A390-774C-38AD7F1B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3" name="Picture 193">
          <a:extLst>
            <a:ext uri="{FF2B5EF4-FFF2-40B4-BE49-F238E27FC236}">
              <a16:creationId xmlns:a16="http://schemas.microsoft.com/office/drawing/2014/main" id="{A8C403F0-C3B0-A3F8-0A9F-DDC2CE9A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4" name="Picture 194">
          <a:extLst>
            <a:ext uri="{FF2B5EF4-FFF2-40B4-BE49-F238E27FC236}">
              <a16:creationId xmlns:a16="http://schemas.microsoft.com/office/drawing/2014/main" id="{01C33591-D5F1-56FB-068F-BC58EDB5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5" name="Picture 195">
          <a:extLst>
            <a:ext uri="{FF2B5EF4-FFF2-40B4-BE49-F238E27FC236}">
              <a16:creationId xmlns:a16="http://schemas.microsoft.com/office/drawing/2014/main" id="{37A32B9E-71BC-B370-85D4-0F2C94AF9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6" name="Picture 196">
          <a:extLst>
            <a:ext uri="{FF2B5EF4-FFF2-40B4-BE49-F238E27FC236}">
              <a16:creationId xmlns:a16="http://schemas.microsoft.com/office/drawing/2014/main" id="{CD9F2BDE-960E-4043-3EEA-8127AC2CA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97" name="Picture 197">
          <a:extLst>
            <a:ext uri="{FF2B5EF4-FFF2-40B4-BE49-F238E27FC236}">
              <a16:creationId xmlns:a16="http://schemas.microsoft.com/office/drawing/2014/main" id="{FDA21A8B-7716-86CE-756E-9CA976DAC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8998" name="Picture 198">
          <a:extLst>
            <a:ext uri="{FF2B5EF4-FFF2-40B4-BE49-F238E27FC236}">
              <a16:creationId xmlns:a16="http://schemas.microsoft.com/office/drawing/2014/main" id="{672E7886-5B28-EE5B-CDD7-8E12F25FF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8999" name="Picture 199">
          <a:extLst>
            <a:ext uri="{FF2B5EF4-FFF2-40B4-BE49-F238E27FC236}">
              <a16:creationId xmlns:a16="http://schemas.microsoft.com/office/drawing/2014/main" id="{A812CFBA-8F11-6F80-1397-3DCFEE14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0" name="Picture 200">
          <a:extLst>
            <a:ext uri="{FF2B5EF4-FFF2-40B4-BE49-F238E27FC236}">
              <a16:creationId xmlns:a16="http://schemas.microsoft.com/office/drawing/2014/main" id="{AA4FF308-A4DC-4098-22D1-DB70CA389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1" name="Picture 201">
          <a:extLst>
            <a:ext uri="{FF2B5EF4-FFF2-40B4-BE49-F238E27FC236}">
              <a16:creationId xmlns:a16="http://schemas.microsoft.com/office/drawing/2014/main" id="{F8C9F3E7-4003-3B20-DEE9-FA4E5C2BF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2" name="Picture 202">
          <a:extLst>
            <a:ext uri="{FF2B5EF4-FFF2-40B4-BE49-F238E27FC236}">
              <a16:creationId xmlns:a16="http://schemas.microsoft.com/office/drawing/2014/main" id="{F75F60FC-4D15-D226-5B35-F0D6F58A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3" name="Picture 203">
          <a:extLst>
            <a:ext uri="{FF2B5EF4-FFF2-40B4-BE49-F238E27FC236}">
              <a16:creationId xmlns:a16="http://schemas.microsoft.com/office/drawing/2014/main" id="{0E5E5CF6-5874-2D1B-2682-DB4B9ECE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4" name="Picture 204">
          <a:extLst>
            <a:ext uri="{FF2B5EF4-FFF2-40B4-BE49-F238E27FC236}">
              <a16:creationId xmlns:a16="http://schemas.microsoft.com/office/drawing/2014/main" id="{1308391B-8DBA-2974-302F-E7BE2E00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05" name="Picture 205">
          <a:extLst>
            <a:ext uri="{FF2B5EF4-FFF2-40B4-BE49-F238E27FC236}">
              <a16:creationId xmlns:a16="http://schemas.microsoft.com/office/drawing/2014/main" id="{058058A8-24FC-E3B3-3443-4AF5769D5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06" name="Picture 206">
          <a:extLst>
            <a:ext uri="{FF2B5EF4-FFF2-40B4-BE49-F238E27FC236}">
              <a16:creationId xmlns:a16="http://schemas.microsoft.com/office/drawing/2014/main" id="{46481AB5-C488-0A66-F206-058AAAF1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07" name="Picture 207">
          <a:extLst>
            <a:ext uri="{FF2B5EF4-FFF2-40B4-BE49-F238E27FC236}">
              <a16:creationId xmlns:a16="http://schemas.microsoft.com/office/drawing/2014/main" id="{5B00C4D6-926B-8653-148C-A9E3921A4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8" name="Picture 208">
          <a:extLst>
            <a:ext uri="{FF2B5EF4-FFF2-40B4-BE49-F238E27FC236}">
              <a16:creationId xmlns:a16="http://schemas.microsoft.com/office/drawing/2014/main" id="{25DF1D04-FC95-7391-0891-66DE6A3FC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09" name="Picture 209">
          <a:extLst>
            <a:ext uri="{FF2B5EF4-FFF2-40B4-BE49-F238E27FC236}">
              <a16:creationId xmlns:a16="http://schemas.microsoft.com/office/drawing/2014/main" id="{6FD43752-49CA-8C8D-EB1F-631386A74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0" name="Picture 210">
          <a:extLst>
            <a:ext uri="{FF2B5EF4-FFF2-40B4-BE49-F238E27FC236}">
              <a16:creationId xmlns:a16="http://schemas.microsoft.com/office/drawing/2014/main" id="{F0DCF9DC-39B3-F6B2-55A7-87CDFCD1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1" name="Picture 211">
          <a:extLst>
            <a:ext uri="{FF2B5EF4-FFF2-40B4-BE49-F238E27FC236}">
              <a16:creationId xmlns:a16="http://schemas.microsoft.com/office/drawing/2014/main" id="{166DF95A-D0C8-E11E-0E6F-A1C6C16F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2" name="Picture 212">
          <a:extLst>
            <a:ext uri="{FF2B5EF4-FFF2-40B4-BE49-F238E27FC236}">
              <a16:creationId xmlns:a16="http://schemas.microsoft.com/office/drawing/2014/main" id="{BC43D009-6C0C-C0B3-969C-B1B7E185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3" name="Picture 213">
          <a:extLst>
            <a:ext uri="{FF2B5EF4-FFF2-40B4-BE49-F238E27FC236}">
              <a16:creationId xmlns:a16="http://schemas.microsoft.com/office/drawing/2014/main" id="{0ED13F3B-3111-136D-8C86-9E0A6839C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14" name="Picture 214">
          <a:extLst>
            <a:ext uri="{FF2B5EF4-FFF2-40B4-BE49-F238E27FC236}">
              <a16:creationId xmlns:a16="http://schemas.microsoft.com/office/drawing/2014/main" id="{66C4A369-B8D9-9AB4-8E89-7F5A79CF9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15" name="Picture 215">
          <a:extLst>
            <a:ext uri="{FF2B5EF4-FFF2-40B4-BE49-F238E27FC236}">
              <a16:creationId xmlns:a16="http://schemas.microsoft.com/office/drawing/2014/main" id="{F97FAA72-004B-BB46-3ED7-01E9AB787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6" name="Picture 216">
          <a:extLst>
            <a:ext uri="{FF2B5EF4-FFF2-40B4-BE49-F238E27FC236}">
              <a16:creationId xmlns:a16="http://schemas.microsoft.com/office/drawing/2014/main" id="{ADE2CCBF-5EB2-2CC3-9F36-10D2E700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7" name="Picture 217">
          <a:extLst>
            <a:ext uri="{FF2B5EF4-FFF2-40B4-BE49-F238E27FC236}">
              <a16:creationId xmlns:a16="http://schemas.microsoft.com/office/drawing/2014/main" id="{FA175E60-F194-AF5D-30F5-9C59BDC92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8" name="Picture 218">
          <a:extLst>
            <a:ext uri="{FF2B5EF4-FFF2-40B4-BE49-F238E27FC236}">
              <a16:creationId xmlns:a16="http://schemas.microsoft.com/office/drawing/2014/main" id="{8FD0E6BB-C608-C796-11F5-3C1ECDCF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19" name="Picture 219">
          <a:extLst>
            <a:ext uri="{FF2B5EF4-FFF2-40B4-BE49-F238E27FC236}">
              <a16:creationId xmlns:a16="http://schemas.microsoft.com/office/drawing/2014/main" id="{60C9EF32-8846-004E-6F20-DF5D1E05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0" name="Picture 220">
          <a:extLst>
            <a:ext uri="{FF2B5EF4-FFF2-40B4-BE49-F238E27FC236}">
              <a16:creationId xmlns:a16="http://schemas.microsoft.com/office/drawing/2014/main" id="{5EED2108-1325-811F-7AF9-F5045161B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1" name="Picture 221">
          <a:extLst>
            <a:ext uri="{FF2B5EF4-FFF2-40B4-BE49-F238E27FC236}">
              <a16:creationId xmlns:a16="http://schemas.microsoft.com/office/drawing/2014/main" id="{66E17E14-B702-0486-EA2D-DDBD6668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22" name="Picture 222">
          <a:extLst>
            <a:ext uri="{FF2B5EF4-FFF2-40B4-BE49-F238E27FC236}">
              <a16:creationId xmlns:a16="http://schemas.microsoft.com/office/drawing/2014/main" id="{D2CF818D-8FF8-FA6D-D4E4-10A31BA9F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23" name="Picture 223">
          <a:extLst>
            <a:ext uri="{FF2B5EF4-FFF2-40B4-BE49-F238E27FC236}">
              <a16:creationId xmlns:a16="http://schemas.microsoft.com/office/drawing/2014/main" id="{A3B26522-9315-D9DF-0BC9-98DE0F36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24" name="Picture 224">
          <a:extLst>
            <a:ext uri="{FF2B5EF4-FFF2-40B4-BE49-F238E27FC236}">
              <a16:creationId xmlns:a16="http://schemas.microsoft.com/office/drawing/2014/main" id="{55AC6D52-886B-C127-72F4-242B0D33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5" name="Picture 225">
          <a:extLst>
            <a:ext uri="{FF2B5EF4-FFF2-40B4-BE49-F238E27FC236}">
              <a16:creationId xmlns:a16="http://schemas.microsoft.com/office/drawing/2014/main" id="{3B4D7418-744E-021C-4DCD-7448CDA3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6" name="Picture 226">
          <a:extLst>
            <a:ext uri="{FF2B5EF4-FFF2-40B4-BE49-F238E27FC236}">
              <a16:creationId xmlns:a16="http://schemas.microsoft.com/office/drawing/2014/main" id="{90115A85-7BE9-196D-E304-D832DA4D7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7" name="Picture 227">
          <a:extLst>
            <a:ext uri="{FF2B5EF4-FFF2-40B4-BE49-F238E27FC236}">
              <a16:creationId xmlns:a16="http://schemas.microsoft.com/office/drawing/2014/main" id="{40278600-0A26-1E5B-C2EC-5B8A11B3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8" name="Picture 228">
          <a:extLst>
            <a:ext uri="{FF2B5EF4-FFF2-40B4-BE49-F238E27FC236}">
              <a16:creationId xmlns:a16="http://schemas.microsoft.com/office/drawing/2014/main" id="{8897C3C9-2AA8-9EED-1438-EA11DED8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29" name="Picture 229">
          <a:extLst>
            <a:ext uri="{FF2B5EF4-FFF2-40B4-BE49-F238E27FC236}">
              <a16:creationId xmlns:a16="http://schemas.microsoft.com/office/drawing/2014/main" id="{F4C21312-C37D-8239-C3F7-2D3DABF87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0" name="Picture 230">
          <a:extLst>
            <a:ext uri="{FF2B5EF4-FFF2-40B4-BE49-F238E27FC236}">
              <a16:creationId xmlns:a16="http://schemas.microsoft.com/office/drawing/2014/main" id="{967E919D-B2D2-2BD3-B66C-A34859CB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31" name="Picture 231">
          <a:extLst>
            <a:ext uri="{FF2B5EF4-FFF2-40B4-BE49-F238E27FC236}">
              <a16:creationId xmlns:a16="http://schemas.microsoft.com/office/drawing/2014/main" id="{351F96B9-18C3-6ABE-4B4B-BA638C98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32" name="Picture 232">
          <a:extLst>
            <a:ext uri="{FF2B5EF4-FFF2-40B4-BE49-F238E27FC236}">
              <a16:creationId xmlns:a16="http://schemas.microsoft.com/office/drawing/2014/main" id="{AC9BF5F9-ED17-557E-05AA-DC37764F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3" name="Picture 233">
          <a:extLst>
            <a:ext uri="{FF2B5EF4-FFF2-40B4-BE49-F238E27FC236}">
              <a16:creationId xmlns:a16="http://schemas.microsoft.com/office/drawing/2014/main" id="{656EF455-1A56-591F-6DE1-AB3FB89AE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4" name="Picture 234">
          <a:extLst>
            <a:ext uri="{FF2B5EF4-FFF2-40B4-BE49-F238E27FC236}">
              <a16:creationId xmlns:a16="http://schemas.microsoft.com/office/drawing/2014/main" id="{58CA8C6B-F32C-5697-717F-46EF08C1A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5" name="Picture 235">
          <a:extLst>
            <a:ext uri="{FF2B5EF4-FFF2-40B4-BE49-F238E27FC236}">
              <a16:creationId xmlns:a16="http://schemas.microsoft.com/office/drawing/2014/main" id="{FFE836A1-302B-4E5D-D9CF-AA18FBDC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6" name="Picture 236">
          <a:extLst>
            <a:ext uri="{FF2B5EF4-FFF2-40B4-BE49-F238E27FC236}">
              <a16:creationId xmlns:a16="http://schemas.microsoft.com/office/drawing/2014/main" id="{7B95D158-9EB9-940E-6B0E-909CD066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7" name="Picture 237">
          <a:extLst>
            <a:ext uri="{FF2B5EF4-FFF2-40B4-BE49-F238E27FC236}">
              <a16:creationId xmlns:a16="http://schemas.microsoft.com/office/drawing/2014/main" id="{08EC6554-FCD3-EC5F-CF3F-49BCFB31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38" name="Picture 238">
          <a:extLst>
            <a:ext uri="{FF2B5EF4-FFF2-40B4-BE49-F238E27FC236}">
              <a16:creationId xmlns:a16="http://schemas.microsoft.com/office/drawing/2014/main" id="{D904B57E-23CA-CB75-6169-C0F927B17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39" name="Picture 239">
          <a:extLst>
            <a:ext uri="{FF2B5EF4-FFF2-40B4-BE49-F238E27FC236}">
              <a16:creationId xmlns:a16="http://schemas.microsoft.com/office/drawing/2014/main" id="{8F9AFE2A-739C-CF68-D8F2-93B040060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40" name="Picture 240">
          <a:extLst>
            <a:ext uri="{FF2B5EF4-FFF2-40B4-BE49-F238E27FC236}">
              <a16:creationId xmlns:a16="http://schemas.microsoft.com/office/drawing/2014/main" id="{1C5A7F10-0EC8-BF21-46E8-2EC5E5B5D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41" name="Picture 241">
          <a:extLst>
            <a:ext uri="{FF2B5EF4-FFF2-40B4-BE49-F238E27FC236}">
              <a16:creationId xmlns:a16="http://schemas.microsoft.com/office/drawing/2014/main" id="{6DA4A58A-1FD5-F6C3-49C8-4D235DC4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2" name="Picture 242">
          <a:extLst>
            <a:ext uri="{FF2B5EF4-FFF2-40B4-BE49-F238E27FC236}">
              <a16:creationId xmlns:a16="http://schemas.microsoft.com/office/drawing/2014/main" id="{B46197D8-834D-FC51-78C0-BA546F9B7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3" name="Picture 243">
          <a:extLst>
            <a:ext uri="{FF2B5EF4-FFF2-40B4-BE49-F238E27FC236}">
              <a16:creationId xmlns:a16="http://schemas.microsoft.com/office/drawing/2014/main" id="{44BF5C71-25AF-5B49-A236-4E973555C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4" name="Picture 244">
          <a:extLst>
            <a:ext uri="{FF2B5EF4-FFF2-40B4-BE49-F238E27FC236}">
              <a16:creationId xmlns:a16="http://schemas.microsoft.com/office/drawing/2014/main" id="{749012D1-6F65-1AB7-F543-0F9F7C557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5" name="Picture 245">
          <a:extLst>
            <a:ext uri="{FF2B5EF4-FFF2-40B4-BE49-F238E27FC236}">
              <a16:creationId xmlns:a16="http://schemas.microsoft.com/office/drawing/2014/main" id="{5355939D-029D-E209-168C-363F6E6E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6" name="Picture 246">
          <a:extLst>
            <a:ext uri="{FF2B5EF4-FFF2-40B4-BE49-F238E27FC236}">
              <a16:creationId xmlns:a16="http://schemas.microsoft.com/office/drawing/2014/main" id="{D59A991C-2B24-6E1E-159B-9A23785B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47" name="Picture 247">
          <a:extLst>
            <a:ext uri="{FF2B5EF4-FFF2-40B4-BE49-F238E27FC236}">
              <a16:creationId xmlns:a16="http://schemas.microsoft.com/office/drawing/2014/main" id="{3E2D10FB-80B3-ECA9-F893-ABEBEF24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48" name="Picture 248">
          <a:extLst>
            <a:ext uri="{FF2B5EF4-FFF2-40B4-BE49-F238E27FC236}">
              <a16:creationId xmlns:a16="http://schemas.microsoft.com/office/drawing/2014/main" id="{52C34B39-281A-B204-3739-830F0C3D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49" name="Picture 249">
          <a:extLst>
            <a:ext uri="{FF2B5EF4-FFF2-40B4-BE49-F238E27FC236}">
              <a16:creationId xmlns:a16="http://schemas.microsoft.com/office/drawing/2014/main" id="{0CD30AD3-C078-5A43-5D51-43BA554FE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0" name="Picture 250">
          <a:extLst>
            <a:ext uri="{FF2B5EF4-FFF2-40B4-BE49-F238E27FC236}">
              <a16:creationId xmlns:a16="http://schemas.microsoft.com/office/drawing/2014/main" id="{A49B4D55-ABD6-751F-452F-129455DF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1" name="Picture 251">
          <a:extLst>
            <a:ext uri="{FF2B5EF4-FFF2-40B4-BE49-F238E27FC236}">
              <a16:creationId xmlns:a16="http://schemas.microsoft.com/office/drawing/2014/main" id="{5281622B-F05E-A5EF-36E3-D2FD6656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2" name="Picture 252">
          <a:extLst>
            <a:ext uri="{FF2B5EF4-FFF2-40B4-BE49-F238E27FC236}">
              <a16:creationId xmlns:a16="http://schemas.microsoft.com/office/drawing/2014/main" id="{14AE39AE-B615-1981-9080-7BEB7C89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3" name="Picture 253">
          <a:extLst>
            <a:ext uri="{FF2B5EF4-FFF2-40B4-BE49-F238E27FC236}">
              <a16:creationId xmlns:a16="http://schemas.microsoft.com/office/drawing/2014/main" id="{EE7CA200-7DFE-06B2-D371-120D943F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4" name="Picture 254">
          <a:extLst>
            <a:ext uri="{FF2B5EF4-FFF2-40B4-BE49-F238E27FC236}">
              <a16:creationId xmlns:a16="http://schemas.microsoft.com/office/drawing/2014/main" id="{3BA509B2-9112-DA2B-F5A7-1F4F9C492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5" name="Picture 255">
          <a:extLst>
            <a:ext uri="{FF2B5EF4-FFF2-40B4-BE49-F238E27FC236}">
              <a16:creationId xmlns:a16="http://schemas.microsoft.com/office/drawing/2014/main" id="{725EFEE1-A156-6D3A-56DF-50B1BD14B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56" name="Picture 256">
          <a:extLst>
            <a:ext uri="{FF2B5EF4-FFF2-40B4-BE49-F238E27FC236}">
              <a16:creationId xmlns:a16="http://schemas.microsoft.com/office/drawing/2014/main" id="{9B049775-2A13-4BCA-D87A-7CB3B67FE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57" name="Picture 257">
          <a:extLst>
            <a:ext uri="{FF2B5EF4-FFF2-40B4-BE49-F238E27FC236}">
              <a16:creationId xmlns:a16="http://schemas.microsoft.com/office/drawing/2014/main" id="{943D52C1-D951-0332-4C01-A739DA4A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58" name="Picture 258">
          <a:extLst>
            <a:ext uri="{FF2B5EF4-FFF2-40B4-BE49-F238E27FC236}">
              <a16:creationId xmlns:a16="http://schemas.microsoft.com/office/drawing/2014/main" id="{72A88170-429B-BA3D-531B-33B3645E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59" name="Picture 259">
          <a:extLst>
            <a:ext uri="{FF2B5EF4-FFF2-40B4-BE49-F238E27FC236}">
              <a16:creationId xmlns:a16="http://schemas.microsoft.com/office/drawing/2014/main" id="{CC2428C4-B81B-FCC8-7213-93A7140D4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0" name="Picture 260">
          <a:extLst>
            <a:ext uri="{FF2B5EF4-FFF2-40B4-BE49-F238E27FC236}">
              <a16:creationId xmlns:a16="http://schemas.microsoft.com/office/drawing/2014/main" id="{8CE66DCD-0ED8-3776-4611-F43182C9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1" name="Picture 261">
          <a:extLst>
            <a:ext uri="{FF2B5EF4-FFF2-40B4-BE49-F238E27FC236}">
              <a16:creationId xmlns:a16="http://schemas.microsoft.com/office/drawing/2014/main" id="{41AB6289-6636-153E-A218-8EC369EC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2" name="Picture 262">
          <a:extLst>
            <a:ext uri="{FF2B5EF4-FFF2-40B4-BE49-F238E27FC236}">
              <a16:creationId xmlns:a16="http://schemas.microsoft.com/office/drawing/2014/main" id="{E8DEE350-F266-AA90-A4AB-B65523186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3" name="Picture 263">
          <a:extLst>
            <a:ext uri="{FF2B5EF4-FFF2-40B4-BE49-F238E27FC236}">
              <a16:creationId xmlns:a16="http://schemas.microsoft.com/office/drawing/2014/main" id="{1DD7726D-2869-6333-849B-97B63E6E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4" name="Picture 264">
          <a:extLst>
            <a:ext uri="{FF2B5EF4-FFF2-40B4-BE49-F238E27FC236}">
              <a16:creationId xmlns:a16="http://schemas.microsoft.com/office/drawing/2014/main" id="{610E0D3C-27B5-C44C-1CA1-E04A4C9E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65" name="Picture 265">
          <a:extLst>
            <a:ext uri="{FF2B5EF4-FFF2-40B4-BE49-F238E27FC236}">
              <a16:creationId xmlns:a16="http://schemas.microsoft.com/office/drawing/2014/main" id="{BD08B759-B4B9-52F7-E00E-74E71275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66" name="Picture 266">
          <a:extLst>
            <a:ext uri="{FF2B5EF4-FFF2-40B4-BE49-F238E27FC236}">
              <a16:creationId xmlns:a16="http://schemas.microsoft.com/office/drawing/2014/main" id="{D60A9D67-4FFC-2E07-EF5A-A05E15227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7" name="Picture 267">
          <a:extLst>
            <a:ext uri="{FF2B5EF4-FFF2-40B4-BE49-F238E27FC236}">
              <a16:creationId xmlns:a16="http://schemas.microsoft.com/office/drawing/2014/main" id="{2B81DBB4-B0E9-3AA2-7946-03E19BDA4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8" name="Picture 268">
          <a:extLst>
            <a:ext uri="{FF2B5EF4-FFF2-40B4-BE49-F238E27FC236}">
              <a16:creationId xmlns:a16="http://schemas.microsoft.com/office/drawing/2014/main" id="{038C95A3-E163-A7D8-F57A-2B7ECDEC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69" name="Picture 269">
          <a:extLst>
            <a:ext uri="{FF2B5EF4-FFF2-40B4-BE49-F238E27FC236}">
              <a16:creationId xmlns:a16="http://schemas.microsoft.com/office/drawing/2014/main" id="{177B3443-4718-93A5-F5F3-7C1703CE4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0" name="Picture 270">
          <a:extLst>
            <a:ext uri="{FF2B5EF4-FFF2-40B4-BE49-F238E27FC236}">
              <a16:creationId xmlns:a16="http://schemas.microsoft.com/office/drawing/2014/main" id="{A7F27563-291B-4665-1291-B5BD07624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1" name="Picture 271">
          <a:extLst>
            <a:ext uri="{FF2B5EF4-FFF2-40B4-BE49-F238E27FC236}">
              <a16:creationId xmlns:a16="http://schemas.microsoft.com/office/drawing/2014/main" id="{DB8149A1-BF7C-4D94-7E2A-C48BCB35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2" name="Picture 272">
          <a:extLst>
            <a:ext uri="{FF2B5EF4-FFF2-40B4-BE49-F238E27FC236}">
              <a16:creationId xmlns:a16="http://schemas.microsoft.com/office/drawing/2014/main" id="{94A61012-6F1C-791D-A4A5-45D0FF31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73" name="Picture 273">
          <a:extLst>
            <a:ext uri="{FF2B5EF4-FFF2-40B4-BE49-F238E27FC236}">
              <a16:creationId xmlns:a16="http://schemas.microsoft.com/office/drawing/2014/main" id="{D2682F7A-0DF1-8765-4D21-7337E960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74" name="Picture 274">
          <a:extLst>
            <a:ext uri="{FF2B5EF4-FFF2-40B4-BE49-F238E27FC236}">
              <a16:creationId xmlns:a16="http://schemas.microsoft.com/office/drawing/2014/main" id="{31D91D9E-4129-8F9F-469D-C3E111D7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75" name="Picture 275">
          <a:extLst>
            <a:ext uri="{FF2B5EF4-FFF2-40B4-BE49-F238E27FC236}">
              <a16:creationId xmlns:a16="http://schemas.microsoft.com/office/drawing/2014/main" id="{2195F71A-107E-A8E0-54EF-120E7D72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6" name="Picture 276">
          <a:extLst>
            <a:ext uri="{FF2B5EF4-FFF2-40B4-BE49-F238E27FC236}">
              <a16:creationId xmlns:a16="http://schemas.microsoft.com/office/drawing/2014/main" id="{3B056F54-0C63-F843-A37E-D6B50541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7" name="Picture 277">
          <a:extLst>
            <a:ext uri="{FF2B5EF4-FFF2-40B4-BE49-F238E27FC236}">
              <a16:creationId xmlns:a16="http://schemas.microsoft.com/office/drawing/2014/main" id="{2D40CE29-2A6C-33D3-E639-A393700A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8" name="Picture 278">
          <a:extLst>
            <a:ext uri="{FF2B5EF4-FFF2-40B4-BE49-F238E27FC236}">
              <a16:creationId xmlns:a16="http://schemas.microsoft.com/office/drawing/2014/main" id="{7F874C25-8A2F-F923-5B86-67CA2AB0F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79" name="Picture 279">
          <a:extLst>
            <a:ext uri="{FF2B5EF4-FFF2-40B4-BE49-F238E27FC236}">
              <a16:creationId xmlns:a16="http://schemas.microsoft.com/office/drawing/2014/main" id="{601D5159-B7EF-0C26-8B65-191550FB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0" name="Picture 280">
          <a:extLst>
            <a:ext uri="{FF2B5EF4-FFF2-40B4-BE49-F238E27FC236}">
              <a16:creationId xmlns:a16="http://schemas.microsoft.com/office/drawing/2014/main" id="{CD34F575-8014-B100-B8E4-429688C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1" name="Picture 281">
          <a:extLst>
            <a:ext uri="{FF2B5EF4-FFF2-40B4-BE49-F238E27FC236}">
              <a16:creationId xmlns:a16="http://schemas.microsoft.com/office/drawing/2014/main" id="{6C6F5766-15F8-47F6-2B27-9661A739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82" name="Picture 282">
          <a:extLst>
            <a:ext uri="{FF2B5EF4-FFF2-40B4-BE49-F238E27FC236}">
              <a16:creationId xmlns:a16="http://schemas.microsoft.com/office/drawing/2014/main" id="{DC8F9A61-81BB-6ABB-24C6-FCAB8F2D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83" name="Picture 283">
          <a:extLst>
            <a:ext uri="{FF2B5EF4-FFF2-40B4-BE49-F238E27FC236}">
              <a16:creationId xmlns:a16="http://schemas.microsoft.com/office/drawing/2014/main" id="{FAE088DC-AC56-3F84-0C12-81EA6368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4" name="Picture 284">
          <a:extLst>
            <a:ext uri="{FF2B5EF4-FFF2-40B4-BE49-F238E27FC236}">
              <a16:creationId xmlns:a16="http://schemas.microsoft.com/office/drawing/2014/main" id="{2FB38A8C-6438-AF22-4D6C-0D32BA81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5" name="Picture 285">
          <a:extLst>
            <a:ext uri="{FF2B5EF4-FFF2-40B4-BE49-F238E27FC236}">
              <a16:creationId xmlns:a16="http://schemas.microsoft.com/office/drawing/2014/main" id="{BAEC8307-CE39-BFFD-FAD0-428EB9B4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6" name="Picture 286">
          <a:extLst>
            <a:ext uri="{FF2B5EF4-FFF2-40B4-BE49-F238E27FC236}">
              <a16:creationId xmlns:a16="http://schemas.microsoft.com/office/drawing/2014/main" id="{CC6ECDB6-8216-BFD6-C5F2-2E63D929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7" name="Picture 287">
          <a:extLst>
            <a:ext uri="{FF2B5EF4-FFF2-40B4-BE49-F238E27FC236}">
              <a16:creationId xmlns:a16="http://schemas.microsoft.com/office/drawing/2014/main" id="{5E411236-2124-4CBF-9477-2ED0A8B07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8" name="Picture 288">
          <a:extLst>
            <a:ext uri="{FF2B5EF4-FFF2-40B4-BE49-F238E27FC236}">
              <a16:creationId xmlns:a16="http://schemas.microsoft.com/office/drawing/2014/main" id="{7319A0C6-8E6A-BB21-8E1B-439130D0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89" name="Picture 289">
          <a:extLst>
            <a:ext uri="{FF2B5EF4-FFF2-40B4-BE49-F238E27FC236}">
              <a16:creationId xmlns:a16="http://schemas.microsoft.com/office/drawing/2014/main" id="{F82FC27C-D864-8728-B019-E4C6BFF2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90" name="Picture 290">
          <a:extLst>
            <a:ext uri="{FF2B5EF4-FFF2-40B4-BE49-F238E27FC236}">
              <a16:creationId xmlns:a16="http://schemas.microsoft.com/office/drawing/2014/main" id="{46AAD831-F7B3-476F-4E47-63D71036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91" name="Picture 291">
          <a:extLst>
            <a:ext uri="{FF2B5EF4-FFF2-40B4-BE49-F238E27FC236}">
              <a16:creationId xmlns:a16="http://schemas.microsoft.com/office/drawing/2014/main" id="{E3238624-0FC5-C0FA-08B3-752F592A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92" name="Picture 292">
          <a:extLst>
            <a:ext uri="{FF2B5EF4-FFF2-40B4-BE49-F238E27FC236}">
              <a16:creationId xmlns:a16="http://schemas.microsoft.com/office/drawing/2014/main" id="{4CB03E30-ACD2-1619-954E-E20734FF0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3" name="Picture 293">
          <a:extLst>
            <a:ext uri="{FF2B5EF4-FFF2-40B4-BE49-F238E27FC236}">
              <a16:creationId xmlns:a16="http://schemas.microsoft.com/office/drawing/2014/main" id="{BA70B997-ED80-D4E4-375B-9CB242A2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4" name="Picture 294">
          <a:extLst>
            <a:ext uri="{FF2B5EF4-FFF2-40B4-BE49-F238E27FC236}">
              <a16:creationId xmlns:a16="http://schemas.microsoft.com/office/drawing/2014/main" id="{0C8F35FD-BF92-C760-4238-F8AB30C0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5" name="Picture 295">
          <a:extLst>
            <a:ext uri="{FF2B5EF4-FFF2-40B4-BE49-F238E27FC236}">
              <a16:creationId xmlns:a16="http://schemas.microsoft.com/office/drawing/2014/main" id="{31188803-6C93-98ED-6250-0A3614D68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6" name="Picture 296">
          <a:extLst>
            <a:ext uri="{FF2B5EF4-FFF2-40B4-BE49-F238E27FC236}">
              <a16:creationId xmlns:a16="http://schemas.microsoft.com/office/drawing/2014/main" id="{5A85F240-5560-D1CC-5F40-C01DCF0C1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7" name="Picture 297">
          <a:extLst>
            <a:ext uri="{FF2B5EF4-FFF2-40B4-BE49-F238E27FC236}">
              <a16:creationId xmlns:a16="http://schemas.microsoft.com/office/drawing/2014/main" id="{15830470-0492-D2F4-E660-8FC6E762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098" name="Picture 298">
          <a:extLst>
            <a:ext uri="{FF2B5EF4-FFF2-40B4-BE49-F238E27FC236}">
              <a16:creationId xmlns:a16="http://schemas.microsoft.com/office/drawing/2014/main" id="{4B1CCCAB-A319-2F7D-3DAA-2F5BB59FF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099" name="Picture 299">
          <a:extLst>
            <a:ext uri="{FF2B5EF4-FFF2-40B4-BE49-F238E27FC236}">
              <a16:creationId xmlns:a16="http://schemas.microsoft.com/office/drawing/2014/main" id="{0987352C-F807-23BC-31A4-B6EE9E30E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00" name="Picture 300">
          <a:extLst>
            <a:ext uri="{FF2B5EF4-FFF2-40B4-BE49-F238E27FC236}">
              <a16:creationId xmlns:a16="http://schemas.microsoft.com/office/drawing/2014/main" id="{EB0AB2AC-7526-99CC-F5C9-BC8BDF2D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1" name="Picture 301">
          <a:extLst>
            <a:ext uri="{FF2B5EF4-FFF2-40B4-BE49-F238E27FC236}">
              <a16:creationId xmlns:a16="http://schemas.microsoft.com/office/drawing/2014/main" id="{B7CCC6FE-EF25-96F5-C2BD-18C1D4BAC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2" name="Picture 302">
          <a:extLst>
            <a:ext uri="{FF2B5EF4-FFF2-40B4-BE49-F238E27FC236}">
              <a16:creationId xmlns:a16="http://schemas.microsoft.com/office/drawing/2014/main" id="{AA8EEC92-8890-B732-2C00-FAC9955CB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3" name="Picture 303">
          <a:extLst>
            <a:ext uri="{FF2B5EF4-FFF2-40B4-BE49-F238E27FC236}">
              <a16:creationId xmlns:a16="http://schemas.microsoft.com/office/drawing/2014/main" id="{6C5D7D48-06C7-76C5-C1FF-29257368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4" name="Picture 304">
          <a:extLst>
            <a:ext uri="{FF2B5EF4-FFF2-40B4-BE49-F238E27FC236}">
              <a16:creationId xmlns:a16="http://schemas.microsoft.com/office/drawing/2014/main" id="{716DB3E4-E60A-38A2-E936-DB0B30CE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5" name="Picture 305">
          <a:extLst>
            <a:ext uri="{FF2B5EF4-FFF2-40B4-BE49-F238E27FC236}">
              <a16:creationId xmlns:a16="http://schemas.microsoft.com/office/drawing/2014/main" id="{FA9C05B3-4BA7-BC21-6E7A-9A3C04A9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06" name="Picture 306">
          <a:extLst>
            <a:ext uri="{FF2B5EF4-FFF2-40B4-BE49-F238E27FC236}">
              <a16:creationId xmlns:a16="http://schemas.microsoft.com/office/drawing/2014/main" id="{52ACC4F4-C208-D94C-05B9-AD2BFDFB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07" name="Picture 307">
          <a:extLst>
            <a:ext uri="{FF2B5EF4-FFF2-40B4-BE49-F238E27FC236}">
              <a16:creationId xmlns:a16="http://schemas.microsoft.com/office/drawing/2014/main" id="{7931CFCC-2DF8-9ECD-ADEF-D6DC4CE8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08" name="Picture 308">
          <a:extLst>
            <a:ext uri="{FF2B5EF4-FFF2-40B4-BE49-F238E27FC236}">
              <a16:creationId xmlns:a16="http://schemas.microsoft.com/office/drawing/2014/main" id="{91E1CB0D-1226-FC19-448E-991FCE84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09" name="Picture 309">
          <a:extLst>
            <a:ext uri="{FF2B5EF4-FFF2-40B4-BE49-F238E27FC236}">
              <a16:creationId xmlns:a16="http://schemas.microsoft.com/office/drawing/2014/main" id="{3FD1CCB5-6F06-F68D-6D8B-D3DA2CEA1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0" name="Picture 310">
          <a:extLst>
            <a:ext uri="{FF2B5EF4-FFF2-40B4-BE49-F238E27FC236}">
              <a16:creationId xmlns:a16="http://schemas.microsoft.com/office/drawing/2014/main" id="{39BDB12B-A38F-2217-168A-78832B64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1" name="Picture 311">
          <a:extLst>
            <a:ext uri="{FF2B5EF4-FFF2-40B4-BE49-F238E27FC236}">
              <a16:creationId xmlns:a16="http://schemas.microsoft.com/office/drawing/2014/main" id="{BECA5202-D37D-BB3C-2DA9-649095324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2" name="Picture 312">
          <a:extLst>
            <a:ext uri="{FF2B5EF4-FFF2-40B4-BE49-F238E27FC236}">
              <a16:creationId xmlns:a16="http://schemas.microsoft.com/office/drawing/2014/main" id="{4DEF7BC6-170F-774F-F66D-7A9DF9CB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3" name="Picture 313">
          <a:extLst>
            <a:ext uri="{FF2B5EF4-FFF2-40B4-BE49-F238E27FC236}">
              <a16:creationId xmlns:a16="http://schemas.microsoft.com/office/drawing/2014/main" id="{95BDB5B0-49E3-F5C7-C6CA-16EF0F44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4" name="Picture 314">
          <a:extLst>
            <a:ext uri="{FF2B5EF4-FFF2-40B4-BE49-F238E27FC236}">
              <a16:creationId xmlns:a16="http://schemas.microsoft.com/office/drawing/2014/main" id="{76285F3D-01C4-C143-E2FB-FD17FF90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5" name="Picture 315">
          <a:extLst>
            <a:ext uri="{FF2B5EF4-FFF2-40B4-BE49-F238E27FC236}">
              <a16:creationId xmlns:a16="http://schemas.microsoft.com/office/drawing/2014/main" id="{F075942C-1755-6E8E-09ED-267FF7A5F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16" name="Picture 316">
          <a:extLst>
            <a:ext uri="{FF2B5EF4-FFF2-40B4-BE49-F238E27FC236}">
              <a16:creationId xmlns:a16="http://schemas.microsoft.com/office/drawing/2014/main" id="{5924B233-632D-461C-39F9-A019F7F0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17" name="Picture 317">
          <a:extLst>
            <a:ext uri="{FF2B5EF4-FFF2-40B4-BE49-F238E27FC236}">
              <a16:creationId xmlns:a16="http://schemas.microsoft.com/office/drawing/2014/main" id="{86B8C4D3-A834-EF0C-4FB9-037592A7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8" name="Picture 318">
          <a:extLst>
            <a:ext uri="{FF2B5EF4-FFF2-40B4-BE49-F238E27FC236}">
              <a16:creationId xmlns:a16="http://schemas.microsoft.com/office/drawing/2014/main" id="{557EDBE0-1010-C7E2-613E-73AF43CD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19" name="Picture 319">
          <a:extLst>
            <a:ext uri="{FF2B5EF4-FFF2-40B4-BE49-F238E27FC236}">
              <a16:creationId xmlns:a16="http://schemas.microsoft.com/office/drawing/2014/main" id="{5DF03617-C732-3E7F-849B-BAF34060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0" name="Picture 320">
          <a:extLst>
            <a:ext uri="{FF2B5EF4-FFF2-40B4-BE49-F238E27FC236}">
              <a16:creationId xmlns:a16="http://schemas.microsoft.com/office/drawing/2014/main" id="{D337484F-213D-9C8B-49A8-85087475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1" name="Picture 321">
          <a:extLst>
            <a:ext uri="{FF2B5EF4-FFF2-40B4-BE49-F238E27FC236}">
              <a16:creationId xmlns:a16="http://schemas.microsoft.com/office/drawing/2014/main" id="{2E1A3889-C697-4D24-EE7C-2FCC3EC98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2" name="Picture 322">
          <a:extLst>
            <a:ext uri="{FF2B5EF4-FFF2-40B4-BE49-F238E27FC236}">
              <a16:creationId xmlns:a16="http://schemas.microsoft.com/office/drawing/2014/main" id="{194F0D9D-AE43-8014-7F43-22445C25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3" name="Picture 323">
          <a:extLst>
            <a:ext uri="{FF2B5EF4-FFF2-40B4-BE49-F238E27FC236}">
              <a16:creationId xmlns:a16="http://schemas.microsoft.com/office/drawing/2014/main" id="{6625B885-DECF-08F7-9D8B-15DA450F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24" name="Picture 324">
          <a:extLst>
            <a:ext uri="{FF2B5EF4-FFF2-40B4-BE49-F238E27FC236}">
              <a16:creationId xmlns:a16="http://schemas.microsoft.com/office/drawing/2014/main" id="{EF43C7A5-3FF9-78CD-5CE8-0D3DAE821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25" name="Picture 325">
          <a:extLst>
            <a:ext uri="{FF2B5EF4-FFF2-40B4-BE49-F238E27FC236}">
              <a16:creationId xmlns:a16="http://schemas.microsoft.com/office/drawing/2014/main" id="{A4DDB59B-13B1-FDC4-883C-60D2A02E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26" name="Picture 326">
          <a:extLst>
            <a:ext uri="{FF2B5EF4-FFF2-40B4-BE49-F238E27FC236}">
              <a16:creationId xmlns:a16="http://schemas.microsoft.com/office/drawing/2014/main" id="{BD4C5585-83E6-C469-19EB-7DD92854D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7" name="Picture 327">
          <a:extLst>
            <a:ext uri="{FF2B5EF4-FFF2-40B4-BE49-F238E27FC236}">
              <a16:creationId xmlns:a16="http://schemas.microsoft.com/office/drawing/2014/main" id="{58330FE0-F1A1-9C66-452A-EDFC35E52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8" name="Picture 328">
          <a:extLst>
            <a:ext uri="{FF2B5EF4-FFF2-40B4-BE49-F238E27FC236}">
              <a16:creationId xmlns:a16="http://schemas.microsoft.com/office/drawing/2014/main" id="{C994461B-BC83-31C9-FA9F-E627380A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29" name="Picture 329">
          <a:extLst>
            <a:ext uri="{FF2B5EF4-FFF2-40B4-BE49-F238E27FC236}">
              <a16:creationId xmlns:a16="http://schemas.microsoft.com/office/drawing/2014/main" id="{F8B94A4B-0F22-1999-A033-182C6C67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0" name="Picture 330">
          <a:extLst>
            <a:ext uri="{FF2B5EF4-FFF2-40B4-BE49-F238E27FC236}">
              <a16:creationId xmlns:a16="http://schemas.microsoft.com/office/drawing/2014/main" id="{E4C773E9-DED9-0F03-F4AF-0ADF4A0EE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1" name="Picture 331">
          <a:extLst>
            <a:ext uri="{FF2B5EF4-FFF2-40B4-BE49-F238E27FC236}">
              <a16:creationId xmlns:a16="http://schemas.microsoft.com/office/drawing/2014/main" id="{75853D39-520F-794B-DC04-AB3A1240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2" name="Picture 332">
          <a:extLst>
            <a:ext uri="{FF2B5EF4-FFF2-40B4-BE49-F238E27FC236}">
              <a16:creationId xmlns:a16="http://schemas.microsoft.com/office/drawing/2014/main" id="{86D5A2D1-9932-80BF-5BF9-AAED74A5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33" name="Picture 333">
          <a:extLst>
            <a:ext uri="{FF2B5EF4-FFF2-40B4-BE49-F238E27FC236}">
              <a16:creationId xmlns:a16="http://schemas.microsoft.com/office/drawing/2014/main" id="{6C0FBB7B-2BC0-ED89-2B55-A77FC82D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34" name="Picture 334">
          <a:extLst>
            <a:ext uri="{FF2B5EF4-FFF2-40B4-BE49-F238E27FC236}">
              <a16:creationId xmlns:a16="http://schemas.microsoft.com/office/drawing/2014/main" id="{6BE50856-216A-5024-9FE6-61CA48A0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5" name="Picture 335">
          <a:extLst>
            <a:ext uri="{FF2B5EF4-FFF2-40B4-BE49-F238E27FC236}">
              <a16:creationId xmlns:a16="http://schemas.microsoft.com/office/drawing/2014/main" id="{FC73B2C8-3781-B253-0F29-B4095BAD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6" name="Picture 336">
          <a:extLst>
            <a:ext uri="{FF2B5EF4-FFF2-40B4-BE49-F238E27FC236}">
              <a16:creationId xmlns:a16="http://schemas.microsoft.com/office/drawing/2014/main" id="{A1B04929-D786-3C62-F83C-ED4B28C3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7" name="Picture 337">
          <a:extLst>
            <a:ext uri="{FF2B5EF4-FFF2-40B4-BE49-F238E27FC236}">
              <a16:creationId xmlns:a16="http://schemas.microsoft.com/office/drawing/2014/main" id="{7601AA68-D947-7E35-DC31-F802160D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8" name="Picture 338">
          <a:extLst>
            <a:ext uri="{FF2B5EF4-FFF2-40B4-BE49-F238E27FC236}">
              <a16:creationId xmlns:a16="http://schemas.microsoft.com/office/drawing/2014/main" id="{31472C51-AD9C-5CA0-C499-A1BBE621F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39" name="Picture 339">
          <a:extLst>
            <a:ext uri="{FF2B5EF4-FFF2-40B4-BE49-F238E27FC236}">
              <a16:creationId xmlns:a16="http://schemas.microsoft.com/office/drawing/2014/main" id="{F18822A6-1990-917B-1C81-61742B6C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0" name="Picture 340">
          <a:extLst>
            <a:ext uri="{FF2B5EF4-FFF2-40B4-BE49-F238E27FC236}">
              <a16:creationId xmlns:a16="http://schemas.microsoft.com/office/drawing/2014/main" id="{A164AF3D-53C7-F6DB-F21C-542166861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41" name="Picture 341">
          <a:extLst>
            <a:ext uri="{FF2B5EF4-FFF2-40B4-BE49-F238E27FC236}">
              <a16:creationId xmlns:a16="http://schemas.microsoft.com/office/drawing/2014/main" id="{4D1E346F-1B83-975C-ECE8-24FC91287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42" name="Picture 342">
          <a:extLst>
            <a:ext uri="{FF2B5EF4-FFF2-40B4-BE49-F238E27FC236}">
              <a16:creationId xmlns:a16="http://schemas.microsoft.com/office/drawing/2014/main" id="{ADB75486-99AC-351B-3F36-EA5D2F126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43" name="Picture 343">
          <a:extLst>
            <a:ext uri="{FF2B5EF4-FFF2-40B4-BE49-F238E27FC236}">
              <a16:creationId xmlns:a16="http://schemas.microsoft.com/office/drawing/2014/main" id="{4312AE76-03D4-B5D9-45F4-DDE5F1DD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4" name="Picture 344">
          <a:extLst>
            <a:ext uri="{FF2B5EF4-FFF2-40B4-BE49-F238E27FC236}">
              <a16:creationId xmlns:a16="http://schemas.microsoft.com/office/drawing/2014/main" id="{50BB13C1-EB0D-2C40-61E1-DE0C79FB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5" name="Picture 345">
          <a:extLst>
            <a:ext uri="{FF2B5EF4-FFF2-40B4-BE49-F238E27FC236}">
              <a16:creationId xmlns:a16="http://schemas.microsoft.com/office/drawing/2014/main" id="{D163115F-5AD9-FB5E-F8ED-F00379AA8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6" name="Picture 346">
          <a:extLst>
            <a:ext uri="{FF2B5EF4-FFF2-40B4-BE49-F238E27FC236}">
              <a16:creationId xmlns:a16="http://schemas.microsoft.com/office/drawing/2014/main" id="{FB34DCCD-FA80-235B-3622-708D202C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7" name="Picture 347">
          <a:extLst>
            <a:ext uri="{FF2B5EF4-FFF2-40B4-BE49-F238E27FC236}">
              <a16:creationId xmlns:a16="http://schemas.microsoft.com/office/drawing/2014/main" id="{3B649A03-DECA-AC61-7289-B19467CB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8" name="Picture 348">
          <a:extLst>
            <a:ext uri="{FF2B5EF4-FFF2-40B4-BE49-F238E27FC236}">
              <a16:creationId xmlns:a16="http://schemas.microsoft.com/office/drawing/2014/main" id="{C7307FBB-0552-F3A1-790F-136A8B86F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49" name="Picture 349">
          <a:extLst>
            <a:ext uri="{FF2B5EF4-FFF2-40B4-BE49-F238E27FC236}">
              <a16:creationId xmlns:a16="http://schemas.microsoft.com/office/drawing/2014/main" id="{6125FF21-05DF-49D4-123C-5FDE5BC95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50" name="Picture 350">
          <a:extLst>
            <a:ext uri="{FF2B5EF4-FFF2-40B4-BE49-F238E27FC236}">
              <a16:creationId xmlns:a16="http://schemas.microsoft.com/office/drawing/2014/main" id="{F369996B-95EF-5F60-AE91-4DEB5B8B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51" name="Picture 351">
          <a:extLst>
            <a:ext uri="{FF2B5EF4-FFF2-40B4-BE49-F238E27FC236}">
              <a16:creationId xmlns:a16="http://schemas.microsoft.com/office/drawing/2014/main" id="{8D1867F3-9C02-B613-6080-04D8BDAD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2" name="Picture 352">
          <a:extLst>
            <a:ext uri="{FF2B5EF4-FFF2-40B4-BE49-F238E27FC236}">
              <a16:creationId xmlns:a16="http://schemas.microsoft.com/office/drawing/2014/main" id="{129F4EDA-A522-B9DC-81C9-0BE82724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3" name="Picture 353">
          <a:extLst>
            <a:ext uri="{FF2B5EF4-FFF2-40B4-BE49-F238E27FC236}">
              <a16:creationId xmlns:a16="http://schemas.microsoft.com/office/drawing/2014/main" id="{3765BD83-F613-0637-4EC4-528C357E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4" name="Picture 354">
          <a:extLst>
            <a:ext uri="{FF2B5EF4-FFF2-40B4-BE49-F238E27FC236}">
              <a16:creationId xmlns:a16="http://schemas.microsoft.com/office/drawing/2014/main" id="{C7604105-C4FA-FD54-9D3A-C30FD06F5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5" name="Picture 355">
          <a:extLst>
            <a:ext uri="{FF2B5EF4-FFF2-40B4-BE49-F238E27FC236}">
              <a16:creationId xmlns:a16="http://schemas.microsoft.com/office/drawing/2014/main" id="{BB4B16AB-E26E-87CA-2724-5242B21A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6" name="Picture 356">
          <a:extLst>
            <a:ext uri="{FF2B5EF4-FFF2-40B4-BE49-F238E27FC236}">
              <a16:creationId xmlns:a16="http://schemas.microsoft.com/office/drawing/2014/main" id="{EB50997B-1927-E0E8-CCAD-EB25835FA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57" name="Picture 357">
          <a:extLst>
            <a:ext uri="{FF2B5EF4-FFF2-40B4-BE49-F238E27FC236}">
              <a16:creationId xmlns:a16="http://schemas.microsoft.com/office/drawing/2014/main" id="{4C2ED019-CC9B-68BE-517B-26C326A8F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58" name="Picture 358">
          <a:extLst>
            <a:ext uri="{FF2B5EF4-FFF2-40B4-BE49-F238E27FC236}">
              <a16:creationId xmlns:a16="http://schemas.microsoft.com/office/drawing/2014/main" id="{72F0CACE-9DB0-3503-FF2D-371A254D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59" name="Picture 359">
          <a:extLst>
            <a:ext uri="{FF2B5EF4-FFF2-40B4-BE49-F238E27FC236}">
              <a16:creationId xmlns:a16="http://schemas.microsoft.com/office/drawing/2014/main" id="{72ACCC28-3025-7FEB-6CE5-38623E24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60" name="Picture 360">
          <a:extLst>
            <a:ext uri="{FF2B5EF4-FFF2-40B4-BE49-F238E27FC236}">
              <a16:creationId xmlns:a16="http://schemas.microsoft.com/office/drawing/2014/main" id="{1A0CD175-F204-080B-8A2A-CCC3398FB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1" name="Picture 361">
          <a:extLst>
            <a:ext uri="{FF2B5EF4-FFF2-40B4-BE49-F238E27FC236}">
              <a16:creationId xmlns:a16="http://schemas.microsoft.com/office/drawing/2014/main" id="{CAFF5B9C-026C-7562-179A-15E1E325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2" name="Picture 362">
          <a:extLst>
            <a:ext uri="{FF2B5EF4-FFF2-40B4-BE49-F238E27FC236}">
              <a16:creationId xmlns:a16="http://schemas.microsoft.com/office/drawing/2014/main" id="{F32A565D-E636-D266-1D8C-BCA4D410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3" name="Picture 363">
          <a:extLst>
            <a:ext uri="{FF2B5EF4-FFF2-40B4-BE49-F238E27FC236}">
              <a16:creationId xmlns:a16="http://schemas.microsoft.com/office/drawing/2014/main" id="{0414BF6B-76CF-B077-B112-CC02DDB2A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4" name="Picture 364">
          <a:extLst>
            <a:ext uri="{FF2B5EF4-FFF2-40B4-BE49-F238E27FC236}">
              <a16:creationId xmlns:a16="http://schemas.microsoft.com/office/drawing/2014/main" id="{63D91057-1E85-2231-860A-28DC26AE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5" name="Picture 365">
          <a:extLst>
            <a:ext uri="{FF2B5EF4-FFF2-40B4-BE49-F238E27FC236}">
              <a16:creationId xmlns:a16="http://schemas.microsoft.com/office/drawing/2014/main" id="{1BDB2DD3-19F7-1E0E-CEC4-61A6BA2F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6" name="Picture 366">
          <a:extLst>
            <a:ext uri="{FF2B5EF4-FFF2-40B4-BE49-F238E27FC236}">
              <a16:creationId xmlns:a16="http://schemas.microsoft.com/office/drawing/2014/main" id="{8A310270-8974-1592-8CF2-5F5C5650A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67" name="Picture 367">
          <a:extLst>
            <a:ext uri="{FF2B5EF4-FFF2-40B4-BE49-F238E27FC236}">
              <a16:creationId xmlns:a16="http://schemas.microsoft.com/office/drawing/2014/main" id="{560D1F7E-DBE7-2435-88EC-3EFA5C46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68" name="Picture 368">
          <a:extLst>
            <a:ext uri="{FF2B5EF4-FFF2-40B4-BE49-F238E27FC236}">
              <a16:creationId xmlns:a16="http://schemas.microsoft.com/office/drawing/2014/main" id="{76A96803-DD6D-8B64-69AB-1B7780BF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69" name="Picture 369">
          <a:extLst>
            <a:ext uri="{FF2B5EF4-FFF2-40B4-BE49-F238E27FC236}">
              <a16:creationId xmlns:a16="http://schemas.microsoft.com/office/drawing/2014/main" id="{8C77B2AD-8605-1A79-4A5A-E3B55262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0" name="Picture 370">
          <a:extLst>
            <a:ext uri="{FF2B5EF4-FFF2-40B4-BE49-F238E27FC236}">
              <a16:creationId xmlns:a16="http://schemas.microsoft.com/office/drawing/2014/main" id="{0E23D126-C6D9-52E8-A4F5-68BF2DFD8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1" name="Picture 371">
          <a:extLst>
            <a:ext uri="{FF2B5EF4-FFF2-40B4-BE49-F238E27FC236}">
              <a16:creationId xmlns:a16="http://schemas.microsoft.com/office/drawing/2014/main" id="{A75C5A45-8F18-3214-F26F-69852E32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2" name="Picture 372">
          <a:extLst>
            <a:ext uri="{FF2B5EF4-FFF2-40B4-BE49-F238E27FC236}">
              <a16:creationId xmlns:a16="http://schemas.microsoft.com/office/drawing/2014/main" id="{A612CCD0-7008-08EA-BE75-991F404B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3" name="Picture 373">
          <a:extLst>
            <a:ext uri="{FF2B5EF4-FFF2-40B4-BE49-F238E27FC236}">
              <a16:creationId xmlns:a16="http://schemas.microsoft.com/office/drawing/2014/main" id="{AE747B46-B46F-5566-207E-188F341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4" name="Picture 374">
          <a:extLst>
            <a:ext uri="{FF2B5EF4-FFF2-40B4-BE49-F238E27FC236}">
              <a16:creationId xmlns:a16="http://schemas.microsoft.com/office/drawing/2014/main" id="{53749954-81EB-67E7-73C3-705EA324A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75" name="Picture 375">
          <a:extLst>
            <a:ext uri="{FF2B5EF4-FFF2-40B4-BE49-F238E27FC236}">
              <a16:creationId xmlns:a16="http://schemas.microsoft.com/office/drawing/2014/main" id="{DD3F0E36-8CD5-8D50-AD21-6C52A48A6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76" name="Picture 376">
          <a:extLst>
            <a:ext uri="{FF2B5EF4-FFF2-40B4-BE49-F238E27FC236}">
              <a16:creationId xmlns:a16="http://schemas.microsoft.com/office/drawing/2014/main" id="{80FA49CE-25B0-F147-3757-E0ACEE13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77" name="Picture 377">
          <a:extLst>
            <a:ext uri="{FF2B5EF4-FFF2-40B4-BE49-F238E27FC236}">
              <a16:creationId xmlns:a16="http://schemas.microsoft.com/office/drawing/2014/main" id="{DDD19CC0-A9C1-9BBE-6BA1-9149AFC9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8" name="Picture 378">
          <a:extLst>
            <a:ext uri="{FF2B5EF4-FFF2-40B4-BE49-F238E27FC236}">
              <a16:creationId xmlns:a16="http://schemas.microsoft.com/office/drawing/2014/main" id="{D176E267-C766-D37B-D7D6-8314F9A0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79" name="Picture 379">
          <a:extLst>
            <a:ext uri="{FF2B5EF4-FFF2-40B4-BE49-F238E27FC236}">
              <a16:creationId xmlns:a16="http://schemas.microsoft.com/office/drawing/2014/main" id="{DB7737C9-2520-99D0-B522-ECC216B9E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0" name="Picture 380">
          <a:extLst>
            <a:ext uri="{FF2B5EF4-FFF2-40B4-BE49-F238E27FC236}">
              <a16:creationId xmlns:a16="http://schemas.microsoft.com/office/drawing/2014/main" id="{2BE7F73A-5FCC-AD2D-2E4D-5A7261D3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1" name="Picture 381">
          <a:extLst>
            <a:ext uri="{FF2B5EF4-FFF2-40B4-BE49-F238E27FC236}">
              <a16:creationId xmlns:a16="http://schemas.microsoft.com/office/drawing/2014/main" id="{B8AE4613-D3E7-94E6-6C53-17B8C7CFB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2" name="Picture 382">
          <a:extLst>
            <a:ext uri="{FF2B5EF4-FFF2-40B4-BE49-F238E27FC236}">
              <a16:creationId xmlns:a16="http://schemas.microsoft.com/office/drawing/2014/main" id="{4DF6101E-E53A-6D82-BAEA-9147B732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3" name="Picture 383">
          <a:extLst>
            <a:ext uri="{FF2B5EF4-FFF2-40B4-BE49-F238E27FC236}">
              <a16:creationId xmlns:a16="http://schemas.microsoft.com/office/drawing/2014/main" id="{D648873C-F5F0-D10E-9948-73076C51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84" name="Picture 384">
          <a:extLst>
            <a:ext uri="{FF2B5EF4-FFF2-40B4-BE49-F238E27FC236}">
              <a16:creationId xmlns:a16="http://schemas.microsoft.com/office/drawing/2014/main" id="{872CFEA1-4AE1-E3AA-C3DF-1828030F2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85" name="Picture 385">
          <a:extLst>
            <a:ext uri="{FF2B5EF4-FFF2-40B4-BE49-F238E27FC236}">
              <a16:creationId xmlns:a16="http://schemas.microsoft.com/office/drawing/2014/main" id="{5F11581B-699C-A093-1A2F-6FEE9B414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6" name="Picture 386">
          <a:extLst>
            <a:ext uri="{FF2B5EF4-FFF2-40B4-BE49-F238E27FC236}">
              <a16:creationId xmlns:a16="http://schemas.microsoft.com/office/drawing/2014/main" id="{9D1198B0-B080-6149-6204-4807B56BE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7" name="Picture 387">
          <a:extLst>
            <a:ext uri="{FF2B5EF4-FFF2-40B4-BE49-F238E27FC236}">
              <a16:creationId xmlns:a16="http://schemas.microsoft.com/office/drawing/2014/main" id="{87720584-7B67-3F31-9C2D-5F831F2F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8" name="Picture 388">
          <a:extLst>
            <a:ext uri="{FF2B5EF4-FFF2-40B4-BE49-F238E27FC236}">
              <a16:creationId xmlns:a16="http://schemas.microsoft.com/office/drawing/2014/main" id="{3AC4C4E7-A982-7F5A-28B9-8CD13EEF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89" name="Picture 389">
          <a:extLst>
            <a:ext uri="{FF2B5EF4-FFF2-40B4-BE49-F238E27FC236}">
              <a16:creationId xmlns:a16="http://schemas.microsoft.com/office/drawing/2014/main" id="{DC78D61C-2298-21CB-CBE3-525506F3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0" name="Picture 390">
          <a:extLst>
            <a:ext uri="{FF2B5EF4-FFF2-40B4-BE49-F238E27FC236}">
              <a16:creationId xmlns:a16="http://schemas.microsoft.com/office/drawing/2014/main" id="{021F48BD-6693-DA2D-A2BD-84B5599F0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1" name="Picture 391">
          <a:extLst>
            <a:ext uri="{FF2B5EF4-FFF2-40B4-BE49-F238E27FC236}">
              <a16:creationId xmlns:a16="http://schemas.microsoft.com/office/drawing/2014/main" id="{B99F8D9A-051C-14C6-83A5-D4F7F94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92" name="Picture 392">
          <a:extLst>
            <a:ext uri="{FF2B5EF4-FFF2-40B4-BE49-F238E27FC236}">
              <a16:creationId xmlns:a16="http://schemas.microsoft.com/office/drawing/2014/main" id="{5EC360B5-94AE-7A6D-17FA-4D0AB7A95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93" name="Picture 393">
          <a:extLst>
            <a:ext uri="{FF2B5EF4-FFF2-40B4-BE49-F238E27FC236}">
              <a16:creationId xmlns:a16="http://schemas.microsoft.com/office/drawing/2014/main" id="{4BD720A6-CFD6-4D48-3946-8066BA71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194" name="Picture 394">
          <a:extLst>
            <a:ext uri="{FF2B5EF4-FFF2-40B4-BE49-F238E27FC236}">
              <a16:creationId xmlns:a16="http://schemas.microsoft.com/office/drawing/2014/main" id="{6B0E11CB-FEFD-2FDF-4032-AF44EC5B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5" name="Picture 395">
          <a:extLst>
            <a:ext uri="{FF2B5EF4-FFF2-40B4-BE49-F238E27FC236}">
              <a16:creationId xmlns:a16="http://schemas.microsoft.com/office/drawing/2014/main" id="{38CB08F4-8D79-D69F-4AE0-0CED9E47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6" name="Picture 396">
          <a:extLst>
            <a:ext uri="{FF2B5EF4-FFF2-40B4-BE49-F238E27FC236}">
              <a16:creationId xmlns:a16="http://schemas.microsoft.com/office/drawing/2014/main" id="{F663F68E-5751-8423-E8B7-AE2081566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7" name="Picture 397">
          <a:extLst>
            <a:ext uri="{FF2B5EF4-FFF2-40B4-BE49-F238E27FC236}">
              <a16:creationId xmlns:a16="http://schemas.microsoft.com/office/drawing/2014/main" id="{D301B5FD-D0EA-97D5-57B4-6B505090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8" name="Picture 398">
          <a:extLst>
            <a:ext uri="{FF2B5EF4-FFF2-40B4-BE49-F238E27FC236}">
              <a16:creationId xmlns:a16="http://schemas.microsoft.com/office/drawing/2014/main" id="{076F47B3-051A-DC92-1E82-DF0D088E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199" name="Picture 399">
          <a:extLst>
            <a:ext uri="{FF2B5EF4-FFF2-40B4-BE49-F238E27FC236}">
              <a16:creationId xmlns:a16="http://schemas.microsoft.com/office/drawing/2014/main" id="{7946316F-8BD0-367D-8F6C-8ACC3A01A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0" name="Picture 400">
          <a:extLst>
            <a:ext uri="{FF2B5EF4-FFF2-40B4-BE49-F238E27FC236}">
              <a16:creationId xmlns:a16="http://schemas.microsoft.com/office/drawing/2014/main" id="{067AFD42-E381-AE45-ECD1-7609972A1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01" name="Picture 401">
          <a:extLst>
            <a:ext uri="{FF2B5EF4-FFF2-40B4-BE49-F238E27FC236}">
              <a16:creationId xmlns:a16="http://schemas.microsoft.com/office/drawing/2014/main" id="{81EC3D40-B356-4573-ED4B-15C6AE1A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02" name="Picture 402">
          <a:extLst>
            <a:ext uri="{FF2B5EF4-FFF2-40B4-BE49-F238E27FC236}">
              <a16:creationId xmlns:a16="http://schemas.microsoft.com/office/drawing/2014/main" id="{64B59194-6E06-974E-BFEE-921670C5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3" name="Picture 403">
          <a:extLst>
            <a:ext uri="{FF2B5EF4-FFF2-40B4-BE49-F238E27FC236}">
              <a16:creationId xmlns:a16="http://schemas.microsoft.com/office/drawing/2014/main" id="{3EEC31C4-9267-D260-8A97-8D8EE5C0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4" name="Picture 404">
          <a:extLst>
            <a:ext uri="{FF2B5EF4-FFF2-40B4-BE49-F238E27FC236}">
              <a16:creationId xmlns:a16="http://schemas.microsoft.com/office/drawing/2014/main" id="{6A69C792-A77C-D1C1-F54E-98D74F44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5" name="Picture 405">
          <a:extLst>
            <a:ext uri="{FF2B5EF4-FFF2-40B4-BE49-F238E27FC236}">
              <a16:creationId xmlns:a16="http://schemas.microsoft.com/office/drawing/2014/main" id="{E95989B8-F695-1D76-8DC0-7D4D9A81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6" name="Picture 406">
          <a:extLst>
            <a:ext uri="{FF2B5EF4-FFF2-40B4-BE49-F238E27FC236}">
              <a16:creationId xmlns:a16="http://schemas.microsoft.com/office/drawing/2014/main" id="{E42A7BBB-B719-57FA-E13C-1CAD0AF89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7" name="Picture 407">
          <a:extLst>
            <a:ext uri="{FF2B5EF4-FFF2-40B4-BE49-F238E27FC236}">
              <a16:creationId xmlns:a16="http://schemas.microsoft.com/office/drawing/2014/main" id="{5603879F-EF29-178A-3ED6-F6C9534B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08" name="Picture 408">
          <a:extLst>
            <a:ext uri="{FF2B5EF4-FFF2-40B4-BE49-F238E27FC236}">
              <a16:creationId xmlns:a16="http://schemas.microsoft.com/office/drawing/2014/main" id="{5CE8DAC7-3AD3-967B-B625-F20FC1DB4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09" name="Picture 409">
          <a:extLst>
            <a:ext uri="{FF2B5EF4-FFF2-40B4-BE49-F238E27FC236}">
              <a16:creationId xmlns:a16="http://schemas.microsoft.com/office/drawing/2014/main" id="{29ECADF3-8B70-8D7F-B917-DC55BADF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10" name="Picture 410">
          <a:extLst>
            <a:ext uri="{FF2B5EF4-FFF2-40B4-BE49-F238E27FC236}">
              <a16:creationId xmlns:a16="http://schemas.microsoft.com/office/drawing/2014/main" id="{236B8D97-07FF-925B-78CB-53F0AD17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11" name="Picture 411">
          <a:extLst>
            <a:ext uri="{FF2B5EF4-FFF2-40B4-BE49-F238E27FC236}">
              <a16:creationId xmlns:a16="http://schemas.microsoft.com/office/drawing/2014/main" id="{F27A8BBD-DB66-8C45-CBCF-8A63067C0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2" name="Picture 412">
          <a:extLst>
            <a:ext uri="{FF2B5EF4-FFF2-40B4-BE49-F238E27FC236}">
              <a16:creationId xmlns:a16="http://schemas.microsoft.com/office/drawing/2014/main" id="{E2740796-B983-C36C-CFC3-BE96E401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3" name="Picture 413">
          <a:extLst>
            <a:ext uri="{FF2B5EF4-FFF2-40B4-BE49-F238E27FC236}">
              <a16:creationId xmlns:a16="http://schemas.microsoft.com/office/drawing/2014/main" id="{13FB689C-7B34-C8B6-704D-CB86DE40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4" name="Picture 414">
          <a:extLst>
            <a:ext uri="{FF2B5EF4-FFF2-40B4-BE49-F238E27FC236}">
              <a16:creationId xmlns:a16="http://schemas.microsoft.com/office/drawing/2014/main" id="{A154050F-2DEF-D5EB-11AE-3391F8B46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5" name="Picture 415">
          <a:extLst>
            <a:ext uri="{FF2B5EF4-FFF2-40B4-BE49-F238E27FC236}">
              <a16:creationId xmlns:a16="http://schemas.microsoft.com/office/drawing/2014/main" id="{9BA65050-C456-4413-CD7E-7CE93C22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6" name="Picture 416">
          <a:extLst>
            <a:ext uri="{FF2B5EF4-FFF2-40B4-BE49-F238E27FC236}">
              <a16:creationId xmlns:a16="http://schemas.microsoft.com/office/drawing/2014/main" id="{93E07973-4FA8-2C8B-8FD6-E0C304D5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17" name="Picture 417">
          <a:extLst>
            <a:ext uri="{FF2B5EF4-FFF2-40B4-BE49-F238E27FC236}">
              <a16:creationId xmlns:a16="http://schemas.microsoft.com/office/drawing/2014/main" id="{CDDE140C-DB67-BD45-C94A-9B4FB364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18" name="Picture 418">
          <a:extLst>
            <a:ext uri="{FF2B5EF4-FFF2-40B4-BE49-F238E27FC236}">
              <a16:creationId xmlns:a16="http://schemas.microsoft.com/office/drawing/2014/main" id="{12612280-11CB-F712-A656-559707B7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19" name="Picture 419">
          <a:extLst>
            <a:ext uri="{FF2B5EF4-FFF2-40B4-BE49-F238E27FC236}">
              <a16:creationId xmlns:a16="http://schemas.microsoft.com/office/drawing/2014/main" id="{F0A784BC-302A-1A51-A795-5B5B2239C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0" name="Picture 420">
          <a:extLst>
            <a:ext uri="{FF2B5EF4-FFF2-40B4-BE49-F238E27FC236}">
              <a16:creationId xmlns:a16="http://schemas.microsoft.com/office/drawing/2014/main" id="{0DD89268-1415-762B-0F84-8C50D1B0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1" name="Picture 421">
          <a:extLst>
            <a:ext uri="{FF2B5EF4-FFF2-40B4-BE49-F238E27FC236}">
              <a16:creationId xmlns:a16="http://schemas.microsoft.com/office/drawing/2014/main" id="{707DE6D8-3056-BFAE-E413-8D1DAFCD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2" name="Picture 422">
          <a:extLst>
            <a:ext uri="{FF2B5EF4-FFF2-40B4-BE49-F238E27FC236}">
              <a16:creationId xmlns:a16="http://schemas.microsoft.com/office/drawing/2014/main" id="{A3A35DCF-4706-D439-3FFE-D8213026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3" name="Picture 423">
          <a:extLst>
            <a:ext uri="{FF2B5EF4-FFF2-40B4-BE49-F238E27FC236}">
              <a16:creationId xmlns:a16="http://schemas.microsoft.com/office/drawing/2014/main" id="{C475B2F4-0633-BB1B-7A95-B3C0DAC3A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4" name="Picture 424">
          <a:extLst>
            <a:ext uri="{FF2B5EF4-FFF2-40B4-BE49-F238E27FC236}">
              <a16:creationId xmlns:a16="http://schemas.microsoft.com/office/drawing/2014/main" id="{7E93C500-F3F6-4975-5E90-5FDB7D41F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5" name="Picture 425">
          <a:extLst>
            <a:ext uri="{FF2B5EF4-FFF2-40B4-BE49-F238E27FC236}">
              <a16:creationId xmlns:a16="http://schemas.microsoft.com/office/drawing/2014/main" id="{2684240B-3732-01F5-F3C5-0CBC6D03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26" name="Picture 426">
          <a:extLst>
            <a:ext uri="{FF2B5EF4-FFF2-40B4-BE49-F238E27FC236}">
              <a16:creationId xmlns:a16="http://schemas.microsoft.com/office/drawing/2014/main" id="{755F87A8-2C33-890D-2A22-E68F56F8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27" name="Picture 427">
          <a:extLst>
            <a:ext uri="{FF2B5EF4-FFF2-40B4-BE49-F238E27FC236}">
              <a16:creationId xmlns:a16="http://schemas.microsoft.com/office/drawing/2014/main" id="{591A722A-736F-AF7A-CD5A-601F5538E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28" name="Picture 428">
          <a:extLst>
            <a:ext uri="{FF2B5EF4-FFF2-40B4-BE49-F238E27FC236}">
              <a16:creationId xmlns:a16="http://schemas.microsoft.com/office/drawing/2014/main" id="{0AAEDA04-E0F5-A2DD-3043-B4A02A8CD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29" name="Picture 429">
          <a:extLst>
            <a:ext uri="{FF2B5EF4-FFF2-40B4-BE49-F238E27FC236}">
              <a16:creationId xmlns:a16="http://schemas.microsoft.com/office/drawing/2014/main" id="{266E716A-7E0A-AE39-333A-FF3B24599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0" name="Picture 430">
          <a:extLst>
            <a:ext uri="{FF2B5EF4-FFF2-40B4-BE49-F238E27FC236}">
              <a16:creationId xmlns:a16="http://schemas.microsoft.com/office/drawing/2014/main" id="{0F9E4413-5913-9584-7937-62E55A34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1" name="Picture 431">
          <a:extLst>
            <a:ext uri="{FF2B5EF4-FFF2-40B4-BE49-F238E27FC236}">
              <a16:creationId xmlns:a16="http://schemas.microsoft.com/office/drawing/2014/main" id="{01699791-16E0-8C73-A7D0-008E45EC8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2" name="Picture 432">
          <a:extLst>
            <a:ext uri="{FF2B5EF4-FFF2-40B4-BE49-F238E27FC236}">
              <a16:creationId xmlns:a16="http://schemas.microsoft.com/office/drawing/2014/main" id="{68B1B17B-5B76-A3E2-AFD7-601F177F4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3" name="Picture 433">
          <a:extLst>
            <a:ext uri="{FF2B5EF4-FFF2-40B4-BE49-F238E27FC236}">
              <a16:creationId xmlns:a16="http://schemas.microsoft.com/office/drawing/2014/main" id="{5885DFCE-EC59-BD8F-2506-A4822FDFE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4" name="Picture 434">
          <a:extLst>
            <a:ext uri="{FF2B5EF4-FFF2-40B4-BE49-F238E27FC236}">
              <a16:creationId xmlns:a16="http://schemas.microsoft.com/office/drawing/2014/main" id="{91244587-3529-2C84-7E32-1C5D5369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35" name="Picture 435">
          <a:extLst>
            <a:ext uri="{FF2B5EF4-FFF2-40B4-BE49-F238E27FC236}">
              <a16:creationId xmlns:a16="http://schemas.microsoft.com/office/drawing/2014/main" id="{122BD2A7-087E-C895-80FC-C89B579E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36" name="Picture 436">
          <a:extLst>
            <a:ext uri="{FF2B5EF4-FFF2-40B4-BE49-F238E27FC236}">
              <a16:creationId xmlns:a16="http://schemas.microsoft.com/office/drawing/2014/main" id="{65DC6E70-07EA-DDB7-40B1-5ACBE9EF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7" name="Picture 437">
          <a:extLst>
            <a:ext uri="{FF2B5EF4-FFF2-40B4-BE49-F238E27FC236}">
              <a16:creationId xmlns:a16="http://schemas.microsoft.com/office/drawing/2014/main" id="{DE7B3ACE-2294-29FB-A4C4-0D7E5E48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8" name="Picture 438">
          <a:extLst>
            <a:ext uri="{FF2B5EF4-FFF2-40B4-BE49-F238E27FC236}">
              <a16:creationId xmlns:a16="http://schemas.microsoft.com/office/drawing/2014/main" id="{6E5B708F-4335-89BB-EA35-61734B0A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39" name="Picture 439">
          <a:extLst>
            <a:ext uri="{FF2B5EF4-FFF2-40B4-BE49-F238E27FC236}">
              <a16:creationId xmlns:a16="http://schemas.microsoft.com/office/drawing/2014/main" id="{4925CEA3-69FF-D20B-F572-6A3F915E8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0" name="Picture 440">
          <a:extLst>
            <a:ext uri="{FF2B5EF4-FFF2-40B4-BE49-F238E27FC236}">
              <a16:creationId xmlns:a16="http://schemas.microsoft.com/office/drawing/2014/main" id="{071DCD4B-856D-0C8B-3C13-44C831D3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1" name="Picture 441">
          <a:extLst>
            <a:ext uri="{FF2B5EF4-FFF2-40B4-BE49-F238E27FC236}">
              <a16:creationId xmlns:a16="http://schemas.microsoft.com/office/drawing/2014/main" id="{22A58DDD-B743-23D7-8F08-98D009C4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2" name="Picture 442">
          <a:extLst>
            <a:ext uri="{FF2B5EF4-FFF2-40B4-BE49-F238E27FC236}">
              <a16:creationId xmlns:a16="http://schemas.microsoft.com/office/drawing/2014/main" id="{BC8397AA-1BDF-189B-17C3-AABCE066D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43" name="Picture 443">
          <a:extLst>
            <a:ext uri="{FF2B5EF4-FFF2-40B4-BE49-F238E27FC236}">
              <a16:creationId xmlns:a16="http://schemas.microsoft.com/office/drawing/2014/main" id="{9967F1DD-1CA9-A711-46CB-6D6F5734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44" name="Picture 444">
          <a:extLst>
            <a:ext uri="{FF2B5EF4-FFF2-40B4-BE49-F238E27FC236}">
              <a16:creationId xmlns:a16="http://schemas.microsoft.com/office/drawing/2014/main" id="{97F0BC71-8EAE-60A5-4011-D5EE6009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45" name="Picture 445">
          <a:extLst>
            <a:ext uri="{FF2B5EF4-FFF2-40B4-BE49-F238E27FC236}">
              <a16:creationId xmlns:a16="http://schemas.microsoft.com/office/drawing/2014/main" id="{48D7AF76-6EBC-EAD2-B405-C543DEF2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6" name="Picture 446">
          <a:extLst>
            <a:ext uri="{FF2B5EF4-FFF2-40B4-BE49-F238E27FC236}">
              <a16:creationId xmlns:a16="http://schemas.microsoft.com/office/drawing/2014/main" id="{72150198-A9D2-0EDD-862B-2D65B7A8F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7" name="Picture 447">
          <a:extLst>
            <a:ext uri="{FF2B5EF4-FFF2-40B4-BE49-F238E27FC236}">
              <a16:creationId xmlns:a16="http://schemas.microsoft.com/office/drawing/2014/main" id="{B2F3FE39-30AD-2705-4706-6540E22B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8" name="Picture 448">
          <a:extLst>
            <a:ext uri="{FF2B5EF4-FFF2-40B4-BE49-F238E27FC236}">
              <a16:creationId xmlns:a16="http://schemas.microsoft.com/office/drawing/2014/main" id="{841FB09E-01D0-2E30-2D27-F796EFCD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49" name="Picture 449">
          <a:extLst>
            <a:ext uri="{FF2B5EF4-FFF2-40B4-BE49-F238E27FC236}">
              <a16:creationId xmlns:a16="http://schemas.microsoft.com/office/drawing/2014/main" id="{C7E99D88-02A8-596B-38A1-241D1034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0" name="Picture 450">
          <a:extLst>
            <a:ext uri="{FF2B5EF4-FFF2-40B4-BE49-F238E27FC236}">
              <a16:creationId xmlns:a16="http://schemas.microsoft.com/office/drawing/2014/main" id="{4F594739-8A47-B498-70EB-4F37E2F6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1" name="Picture 451">
          <a:extLst>
            <a:ext uri="{FF2B5EF4-FFF2-40B4-BE49-F238E27FC236}">
              <a16:creationId xmlns:a16="http://schemas.microsoft.com/office/drawing/2014/main" id="{59E162D9-91CB-0E80-2EA0-75A1FE08E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52" name="Picture 452">
          <a:extLst>
            <a:ext uri="{FF2B5EF4-FFF2-40B4-BE49-F238E27FC236}">
              <a16:creationId xmlns:a16="http://schemas.microsoft.com/office/drawing/2014/main" id="{F6F28B1D-6C64-13AA-BBC6-8DD81AD3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53" name="Picture 453">
          <a:extLst>
            <a:ext uri="{FF2B5EF4-FFF2-40B4-BE49-F238E27FC236}">
              <a16:creationId xmlns:a16="http://schemas.microsoft.com/office/drawing/2014/main" id="{E1849096-D085-27CC-6995-93BFE4EB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4" name="Picture 454">
          <a:extLst>
            <a:ext uri="{FF2B5EF4-FFF2-40B4-BE49-F238E27FC236}">
              <a16:creationId xmlns:a16="http://schemas.microsoft.com/office/drawing/2014/main" id="{03F8068C-D694-9E7A-BE54-C91B9A30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5" name="Picture 455">
          <a:extLst>
            <a:ext uri="{FF2B5EF4-FFF2-40B4-BE49-F238E27FC236}">
              <a16:creationId xmlns:a16="http://schemas.microsoft.com/office/drawing/2014/main" id="{38A1C731-3C44-DA4D-3E35-0AAEBFCB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6" name="Picture 456">
          <a:extLst>
            <a:ext uri="{FF2B5EF4-FFF2-40B4-BE49-F238E27FC236}">
              <a16:creationId xmlns:a16="http://schemas.microsoft.com/office/drawing/2014/main" id="{F614F1C6-C64E-B7D2-D6C4-FE5A25C2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7" name="Picture 457">
          <a:extLst>
            <a:ext uri="{FF2B5EF4-FFF2-40B4-BE49-F238E27FC236}">
              <a16:creationId xmlns:a16="http://schemas.microsoft.com/office/drawing/2014/main" id="{C23BA635-E299-4C44-CB79-F35FC799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8" name="Picture 458">
          <a:extLst>
            <a:ext uri="{FF2B5EF4-FFF2-40B4-BE49-F238E27FC236}">
              <a16:creationId xmlns:a16="http://schemas.microsoft.com/office/drawing/2014/main" id="{721C26EC-3701-CE41-5311-1D9CA0B3D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59" name="Picture 459">
          <a:extLst>
            <a:ext uri="{FF2B5EF4-FFF2-40B4-BE49-F238E27FC236}">
              <a16:creationId xmlns:a16="http://schemas.microsoft.com/office/drawing/2014/main" id="{45D6F730-9BC4-6794-7847-41847B5A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60" name="Picture 460">
          <a:extLst>
            <a:ext uri="{FF2B5EF4-FFF2-40B4-BE49-F238E27FC236}">
              <a16:creationId xmlns:a16="http://schemas.microsoft.com/office/drawing/2014/main" id="{B024991B-16B0-BFC5-F7A5-4A07767AB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61" name="Picture 461">
          <a:extLst>
            <a:ext uri="{FF2B5EF4-FFF2-40B4-BE49-F238E27FC236}">
              <a16:creationId xmlns:a16="http://schemas.microsoft.com/office/drawing/2014/main" id="{CBC46E2B-1075-EBFC-9E2A-AA6EF2F1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62" name="Picture 462">
          <a:extLst>
            <a:ext uri="{FF2B5EF4-FFF2-40B4-BE49-F238E27FC236}">
              <a16:creationId xmlns:a16="http://schemas.microsoft.com/office/drawing/2014/main" id="{02A2E9C8-501D-44AF-C7F1-380673D4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3" name="Picture 463">
          <a:extLst>
            <a:ext uri="{FF2B5EF4-FFF2-40B4-BE49-F238E27FC236}">
              <a16:creationId xmlns:a16="http://schemas.microsoft.com/office/drawing/2014/main" id="{268989EA-FC93-F6B6-1361-5AE0B8E6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4" name="Picture 464">
          <a:extLst>
            <a:ext uri="{FF2B5EF4-FFF2-40B4-BE49-F238E27FC236}">
              <a16:creationId xmlns:a16="http://schemas.microsoft.com/office/drawing/2014/main" id="{590DAA79-D793-CCD6-D268-F45D13FCE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5" name="Picture 465">
          <a:extLst>
            <a:ext uri="{FF2B5EF4-FFF2-40B4-BE49-F238E27FC236}">
              <a16:creationId xmlns:a16="http://schemas.microsoft.com/office/drawing/2014/main" id="{ECC4F328-7D4F-FD48-FD90-A296903A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6" name="Picture 466">
          <a:extLst>
            <a:ext uri="{FF2B5EF4-FFF2-40B4-BE49-F238E27FC236}">
              <a16:creationId xmlns:a16="http://schemas.microsoft.com/office/drawing/2014/main" id="{A4D23AB8-058D-4F66-0914-63AD1A79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7" name="Picture 467">
          <a:extLst>
            <a:ext uri="{FF2B5EF4-FFF2-40B4-BE49-F238E27FC236}">
              <a16:creationId xmlns:a16="http://schemas.microsoft.com/office/drawing/2014/main" id="{0E4C8E61-544E-66B8-60EC-A7A1BFE0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68" name="Picture 468">
          <a:extLst>
            <a:ext uri="{FF2B5EF4-FFF2-40B4-BE49-F238E27FC236}">
              <a16:creationId xmlns:a16="http://schemas.microsoft.com/office/drawing/2014/main" id="{037FE917-B27D-9C23-E301-BFDC2234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69" name="Picture 469">
          <a:extLst>
            <a:ext uri="{FF2B5EF4-FFF2-40B4-BE49-F238E27FC236}">
              <a16:creationId xmlns:a16="http://schemas.microsoft.com/office/drawing/2014/main" id="{7D505452-573E-4A12-C09B-313B5D7A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70" name="Picture 470">
          <a:extLst>
            <a:ext uri="{FF2B5EF4-FFF2-40B4-BE49-F238E27FC236}">
              <a16:creationId xmlns:a16="http://schemas.microsoft.com/office/drawing/2014/main" id="{2D64988B-914E-505E-65DC-AE043C24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1" name="Picture 471">
          <a:extLst>
            <a:ext uri="{FF2B5EF4-FFF2-40B4-BE49-F238E27FC236}">
              <a16:creationId xmlns:a16="http://schemas.microsoft.com/office/drawing/2014/main" id="{46B981D5-84F2-4AAF-59E9-7F10E717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2" name="Picture 472">
          <a:extLst>
            <a:ext uri="{FF2B5EF4-FFF2-40B4-BE49-F238E27FC236}">
              <a16:creationId xmlns:a16="http://schemas.microsoft.com/office/drawing/2014/main" id="{F55EA6D2-1068-EE8C-DB65-CBE9297E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3" name="Picture 473">
          <a:extLst>
            <a:ext uri="{FF2B5EF4-FFF2-40B4-BE49-F238E27FC236}">
              <a16:creationId xmlns:a16="http://schemas.microsoft.com/office/drawing/2014/main" id="{7980A7D7-A782-4942-3748-FAFD84F5C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4" name="Picture 474">
          <a:extLst>
            <a:ext uri="{FF2B5EF4-FFF2-40B4-BE49-F238E27FC236}">
              <a16:creationId xmlns:a16="http://schemas.microsoft.com/office/drawing/2014/main" id="{C16CA894-0BFD-459F-2DFC-89E2118F9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5" name="Picture 475">
          <a:extLst>
            <a:ext uri="{FF2B5EF4-FFF2-40B4-BE49-F238E27FC236}">
              <a16:creationId xmlns:a16="http://schemas.microsoft.com/office/drawing/2014/main" id="{289208B1-2F60-A2FD-880D-AD1D7531D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76" name="Picture 476">
          <a:extLst>
            <a:ext uri="{FF2B5EF4-FFF2-40B4-BE49-F238E27FC236}">
              <a16:creationId xmlns:a16="http://schemas.microsoft.com/office/drawing/2014/main" id="{8205B0AD-DCF1-8723-43D3-876B7224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77" name="Picture 477">
          <a:extLst>
            <a:ext uri="{FF2B5EF4-FFF2-40B4-BE49-F238E27FC236}">
              <a16:creationId xmlns:a16="http://schemas.microsoft.com/office/drawing/2014/main" id="{E6C8987D-08C3-F8A9-8B0F-B690081BE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78" name="Picture 478">
          <a:extLst>
            <a:ext uri="{FF2B5EF4-FFF2-40B4-BE49-F238E27FC236}">
              <a16:creationId xmlns:a16="http://schemas.microsoft.com/office/drawing/2014/main" id="{24C4ED16-97C5-7AD7-5F09-D7A855427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79" name="Picture 479">
          <a:extLst>
            <a:ext uri="{FF2B5EF4-FFF2-40B4-BE49-F238E27FC236}">
              <a16:creationId xmlns:a16="http://schemas.microsoft.com/office/drawing/2014/main" id="{5C4E86DC-909A-3688-ECB8-E0F7F5699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0" name="Picture 480">
          <a:extLst>
            <a:ext uri="{FF2B5EF4-FFF2-40B4-BE49-F238E27FC236}">
              <a16:creationId xmlns:a16="http://schemas.microsoft.com/office/drawing/2014/main" id="{2DEFBC80-BA52-FAA2-BA9B-321657CA7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1" name="Picture 481">
          <a:extLst>
            <a:ext uri="{FF2B5EF4-FFF2-40B4-BE49-F238E27FC236}">
              <a16:creationId xmlns:a16="http://schemas.microsoft.com/office/drawing/2014/main" id="{FF0206E1-C8EF-1398-FB25-E1078D1E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2" name="Picture 482">
          <a:extLst>
            <a:ext uri="{FF2B5EF4-FFF2-40B4-BE49-F238E27FC236}">
              <a16:creationId xmlns:a16="http://schemas.microsoft.com/office/drawing/2014/main" id="{468E44D3-7D51-1103-EB94-902B5D7A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3" name="Picture 483">
          <a:extLst>
            <a:ext uri="{FF2B5EF4-FFF2-40B4-BE49-F238E27FC236}">
              <a16:creationId xmlns:a16="http://schemas.microsoft.com/office/drawing/2014/main" id="{4C1B9167-1C24-2A38-0D93-547420FA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4" name="Picture 484">
          <a:extLst>
            <a:ext uri="{FF2B5EF4-FFF2-40B4-BE49-F238E27FC236}">
              <a16:creationId xmlns:a16="http://schemas.microsoft.com/office/drawing/2014/main" id="{F900282B-5059-CFD3-3894-391598124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5" name="Picture 485">
          <a:extLst>
            <a:ext uri="{FF2B5EF4-FFF2-40B4-BE49-F238E27FC236}">
              <a16:creationId xmlns:a16="http://schemas.microsoft.com/office/drawing/2014/main" id="{DCE676C7-BED5-BC49-49FC-753E8F91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86" name="Picture 486">
          <a:extLst>
            <a:ext uri="{FF2B5EF4-FFF2-40B4-BE49-F238E27FC236}">
              <a16:creationId xmlns:a16="http://schemas.microsoft.com/office/drawing/2014/main" id="{B37D80B6-8898-EA68-A01A-EE7FFC7B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87" name="Picture 487">
          <a:extLst>
            <a:ext uri="{FF2B5EF4-FFF2-40B4-BE49-F238E27FC236}">
              <a16:creationId xmlns:a16="http://schemas.microsoft.com/office/drawing/2014/main" id="{70690AD6-047F-5BBF-8A67-4CDF2379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8" name="Picture 488">
          <a:extLst>
            <a:ext uri="{FF2B5EF4-FFF2-40B4-BE49-F238E27FC236}">
              <a16:creationId xmlns:a16="http://schemas.microsoft.com/office/drawing/2014/main" id="{33ABA6EE-9965-A9DB-9C01-A64D0BAE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89" name="Picture 489">
          <a:extLst>
            <a:ext uri="{FF2B5EF4-FFF2-40B4-BE49-F238E27FC236}">
              <a16:creationId xmlns:a16="http://schemas.microsoft.com/office/drawing/2014/main" id="{CC6CA9E5-99D6-5AD6-C53F-1A238548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0" name="Picture 490">
          <a:extLst>
            <a:ext uri="{FF2B5EF4-FFF2-40B4-BE49-F238E27FC236}">
              <a16:creationId xmlns:a16="http://schemas.microsoft.com/office/drawing/2014/main" id="{122A6F9F-73AA-8685-524C-2D03A15B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1" name="Picture 491">
          <a:extLst>
            <a:ext uri="{FF2B5EF4-FFF2-40B4-BE49-F238E27FC236}">
              <a16:creationId xmlns:a16="http://schemas.microsoft.com/office/drawing/2014/main" id="{FA67BCC3-20F6-C3EA-AAC0-5E59F108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2" name="Picture 492">
          <a:extLst>
            <a:ext uri="{FF2B5EF4-FFF2-40B4-BE49-F238E27FC236}">
              <a16:creationId xmlns:a16="http://schemas.microsoft.com/office/drawing/2014/main" id="{BE8314B6-8B12-FB1C-94B7-90D7512B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3" name="Picture 493">
          <a:extLst>
            <a:ext uri="{FF2B5EF4-FFF2-40B4-BE49-F238E27FC236}">
              <a16:creationId xmlns:a16="http://schemas.microsoft.com/office/drawing/2014/main" id="{E237B3DB-2980-E213-1411-DF0715FB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94" name="Picture 494">
          <a:extLst>
            <a:ext uri="{FF2B5EF4-FFF2-40B4-BE49-F238E27FC236}">
              <a16:creationId xmlns:a16="http://schemas.microsoft.com/office/drawing/2014/main" id="{6F37BA8E-1D5F-D612-E519-E9F21C4D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95" name="Picture 495">
          <a:extLst>
            <a:ext uri="{FF2B5EF4-FFF2-40B4-BE49-F238E27FC236}">
              <a16:creationId xmlns:a16="http://schemas.microsoft.com/office/drawing/2014/main" id="{4C568305-F385-88CB-A5E5-F1DC9D804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296" name="Picture 496">
          <a:extLst>
            <a:ext uri="{FF2B5EF4-FFF2-40B4-BE49-F238E27FC236}">
              <a16:creationId xmlns:a16="http://schemas.microsoft.com/office/drawing/2014/main" id="{A342F0F7-4FBC-2DB0-D326-75F90D56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7" name="Picture 497">
          <a:extLst>
            <a:ext uri="{FF2B5EF4-FFF2-40B4-BE49-F238E27FC236}">
              <a16:creationId xmlns:a16="http://schemas.microsoft.com/office/drawing/2014/main" id="{87FFFB23-5942-60CC-38DA-31672AD9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8" name="Picture 498">
          <a:extLst>
            <a:ext uri="{FF2B5EF4-FFF2-40B4-BE49-F238E27FC236}">
              <a16:creationId xmlns:a16="http://schemas.microsoft.com/office/drawing/2014/main" id="{98ADBDFB-DBE3-8E22-68DE-53AD3A6F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299" name="Picture 499">
          <a:extLst>
            <a:ext uri="{FF2B5EF4-FFF2-40B4-BE49-F238E27FC236}">
              <a16:creationId xmlns:a16="http://schemas.microsoft.com/office/drawing/2014/main" id="{BF8A7741-7028-C608-009B-8861A77A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0" name="Picture 500">
          <a:extLst>
            <a:ext uri="{FF2B5EF4-FFF2-40B4-BE49-F238E27FC236}">
              <a16:creationId xmlns:a16="http://schemas.microsoft.com/office/drawing/2014/main" id="{D976E729-1C05-B8F7-EA9E-B8722CFD8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1" name="Picture 501">
          <a:extLst>
            <a:ext uri="{FF2B5EF4-FFF2-40B4-BE49-F238E27FC236}">
              <a16:creationId xmlns:a16="http://schemas.microsoft.com/office/drawing/2014/main" id="{B039089C-1173-C4AC-ABAF-411DF10E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2" name="Picture 502">
          <a:extLst>
            <a:ext uri="{FF2B5EF4-FFF2-40B4-BE49-F238E27FC236}">
              <a16:creationId xmlns:a16="http://schemas.microsoft.com/office/drawing/2014/main" id="{F9CAF201-246D-2FD5-9A73-8EB41E0D2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03" name="Picture 503">
          <a:extLst>
            <a:ext uri="{FF2B5EF4-FFF2-40B4-BE49-F238E27FC236}">
              <a16:creationId xmlns:a16="http://schemas.microsoft.com/office/drawing/2014/main" id="{11914EE2-B79C-57C5-CC85-92854776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04" name="Picture 504">
          <a:extLst>
            <a:ext uri="{FF2B5EF4-FFF2-40B4-BE49-F238E27FC236}">
              <a16:creationId xmlns:a16="http://schemas.microsoft.com/office/drawing/2014/main" id="{75270C42-08D9-6C81-FA07-CA08C786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5" name="Picture 505">
          <a:extLst>
            <a:ext uri="{FF2B5EF4-FFF2-40B4-BE49-F238E27FC236}">
              <a16:creationId xmlns:a16="http://schemas.microsoft.com/office/drawing/2014/main" id="{FC1149C0-42A9-06F3-19DC-1832E7373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6" name="Picture 506">
          <a:extLst>
            <a:ext uri="{FF2B5EF4-FFF2-40B4-BE49-F238E27FC236}">
              <a16:creationId xmlns:a16="http://schemas.microsoft.com/office/drawing/2014/main" id="{412808A1-65CE-DBC1-E574-6C9955A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7" name="Picture 507">
          <a:extLst>
            <a:ext uri="{FF2B5EF4-FFF2-40B4-BE49-F238E27FC236}">
              <a16:creationId xmlns:a16="http://schemas.microsoft.com/office/drawing/2014/main" id="{4C68897A-4EF4-41E3-35A0-E07480F5D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8" name="Picture 508">
          <a:extLst>
            <a:ext uri="{FF2B5EF4-FFF2-40B4-BE49-F238E27FC236}">
              <a16:creationId xmlns:a16="http://schemas.microsoft.com/office/drawing/2014/main" id="{6DC54F1C-1836-1375-A0EB-5E8032B1D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09" name="Picture 509">
          <a:extLst>
            <a:ext uri="{FF2B5EF4-FFF2-40B4-BE49-F238E27FC236}">
              <a16:creationId xmlns:a16="http://schemas.microsoft.com/office/drawing/2014/main" id="{792164F2-E1C3-554F-33C9-C5F953D11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0" name="Picture 510">
          <a:extLst>
            <a:ext uri="{FF2B5EF4-FFF2-40B4-BE49-F238E27FC236}">
              <a16:creationId xmlns:a16="http://schemas.microsoft.com/office/drawing/2014/main" id="{E0CA44E2-0B45-B27E-A884-A07C1A72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11" name="Picture 511">
          <a:extLst>
            <a:ext uri="{FF2B5EF4-FFF2-40B4-BE49-F238E27FC236}">
              <a16:creationId xmlns:a16="http://schemas.microsoft.com/office/drawing/2014/main" id="{70665155-A8EE-86EB-A0E0-29BE7F4F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12" name="Picture 512">
          <a:extLst>
            <a:ext uri="{FF2B5EF4-FFF2-40B4-BE49-F238E27FC236}">
              <a16:creationId xmlns:a16="http://schemas.microsoft.com/office/drawing/2014/main" id="{3214A5D0-FEC8-3268-8190-1DED0580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13" name="Picture 513">
          <a:extLst>
            <a:ext uri="{FF2B5EF4-FFF2-40B4-BE49-F238E27FC236}">
              <a16:creationId xmlns:a16="http://schemas.microsoft.com/office/drawing/2014/main" id="{BEE9F70E-0703-4E17-0FED-2A490033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4" name="Picture 514">
          <a:extLst>
            <a:ext uri="{FF2B5EF4-FFF2-40B4-BE49-F238E27FC236}">
              <a16:creationId xmlns:a16="http://schemas.microsoft.com/office/drawing/2014/main" id="{292C5185-A9E1-7664-FB68-A47D4A64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5" name="Picture 515">
          <a:extLst>
            <a:ext uri="{FF2B5EF4-FFF2-40B4-BE49-F238E27FC236}">
              <a16:creationId xmlns:a16="http://schemas.microsoft.com/office/drawing/2014/main" id="{63C3BFF7-EAB0-E01E-6658-F4B8C0641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6" name="Picture 516">
          <a:extLst>
            <a:ext uri="{FF2B5EF4-FFF2-40B4-BE49-F238E27FC236}">
              <a16:creationId xmlns:a16="http://schemas.microsoft.com/office/drawing/2014/main" id="{3706F911-7ECB-450F-BAAA-B27924426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7" name="Picture 517">
          <a:extLst>
            <a:ext uri="{FF2B5EF4-FFF2-40B4-BE49-F238E27FC236}">
              <a16:creationId xmlns:a16="http://schemas.microsoft.com/office/drawing/2014/main" id="{39BA87A7-1FC7-70C0-2246-1D361DA4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8" name="Picture 518">
          <a:extLst>
            <a:ext uri="{FF2B5EF4-FFF2-40B4-BE49-F238E27FC236}">
              <a16:creationId xmlns:a16="http://schemas.microsoft.com/office/drawing/2014/main" id="{E7A2D648-CFCC-4FAC-FAEE-0AD5A40F6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19" name="Picture 519">
          <a:extLst>
            <a:ext uri="{FF2B5EF4-FFF2-40B4-BE49-F238E27FC236}">
              <a16:creationId xmlns:a16="http://schemas.microsoft.com/office/drawing/2014/main" id="{9A3EA84E-2214-59C6-BEB2-51C7B759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20" name="Picture 520">
          <a:extLst>
            <a:ext uri="{FF2B5EF4-FFF2-40B4-BE49-F238E27FC236}">
              <a16:creationId xmlns:a16="http://schemas.microsoft.com/office/drawing/2014/main" id="{F636D26C-2D91-0FF7-BBFF-C30C1D0D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21" name="Picture 521">
          <a:extLst>
            <a:ext uri="{FF2B5EF4-FFF2-40B4-BE49-F238E27FC236}">
              <a16:creationId xmlns:a16="http://schemas.microsoft.com/office/drawing/2014/main" id="{AC139882-23D5-7885-01E3-3C1500DCD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2" name="Picture 522">
          <a:extLst>
            <a:ext uri="{FF2B5EF4-FFF2-40B4-BE49-F238E27FC236}">
              <a16:creationId xmlns:a16="http://schemas.microsoft.com/office/drawing/2014/main" id="{24A52996-BB5E-E0B5-92B3-5EAAB2F67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3" name="Picture 523">
          <a:extLst>
            <a:ext uri="{FF2B5EF4-FFF2-40B4-BE49-F238E27FC236}">
              <a16:creationId xmlns:a16="http://schemas.microsoft.com/office/drawing/2014/main" id="{720E3316-F23C-DD0E-7EE7-EEFAF948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4" name="Picture 524">
          <a:extLst>
            <a:ext uri="{FF2B5EF4-FFF2-40B4-BE49-F238E27FC236}">
              <a16:creationId xmlns:a16="http://schemas.microsoft.com/office/drawing/2014/main" id="{706D99C1-0B31-BE4E-BA9B-BE5BA203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5" name="Picture 525">
          <a:extLst>
            <a:ext uri="{FF2B5EF4-FFF2-40B4-BE49-F238E27FC236}">
              <a16:creationId xmlns:a16="http://schemas.microsoft.com/office/drawing/2014/main" id="{BE6AACE5-3F63-E4D7-FD27-F70E9181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6" name="Picture 526">
          <a:extLst>
            <a:ext uri="{FF2B5EF4-FFF2-40B4-BE49-F238E27FC236}">
              <a16:creationId xmlns:a16="http://schemas.microsoft.com/office/drawing/2014/main" id="{C8D17A55-7751-8B85-9E50-6E784B3B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27" name="Picture 527">
          <a:extLst>
            <a:ext uri="{FF2B5EF4-FFF2-40B4-BE49-F238E27FC236}">
              <a16:creationId xmlns:a16="http://schemas.microsoft.com/office/drawing/2014/main" id="{2082A447-43D3-4E2B-C1F5-5BFAA9EFE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28" name="Picture 528">
          <a:extLst>
            <a:ext uri="{FF2B5EF4-FFF2-40B4-BE49-F238E27FC236}">
              <a16:creationId xmlns:a16="http://schemas.microsoft.com/office/drawing/2014/main" id="{E48730F8-E0F3-1100-57DF-FF8A40BA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29" name="Picture 529">
          <a:extLst>
            <a:ext uri="{FF2B5EF4-FFF2-40B4-BE49-F238E27FC236}">
              <a16:creationId xmlns:a16="http://schemas.microsoft.com/office/drawing/2014/main" id="{57CD4431-80CA-9E98-D445-711F8AE91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30" name="Picture 530">
          <a:extLst>
            <a:ext uri="{FF2B5EF4-FFF2-40B4-BE49-F238E27FC236}">
              <a16:creationId xmlns:a16="http://schemas.microsoft.com/office/drawing/2014/main" id="{3DB78CD7-D25E-17A7-8B57-260E1D77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1" name="Picture 531">
          <a:extLst>
            <a:ext uri="{FF2B5EF4-FFF2-40B4-BE49-F238E27FC236}">
              <a16:creationId xmlns:a16="http://schemas.microsoft.com/office/drawing/2014/main" id="{91A0876E-C850-23BA-8351-F105FF6F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2" name="Picture 532">
          <a:extLst>
            <a:ext uri="{FF2B5EF4-FFF2-40B4-BE49-F238E27FC236}">
              <a16:creationId xmlns:a16="http://schemas.microsoft.com/office/drawing/2014/main" id="{55ED4123-D132-D49E-BE97-CCA3954A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3" name="Picture 533">
          <a:extLst>
            <a:ext uri="{FF2B5EF4-FFF2-40B4-BE49-F238E27FC236}">
              <a16:creationId xmlns:a16="http://schemas.microsoft.com/office/drawing/2014/main" id="{BA431A4A-C574-F0C0-B205-1D395AA8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4" name="Picture 534">
          <a:extLst>
            <a:ext uri="{FF2B5EF4-FFF2-40B4-BE49-F238E27FC236}">
              <a16:creationId xmlns:a16="http://schemas.microsoft.com/office/drawing/2014/main" id="{C3D550E1-7420-F1D5-2E1E-D313C85A4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5" name="Picture 535">
          <a:extLst>
            <a:ext uri="{FF2B5EF4-FFF2-40B4-BE49-F238E27FC236}">
              <a16:creationId xmlns:a16="http://schemas.microsoft.com/office/drawing/2014/main" id="{DE1A70A8-0D0D-F19E-EA6A-EC9FA178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6" name="Picture 536">
          <a:extLst>
            <a:ext uri="{FF2B5EF4-FFF2-40B4-BE49-F238E27FC236}">
              <a16:creationId xmlns:a16="http://schemas.microsoft.com/office/drawing/2014/main" id="{BE6157F4-3F1E-E567-FC62-E0E65C75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37" name="Picture 537">
          <a:extLst>
            <a:ext uri="{FF2B5EF4-FFF2-40B4-BE49-F238E27FC236}">
              <a16:creationId xmlns:a16="http://schemas.microsoft.com/office/drawing/2014/main" id="{7AFE1D65-9739-E8C8-85E5-10AF6C24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38" name="Picture 538">
          <a:extLst>
            <a:ext uri="{FF2B5EF4-FFF2-40B4-BE49-F238E27FC236}">
              <a16:creationId xmlns:a16="http://schemas.microsoft.com/office/drawing/2014/main" id="{23370630-516C-3B46-2521-C68494F4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39" name="Picture 539">
          <a:extLst>
            <a:ext uri="{FF2B5EF4-FFF2-40B4-BE49-F238E27FC236}">
              <a16:creationId xmlns:a16="http://schemas.microsoft.com/office/drawing/2014/main" id="{B190CEC0-8B10-9C8D-EFB9-B32A0E12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0" name="Picture 540">
          <a:extLst>
            <a:ext uri="{FF2B5EF4-FFF2-40B4-BE49-F238E27FC236}">
              <a16:creationId xmlns:a16="http://schemas.microsoft.com/office/drawing/2014/main" id="{7F2BF5C8-B28F-DB74-805F-BF4AE04B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1" name="Picture 541">
          <a:extLst>
            <a:ext uri="{FF2B5EF4-FFF2-40B4-BE49-F238E27FC236}">
              <a16:creationId xmlns:a16="http://schemas.microsoft.com/office/drawing/2014/main" id="{50A37BCA-3811-AEF0-7902-D84BED79F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2" name="Picture 542">
          <a:extLst>
            <a:ext uri="{FF2B5EF4-FFF2-40B4-BE49-F238E27FC236}">
              <a16:creationId xmlns:a16="http://schemas.microsoft.com/office/drawing/2014/main" id="{83B8B25F-1104-BE64-C866-AC15E599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3" name="Picture 543">
          <a:extLst>
            <a:ext uri="{FF2B5EF4-FFF2-40B4-BE49-F238E27FC236}">
              <a16:creationId xmlns:a16="http://schemas.microsoft.com/office/drawing/2014/main" id="{EBED9032-6324-E31A-E153-318F7B12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4" name="Picture 544">
          <a:extLst>
            <a:ext uri="{FF2B5EF4-FFF2-40B4-BE49-F238E27FC236}">
              <a16:creationId xmlns:a16="http://schemas.microsoft.com/office/drawing/2014/main" id="{C64D0B22-D3A0-6820-36A7-76A088F4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45" name="Picture 545">
          <a:extLst>
            <a:ext uri="{FF2B5EF4-FFF2-40B4-BE49-F238E27FC236}">
              <a16:creationId xmlns:a16="http://schemas.microsoft.com/office/drawing/2014/main" id="{2FE765F0-8F9E-3FB3-17E1-0E9CE6D3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46" name="Picture 546">
          <a:extLst>
            <a:ext uri="{FF2B5EF4-FFF2-40B4-BE49-F238E27FC236}">
              <a16:creationId xmlns:a16="http://schemas.microsoft.com/office/drawing/2014/main" id="{85730FFD-F23E-C333-0520-52920D52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47" name="Picture 547">
          <a:extLst>
            <a:ext uri="{FF2B5EF4-FFF2-40B4-BE49-F238E27FC236}">
              <a16:creationId xmlns:a16="http://schemas.microsoft.com/office/drawing/2014/main" id="{869BD723-6700-9A63-B6CD-CBECC795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8" name="Picture 548">
          <a:extLst>
            <a:ext uri="{FF2B5EF4-FFF2-40B4-BE49-F238E27FC236}">
              <a16:creationId xmlns:a16="http://schemas.microsoft.com/office/drawing/2014/main" id="{D539ADF3-81D6-775A-5E6C-9457D9E6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49" name="Picture 549">
          <a:extLst>
            <a:ext uri="{FF2B5EF4-FFF2-40B4-BE49-F238E27FC236}">
              <a16:creationId xmlns:a16="http://schemas.microsoft.com/office/drawing/2014/main" id="{6DA9056F-F7C8-B6F0-E7B3-C81F455E8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0" name="Picture 550">
          <a:extLst>
            <a:ext uri="{FF2B5EF4-FFF2-40B4-BE49-F238E27FC236}">
              <a16:creationId xmlns:a16="http://schemas.microsoft.com/office/drawing/2014/main" id="{F16D225B-8BA7-F585-1974-08409D80B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1" name="Picture 551">
          <a:extLst>
            <a:ext uri="{FF2B5EF4-FFF2-40B4-BE49-F238E27FC236}">
              <a16:creationId xmlns:a16="http://schemas.microsoft.com/office/drawing/2014/main" id="{B91AC73B-4F83-1580-6941-48E2F936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2" name="Picture 552">
          <a:extLst>
            <a:ext uri="{FF2B5EF4-FFF2-40B4-BE49-F238E27FC236}">
              <a16:creationId xmlns:a16="http://schemas.microsoft.com/office/drawing/2014/main" id="{6E4E743F-6206-6950-0CF4-B740BEC30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3" name="Picture 553">
          <a:extLst>
            <a:ext uri="{FF2B5EF4-FFF2-40B4-BE49-F238E27FC236}">
              <a16:creationId xmlns:a16="http://schemas.microsoft.com/office/drawing/2014/main" id="{8242E3F6-C82C-E11C-29AC-0CAACD98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54" name="Picture 554">
          <a:extLst>
            <a:ext uri="{FF2B5EF4-FFF2-40B4-BE49-F238E27FC236}">
              <a16:creationId xmlns:a16="http://schemas.microsoft.com/office/drawing/2014/main" id="{CE2DA3C9-2827-952A-4CF9-E33E04EE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55" name="Picture 555">
          <a:extLst>
            <a:ext uri="{FF2B5EF4-FFF2-40B4-BE49-F238E27FC236}">
              <a16:creationId xmlns:a16="http://schemas.microsoft.com/office/drawing/2014/main" id="{23E0809B-A11C-2D05-0AE1-1860429F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6" name="Picture 556">
          <a:extLst>
            <a:ext uri="{FF2B5EF4-FFF2-40B4-BE49-F238E27FC236}">
              <a16:creationId xmlns:a16="http://schemas.microsoft.com/office/drawing/2014/main" id="{55B99382-20EF-3775-4574-A6392D91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7" name="Picture 557">
          <a:extLst>
            <a:ext uri="{FF2B5EF4-FFF2-40B4-BE49-F238E27FC236}">
              <a16:creationId xmlns:a16="http://schemas.microsoft.com/office/drawing/2014/main" id="{0F550A41-2B94-45F8-0BB7-43632CE26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8" name="Picture 558">
          <a:extLst>
            <a:ext uri="{FF2B5EF4-FFF2-40B4-BE49-F238E27FC236}">
              <a16:creationId xmlns:a16="http://schemas.microsoft.com/office/drawing/2014/main" id="{24DD1592-A57E-48D3-4A16-C3C4511C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59" name="Picture 559">
          <a:extLst>
            <a:ext uri="{FF2B5EF4-FFF2-40B4-BE49-F238E27FC236}">
              <a16:creationId xmlns:a16="http://schemas.microsoft.com/office/drawing/2014/main" id="{65D373C8-0495-953C-E6B2-3AC53F98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0" name="Picture 560">
          <a:extLst>
            <a:ext uri="{FF2B5EF4-FFF2-40B4-BE49-F238E27FC236}">
              <a16:creationId xmlns:a16="http://schemas.microsoft.com/office/drawing/2014/main" id="{52E53331-F58F-5909-4702-5F5FECB9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1" name="Picture 561">
          <a:extLst>
            <a:ext uri="{FF2B5EF4-FFF2-40B4-BE49-F238E27FC236}">
              <a16:creationId xmlns:a16="http://schemas.microsoft.com/office/drawing/2014/main" id="{926524CE-F0AE-7352-E771-F2A17A121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62" name="Picture 562">
          <a:extLst>
            <a:ext uri="{FF2B5EF4-FFF2-40B4-BE49-F238E27FC236}">
              <a16:creationId xmlns:a16="http://schemas.microsoft.com/office/drawing/2014/main" id="{BE23E652-552B-E8CE-E4A9-55326B2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63" name="Picture 563">
          <a:extLst>
            <a:ext uri="{FF2B5EF4-FFF2-40B4-BE49-F238E27FC236}">
              <a16:creationId xmlns:a16="http://schemas.microsoft.com/office/drawing/2014/main" id="{8BBBC2CB-3CD2-15F3-9064-A68BCA30A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64" name="Picture 564">
          <a:extLst>
            <a:ext uri="{FF2B5EF4-FFF2-40B4-BE49-F238E27FC236}">
              <a16:creationId xmlns:a16="http://schemas.microsoft.com/office/drawing/2014/main" id="{B62A71CC-A989-F5BE-B816-77E4B65D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5" name="Picture 565">
          <a:extLst>
            <a:ext uri="{FF2B5EF4-FFF2-40B4-BE49-F238E27FC236}">
              <a16:creationId xmlns:a16="http://schemas.microsoft.com/office/drawing/2014/main" id="{2DBE4AD5-EC1B-012F-A713-C50B5F6B2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6" name="Picture 566">
          <a:extLst>
            <a:ext uri="{FF2B5EF4-FFF2-40B4-BE49-F238E27FC236}">
              <a16:creationId xmlns:a16="http://schemas.microsoft.com/office/drawing/2014/main" id="{A23A397B-8DBD-6139-C39B-BEADB8E56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7" name="Picture 567">
          <a:extLst>
            <a:ext uri="{FF2B5EF4-FFF2-40B4-BE49-F238E27FC236}">
              <a16:creationId xmlns:a16="http://schemas.microsoft.com/office/drawing/2014/main" id="{88625ADD-0250-CCE3-EA81-B4DDEF49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8" name="Picture 568">
          <a:extLst>
            <a:ext uri="{FF2B5EF4-FFF2-40B4-BE49-F238E27FC236}">
              <a16:creationId xmlns:a16="http://schemas.microsoft.com/office/drawing/2014/main" id="{69FA87CC-F739-3B60-E0BD-B867C0D6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69" name="Picture 569">
          <a:extLst>
            <a:ext uri="{FF2B5EF4-FFF2-40B4-BE49-F238E27FC236}">
              <a16:creationId xmlns:a16="http://schemas.microsoft.com/office/drawing/2014/main" id="{86CF0E55-B66B-D052-DC70-A5F116ED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0" name="Picture 570">
          <a:extLst>
            <a:ext uri="{FF2B5EF4-FFF2-40B4-BE49-F238E27FC236}">
              <a16:creationId xmlns:a16="http://schemas.microsoft.com/office/drawing/2014/main" id="{EAF5D6C2-EDF1-3FD8-3DB5-75239BE4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71" name="Picture 571">
          <a:extLst>
            <a:ext uri="{FF2B5EF4-FFF2-40B4-BE49-F238E27FC236}">
              <a16:creationId xmlns:a16="http://schemas.microsoft.com/office/drawing/2014/main" id="{9A6497B1-6F57-C252-4C7A-528DC166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72" name="Picture 572">
          <a:extLst>
            <a:ext uri="{FF2B5EF4-FFF2-40B4-BE49-F238E27FC236}">
              <a16:creationId xmlns:a16="http://schemas.microsoft.com/office/drawing/2014/main" id="{41F9313A-6654-5106-00F6-14C257AFD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3" name="Picture 573">
          <a:extLst>
            <a:ext uri="{FF2B5EF4-FFF2-40B4-BE49-F238E27FC236}">
              <a16:creationId xmlns:a16="http://schemas.microsoft.com/office/drawing/2014/main" id="{A6DF5A71-082A-A670-7BC5-03F8AD4D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4" name="Picture 574">
          <a:extLst>
            <a:ext uri="{FF2B5EF4-FFF2-40B4-BE49-F238E27FC236}">
              <a16:creationId xmlns:a16="http://schemas.microsoft.com/office/drawing/2014/main" id="{5A0D6D83-670B-9287-4756-4C299409B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5" name="Picture 575">
          <a:extLst>
            <a:ext uri="{FF2B5EF4-FFF2-40B4-BE49-F238E27FC236}">
              <a16:creationId xmlns:a16="http://schemas.microsoft.com/office/drawing/2014/main" id="{7A68134A-8C22-0DF5-8A68-8B46A3B1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6" name="Picture 576">
          <a:extLst>
            <a:ext uri="{FF2B5EF4-FFF2-40B4-BE49-F238E27FC236}">
              <a16:creationId xmlns:a16="http://schemas.microsoft.com/office/drawing/2014/main" id="{04309E39-D10B-D24F-A8D2-ACE93117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7" name="Picture 577">
          <a:extLst>
            <a:ext uri="{FF2B5EF4-FFF2-40B4-BE49-F238E27FC236}">
              <a16:creationId xmlns:a16="http://schemas.microsoft.com/office/drawing/2014/main" id="{EB68F6E6-3AB4-D954-35E0-B41CCDA3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78" name="Picture 578">
          <a:extLst>
            <a:ext uri="{FF2B5EF4-FFF2-40B4-BE49-F238E27FC236}">
              <a16:creationId xmlns:a16="http://schemas.microsoft.com/office/drawing/2014/main" id="{07D1A951-BD3D-0C97-F747-D92A7FF96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79" name="Picture 579">
          <a:extLst>
            <a:ext uri="{FF2B5EF4-FFF2-40B4-BE49-F238E27FC236}">
              <a16:creationId xmlns:a16="http://schemas.microsoft.com/office/drawing/2014/main" id="{5898C30C-1C27-D7AE-9D83-930D9FAE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80" name="Picture 580">
          <a:extLst>
            <a:ext uri="{FF2B5EF4-FFF2-40B4-BE49-F238E27FC236}">
              <a16:creationId xmlns:a16="http://schemas.microsoft.com/office/drawing/2014/main" id="{D1C7E39C-62A5-5DC9-4B4E-5009EF1A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81" name="Picture 581">
          <a:extLst>
            <a:ext uri="{FF2B5EF4-FFF2-40B4-BE49-F238E27FC236}">
              <a16:creationId xmlns:a16="http://schemas.microsoft.com/office/drawing/2014/main" id="{9E088A5C-A2D7-E507-B171-2C21F44CF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2" name="Picture 582">
          <a:extLst>
            <a:ext uri="{FF2B5EF4-FFF2-40B4-BE49-F238E27FC236}">
              <a16:creationId xmlns:a16="http://schemas.microsoft.com/office/drawing/2014/main" id="{1252CE81-F557-299C-2339-77C892BC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3" name="Picture 583">
          <a:extLst>
            <a:ext uri="{FF2B5EF4-FFF2-40B4-BE49-F238E27FC236}">
              <a16:creationId xmlns:a16="http://schemas.microsoft.com/office/drawing/2014/main" id="{65818F6D-7661-6E40-A97E-F47D0C5E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4" name="Picture 584">
          <a:extLst>
            <a:ext uri="{FF2B5EF4-FFF2-40B4-BE49-F238E27FC236}">
              <a16:creationId xmlns:a16="http://schemas.microsoft.com/office/drawing/2014/main" id="{6CA01BEC-174D-244C-8B9A-E87A6282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5" name="Picture 585">
          <a:extLst>
            <a:ext uri="{FF2B5EF4-FFF2-40B4-BE49-F238E27FC236}">
              <a16:creationId xmlns:a16="http://schemas.microsoft.com/office/drawing/2014/main" id="{994C8DF9-FC7A-AC1F-D49A-38C4B059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6" name="Picture 586">
          <a:extLst>
            <a:ext uri="{FF2B5EF4-FFF2-40B4-BE49-F238E27FC236}">
              <a16:creationId xmlns:a16="http://schemas.microsoft.com/office/drawing/2014/main" id="{8918A709-42B3-0836-072A-7DBD0A77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87" name="Picture 587">
          <a:extLst>
            <a:ext uri="{FF2B5EF4-FFF2-40B4-BE49-F238E27FC236}">
              <a16:creationId xmlns:a16="http://schemas.microsoft.com/office/drawing/2014/main" id="{4DB256AC-684D-874D-4456-EC665B34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88" name="Picture 588">
          <a:extLst>
            <a:ext uri="{FF2B5EF4-FFF2-40B4-BE49-F238E27FC236}">
              <a16:creationId xmlns:a16="http://schemas.microsoft.com/office/drawing/2014/main" id="{001A8FF1-8EB8-7E7F-15DB-3B7037921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89" name="Picture 589">
          <a:extLst>
            <a:ext uri="{FF2B5EF4-FFF2-40B4-BE49-F238E27FC236}">
              <a16:creationId xmlns:a16="http://schemas.microsoft.com/office/drawing/2014/main" id="{A2D90819-F37B-4AD2-F3F4-E292D163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0" name="Picture 590">
          <a:extLst>
            <a:ext uri="{FF2B5EF4-FFF2-40B4-BE49-F238E27FC236}">
              <a16:creationId xmlns:a16="http://schemas.microsoft.com/office/drawing/2014/main" id="{37628C99-43D7-2744-A780-B2FE2C8D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1" name="Picture 591">
          <a:extLst>
            <a:ext uri="{FF2B5EF4-FFF2-40B4-BE49-F238E27FC236}">
              <a16:creationId xmlns:a16="http://schemas.microsoft.com/office/drawing/2014/main" id="{DBF43394-13BA-51DD-BACC-07DDEF5F4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2" name="Picture 592">
          <a:extLst>
            <a:ext uri="{FF2B5EF4-FFF2-40B4-BE49-F238E27FC236}">
              <a16:creationId xmlns:a16="http://schemas.microsoft.com/office/drawing/2014/main" id="{ED8F1438-06A8-B004-8B4D-31A92124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3" name="Picture 593">
          <a:extLst>
            <a:ext uri="{FF2B5EF4-FFF2-40B4-BE49-F238E27FC236}">
              <a16:creationId xmlns:a16="http://schemas.microsoft.com/office/drawing/2014/main" id="{BFBDDDB3-44EA-1333-E8FE-4DB5CCA8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4" name="Picture 594">
          <a:extLst>
            <a:ext uri="{FF2B5EF4-FFF2-40B4-BE49-F238E27FC236}">
              <a16:creationId xmlns:a16="http://schemas.microsoft.com/office/drawing/2014/main" id="{2914915B-BAFB-07D1-AA25-1995D3A3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5" name="Picture 595">
          <a:extLst>
            <a:ext uri="{FF2B5EF4-FFF2-40B4-BE49-F238E27FC236}">
              <a16:creationId xmlns:a16="http://schemas.microsoft.com/office/drawing/2014/main" id="{995EE75F-F73A-70DA-CFA6-3F0D093D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96" name="Picture 596">
          <a:extLst>
            <a:ext uri="{FF2B5EF4-FFF2-40B4-BE49-F238E27FC236}">
              <a16:creationId xmlns:a16="http://schemas.microsoft.com/office/drawing/2014/main" id="{BFFFC0AD-1112-78E0-F3E5-669801C2B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97" name="Picture 597">
          <a:extLst>
            <a:ext uri="{FF2B5EF4-FFF2-40B4-BE49-F238E27FC236}">
              <a16:creationId xmlns:a16="http://schemas.microsoft.com/office/drawing/2014/main" id="{87497884-055C-B6FC-6EB6-57A7B6C10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398" name="Picture 598">
          <a:extLst>
            <a:ext uri="{FF2B5EF4-FFF2-40B4-BE49-F238E27FC236}">
              <a16:creationId xmlns:a16="http://schemas.microsoft.com/office/drawing/2014/main" id="{8CF2DB84-326A-4535-C620-C04274E01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399" name="Picture 599">
          <a:extLst>
            <a:ext uri="{FF2B5EF4-FFF2-40B4-BE49-F238E27FC236}">
              <a16:creationId xmlns:a16="http://schemas.microsoft.com/office/drawing/2014/main" id="{88995DB2-6BAA-1B83-D794-76CE77A5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0" name="Picture 600">
          <a:extLst>
            <a:ext uri="{FF2B5EF4-FFF2-40B4-BE49-F238E27FC236}">
              <a16:creationId xmlns:a16="http://schemas.microsoft.com/office/drawing/2014/main" id="{3F57B9C9-5E40-0F25-0454-107034D0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1" name="Picture 601">
          <a:extLst>
            <a:ext uri="{FF2B5EF4-FFF2-40B4-BE49-F238E27FC236}">
              <a16:creationId xmlns:a16="http://schemas.microsoft.com/office/drawing/2014/main" id="{17041D7F-21BB-E149-5A92-DA08CDC8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2" name="Picture 602">
          <a:extLst>
            <a:ext uri="{FF2B5EF4-FFF2-40B4-BE49-F238E27FC236}">
              <a16:creationId xmlns:a16="http://schemas.microsoft.com/office/drawing/2014/main" id="{962C5E6F-5460-CB88-FD10-693B38FB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3" name="Picture 603">
          <a:extLst>
            <a:ext uri="{FF2B5EF4-FFF2-40B4-BE49-F238E27FC236}">
              <a16:creationId xmlns:a16="http://schemas.microsoft.com/office/drawing/2014/main" id="{E4EC4BCE-FA33-4911-DBA2-5666413E6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4" name="Picture 604">
          <a:extLst>
            <a:ext uri="{FF2B5EF4-FFF2-40B4-BE49-F238E27FC236}">
              <a16:creationId xmlns:a16="http://schemas.microsoft.com/office/drawing/2014/main" id="{564E445A-8B62-FE7A-B078-B095BBF8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05" name="Picture 605">
          <a:extLst>
            <a:ext uri="{FF2B5EF4-FFF2-40B4-BE49-F238E27FC236}">
              <a16:creationId xmlns:a16="http://schemas.microsoft.com/office/drawing/2014/main" id="{2D1DF470-6D97-D4B0-923D-4D45E860E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06" name="Picture 606">
          <a:extLst>
            <a:ext uri="{FF2B5EF4-FFF2-40B4-BE49-F238E27FC236}">
              <a16:creationId xmlns:a16="http://schemas.microsoft.com/office/drawing/2014/main" id="{483F001E-A601-C9FB-C6F6-57AFF4B6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7" name="Picture 607">
          <a:extLst>
            <a:ext uri="{FF2B5EF4-FFF2-40B4-BE49-F238E27FC236}">
              <a16:creationId xmlns:a16="http://schemas.microsoft.com/office/drawing/2014/main" id="{750024F4-3396-DA77-948B-DD0128CD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8" name="Picture 608">
          <a:extLst>
            <a:ext uri="{FF2B5EF4-FFF2-40B4-BE49-F238E27FC236}">
              <a16:creationId xmlns:a16="http://schemas.microsoft.com/office/drawing/2014/main" id="{83208CE6-63EB-4300-3322-E103F611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09" name="Picture 609">
          <a:extLst>
            <a:ext uri="{FF2B5EF4-FFF2-40B4-BE49-F238E27FC236}">
              <a16:creationId xmlns:a16="http://schemas.microsoft.com/office/drawing/2014/main" id="{9D5FCA12-7405-0E9D-7E7D-82333685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0" name="Picture 610">
          <a:extLst>
            <a:ext uri="{FF2B5EF4-FFF2-40B4-BE49-F238E27FC236}">
              <a16:creationId xmlns:a16="http://schemas.microsoft.com/office/drawing/2014/main" id="{F9F6EBE1-BE4A-E468-B9FE-C00EECEC7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1" name="Picture 611">
          <a:extLst>
            <a:ext uri="{FF2B5EF4-FFF2-40B4-BE49-F238E27FC236}">
              <a16:creationId xmlns:a16="http://schemas.microsoft.com/office/drawing/2014/main" id="{97314CFC-9485-F7A8-2E57-435EB32F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2" name="Picture 612">
          <a:extLst>
            <a:ext uri="{FF2B5EF4-FFF2-40B4-BE49-F238E27FC236}">
              <a16:creationId xmlns:a16="http://schemas.microsoft.com/office/drawing/2014/main" id="{4000AD71-BBA2-7797-1FD2-C963CFB0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13" name="Picture 613">
          <a:extLst>
            <a:ext uri="{FF2B5EF4-FFF2-40B4-BE49-F238E27FC236}">
              <a16:creationId xmlns:a16="http://schemas.microsoft.com/office/drawing/2014/main" id="{9328FBF5-4D91-5C69-DCBB-A8A8A21C4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14" name="Picture 614">
          <a:extLst>
            <a:ext uri="{FF2B5EF4-FFF2-40B4-BE49-F238E27FC236}">
              <a16:creationId xmlns:a16="http://schemas.microsoft.com/office/drawing/2014/main" id="{A63941DA-0EC1-5093-0C0A-1D6386935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15" name="Picture 615">
          <a:extLst>
            <a:ext uri="{FF2B5EF4-FFF2-40B4-BE49-F238E27FC236}">
              <a16:creationId xmlns:a16="http://schemas.microsoft.com/office/drawing/2014/main" id="{8BBAE463-7686-2F29-5CE4-EC69277AE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6" name="Picture 616">
          <a:extLst>
            <a:ext uri="{FF2B5EF4-FFF2-40B4-BE49-F238E27FC236}">
              <a16:creationId xmlns:a16="http://schemas.microsoft.com/office/drawing/2014/main" id="{28CCE07E-6135-9F81-9491-C613F704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7" name="Picture 617">
          <a:extLst>
            <a:ext uri="{FF2B5EF4-FFF2-40B4-BE49-F238E27FC236}">
              <a16:creationId xmlns:a16="http://schemas.microsoft.com/office/drawing/2014/main" id="{BA9DC65D-2616-C843-C1A8-09A778635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8" name="Picture 618">
          <a:extLst>
            <a:ext uri="{FF2B5EF4-FFF2-40B4-BE49-F238E27FC236}">
              <a16:creationId xmlns:a16="http://schemas.microsoft.com/office/drawing/2014/main" id="{66D5D6F4-EC73-41E5-B01B-2EAC7E0A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19" name="Picture 619">
          <a:extLst>
            <a:ext uri="{FF2B5EF4-FFF2-40B4-BE49-F238E27FC236}">
              <a16:creationId xmlns:a16="http://schemas.microsoft.com/office/drawing/2014/main" id="{A7EF72CE-F181-822A-73CE-DEB6D027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0" name="Picture 620">
          <a:extLst>
            <a:ext uri="{FF2B5EF4-FFF2-40B4-BE49-F238E27FC236}">
              <a16:creationId xmlns:a16="http://schemas.microsoft.com/office/drawing/2014/main" id="{18D01BBB-D022-9FBE-A52C-12AFD546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1" name="Picture 621">
          <a:extLst>
            <a:ext uri="{FF2B5EF4-FFF2-40B4-BE49-F238E27FC236}">
              <a16:creationId xmlns:a16="http://schemas.microsoft.com/office/drawing/2014/main" id="{A8B20CC9-46CD-CFF3-3835-FA1A6C92D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22" name="Picture 622">
          <a:extLst>
            <a:ext uri="{FF2B5EF4-FFF2-40B4-BE49-F238E27FC236}">
              <a16:creationId xmlns:a16="http://schemas.microsoft.com/office/drawing/2014/main" id="{FD086A65-63CD-10AF-9650-61B64AC2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23" name="Picture 623">
          <a:extLst>
            <a:ext uri="{FF2B5EF4-FFF2-40B4-BE49-F238E27FC236}">
              <a16:creationId xmlns:a16="http://schemas.microsoft.com/office/drawing/2014/main" id="{33C7A4E1-72CF-EEB5-D763-2211B520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4" name="Picture 624">
          <a:extLst>
            <a:ext uri="{FF2B5EF4-FFF2-40B4-BE49-F238E27FC236}">
              <a16:creationId xmlns:a16="http://schemas.microsoft.com/office/drawing/2014/main" id="{586C2D69-4F50-2DA0-CD1C-E3690046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5" name="Picture 625">
          <a:extLst>
            <a:ext uri="{FF2B5EF4-FFF2-40B4-BE49-F238E27FC236}">
              <a16:creationId xmlns:a16="http://schemas.microsoft.com/office/drawing/2014/main" id="{34CB66B9-BAEE-1931-B03D-ECB743CD7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6" name="Picture 626">
          <a:extLst>
            <a:ext uri="{FF2B5EF4-FFF2-40B4-BE49-F238E27FC236}">
              <a16:creationId xmlns:a16="http://schemas.microsoft.com/office/drawing/2014/main" id="{DC767BB6-C302-1563-92D7-AE7B90FA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7" name="Picture 627">
          <a:extLst>
            <a:ext uri="{FF2B5EF4-FFF2-40B4-BE49-F238E27FC236}">
              <a16:creationId xmlns:a16="http://schemas.microsoft.com/office/drawing/2014/main" id="{F9CFD80B-87A3-D759-997D-BBCBB9D1C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8" name="Picture 628">
          <a:extLst>
            <a:ext uri="{FF2B5EF4-FFF2-40B4-BE49-F238E27FC236}">
              <a16:creationId xmlns:a16="http://schemas.microsoft.com/office/drawing/2014/main" id="{AB21A57E-A251-7A2B-334B-9C261890D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29" name="Picture 629">
          <a:extLst>
            <a:ext uri="{FF2B5EF4-FFF2-40B4-BE49-F238E27FC236}">
              <a16:creationId xmlns:a16="http://schemas.microsoft.com/office/drawing/2014/main" id="{7F01E0E5-E9BA-A8DC-0C5D-814B0FB5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30" name="Picture 630">
          <a:extLst>
            <a:ext uri="{FF2B5EF4-FFF2-40B4-BE49-F238E27FC236}">
              <a16:creationId xmlns:a16="http://schemas.microsoft.com/office/drawing/2014/main" id="{AA142976-21F8-6E5C-46D1-B7DBE004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31" name="Picture 631">
          <a:extLst>
            <a:ext uri="{FF2B5EF4-FFF2-40B4-BE49-F238E27FC236}">
              <a16:creationId xmlns:a16="http://schemas.microsoft.com/office/drawing/2014/main" id="{2108F5D2-008C-6C0A-B21F-01DEDD5A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32" name="Picture 632">
          <a:extLst>
            <a:ext uri="{FF2B5EF4-FFF2-40B4-BE49-F238E27FC236}">
              <a16:creationId xmlns:a16="http://schemas.microsoft.com/office/drawing/2014/main" id="{FD646997-BB77-9F60-86E3-513B42578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3" name="Picture 633">
          <a:extLst>
            <a:ext uri="{FF2B5EF4-FFF2-40B4-BE49-F238E27FC236}">
              <a16:creationId xmlns:a16="http://schemas.microsoft.com/office/drawing/2014/main" id="{E7FE3757-B105-FB57-E73E-EDEA444C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4" name="Picture 634">
          <a:extLst>
            <a:ext uri="{FF2B5EF4-FFF2-40B4-BE49-F238E27FC236}">
              <a16:creationId xmlns:a16="http://schemas.microsoft.com/office/drawing/2014/main" id="{A9297C60-9124-A040-7DA8-B92147D9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5" name="Picture 635">
          <a:extLst>
            <a:ext uri="{FF2B5EF4-FFF2-40B4-BE49-F238E27FC236}">
              <a16:creationId xmlns:a16="http://schemas.microsoft.com/office/drawing/2014/main" id="{3CA3F4DC-30ED-A2E8-E5F5-0FCFEF64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6" name="Picture 636">
          <a:extLst>
            <a:ext uri="{FF2B5EF4-FFF2-40B4-BE49-F238E27FC236}">
              <a16:creationId xmlns:a16="http://schemas.microsoft.com/office/drawing/2014/main" id="{73E6AD3F-DEB1-2F54-E31F-E81332AF3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7" name="Picture 637">
          <a:extLst>
            <a:ext uri="{FF2B5EF4-FFF2-40B4-BE49-F238E27FC236}">
              <a16:creationId xmlns:a16="http://schemas.microsoft.com/office/drawing/2014/main" id="{7BC3A7FF-41C0-6189-C7A2-ED73BF1C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38" name="Picture 638">
          <a:extLst>
            <a:ext uri="{FF2B5EF4-FFF2-40B4-BE49-F238E27FC236}">
              <a16:creationId xmlns:a16="http://schemas.microsoft.com/office/drawing/2014/main" id="{E7D2F4EF-5396-8556-2701-8EB0D29A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39" name="Picture 639">
          <a:extLst>
            <a:ext uri="{FF2B5EF4-FFF2-40B4-BE49-F238E27FC236}">
              <a16:creationId xmlns:a16="http://schemas.microsoft.com/office/drawing/2014/main" id="{67DB8EC0-76FA-C06D-EA69-679B73AE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40" name="Picture 640">
          <a:extLst>
            <a:ext uri="{FF2B5EF4-FFF2-40B4-BE49-F238E27FC236}">
              <a16:creationId xmlns:a16="http://schemas.microsoft.com/office/drawing/2014/main" id="{78BFD28A-3A88-FFFC-DBE5-9BB7B79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1" name="Picture 641">
          <a:extLst>
            <a:ext uri="{FF2B5EF4-FFF2-40B4-BE49-F238E27FC236}">
              <a16:creationId xmlns:a16="http://schemas.microsoft.com/office/drawing/2014/main" id="{8DC55BEB-F46E-26B3-B84C-C2416FCDD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2" name="Picture 642">
          <a:extLst>
            <a:ext uri="{FF2B5EF4-FFF2-40B4-BE49-F238E27FC236}">
              <a16:creationId xmlns:a16="http://schemas.microsoft.com/office/drawing/2014/main" id="{4983B0F4-2AF0-1365-E6B2-FEEDCF69D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3" name="Picture 643">
          <a:extLst>
            <a:ext uri="{FF2B5EF4-FFF2-40B4-BE49-F238E27FC236}">
              <a16:creationId xmlns:a16="http://schemas.microsoft.com/office/drawing/2014/main" id="{0B8DCB68-A7AE-D17E-AC30-9B9545F0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4" name="Picture 644">
          <a:extLst>
            <a:ext uri="{FF2B5EF4-FFF2-40B4-BE49-F238E27FC236}">
              <a16:creationId xmlns:a16="http://schemas.microsoft.com/office/drawing/2014/main" id="{68FB7483-29BD-BD5A-8592-5020F605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5" name="Picture 645">
          <a:extLst>
            <a:ext uri="{FF2B5EF4-FFF2-40B4-BE49-F238E27FC236}">
              <a16:creationId xmlns:a16="http://schemas.microsoft.com/office/drawing/2014/main" id="{A6D7B9CE-6288-4B93-4848-3AC8AF553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46" name="Picture 646">
          <a:extLst>
            <a:ext uri="{FF2B5EF4-FFF2-40B4-BE49-F238E27FC236}">
              <a16:creationId xmlns:a16="http://schemas.microsoft.com/office/drawing/2014/main" id="{B9E643EC-207E-619C-C33E-1FEB5297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47" name="Picture 647">
          <a:extLst>
            <a:ext uri="{FF2B5EF4-FFF2-40B4-BE49-F238E27FC236}">
              <a16:creationId xmlns:a16="http://schemas.microsoft.com/office/drawing/2014/main" id="{FF63D07F-C843-5476-5572-1B987C64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48" name="Picture 648">
          <a:extLst>
            <a:ext uri="{FF2B5EF4-FFF2-40B4-BE49-F238E27FC236}">
              <a16:creationId xmlns:a16="http://schemas.microsoft.com/office/drawing/2014/main" id="{5F0FD0D0-4950-0ECA-1C5E-A2E497A5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49" name="Picture 649">
          <a:extLst>
            <a:ext uri="{FF2B5EF4-FFF2-40B4-BE49-F238E27FC236}">
              <a16:creationId xmlns:a16="http://schemas.microsoft.com/office/drawing/2014/main" id="{24FE1A0C-4677-9DE5-76D0-C7399FA38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0" name="Picture 650">
          <a:extLst>
            <a:ext uri="{FF2B5EF4-FFF2-40B4-BE49-F238E27FC236}">
              <a16:creationId xmlns:a16="http://schemas.microsoft.com/office/drawing/2014/main" id="{D234DD3C-0179-E973-A27C-CD5672B0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1" name="Picture 651">
          <a:extLst>
            <a:ext uri="{FF2B5EF4-FFF2-40B4-BE49-F238E27FC236}">
              <a16:creationId xmlns:a16="http://schemas.microsoft.com/office/drawing/2014/main" id="{AAE67494-A616-1664-5C6A-F62A7A1D0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2" name="Picture 652">
          <a:extLst>
            <a:ext uri="{FF2B5EF4-FFF2-40B4-BE49-F238E27FC236}">
              <a16:creationId xmlns:a16="http://schemas.microsoft.com/office/drawing/2014/main" id="{F27CD75F-B88A-18F1-89CB-315FC985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3" name="Picture 653">
          <a:extLst>
            <a:ext uri="{FF2B5EF4-FFF2-40B4-BE49-F238E27FC236}">
              <a16:creationId xmlns:a16="http://schemas.microsoft.com/office/drawing/2014/main" id="{BEBE078C-384D-A80B-C135-15AB14769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4" name="Picture 654">
          <a:extLst>
            <a:ext uri="{FF2B5EF4-FFF2-40B4-BE49-F238E27FC236}">
              <a16:creationId xmlns:a16="http://schemas.microsoft.com/office/drawing/2014/main" id="{8329F9AB-5CDD-DAC9-C1F5-BA91CA90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5" name="Picture 655">
          <a:extLst>
            <a:ext uri="{FF2B5EF4-FFF2-40B4-BE49-F238E27FC236}">
              <a16:creationId xmlns:a16="http://schemas.microsoft.com/office/drawing/2014/main" id="{C154A221-6EEE-24EC-DBC7-E9E97C75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56" name="Picture 656">
          <a:extLst>
            <a:ext uri="{FF2B5EF4-FFF2-40B4-BE49-F238E27FC236}">
              <a16:creationId xmlns:a16="http://schemas.microsoft.com/office/drawing/2014/main" id="{B1F20AD3-D35C-2421-F83C-C1C617B49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57" name="Picture 657">
          <a:extLst>
            <a:ext uri="{FF2B5EF4-FFF2-40B4-BE49-F238E27FC236}">
              <a16:creationId xmlns:a16="http://schemas.microsoft.com/office/drawing/2014/main" id="{54BF2D66-39B1-9577-BDBF-62FB4AA17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8" name="Picture 658">
          <a:extLst>
            <a:ext uri="{FF2B5EF4-FFF2-40B4-BE49-F238E27FC236}">
              <a16:creationId xmlns:a16="http://schemas.microsoft.com/office/drawing/2014/main" id="{DF49EC14-8F67-7DBD-1683-80EB1EF5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59" name="Picture 659">
          <a:extLst>
            <a:ext uri="{FF2B5EF4-FFF2-40B4-BE49-F238E27FC236}">
              <a16:creationId xmlns:a16="http://schemas.microsoft.com/office/drawing/2014/main" id="{E5777975-ECE8-4590-CDF2-66556D3A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0" name="Picture 660">
          <a:extLst>
            <a:ext uri="{FF2B5EF4-FFF2-40B4-BE49-F238E27FC236}">
              <a16:creationId xmlns:a16="http://schemas.microsoft.com/office/drawing/2014/main" id="{BAFBCEC8-5612-50D6-66B0-3B031EFE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1" name="Picture 661">
          <a:extLst>
            <a:ext uri="{FF2B5EF4-FFF2-40B4-BE49-F238E27FC236}">
              <a16:creationId xmlns:a16="http://schemas.microsoft.com/office/drawing/2014/main" id="{C26CAD29-A7A2-184E-D10D-894DA6C6C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2" name="Picture 662">
          <a:extLst>
            <a:ext uri="{FF2B5EF4-FFF2-40B4-BE49-F238E27FC236}">
              <a16:creationId xmlns:a16="http://schemas.microsoft.com/office/drawing/2014/main" id="{CD16DB88-DEAC-B8D6-DD7B-C5032BD6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3" name="Picture 663">
          <a:extLst>
            <a:ext uri="{FF2B5EF4-FFF2-40B4-BE49-F238E27FC236}">
              <a16:creationId xmlns:a16="http://schemas.microsoft.com/office/drawing/2014/main" id="{2FF0667E-47C4-B1FE-62E7-480F78B4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64" name="Picture 664">
          <a:extLst>
            <a:ext uri="{FF2B5EF4-FFF2-40B4-BE49-F238E27FC236}">
              <a16:creationId xmlns:a16="http://schemas.microsoft.com/office/drawing/2014/main" id="{63C61919-7ECC-5A4D-2059-48FA4F7F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65" name="Picture 665">
          <a:extLst>
            <a:ext uri="{FF2B5EF4-FFF2-40B4-BE49-F238E27FC236}">
              <a16:creationId xmlns:a16="http://schemas.microsoft.com/office/drawing/2014/main" id="{57AA0E9D-4EBF-7302-DDE5-4DDDC0DF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66" name="Picture 666">
          <a:extLst>
            <a:ext uri="{FF2B5EF4-FFF2-40B4-BE49-F238E27FC236}">
              <a16:creationId xmlns:a16="http://schemas.microsoft.com/office/drawing/2014/main" id="{677CA708-6472-3AEC-96FC-7D561727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7" name="Picture 667">
          <a:extLst>
            <a:ext uri="{FF2B5EF4-FFF2-40B4-BE49-F238E27FC236}">
              <a16:creationId xmlns:a16="http://schemas.microsoft.com/office/drawing/2014/main" id="{C7739224-7E7A-2FB0-F38E-51533117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8" name="Picture 668">
          <a:extLst>
            <a:ext uri="{FF2B5EF4-FFF2-40B4-BE49-F238E27FC236}">
              <a16:creationId xmlns:a16="http://schemas.microsoft.com/office/drawing/2014/main" id="{5D5F4651-59DA-508A-E91D-2C62793B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69" name="Picture 669">
          <a:extLst>
            <a:ext uri="{FF2B5EF4-FFF2-40B4-BE49-F238E27FC236}">
              <a16:creationId xmlns:a16="http://schemas.microsoft.com/office/drawing/2014/main" id="{99037E71-9A3C-B8CF-469B-9A2AAA7F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0" name="Picture 670">
          <a:extLst>
            <a:ext uri="{FF2B5EF4-FFF2-40B4-BE49-F238E27FC236}">
              <a16:creationId xmlns:a16="http://schemas.microsoft.com/office/drawing/2014/main" id="{D68FAA33-509A-1FB0-D2BC-C81EB355B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1" name="Picture 671">
          <a:extLst>
            <a:ext uri="{FF2B5EF4-FFF2-40B4-BE49-F238E27FC236}">
              <a16:creationId xmlns:a16="http://schemas.microsoft.com/office/drawing/2014/main" id="{CC4E6733-3309-2167-4DC8-6997BFFA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2" name="Picture 672">
          <a:extLst>
            <a:ext uri="{FF2B5EF4-FFF2-40B4-BE49-F238E27FC236}">
              <a16:creationId xmlns:a16="http://schemas.microsoft.com/office/drawing/2014/main" id="{61D46860-530A-8D24-8C58-AEE1B7E03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73" name="Picture 673">
          <a:extLst>
            <a:ext uri="{FF2B5EF4-FFF2-40B4-BE49-F238E27FC236}">
              <a16:creationId xmlns:a16="http://schemas.microsoft.com/office/drawing/2014/main" id="{8A44AB7C-DBF2-BF0C-2C6B-CACDE4E5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74" name="Picture 674">
          <a:extLst>
            <a:ext uri="{FF2B5EF4-FFF2-40B4-BE49-F238E27FC236}">
              <a16:creationId xmlns:a16="http://schemas.microsoft.com/office/drawing/2014/main" id="{15858E10-9C46-FBE4-9EEB-99D272530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5" name="Picture 675">
          <a:extLst>
            <a:ext uri="{FF2B5EF4-FFF2-40B4-BE49-F238E27FC236}">
              <a16:creationId xmlns:a16="http://schemas.microsoft.com/office/drawing/2014/main" id="{5776B281-D763-A689-0921-CD91EF11D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6" name="Picture 676">
          <a:extLst>
            <a:ext uri="{FF2B5EF4-FFF2-40B4-BE49-F238E27FC236}">
              <a16:creationId xmlns:a16="http://schemas.microsoft.com/office/drawing/2014/main" id="{207D0A7E-8D49-F0D8-93D1-27F7564A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7" name="Picture 677">
          <a:extLst>
            <a:ext uri="{FF2B5EF4-FFF2-40B4-BE49-F238E27FC236}">
              <a16:creationId xmlns:a16="http://schemas.microsoft.com/office/drawing/2014/main" id="{E2B5E6F8-C4E2-AB9A-2584-76049351E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8" name="Picture 678">
          <a:extLst>
            <a:ext uri="{FF2B5EF4-FFF2-40B4-BE49-F238E27FC236}">
              <a16:creationId xmlns:a16="http://schemas.microsoft.com/office/drawing/2014/main" id="{05C75BBB-9324-69E7-AFA7-6CA613A3A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79" name="Picture 679">
          <a:extLst>
            <a:ext uri="{FF2B5EF4-FFF2-40B4-BE49-F238E27FC236}">
              <a16:creationId xmlns:a16="http://schemas.microsoft.com/office/drawing/2014/main" id="{87D0053B-B85C-05DE-E83C-EB3D3F634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0" name="Picture 680">
          <a:extLst>
            <a:ext uri="{FF2B5EF4-FFF2-40B4-BE49-F238E27FC236}">
              <a16:creationId xmlns:a16="http://schemas.microsoft.com/office/drawing/2014/main" id="{E117CCDF-F035-A798-8BFF-C0A85978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81" name="Picture 681">
          <a:extLst>
            <a:ext uri="{FF2B5EF4-FFF2-40B4-BE49-F238E27FC236}">
              <a16:creationId xmlns:a16="http://schemas.microsoft.com/office/drawing/2014/main" id="{3D476A11-08A7-7605-BE94-CD898E4A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82" name="Picture 682">
          <a:extLst>
            <a:ext uri="{FF2B5EF4-FFF2-40B4-BE49-F238E27FC236}">
              <a16:creationId xmlns:a16="http://schemas.microsoft.com/office/drawing/2014/main" id="{876CF362-E5F4-8F6E-0381-39CC3E33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83" name="Picture 683">
          <a:extLst>
            <a:ext uri="{FF2B5EF4-FFF2-40B4-BE49-F238E27FC236}">
              <a16:creationId xmlns:a16="http://schemas.microsoft.com/office/drawing/2014/main" id="{3F3C9F7C-66A2-58D1-A9BE-8E2D8EBA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4" name="Picture 684">
          <a:extLst>
            <a:ext uri="{FF2B5EF4-FFF2-40B4-BE49-F238E27FC236}">
              <a16:creationId xmlns:a16="http://schemas.microsoft.com/office/drawing/2014/main" id="{740EEFF9-9461-1BAA-489C-BAB04279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5" name="Picture 685">
          <a:extLst>
            <a:ext uri="{FF2B5EF4-FFF2-40B4-BE49-F238E27FC236}">
              <a16:creationId xmlns:a16="http://schemas.microsoft.com/office/drawing/2014/main" id="{96765797-9EBC-8469-BB4F-A1FF90B3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6" name="Picture 686">
          <a:extLst>
            <a:ext uri="{FF2B5EF4-FFF2-40B4-BE49-F238E27FC236}">
              <a16:creationId xmlns:a16="http://schemas.microsoft.com/office/drawing/2014/main" id="{9E450BB1-E71A-E0BF-426B-0A472069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7" name="Picture 687">
          <a:extLst>
            <a:ext uri="{FF2B5EF4-FFF2-40B4-BE49-F238E27FC236}">
              <a16:creationId xmlns:a16="http://schemas.microsoft.com/office/drawing/2014/main" id="{02A604A2-CA94-D7FD-54FA-FA65457F8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8" name="Picture 688">
          <a:extLst>
            <a:ext uri="{FF2B5EF4-FFF2-40B4-BE49-F238E27FC236}">
              <a16:creationId xmlns:a16="http://schemas.microsoft.com/office/drawing/2014/main" id="{5DBDEACA-0799-3CDE-5A39-764151057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89" name="Picture 689">
          <a:extLst>
            <a:ext uri="{FF2B5EF4-FFF2-40B4-BE49-F238E27FC236}">
              <a16:creationId xmlns:a16="http://schemas.microsoft.com/office/drawing/2014/main" id="{EAF189E7-4D97-E061-8E4F-907FE3CD2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90" name="Picture 690">
          <a:extLst>
            <a:ext uri="{FF2B5EF4-FFF2-40B4-BE49-F238E27FC236}">
              <a16:creationId xmlns:a16="http://schemas.microsoft.com/office/drawing/2014/main" id="{14E24053-2228-E2A8-6BFA-6D0FD0F4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91" name="Picture 691">
          <a:extLst>
            <a:ext uri="{FF2B5EF4-FFF2-40B4-BE49-F238E27FC236}">
              <a16:creationId xmlns:a16="http://schemas.microsoft.com/office/drawing/2014/main" id="{498D1EA2-EC12-80D7-9BB9-D2371984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2" name="Picture 692">
          <a:extLst>
            <a:ext uri="{FF2B5EF4-FFF2-40B4-BE49-F238E27FC236}">
              <a16:creationId xmlns:a16="http://schemas.microsoft.com/office/drawing/2014/main" id="{646D8BBC-852F-3381-B030-9B9A8CA2D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3" name="Picture 693">
          <a:extLst>
            <a:ext uri="{FF2B5EF4-FFF2-40B4-BE49-F238E27FC236}">
              <a16:creationId xmlns:a16="http://schemas.microsoft.com/office/drawing/2014/main" id="{C0DD7829-A4BB-972C-1F13-36E753C0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4" name="Picture 694">
          <a:extLst>
            <a:ext uri="{FF2B5EF4-FFF2-40B4-BE49-F238E27FC236}">
              <a16:creationId xmlns:a16="http://schemas.microsoft.com/office/drawing/2014/main" id="{4331D8AA-E772-3407-DAA3-DA3F60F2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5" name="Picture 695">
          <a:extLst>
            <a:ext uri="{FF2B5EF4-FFF2-40B4-BE49-F238E27FC236}">
              <a16:creationId xmlns:a16="http://schemas.microsoft.com/office/drawing/2014/main" id="{9E637868-9FD6-C1C3-01C4-28C3EC8B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6" name="Picture 696">
          <a:extLst>
            <a:ext uri="{FF2B5EF4-FFF2-40B4-BE49-F238E27FC236}">
              <a16:creationId xmlns:a16="http://schemas.microsoft.com/office/drawing/2014/main" id="{3AFE59F7-B47C-95A6-5310-E9DA51DB9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497" name="Picture 697">
          <a:extLst>
            <a:ext uri="{FF2B5EF4-FFF2-40B4-BE49-F238E27FC236}">
              <a16:creationId xmlns:a16="http://schemas.microsoft.com/office/drawing/2014/main" id="{B2AE0534-6DFA-131F-3BE1-CEEE7406E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98" name="Picture 698">
          <a:extLst>
            <a:ext uri="{FF2B5EF4-FFF2-40B4-BE49-F238E27FC236}">
              <a16:creationId xmlns:a16="http://schemas.microsoft.com/office/drawing/2014/main" id="{7E89AEE7-6EB7-ECC5-0B84-7130D85F1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499" name="Picture 699">
          <a:extLst>
            <a:ext uri="{FF2B5EF4-FFF2-40B4-BE49-F238E27FC236}">
              <a16:creationId xmlns:a16="http://schemas.microsoft.com/office/drawing/2014/main" id="{77A9AA85-2C13-F543-684F-F8012707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00" name="Picture 700">
          <a:extLst>
            <a:ext uri="{FF2B5EF4-FFF2-40B4-BE49-F238E27FC236}">
              <a16:creationId xmlns:a16="http://schemas.microsoft.com/office/drawing/2014/main" id="{DD6D60AA-A96F-4216-744C-04449B251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1" name="Picture 701">
          <a:extLst>
            <a:ext uri="{FF2B5EF4-FFF2-40B4-BE49-F238E27FC236}">
              <a16:creationId xmlns:a16="http://schemas.microsoft.com/office/drawing/2014/main" id="{B3AB9538-304B-A3DC-66BF-F1E8D31E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2" name="Picture 702">
          <a:extLst>
            <a:ext uri="{FF2B5EF4-FFF2-40B4-BE49-F238E27FC236}">
              <a16:creationId xmlns:a16="http://schemas.microsoft.com/office/drawing/2014/main" id="{F2EA6626-C5A9-6789-7A43-F4079AD7A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3" name="Picture 703">
          <a:extLst>
            <a:ext uri="{FF2B5EF4-FFF2-40B4-BE49-F238E27FC236}">
              <a16:creationId xmlns:a16="http://schemas.microsoft.com/office/drawing/2014/main" id="{01571BDB-E43D-9C81-D4AD-4A0BAA01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4" name="Picture 704">
          <a:extLst>
            <a:ext uri="{FF2B5EF4-FFF2-40B4-BE49-F238E27FC236}">
              <a16:creationId xmlns:a16="http://schemas.microsoft.com/office/drawing/2014/main" id="{5855EF97-AE23-2D5B-2911-9A6E12360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5" name="Picture 705">
          <a:extLst>
            <a:ext uri="{FF2B5EF4-FFF2-40B4-BE49-F238E27FC236}">
              <a16:creationId xmlns:a16="http://schemas.microsoft.com/office/drawing/2014/main" id="{1B4CB4EA-CF8E-43E3-2D83-E948A9BA0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6" name="Picture 706">
          <a:extLst>
            <a:ext uri="{FF2B5EF4-FFF2-40B4-BE49-F238E27FC236}">
              <a16:creationId xmlns:a16="http://schemas.microsoft.com/office/drawing/2014/main" id="{8468C0A9-449C-234C-68F8-ED5CFD281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07" name="Picture 707">
          <a:extLst>
            <a:ext uri="{FF2B5EF4-FFF2-40B4-BE49-F238E27FC236}">
              <a16:creationId xmlns:a16="http://schemas.microsoft.com/office/drawing/2014/main" id="{F4FF27E4-C74C-BA2A-0ABB-E8B4FFDF9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08" name="Picture 708">
          <a:extLst>
            <a:ext uri="{FF2B5EF4-FFF2-40B4-BE49-F238E27FC236}">
              <a16:creationId xmlns:a16="http://schemas.microsoft.com/office/drawing/2014/main" id="{E8892E37-C8F2-3203-414F-A8E7DEEC0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09" name="Picture 709">
          <a:extLst>
            <a:ext uri="{FF2B5EF4-FFF2-40B4-BE49-F238E27FC236}">
              <a16:creationId xmlns:a16="http://schemas.microsoft.com/office/drawing/2014/main" id="{91EC5FEE-612E-5E8B-26A1-3B48F509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0" name="Picture 710">
          <a:extLst>
            <a:ext uri="{FF2B5EF4-FFF2-40B4-BE49-F238E27FC236}">
              <a16:creationId xmlns:a16="http://schemas.microsoft.com/office/drawing/2014/main" id="{739F4737-29B8-5BA7-AF2A-DCBE1B200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1" name="Picture 711">
          <a:extLst>
            <a:ext uri="{FF2B5EF4-FFF2-40B4-BE49-F238E27FC236}">
              <a16:creationId xmlns:a16="http://schemas.microsoft.com/office/drawing/2014/main" id="{D5ED2FB3-56E6-5CCF-9CD4-A8BA5D12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2" name="Picture 712">
          <a:extLst>
            <a:ext uri="{FF2B5EF4-FFF2-40B4-BE49-F238E27FC236}">
              <a16:creationId xmlns:a16="http://schemas.microsoft.com/office/drawing/2014/main" id="{1286AE7B-062D-60FC-9CD7-836465A9F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3" name="Picture 713">
          <a:extLst>
            <a:ext uri="{FF2B5EF4-FFF2-40B4-BE49-F238E27FC236}">
              <a16:creationId xmlns:a16="http://schemas.microsoft.com/office/drawing/2014/main" id="{7B7D6D50-832D-7D40-B372-68E0ADC21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4" name="Picture 714">
          <a:extLst>
            <a:ext uri="{FF2B5EF4-FFF2-40B4-BE49-F238E27FC236}">
              <a16:creationId xmlns:a16="http://schemas.microsoft.com/office/drawing/2014/main" id="{2103AC12-6D50-952A-A2F1-B4979793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15" name="Picture 715">
          <a:extLst>
            <a:ext uri="{FF2B5EF4-FFF2-40B4-BE49-F238E27FC236}">
              <a16:creationId xmlns:a16="http://schemas.microsoft.com/office/drawing/2014/main" id="{492F1B4E-AEB5-2234-EC01-8D527BEC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16" name="Picture 716">
          <a:extLst>
            <a:ext uri="{FF2B5EF4-FFF2-40B4-BE49-F238E27FC236}">
              <a16:creationId xmlns:a16="http://schemas.microsoft.com/office/drawing/2014/main" id="{8BC14728-6F51-67E9-EDB6-B3584033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17" name="Picture 717">
          <a:extLst>
            <a:ext uri="{FF2B5EF4-FFF2-40B4-BE49-F238E27FC236}">
              <a16:creationId xmlns:a16="http://schemas.microsoft.com/office/drawing/2014/main" id="{78688804-CFB5-7DE7-78E1-3F602057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8" name="Picture 718">
          <a:extLst>
            <a:ext uri="{FF2B5EF4-FFF2-40B4-BE49-F238E27FC236}">
              <a16:creationId xmlns:a16="http://schemas.microsoft.com/office/drawing/2014/main" id="{9AA88FE8-B6C8-FD34-D60F-DCD609950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19" name="Picture 719">
          <a:extLst>
            <a:ext uri="{FF2B5EF4-FFF2-40B4-BE49-F238E27FC236}">
              <a16:creationId xmlns:a16="http://schemas.microsoft.com/office/drawing/2014/main" id="{777E1034-9CA5-2B1B-0B81-CF6C3C29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0" name="Picture 720">
          <a:extLst>
            <a:ext uri="{FF2B5EF4-FFF2-40B4-BE49-F238E27FC236}">
              <a16:creationId xmlns:a16="http://schemas.microsoft.com/office/drawing/2014/main" id="{4E03A8FA-440A-A660-3A33-0BCDE01D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1" name="Picture 721">
          <a:extLst>
            <a:ext uri="{FF2B5EF4-FFF2-40B4-BE49-F238E27FC236}">
              <a16:creationId xmlns:a16="http://schemas.microsoft.com/office/drawing/2014/main" id="{EBFADD70-5227-B8B3-C815-9B2BF855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2" name="Picture 722">
          <a:extLst>
            <a:ext uri="{FF2B5EF4-FFF2-40B4-BE49-F238E27FC236}">
              <a16:creationId xmlns:a16="http://schemas.microsoft.com/office/drawing/2014/main" id="{33646560-D93F-A988-5C6B-A82F4007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3" name="Picture 723">
          <a:extLst>
            <a:ext uri="{FF2B5EF4-FFF2-40B4-BE49-F238E27FC236}">
              <a16:creationId xmlns:a16="http://schemas.microsoft.com/office/drawing/2014/main" id="{4FDC66C7-FEE9-EFB8-5909-58D3C168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24" name="Picture 724">
          <a:extLst>
            <a:ext uri="{FF2B5EF4-FFF2-40B4-BE49-F238E27FC236}">
              <a16:creationId xmlns:a16="http://schemas.microsoft.com/office/drawing/2014/main" id="{4C333EF1-F260-CBAD-0EF7-4FFE5D4A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25" name="Picture 725">
          <a:extLst>
            <a:ext uri="{FF2B5EF4-FFF2-40B4-BE49-F238E27FC236}">
              <a16:creationId xmlns:a16="http://schemas.microsoft.com/office/drawing/2014/main" id="{EA579CC1-D1A7-35C9-6D0D-D4813A765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6" name="Picture 726">
          <a:extLst>
            <a:ext uri="{FF2B5EF4-FFF2-40B4-BE49-F238E27FC236}">
              <a16:creationId xmlns:a16="http://schemas.microsoft.com/office/drawing/2014/main" id="{A0BE80EF-A246-EAC6-DE14-EDFB8ADA1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7" name="Picture 727">
          <a:extLst>
            <a:ext uri="{FF2B5EF4-FFF2-40B4-BE49-F238E27FC236}">
              <a16:creationId xmlns:a16="http://schemas.microsoft.com/office/drawing/2014/main" id="{D48B66B6-7430-DA1A-B350-7223ECA8B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8" name="Picture 728">
          <a:extLst>
            <a:ext uri="{FF2B5EF4-FFF2-40B4-BE49-F238E27FC236}">
              <a16:creationId xmlns:a16="http://schemas.microsoft.com/office/drawing/2014/main" id="{1F6913A2-DCEA-AA11-5C2E-0927B28A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29" name="Picture 729">
          <a:extLst>
            <a:ext uri="{FF2B5EF4-FFF2-40B4-BE49-F238E27FC236}">
              <a16:creationId xmlns:a16="http://schemas.microsoft.com/office/drawing/2014/main" id="{30376BA2-8684-35CD-4434-B44E2BCC8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0" name="Picture 730">
          <a:extLst>
            <a:ext uri="{FF2B5EF4-FFF2-40B4-BE49-F238E27FC236}">
              <a16:creationId xmlns:a16="http://schemas.microsoft.com/office/drawing/2014/main" id="{4A3DC2A1-F866-D9F8-94C1-16CD4B04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1" name="Picture 731">
          <a:extLst>
            <a:ext uri="{FF2B5EF4-FFF2-40B4-BE49-F238E27FC236}">
              <a16:creationId xmlns:a16="http://schemas.microsoft.com/office/drawing/2014/main" id="{E6A2A219-0575-A735-F0B3-1D881A6C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32" name="Picture 732">
          <a:extLst>
            <a:ext uri="{FF2B5EF4-FFF2-40B4-BE49-F238E27FC236}">
              <a16:creationId xmlns:a16="http://schemas.microsoft.com/office/drawing/2014/main" id="{C54F7FC7-BD5B-1C25-72EF-49BA477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33" name="Picture 733">
          <a:extLst>
            <a:ext uri="{FF2B5EF4-FFF2-40B4-BE49-F238E27FC236}">
              <a16:creationId xmlns:a16="http://schemas.microsoft.com/office/drawing/2014/main" id="{0A7A3714-8C01-6093-0D1D-975645BD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34" name="Picture 734">
          <a:extLst>
            <a:ext uri="{FF2B5EF4-FFF2-40B4-BE49-F238E27FC236}">
              <a16:creationId xmlns:a16="http://schemas.microsoft.com/office/drawing/2014/main" id="{0BDE6DBE-9190-2314-33E1-EA9A29484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5" name="Picture 735">
          <a:extLst>
            <a:ext uri="{FF2B5EF4-FFF2-40B4-BE49-F238E27FC236}">
              <a16:creationId xmlns:a16="http://schemas.microsoft.com/office/drawing/2014/main" id="{C05E431F-A16E-C9F7-AA39-A0EE2755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6" name="Picture 736">
          <a:extLst>
            <a:ext uri="{FF2B5EF4-FFF2-40B4-BE49-F238E27FC236}">
              <a16:creationId xmlns:a16="http://schemas.microsoft.com/office/drawing/2014/main" id="{5D26C9EB-96A5-71FB-0826-94F95D571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7" name="Picture 737">
          <a:extLst>
            <a:ext uri="{FF2B5EF4-FFF2-40B4-BE49-F238E27FC236}">
              <a16:creationId xmlns:a16="http://schemas.microsoft.com/office/drawing/2014/main" id="{0B721464-B369-2D8C-AF91-A5723562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8" name="Picture 738">
          <a:extLst>
            <a:ext uri="{FF2B5EF4-FFF2-40B4-BE49-F238E27FC236}">
              <a16:creationId xmlns:a16="http://schemas.microsoft.com/office/drawing/2014/main" id="{B727F2E2-C436-552E-ACCB-606A3C6E9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39" name="Picture 739">
          <a:extLst>
            <a:ext uri="{FF2B5EF4-FFF2-40B4-BE49-F238E27FC236}">
              <a16:creationId xmlns:a16="http://schemas.microsoft.com/office/drawing/2014/main" id="{17D67B95-7038-8753-A252-44823DF97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0" name="Picture 740">
          <a:extLst>
            <a:ext uri="{FF2B5EF4-FFF2-40B4-BE49-F238E27FC236}">
              <a16:creationId xmlns:a16="http://schemas.microsoft.com/office/drawing/2014/main" id="{B1116D83-96CB-7658-6F20-F31DA25A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41" name="Picture 741">
          <a:extLst>
            <a:ext uri="{FF2B5EF4-FFF2-40B4-BE49-F238E27FC236}">
              <a16:creationId xmlns:a16="http://schemas.microsoft.com/office/drawing/2014/main" id="{07CCB9B6-F2FE-55FC-7DDA-D7C8A2DB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42" name="Picture 742">
          <a:extLst>
            <a:ext uri="{FF2B5EF4-FFF2-40B4-BE49-F238E27FC236}">
              <a16:creationId xmlns:a16="http://schemas.microsoft.com/office/drawing/2014/main" id="{95F2013F-01F2-1323-AFFF-78815F09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3" name="Picture 743">
          <a:extLst>
            <a:ext uri="{FF2B5EF4-FFF2-40B4-BE49-F238E27FC236}">
              <a16:creationId xmlns:a16="http://schemas.microsoft.com/office/drawing/2014/main" id="{BEFEB41A-29E7-3B4B-DFC5-152AC0A64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4" name="Picture 744">
          <a:extLst>
            <a:ext uri="{FF2B5EF4-FFF2-40B4-BE49-F238E27FC236}">
              <a16:creationId xmlns:a16="http://schemas.microsoft.com/office/drawing/2014/main" id="{ADFF1E7C-9421-FBD1-814B-B1E98FC9F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5" name="Picture 745">
          <a:extLst>
            <a:ext uri="{FF2B5EF4-FFF2-40B4-BE49-F238E27FC236}">
              <a16:creationId xmlns:a16="http://schemas.microsoft.com/office/drawing/2014/main" id="{CD766C1F-9A3E-D263-32A0-FAFA1E08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6" name="Picture 746">
          <a:extLst>
            <a:ext uri="{FF2B5EF4-FFF2-40B4-BE49-F238E27FC236}">
              <a16:creationId xmlns:a16="http://schemas.microsoft.com/office/drawing/2014/main" id="{FC608A31-636D-5960-7C34-C3A4F173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7" name="Picture 747">
          <a:extLst>
            <a:ext uri="{FF2B5EF4-FFF2-40B4-BE49-F238E27FC236}">
              <a16:creationId xmlns:a16="http://schemas.microsoft.com/office/drawing/2014/main" id="{D757EC05-55BC-0461-42E5-0044DCD2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48" name="Picture 748">
          <a:extLst>
            <a:ext uri="{FF2B5EF4-FFF2-40B4-BE49-F238E27FC236}">
              <a16:creationId xmlns:a16="http://schemas.microsoft.com/office/drawing/2014/main" id="{CB5D05ED-FFB0-FFCD-F378-1673731AD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49" name="Picture 749">
          <a:extLst>
            <a:ext uri="{FF2B5EF4-FFF2-40B4-BE49-F238E27FC236}">
              <a16:creationId xmlns:a16="http://schemas.microsoft.com/office/drawing/2014/main" id="{616756A1-44B7-2DE3-136E-B0602494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50" name="Picture 750">
          <a:extLst>
            <a:ext uri="{FF2B5EF4-FFF2-40B4-BE49-F238E27FC236}">
              <a16:creationId xmlns:a16="http://schemas.microsoft.com/office/drawing/2014/main" id="{206568B4-6D57-CB21-3F46-A7BB7233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51" name="Picture 751">
          <a:extLst>
            <a:ext uri="{FF2B5EF4-FFF2-40B4-BE49-F238E27FC236}">
              <a16:creationId xmlns:a16="http://schemas.microsoft.com/office/drawing/2014/main" id="{F1D093EA-2C29-F816-5098-C434FDD30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2" name="Picture 752">
          <a:extLst>
            <a:ext uri="{FF2B5EF4-FFF2-40B4-BE49-F238E27FC236}">
              <a16:creationId xmlns:a16="http://schemas.microsoft.com/office/drawing/2014/main" id="{D436CF24-D06A-1778-8510-DB62FEC9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3" name="Picture 753">
          <a:extLst>
            <a:ext uri="{FF2B5EF4-FFF2-40B4-BE49-F238E27FC236}">
              <a16:creationId xmlns:a16="http://schemas.microsoft.com/office/drawing/2014/main" id="{3742C9E6-A84C-A4C1-FA7F-AFF6228E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4" name="Picture 754">
          <a:extLst>
            <a:ext uri="{FF2B5EF4-FFF2-40B4-BE49-F238E27FC236}">
              <a16:creationId xmlns:a16="http://schemas.microsoft.com/office/drawing/2014/main" id="{15F16C8B-B7E7-A39F-3D72-900C05C8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5" name="Picture 755">
          <a:extLst>
            <a:ext uri="{FF2B5EF4-FFF2-40B4-BE49-F238E27FC236}">
              <a16:creationId xmlns:a16="http://schemas.microsoft.com/office/drawing/2014/main" id="{E21BECA6-E12E-E22A-167B-88723AB5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6" name="Picture 756">
          <a:extLst>
            <a:ext uri="{FF2B5EF4-FFF2-40B4-BE49-F238E27FC236}">
              <a16:creationId xmlns:a16="http://schemas.microsoft.com/office/drawing/2014/main" id="{D1ABA90F-8B7C-4206-AD1C-C7BBFB07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57" name="Picture 757">
          <a:extLst>
            <a:ext uri="{FF2B5EF4-FFF2-40B4-BE49-F238E27FC236}">
              <a16:creationId xmlns:a16="http://schemas.microsoft.com/office/drawing/2014/main" id="{384E0A78-B228-86C8-B03D-478DF7D49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58" name="Picture 758">
          <a:extLst>
            <a:ext uri="{FF2B5EF4-FFF2-40B4-BE49-F238E27FC236}">
              <a16:creationId xmlns:a16="http://schemas.microsoft.com/office/drawing/2014/main" id="{854D085C-C23D-8C7A-66F8-6D19E23E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59" name="Picture 759">
          <a:extLst>
            <a:ext uri="{FF2B5EF4-FFF2-40B4-BE49-F238E27FC236}">
              <a16:creationId xmlns:a16="http://schemas.microsoft.com/office/drawing/2014/main" id="{A39D9AC2-3E2F-7018-21D8-4AC99F05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0" name="Picture 760">
          <a:extLst>
            <a:ext uri="{FF2B5EF4-FFF2-40B4-BE49-F238E27FC236}">
              <a16:creationId xmlns:a16="http://schemas.microsoft.com/office/drawing/2014/main" id="{AB906E38-34D4-C8E1-A669-42F34899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1" name="Picture 761">
          <a:extLst>
            <a:ext uri="{FF2B5EF4-FFF2-40B4-BE49-F238E27FC236}">
              <a16:creationId xmlns:a16="http://schemas.microsoft.com/office/drawing/2014/main" id="{BE3B3241-6B10-3DC7-D2B9-5DC0F79F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2" name="Picture 762">
          <a:extLst>
            <a:ext uri="{FF2B5EF4-FFF2-40B4-BE49-F238E27FC236}">
              <a16:creationId xmlns:a16="http://schemas.microsoft.com/office/drawing/2014/main" id="{2F6C36E0-105B-F8EA-7520-8DD07BF2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3" name="Picture 763">
          <a:extLst>
            <a:ext uri="{FF2B5EF4-FFF2-40B4-BE49-F238E27FC236}">
              <a16:creationId xmlns:a16="http://schemas.microsoft.com/office/drawing/2014/main" id="{258FEF6E-273E-6F48-4AEC-4CE471AA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4" name="Picture 764">
          <a:extLst>
            <a:ext uri="{FF2B5EF4-FFF2-40B4-BE49-F238E27FC236}">
              <a16:creationId xmlns:a16="http://schemas.microsoft.com/office/drawing/2014/main" id="{61C4DFF1-3C50-86CB-6B8A-80FFA5CF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5" name="Picture 765">
          <a:extLst>
            <a:ext uri="{FF2B5EF4-FFF2-40B4-BE49-F238E27FC236}">
              <a16:creationId xmlns:a16="http://schemas.microsoft.com/office/drawing/2014/main" id="{9B939198-108F-68E6-7B53-72AACE7B5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66" name="Picture 766">
          <a:extLst>
            <a:ext uri="{FF2B5EF4-FFF2-40B4-BE49-F238E27FC236}">
              <a16:creationId xmlns:a16="http://schemas.microsoft.com/office/drawing/2014/main" id="{E68D5BE7-3965-46CC-AB90-57F90329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67" name="Picture 767">
          <a:extLst>
            <a:ext uri="{FF2B5EF4-FFF2-40B4-BE49-F238E27FC236}">
              <a16:creationId xmlns:a16="http://schemas.microsoft.com/office/drawing/2014/main" id="{AA790931-45BC-236D-BEA4-0F1E332CA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68" name="Picture 768">
          <a:extLst>
            <a:ext uri="{FF2B5EF4-FFF2-40B4-BE49-F238E27FC236}">
              <a16:creationId xmlns:a16="http://schemas.microsoft.com/office/drawing/2014/main" id="{78BFC564-350F-9800-EE40-48F22E2A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69" name="Picture 769">
          <a:extLst>
            <a:ext uri="{FF2B5EF4-FFF2-40B4-BE49-F238E27FC236}">
              <a16:creationId xmlns:a16="http://schemas.microsoft.com/office/drawing/2014/main" id="{D2F0F019-1A5B-C80C-4DFF-8E0091C5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0" name="Picture 770">
          <a:extLst>
            <a:ext uri="{FF2B5EF4-FFF2-40B4-BE49-F238E27FC236}">
              <a16:creationId xmlns:a16="http://schemas.microsoft.com/office/drawing/2014/main" id="{D6466BAC-145F-FC82-A72F-A2B7C0F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1" name="Picture 771">
          <a:extLst>
            <a:ext uri="{FF2B5EF4-FFF2-40B4-BE49-F238E27FC236}">
              <a16:creationId xmlns:a16="http://schemas.microsoft.com/office/drawing/2014/main" id="{0653FCAF-9D30-CAF4-8F08-573F6517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2" name="Picture 772">
          <a:extLst>
            <a:ext uri="{FF2B5EF4-FFF2-40B4-BE49-F238E27FC236}">
              <a16:creationId xmlns:a16="http://schemas.microsoft.com/office/drawing/2014/main" id="{BED74194-D1C3-7D02-B4BB-CC90404D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3" name="Picture 773">
          <a:extLst>
            <a:ext uri="{FF2B5EF4-FFF2-40B4-BE49-F238E27FC236}">
              <a16:creationId xmlns:a16="http://schemas.microsoft.com/office/drawing/2014/main" id="{1D9DFBF1-DFFD-891A-21EF-7DCE2D8A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4" name="Picture 774">
          <a:extLst>
            <a:ext uri="{FF2B5EF4-FFF2-40B4-BE49-F238E27FC236}">
              <a16:creationId xmlns:a16="http://schemas.microsoft.com/office/drawing/2014/main" id="{146CDF7F-4C01-8109-BB6C-E8B10401D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75" name="Picture 775">
          <a:extLst>
            <a:ext uri="{FF2B5EF4-FFF2-40B4-BE49-F238E27FC236}">
              <a16:creationId xmlns:a16="http://schemas.microsoft.com/office/drawing/2014/main" id="{4D638EE4-CF68-AE9B-4FA1-626940F5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76" name="Picture 776">
          <a:extLst>
            <a:ext uri="{FF2B5EF4-FFF2-40B4-BE49-F238E27FC236}">
              <a16:creationId xmlns:a16="http://schemas.microsoft.com/office/drawing/2014/main" id="{6473298C-EFDA-1452-AB9B-6F8335BCF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7" name="Picture 777">
          <a:extLst>
            <a:ext uri="{FF2B5EF4-FFF2-40B4-BE49-F238E27FC236}">
              <a16:creationId xmlns:a16="http://schemas.microsoft.com/office/drawing/2014/main" id="{8D4C4600-DEFA-1268-9E3B-A9D38F399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8" name="Picture 778">
          <a:extLst>
            <a:ext uri="{FF2B5EF4-FFF2-40B4-BE49-F238E27FC236}">
              <a16:creationId xmlns:a16="http://schemas.microsoft.com/office/drawing/2014/main" id="{4AC08BE5-B21C-F379-157F-8D2CA300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79" name="Picture 779">
          <a:extLst>
            <a:ext uri="{FF2B5EF4-FFF2-40B4-BE49-F238E27FC236}">
              <a16:creationId xmlns:a16="http://schemas.microsoft.com/office/drawing/2014/main" id="{CCE9C0C3-01FE-2C35-D52A-324131E21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0" name="Picture 780">
          <a:extLst>
            <a:ext uri="{FF2B5EF4-FFF2-40B4-BE49-F238E27FC236}">
              <a16:creationId xmlns:a16="http://schemas.microsoft.com/office/drawing/2014/main" id="{0920C59D-85C4-21D4-9D13-41406B7A9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1" name="Picture 781">
          <a:extLst>
            <a:ext uri="{FF2B5EF4-FFF2-40B4-BE49-F238E27FC236}">
              <a16:creationId xmlns:a16="http://schemas.microsoft.com/office/drawing/2014/main" id="{CCE32FE7-CFB6-64F0-7DEC-AECD1E9E6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2" name="Picture 782">
          <a:extLst>
            <a:ext uri="{FF2B5EF4-FFF2-40B4-BE49-F238E27FC236}">
              <a16:creationId xmlns:a16="http://schemas.microsoft.com/office/drawing/2014/main" id="{4D87660F-097B-4DE4-C441-1FB142C6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83" name="Picture 783">
          <a:extLst>
            <a:ext uri="{FF2B5EF4-FFF2-40B4-BE49-F238E27FC236}">
              <a16:creationId xmlns:a16="http://schemas.microsoft.com/office/drawing/2014/main" id="{35641671-2D3C-A3F0-B776-C09978D7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84" name="Picture 784">
          <a:extLst>
            <a:ext uri="{FF2B5EF4-FFF2-40B4-BE49-F238E27FC236}">
              <a16:creationId xmlns:a16="http://schemas.microsoft.com/office/drawing/2014/main" id="{470CF11F-4F12-25D8-146C-BAA463B0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85" name="Picture 785">
          <a:extLst>
            <a:ext uri="{FF2B5EF4-FFF2-40B4-BE49-F238E27FC236}">
              <a16:creationId xmlns:a16="http://schemas.microsoft.com/office/drawing/2014/main" id="{999D2828-737A-DC6D-E0BE-A7229E43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6" name="Picture 786">
          <a:extLst>
            <a:ext uri="{FF2B5EF4-FFF2-40B4-BE49-F238E27FC236}">
              <a16:creationId xmlns:a16="http://schemas.microsoft.com/office/drawing/2014/main" id="{F4DD9693-C504-6D46-5EF7-7934A3E4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7" name="Picture 787">
          <a:extLst>
            <a:ext uri="{FF2B5EF4-FFF2-40B4-BE49-F238E27FC236}">
              <a16:creationId xmlns:a16="http://schemas.microsoft.com/office/drawing/2014/main" id="{2E8C5C6A-8715-46F5-2AE9-30842D7D6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8" name="Picture 788">
          <a:extLst>
            <a:ext uri="{FF2B5EF4-FFF2-40B4-BE49-F238E27FC236}">
              <a16:creationId xmlns:a16="http://schemas.microsoft.com/office/drawing/2014/main" id="{04CC3D82-3692-FDF1-DD0F-1117E61E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89" name="Picture 789">
          <a:extLst>
            <a:ext uri="{FF2B5EF4-FFF2-40B4-BE49-F238E27FC236}">
              <a16:creationId xmlns:a16="http://schemas.microsoft.com/office/drawing/2014/main" id="{2A966017-553F-B3B4-4362-AB5CF99B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0" name="Picture 790">
          <a:extLst>
            <a:ext uri="{FF2B5EF4-FFF2-40B4-BE49-F238E27FC236}">
              <a16:creationId xmlns:a16="http://schemas.microsoft.com/office/drawing/2014/main" id="{79525E8F-F5F2-3EE5-2D74-AC059FE0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1" name="Picture 791">
          <a:extLst>
            <a:ext uri="{FF2B5EF4-FFF2-40B4-BE49-F238E27FC236}">
              <a16:creationId xmlns:a16="http://schemas.microsoft.com/office/drawing/2014/main" id="{5DE7975B-89DD-F00B-AEE0-33A05D9FE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92" name="Picture 792">
          <a:extLst>
            <a:ext uri="{FF2B5EF4-FFF2-40B4-BE49-F238E27FC236}">
              <a16:creationId xmlns:a16="http://schemas.microsoft.com/office/drawing/2014/main" id="{F8BB5ACF-B7A8-3DA4-3FA4-8790F0454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593" name="Picture 793">
          <a:extLst>
            <a:ext uri="{FF2B5EF4-FFF2-40B4-BE49-F238E27FC236}">
              <a16:creationId xmlns:a16="http://schemas.microsoft.com/office/drawing/2014/main" id="{9075089D-4CD3-94C6-D66A-381CC955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4" name="Picture 794">
          <a:extLst>
            <a:ext uri="{FF2B5EF4-FFF2-40B4-BE49-F238E27FC236}">
              <a16:creationId xmlns:a16="http://schemas.microsoft.com/office/drawing/2014/main" id="{0DD58D8C-E44E-8D6D-155E-9F10EFBE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5" name="Picture 795">
          <a:extLst>
            <a:ext uri="{FF2B5EF4-FFF2-40B4-BE49-F238E27FC236}">
              <a16:creationId xmlns:a16="http://schemas.microsoft.com/office/drawing/2014/main" id="{76A10C87-2D07-A940-9997-6F3117D9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6" name="Picture 796">
          <a:extLst>
            <a:ext uri="{FF2B5EF4-FFF2-40B4-BE49-F238E27FC236}">
              <a16:creationId xmlns:a16="http://schemas.microsoft.com/office/drawing/2014/main" id="{8C5601E9-1F5E-F1F7-3BE9-56C1ED02A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7" name="Picture 797">
          <a:extLst>
            <a:ext uri="{FF2B5EF4-FFF2-40B4-BE49-F238E27FC236}">
              <a16:creationId xmlns:a16="http://schemas.microsoft.com/office/drawing/2014/main" id="{A6CA755F-43E1-0189-5107-AD1CA31C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8" name="Picture 798">
          <a:extLst>
            <a:ext uri="{FF2B5EF4-FFF2-40B4-BE49-F238E27FC236}">
              <a16:creationId xmlns:a16="http://schemas.microsoft.com/office/drawing/2014/main" id="{7B7C90E0-D4CD-E8F8-11DF-5AE5C1A7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599" name="Picture 799">
          <a:extLst>
            <a:ext uri="{FF2B5EF4-FFF2-40B4-BE49-F238E27FC236}">
              <a16:creationId xmlns:a16="http://schemas.microsoft.com/office/drawing/2014/main" id="{344C6EB5-3DD0-72D5-8016-734FB90C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00" name="Picture 800">
          <a:extLst>
            <a:ext uri="{FF2B5EF4-FFF2-40B4-BE49-F238E27FC236}">
              <a16:creationId xmlns:a16="http://schemas.microsoft.com/office/drawing/2014/main" id="{2CFF444E-BD25-C20E-D99A-CE22449E0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01" name="Picture 801">
          <a:extLst>
            <a:ext uri="{FF2B5EF4-FFF2-40B4-BE49-F238E27FC236}">
              <a16:creationId xmlns:a16="http://schemas.microsoft.com/office/drawing/2014/main" id="{18BA4267-02E2-50DE-F697-39E1F337F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02" name="Picture 802">
          <a:extLst>
            <a:ext uri="{FF2B5EF4-FFF2-40B4-BE49-F238E27FC236}">
              <a16:creationId xmlns:a16="http://schemas.microsoft.com/office/drawing/2014/main" id="{61D0E4E5-CFF9-AAAB-B30D-23D28D073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3" name="Picture 803">
          <a:extLst>
            <a:ext uri="{FF2B5EF4-FFF2-40B4-BE49-F238E27FC236}">
              <a16:creationId xmlns:a16="http://schemas.microsoft.com/office/drawing/2014/main" id="{66B95BE5-F74E-4493-8ADD-7DB489A99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4" name="Picture 804">
          <a:extLst>
            <a:ext uri="{FF2B5EF4-FFF2-40B4-BE49-F238E27FC236}">
              <a16:creationId xmlns:a16="http://schemas.microsoft.com/office/drawing/2014/main" id="{22BAB5AA-A166-1898-A298-22FC54E21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5" name="Picture 805">
          <a:extLst>
            <a:ext uri="{FF2B5EF4-FFF2-40B4-BE49-F238E27FC236}">
              <a16:creationId xmlns:a16="http://schemas.microsoft.com/office/drawing/2014/main" id="{055E6326-B0E5-B2E7-1A2F-8F37A683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6" name="Picture 806">
          <a:extLst>
            <a:ext uri="{FF2B5EF4-FFF2-40B4-BE49-F238E27FC236}">
              <a16:creationId xmlns:a16="http://schemas.microsoft.com/office/drawing/2014/main" id="{DB6E9DE1-E886-F2CA-4066-DD362E26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7" name="Picture 807">
          <a:extLst>
            <a:ext uri="{FF2B5EF4-FFF2-40B4-BE49-F238E27FC236}">
              <a16:creationId xmlns:a16="http://schemas.microsoft.com/office/drawing/2014/main" id="{858DC767-D403-2BCB-FF22-A476833A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08" name="Picture 808">
          <a:extLst>
            <a:ext uri="{FF2B5EF4-FFF2-40B4-BE49-F238E27FC236}">
              <a16:creationId xmlns:a16="http://schemas.microsoft.com/office/drawing/2014/main" id="{17100DE8-1FD3-EA9E-562F-A3BBCD55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09" name="Picture 809">
          <a:extLst>
            <a:ext uri="{FF2B5EF4-FFF2-40B4-BE49-F238E27FC236}">
              <a16:creationId xmlns:a16="http://schemas.microsoft.com/office/drawing/2014/main" id="{70FD498A-C11D-C715-CC59-324A4B0B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10" name="Picture 810">
          <a:extLst>
            <a:ext uri="{FF2B5EF4-FFF2-40B4-BE49-F238E27FC236}">
              <a16:creationId xmlns:a16="http://schemas.microsoft.com/office/drawing/2014/main" id="{4C861CD3-2CCF-19D6-980E-003C83E7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1" name="Picture 811">
          <a:extLst>
            <a:ext uri="{FF2B5EF4-FFF2-40B4-BE49-F238E27FC236}">
              <a16:creationId xmlns:a16="http://schemas.microsoft.com/office/drawing/2014/main" id="{F059C7F4-15CC-4067-4259-D529FBEF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2" name="Picture 812">
          <a:extLst>
            <a:ext uri="{FF2B5EF4-FFF2-40B4-BE49-F238E27FC236}">
              <a16:creationId xmlns:a16="http://schemas.microsoft.com/office/drawing/2014/main" id="{F305AD21-FEDE-2281-E5DB-9A770509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3" name="Picture 813">
          <a:extLst>
            <a:ext uri="{FF2B5EF4-FFF2-40B4-BE49-F238E27FC236}">
              <a16:creationId xmlns:a16="http://schemas.microsoft.com/office/drawing/2014/main" id="{9D8B1736-8DED-2FB6-05FC-5274F880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4" name="Picture 814">
          <a:extLst>
            <a:ext uri="{FF2B5EF4-FFF2-40B4-BE49-F238E27FC236}">
              <a16:creationId xmlns:a16="http://schemas.microsoft.com/office/drawing/2014/main" id="{F9D7188C-1F91-34F8-B1A0-50FA52AE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5" name="Picture 815">
          <a:extLst>
            <a:ext uri="{FF2B5EF4-FFF2-40B4-BE49-F238E27FC236}">
              <a16:creationId xmlns:a16="http://schemas.microsoft.com/office/drawing/2014/main" id="{91B0CB25-6B9D-8A07-20F6-70BFA5978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16" name="Picture 816">
          <a:extLst>
            <a:ext uri="{FF2B5EF4-FFF2-40B4-BE49-F238E27FC236}">
              <a16:creationId xmlns:a16="http://schemas.microsoft.com/office/drawing/2014/main" id="{E33AA221-C551-228D-40BF-63B008BBD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17" name="Picture 817">
          <a:extLst>
            <a:ext uri="{FF2B5EF4-FFF2-40B4-BE49-F238E27FC236}">
              <a16:creationId xmlns:a16="http://schemas.microsoft.com/office/drawing/2014/main" id="{00F709F4-85BF-3813-84CB-CBDD95524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18" name="Picture 818">
          <a:extLst>
            <a:ext uri="{FF2B5EF4-FFF2-40B4-BE49-F238E27FC236}">
              <a16:creationId xmlns:a16="http://schemas.microsoft.com/office/drawing/2014/main" id="{4AE54BDD-69EE-A865-5919-A5882686E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19" name="Picture 819">
          <a:extLst>
            <a:ext uri="{FF2B5EF4-FFF2-40B4-BE49-F238E27FC236}">
              <a16:creationId xmlns:a16="http://schemas.microsoft.com/office/drawing/2014/main" id="{3F5AEA99-7750-DD7E-07C9-55359E66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0" name="Picture 820">
          <a:extLst>
            <a:ext uri="{FF2B5EF4-FFF2-40B4-BE49-F238E27FC236}">
              <a16:creationId xmlns:a16="http://schemas.microsoft.com/office/drawing/2014/main" id="{4CB12E0A-F5CA-B75B-A304-2966D91F5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1" name="Picture 821">
          <a:extLst>
            <a:ext uri="{FF2B5EF4-FFF2-40B4-BE49-F238E27FC236}">
              <a16:creationId xmlns:a16="http://schemas.microsoft.com/office/drawing/2014/main" id="{8B949CBD-9C76-09D6-6AB9-24F030EF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2" name="Picture 822">
          <a:extLst>
            <a:ext uri="{FF2B5EF4-FFF2-40B4-BE49-F238E27FC236}">
              <a16:creationId xmlns:a16="http://schemas.microsoft.com/office/drawing/2014/main" id="{6C57F4B8-1719-5D01-14F4-4A628DCD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3" name="Picture 823">
          <a:extLst>
            <a:ext uri="{FF2B5EF4-FFF2-40B4-BE49-F238E27FC236}">
              <a16:creationId xmlns:a16="http://schemas.microsoft.com/office/drawing/2014/main" id="{BDF5448D-56BF-3C10-DB82-526E6A65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4" name="Picture 824">
          <a:extLst>
            <a:ext uri="{FF2B5EF4-FFF2-40B4-BE49-F238E27FC236}">
              <a16:creationId xmlns:a16="http://schemas.microsoft.com/office/drawing/2014/main" id="{32B0AEFA-B87F-783F-BDE6-A01B9D4B1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5" name="Picture 825">
          <a:extLst>
            <a:ext uri="{FF2B5EF4-FFF2-40B4-BE49-F238E27FC236}">
              <a16:creationId xmlns:a16="http://schemas.microsoft.com/office/drawing/2014/main" id="{8D06B106-2A18-B560-BC36-03F7A4BB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26" name="Picture 826">
          <a:extLst>
            <a:ext uri="{FF2B5EF4-FFF2-40B4-BE49-F238E27FC236}">
              <a16:creationId xmlns:a16="http://schemas.microsoft.com/office/drawing/2014/main" id="{CB83F7AF-A393-C1C8-6225-845B14330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27" name="Picture 827">
          <a:extLst>
            <a:ext uri="{FF2B5EF4-FFF2-40B4-BE49-F238E27FC236}">
              <a16:creationId xmlns:a16="http://schemas.microsoft.com/office/drawing/2014/main" id="{5F5656C7-0976-CB6D-11B5-48498D19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8" name="Picture 828">
          <a:extLst>
            <a:ext uri="{FF2B5EF4-FFF2-40B4-BE49-F238E27FC236}">
              <a16:creationId xmlns:a16="http://schemas.microsoft.com/office/drawing/2014/main" id="{F85D4B42-320E-1F20-26B9-366219B6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29" name="Picture 829">
          <a:extLst>
            <a:ext uri="{FF2B5EF4-FFF2-40B4-BE49-F238E27FC236}">
              <a16:creationId xmlns:a16="http://schemas.microsoft.com/office/drawing/2014/main" id="{A5CB58D2-1B54-830A-C059-10808A8E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0" name="Picture 830">
          <a:extLst>
            <a:ext uri="{FF2B5EF4-FFF2-40B4-BE49-F238E27FC236}">
              <a16:creationId xmlns:a16="http://schemas.microsoft.com/office/drawing/2014/main" id="{422D1AFF-AFEC-A23F-CB1E-1FB047E72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1" name="Picture 831">
          <a:extLst>
            <a:ext uri="{FF2B5EF4-FFF2-40B4-BE49-F238E27FC236}">
              <a16:creationId xmlns:a16="http://schemas.microsoft.com/office/drawing/2014/main" id="{431E86AB-A9A5-5C6C-6106-461551A2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2" name="Picture 832">
          <a:extLst>
            <a:ext uri="{FF2B5EF4-FFF2-40B4-BE49-F238E27FC236}">
              <a16:creationId xmlns:a16="http://schemas.microsoft.com/office/drawing/2014/main" id="{31B202E4-2020-5AE8-1EDF-E0390964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3" name="Picture 833">
          <a:extLst>
            <a:ext uri="{FF2B5EF4-FFF2-40B4-BE49-F238E27FC236}">
              <a16:creationId xmlns:a16="http://schemas.microsoft.com/office/drawing/2014/main" id="{92B0B707-3F0E-E17B-45A5-F4A16680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34" name="Picture 834">
          <a:extLst>
            <a:ext uri="{FF2B5EF4-FFF2-40B4-BE49-F238E27FC236}">
              <a16:creationId xmlns:a16="http://schemas.microsoft.com/office/drawing/2014/main" id="{78A737DD-9DEC-F2BE-CC56-24098C697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35" name="Picture 835">
          <a:extLst>
            <a:ext uri="{FF2B5EF4-FFF2-40B4-BE49-F238E27FC236}">
              <a16:creationId xmlns:a16="http://schemas.microsoft.com/office/drawing/2014/main" id="{C61CE4B6-B91F-040E-A039-678438FAB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36" name="Picture 836">
          <a:extLst>
            <a:ext uri="{FF2B5EF4-FFF2-40B4-BE49-F238E27FC236}">
              <a16:creationId xmlns:a16="http://schemas.microsoft.com/office/drawing/2014/main" id="{D4EB8B98-F093-DBF7-0C8B-B92BF52F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7" name="Picture 837">
          <a:extLst>
            <a:ext uri="{FF2B5EF4-FFF2-40B4-BE49-F238E27FC236}">
              <a16:creationId xmlns:a16="http://schemas.microsoft.com/office/drawing/2014/main" id="{75440596-9054-9A1D-E9EC-5C9BBFAA0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8" name="Picture 838">
          <a:extLst>
            <a:ext uri="{FF2B5EF4-FFF2-40B4-BE49-F238E27FC236}">
              <a16:creationId xmlns:a16="http://schemas.microsoft.com/office/drawing/2014/main" id="{1A346A9B-1B25-C588-0C6C-AD4EFA6CA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39" name="Picture 839">
          <a:extLst>
            <a:ext uri="{FF2B5EF4-FFF2-40B4-BE49-F238E27FC236}">
              <a16:creationId xmlns:a16="http://schemas.microsoft.com/office/drawing/2014/main" id="{727E9BAB-F4AA-316A-C385-F11BA23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0" name="Picture 840">
          <a:extLst>
            <a:ext uri="{FF2B5EF4-FFF2-40B4-BE49-F238E27FC236}">
              <a16:creationId xmlns:a16="http://schemas.microsoft.com/office/drawing/2014/main" id="{BDF76D3C-55E9-F9E8-AE9B-25C509BE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1" name="Picture 841">
          <a:extLst>
            <a:ext uri="{FF2B5EF4-FFF2-40B4-BE49-F238E27FC236}">
              <a16:creationId xmlns:a16="http://schemas.microsoft.com/office/drawing/2014/main" id="{391A4774-6FE7-839C-F454-ADCAB26BD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2" name="Picture 842">
          <a:extLst>
            <a:ext uri="{FF2B5EF4-FFF2-40B4-BE49-F238E27FC236}">
              <a16:creationId xmlns:a16="http://schemas.microsoft.com/office/drawing/2014/main" id="{D5ED9BB4-ED98-470D-DBD5-927669D61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43" name="Picture 843">
          <a:extLst>
            <a:ext uri="{FF2B5EF4-FFF2-40B4-BE49-F238E27FC236}">
              <a16:creationId xmlns:a16="http://schemas.microsoft.com/office/drawing/2014/main" id="{37EE369B-C341-20F4-841E-81739079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44" name="Picture 844">
          <a:extLst>
            <a:ext uri="{FF2B5EF4-FFF2-40B4-BE49-F238E27FC236}">
              <a16:creationId xmlns:a16="http://schemas.microsoft.com/office/drawing/2014/main" id="{5C720A6B-8CB3-A67F-7815-98D61C82A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5" name="Picture 845">
          <a:extLst>
            <a:ext uri="{FF2B5EF4-FFF2-40B4-BE49-F238E27FC236}">
              <a16:creationId xmlns:a16="http://schemas.microsoft.com/office/drawing/2014/main" id="{2F6F7CAE-97A7-7A60-9F3E-7A728E0D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6" name="Picture 846">
          <a:extLst>
            <a:ext uri="{FF2B5EF4-FFF2-40B4-BE49-F238E27FC236}">
              <a16:creationId xmlns:a16="http://schemas.microsoft.com/office/drawing/2014/main" id="{5D2D9428-2354-6464-B725-524BAD1D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7" name="Picture 847">
          <a:extLst>
            <a:ext uri="{FF2B5EF4-FFF2-40B4-BE49-F238E27FC236}">
              <a16:creationId xmlns:a16="http://schemas.microsoft.com/office/drawing/2014/main" id="{FFEDD88F-7C5A-CC1F-3DCE-51BAC876B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8" name="Picture 848">
          <a:extLst>
            <a:ext uri="{FF2B5EF4-FFF2-40B4-BE49-F238E27FC236}">
              <a16:creationId xmlns:a16="http://schemas.microsoft.com/office/drawing/2014/main" id="{51AA9639-3EF4-9C99-651A-7DC5EAB85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49" name="Picture 849">
          <a:extLst>
            <a:ext uri="{FF2B5EF4-FFF2-40B4-BE49-F238E27FC236}">
              <a16:creationId xmlns:a16="http://schemas.microsoft.com/office/drawing/2014/main" id="{4819DE77-C804-5447-D902-2E7200744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0" name="Picture 850">
          <a:extLst>
            <a:ext uri="{FF2B5EF4-FFF2-40B4-BE49-F238E27FC236}">
              <a16:creationId xmlns:a16="http://schemas.microsoft.com/office/drawing/2014/main" id="{63A36688-9004-BDA0-6505-1B34EB047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51" name="Picture 851">
          <a:extLst>
            <a:ext uri="{FF2B5EF4-FFF2-40B4-BE49-F238E27FC236}">
              <a16:creationId xmlns:a16="http://schemas.microsoft.com/office/drawing/2014/main" id="{1C90E55C-500E-11E0-36AA-09E16C7E4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52" name="Picture 852">
          <a:extLst>
            <a:ext uri="{FF2B5EF4-FFF2-40B4-BE49-F238E27FC236}">
              <a16:creationId xmlns:a16="http://schemas.microsoft.com/office/drawing/2014/main" id="{FD3AD58B-7797-AE31-1F00-F8C45EC5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53" name="Picture 853">
          <a:extLst>
            <a:ext uri="{FF2B5EF4-FFF2-40B4-BE49-F238E27FC236}">
              <a16:creationId xmlns:a16="http://schemas.microsoft.com/office/drawing/2014/main" id="{7AF702D0-A00A-EB17-09D0-4AC7BBC3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4" name="Picture 854">
          <a:extLst>
            <a:ext uri="{FF2B5EF4-FFF2-40B4-BE49-F238E27FC236}">
              <a16:creationId xmlns:a16="http://schemas.microsoft.com/office/drawing/2014/main" id="{50987827-F11B-1751-F793-501AEDBB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5" name="Picture 855">
          <a:extLst>
            <a:ext uri="{FF2B5EF4-FFF2-40B4-BE49-F238E27FC236}">
              <a16:creationId xmlns:a16="http://schemas.microsoft.com/office/drawing/2014/main" id="{2E98A5DE-B98F-C202-5639-1930F70C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6" name="Picture 856">
          <a:extLst>
            <a:ext uri="{FF2B5EF4-FFF2-40B4-BE49-F238E27FC236}">
              <a16:creationId xmlns:a16="http://schemas.microsoft.com/office/drawing/2014/main" id="{B57E9775-C533-7E7E-F759-68230217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7" name="Picture 857">
          <a:extLst>
            <a:ext uri="{FF2B5EF4-FFF2-40B4-BE49-F238E27FC236}">
              <a16:creationId xmlns:a16="http://schemas.microsoft.com/office/drawing/2014/main" id="{E61BAA12-B45B-867F-C2BA-04AC5F9A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8" name="Picture 858">
          <a:extLst>
            <a:ext uri="{FF2B5EF4-FFF2-40B4-BE49-F238E27FC236}">
              <a16:creationId xmlns:a16="http://schemas.microsoft.com/office/drawing/2014/main" id="{8CD0BFF9-D9B9-A149-E690-93AD25D57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59" name="Picture 859">
          <a:extLst>
            <a:ext uri="{FF2B5EF4-FFF2-40B4-BE49-F238E27FC236}">
              <a16:creationId xmlns:a16="http://schemas.microsoft.com/office/drawing/2014/main" id="{24CFE4AF-5E53-24CB-025C-CA959644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60" name="Picture 860">
          <a:extLst>
            <a:ext uri="{FF2B5EF4-FFF2-40B4-BE49-F238E27FC236}">
              <a16:creationId xmlns:a16="http://schemas.microsoft.com/office/drawing/2014/main" id="{1505F725-F3CB-60E5-30E0-61CBD1C2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61" name="Picture 861">
          <a:extLst>
            <a:ext uri="{FF2B5EF4-FFF2-40B4-BE49-F238E27FC236}">
              <a16:creationId xmlns:a16="http://schemas.microsoft.com/office/drawing/2014/main" id="{712C4077-3B8C-9627-711E-8CFE2A6C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2" name="Picture 862">
          <a:extLst>
            <a:ext uri="{FF2B5EF4-FFF2-40B4-BE49-F238E27FC236}">
              <a16:creationId xmlns:a16="http://schemas.microsoft.com/office/drawing/2014/main" id="{F271DDC0-DC86-E17A-87FB-D10ABFF5B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3" name="Picture 863">
          <a:extLst>
            <a:ext uri="{FF2B5EF4-FFF2-40B4-BE49-F238E27FC236}">
              <a16:creationId xmlns:a16="http://schemas.microsoft.com/office/drawing/2014/main" id="{FAF56944-2BD0-29A3-2F46-84BC652D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4" name="Picture 864">
          <a:extLst>
            <a:ext uri="{FF2B5EF4-FFF2-40B4-BE49-F238E27FC236}">
              <a16:creationId xmlns:a16="http://schemas.microsoft.com/office/drawing/2014/main" id="{846D9215-65A8-9360-A703-E5FCBD50D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5" name="Picture 865">
          <a:extLst>
            <a:ext uri="{FF2B5EF4-FFF2-40B4-BE49-F238E27FC236}">
              <a16:creationId xmlns:a16="http://schemas.microsoft.com/office/drawing/2014/main" id="{6A388FD3-84CC-936C-06EE-2297B876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6" name="Picture 866">
          <a:extLst>
            <a:ext uri="{FF2B5EF4-FFF2-40B4-BE49-F238E27FC236}">
              <a16:creationId xmlns:a16="http://schemas.microsoft.com/office/drawing/2014/main" id="{7211C8DC-64B7-95C9-8A88-275519D9C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67" name="Picture 867">
          <a:extLst>
            <a:ext uri="{FF2B5EF4-FFF2-40B4-BE49-F238E27FC236}">
              <a16:creationId xmlns:a16="http://schemas.microsoft.com/office/drawing/2014/main" id="{3AA0417E-91E7-CB16-5183-C74613B8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68" name="Picture 868">
          <a:extLst>
            <a:ext uri="{FF2B5EF4-FFF2-40B4-BE49-F238E27FC236}">
              <a16:creationId xmlns:a16="http://schemas.microsoft.com/office/drawing/2014/main" id="{CDE5A43A-47D5-FDBE-5BE6-A5BB6DB2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69" name="Picture 869">
          <a:extLst>
            <a:ext uri="{FF2B5EF4-FFF2-40B4-BE49-F238E27FC236}">
              <a16:creationId xmlns:a16="http://schemas.microsoft.com/office/drawing/2014/main" id="{FD0591B5-28F5-B9DD-D518-1E5C9545B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70" name="Picture 870">
          <a:extLst>
            <a:ext uri="{FF2B5EF4-FFF2-40B4-BE49-F238E27FC236}">
              <a16:creationId xmlns:a16="http://schemas.microsoft.com/office/drawing/2014/main" id="{31409059-55D4-8241-067F-44A7BE61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1" name="Picture 871">
          <a:extLst>
            <a:ext uri="{FF2B5EF4-FFF2-40B4-BE49-F238E27FC236}">
              <a16:creationId xmlns:a16="http://schemas.microsoft.com/office/drawing/2014/main" id="{743F2D34-6B2A-6AF9-7B89-5AFBC213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2" name="Picture 872">
          <a:extLst>
            <a:ext uri="{FF2B5EF4-FFF2-40B4-BE49-F238E27FC236}">
              <a16:creationId xmlns:a16="http://schemas.microsoft.com/office/drawing/2014/main" id="{818B740B-2EBC-02F2-55DF-504D9797B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3" name="Picture 873">
          <a:extLst>
            <a:ext uri="{FF2B5EF4-FFF2-40B4-BE49-F238E27FC236}">
              <a16:creationId xmlns:a16="http://schemas.microsoft.com/office/drawing/2014/main" id="{FF62AB30-309A-8F03-8E45-B3DEB1418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4" name="Picture 874">
          <a:extLst>
            <a:ext uri="{FF2B5EF4-FFF2-40B4-BE49-F238E27FC236}">
              <a16:creationId xmlns:a16="http://schemas.microsoft.com/office/drawing/2014/main" id="{A39BA031-A166-128B-28A9-7D0110866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5" name="Picture 875">
          <a:extLst>
            <a:ext uri="{FF2B5EF4-FFF2-40B4-BE49-F238E27FC236}">
              <a16:creationId xmlns:a16="http://schemas.microsoft.com/office/drawing/2014/main" id="{5F8949FA-6089-4379-B688-CF3AB1A9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6" name="Picture 876">
          <a:extLst>
            <a:ext uri="{FF2B5EF4-FFF2-40B4-BE49-F238E27FC236}">
              <a16:creationId xmlns:a16="http://schemas.microsoft.com/office/drawing/2014/main" id="{9819639B-BA64-8739-4ED1-98DC023E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77" name="Picture 877">
          <a:extLst>
            <a:ext uri="{FF2B5EF4-FFF2-40B4-BE49-F238E27FC236}">
              <a16:creationId xmlns:a16="http://schemas.microsoft.com/office/drawing/2014/main" id="{1C357A10-5091-B208-3F27-B2366696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78" name="Picture 878">
          <a:extLst>
            <a:ext uri="{FF2B5EF4-FFF2-40B4-BE49-F238E27FC236}">
              <a16:creationId xmlns:a16="http://schemas.microsoft.com/office/drawing/2014/main" id="{724E2462-9096-7F32-C1E4-EB8DD83D4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79" name="Picture 879">
          <a:extLst>
            <a:ext uri="{FF2B5EF4-FFF2-40B4-BE49-F238E27FC236}">
              <a16:creationId xmlns:a16="http://schemas.microsoft.com/office/drawing/2014/main" id="{2209C8CF-94C1-6FFA-FF07-929DFA48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0" name="Picture 880">
          <a:extLst>
            <a:ext uri="{FF2B5EF4-FFF2-40B4-BE49-F238E27FC236}">
              <a16:creationId xmlns:a16="http://schemas.microsoft.com/office/drawing/2014/main" id="{CD949F0F-41FC-5240-4BF6-C1C75AAA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1" name="Picture 881">
          <a:extLst>
            <a:ext uri="{FF2B5EF4-FFF2-40B4-BE49-F238E27FC236}">
              <a16:creationId xmlns:a16="http://schemas.microsoft.com/office/drawing/2014/main" id="{BD2940B6-955F-F949-14F5-EFCA049CB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2" name="Picture 882">
          <a:extLst>
            <a:ext uri="{FF2B5EF4-FFF2-40B4-BE49-F238E27FC236}">
              <a16:creationId xmlns:a16="http://schemas.microsoft.com/office/drawing/2014/main" id="{27F3BEC1-49A9-38F3-A43A-B952BC0E3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3" name="Picture 883">
          <a:extLst>
            <a:ext uri="{FF2B5EF4-FFF2-40B4-BE49-F238E27FC236}">
              <a16:creationId xmlns:a16="http://schemas.microsoft.com/office/drawing/2014/main" id="{1DF7E62E-D792-D3AB-D49A-B45A4A14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4" name="Picture 884">
          <a:extLst>
            <a:ext uri="{FF2B5EF4-FFF2-40B4-BE49-F238E27FC236}">
              <a16:creationId xmlns:a16="http://schemas.microsoft.com/office/drawing/2014/main" id="{DCE5D984-6271-94A3-DAFA-98917E48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85" name="Picture 885">
          <a:extLst>
            <a:ext uri="{FF2B5EF4-FFF2-40B4-BE49-F238E27FC236}">
              <a16:creationId xmlns:a16="http://schemas.microsoft.com/office/drawing/2014/main" id="{3B5F0AEC-BA3C-5CC0-3143-8BDAAF49E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86" name="Picture 886">
          <a:extLst>
            <a:ext uri="{FF2B5EF4-FFF2-40B4-BE49-F238E27FC236}">
              <a16:creationId xmlns:a16="http://schemas.microsoft.com/office/drawing/2014/main" id="{0EB05989-0589-44A8-4BA8-D1FAA3BD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87" name="Picture 887">
          <a:extLst>
            <a:ext uri="{FF2B5EF4-FFF2-40B4-BE49-F238E27FC236}">
              <a16:creationId xmlns:a16="http://schemas.microsoft.com/office/drawing/2014/main" id="{D1353BE1-52F2-4ADA-85F5-31B623F6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8" name="Picture 888">
          <a:extLst>
            <a:ext uri="{FF2B5EF4-FFF2-40B4-BE49-F238E27FC236}">
              <a16:creationId xmlns:a16="http://schemas.microsoft.com/office/drawing/2014/main" id="{C47B096B-54F8-7927-FEEE-BC694C55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89" name="Picture 889">
          <a:extLst>
            <a:ext uri="{FF2B5EF4-FFF2-40B4-BE49-F238E27FC236}">
              <a16:creationId xmlns:a16="http://schemas.microsoft.com/office/drawing/2014/main" id="{4C41DBA4-A8F4-6215-42AC-78E84CCF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0" name="Picture 890">
          <a:extLst>
            <a:ext uri="{FF2B5EF4-FFF2-40B4-BE49-F238E27FC236}">
              <a16:creationId xmlns:a16="http://schemas.microsoft.com/office/drawing/2014/main" id="{2BDE8F6F-45D5-3291-4226-0EBFA17A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1" name="Picture 891">
          <a:extLst>
            <a:ext uri="{FF2B5EF4-FFF2-40B4-BE49-F238E27FC236}">
              <a16:creationId xmlns:a16="http://schemas.microsoft.com/office/drawing/2014/main" id="{723A2323-4EDF-C5EC-3332-88A97C13F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2" name="Picture 892">
          <a:extLst>
            <a:ext uri="{FF2B5EF4-FFF2-40B4-BE49-F238E27FC236}">
              <a16:creationId xmlns:a16="http://schemas.microsoft.com/office/drawing/2014/main" id="{982CE77B-0AC4-9236-C825-67EF2A265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3" name="Picture 893">
          <a:extLst>
            <a:ext uri="{FF2B5EF4-FFF2-40B4-BE49-F238E27FC236}">
              <a16:creationId xmlns:a16="http://schemas.microsoft.com/office/drawing/2014/main" id="{CC04563F-89D9-8D6B-9F2A-A2AE88DF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94" name="Picture 894">
          <a:extLst>
            <a:ext uri="{FF2B5EF4-FFF2-40B4-BE49-F238E27FC236}">
              <a16:creationId xmlns:a16="http://schemas.microsoft.com/office/drawing/2014/main" id="{F0EE462E-F624-50FC-2C57-8488E590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695" name="Picture 895">
          <a:extLst>
            <a:ext uri="{FF2B5EF4-FFF2-40B4-BE49-F238E27FC236}">
              <a16:creationId xmlns:a16="http://schemas.microsoft.com/office/drawing/2014/main" id="{F8D44DE3-AF54-D646-50BD-1BAD02A9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6" name="Picture 896">
          <a:extLst>
            <a:ext uri="{FF2B5EF4-FFF2-40B4-BE49-F238E27FC236}">
              <a16:creationId xmlns:a16="http://schemas.microsoft.com/office/drawing/2014/main" id="{F3774A20-CE1B-AE36-4DE1-D8407A46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7" name="Picture 897">
          <a:extLst>
            <a:ext uri="{FF2B5EF4-FFF2-40B4-BE49-F238E27FC236}">
              <a16:creationId xmlns:a16="http://schemas.microsoft.com/office/drawing/2014/main" id="{FA22E054-0636-6F79-CF16-E1C99083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8" name="Picture 898">
          <a:extLst>
            <a:ext uri="{FF2B5EF4-FFF2-40B4-BE49-F238E27FC236}">
              <a16:creationId xmlns:a16="http://schemas.microsoft.com/office/drawing/2014/main" id="{1522C611-B751-F07A-C5B3-02A8BA44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699" name="Picture 899">
          <a:extLst>
            <a:ext uri="{FF2B5EF4-FFF2-40B4-BE49-F238E27FC236}">
              <a16:creationId xmlns:a16="http://schemas.microsoft.com/office/drawing/2014/main" id="{3840C524-1504-3F97-DCA5-512258A2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0" name="Picture 900">
          <a:extLst>
            <a:ext uri="{FF2B5EF4-FFF2-40B4-BE49-F238E27FC236}">
              <a16:creationId xmlns:a16="http://schemas.microsoft.com/office/drawing/2014/main" id="{511CB1CC-2094-EBE9-9B0F-95BB93C5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1" name="Picture 901">
          <a:extLst>
            <a:ext uri="{FF2B5EF4-FFF2-40B4-BE49-F238E27FC236}">
              <a16:creationId xmlns:a16="http://schemas.microsoft.com/office/drawing/2014/main" id="{A3BC0F26-0BDB-8AC9-3993-2D7CF11E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02" name="Picture 902">
          <a:extLst>
            <a:ext uri="{FF2B5EF4-FFF2-40B4-BE49-F238E27FC236}">
              <a16:creationId xmlns:a16="http://schemas.microsoft.com/office/drawing/2014/main" id="{D181A619-880F-220A-D9E1-408808B6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03" name="Picture 903">
          <a:extLst>
            <a:ext uri="{FF2B5EF4-FFF2-40B4-BE49-F238E27FC236}">
              <a16:creationId xmlns:a16="http://schemas.microsoft.com/office/drawing/2014/main" id="{3C09002B-CCB1-7902-74B9-1E3676F6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04" name="Picture 904">
          <a:extLst>
            <a:ext uri="{FF2B5EF4-FFF2-40B4-BE49-F238E27FC236}">
              <a16:creationId xmlns:a16="http://schemas.microsoft.com/office/drawing/2014/main" id="{A5248C95-A8A5-C88F-3180-971D9D229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5" name="Picture 905">
          <a:extLst>
            <a:ext uri="{FF2B5EF4-FFF2-40B4-BE49-F238E27FC236}">
              <a16:creationId xmlns:a16="http://schemas.microsoft.com/office/drawing/2014/main" id="{9960903A-2DBA-13AD-EF72-4F30D3C9D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6" name="Picture 906">
          <a:extLst>
            <a:ext uri="{FF2B5EF4-FFF2-40B4-BE49-F238E27FC236}">
              <a16:creationId xmlns:a16="http://schemas.microsoft.com/office/drawing/2014/main" id="{ECF2A437-DA82-9428-CBD6-0A766CA9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7" name="Picture 907">
          <a:extLst>
            <a:ext uri="{FF2B5EF4-FFF2-40B4-BE49-F238E27FC236}">
              <a16:creationId xmlns:a16="http://schemas.microsoft.com/office/drawing/2014/main" id="{79C151FE-3737-5331-3B66-53AC97AC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8" name="Picture 908">
          <a:extLst>
            <a:ext uri="{FF2B5EF4-FFF2-40B4-BE49-F238E27FC236}">
              <a16:creationId xmlns:a16="http://schemas.microsoft.com/office/drawing/2014/main" id="{D3217F7E-A192-C8C1-2CE0-CC78A9842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09" name="Picture 909">
          <a:extLst>
            <a:ext uri="{FF2B5EF4-FFF2-40B4-BE49-F238E27FC236}">
              <a16:creationId xmlns:a16="http://schemas.microsoft.com/office/drawing/2014/main" id="{FA69538A-A51A-6B89-A7EF-6C593BA5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0" name="Picture 910">
          <a:extLst>
            <a:ext uri="{FF2B5EF4-FFF2-40B4-BE49-F238E27FC236}">
              <a16:creationId xmlns:a16="http://schemas.microsoft.com/office/drawing/2014/main" id="{4CFB2385-E0BE-F79B-B452-E9A6D46E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11" name="Picture 911">
          <a:extLst>
            <a:ext uri="{FF2B5EF4-FFF2-40B4-BE49-F238E27FC236}">
              <a16:creationId xmlns:a16="http://schemas.microsoft.com/office/drawing/2014/main" id="{BA64D535-2915-8CC2-B47B-665D7BBD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12" name="Picture 912">
          <a:extLst>
            <a:ext uri="{FF2B5EF4-FFF2-40B4-BE49-F238E27FC236}">
              <a16:creationId xmlns:a16="http://schemas.microsoft.com/office/drawing/2014/main" id="{CF8F3880-3BDA-3340-C0AE-7E9CB9BF4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3" name="Picture 913">
          <a:extLst>
            <a:ext uri="{FF2B5EF4-FFF2-40B4-BE49-F238E27FC236}">
              <a16:creationId xmlns:a16="http://schemas.microsoft.com/office/drawing/2014/main" id="{09A04AEE-8203-DF29-BCC3-B6416162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4" name="Picture 914">
          <a:extLst>
            <a:ext uri="{FF2B5EF4-FFF2-40B4-BE49-F238E27FC236}">
              <a16:creationId xmlns:a16="http://schemas.microsoft.com/office/drawing/2014/main" id="{CDA3DA3F-A8B9-A42D-20B7-8EAFA3282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5" name="Picture 915">
          <a:extLst>
            <a:ext uri="{FF2B5EF4-FFF2-40B4-BE49-F238E27FC236}">
              <a16:creationId xmlns:a16="http://schemas.microsoft.com/office/drawing/2014/main" id="{921D1290-017A-550D-BD39-227540CB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6" name="Picture 916">
          <a:extLst>
            <a:ext uri="{FF2B5EF4-FFF2-40B4-BE49-F238E27FC236}">
              <a16:creationId xmlns:a16="http://schemas.microsoft.com/office/drawing/2014/main" id="{B8608EE0-CCBC-2579-A4BA-5AFB0BD5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7" name="Picture 917">
          <a:extLst>
            <a:ext uri="{FF2B5EF4-FFF2-40B4-BE49-F238E27FC236}">
              <a16:creationId xmlns:a16="http://schemas.microsoft.com/office/drawing/2014/main" id="{15EBFF63-4647-7C02-3AAA-42B4DFABA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18" name="Picture 918">
          <a:extLst>
            <a:ext uri="{FF2B5EF4-FFF2-40B4-BE49-F238E27FC236}">
              <a16:creationId xmlns:a16="http://schemas.microsoft.com/office/drawing/2014/main" id="{B4CAAEBB-078C-D0C8-039B-57899FEFE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19" name="Picture 919">
          <a:extLst>
            <a:ext uri="{FF2B5EF4-FFF2-40B4-BE49-F238E27FC236}">
              <a16:creationId xmlns:a16="http://schemas.microsoft.com/office/drawing/2014/main" id="{7E232ACB-B64D-469A-DA22-3DFACAB5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20" name="Picture 920">
          <a:extLst>
            <a:ext uri="{FF2B5EF4-FFF2-40B4-BE49-F238E27FC236}">
              <a16:creationId xmlns:a16="http://schemas.microsoft.com/office/drawing/2014/main" id="{EA589AB8-B51C-56E5-0217-80EBE82F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21" name="Picture 921">
          <a:extLst>
            <a:ext uri="{FF2B5EF4-FFF2-40B4-BE49-F238E27FC236}">
              <a16:creationId xmlns:a16="http://schemas.microsoft.com/office/drawing/2014/main" id="{ACD390FF-0128-6397-3331-1128BA2D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2" name="Picture 922">
          <a:extLst>
            <a:ext uri="{FF2B5EF4-FFF2-40B4-BE49-F238E27FC236}">
              <a16:creationId xmlns:a16="http://schemas.microsoft.com/office/drawing/2014/main" id="{930CCA92-DE56-D320-8D9F-8FAA7999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3" name="Picture 923">
          <a:extLst>
            <a:ext uri="{FF2B5EF4-FFF2-40B4-BE49-F238E27FC236}">
              <a16:creationId xmlns:a16="http://schemas.microsoft.com/office/drawing/2014/main" id="{9C13005F-77D3-E728-46C2-11A6DF96E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4" name="Picture 924">
          <a:extLst>
            <a:ext uri="{FF2B5EF4-FFF2-40B4-BE49-F238E27FC236}">
              <a16:creationId xmlns:a16="http://schemas.microsoft.com/office/drawing/2014/main" id="{F2B22335-61ED-AB27-AE8A-AC72D58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5" name="Picture 925">
          <a:extLst>
            <a:ext uri="{FF2B5EF4-FFF2-40B4-BE49-F238E27FC236}">
              <a16:creationId xmlns:a16="http://schemas.microsoft.com/office/drawing/2014/main" id="{73FCF7EC-E6DA-E6D6-9234-3E134BB5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6" name="Picture 926">
          <a:extLst>
            <a:ext uri="{FF2B5EF4-FFF2-40B4-BE49-F238E27FC236}">
              <a16:creationId xmlns:a16="http://schemas.microsoft.com/office/drawing/2014/main" id="{CEED7444-327F-2B5E-9534-CD7D2779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27" name="Picture 927">
          <a:extLst>
            <a:ext uri="{FF2B5EF4-FFF2-40B4-BE49-F238E27FC236}">
              <a16:creationId xmlns:a16="http://schemas.microsoft.com/office/drawing/2014/main" id="{9DB007EF-8B8C-32F7-6739-3752DBEA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28" name="Picture 928">
          <a:extLst>
            <a:ext uri="{FF2B5EF4-FFF2-40B4-BE49-F238E27FC236}">
              <a16:creationId xmlns:a16="http://schemas.microsoft.com/office/drawing/2014/main" id="{2888616A-0E4E-4D6A-56D5-8FD1B442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29" name="Picture 929">
          <a:extLst>
            <a:ext uri="{FF2B5EF4-FFF2-40B4-BE49-F238E27FC236}">
              <a16:creationId xmlns:a16="http://schemas.microsoft.com/office/drawing/2014/main" id="{953A7C12-171B-19EC-1CFE-3F8E3230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0" name="Picture 930">
          <a:extLst>
            <a:ext uri="{FF2B5EF4-FFF2-40B4-BE49-F238E27FC236}">
              <a16:creationId xmlns:a16="http://schemas.microsoft.com/office/drawing/2014/main" id="{ACBE6F2E-86F8-637A-001F-EA05D42B4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1" name="Picture 931">
          <a:extLst>
            <a:ext uri="{FF2B5EF4-FFF2-40B4-BE49-F238E27FC236}">
              <a16:creationId xmlns:a16="http://schemas.microsoft.com/office/drawing/2014/main" id="{92467D17-2EB8-3A38-7100-16C4983B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2" name="Picture 932">
          <a:extLst>
            <a:ext uri="{FF2B5EF4-FFF2-40B4-BE49-F238E27FC236}">
              <a16:creationId xmlns:a16="http://schemas.microsoft.com/office/drawing/2014/main" id="{B0B8EB72-F510-1961-0D74-ECAD955BA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3" name="Picture 933">
          <a:extLst>
            <a:ext uri="{FF2B5EF4-FFF2-40B4-BE49-F238E27FC236}">
              <a16:creationId xmlns:a16="http://schemas.microsoft.com/office/drawing/2014/main" id="{1010DF7C-E884-8585-5753-0F9934F0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4" name="Picture 934">
          <a:extLst>
            <a:ext uri="{FF2B5EF4-FFF2-40B4-BE49-F238E27FC236}">
              <a16:creationId xmlns:a16="http://schemas.microsoft.com/office/drawing/2014/main" id="{1A327183-45C6-FF75-27C2-C45AB7E5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5" name="Picture 935">
          <a:extLst>
            <a:ext uri="{FF2B5EF4-FFF2-40B4-BE49-F238E27FC236}">
              <a16:creationId xmlns:a16="http://schemas.microsoft.com/office/drawing/2014/main" id="{67901D24-D1A9-8C8E-672A-40B3BAFE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36" name="Picture 936">
          <a:extLst>
            <a:ext uri="{FF2B5EF4-FFF2-40B4-BE49-F238E27FC236}">
              <a16:creationId xmlns:a16="http://schemas.microsoft.com/office/drawing/2014/main" id="{8FF63308-802F-B6E4-1D7F-EFA7AB1A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37" name="Picture 937">
          <a:extLst>
            <a:ext uri="{FF2B5EF4-FFF2-40B4-BE49-F238E27FC236}">
              <a16:creationId xmlns:a16="http://schemas.microsoft.com/office/drawing/2014/main" id="{CF511506-1A11-AE53-5BEA-1F038739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38" name="Picture 938">
          <a:extLst>
            <a:ext uri="{FF2B5EF4-FFF2-40B4-BE49-F238E27FC236}">
              <a16:creationId xmlns:a16="http://schemas.microsoft.com/office/drawing/2014/main" id="{A7AD531D-8890-4278-C9C2-F6DE8DA9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39" name="Picture 939">
          <a:extLst>
            <a:ext uri="{FF2B5EF4-FFF2-40B4-BE49-F238E27FC236}">
              <a16:creationId xmlns:a16="http://schemas.microsoft.com/office/drawing/2014/main" id="{8105AE85-B1F7-5E9E-F6DB-5D9B3C7C9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0" name="Picture 940">
          <a:extLst>
            <a:ext uri="{FF2B5EF4-FFF2-40B4-BE49-F238E27FC236}">
              <a16:creationId xmlns:a16="http://schemas.microsoft.com/office/drawing/2014/main" id="{1AAC80B4-01BB-20F1-D566-7D986C4AD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1" name="Picture 941">
          <a:extLst>
            <a:ext uri="{FF2B5EF4-FFF2-40B4-BE49-F238E27FC236}">
              <a16:creationId xmlns:a16="http://schemas.microsoft.com/office/drawing/2014/main" id="{25522AE8-3C58-98D5-DE4B-0CADC0CF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2" name="Picture 942">
          <a:extLst>
            <a:ext uri="{FF2B5EF4-FFF2-40B4-BE49-F238E27FC236}">
              <a16:creationId xmlns:a16="http://schemas.microsoft.com/office/drawing/2014/main" id="{033757AE-A20A-7E52-0EF7-6DFDA27C3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3" name="Picture 943">
          <a:extLst>
            <a:ext uri="{FF2B5EF4-FFF2-40B4-BE49-F238E27FC236}">
              <a16:creationId xmlns:a16="http://schemas.microsoft.com/office/drawing/2014/main" id="{A2263F46-0B59-AF77-3BCC-0F4B8F915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4" name="Picture 944">
          <a:extLst>
            <a:ext uri="{FF2B5EF4-FFF2-40B4-BE49-F238E27FC236}">
              <a16:creationId xmlns:a16="http://schemas.microsoft.com/office/drawing/2014/main" id="{63288DB7-51F2-9052-45E6-A2E520605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45" name="Picture 945">
          <a:extLst>
            <a:ext uri="{FF2B5EF4-FFF2-40B4-BE49-F238E27FC236}">
              <a16:creationId xmlns:a16="http://schemas.microsoft.com/office/drawing/2014/main" id="{C3B0C6E9-6F3C-789F-9283-D6EEC746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46" name="Picture 946">
          <a:extLst>
            <a:ext uri="{FF2B5EF4-FFF2-40B4-BE49-F238E27FC236}">
              <a16:creationId xmlns:a16="http://schemas.microsoft.com/office/drawing/2014/main" id="{41A516D7-8ADA-7873-51F2-47905849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7" name="Picture 947">
          <a:extLst>
            <a:ext uri="{FF2B5EF4-FFF2-40B4-BE49-F238E27FC236}">
              <a16:creationId xmlns:a16="http://schemas.microsoft.com/office/drawing/2014/main" id="{1562D72E-4509-2491-27E6-C70854F6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8" name="Picture 948">
          <a:extLst>
            <a:ext uri="{FF2B5EF4-FFF2-40B4-BE49-F238E27FC236}">
              <a16:creationId xmlns:a16="http://schemas.microsoft.com/office/drawing/2014/main" id="{FC460098-334F-C8A2-013E-1E6F0C5D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49" name="Picture 949">
          <a:extLst>
            <a:ext uri="{FF2B5EF4-FFF2-40B4-BE49-F238E27FC236}">
              <a16:creationId xmlns:a16="http://schemas.microsoft.com/office/drawing/2014/main" id="{E00A862F-8242-2868-CB1C-36BADB48F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0" name="Picture 950">
          <a:extLst>
            <a:ext uri="{FF2B5EF4-FFF2-40B4-BE49-F238E27FC236}">
              <a16:creationId xmlns:a16="http://schemas.microsoft.com/office/drawing/2014/main" id="{2A9D7091-D287-E778-4157-954B71A9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1" name="Picture 951">
          <a:extLst>
            <a:ext uri="{FF2B5EF4-FFF2-40B4-BE49-F238E27FC236}">
              <a16:creationId xmlns:a16="http://schemas.microsoft.com/office/drawing/2014/main" id="{C361AAB2-B0C5-EE8E-3EAC-B782E811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2" name="Picture 952">
          <a:extLst>
            <a:ext uri="{FF2B5EF4-FFF2-40B4-BE49-F238E27FC236}">
              <a16:creationId xmlns:a16="http://schemas.microsoft.com/office/drawing/2014/main" id="{EB5B3093-AB78-DCED-4D10-B737D19F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53" name="Picture 953">
          <a:extLst>
            <a:ext uri="{FF2B5EF4-FFF2-40B4-BE49-F238E27FC236}">
              <a16:creationId xmlns:a16="http://schemas.microsoft.com/office/drawing/2014/main" id="{85513A88-CA94-D958-F301-4C13ED8E7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54" name="Picture 954">
          <a:extLst>
            <a:ext uri="{FF2B5EF4-FFF2-40B4-BE49-F238E27FC236}">
              <a16:creationId xmlns:a16="http://schemas.microsoft.com/office/drawing/2014/main" id="{ADEA5030-EA9D-2352-DCAB-E3C8C355A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55" name="Picture 955">
          <a:extLst>
            <a:ext uri="{FF2B5EF4-FFF2-40B4-BE49-F238E27FC236}">
              <a16:creationId xmlns:a16="http://schemas.microsoft.com/office/drawing/2014/main" id="{14C6F1AB-BBDA-267E-EB8B-B1A3F5BB5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6" name="Picture 956">
          <a:extLst>
            <a:ext uri="{FF2B5EF4-FFF2-40B4-BE49-F238E27FC236}">
              <a16:creationId xmlns:a16="http://schemas.microsoft.com/office/drawing/2014/main" id="{F490A742-B971-E835-80AB-3978C1B5F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7" name="Picture 957">
          <a:extLst>
            <a:ext uri="{FF2B5EF4-FFF2-40B4-BE49-F238E27FC236}">
              <a16:creationId xmlns:a16="http://schemas.microsoft.com/office/drawing/2014/main" id="{012F2CDD-5382-9430-1B45-10FC9EBE0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8" name="Picture 958">
          <a:extLst>
            <a:ext uri="{FF2B5EF4-FFF2-40B4-BE49-F238E27FC236}">
              <a16:creationId xmlns:a16="http://schemas.microsoft.com/office/drawing/2014/main" id="{6541E0C2-82BA-A11A-6D20-655EBB8EB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59" name="Picture 959">
          <a:extLst>
            <a:ext uri="{FF2B5EF4-FFF2-40B4-BE49-F238E27FC236}">
              <a16:creationId xmlns:a16="http://schemas.microsoft.com/office/drawing/2014/main" id="{83F23865-474B-4DCD-D551-03887954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0" name="Picture 960">
          <a:extLst>
            <a:ext uri="{FF2B5EF4-FFF2-40B4-BE49-F238E27FC236}">
              <a16:creationId xmlns:a16="http://schemas.microsoft.com/office/drawing/2014/main" id="{63E889BC-C560-D4E8-CF28-51C0E263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1" name="Picture 961">
          <a:extLst>
            <a:ext uri="{FF2B5EF4-FFF2-40B4-BE49-F238E27FC236}">
              <a16:creationId xmlns:a16="http://schemas.microsoft.com/office/drawing/2014/main" id="{1C76D891-230A-8AE1-CE52-5A85B2DC5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62" name="Picture 962">
          <a:extLst>
            <a:ext uri="{FF2B5EF4-FFF2-40B4-BE49-F238E27FC236}">
              <a16:creationId xmlns:a16="http://schemas.microsoft.com/office/drawing/2014/main" id="{D79F2C46-8BA9-80AB-7A37-2E7B3D84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63" name="Picture 963">
          <a:extLst>
            <a:ext uri="{FF2B5EF4-FFF2-40B4-BE49-F238E27FC236}">
              <a16:creationId xmlns:a16="http://schemas.microsoft.com/office/drawing/2014/main" id="{8AAB5FDD-95AD-DCB2-A4B6-AF8CC32D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4" name="Picture 964">
          <a:extLst>
            <a:ext uri="{FF2B5EF4-FFF2-40B4-BE49-F238E27FC236}">
              <a16:creationId xmlns:a16="http://schemas.microsoft.com/office/drawing/2014/main" id="{39263939-6008-7DDF-D873-78E1E0E1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5" name="Picture 965">
          <a:extLst>
            <a:ext uri="{FF2B5EF4-FFF2-40B4-BE49-F238E27FC236}">
              <a16:creationId xmlns:a16="http://schemas.microsoft.com/office/drawing/2014/main" id="{C6AA89A7-CDF9-71D7-D752-89CC6E3B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6" name="Picture 966">
          <a:extLst>
            <a:ext uri="{FF2B5EF4-FFF2-40B4-BE49-F238E27FC236}">
              <a16:creationId xmlns:a16="http://schemas.microsoft.com/office/drawing/2014/main" id="{3B3A1A8F-4CDF-3DB2-278F-1BE7F8BB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7" name="Picture 967">
          <a:extLst>
            <a:ext uri="{FF2B5EF4-FFF2-40B4-BE49-F238E27FC236}">
              <a16:creationId xmlns:a16="http://schemas.microsoft.com/office/drawing/2014/main" id="{188EC98F-6C9B-D995-50F3-56A3E4E8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8" name="Picture 968">
          <a:extLst>
            <a:ext uri="{FF2B5EF4-FFF2-40B4-BE49-F238E27FC236}">
              <a16:creationId xmlns:a16="http://schemas.microsoft.com/office/drawing/2014/main" id="{A04FE26D-2ABA-0810-7AEE-59E749C66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69" name="Picture 969">
          <a:extLst>
            <a:ext uri="{FF2B5EF4-FFF2-40B4-BE49-F238E27FC236}">
              <a16:creationId xmlns:a16="http://schemas.microsoft.com/office/drawing/2014/main" id="{46A106BE-FD13-5CC3-E7B3-8440169A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70" name="Picture 970">
          <a:extLst>
            <a:ext uri="{FF2B5EF4-FFF2-40B4-BE49-F238E27FC236}">
              <a16:creationId xmlns:a16="http://schemas.microsoft.com/office/drawing/2014/main" id="{3E4D082C-4DC5-00BC-4291-BCA78181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71" name="Picture 971">
          <a:extLst>
            <a:ext uri="{FF2B5EF4-FFF2-40B4-BE49-F238E27FC236}">
              <a16:creationId xmlns:a16="http://schemas.microsoft.com/office/drawing/2014/main" id="{99A03568-41CC-3EAC-EA62-F0394FC0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72" name="Picture 972">
          <a:extLst>
            <a:ext uri="{FF2B5EF4-FFF2-40B4-BE49-F238E27FC236}">
              <a16:creationId xmlns:a16="http://schemas.microsoft.com/office/drawing/2014/main" id="{8E1CC3AB-61CC-588D-38E3-CDEAAA60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3" name="Picture 973">
          <a:extLst>
            <a:ext uri="{FF2B5EF4-FFF2-40B4-BE49-F238E27FC236}">
              <a16:creationId xmlns:a16="http://schemas.microsoft.com/office/drawing/2014/main" id="{E9BFFC6D-56F6-9545-5D2C-2B6AB32CF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4" name="Picture 974">
          <a:extLst>
            <a:ext uri="{FF2B5EF4-FFF2-40B4-BE49-F238E27FC236}">
              <a16:creationId xmlns:a16="http://schemas.microsoft.com/office/drawing/2014/main" id="{F3908315-A552-4F27-2667-2BE377D0C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5" name="Picture 975">
          <a:extLst>
            <a:ext uri="{FF2B5EF4-FFF2-40B4-BE49-F238E27FC236}">
              <a16:creationId xmlns:a16="http://schemas.microsoft.com/office/drawing/2014/main" id="{CE2C46A3-0887-E99D-D23F-531D359F6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6" name="Picture 976">
          <a:extLst>
            <a:ext uri="{FF2B5EF4-FFF2-40B4-BE49-F238E27FC236}">
              <a16:creationId xmlns:a16="http://schemas.microsoft.com/office/drawing/2014/main" id="{E27F70CC-D461-35D3-F25E-C9D7204D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7" name="Picture 977">
          <a:extLst>
            <a:ext uri="{FF2B5EF4-FFF2-40B4-BE49-F238E27FC236}">
              <a16:creationId xmlns:a16="http://schemas.microsoft.com/office/drawing/2014/main" id="{9B7B34D5-29F8-8FDC-B2CE-002C79635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78" name="Picture 978">
          <a:extLst>
            <a:ext uri="{FF2B5EF4-FFF2-40B4-BE49-F238E27FC236}">
              <a16:creationId xmlns:a16="http://schemas.microsoft.com/office/drawing/2014/main" id="{5E2F0C3B-F205-6DCA-6666-2BDA0E7BB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79" name="Picture 979">
          <a:extLst>
            <a:ext uri="{FF2B5EF4-FFF2-40B4-BE49-F238E27FC236}">
              <a16:creationId xmlns:a16="http://schemas.microsoft.com/office/drawing/2014/main" id="{E19B22B8-75B5-79D9-DA60-6652EAA2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80" name="Picture 980">
          <a:extLst>
            <a:ext uri="{FF2B5EF4-FFF2-40B4-BE49-F238E27FC236}">
              <a16:creationId xmlns:a16="http://schemas.microsoft.com/office/drawing/2014/main" id="{7A092D4C-BE09-AB6D-B2AE-65A3BCAA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1" name="Picture 981">
          <a:extLst>
            <a:ext uri="{FF2B5EF4-FFF2-40B4-BE49-F238E27FC236}">
              <a16:creationId xmlns:a16="http://schemas.microsoft.com/office/drawing/2014/main" id="{5515C6C5-81AF-6FE3-0766-7AA3ABCD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2" name="Picture 982">
          <a:extLst>
            <a:ext uri="{FF2B5EF4-FFF2-40B4-BE49-F238E27FC236}">
              <a16:creationId xmlns:a16="http://schemas.microsoft.com/office/drawing/2014/main" id="{6407998D-95B2-30D1-3551-8377224F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3" name="Picture 983">
          <a:extLst>
            <a:ext uri="{FF2B5EF4-FFF2-40B4-BE49-F238E27FC236}">
              <a16:creationId xmlns:a16="http://schemas.microsoft.com/office/drawing/2014/main" id="{5CD35F5A-F459-17C4-F353-B765F74A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4" name="Picture 984">
          <a:extLst>
            <a:ext uri="{FF2B5EF4-FFF2-40B4-BE49-F238E27FC236}">
              <a16:creationId xmlns:a16="http://schemas.microsoft.com/office/drawing/2014/main" id="{4E590317-E5A4-FEB1-A2BB-739D5288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5" name="Picture 985">
          <a:extLst>
            <a:ext uri="{FF2B5EF4-FFF2-40B4-BE49-F238E27FC236}">
              <a16:creationId xmlns:a16="http://schemas.microsoft.com/office/drawing/2014/main" id="{E0BC760C-4166-D6BA-564A-E8A7A117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86" name="Picture 986">
          <a:extLst>
            <a:ext uri="{FF2B5EF4-FFF2-40B4-BE49-F238E27FC236}">
              <a16:creationId xmlns:a16="http://schemas.microsoft.com/office/drawing/2014/main" id="{C565F044-B449-11F5-791E-C59F8C09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87" name="Picture 987">
          <a:extLst>
            <a:ext uri="{FF2B5EF4-FFF2-40B4-BE49-F238E27FC236}">
              <a16:creationId xmlns:a16="http://schemas.microsoft.com/office/drawing/2014/main" id="{35523F51-30A9-0ED0-5D9E-21C637F9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88" name="Picture 988">
          <a:extLst>
            <a:ext uri="{FF2B5EF4-FFF2-40B4-BE49-F238E27FC236}">
              <a16:creationId xmlns:a16="http://schemas.microsoft.com/office/drawing/2014/main" id="{35418358-0B42-6CAB-7732-660DCD6F8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89" name="Picture 989">
          <a:extLst>
            <a:ext uri="{FF2B5EF4-FFF2-40B4-BE49-F238E27FC236}">
              <a16:creationId xmlns:a16="http://schemas.microsoft.com/office/drawing/2014/main" id="{BE564F73-0DEA-DFE3-55DB-D642589F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0" name="Picture 990">
          <a:extLst>
            <a:ext uri="{FF2B5EF4-FFF2-40B4-BE49-F238E27FC236}">
              <a16:creationId xmlns:a16="http://schemas.microsoft.com/office/drawing/2014/main" id="{94430D57-B4C5-200F-0B03-0CE5BA2A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1" name="Picture 991">
          <a:extLst>
            <a:ext uri="{FF2B5EF4-FFF2-40B4-BE49-F238E27FC236}">
              <a16:creationId xmlns:a16="http://schemas.microsoft.com/office/drawing/2014/main" id="{4F423ACA-99FA-DF5F-7523-FFF62E1CB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2" name="Picture 992">
          <a:extLst>
            <a:ext uri="{FF2B5EF4-FFF2-40B4-BE49-F238E27FC236}">
              <a16:creationId xmlns:a16="http://schemas.microsoft.com/office/drawing/2014/main" id="{DAFF9D1C-BE01-D9EB-EA0D-A3D84CF50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3" name="Picture 993">
          <a:extLst>
            <a:ext uri="{FF2B5EF4-FFF2-40B4-BE49-F238E27FC236}">
              <a16:creationId xmlns:a16="http://schemas.microsoft.com/office/drawing/2014/main" id="{1C1AF751-4672-8611-66F7-41A9413D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4" name="Picture 994">
          <a:extLst>
            <a:ext uri="{FF2B5EF4-FFF2-40B4-BE49-F238E27FC236}">
              <a16:creationId xmlns:a16="http://schemas.microsoft.com/office/drawing/2014/main" id="{9555D6FE-0683-8DD0-0855-9B60C982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5" name="Picture 995">
          <a:extLst>
            <a:ext uri="{FF2B5EF4-FFF2-40B4-BE49-F238E27FC236}">
              <a16:creationId xmlns:a16="http://schemas.microsoft.com/office/drawing/2014/main" id="{E51FF865-E8A6-B5DB-463A-86AF64F5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96" name="Picture 996">
          <a:extLst>
            <a:ext uri="{FF2B5EF4-FFF2-40B4-BE49-F238E27FC236}">
              <a16:creationId xmlns:a16="http://schemas.microsoft.com/office/drawing/2014/main" id="{2C17534E-0BC4-2355-1BE1-FCF9E2A45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797" name="Picture 997">
          <a:extLst>
            <a:ext uri="{FF2B5EF4-FFF2-40B4-BE49-F238E27FC236}">
              <a16:creationId xmlns:a16="http://schemas.microsoft.com/office/drawing/2014/main" id="{C64FC86C-D866-70DA-B648-8CB9BBAB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8" name="Picture 998">
          <a:extLst>
            <a:ext uri="{FF2B5EF4-FFF2-40B4-BE49-F238E27FC236}">
              <a16:creationId xmlns:a16="http://schemas.microsoft.com/office/drawing/2014/main" id="{7E789577-2A6D-51E6-A286-B5DDB5786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799" name="Picture 999">
          <a:extLst>
            <a:ext uri="{FF2B5EF4-FFF2-40B4-BE49-F238E27FC236}">
              <a16:creationId xmlns:a16="http://schemas.microsoft.com/office/drawing/2014/main" id="{97A416B9-8D6B-EBEF-CE24-BF56314D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0" name="Picture 1000">
          <a:extLst>
            <a:ext uri="{FF2B5EF4-FFF2-40B4-BE49-F238E27FC236}">
              <a16:creationId xmlns:a16="http://schemas.microsoft.com/office/drawing/2014/main" id="{3646584E-C871-15B8-8A6E-F59C1A37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1" name="Picture 1001">
          <a:extLst>
            <a:ext uri="{FF2B5EF4-FFF2-40B4-BE49-F238E27FC236}">
              <a16:creationId xmlns:a16="http://schemas.microsoft.com/office/drawing/2014/main" id="{2720DC47-FD1B-91C1-026B-050B18AE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2" name="Picture 1002">
          <a:extLst>
            <a:ext uri="{FF2B5EF4-FFF2-40B4-BE49-F238E27FC236}">
              <a16:creationId xmlns:a16="http://schemas.microsoft.com/office/drawing/2014/main" id="{0ABE9B19-0400-66DA-BAEF-8B6BDAB9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3" name="Picture 1003">
          <a:extLst>
            <a:ext uri="{FF2B5EF4-FFF2-40B4-BE49-F238E27FC236}">
              <a16:creationId xmlns:a16="http://schemas.microsoft.com/office/drawing/2014/main" id="{3E214F31-798A-C90A-EDF9-AD7EE3D55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804" name="Picture 1004">
          <a:extLst>
            <a:ext uri="{FF2B5EF4-FFF2-40B4-BE49-F238E27FC236}">
              <a16:creationId xmlns:a16="http://schemas.microsoft.com/office/drawing/2014/main" id="{323A8628-2ED1-2069-CAA1-22EF367F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805" name="Picture 1005">
          <a:extLst>
            <a:ext uri="{FF2B5EF4-FFF2-40B4-BE49-F238E27FC236}">
              <a16:creationId xmlns:a16="http://schemas.microsoft.com/office/drawing/2014/main" id="{4CE862B1-1146-DF0B-9865-B916105FD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806" name="Picture 1006">
          <a:extLst>
            <a:ext uri="{FF2B5EF4-FFF2-40B4-BE49-F238E27FC236}">
              <a16:creationId xmlns:a16="http://schemas.microsoft.com/office/drawing/2014/main" id="{48F41A3B-37BE-5D14-F6A4-AB5D8A08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7" name="Picture 1007">
          <a:extLst>
            <a:ext uri="{FF2B5EF4-FFF2-40B4-BE49-F238E27FC236}">
              <a16:creationId xmlns:a16="http://schemas.microsoft.com/office/drawing/2014/main" id="{FA0042FE-FF93-2FEB-A462-ECBE4667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8" name="Picture 1008">
          <a:extLst>
            <a:ext uri="{FF2B5EF4-FFF2-40B4-BE49-F238E27FC236}">
              <a16:creationId xmlns:a16="http://schemas.microsoft.com/office/drawing/2014/main" id="{F785DC83-6B21-53E2-F452-81FA5CC4D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09" name="Picture 1009">
          <a:extLst>
            <a:ext uri="{FF2B5EF4-FFF2-40B4-BE49-F238E27FC236}">
              <a16:creationId xmlns:a16="http://schemas.microsoft.com/office/drawing/2014/main" id="{7BCC0AB9-A474-0253-A40D-C1688EFD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0" name="Picture 1010">
          <a:extLst>
            <a:ext uri="{FF2B5EF4-FFF2-40B4-BE49-F238E27FC236}">
              <a16:creationId xmlns:a16="http://schemas.microsoft.com/office/drawing/2014/main" id="{5FBBE927-6410-2013-CB5A-45D7E474E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1" name="Picture 1011">
          <a:extLst>
            <a:ext uri="{FF2B5EF4-FFF2-40B4-BE49-F238E27FC236}">
              <a16:creationId xmlns:a16="http://schemas.microsoft.com/office/drawing/2014/main" id="{AD8676B0-D24B-43D4-8BA7-B0DC96F1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2" name="Picture 1012">
          <a:extLst>
            <a:ext uri="{FF2B5EF4-FFF2-40B4-BE49-F238E27FC236}">
              <a16:creationId xmlns:a16="http://schemas.microsoft.com/office/drawing/2014/main" id="{C1DA39F6-9A2F-D792-32BA-7D538224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813" name="Picture 1013">
          <a:extLst>
            <a:ext uri="{FF2B5EF4-FFF2-40B4-BE49-F238E27FC236}">
              <a16:creationId xmlns:a16="http://schemas.microsoft.com/office/drawing/2014/main" id="{15AD0D68-5385-A6B4-8DC7-1807E5B7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39814" name="Picture 1014">
          <a:extLst>
            <a:ext uri="{FF2B5EF4-FFF2-40B4-BE49-F238E27FC236}">
              <a16:creationId xmlns:a16="http://schemas.microsoft.com/office/drawing/2014/main" id="{D6C248FE-CEC9-EFB0-3485-BFCD50BFA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5" name="Picture 1015">
          <a:extLst>
            <a:ext uri="{FF2B5EF4-FFF2-40B4-BE49-F238E27FC236}">
              <a16:creationId xmlns:a16="http://schemas.microsoft.com/office/drawing/2014/main" id="{49CC6A73-B349-D5C9-7F48-141A66AF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6" name="Picture 1016">
          <a:extLst>
            <a:ext uri="{FF2B5EF4-FFF2-40B4-BE49-F238E27FC236}">
              <a16:creationId xmlns:a16="http://schemas.microsoft.com/office/drawing/2014/main" id="{C6C9AE0B-3901-03C1-1AFE-BE57F6BC6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7" name="Picture 1017">
          <a:extLst>
            <a:ext uri="{FF2B5EF4-FFF2-40B4-BE49-F238E27FC236}">
              <a16:creationId xmlns:a16="http://schemas.microsoft.com/office/drawing/2014/main" id="{BE788BA8-58D1-0A41-9651-47A3B1DB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8" name="Picture 1018">
          <a:extLst>
            <a:ext uri="{FF2B5EF4-FFF2-40B4-BE49-F238E27FC236}">
              <a16:creationId xmlns:a16="http://schemas.microsoft.com/office/drawing/2014/main" id="{53E38114-CDAE-6A36-C900-B47013ACB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19" name="Picture 1019">
          <a:extLst>
            <a:ext uri="{FF2B5EF4-FFF2-40B4-BE49-F238E27FC236}">
              <a16:creationId xmlns:a16="http://schemas.microsoft.com/office/drawing/2014/main" id="{610D21F8-850D-1645-515A-8550F203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39820" name="Picture 1020">
          <a:extLst>
            <a:ext uri="{FF2B5EF4-FFF2-40B4-BE49-F238E27FC236}">
              <a16:creationId xmlns:a16="http://schemas.microsoft.com/office/drawing/2014/main" id="{8AEE991F-8717-2C91-3E75-15A5802B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4097</v>
          </cell>
          <cell r="E146" t="str">
            <v>UND</v>
          </cell>
          <cell r="F146">
            <v>10.781578947368422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(34500g)</v>
          </cell>
          <cell r="C5" t="str">
            <v>TANDA</v>
          </cell>
          <cell r="D5" t="str">
            <v>GRAMO</v>
          </cell>
          <cell r="E5">
            <v>48288.182619647356</v>
          </cell>
          <cell r="F5">
            <v>1.3996574672361553</v>
          </cell>
          <cell r="G5">
            <v>0</v>
          </cell>
          <cell r="H5">
            <v>0</v>
          </cell>
          <cell r="I5">
            <v>1680</v>
          </cell>
          <cell r="J5">
            <v>4.8695652173913043E-2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TANDA</v>
          </cell>
          <cell r="D6" t="str">
            <v>GRAMO</v>
          </cell>
          <cell r="E6">
            <v>4485.3189199999997</v>
          </cell>
          <cell r="F6">
            <v>0.29902126133333329</v>
          </cell>
          <cell r="G6">
            <v>0</v>
          </cell>
          <cell r="H6">
            <v>0</v>
          </cell>
          <cell r="I6">
            <v>165</v>
          </cell>
          <cell r="J6">
            <v>1.0999999999999999E-2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TANDA</v>
          </cell>
          <cell r="D9" t="str">
            <v>GRAMO</v>
          </cell>
          <cell r="E9">
            <v>12634.444444444443</v>
          </cell>
          <cell r="F9">
            <v>2.3615784008307372</v>
          </cell>
          <cell r="G9">
            <v>15.480496777777777</v>
          </cell>
          <cell r="H9">
            <v>2.8935507995846311E-3</v>
          </cell>
          <cell r="I9">
            <v>165</v>
          </cell>
          <cell r="J9">
            <v>3.0841121495327101E-2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55797.085701248674</v>
          </cell>
          <cell r="F11">
            <v>1.2939954939992735</v>
          </cell>
          <cell r="G11">
            <v>0</v>
          </cell>
          <cell r="H11">
            <v>0</v>
          </cell>
          <cell r="I11">
            <v>2073.6931923609191</v>
          </cell>
          <cell r="J11">
            <v>4.8091215036199418E-2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TANDA</v>
          </cell>
          <cell r="D23" t="str">
            <v>GRAMO</v>
          </cell>
          <cell r="E23">
            <v>27447.05744215686</v>
          </cell>
          <cell r="F23">
            <v>2.7447057442156861</v>
          </cell>
          <cell r="G23">
            <v>18.652035795368263</v>
          </cell>
          <cell r="H23">
            <v>1.8652035795368263E-3</v>
          </cell>
          <cell r="I23">
            <v>897.03872437357631</v>
          </cell>
          <cell r="J23">
            <v>8.9703872437357626E-2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694.69407835326263</v>
          </cell>
          <cell r="F24">
            <v>694.69407835326263</v>
          </cell>
          <cell r="G24">
            <v>8.8666855676906913</v>
          </cell>
          <cell r="H24">
            <v>8.8666855676906913</v>
          </cell>
          <cell r="I24">
            <v>40.664349443848884</v>
          </cell>
          <cell r="J24">
            <v>40.664349443848884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42.858157499999997</v>
          </cell>
          <cell r="H26">
            <v>3.0324883251963489E-3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8.0879991537949216</v>
          </cell>
          <cell r="F38">
            <v>8.0879991537949216</v>
          </cell>
          <cell r="G38">
            <v>2.6030648704752843E-2</v>
          </cell>
          <cell r="H38">
            <v>2.6030648704752843E-2</v>
          </cell>
          <cell r="I38">
            <v>3.6515725684383518</v>
          </cell>
          <cell r="J38">
            <v>3.6515725684383518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171.25607004904248</v>
          </cell>
          <cell r="F40">
            <v>171.25607004904248</v>
          </cell>
          <cell r="G40">
            <v>0.539527398366629</v>
          </cell>
          <cell r="H40">
            <v>0.539527398366629</v>
          </cell>
          <cell r="I40">
            <v>33.418256538526975</v>
          </cell>
          <cell r="J40">
            <v>33.418256538526975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22.007051430197322</v>
          </cell>
          <cell r="F41">
            <v>22.007051430197322</v>
          </cell>
          <cell r="G41">
            <v>9.6624663055969576E-2</v>
          </cell>
          <cell r="H41">
            <v>9.6624663055969576E-2</v>
          </cell>
          <cell r="I41">
            <v>8.1963877832354282</v>
          </cell>
          <cell r="J41">
            <v>8.1963877832354282</v>
          </cell>
        </row>
        <row r="42">
          <cell r="A42" t="str">
            <v>903000003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700.14562941159068</v>
          </cell>
          <cell r="F59">
            <v>700.14562941159068</v>
          </cell>
          <cell r="G59">
            <v>4.2692446541649547</v>
          </cell>
          <cell r="H59">
            <v>4.2692446541649547</v>
          </cell>
          <cell r="I59">
            <v>46.592889436909168</v>
          </cell>
          <cell r="J59">
            <v>46.592889436909168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17.022725555555557</v>
          </cell>
          <cell r="H62">
            <v>1.3873451960517976E-2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5179.6507680000004</v>
          </cell>
          <cell r="F63">
            <v>0.53753121295143214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TANDA</v>
          </cell>
          <cell r="D74" t="str">
            <v>GRAMO</v>
          </cell>
          <cell r="E74">
            <v>52093.046999999999</v>
          </cell>
          <cell r="F74">
            <v>6.2015532142857142</v>
          </cell>
          <cell r="G74">
            <v>28.572105000000001</v>
          </cell>
          <cell r="H74">
            <v>3.4014410714285717E-3</v>
          </cell>
          <cell r="I74">
            <v>1540</v>
          </cell>
          <cell r="J74">
            <v>0.18333333333333332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TANDA</v>
          </cell>
          <cell r="D75" t="str">
            <v>GRAMO</v>
          </cell>
          <cell r="E75">
            <v>16173.637850588233</v>
          </cell>
          <cell r="F75">
            <v>2.8006299308377893</v>
          </cell>
          <cell r="G75">
            <v>1324.7550000000001</v>
          </cell>
          <cell r="H75">
            <v>0.22939480519480521</v>
          </cell>
          <cell r="I75">
            <v>1100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125.51629951264256</v>
          </cell>
          <cell r="F77">
            <v>125.51629951264256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903000128</v>
          </cell>
          <cell r="B78" t="str">
            <v>SOMBRERO PALMITO (UND)</v>
          </cell>
          <cell r="C78" t="str">
            <v>UND</v>
          </cell>
          <cell r="D78" t="str">
            <v>UND</v>
          </cell>
          <cell r="E78">
            <v>76.891825005659996</v>
          </cell>
          <cell r="F78">
            <v>76.891825005659996</v>
          </cell>
          <cell r="G78">
            <v>1.0961469750919879</v>
          </cell>
          <cell r="H78">
            <v>1.0961469750919879</v>
          </cell>
          <cell r="I78">
            <v>37.355111117367287</v>
          </cell>
          <cell r="J78">
            <v>37.355111117367287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20225.938512000001</v>
          </cell>
          <cell r="F81">
            <v>0.86806603055793996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20225.938512000001</v>
          </cell>
          <cell r="F86">
            <v>0.85980014079238232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135.40247249999999</v>
          </cell>
          <cell r="H96">
            <v>9.4094838429464901E-3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(21228g)</v>
          </cell>
          <cell r="C97" t="str">
            <v>TANDA</v>
          </cell>
          <cell r="D97" t="str">
            <v>GRAMO</v>
          </cell>
          <cell r="E97">
            <v>30198.672583476633</v>
          </cell>
          <cell r="F97">
            <v>1.4225867996738568</v>
          </cell>
          <cell r="G97">
            <v>0</v>
          </cell>
          <cell r="H97">
            <v>0</v>
          </cell>
          <cell r="I97">
            <v>1574.2933053543627</v>
          </cell>
          <cell r="J97">
            <v>7.4161169462707871E-2</v>
          </cell>
        </row>
        <row r="98">
          <cell r="A98" t="str">
            <v>95630</v>
          </cell>
          <cell r="B98" t="str">
            <v>ENSAMBLE PECHUGA RELLENAS (22000g)</v>
          </cell>
          <cell r="C98" t="str">
            <v>TANDA</v>
          </cell>
          <cell r="D98" t="str">
            <v>GRAMO</v>
          </cell>
          <cell r="E98">
            <v>125860.82133333334</v>
          </cell>
          <cell r="F98">
            <v>5.7209464242424248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85.215440000000001</v>
          </cell>
          <cell r="H99">
            <v>2.0741253498843862E-3</v>
          </cell>
          <cell r="I99">
            <v>4400</v>
          </cell>
          <cell r="J99">
            <v>0.107095046854083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TANDA</v>
          </cell>
          <cell r="D102" t="str">
            <v>GRAMO</v>
          </cell>
          <cell r="E102">
            <v>5309.587267486776</v>
          </cell>
          <cell r="F102">
            <v>1.5170249335676502</v>
          </cell>
          <cell r="G102">
            <v>47.93678478327579</v>
          </cell>
          <cell r="H102">
            <v>1.3696224223793083E-2</v>
          </cell>
          <cell r="I102">
            <v>592.89988492520138</v>
          </cell>
          <cell r="J102">
            <v>0.16939996712148611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TANDA</v>
          </cell>
          <cell r="D103" t="str">
            <v>GRAMO</v>
          </cell>
          <cell r="E103">
            <v>23298.332923602386</v>
          </cell>
          <cell r="F103">
            <v>1.9611391349833658</v>
          </cell>
          <cell r="G103">
            <v>0</v>
          </cell>
          <cell r="H103">
            <v>0</v>
          </cell>
          <cell r="I103">
            <v>759.86258715223721</v>
          </cell>
          <cell r="J103">
            <v>6.3961497235036802E-2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4041.7999999999997</v>
          </cell>
          <cell r="J104">
            <v>0.17421551724137929</v>
          </cell>
        </row>
        <row r="105">
          <cell r="A105" t="str">
            <v>95658</v>
          </cell>
          <cell r="B105" t="str">
            <v>RELLENO POLLO CREPA (3000g)</v>
          </cell>
          <cell r="C105" t="str">
            <v>TANDA</v>
          </cell>
          <cell r="D105" t="str">
            <v>GRAMO</v>
          </cell>
          <cell r="E105">
            <v>8731.0283987621697</v>
          </cell>
          <cell r="F105">
            <v>2.9103427995873901</v>
          </cell>
          <cell r="G105">
            <v>13.544531111111111</v>
          </cell>
          <cell r="H105">
            <v>4.514843703703704E-3</v>
          </cell>
          <cell r="I105">
            <v>491.74674927061193</v>
          </cell>
          <cell r="J105">
            <v>0.16391558309020399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TANDA</v>
          </cell>
          <cell r="D106" t="str">
            <v>GRAMO</v>
          </cell>
          <cell r="E106">
            <v>4335.1080779220783</v>
          </cell>
          <cell r="F106">
            <v>5.6300104908078943</v>
          </cell>
          <cell r="G106">
            <v>0</v>
          </cell>
          <cell r="H106">
            <v>0</v>
          </cell>
          <cell r="I106">
            <v>357.14285714285717</v>
          </cell>
          <cell r="J106">
            <v>0.463821892393321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 8925</v>
          </cell>
          <cell r="C113" t="str">
            <v>TANDA</v>
          </cell>
          <cell r="D113" t="str">
            <v>GRAMO</v>
          </cell>
          <cell r="E113">
            <v>27163.554955068303</v>
          </cell>
          <cell r="F113">
            <v>3.0435355691953281</v>
          </cell>
          <cell r="G113">
            <v>45.909636315187292</v>
          </cell>
          <cell r="H113">
            <v>5.1439368420377919E-3</v>
          </cell>
          <cell r="I113">
            <v>1660.3668305354363</v>
          </cell>
          <cell r="J113">
            <v>0.18603549921965673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908000036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25.59524588888889</v>
          </cell>
          <cell r="H123">
            <v>2.3268405353535355E-3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TANDA</v>
          </cell>
          <cell r="D127" t="str">
            <v>GRAMO</v>
          </cell>
          <cell r="E127">
            <v>37019.90659397647</v>
          </cell>
          <cell r="F127">
            <v>1.3461784215991444</v>
          </cell>
          <cell r="G127">
            <v>204.80518793650796</v>
          </cell>
          <cell r="H127">
            <v>7.4474613795093804E-3</v>
          </cell>
          <cell r="I127">
            <v>770</v>
          </cell>
          <cell r="J127">
            <v>2.8000000000000001E-2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903000040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TANDA</v>
          </cell>
          <cell r="D138" t="str">
            <v>GRAMO</v>
          </cell>
          <cell r="E138">
            <v>1902</v>
          </cell>
          <cell r="F138">
            <v>1.9019999999999999</v>
          </cell>
          <cell r="G138">
            <v>11.571035</v>
          </cell>
          <cell r="H138">
            <v>1.1571035E-2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TANDA</v>
          </cell>
          <cell r="D147" t="str">
            <v>GRAMO</v>
          </cell>
          <cell r="E147">
            <v>44785.534875999998</v>
          </cell>
          <cell r="F147">
            <v>2.1326445179047617</v>
          </cell>
          <cell r="G147">
            <v>0.61599999999999999</v>
          </cell>
          <cell r="H147">
            <v>2.9333333333333333E-5</v>
          </cell>
          <cell r="I147">
            <v>550</v>
          </cell>
          <cell r="J147">
            <v>2.6190476190476191E-2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907000001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1039.3142487019609</v>
          </cell>
          <cell r="F164">
            <v>1039.3142487019609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TANDA</v>
          </cell>
          <cell r="D169" t="str">
            <v>GRAMO</v>
          </cell>
          <cell r="E169">
            <v>2956.3493656953806</v>
          </cell>
          <cell r="F169">
            <v>0.78210300679771971</v>
          </cell>
          <cell r="G169">
            <v>12.047000000000001</v>
          </cell>
          <cell r="H169">
            <v>3.1870370370370373E-3</v>
          </cell>
          <cell r="I169">
            <v>275</v>
          </cell>
          <cell r="J169">
            <v>7.2751322751322747E-2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MELO FROM SCRATCH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47.891230026256558</v>
          </cell>
          <cell r="F181">
            <v>47.891230026256558</v>
          </cell>
          <cell r="G181">
            <v>8.8430537790697671E-3</v>
          </cell>
          <cell r="H181">
            <v>8.8430537790697671E-3</v>
          </cell>
          <cell r="I181">
            <v>5.8277616279069759</v>
          </cell>
          <cell r="J181">
            <v>5.8277616279069759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(2400g)</v>
          </cell>
          <cell r="C196" t="str">
            <v>TANDA</v>
          </cell>
          <cell r="D196" t="str">
            <v>GRAMO</v>
          </cell>
          <cell r="E196">
            <v>8344.4401738039214</v>
          </cell>
          <cell r="F196">
            <v>3.4768500724183005</v>
          </cell>
          <cell r="G196">
            <v>28.572105000000001</v>
          </cell>
          <cell r="H196">
            <v>1.190504375E-2</v>
          </cell>
          <cell r="I196">
            <v>385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96180</v>
          </cell>
          <cell r="B199" t="str">
            <v>RELLENO DELIZZIA (7.150 Kg)</v>
          </cell>
          <cell r="C199" t="str">
            <v>KILO</v>
          </cell>
          <cell r="D199" t="str">
            <v>GRAMO</v>
          </cell>
          <cell r="E199">
            <v>1901.6339954888927</v>
          </cell>
          <cell r="F199">
            <v>1.9016339954888926</v>
          </cell>
          <cell r="G199">
            <v>1.5039062499999999E-2</v>
          </cell>
          <cell r="H199">
            <v>1.5039062499999999E-5</v>
          </cell>
          <cell r="I199">
            <v>77.01322115384616</v>
          </cell>
          <cell r="J199">
            <v>7.7013221153846165E-2</v>
          </cell>
        </row>
        <row r="200">
          <cell r="A200" t="str">
            <v>96192</v>
          </cell>
          <cell r="B200" t="str">
            <v>ACEITE DE AJO Y PEREJIL (1000g)</v>
          </cell>
          <cell r="C200" t="str">
            <v>TANDA</v>
          </cell>
          <cell r="D200" t="str">
            <v>GRAMO</v>
          </cell>
          <cell r="E200">
            <v>2790.6051721925132</v>
          </cell>
          <cell r="F200">
            <v>2.7906051721925134</v>
          </cell>
          <cell r="G200">
            <v>14.672860317171718</v>
          </cell>
          <cell r="H200">
            <v>1.4672860317171719E-2</v>
          </cell>
          <cell r="I200">
            <v>222.55</v>
          </cell>
          <cell r="J200">
            <v>0.22255</v>
          </cell>
        </row>
        <row r="201">
          <cell r="A201" t="str">
            <v>96197</v>
          </cell>
          <cell r="B201" t="str">
            <v>MEZCLA DE YEMA PARA PINTAR (1430g)</v>
          </cell>
          <cell r="C201" t="str">
            <v>TANDA</v>
          </cell>
          <cell r="D201" t="str">
            <v>GRAMO</v>
          </cell>
          <cell r="E201">
            <v>2413.21</v>
          </cell>
          <cell r="F201">
            <v>1.6875594405594405</v>
          </cell>
          <cell r="G201">
            <v>0</v>
          </cell>
          <cell r="H201">
            <v>0</v>
          </cell>
          <cell r="I201">
            <v>55</v>
          </cell>
          <cell r="J201">
            <v>3.8461538461538464E-2</v>
          </cell>
        </row>
        <row r="202">
          <cell r="A202" t="str">
            <v>96199</v>
          </cell>
          <cell r="B202" t="str">
            <v>COBERTURA CHOCOLATE LECHE RALLADO (4700g)</v>
          </cell>
          <cell r="C202" t="str">
            <v>KILO</v>
          </cell>
          <cell r="D202" t="str">
            <v>GRAMO</v>
          </cell>
          <cell r="E202">
            <v>22340</v>
          </cell>
          <cell r="F202">
            <v>4.7531914893617024</v>
          </cell>
          <cell r="G202">
            <v>1.1990000000000001</v>
          </cell>
          <cell r="H202">
            <v>2.5510638297872339E-4</v>
          </cell>
          <cell r="I202">
            <v>385</v>
          </cell>
          <cell r="J202">
            <v>8.191489361702127E-2</v>
          </cell>
        </row>
        <row r="203">
          <cell r="A203" t="str">
            <v>96223</v>
          </cell>
          <cell r="B203" t="str">
            <v>GANACHE DE DULCE LECHE (4800g)</v>
          </cell>
          <cell r="C203" t="str">
            <v>KILO</v>
          </cell>
          <cell r="D203" t="str">
            <v>GRAMO</v>
          </cell>
          <cell r="E203">
            <v>2483.106770833333</v>
          </cell>
          <cell r="F203">
            <v>2.483106770833333</v>
          </cell>
          <cell r="G203">
            <v>0</v>
          </cell>
          <cell r="H203">
            <v>0</v>
          </cell>
          <cell r="I203">
            <v>116.66666666666667</v>
          </cell>
          <cell r="J203">
            <v>0.11666666666666667</v>
          </cell>
        </row>
        <row r="204">
          <cell r="A204" t="str">
            <v>96242</v>
          </cell>
          <cell r="B204" t="str">
            <v>PURE PAPA (2000g)</v>
          </cell>
          <cell r="C204" t="str">
            <v>TANDA</v>
          </cell>
          <cell r="D204" t="str">
            <v>GRAMO</v>
          </cell>
          <cell r="E204">
            <v>3211.5108266666666</v>
          </cell>
          <cell r="F204">
            <v>1.6057554133333334</v>
          </cell>
          <cell r="G204">
            <v>23.975403333333333</v>
          </cell>
          <cell r="H204">
            <v>1.1987701666666666E-2</v>
          </cell>
          <cell r="I204">
            <v>331.375</v>
          </cell>
          <cell r="J204">
            <v>0.16568749999999999</v>
          </cell>
        </row>
        <row r="205">
          <cell r="A205" t="str">
            <v>96251</v>
          </cell>
          <cell r="B205" t="str">
            <v>GALLETA P/TORTA CHILENA FAS (210g)</v>
          </cell>
          <cell r="C205" t="str">
            <v>UND</v>
          </cell>
          <cell r="D205" t="str">
            <v>UND</v>
          </cell>
          <cell r="E205">
            <v>226.41733244134201</v>
          </cell>
          <cell r="F205">
            <v>226.41733244134201</v>
          </cell>
          <cell r="G205">
            <v>0.65629030839002267</v>
          </cell>
          <cell r="H205">
            <v>0.65629030839002267</v>
          </cell>
          <cell r="I205">
            <v>27.595238095238095</v>
          </cell>
          <cell r="J205">
            <v>27.595238095238095</v>
          </cell>
        </row>
        <row r="206">
          <cell r="A206" t="str">
            <v>96252</v>
          </cell>
          <cell r="B206" t="str">
            <v>RELLENO CHEESE CAKE INDUSTRIA (9000g)</v>
          </cell>
          <cell r="C206" t="str">
            <v>TANDA</v>
          </cell>
          <cell r="D206" t="str">
            <v>GRAMO</v>
          </cell>
          <cell r="E206">
            <v>18145.277160472564</v>
          </cell>
          <cell r="F206">
            <v>2.0161419067191737</v>
          </cell>
          <cell r="G206">
            <v>0.13834615384615384</v>
          </cell>
          <cell r="H206">
            <v>1.5371794871794872E-5</v>
          </cell>
          <cell r="I206">
            <v>888.46153846153845</v>
          </cell>
          <cell r="J206">
            <v>9.8717948717948714E-2</v>
          </cell>
        </row>
        <row r="207">
          <cell r="A207" t="str">
            <v>96263</v>
          </cell>
          <cell r="B207" t="str">
            <v>QUESO PARMESANO LAMINADO (8580g)</v>
          </cell>
          <cell r="C207" t="str">
            <v>TANDA</v>
          </cell>
          <cell r="D207" t="str">
            <v>GRAMO</v>
          </cell>
          <cell r="E207">
            <v>94190.862500000003</v>
          </cell>
          <cell r="F207">
            <v>10.977956002331002</v>
          </cell>
          <cell r="G207">
            <v>26.763632000000001</v>
          </cell>
          <cell r="H207">
            <v>3.1193044289044292E-3</v>
          </cell>
          <cell r="I207">
            <v>275</v>
          </cell>
          <cell r="J207">
            <v>3.2051282051282048E-2</v>
          </cell>
        </row>
        <row r="208">
          <cell r="A208" t="str">
            <v>96266</v>
          </cell>
          <cell r="B208" t="str">
            <v>LAMINA AZUCAR ESCANEADA (UND)</v>
          </cell>
          <cell r="C208" t="str">
            <v>UND</v>
          </cell>
          <cell r="D208" t="str">
            <v>UND</v>
          </cell>
          <cell r="E208">
            <v>1387.384</v>
          </cell>
          <cell r="F208">
            <v>1387.384</v>
          </cell>
          <cell r="G208">
            <v>0</v>
          </cell>
          <cell r="H208">
            <v>0</v>
          </cell>
          <cell r="I208">
            <v>275</v>
          </cell>
          <cell r="J208">
            <v>275</v>
          </cell>
        </row>
        <row r="209">
          <cell r="A209" t="str">
            <v>96267</v>
          </cell>
          <cell r="B209" t="str">
            <v>ROSQUETE CHOCOLATE BUCCA (320g)</v>
          </cell>
          <cell r="C209" t="str">
            <v>UND</v>
          </cell>
          <cell r="D209" t="str">
            <v>UND</v>
          </cell>
          <cell r="E209">
            <v>355.25335753863862</v>
          </cell>
          <cell r="F209">
            <v>355.25335753863862</v>
          </cell>
          <cell r="G209">
            <v>8.2092643814880741</v>
          </cell>
          <cell r="H209">
            <v>8.2092643814880741</v>
          </cell>
          <cell r="I209">
            <v>35.876510067114097</v>
          </cell>
          <cell r="J209">
            <v>35.876510067114097</v>
          </cell>
        </row>
        <row r="210">
          <cell r="A210" t="str">
            <v>96270</v>
          </cell>
          <cell r="B210" t="str">
            <v>ROSQUETE MELOCOTON PURATOS (360g)</v>
          </cell>
          <cell r="C210" t="str">
            <v>UND</v>
          </cell>
          <cell r="D210" t="str">
            <v>UND</v>
          </cell>
          <cell r="E210">
            <v>422.05372617403651</v>
          </cell>
          <cell r="F210">
            <v>422.05372617403651</v>
          </cell>
          <cell r="G210">
            <v>8.7370147215647176</v>
          </cell>
          <cell r="H210">
            <v>8.7370147215647176</v>
          </cell>
          <cell r="I210">
            <v>19.774041546820072</v>
          </cell>
          <cell r="J210">
            <v>19.774041546820072</v>
          </cell>
        </row>
        <row r="211">
          <cell r="A211" t="str">
            <v>96271</v>
          </cell>
          <cell r="B211" t="str">
            <v>CORTE  P/GALLETA ESC (UND)</v>
          </cell>
          <cell r="C211" t="str">
            <v>UND</v>
          </cell>
          <cell r="D211" t="str">
            <v>UND</v>
          </cell>
          <cell r="E211">
            <v>21.349894497743044</v>
          </cell>
          <cell r="F211">
            <v>21.349894497743044</v>
          </cell>
          <cell r="G211">
            <v>0</v>
          </cell>
          <cell r="H211">
            <v>0</v>
          </cell>
          <cell r="I211">
            <v>10.686239816064377</v>
          </cell>
          <cell r="J211">
            <v>10.686239816064377</v>
          </cell>
        </row>
        <row r="212">
          <cell r="A212" t="str">
            <v>96272</v>
          </cell>
          <cell r="B212" t="str">
            <v>EMPANADA POLLO C/AJONJOLI (UND)</v>
          </cell>
          <cell r="C212" t="str">
            <v>UND</v>
          </cell>
          <cell r="D212" t="str">
            <v>UND</v>
          </cell>
          <cell r="E212">
            <v>185.40642008823716</v>
          </cell>
          <cell r="F212">
            <v>185.40642008823716</v>
          </cell>
          <cell r="G212">
            <v>1.7940720010640245</v>
          </cell>
          <cell r="H212">
            <v>1.7940720010640245</v>
          </cell>
          <cell r="I212">
            <v>45.17753744451764</v>
          </cell>
          <cell r="J212">
            <v>45.17753744451764</v>
          </cell>
        </row>
        <row r="213">
          <cell r="A213" t="str">
            <v>96275</v>
          </cell>
          <cell r="B213" t="str">
            <v>GALLETA CHOCOLATE CHIPS STARBUCKS (UND)</v>
          </cell>
          <cell r="C213" t="str">
            <v>UND</v>
          </cell>
          <cell r="D213" t="str">
            <v>UND</v>
          </cell>
          <cell r="E213">
            <v>142.47345146308726</v>
          </cell>
          <cell r="F213">
            <v>142.47345146308726</v>
          </cell>
          <cell r="G213">
            <v>0.13315657482254814</v>
          </cell>
          <cell r="H213">
            <v>0.13315657482254814</v>
          </cell>
          <cell r="I213">
            <v>9.8643519761372112</v>
          </cell>
          <cell r="J213">
            <v>9.8643519761372112</v>
          </cell>
        </row>
        <row r="214">
          <cell r="A214" t="str">
            <v>96276</v>
          </cell>
          <cell r="B214" t="str">
            <v>ROSQUETE CARAMELO PURATOS (335g)</v>
          </cell>
          <cell r="C214" t="str">
            <v>UND</v>
          </cell>
          <cell r="D214" t="str">
            <v>UND</v>
          </cell>
          <cell r="E214">
            <v>446.846888464561</v>
          </cell>
          <cell r="F214">
            <v>446.846888464561</v>
          </cell>
          <cell r="G214">
            <v>7.6483473744357671</v>
          </cell>
          <cell r="H214">
            <v>7.6483473744357671</v>
          </cell>
          <cell r="I214">
            <v>5.5005424229143616</v>
          </cell>
          <cell r="J214">
            <v>5.5005424229143616</v>
          </cell>
        </row>
        <row r="215">
          <cell r="A215" t="str">
            <v>96277</v>
          </cell>
          <cell r="B215" t="str">
            <v>ARREGLADOS GRANDE (UND)</v>
          </cell>
          <cell r="C215" t="str">
            <v>UND</v>
          </cell>
          <cell r="D215" t="str">
            <v>UND</v>
          </cell>
          <cell r="E215">
            <v>83.714886916106408</v>
          </cell>
          <cell r="F215">
            <v>83.714886916106408</v>
          </cell>
          <cell r="G215">
            <v>1.5701248390789779</v>
          </cell>
          <cell r="H215">
            <v>1.5701248390789779</v>
          </cell>
          <cell r="I215">
            <v>14.61810476954917</v>
          </cell>
          <cell r="J215">
            <v>14.61810476954917</v>
          </cell>
        </row>
        <row r="216">
          <cell r="A216" t="str">
            <v>96280</v>
          </cell>
          <cell r="B216" t="str">
            <v>OREJITAS DULCES (5409g)</v>
          </cell>
          <cell r="C216" t="str">
            <v>KILO</v>
          </cell>
          <cell r="D216" t="str">
            <v>GRAMO</v>
          </cell>
          <cell r="E216">
            <v>935.32970759169018</v>
          </cell>
          <cell r="F216">
            <v>0.93532970759169021</v>
          </cell>
          <cell r="G216">
            <v>4.3075589700960348</v>
          </cell>
          <cell r="H216">
            <v>4.3075589700960351E-3</v>
          </cell>
          <cell r="I216">
            <v>625.67426218810954</v>
          </cell>
          <cell r="J216">
            <v>0.62567426218810951</v>
          </cell>
        </row>
        <row r="217">
          <cell r="A217" t="str">
            <v>96284</v>
          </cell>
          <cell r="B217" t="str">
            <v>CROISSANT SPOON 110g (UND)</v>
          </cell>
          <cell r="C217" t="str">
            <v>UND</v>
          </cell>
          <cell r="D217" t="str">
            <v>UND</v>
          </cell>
          <cell r="E217">
            <v>123.89697454065589</v>
          </cell>
          <cell r="F217">
            <v>123.89697454065589</v>
          </cell>
          <cell r="G217">
            <v>0.39982959433249193</v>
          </cell>
          <cell r="H217">
            <v>0.39982959433249193</v>
          </cell>
          <cell r="I217">
            <v>46.883423180592985</v>
          </cell>
          <cell r="J217">
            <v>46.883423180592985</v>
          </cell>
        </row>
        <row r="218">
          <cell r="A218" t="str">
            <v>96292</v>
          </cell>
          <cell r="B218" t="str">
            <v>ROSQUETE TRES LECHES RED. (150g)</v>
          </cell>
          <cell r="C218" t="str">
            <v>UND</v>
          </cell>
          <cell r="D218" t="str">
            <v>UND</v>
          </cell>
          <cell r="E218">
            <v>136.40286546344521</v>
          </cell>
          <cell r="F218">
            <v>136.40286546344521</v>
          </cell>
          <cell r="G218">
            <v>1.8081754333475375</v>
          </cell>
          <cell r="H218">
            <v>1.8081754333475375</v>
          </cell>
          <cell r="I218">
            <v>25.208995107028031</v>
          </cell>
          <cell r="J218">
            <v>25.208995107028031</v>
          </cell>
        </row>
        <row r="219">
          <cell r="A219" t="str">
            <v>96293</v>
          </cell>
          <cell r="B219" t="str">
            <v>BATIDO P/ROSQUETE TRES LECHES (18300g)</v>
          </cell>
          <cell r="C219" t="str">
            <v>TANDA</v>
          </cell>
          <cell r="D219" t="str">
            <v>GRAMO</v>
          </cell>
          <cell r="E219">
            <v>14872.048553600001</v>
          </cell>
          <cell r="F219">
            <v>0.81268024883060119</v>
          </cell>
          <cell r="G219">
            <v>67.090375555555553</v>
          </cell>
          <cell r="H219">
            <v>3.6661407407407405E-3</v>
          </cell>
          <cell r="I219">
            <v>440</v>
          </cell>
          <cell r="J219">
            <v>2.4043715846994537E-2</v>
          </cell>
        </row>
        <row r="220">
          <cell r="A220" t="str">
            <v>96296</v>
          </cell>
          <cell r="B220" t="str">
            <v>BATIDO P/ROSQUETE CHOCOLATE BUCCA (48100g)</v>
          </cell>
          <cell r="C220" t="str">
            <v>TANDA</v>
          </cell>
          <cell r="D220" t="str">
            <v>GRAMO</v>
          </cell>
          <cell r="E220">
            <v>39777.513660588236</v>
          </cell>
          <cell r="F220">
            <v>0.82697533597896544</v>
          </cell>
          <cell r="G220">
            <v>2.9325322222222225</v>
          </cell>
          <cell r="H220">
            <v>6.0967405867405874E-5</v>
          </cell>
          <cell r="I220">
            <v>550</v>
          </cell>
          <cell r="J220">
            <v>1.1434511434511435E-2</v>
          </cell>
        </row>
        <row r="221">
          <cell r="A221" t="str">
            <v>96299</v>
          </cell>
          <cell r="B221" t="str">
            <v>CROISSANT C/JAMON STB (UND)</v>
          </cell>
          <cell r="C221" t="str">
            <v>UND</v>
          </cell>
          <cell r="D221" t="str">
            <v>UND</v>
          </cell>
          <cell r="E221">
            <v>307.09518973819553</v>
          </cell>
          <cell r="F221">
            <v>307.09518973819553</v>
          </cell>
          <cell r="G221">
            <v>0.73358858788922221</v>
          </cell>
          <cell r="H221">
            <v>0.73358858788922221</v>
          </cell>
          <cell r="I221">
            <v>50.787974886339036</v>
          </cell>
          <cell r="J221">
            <v>50.787974886339036</v>
          </cell>
        </row>
        <row r="222">
          <cell r="A222" t="str">
            <v>902000014</v>
          </cell>
          <cell r="B222" t="str">
            <v>BATIDO P/BROWNIE SPOON (8000g)</v>
          </cell>
          <cell r="C222" t="str">
            <v>KILO</v>
          </cell>
          <cell r="D222" t="str">
            <v>GRAMO</v>
          </cell>
          <cell r="E222">
            <v>8947.9594560000005</v>
          </cell>
          <cell r="F222">
            <v>1.1184949320000002</v>
          </cell>
          <cell r="G222">
            <v>117.03071158730158</v>
          </cell>
          <cell r="H222">
            <v>1.4628838948412697E-2</v>
          </cell>
          <cell r="I222">
            <v>412.5</v>
          </cell>
          <cell r="J222">
            <v>5.1562499999999997E-2</v>
          </cell>
        </row>
        <row r="223">
          <cell r="A223" t="str">
            <v>96306</v>
          </cell>
          <cell r="B223" t="str">
            <v>BATIDO P/COCADA SPOON (21500g)</v>
          </cell>
          <cell r="C223" t="str">
            <v>TANDA</v>
          </cell>
          <cell r="D223" t="str">
            <v>GRAMO</v>
          </cell>
          <cell r="E223">
            <v>49322.221812189833</v>
          </cell>
          <cell r="F223">
            <v>2.2940568284739458</v>
          </cell>
          <cell r="G223">
            <v>0</v>
          </cell>
          <cell r="H223">
            <v>0</v>
          </cell>
          <cell r="I223">
            <v>550</v>
          </cell>
          <cell r="J223">
            <v>2.5581395348837209E-2</v>
          </cell>
        </row>
        <row r="224">
          <cell r="A224" t="str">
            <v>96311</v>
          </cell>
          <cell r="B224" t="str">
            <v>ROSQUETE CHOCOLATE RED. (700g)</v>
          </cell>
          <cell r="C224" t="str">
            <v>UND</v>
          </cell>
          <cell r="D224" t="str">
            <v>UND</v>
          </cell>
          <cell r="E224">
            <v>852.46206408625835</v>
          </cell>
          <cell r="F224">
            <v>852.46206408625835</v>
          </cell>
          <cell r="G224">
            <v>15.921994095213645</v>
          </cell>
          <cell r="H224">
            <v>15.921994095213645</v>
          </cell>
          <cell r="I224">
            <v>29.022774782704367</v>
          </cell>
          <cell r="J224">
            <v>29.022774782704367</v>
          </cell>
        </row>
        <row r="225">
          <cell r="A225" t="str">
            <v>96322</v>
          </cell>
          <cell r="B225" t="str">
            <v>BATIDO P/ROSQUETE CARAMELO (18150g)</v>
          </cell>
          <cell r="C225" t="str">
            <v>KILO</v>
          </cell>
          <cell r="D225" t="str">
            <v>GRAMO</v>
          </cell>
          <cell r="E225">
            <v>1190.2698842975205</v>
          </cell>
          <cell r="F225">
            <v>1.1902698842975206</v>
          </cell>
          <cell r="G225">
            <v>0</v>
          </cell>
          <cell r="H225">
            <v>0</v>
          </cell>
          <cell r="I225">
            <v>15.426997245179065</v>
          </cell>
          <cell r="J225">
            <v>1.5426997245179064E-2</v>
          </cell>
        </row>
        <row r="226">
          <cell r="A226" t="str">
            <v>96324</v>
          </cell>
          <cell r="B226" t="str">
            <v>ROSQUETE CARAMELO PURATOS (1060g)</v>
          </cell>
          <cell r="C226" t="str">
            <v>UND</v>
          </cell>
          <cell r="D226" t="str">
            <v>UND</v>
          </cell>
          <cell r="E226">
            <v>1440.5810135573906</v>
          </cell>
          <cell r="F226">
            <v>1440.5810135573906</v>
          </cell>
          <cell r="G226">
            <v>19.769060411482837</v>
          </cell>
          <cell r="H226">
            <v>19.769060411482837</v>
          </cell>
          <cell r="I226">
            <v>43.943276172306241</v>
          </cell>
          <cell r="J226">
            <v>43.943276172306241</v>
          </cell>
        </row>
        <row r="227">
          <cell r="A227" t="str">
            <v>96328</v>
          </cell>
          <cell r="B227" t="str">
            <v>ROSQUETE MELOCOTON RECT.PURATOS (3400g)</v>
          </cell>
          <cell r="C227" t="str">
            <v>UND</v>
          </cell>
          <cell r="D227" t="str">
            <v>UND</v>
          </cell>
          <cell r="E227">
            <v>4595.986369707296</v>
          </cell>
          <cell r="F227">
            <v>4595.986369707296</v>
          </cell>
          <cell r="G227">
            <v>29.641797018394229</v>
          </cell>
          <cell r="H227">
            <v>29.641797018394229</v>
          </cell>
          <cell r="I227">
            <v>140.25143489451781</v>
          </cell>
          <cell r="J227">
            <v>140.25143489451781</v>
          </cell>
        </row>
        <row r="228">
          <cell r="A228" t="str">
            <v>96329</v>
          </cell>
          <cell r="B228" t="str">
            <v>PRALINE (1380g)</v>
          </cell>
          <cell r="C228" t="str">
            <v>KILO</v>
          </cell>
          <cell r="D228" t="str">
            <v>GRAMO</v>
          </cell>
          <cell r="E228">
            <v>5776.4652173913037</v>
          </cell>
          <cell r="F228">
            <v>5.776465217391304</v>
          </cell>
          <cell r="G228">
            <v>7.8260869565217401</v>
          </cell>
          <cell r="H228">
            <v>7.8260869565217397E-3</v>
          </cell>
          <cell r="I228">
            <v>405.79710144927537</v>
          </cell>
          <cell r="J228">
            <v>0.40579710144927539</v>
          </cell>
        </row>
        <row r="229">
          <cell r="A229" t="str">
            <v>96331</v>
          </cell>
          <cell r="B229" t="str">
            <v>BOLLETA BLANCA P/CROCANTINI (80g)</v>
          </cell>
          <cell r="C229" t="str">
            <v>UND</v>
          </cell>
          <cell r="D229" t="str">
            <v>UND</v>
          </cell>
          <cell r="E229">
            <v>45.417622234316674</v>
          </cell>
          <cell r="F229">
            <v>45.417622234316674</v>
          </cell>
          <cell r="G229">
            <v>0.39930195657604239</v>
          </cell>
          <cell r="H229">
            <v>0.39930195657604239</v>
          </cell>
          <cell r="I229">
            <v>23.408856882257645</v>
          </cell>
          <cell r="J229">
            <v>23.408856882257645</v>
          </cell>
        </row>
        <row r="230">
          <cell r="A230" t="str">
            <v>96340</v>
          </cell>
          <cell r="B230" t="str">
            <v>CREMA MOKA C/BAILEYS (1200g)</v>
          </cell>
          <cell r="C230" t="str">
            <v>KILO</v>
          </cell>
          <cell r="D230" t="str">
            <v>GRAMO</v>
          </cell>
          <cell r="E230">
            <v>4033.7853397038107</v>
          </cell>
          <cell r="F230">
            <v>4.0337853397038108</v>
          </cell>
          <cell r="G230">
            <v>0.93512481943999726</v>
          </cell>
          <cell r="H230">
            <v>9.3512481943999726E-4</v>
          </cell>
          <cell r="I230">
            <v>249.85910983029137</v>
          </cell>
          <cell r="J230">
            <v>0.24985910983029139</v>
          </cell>
        </row>
        <row r="231">
          <cell r="A231" t="str">
            <v>96341</v>
          </cell>
          <cell r="B231" t="str">
            <v>PECANA CUBIERTA C/COCOLATE BLANCO (500g)</v>
          </cell>
          <cell r="C231" t="str">
            <v>KILO</v>
          </cell>
          <cell r="D231" t="str">
            <v>GRAMO</v>
          </cell>
          <cell r="E231">
            <v>6432.4953750000004</v>
          </cell>
          <cell r="F231">
            <v>6.4324953750000002</v>
          </cell>
          <cell r="G231">
            <v>32.96543615625</v>
          </cell>
          <cell r="H231">
            <v>3.296543615625E-2</v>
          </cell>
          <cell r="I231">
            <v>600.16666666666663</v>
          </cell>
          <cell r="J231">
            <v>0.60016666666666663</v>
          </cell>
        </row>
        <row r="232">
          <cell r="A232" t="str">
            <v>96342</v>
          </cell>
          <cell r="B232" t="str">
            <v>MEZCLA DE TRES LECHES C/BAILEYS (3600g)</v>
          </cell>
          <cell r="C232" t="str">
            <v>LITRO</v>
          </cell>
          <cell r="D232" t="str">
            <v>GRAMO</v>
          </cell>
          <cell r="E232">
            <v>6479.2919439704865</v>
          </cell>
          <cell r="F232">
            <v>6.4792919439704866</v>
          </cell>
          <cell r="G232">
            <v>2.6780055555555555</v>
          </cell>
          <cell r="H232">
            <v>2.6780055555555553E-3</v>
          </cell>
          <cell r="I232">
            <v>35.223765432098766</v>
          </cell>
          <cell r="J232">
            <v>3.5223765432098764E-2</v>
          </cell>
        </row>
        <row r="233">
          <cell r="A233" t="str">
            <v>96343</v>
          </cell>
          <cell r="B233" t="str">
            <v>GANACHE BAILEYS (700g)</v>
          </cell>
          <cell r="C233" t="str">
            <v>KILO</v>
          </cell>
          <cell r="D233" t="str">
            <v>GRAMO</v>
          </cell>
          <cell r="E233">
            <v>4033.9998857142855</v>
          </cell>
          <cell r="F233">
            <v>4.0339998857142856</v>
          </cell>
          <cell r="G233">
            <v>13.772599999999999</v>
          </cell>
          <cell r="H233">
            <v>1.3772599999999999E-2</v>
          </cell>
          <cell r="I233">
            <v>392.85714285714283</v>
          </cell>
          <cell r="J233">
            <v>0.39285714285714285</v>
          </cell>
        </row>
        <row r="234">
          <cell r="A234" t="str">
            <v>96344</v>
          </cell>
          <cell r="B234" t="str">
            <v>CREMA DULCE LECHE (24500g)</v>
          </cell>
          <cell r="C234" t="str">
            <v>TANDA</v>
          </cell>
          <cell r="D234" t="str">
            <v>GRAMO</v>
          </cell>
          <cell r="E234">
            <v>47842.976727200003</v>
          </cell>
          <cell r="F234">
            <v>1.9527745602938777</v>
          </cell>
          <cell r="G234">
            <v>0</v>
          </cell>
          <cell r="H234">
            <v>0</v>
          </cell>
          <cell r="I234">
            <v>275</v>
          </cell>
          <cell r="J234">
            <v>1.1224489795918367E-2</v>
          </cell>
        </row>
        <row r="235">
          <cell r="A235" t="str">
            <v>96349</v>
          </cell>
          <cell r="B235" t="str">
            <v>BATIDO P/ROSQUETE ZANAHORIA (10200g)</v>
          </cell>
          <cell r="C235" t="str">
            <v>KILO</v>
          </cell>
          <cell r="D235" t="str">
            <v>GRAMO</v>
          </cell>
          <cell r="E235">
            <v>19770.832487975571</v>
          </cell>
          <cell r="F235">
            <v>1.8306326377755158</v>
          </cell>
          <cell r="G235">
            <v>11.122917368936587</v>
          </cell>
          <cell r="H235">
            <v>1.0298997563830173E-3</v>
          </cell>
          <cell r="I235">
            <v>991.51782292065923</v>
          </cell>
          <cell r="J235">
            <v>9.1807205825986962E-2</v>
          </cell>
        </row>
        <row r="236">
          <cell r="A236" t="str">
            <v>96352</v>
          </cell>
          <cell r="B236" t="str">
            <v>GALLETA P/TORTA CHILENA BUCCA</v>
          </cell>
          <cell r="C236" t="str">
            <v>UND</v>
          </cell>
          <cell r="D236" t="str">
            <v>UND</v>
          </cell>
          <cell r="E236">
            <v>59.974259271360751</v>
          </cell>
          <cell r="F236">
            <v>59.974259271360751</v>
          </cell>
          <cell r="G236">
            <v>0.46606528812537668</v>
          </cell>
          <cell r="H236">
            <v>0.46606528812537668</v>
          </cell>
          <cell r="I236">
            <v>15.320253164556961</v>
          </cell>
          <cell r="J236">
            <v>15.320253164556961</v>
          </cell>
        </row>
        <row r="237">
          <cell r="A237" t="str">
            <v>90100143</v>
          </cell>
          <cell r="B237" t="str">
            <v>ROSQUETE VAINILLA PURATOS  (1000g)</v>
          </cell>
          <cell r="C237" t="str">
            <v>UND</v>
          </cell>
          <cell r="D237" t="str">
            <v>UND</v>
          </cell>
          <cell r="E237">
            <v>1023.982802590923</v>
          </cell>
          <cell r="F237">
            <v>1023.982802590923</v>
          </cell>
          <cell r="G237">
            <v>24.187790337380832</v>
          </cell>
          <cell r="H237">
            <v>24.187790337380832</v>
          </cell>
          <cell r="I237">
            <v>34.421435367327526</v>
          </cell>
          <cell r="J237">
            <v>34.421435367327526</v>
          </cell>
        </row>
        <row r="238">
          <cell r="A238" t="str">
            <v>96357</v>
          </cell>
          <cell r="B238" t="str">
            <v>ROSQUETE CHOCOLATE SPOON  (280g)</v>
          </cell>
          <cell r="C238" t="str">
            <v>UND</v>
          </cell>
          <cell r="D238" t="str">
            <v>UND</v>
          </cell>
          <cell r="E238">
            <v>370.0906676352601</v>
          </cell>
          <cell r="F238">
            <v>370.0906676352601</v>
          </cell>
          <cell r="G238">
            <v>4.146585476818637</v>
          </cell>
          <cell r="H238">
            <v>4.146585476818637</v>
          </cell>
          <cell r="I238">
            <v>23.439692448230694</v>
          </cell>
          <cell r="J238">
            <v>23.439692448230694</v>
          </cell>
        </row>
        <row r="239">
          <cell r="A239" t="str">
            <v>96360</v>
          </cell>
          <cell r="B239" t="str">
            <v>COCCION PALMITO P/ENSALADA (1900g)</v>
          </cell>
          <cell r="C239" t="str">
            <v>KILO</v>
          </cell>
          <cell r="D239" t="str">
            <v>GRAMO</v>
          </cell>
          <cell r="E239">
            <v>2347.4006557894736</v>
          </cell>
          <cell r="F239">
            <v>2.3474006557894738</v>
          </cell>
          <cell r="G239">
            <v>44.225973684210523</v>
          </cell>
          <cell r="H239">
            <v>4.4225973684210523E-2</v>
          </cell>
          <cell r="I239">
            <v>86.842105263157904</v>
          </cell>
          <cell r="J239">
            <v>8.6842105263157901E-2</v>
          </cell>
        </row>
        <row r="240">
          <cell r="A240" t="str">
            <v>96361</v>
          </cell>
          <cell r="B240" t="str">
            <v>BATIDO YOGURT CAKE (10500g)</v>
          </cell>
          <cell r="C240" t="str">
            <v>KILO</v>
          </cell>
          <cell r="D240" t="str">
            <v>GRAMO</v>
          </cell>
          <cell r="E240">
            <v>1356.717147051859</v>
          </cell>
          <cell r="F240">
            <v>1.3567171470518591</v>
          </cell>
          <cell r="G240">
            <v>3.1315248243744573</v>
          </cell>
          <cell r="H240">
            <v>3.1315248243744573E-3</v>
          </cell>
          <cell r="I240">
            <v>47.738574473123371</v>
          </cell>
          <cell r="J240">
            <v>4.7738574473123373E-2</v>
          </cell>
        </row>
        <row r="241">
          <cell r="A241" t="str">
            <v>96362</v>
          </cell>
          <cell r="B241" t="str">
            <v>ADEREZO CULANTRO RANCH (500g)</v>
          </cell>
          <cell r="C241" t="str">
            <v>KILO</v>
          </cell>
          <cell r="D241" t="str">
            <v>GRAMO</v>
          </cell>
          <cell r="E241">
            <v>1313.3792668857036</v>
          </cell>
          <cell r="F241">
            <v>1.3133792668857036</v>
          </cell>
          <cell r="G241">
            <v>64.31460317543943</v>
          </cell>
          <cell r="H241">
            <v>6.4314603175439425E-2</v>
          </cell>
          <cell r="I241">
            <v>604.54374873079269</v>
          </cell>
          <cell r="J241">
            <v>0.60454374873079264</v>
          </cell>
        </row>
        <row r="242">
          <cell r="A242" t="str">
            <v>96367</v>
          </cell>
          <cell r="B242" t="str">
            <v>ADEREZO PESTO ALBAHACA (300g)</v>
          </cell>
          <cell r="C242" t="str">
            <v>KILO</v>
          </cell>
          <cell r="D242" t="str">
            <v>GRAMO</v>
          </cell>
          <cell r="E242">
            <v>3256.399145833333</v>
          </cell>
          <cell r="F242">
            <v>3.256399145833333</v>
          </cell>
          <cell r="G242">
            <v>54.084525925925938</v>
          </cell>
          <cell r="H242">
            <v>5.4084525925925934E-2</v>
          </cell>
          <cell r="I242">
            <v>566.93693693693706</v>
          </cell>
          <cell r="J242">
            <v>0.56693693693693703</v>
          </cell>
        </row>
        <row r="243">
          <cell r="A243" t="str">
            <v>96368</v>
          </cell>
          <cell r="B243" t="str">
            <v>COCCION CARNE PHILLY (500g)</v>
          </cell>
          <cell r="C243" t="str">
            <v>KILO</v>
          </cell>
          <cell r="D243" t="str">
            <v>GRAMO</v>
          </cell>
          <cell r="E243">
            <v>11091.887170000002</v>
          </cell>
          <cell r="F243">
            <v>11.091887170000001</v>
          </cell>
          <cell r="G243">
            <v>49.338826999999995</v>
          </cell>
          <cell r="H243">
            <v>4.9338826999999995E-2</v>
          </cell>
          <cell r="I243">
            <v>560</v>
          </cell>
          <cell r="J243">
            <v>0.56000000000000005</v>
          </cell>
        </row>
        <row r="244">
          <cell r="A244" t="str">
            <v>96369</v>
          </cell>
          <cell r="B244" t="str">
            <v>COCCION CEBOLLA PHILLY (200g)</v>
          </cell>
          <cell r="C244" t="str">
            <v>KILO</v>
          </cell>
          <cell r="D244" t="str">
            <v>GRAMO</v>
          </cell>
          <cell r="E244">
            <v>7895.8827233333341</v>
          </cell>
          <cell r="F244">
            <v>7.895882723333334</v>
          </cell>
          <cell r="G244">
            <v>123.34706749999999</v>
          </cell>
          <cell r="H244">
            <v>0.12334706749999999</v>
          </cell>
          <cell r="I244">
            <v>1400</v>
          </cell>
          <cell r="J244">
            <v>1.4</v>
          </cell>
        </row>
        <row r="245">
          <cell r="A245" t="str">
            <v>96370</v>
          </cell>
          <cell r="B245" t="str">
            <v>MEZCLA CLARAS P/TORTA (1700g)</v>
          </cell>
          <cell r="C245" t="str">
            <v>KILO</v>
          </cell>
          <cell r="D245" t="str">
            <v>GRAMO</v>
          </cell>
          <cell r="E245">
            <v>2967.8659223529412</v>
          </cell>
          <cell r="F245">
            <v>2.9678659223529413</v>
          </cell>
          <cell r="G245">
            <v>0</v>
          </cell>
          <cell r="H245">
            <v>0</v>
          </cell>
          <cell r="I245">
            <v>98.823529411764696</v>
          </cell>
          <cell r="J245">
            <v>9.8823529411764699E-2</v>
          </cell>
        </row>
        <row r="246">
          <cell r="A246" t="str">
            <v>96371</v>
          </cell>
          <cell r="B246" t="str">
            <v>MEZCLA DE HUEVOS ENTEROS P/TORTA (750g)</v>
          </cell>
          <cell r="C246" t="str">
            <v>KILO</v>
          </cell>
          <cell r="D246" t="str">
            <v>GRAMO</v>
          </cell>
          <cell r="E246">
            <v>1409.0171506666668</v>
          </cell>
          <cell r="F246">
            <v>1.4090171506666669</v>
          </cell>
          <cell r="G246">
            <v>0</v>
          </cell>
          <cell r="H246">
            <v>0</v>
          </cell>
          <cell r="I246">
            <v>224</v>
          </cell>
          <cell r="J246">
            <v>0.224</v>
          </cell>
        </row>
        <row r="247">
          <cell r="A247" t="str">
            <v>96372</v>
          </cell>
          <cell r="B247" t="str">
            <v>QUESO CHEDDAR BLANCO LAMINADO Y EMPACADO (1000g)</v>
          </cell>
          <cell r="C247" t="str">
            <v>KILO</v>
          </cell>
          <cell r="D247" t="str">
            <v>GRAMO</v>
          </cell>
          <cell r="E247">
            <v>9278.7842700000001</v>
          </cell>
          <cell r="F247">
            <v>9.2787842700000009</v>
          </cell>
          <cell r="G247">
            <v>52.097924444444445</v>
          </cell>
          <cell r="H247">
            <v>5.2097924444444443E-2</v>
          </cell>
          <cell r="I247">
            <v>224</v>
          </cell>
          <cell r="J247">
            <v>0.224</v>
          </cell>
        </row>
        <row r="248">
          <cell r="A248" t="str">
            <v>96373</v>
          </cell>
          <cell r="B248" t="str">
            <v>QUESO CHEDDAR LAMINADO Y EMPACADO (1000g)</v>
          </cell>
          <cell r="C248" t="str">
            <v>KILO</v>
          </cell>
          <cell r="D248" t="str">
            <v>GRAMO</v>
          </cell>
          <cell r="E248">
            <v>9065.4797699999999</v>
          </cell>
          <cell r="F248">
            <v>9.0654797699999996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96374</v>
          </cell>
          <cell r="B249" t="str">
            <v>QUESO GOUDA BLANCO LAMINADO Y EMPACADO (1000g)</v>
          </cell>
          <cell r="C249" t="str">
            <v>KILO</v>
          </cell>
          <cell r="D249" t="str">
            <v>GRAMO</v>
          </cell>
          <cell r="E249">
            <v>6766.1310899999999</v>
          </cell>
          <cell r="F249">
            <v>6.76613109</v>
          </cell>
          <cell r="G249">
            <v>52.103924444444445</v>
          </cell>
          <cell r="H249">
            <v>5.2103924444444442E-2</v>
          </cell>
          <cell r="I249">
            <v>224</v>
          </cell>
          <cell r="J249">
            <v>0.224</v>
          </cell>
        </row>
        <row r="250">
          <cell r="A250" t="str">
            <v>96375</v>
          </cell>
          <cell r="B250" t="str">
            <v>QUESO MONTERREY JACK LAMINADO Y EMPACADO (1000g)</v>
          </cell>
          <cell r="C250" t="str">
            <v>KILO</v>
          </cell>
          <cell r="D250" t="str">
            <v>GRAMO</v>
          </cell>
          <cell r="E250">
            <v>6933.1377600000005</v>
          </cell>
          <cell r="F250">
            <v>6.9331377600000001</v>
          </cell>
          <cell r="G250">
            <v>52.223357777777778</v>
          </cell>
          <cell r="H250">
            <v>5.2223357777777778E-2</v>
          </cell>
          <cell r="I250">
            <v>224</v>
          </cell>
          <cell r="J250">
            <v>0.224</v>
          </cell>
        </row>
        <row r="251">
          <cell r="A251" t="str">
            <v>96376</v>
          </cell>
          <cell r="B251" t="str">
            <v>SALCHICHA AMERICANA HORNEADA (300g)</v>
          </cell>
          <cell r="C251" t="str">
            <v>UND</v>
          </cell>
          <cell r="D251" t="str">
            <v>UND</v>
          </cell>
          <cell r="E251">
            <v>263.25</v>
          </cell>
          <cell r="F251">
            <v>263.25</v>
          </cell>
          <cell r="G251">
            <v>0</v>
          </cell>
          <cell r="H251">
            <v>0</v>
          </cell>
          <cell r="I251">
            <v>16.8</v>
          </cell>
          <cell r="J251">
            <v>16.8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KILO</v>
          </cell>
          <cell r="D252" t="str">
            <v>GRAMO</v>
          </cell>
          <cell r="E252">
            <v>263.25</v>
          </cell>
          <cell r="F252">
            <v>0.26324999999999998</v>
          </cell>
          <cell r="G252">
            <v>0</v>
          </cell>
          <cell r="H252">
            <v>0</v>
          </cell>
          <cell r="I252">
            <v>16.8</v>
          </cell>
          <cell r="J252">
            <v>1.6800000000000002E-2</v>
          </cell>
        </row>
        <row r="253">
          <cell r="A253" t="str">
            <v>96377</v>
          </cell>
          <cell r="B253" t="str">
            <v>SALSA CEBOLLA PHILLY (500g)</v>
          </cell>
          <cell r="C253" t="str">
            <v>KILO</v>
          </cell>
          <cell r="D253" t="str">
            <v>GRAMO</v>
          </cell>
          <cell r="E253">
            <v>2593.4490490000003</v>
          </cell>
          <cell r="F253">
            <v>2.5934490490000002</v>
          </cell>
          <cell r="G253">
            <v>0</v>
          </cell>
          <cell r="H253">
            <v>0</v>
          </cell>
          <cell r="I253">
            <v>560</v>
          </cell>
          <cell r="J253">
            <v>0.56000000000000005</v>
          </cell>
        </row>
        <row r="254">
          <cell r="A254" t="str">
            <v>96378</v>
          </cell>
          <cell r="B254" t="str">
            <v>TOCINETA TOSTADA (150g)</v>
          </cell>
          <cell r="C254" t="str">
            <v>KILO</v>
          </cell>
          <cell r="D254" t="str">
            <v>GRAMO</v>
          </cell>
          <cell r="E254">
            <v>12643.866666666667</v>
          </cell>
          <cell r="F254">
            <v>12.643866666666666</v>
          </cell>
          <cell r="G254">
            <v>0</v>
          </cell>
          <cell r="H254">
            <v>0</v>
          </cell>
          <cell r="I254">
            <v>1120</v>
          </cell>
          <cell r="J254">
            <v>1.1200000000000001</v>
          </cell>
        </row>
        <row r="255">
          <cell r="A255" t="str">
            <v>96379</v>
          </cell>
          <cell r="B255" t="str">
            <v>TORTA DE CLARAS (110g)</v>
          </cell>
          <cell r="C255" t="str">
            <v>UND</v>
          </cell>
          <cell r="D255" t="str">
            <v>UND</v>
          </cell>
          <cell r="E255">
            <v>508.87973196778529</v>
          </cell>
          <cell r="F255">
            <v>508.87973196778529</v>
          </cell>
          <cell r="G255">
            <v>0</v>
          </cell>
          <cell r="H255">
            <v>0</v>
          </cell>
          <cell r="I255">
            <v>33.881879194630869</v>
          </cell>
          <cell r="J255">
            <v>33.881879194630869</v>
          </cell>
        </row>
        <row r="256">
          <cell r="A256" t="str">
            <v>96380</v>
          </cell>
          <cell r="B256" t="str">
            <v>TORTA DE HUEVO (75g)</v>
          </cell>
          <cell r="C256" t="str">
            <v>UND</v>
          </cell>
          <cell r="D256" t="str">
            <v>UND</v>
          </cell>
          <cell r="E256">
            <v>107.84754888389264</v>
          </cell>
          <cell r="F256">
            <v>107.84754888389264</v>
          </cell>
          <cell r="G256">
            <v>2.838254697986577E-2</v>
          </cell>
          <cell r="H256">
            <v>2.838254697986577E-2</v>
          </cell>
          <cell r="I256">
            <v>39.340939597315433</v>
          </cell>
          <cell r="J256">
            <v>39.340939597315433</v>
          </cell>
        </row>
        <row r="257">
          <cell r="A257" t="str">
            <v>96381</v>
          </cell>
          <cell r="B257" t="str">
            <v>TORTA HUEVOS Y VEGETALES (75g)</v>
          </cell>
          <cell r="C257" t="str">
            <v>UND</v>
          </cell>
          <cell r="D257" t="str">
            <v>UND</v>
          </cell>
          <cell r="E257">
            <v>113.89141737722596</v>
          </cell>
          <cell r="F257">
            <v>113.89141737722596</v>
          </cell>
          <cell r="G257">
            <v>2.838254697986577E-2</v>
          </cell>
          <cell r="H257">
            <v>2.838254697986577E-2</v>
          </cell>
          <cell r="I257">
            <v>37.100939597315438</v>
          </cell>
          <cell r="J257">
            <v>37.100939597315438</v>
          </cell>
        </row>
        <row r="258">
          <cell r="A258" t="str">
            <v>96388</v>
          </cell>
          <cell r="B258" t="str">
            <v>BASE DE GALLETA DE CHOCOLATE (1000g)</v>
          </cell>
          <cell r="C258" t="str">
            <v>KILO</v>
          </cell>
          <cell r="D258" t="str">
            <v>GRAMO</v>
          </cell>
          <cell r="E258">
            <v>1553.7802000000001</v>
          </cell>
          <cell r="F258">
            <v>1.5537802000000001</v>
          </cell>
          <cell r="G258">
            <v>0</v>
          </cell>
          <cell r="H258">
            <v>0</v>
          </cell>
          <cell r="I258">
            <v>220</v>
          </cell>
          <cell r="J258">
            <v>0.22</v>
          </cell>
        </row>
        <row r="259">
          <cell r="A259" t="str">
            <v>96392</v>
          </cell>
          <cell r="B259" t="str">
            <v>BASTONES QUESO TURRIALBA P/TIQUEÑOS</v>
          </cell>
          <cell r="C259" t="str">
            <v>TANDA</v>
          </cell>
          <cell r="D259" t="str">
            <v>GRAMO</v>
          </cell>
          <cell r="E259">
            <v>27372.389999999996</v>
          </cell>
          <cell r="F259">
            <v>3.1828360465116274</v>
          </cell>
          <cell r="G259">
            <v>10.140034999999999</v>
          </cell>
          <cell r="H259">
            <v>1.1790738372093022E-3</v>
          </cell>
          <cell r="I259">
            <v>770</v>
          </cell>
          <cell r="J259">
            <v>8.9534883720930228E-2</v>
          </cell>
        </row>
        <row r="260">
          <cell r="A260" t="str">
            <v>96393</v>
          </cell>
          <cell r="B260" t="str">
            <v>BATIDO P/PAN BLANCO (24650g)</v>
          </cell>
          <cell r="C260" t="str">
            <v>KILO</v>
          </cell>
          <cell r="D260" t="str">
            <v>GRAMO</v>
          </cell>
          <cell r="E260">
            <v>496.04960787018251</v>
          </cell>
          <cell r="F260">
            <v>0.49604960787018249</v>
          </cell>
          <cell r="G260">
            <v>1.8606731317814482</v>
          </cell>
          <cell r="H260">
            <v>1.8606731317814481E-3</v>
          </cell>
          <cell r="I260">
            <v>20.081135902636916</v>
          </cell>
          <cell r="J260">
            <v>2.0081135902636917E-2</v>
          </cell>
        </row>
        <row r="261">
          <cell r="A261" t="str">
            <v>96395</v>
          </cell>
          <cell r="B261" t="str">
            <v>PRALINE C/CHOCOLATE BLANCO (2600g)</v>
          </cell>
          <cell r="C261" t="str">
            <v>KILO</v>
          </cell>
          <cell r="D261" t="str">
            <v>GRAMO</v>
          </cell>
          <cell r="E261">
            <v>4516.5968076923073</v>
          </cell>
          <cell r="F261">
            <v>4.5165968076923075</v>
          </cell>
          <cell r="G261">
            <v>8.6926923076923082</v>
          </cell>
          <cell r="H261">
            <v>8.6926923076923075E-3</v>
          </cell>
          <cell r="I261">
            <v>430.76923076923077</v>
          </cell>
          <cell r="J261">
            <v>0.43076923076923079</v>
          </cell>
        </row>
        <row r="262">
          <cell r="A262" t="str">
            <v>96396</v>
          </cell>
          <cell r="B262" t="str">
            <v>CREMA CHANTILLY BEIDGE (10400g)</v>
          </cell>
          <cell r="C262" t="str">
            <v>KILO</v>
          </cell>
          <cell r="D262" t="str">
            <v>GRAMO</v>
          </cell>
          <cell r="E262">
            <v>1565.0805096153845</v>
          </cell>
          <cell r="F262">
            <v>1.5650805096153844</v>
          </cell>
          <cell r="G262">
            <v>9.6249999999999988E-2</v>
          </cell>
          <cell r="H262">
            <v>9.6249999999999995E-5</v>
          </cell>
          <cell r="I262">
            <v>26.923076923076923</v>
          </cell>
          <cell r="J262">
            <v>2.6923076923076925E-2</v>
          </cell>
        </row>
        <row r="263">
          <cell r="A263" t="str">
            <v>96398</v>
          </cell>
          <cell r="B263" t="str">
            <v>ALMIBAR CON LICOR DE CAFE (3000g)</v>
          </cell>
          <cell r="C263" t="str">
            <v>TANDA</v>
          </cell>
          <cell r="D263" t="str">
            <v>MIlilitro</v>
          </cell>
          <cell r="E263">
            <v>9455.557774311821</v>
          </cell>
          <cell r="F263">
            <v>3.1518525914372737</v>
          </cell>
          <cell r="G263">
            <v>19.751088578274761</v>
          </cell>
          <cell r="H263">
            <v>6.5836961927582538E-3</v>
          </cell>
          <cell r="I263">
            <v>103.76198083067092</v>
          </cell>
          <cell r="J263">
            <v>3.4587326943556977E-2</v>
          </cell>
        </row>
        <row r="264">
          <cell r="A264" t="str">
            <v>96399</v>
          </cell>
          <cell r="B264" t="str">
            <v>BATIDO P/TORTA KALUA (7684g)</v>
          </cell>
          <cell r="C264" t="str">
            <v>KILO</v>
          </cell>
          <cell r="D264" t="str">
            <v>GRAMO</v>
          </cell>
          <cell r="E264">
            <v>2598.1708149431574</v>
          </cell>
          <cell r="F264">
            <v>2.5981708149431575</v>
          </cell>
          <cell r="G264">
            <v>7.0082209161000613</v>
          </cell>
          <cell r="H264">
            <v>7.0082209161000612E-3</v>
          </cell>
          <cell r="I264">
            <v>111.33659065921081</v>
          </cell>
          <cell r="J264">
            <v>0.11133659065921081</v>
          </cell>
        </row>
        <row r="265">
          <cell r="A265" t="str">
            <v>96409</v>
          </cell>
          <cell r="B265" t="str">
            <v>BASE PREMEZCLA CHOCOLATE PILLSBURY (6012g)</v>
          </cell>
          <cell r="C265" t="str">
            <v>TANDA</v>
          </cell>
          <cell r="D265" t="str">
            <v>GRAMO</v>
          </cell>
          <cell r="E265">
            <v>10026.521425312169</v>
          </cell>
          <cell r="F265">
            <v>1.667751401415863</v>
          </cell>
          <cell r="G265">
            <v>32.369083809523815</v>
          </cell>
          <cell r="H265">
            <v>5.3840791433007011E-3</v>
          </cell>
          <cell r="I265">
            <v>110</v>
          </cell>
          <cell r="J265">
            <v>1.8296739853626082E-2</v>
          </cell>
        </row>
        <row r="266">
          <cell r="A266" t="str">
            <v>96451</v>
          </cell>
          <cell r="B266" t="str">
            <v>MEZCLA TRES LECHES C/AGUA (2000g)</v>
          </cell>
          <cell r="C266" t="str">
            <v>Kilo</v>
          </cell>
          <cell r="D266" t="str">
            <v>Gramo</v>
          </cell>
          <cell r="E266">
            <v>866.54019873768948</v>
          </cell>
          <cell r="F266">
            <v>0.8665401987376895</v>
          </cell>
          <cell r="G266">
            <v>0</v>
          </cell>
          <cell r="H266">
            <v>0</v>
          </cell>
          <cell r="I266">
            <v>67.934680321062828</v>
          </cell>
          <cell r="J266">
            <v>6.7934680321062826E-2</v>
          </cell>
        </row>
        <row r="267">
          <cell r="A267" t="str">
            <v>96464</v>
          </cell>
          <cell r="B267" t="str">
            <v>EMPAQUE SALSA BLANCA SPOON  (5000g)</v>
          </cell>
          <cell r="C267" t="str">
            <v>KILO</v>
          </cell>
          <cell r="D267" t="str">
            <v>GRAMO</v>
          </cell>
          <cell r="E267">
            <v>1571.1600631712397</v>
          </cell>
          <cell r="F267">
            <v>1.5711600631712397</v>
          </cell>
          <cell r="G267">
            <v>7.751116539682541</v>
          </cell>
          <cell r="H267">
            <v>7.7511165396825406E-3</v>
          </cell>
          <cell r="I267">
            <v>37.179910350448246</v>
          </cell>
          <cell r="J267">
            <v>3.7179910350448243E-2</v>
          </cell>
        </row>
        <row r="268">
          <cell r="A268" t="str">
            <v>96465</v>
          </cell>
          <cell r="B268" t="str">
            <v>POLLO RECORTE EMPACADO (5000g)</v>
          </cell>
          <cell r="C268" t="str">
            <v>TANDA</v>
          </cell>
          <cell r="D268" t="str">
            <v>GRAMO</v>
          </cell>
          <cell r="E268">
            <v>18641.096729957804</v>
          </cell>
          <cell r="F268">
            <v>3.7282193459915609</v>
          </cell>
          <cell r="G268">
            <v>38.052083809523815</v>
          </cell>
          <cell r="H268">
            <v>7.6104167619047633E-3</v>
          </cell>
          <cell r="I268">
            <v>398.05379746835445</v>
          </cell>
          <cell r="J268">
            <v>7.9610759493670885E-2</v>
          </cell>
        </row>
        <row r="269">
          <cell r="A269" t="str">
            <v>96466</v>
          </cell>
          <cell r="B269" t="str">
            <v>POLLO DESMENUZADO MARMITA EMPACADO (5000g)</v>
          </cell>
          <cell r="C269" t="str">
            <v>BOLSA</v>
          </cell>
          <cell r="D269" t="str">
            <v>GRAMO</v>
          </cell>
          <cell r="E269">
            <v>21923.708020833335</v>
          </cell>
          <cell r="F269">
            <v>4.3847416041666669</v>
          </cell>
          <cell r="G269">
            <v>38.810127142857141</v>
          </cell>
          <cell r="H269">
            <v>7.762025428571428E-3</v>
          </cell>
          <cell r="I269">
            <v>828.4375</v>
          </cell>
          <cell r="J269">
            <v>0.16568749999999999</v>
          </cell>
        </row>
        <row r="270">
          <cell r="A270" t="str">
            <v>96467</v>
          </cell>
          <cell r="B270" t="str">
            <v>ARROZ PRECOCIDO P/GALLO PINTO EMPACADO (5000g)</v>
          </cell>
          <cell r="C270" t="str">
            <v>TANDA</v>
          </cell>
          <cell r="D270" t="str">
            <v>GRAMO</v>
          </cell>
          <cell r="E270">
            <v>3631.635473608098</v>
          </cell>
          <cell r="F270">
            <v>0.7263270947216196</v>
          </cell>
          <cell r="G270">
            <v>80.961763325069739</v>
          </cell>
          <cell r="H270">
            <v>1.6192352665013947E-2</v>
          </cell>
          <cell r="I270">
            <v>399.93763557483732</v>
          </cell>
          <cell r="J270">
            <v>7.9987527114967469E-2</v>
          </cell>
        </row>
        <row r="271">
          <cell r="A271" t="str">
            <v>96468</v>
          </cell>
          <cell r="B271" t="str">
            <v>FRIJOLES P/GALLO PINTO EMPACADOS (4000g)</v>
          </cell>
          <cell r="C271" t="str">
            <v>TANDA</v>
          </cell>
          <cell r="D271" t="str">
            <v>GRAMO</v>
          </cell>
          <cell r="E271">
            <v>2763.0171543895058</v>
          </cell>
          <cell r="F271">
            <v>0.69075428859737642</v>
          </cell>
          <cell r="G271">
            <v>31.588019937212692</v>
          </cell>
          <cell r="H271">
            <v>7.8970049843031728E-3</v>
          </cell>
          <cell r="I271">
            <v>195.51715438950555</v>
          </cell>
          <cell r="J271">
            <v>4.8879288597376384E-2</v>
          </cell>
        </row>
        <row r="272">
          <cell r="A272" t="str">
            <v>96475</v>
          </cell>
          <cell r="B272" t="str">
            <v>COCCION CREMA TOMATE (18500g)</v>
          </cell>
          <cell r="C272" t="str">
            <v>KILO</v>
          </cell>
          <cell r="D272" t="str">
            <v>GRAMO</v>
          </cell>
          <cell r="E272">
            <v>1122.8780081600833</v>
          </cell>
          <cell r="F272">
            <v>1.1228780081600833</v>
          </cell>
          <cell r="G272">
            <v>0</v>
          </cell>
          <cell r="H272">
            <v>0</v>
          </cell>
          <cell r="I272">
            <v>29.198841698841701</v>
          </cell>
          <cell r="J272">
            <v>2.9198841698841699E-2</v>
          </cell>
        </row>
        <row r="273">
          <cell r="A273" t="str">
            <v>96476</v>
          </cell>
          <cell r="B273" t="str">
            <v>BASE PREMEZCLA P/EMPANADA STB (9456g)</v>
          </cell>
          <cell r="C273" t="str">
            <v>TANDA</v>
          </cell>
          <cell r="D273" t="str">
            <v>GRAMO</v>
          </cell>
          <cell r="E273">
            <v>3544.9617000000003</v>
          </cell>
          <cell r="F273">
            <v>0.37489019670050766</v>
          </cell>
          <cell r="G273">
            <v>35.065582698412705</v>
          </cell>
          <cell r="H273">
            <v>3.7082892024548121E-3</v>
          </cell>
          <cell r="I273">
            <v>168</v>
          </cell>
          <cell r="J273">
            <v>1.7766497461928935E-2</v>
          </cell>
        </row>
        <row r="274">
          <cell r="A274" t="str">
            <v>96477</v>
          </cell>
          <cell r="B274" t="str">
            <v>PASTA P/EMPANADA STB (16000g)</v>
          </cell>
          <cell r="C274" t="str">
            <v>KILO</v>
          </cell>
          <cell r="D274" t="str">
            <v>GRAMO</v>
          </cell>
          <cell r="E274">
            <v>796.91226375000008</v>
          </cell>
          <cell r="F274">
            <v>0.79691226375000013</v>
          </cell>
          <cell r="G274">
            <v>2.191598918650794</v>
          </cell>
          <cell r="H274">
            <v>2.1915989186507942E-3</v>
          </cell>
          <cell r="I274">
            <v>44.875</v>
          </cell>
          <cell r="J274">
            <v>4.4874999999999998E-2</v>
          </cell>
        </row>
        <row r="275">
          <cell r="A275" t="str">
            <v>96478</v>
          </cell>
          <cell r="B275" t="str">
            <v>RECTANGULOS DE PASTA P/EMPANADA STB (UND)</v>
          </cell>
          <cell r="C275" t="str">
            <v>UND</v>
          </cell>
          <cell r="D275" t="str">
            <v>UND</v>
          </cell>
          <cell r="E275">
            <v>52.184340622010872</v>
          </cell>
          <cell r="F275">
            <v>52.184340622010872</v>
          </cell>
          <cell r="G275">
            <v>0.14245392971230164</v>
          </cell>
          <cell r="H275">
            <v>0.14245392971230164</v>
          </cell>
          <cell r="I275">
            <v>6.50383152173913</v>
          </cell>
          <cell r="J275">
            <v>6.50383152173913</v>
          </cell>
        </row>
        <row r="276">
          <cell r="A276" t="str">
            <v>96479</v>
          </cell>
          <cell r="B276" t="str">
            <v>RUEDA P/EMPANADA STB (UND)</v>
          </cell>
          <cell r="C276" t="str">
            <v>UND</v>
          </cell>
          <cell r="D276" t="str">
            <v>UND</v>
          </cell>
          <cell r="E276">
            <v>48.379197015000003</v>
          </cell>
          <cell r="F276">
            <v>48.379197015000003</v>
          </cell>
          <cell r="G276">
            <v>0.13066080357142856</v>
          </cell>
          <cell r="H276">
            <v>0.13066080357142856</v>
          </cell>
          <cell r="I276">
            <v>6.0525000000000002</v>
          </cell>
          <cell r="J276">
            <v>6.0525000000000002</v>
          </cell>
        </row>
        <row r="277">
          <cell r="A277" t="str">
            <v>96480</v>
          </cell>
          <cell r="B277" t="str">
            <v>RELLENO POLLO Y HONGOS STB EMPACADO (4000g)</v>
          </cell>
          <cell r="C277" t="str">
            <v>KILO</v>
          </cell>
          <cell r="D277" t="str">
            <v>GRAMO</v>
          </cell>
          <cell r="E277">
            <v>3397.7394979447758</v>
          </cell>
          <cell r="F277">
            <v>3.3977394979447757</v>
          </cell>
          <cell r="G277">
            <v>6.8891455555555563</v>
          </cell>
          <cell r="H277">
            <v>6.8891455555555566E-3</v>
          </cell>
          <cell r="I277">
            <v>241.83476259980947</v>
          </cell>
          <cell r="J277">
            <v>0.24183476259980946</v>
          </cell>
        </row>
        <row r="278">
          <cell r="A278" t="str">
            <v>96481</v>
          </cell>
          <cell r="B278" t="str">
            <v>RELLENO CAPRESSE STB EMPACADO (4000g)</v>
          </cell>
          <cell r="C278" t="str">
            <v>KILO</v>
          </cell>
          <cell r="D278" t="str">
            <v>GRAMO</v>
          </cell>
          <cell r="E278">
            <v>2734.9109968887979</v>
          </cell>
          <cell r="F278">
            <v>2.7349109968887979</v>
          </cell>
          <cell r="G278">
            <v>0.63700000000000001</v>
          </cell>
          <cell r="H278">
            <v>6.3699999999999998E-4</v>
          </cell>
          <cell r="I278">
            <v>165.82375204924509</v>
          </cell>
          <cell r="J278">
            <v>0.1658237520492451</v>
          </cell>
        </row>
        <row r="279">
          <cell r="A279" t="str">
            <v>96482</v>
          </cell>
          <cell r="B279" t="str">
            <v>RELLENO JAMON Y QUESO STB (4000g)</v>
          </cell>
          <cell r="C279" t="str">
            <v>KILO</v>
          </cell>
          <cell r="D279" t="str">
            <v>GRAMO</v>
          </cell>
          <cell r="E279">
            <v>2451.1142236052137</v>
          </cell>
          <cell r="F279">
            <v>2.4511142236052139</v>
          </cell>
          <cell r="G279">
            <v>6.7954622222222225</v>
          </cell>
          <cell r="H279">
            <v>6.7954622222222228E-3</v>
          </cell>
          <cell r="I279">
            <v>474.39387384356604</v>
          </cell>
          <cell r="J279">
            <v>0.47439387384356602</v>
          </cell>
        </row>
        <row r="280">
          <cell r="A280" t="str">
            <v>96483</v>
          </cell>
          <cell r="B280" t="str">
            <v>EMPANADA CAPRESSE STB (UND)</v>
          </cell>
          <cell r="C280" t="str">
            <v>UND</v>
          </cell>
          <cell r="D280" t="str">
            <v>UND</v>
          </cell>
          <cell r="E280">
            <v>189.12989046645077</v>
          </cell>
          <cell r="F280">
            <v>189.12989046645077</v>
          </cell>
          <cell r="G280">
            <v>9.459746492212302</v>
          </cell>
          <cell r="H280">
            <v>9.459746492212302</v>
          </cell>
          <cell r="I280">
            <v>35.420019124201389</v>
          </cell>
          <cell r="J280">
            <v>35.420019124201389</v>
          </cell>
        </row>
        <row r="281">
          <cell r="A281" t="str">
            <v>96484</v>
          </cell>
          <cell r="B281" t="str">
            <v>EMPANADA JAMON Y QUESO (UND)</v>
          </cell>
          <cell r="C281" t="str">
            <v>UND</v>
          </cell>
          <cell r="D281" t="str">
            <v>UND</v>
          </cell>
          <cell r="E281">
            <v>174.96650794651072</v>
          </cell>
          <cell r="F281">
            <v>174.96650794651072</v>
          </cell>
          <cell r="G281">
            <v>8.8327253432539674</v>
          </cell>
          <cell r="H281">
            <v>8.8327253432539674</v>
          </cell>
          <cell r="I281">
            <v>51.219693692178296</v>
          </cell>
          <cell r="J281">
            <v>51.219693692178296</v>
          </cell>
        </row>
        <row r="282">
          <cell r="A282" t="str">
            <v>96485</v>
          </cell>
          <cell r="B282" t="str">
            <v>EMPANADA POLLO Y HONGOS STB (UND)</v>
          </cell>
          <cell r="C282" t="str">
            <v>UND</v>
          </cell>
          <cell r="D282" t="str">
            <v>UND</v>
          </cell>
          <cell r="E282">
            <v>226.70396911503602</v>
          </cell>
          <cell r="F282">
            <v>226.70396911503602</v>
          </cell>
          <cell r="G282">
            <v>0.47511808134920641</v>
          </cell>
          <cell r="H282">
            <v>0.47511808134920641</v>
          </cell>
          <cell r="I282">
            <v>46.336545822298163</v>
          </cell>
          <cell r="J282">
            <v>46.336545822298163</v>
          </cell>
        </row>
        <row r="283">
          <cell r="A283" t="str">
            <v>96486</v>
          </cell>
          <cell r="B283" t="str">
            <v>RELLENO CARNE CON ACEITUNAS EMPACADO (2000g)</v>
          </cell>
          <cell r="C283" t="str">
            <v>KILO</v>
          </cell>
          <cell r="D283" t="str">
            <v>GRAMO</v>
          </cell>
          <cell r="E283">
            <v>3198.589746943192</v>
          </cell>
          <cell r="F283">
            <v>3.1985897469431919</v>
          </cell>
          <cell r="G283">
            <v>28.689440516707077</v>
          </cell>
          <cell r="H283">
            <v>2.8689440516707077E-2</v>
          </cell>
          <cell r="I283">
            <v>402.68474645994223</v>
          </cell>
          <cell r="J283">
            <v>0.40268474645994223</v>
          </cell>
        </row>
        <row r="284">
          <cell r="A284" t="str">
            <v>96487</v>
          </cell>
          <cell r="B284" t="str">
            <v>EMPANADA CARNE C/ACEITUNAS STB (UND)</v>
          </cell>
          <cell r="C284" t="str">
            <v>UND</v>
          </cell>
          <cell r="D284" t="str">
            <v>UND</v>
          </cell>
          <cell r="E284">
            <v>217.7416789246596</v>
          </cell>
          <cell r="F284">
            <v>217.7416789246596</v>
          </cell>
          <cell r="G284">
            <v>9.7033764771825393</v>
          </cell>
          <cell r="H284">
            <v>9.7033764771825393</v>
          </cell>
          <cell r="I284">
            <v>53.724237322997112</v>
          </cell>
          <cell r="J284">
            <v>53.724237322997112</v>
          </cell>
        </row>
        <row r="285">
          <cell r="A285" t="str">
            <v>904000013</v>
          </cell>
          <cell r="B285" t="str">
            <v>EMPAQUE MAYONESA (3000g)</v>
          </cell>
          <cell r="C285" t="str">
            <v>TANDA</v>
          </cell>
          <cell r="D285" t="str">
            <v>GRAMO</v>
          </cell>
          <cell r="E285">
            <v>38618.906589806043</v>
          </cell>
          <cell r="F285">
            <v>1.0325910852889317</v>
          </cell>
          <cell r="G285">
            <v>6.4795834880450069</v>
          </cell>
          <cell r="H285">
            <v>1.7325089540227293E-4</v>
          </cell>
          <cell r="I285">
            <v>2242.5316455696202</v>
          </cell>
          <cell r="J285">
            <v>5.996073918635348E-2</v>
          </cell>
        </row>
        <row r="286">
          <cell r="A286" t="str">
            <v>96488</v>
          </cell>
          <cell r="B286" t="str">
            <v>ROSQUETE CUADRADO TRES LECHES (330g)</v>
          </cell>
          <cell r="C286" t="str">
            <v>UND</v>
          </cell>
          <cell r="D286" t="str">
            <v>UND</v>
          </cell>
          <cell r="E286">
            <v>329.13105196412442</v>
          </cell>
          <cell r="F286">
            <v>329.13105196412442</v>
          </cell>
          <cell r="G286">
            <v>1.2382540299524487</v>
          </cell>
          <cell r="H286">
            <v>1.2382540299524487</v>
          </cell>
          <cell r="I286">
            <v>28.483709579011595</v>
          </cell>
          <cell r="J286">
            <v>28.483709579011595</v>
          </cell>
        </row>
        <row r="287">
          <cell r="A287" t="str">
            <v>95356</v>
          </cell>
          <cell r="B287" t="str">
            <v>ROSQUETE TRES LECHES (1000g)</v>
          </cell>
          <cell r="C287" t="str">
            <v>UND</v>
          </cell>
          <cell r="D287" t="str">
            <v>UND</v>
          </cell>
          <cell r="E287">
            <v>733.13104330022384</v>
          </cell>
          <cell r="F287">
            <v>733.13104330022384</v>
          </cell>
          <cell r="G287">
            <v>11.238521567375347</v>
          </cell>
          <cell r="H287">
            <v>11.238521567375347</v>
          </cell>
          <cell r="I287">
            <v>48.803930968360504</v>
          </cell>
          <cell r="J287">
            <v>48.803930968360504</v>
          </cell>
        </row>
        <row r="288">
          <cell r="A288" t="str">
            <v>96389</v>
          </cell>
          <cell r="B288" t="str">
            <v>MOUSSE P/POSTRE COOKIES AND CREAM (1800g)</v>
          </cell>
          <cell r="C288" t="str">
            <v>KILO</v>
          </cell>
          <cell r="D288" t="str">
            <v>GRAMO</v>
          </cell>
          <cell r="E288">
            <v>3412.0520363595087</v>
          </cell>
          <cell r="F288">
            <v>3.4120520363595088</v>
          </cell>
          <cell r="G288">
            <v>9.090277777777777E-3</v>
          </cell>
          <cell r="H288">
            <v>9.0902777777777772E-6</v>
          </cell>
          <cell r="I288">
            <v>157.77243589743591</v>
          </cell>
          <cell r="J288">
            <v>0.15777243589743592</v>
          </cell>
        </row>
        <row r="289">
          <cell r="A289" t="str">
            <v>96390</v>
          </cell>
          <cell r="B289" t="str">
            <v>BASE CHOCOLATE Y ALMENDRAS P/MINI POSTRE (1000g)</v>
          </cell>
          <cell r="C289" t="str">
            <v>KILO</v>
          </cell>
          <cell r="D289" t="str">
            <v>GRAMO</v>
          </cell>
          <cell r="E289">
            <v>4564.1309955584647</v>
          </cell>
          <cell r="F289">
            <v>4.5641309955584646</v>
          </cell>
          <cell r="G289">
            <v>0.4859724379484196</v>
          </cell>
          <cell r="H289">
            <v>4.859724379484196E-4</v>
          </cell>
          <cell r="I289">
            <v>195.95549738219896</v>
          </cell>
          <cell r="J289">
            <v>0.19595549738219895</v>
          </cell>
        </row>
        <row r="290">
          <cell r="A290" t="str">
            <v>96391</v>
          </cell>
          <cell r="B290" t="str">
            <v>MOUSSE CHOCOLATE DARK C/COBERTURA (6000g)</v>
          </cell>
          <cell r="C290" t="str">
            <v>KILO</v>
          </cell>
          <cell r="D290" t="str">
            <v>GRAMO</v>
          </cell>
          <cell r="E290">
            <v>3291.487916666666</v>
          </cell>
          <cell r="F290">
            <v>3.2914879166666662</v>
          </cell>
          <cell r="G290">
            <v>6.3433650000000004</v>
          </cell>
          <cell r="H290">
            <v>6.3433650000000001E-3</v>
          </cell>
          <cell r="I290">
            <v>140</v>
          </cell>
          <cell r="J290">
            <v>0.14000000000000001</v>
          </cell>
        </row>
        <row r="291">
          <cell r="A291" t="str">
            <v>95584</v>
          </cell>
          <cell r="B291" t="str">
            <v>RELLENO QUESO P/CHESSE CAKE HORNEADO (12800g)</v>
          </cell>
          <cell r="C291" t="str">
            <v>KILO</v>
          </cell>
          <cell r="D291" t="str">
            <v>GRAMO</v>
          </cell>
          <cell r="E291">
            <v>2306.3680384765626</v>
          </cell>
          <cell r="F291">
            <v>2.3063680384765624</v>
          </cell>
          <cell r="G291">
            <v>0</v>
          </cell>
          <cell r="H291">
            <v>0</v>
          </cell>
          <cell r="I291">
            <v>25.78125</v>
          </cell>
          <cell r="J291">
            <v>2.5781249999999999E-2</v>
          </cell>
        </row>
        <row r="292">
          <cell r="A292" t="str">
            <v>95702</v>
          </cell>
          <cell r="B292" t="str">
            <v>RELLENO QUESO BASE P/CHESSE CAKE SPOON (7.8 Kg)</v>
          </cell>
          <cell r="C292" t="str">
            <v>KILO</v>
          </cell>
          <cell r="D292" t="str">
            <v>GRAMO</v>
          </cell>
          <cell r="E292">
            <v>1798.4060811282054</v>
          </cell>
          <cell r="F292">
            <v>1.7984060811282054</v>
          </cell>
          <cell r="G292">
            <v>0</v>
          </cell>
          <cell r="H292">
            <v>0</v>
          </cell>
          <cell r="I292">
            <v>105.76923076923077</v>
          </cell>
          <cell r="J292">
            <v>0.10576923076923077</v>
          </cell>
        </row>
        <row r="293">
          <cell r="A293" t="str">
            <v>95833</v>
          </cell>
          <cell r="B293" t="str">
            <v>ROSQUETE MELOCOTON PURATOS (300g)</v>
          </cell>
          <cell r="C293" t="str">
            <v>UND</v>
          </cell>
          <cell r="D293" t="str">
            <v>UND</v>
          </cell>
          <cell r="E293">
            <v>354.48884494634626</v>
          </cell>
          <cell r="F293">
            <v>354.48884494634626</v>
          </cell>
          <cell r="G293">
            <v>9.2045736593345016</v>
          </cell>
          <cell r="H293">
            <v>9.2045736593345016</v>
          </cell>
          <cell r="I293">
            <v>18.692332962886429</v>
          </cell>
          <cell r="J293">
            <v>18.692332962886429</v>
          </cell>
        </row>
        <row r="294">
          <cell r="A294" t="str">
            <v>95857</v>
          </cell>
          <cell r="B294" t="str">
            <v>ROSQUETE CHOCOLATE SPOON RED. (320g)</v>
          </cell>
          <cell r="C294" t="str">
            <v>UND</v>
          </cell>
          <cell r="D294" t="str">
            <v>UND</v>
          </cell>
          <cell r="E294">
            <v>395.76817663200347</v>
          </cell>
          <cell r="F294">
            <v>395.76817663200347</v>
          </cell>
          <cell r="G294">
            <v>5.8299605890354398</v>
          </cell>
          <cell r="H294">
            <v>5.8299605890354398</v>
          </cell>
          <cell r="I294">
            <v>16.8969495634217</v>
          </cell>
          <cell r="J294">
            <v>16.8969495634217</v>
          </cell>
        </row>
        <row r="295">
          <cell r="A295" t="str">
            <v>96273</v>
          </cell>
          <cell r="B295" t="str">
            <v>CORTE GALLETA PEQ P/TORTA CHILENA (UND)</v>
          </cell>
          <cell r="C295" t="str">
            <v>UND</v>
          </cell>
          <cell r="D295" t="str">
            <v>UND</v>
          </cell>
          <cell r="E295">
            <v>91.259726746921174</v>
          </cell>
          <cell r="F295">
            <v>91.259726746921174</v>
          </cell>
          <cell r="G295">
            <v>0.71619935522714828</v>
          </cell>
          <cell r="H295">
            <v>0.71619935522714828</v>
          </cell>
          <cell r="I295">
            <v>21.555665024630542</v>
          </cell>
          <cell r="J295">
            <v>21.555665024630542</v>
          </cell>
        </row>
        <row r="296">
          <cell r="A296" t="str">
            <v>906000005</v>
          </cell>
          <cell r="B296" t="str">
            <v>EMPANADA DE POLLO PEQUEÑA  (UND)</v>
          </cell>
          <cell r="C296" t="str">
            <v>UND</v>
          </cell>
          <cell r="D296" t="str">
            <v>UND</v>
          </cell>
          <cell r="E296">
            <v>57.013804147782189</v>
          </cell>
          <cell r="F296">
            <v>57.013804147782189</v>
          </cell>
          <cell r="G296">
            <v>0.71571045852291038</v>
          </cell>
          <cell r="H296">
            <v>0.71571045852291038</v>
          </cell>
          <cell r="I296">
            <v>26.79662026328894</v>
          </cell>
          <cell r="J296">
            <v>26.79662026328894</v>
          </cell>
        </row>
        <row r="297">
          <cell r="A297" t="str">
            <v>96259</v>
          </cell>
          <cell r="B297" t="str">
            <v>EMPAQUE RELLENO QUESOS P/EMPANADA (3000g)</v>
          </cell>
          <cell r="C297" t="str">
            <v>TANDA</v>
          </cell>
          <cell r="D297" t="str">
            <v>GRAMO</v>
          </cell>
          <cell r="E297">
            <v>12479.353705098036</v>
          </cell>
          <cell r="F297">
            <v>4.1597845683660122</v>
          </cell>
          <cell r="G297">
            <v>29.449485658693998</v>
          </cell>
          <cell r="H297">
            <v>9.8164952195646665E-3</v>
          </cell>
          <cell r="I297">
            <v>386.37813211845105</v>
          </cell>
          <cell r="J297">
            <v>0.12879271070615034</v>
          </cell>
        </row>
        <row r="298">
          <cell r="A298" t="str">
            <v>96262</v>
          </cell>
          <cell r="B298" t="str">
            <v>EMPANADITA TRES QUESOS (UND)</v>
          </cell>
          <cell r="C298" t="str">
            <v>UND</v>
          </cell>
          <cell r="D298" t="str">
            <v>UND</v>
          </cell>
          <cell r="E298">
            <v>109.40284685546278</v>
          </cell>
          <cell r="F298">
            <v>109.40284685546278</v>
          </cell>
          <cell r="G298">
            <v>4.0610150815414059E-3</v>
          </cell>
          <cell r="H298">
            <v>4.0610150815414059E-3</v>
          </cell>
          <cell r="I298">
            <v>32.182415602202546</v>
          </cell>
          <cell r="J298">
            <v>32.182415602202546</v>
          </cell>
        </row>
        <row r="299">
          <cell r="A299" t="str">
            <v>95152</v>
          </cell>
          <cell r="B299" t="str">
            <v>EMPAQUE RELLENO JAMON P/ ARROLLADO (2000g)</v>
          </cell>
          <cell r="C299" t="str">
            <v>KILO</v>
          </cell>
          <cell r="D299" t="str">
            <v>GRAMO</v>
          </cell>
          <cell r="E299">
            <v>3053.0307908769746</v>
          </cell>
          <cell r="F299">
            <v>3.0530307908769747</v>
          </cell>
          <cell r="G299">
            <v>6.1319432886334617</v>
          </cell>
          <cell r="H299">
            <v>6.1319432886334617E-3</v>
          </cell>
          <cell r="I299">
            <v>74.597701149425291</v>
          </cell>
          <cell r="J299">
            <v>7.4597701149425294E-2</v>
          </cell>
        </row>
        <row r="300">
          <cell r="A300" t="str">
            <v>95230</v>
          </cell>
          <cell r="B300" t="str">
            <v>ARROLLADO DE JAMON (UND)</v>
          </cell>
          <cell r="C300" t="str">
            <v>UND</v>
          </cell>
          <cell r="D300" t="str">
            <v>UND</v>
          </cell>
          <cell r="E300">
            <v>122.67460640985297</v>
          </cell>
          <cell r="F300">
            <v>122.67460640985297</v>
          </cell>
          <cell r="G300">
            <v>1.2535177289265251</v>
          </cell>
          <cell r="H300">
            <v>1.2535177289265251</v>
          </cell>
          <cell r="I300">
            <v>33.979038314581437</v>
          </cell>
          <cell r="J300">
            <v>33.979038314581437</v>
          </cell>
        </row>
        <row r="301">
          <cell r="A301" t="str">
            <v>95475</v>
          </cell>
          <cell r="B301" t="str">
            <v>PAÑUELO ESPINACA C/RICOTTA (UND)</v>
          </cell>
          <cell r="C301" t="str">
            <v>UND</v>
          </cell>
          <cell r="D301" t="str">
            <v>UND</v>
          </cell>
          <cell r="E301">
            <v>137.21388281956311</v>
          </cell>
          <cell r="F301">
            <v>137.21388281956311</v>
          </cell>
          <cell r="G301">
            <v>0.72944441322726261</v>
          </cell>
          <cell r="H301">
            <v>0.72944441322726261</v>
          </cell>
          <cell r="I301">
            <v>36.400315884852304</v>
          </cell>
          <cell r="J301">
            <v>36.400315884852304</v>
          </cell>
        </row>
        <row r="302">
          <cell r="A302" t="str">
            <v>95446</v>
          </cell>
          <cell r="B302" t="str">
            <v>CANASTITA DULCE S/RELLENO (UND)</v>
          </cell>
          <cell r="C302" t="str">
            <v>UND</v>
          </cell>
          <cell r="D302" t="str">
            <v>UND</v>
          </cell>
          <cell r="E302">
            <v>24.2312115887846</v>
          </cell>
          <cell r="F302">
            <v>24.2312115887846</v>
          </cell>
          <cell r="G302">
            <v>0.13405430483116884</v>
          </cell>
          <cell r="H302">
            <v>0.13405430483116884</v>
          </cell>
          <cell r="I302">
            <v>13.337333333333333</v>
          </cell>
          <cell r="J302">
            <v>13.337333333333333</v>
          </cell>
        </row>
        <row r="303">
          <cell r="A303" t="str">
            <v>95253</v>
          </cell>
          <cell r="B303" t="str">
            <v>PLANCHA BROWNIE (1950g)</v>
          </cell>
          <cell r="C303" t="str">
            <v>UND</v>
          </cell>
          <cell r="D303" t="str">
            <v>UND</v>
          </cell>
          <cell r="E303">
            <v>3077.5122504999999</v>
          </cell>
          <cell r="F303">
            <v>3077.5122504999999</v>
          </cell>
          <cell r="G303">
            <v>33.108337615277776</v>
          </cell>
          <cell r="H303">
            <v>33.108337615277776</v>
          </cell>
          <cell r="I303">
            <v>184.57847222222222</v>
          </cell>
          <cell r="J303">
            <v>184.57847222222222</v>
          </cell>
        </row>
        <row r="304">
          <cell r="A304" t="str">
            <v>95519</v>
          </cell>
          <cell r="B304" t="str">
            <v>ROSQUETE VAINILLA BUCCA (1200g)</v>
          </cell>
          <cell r="C304" t="str">
            <v>UND</v>
          </cell>
          <cell r="D304" t="str">
            <v>UND</v>
          </cell>
          <cell r="E304">
            <v>1223.9160074044096</v>
          </cell>
          <cell r="F304">
            <v>1223.9160074044096</v>
          </cell>
          <cell r="G304">
            <v>24.193430851167854</v>
          </cell>
          <cell r="H304">
            <v>24.193430851167854</v>
          </cell>
          <cell r="I304">
            <v>40.990017742806444</v>
          </cell>
          <cell r="J304">
            <v>40.990017742806444</v>
          </cell>
        </row>
        <row r="305">
          <cell r="A305" t="str">
            <v>96235</v>
          </cell>
          <cell r="B305" t="str">
            <v>CANASTA REDONDA (30g)</v>
          </cell>
          <cell r="C305" t="str">
            <v>UND</v>
          </cell>
          <cell r="D305" t="str">
            <v>UND</v>
          </cell>
          <cell r="E305">
            <v>55.485211661052638</v>
          </cell>
          <cell r="F305">
            <v>55.485211661052638</v>
          </cell>
          <cell r="G305">
            <v>0.41374383057644121</v>
          </cell>
          <cell r="H305">
            <v>0.41374383057644121</v>
          </cell>
          <cell r="I305">
            <v>20.223076923076921</v>
          </cell>
          <cell r="J305">
            <v>20.223076923076921</v>
          </cell>
        </row>
        <row r="306">
          <cell r="A306" t="str">
            <v>96285</v>
          </cell>
          <cell r="B306" t="str">
            <v>ROSQUETE CHOCOLATE (50g)</v>
          </cell>
          <cell r="C306" t="str">
            <v>UND</v>
          </cell>
          <cell r="D306" t="str">
            <v>UND</v>
          </cell>
          <cell r="E306">
            <v>64.920020827704391</v>
          </cell>
          <cell r="F306">
            <v>64.920020827704391</v>
          </cell>
          <cell r="G306">
            <v>1.6945652336553261</v>
          </cell>
          <cell r="H306">
            <v>1.6945652336553261</v>
          </cell>
          <cell r="I306">
            <v>8.6622596368573692</v>
          </cell>
          <cell r="J306">
            <v>8.6622596368573692</v>
          </cell>
        </row>
        <row r="307">
          <cell r="A307" t="str">
            <v>95372</v>
          </cell>
          <cell r="B307" t="str">
            <v>BASE PREMEZCLA TURRON ALMENDRA (3047g)</v>
          </cell>
          <cell r="C307" t="str">
            <v>TANDA</v>
          </cell>
          <cell r="D307" t="str">
            <v>GRAMO</v>
          </cell>
          <cell r="E307">
            <v>1537.6218530000001</v>
          </cell>
          <cell r="F307">
            <v>0.50463467443386945</v>
          </cell>
          <cell r="G307">
            <v>21.822725555555557</v>
          </cell>
          <cell r="H307">
            <v>7.1620366116033991E-3</v>
          </cell>
          <cell r="I307">
            <v>110</v>
          </cell>
          <cell r="J307">
            <v>3.6101083032490974E-2</v>
          </cell>
        </row>
        <row r="308">
          <cell r="A308" t="str">
            <v>96358</v>
          </cell>
          <cell r="B308" t="str">
            <v>BATIDO P/TURRON ALMENDRAS (5760g)</v>
          </cell>
          <cell r="C308" t="str">
            <v>KILO</v>
          </cell>
          <cell r="D308" t="str">
            <v>GRAMO</v>
          </cell>
          <cell r="E308">
            <v>2349.0428222222222</v>
          </cell>
          <cell r="F308">
            <v>2.3490428222222222</v>
          </cell>
          <cell r="G308">
            <v>3.7886732253086417</v>
          </cell>
          <cell r="H308">
            <v>3.7886732253086417E-3</v>
          </cell>
          <cell r="I308">
            <v>76.736111111111114</v>
          </cell>
          <cell r="J308">
            <v>7.6736111111111116E-2</v>
          </cell>
        </row>
        <row r="309">
          <cell r="A309" t="str">
            <v>95103</v>
          </cell>
          <cell r="B309" t="str">
            <v>MEDIA LUNA CUBIERTA CHOCOLATE LECHE (UND)</v>
          </cell>
          <cell r="C309" t="str">
            <v>UND</v>
          </cell>
          <cell r="D309" t="str">
            <v>UND</v>
          </cell>
          <cell r="E309">
            <v>25.479206085055701</v>
          </cell>
          <cell r="F309">
            <v>25.479206085055701</v>
          </cell>
          <cell r="G309">
            <v>0.23606913072852082</v>
          </cell>
          <cell r="H309">
            <v>0.23606913072852082</v>
          </cell>
          <cell r="I309">
            <v>4.1430462944096549</v>
          </cell>
          <cell r="J309">
            <v>4.1430462944096549</v>
          </cell>
        </row>
        <row r="310">
          <cell r="A310" t="str">
            <v>95369</v>
          </cell>
          <cell r="B310" t="str">
            <v>BASE PREMEZCLA QUEQUE SECO (3320g)</v>
          </cell>
          <cell r="C310" t="str">
            <v>TANDA</v>
          </cell>
          <cell r="D310" t="str">
            <v>GRAMO</v>
          </cell>
          <cell r="E310">
            <v>5308.8964000000005</v>
          </cell>
          <cell r="F310">
            <v>1.5990651807228917</v>
          </cell>
          <cell r="G310">
            <v>21.822757777777777</v>
          </cell>
          <cell r="H310">
            <v>6.5731198125836676E-3</v>
          </cell>
          <cell r="I310">
            <v>82.5</v>
          </cell>
          <cell r="J310">
            <v>2.4849397590361446E-2</v>
          </cell>
        </row>
        <row r="311">
          <cell r="A311" t="str">
            <v>95345</v>
          </cell>
          <cell r="B311" t="str">
            <v>ROSQUETE QQ SECO C/PASAS (750g)</v>
          </cell>
          <cell r="C311" t="str">
            <v>UND</v>
          </cell>
          <cell r="D311" t="str">
            <v>UND</v>
          </cell>
          <cell r="E311">
            <v>1556.3047986021254</v>
          </cell>
          <cell r="F311">
            <v>1556.3047986021254</v>
          </cell>
          <cell r="G311">
            <v>9.9305932012357498</v>
          </cell>
          <cell r="H311">
            <v>9.9305932012357498</v>
          </cell>
          <cell r="I311">
            <v>170.27037392138064</v>
          </cell>
          <cell r="J311">
            <v>170.27037392138064</v>
          </cell>
        </row>
        <row r="312">
          <cell r="A312" t="str">
            <v>95112</v>
          </cell>
          <cell r="B312" t="str">
            <v>ROSQUETE VAINILLA PERSONAL BUCCA (200g)</v>
          </cell>
          <cell r="C312" t="str">
            <v>UND</v>
          </cell>
          <cell r="D312" t="str">
            <v>UND</v>
          </cell>
          <cell r="E312">
            <v>203.19643881318322</v>
          </cell>
          <cell r="F312">
            <v>203.19643881318322</v>
          </cell>
          <cell r="G312">
            <v>4.392269724166896</v>
          </cell>
          <cell r="H312">
            <v>4.392269724166896</v>
          </cell>
          <cell r="I312">
            <v>10.814359975068081</v>
          </cell>
          <cell r="J312">
            <v>10.814359975068081</v>
          </cell>
        </row>
        <row r="313">
          <cell r="A313" t="str">
            <v>96185</v>
          </cell>
          <cell r="B313" t="str">
            <v>BASE PREMEZCLA SOUFLE (6.035 Kg)</v>
          </cell>
          <cell r="C313" t="str">
            <v>TANDA</v>
          </cell>
          <cell r="D313" t="str">
            <v>GRAMO</v>
          </cell>
          <cell r="E313">
            <v>10445.845386000001</v>
          </cell>
          <cell r="F313">
            <v>1.7311642999668546</v>
          </cell>
          <cell r="G313">
            <v>11.022725555555557</v>
          </cell>
          <cell r="H313">
            <v>1.8267692336021804E-3</v>
          </cell>
          <cell r="I313">
            <v>165</v>
          </cell>
          <cell r="J313">
            <v>2.7345044746436859E-2</v>
          </cell>
        </row>
        <row r="314">
          <cell r="A314" t="str">
            <v>96332</v>
          </cell>
          <cell r="B314" t="str">
            <v>BATIDO P/ROSQUETE SOUFFLE (11100g)</v>
          </cell>
          <cell r="C314" t="str">
            <v>KILO</v>
          </cell>
          <cell r="D314" t="str">
            <v>GRAMO</v>
          </cell>
          <cell r="E314">
            <v>1603.841223963964</v>
          </cell>
          <cell r="F314">
            <v>1.6038412239639641</v>
          </cell>
          <cell r="G314">
            <v>0.99303833833833832</v>
          </cell>
          <cell r="H314">
            <v>9.9303833833833837E-4</v>
          </cell>
          <cell r="I314">
            <v>49.549549549549553</v>
          </cell>
          <cell r="J314">
            <v>4.954954954954955E-2</v>
          </cell>
        </row>
        <row r="315">
          <cell r="A315" t="str">
            <v>90100142</v>
          </cell>
          <cell r="B315" t="str">
            <v>SAL (5000G)</v>
          </cell>
          <cell r="C315" t="str">
            <v>BOLSA</v>
          </cell>
          <cell r="D315" t="str">
            <v>GRAMO</v>
          </cell>
          <cell r="E315">
            <v>940</v>
          </cell>
          <cell r="F315">
            <v>0.188</v>
          </cell>
          <cell r="G315">
            <v>13.475999999999999</v>
          </cell>
          <cell r="H315">
            <v>2.6952E-3</v>
          </cell>
          <cell r="I315">
            <v>55</v>
          </cell>
          <cell r="J315">
            <v>1.0999999999999999E-2</v>
          </cell>
        </row>
        <row r="316">
          <cell r="A316" t="str">
            <v>907000219</v>
          </cell>
          <cell r="B316" t="str">
            <v>Rosquete Brownie Menta 1000g</v>
          </cell>
          <cell r="C316" t="str">
            <v>UND</v>
          </cell>
          <cell r="D316" t="str">
            <v>UND</v>
          </cell>
          <cell r="E316">
            <v>3608.2294588235295</v>
          </cell>
          <cell r="F316">
            <v>3608.2294588235295</v>
          </cell>
          <cell r="G316">
            <v>54.990309948412701</v>
          </cell>
          <cell r="H316">
            <v>54.990309948412701</v>
          </cell>
          <cell r="I316">
            <v>120.3125</v>
          </cell>
          <cell r="J316">
            <v>120.3125</v>
          </cell>
        </row>
        <row r="317">
          <cell r="A317" t="str">
            <v>907000217</v>
          </cell>
          <cell r="B317" t="str">
            <v>RELLENO CHOCOMENTA</v>
          </cell>
          <cell r="C317" t="str">
            <v>KILO</v>
          </cell>
          <cell r="D317" t="str">
            <v>KILO</v>
          </cell>
          <cell r="E317">
            <v>3261.1301544444445</v>
          </cell>
          <cell r="F317">
            <v>3.2611301544444444</v>
          </cell>
          <cell r="G317">
            <v>0</v>
          </cell>
          <cell r="H317">
            <v>0</v>
          </cell>
          <cell r="I317">
            <v>275</v>
          </cell>
          <cell r="J317">
            <v>0.27500000000000002</v>
          </cell>
        </row>
        <row r="318">
          <cell r="A318" t="str">
            <v>910000005</v>
          </cell>
          <cell r="B318" t="str">
            <v>MEZCLA DULCE LECHE CON AGUA</v>
          </cell>
          <cell r="C318" t="str">
            <v>TANDA</v>
          </cell>
          <cell r="D318" t="str">
            <v>GRAMO</v>
          </cell>
          <cell r="E318">
            <v>897.49288799999999</v>
          </cell>
          <cell r="F318">
            <v>1.49582148</v>
          </cell>
          <cell r="G318">
            <v>49.681000000000004</v>
          </cell>
          <cell r="H318">
            <v>8.2801666666666676E-2</v>
          </cell>
          <cell r="I318">
            <v>55</v>
          </cell>
          <cell r="J318">
            <v>9.166666666666666E-2</v>
          </cell>
        </row>
        <row r="319">
          <cell r="A319" t="str">
            <v>902000066</v>
          </cell>
          <cell r="B319" t="str">
            <v>SUSPIRO QUEBRADO 7650 g</v>
          </cell>
          <cell r="C319" t="str">
            <v>TANDA</v>
          </cell>
          <cell r="D319" t="str">
            <v>GRAMO</v>
          </cell>
          <cell r="E319">
            <v>19353.380484982161</v>
          </cell>
          <cell r="F319">
            <v>2.5298536581676028</v>
          </cell>
          <cell r="G319">
            <v>28.481995768033212</v>
          </cell>
          <cell r="H319">
            <v>3.7231367017036879E-3</v>
          </cell>
          <cell r="I319">
            <v>2470.4311925180209</v>
          </cell>
          <cell r="J319">
            <v>0.32293218202849949</v>
          </cell>
        </row>
        <row r="320">
          <cell r="A320" t="str">
            <v>90100115</v>
          </cell>
          <cell r="B320" t="str">
            <v>SALSA NARANJA (TANDA= 500 g)</v>
          </cell>
          <cell r="C320" t="str">
            <v>TANDA</v>
          </cell>
          <cell r="D320" t="str">
            <v>GRAMO</v>
          </cell>
          <cell r="E320">
            <v>17252.58664899736</v>
          </cell>
          <cell r="F320">
            <v>1.3802069319197887</v>
          </cell>
          <cell r="G320">
            <v>0</v>
          </cell>
          <cell r="H320">
            <v>0</v>
          </cell>
          <cell r="I320">
            <v>440</v>
          </cell>
          <cell r="J320">
            <v>3.5200000000000002E-2</v>
          </cell>
        </row>
        <row r="321">
          <cell r="A321" t="str">
            <v>907000226</v>
          </cell>
          <cell r="B321" t="str">
            <v>ROSQUETE CHOCOLATE BUCCA 800G</v>
          </cell>
          <cell r="C321" t="str">
            <v>UND</v>
          </cell>
          <cell r="D321" t="str">
            <v>UND</v>
          </cell>
          <cell r="E321">
            <v>612.44387157698372</v>
          </cell>
          <cell r="F321">
            <v>612.44387157698372</v>
          </cell>
          <cell r="G321">
            <v>13.45860305381556</v>
          </cell>
          <cell r="H321">
            <v>13.45860305381556</v>
          </cell>
          <cell r="I321">
            <v>43.217561521252797</v>
          </cell>
          <cell r="J321">
            <v>43.217561521252797</v>
          </cell>
        </row>
        <row r="322">
          <cell r="A322" t="str">
            <v>901000036</v>
          </cell>
          <cell r="B322" t="str">
            <v>PREMEZCLA VAINILLA RICH 170G</v>
          </cell>
          <cell r="C322" t="str">
            <v>TANDA</v>
          </cell>
          <cell r="D322" t="str">
            <v>GRAMO</v>
          </cell>
          <cell r="E322">
            <v>154.22406599999999</v>
          </cell>
          <cell r="F322">
            <v>0.90720038823529403</v>
          </cell>
          <cell r="G322">
            <v>7.5947800000000001</v>
          </cell>
          <cell r="H322">
            <v>4.4675176470588239E-2</v>
          </cell>
          <cell r="I322">
            <v>55</v>
          </cell>
          <cell r="J322">
            <v>0.3235294117647059</v>
          </cell>
        </row>
        <row r="323">
          <cell r="A323" t="str">
            <v>902000024</v>
          </cell>
          <cell r="B323" t="str">
            <v>Batido Vainilla Rich FAS 24000g</v>
          </cell>
          <cell r="C323" t="str">
            <v>TANDA</v>
          </cell>
          <cell r="D323" t="str">
            <v>GRAMO</v>
          </cell>
          <cell r="E323">
            <v>31287.540585694296</v>
          </cell>
          <cell r="F323">
            <v>1.3036475244039289</v>
          </cell>
          <cell r="G323">
            <v>7.594780000000001</v>
          </cell>
          <cell r="H323">
            <v>3.1644916666666669E-4</v>
          </cell>
          <cell r="I323">
            <v>495</v>
          </cell>
          <cell r="J323">
            <v>2.0625000000000001E-2</v>
          </cell>
        </row>
        <row r="324">
          <cell r="A324" t="str">
            <v>903000064</v>
          </cell>
          <cell r="B324" t="str">
            <v>ROSQUETE VAINILLA RICH 900G</v>
          </cell>
          <cell r="C324" t="str">
            <v>UND</v>
          </cell>
          <cell r="D324" t="str">
            <v>UND</v>
          </cell>
          <cell r="E324">
            <v>1215.8360731204052</v>
          </cell>
          <cell r="F324">
            <v>1215.8360731204052</v>
          </cell>
          <cell r="G324">
            <v>14.598128740836346</v>
          </cell>
          <cell r="H324">
            <v>14.598128740836346</v>
          </cell>
          <cell r="I324">
            <v>57.945921528136296</v>
          </cell>
          <cell r="J324">
            <v>57.945921528136296</v>
          </cell>
        </row>
        <row r="325">
          <cell r="A325" t="str">
            <v>901000005</v>
          </cell>
          <cell r="B325" t="str">
            <v xml:space="preserve">PREMEZCLA P/BATIDO CHOCO PASTELERO </v>
          </cell>
          <cell r="C325" t="str">
            <v>TANDA</v>
          </cell>
          <cell r="D325" t="str">
            <v>GRAMO</v>
          </cell>
          <cell r="E325">
            <v>4095.2116799999994</v>
          </cell>
          <cell r="F325">
            <v>1.2546604411764704</v>
          </cell>
          <cell r="G325">
            <v>51.239250509457278</v>
          </cell>
          <cell r="H325">
            <v>1.5698299788436666E-2</v>
          </cell>
          <cell r="I325">
            <v>110</v>
          </cell>
          <cell r="J325">
            <v>3.3700980392156861E-2</v>
          </cell>
        </row>
        <row r="326">
          <cell r="A326" t="str">
            <v>902000003</v>
          </cell>
          <cell r="B326" t="str">
            <v>BATIDO CHOCOLATE PASTELERO REAL 32400G</v>
          </cell>
          <cell r="C326" t="str">
            <v>TANDA</v>
          </cell>
          <cell r="D326" t="str">
            <v>GRAMO</v>
          </cell>
          <cell r="E326">
            <v>35227.057306764706</v>
          </cell>
          <cell r="F326">
            <v>1.0872548551470589</v>
          </cell>
          <cell r="G326">
            <v>328.81658736859441</v>
          </cell>
          <cell r="H326">
            <v>1.0148660103968964E-2</v>
          </cell>
          <cell r="I326">
            <v>1153.9007352941176</v>
          </cell>
          <cell r="J326">
            <v>3.5614220225127086E-2</v>
          </cell>
        </row>
        <row r="327">
          <cell r="A327" t="str">
            <v>907000204</v>
          </cell>
          <cell r="B327" t="str">
            <v>PLANCHA CHOCOLATE PASTELERO REAL 1300g</v>
          </cell>
          <cell r="C327" t="str">
            <v>UND</v>
          </cell>
          <cell r="D327" t="str">
            <v>UND</v>
          </cell>
          <cell r="E327">
            <v>1441.5558928626554</v>
          </cell>
          <cell r="F327">
            <v>1441.5558928626554</v>
          </cell>
          <cell r="G327">
            <v>13.796570919739926</v>
          </cell>
          <cell r="H327">
            <v>13.796570919739926</v>
          </cell>
          <cell r="I327">
            <v>132.30935985831189</v>
          </cell>
          <cell r="J327">
            <v>132.30935985831189</v>
          </cell>
        </row>
        <row r="328">
          <cell r="A328" t="str">
            <v>907000211</v>
          </cell>
          <cell r="B328" t="str">
            <v>ROSQUETE MELOCOTON MED 300G</v>
          </cell>
          <cell r="C328" t="str">
            <v>UND</v>
          </cell>
          <cell r="D328" t="str">
            <v>UND</v>
          </cell>
          <cell r="E328">
            <v>346.25307546532559</v>
          </cell>
          <cell r="F328">
            <v>346.25307546532559</v>
          </cell>
          <cell r="G328">
            <v>7.3045465006072225</v>
          </cell>
          <cell r="H328">
            <v>7.3045465006072225</v>
          </cell>
          <cell r="I328">
            <v>18.950701073484009</v>
          </cell>
          <cell r="J328">
            <v>18.950701073484009</v>
          </cell>
        </row>
        <row r="329">
          <cell r="A329" t="str">
            <v>90100219</v>
          </cell>
          <cell r="B329" t="str">
            <v>PREMEZCLA TORTA DE TRES LECHES RP 4527G</v>
          </cell>
          <cell r="C329" t="str">
            <v>TANDA</v>
          </cell>
          <cell r="D329" t="str">
            <v>GRAMO</v>
          </cell>
          <cell r="E329">
            <v>2138.8148460000007</v>
          </cell>
          <cell r="F329">
            <v>0.47245744333996037</v>
          </cell>
          <cell r="G329">
            <v>42.57118777777778</v>
          </cell>
          <cell r="H329">
            <v>9.4038409051861675E-3</v>
          </cell>
          <cell r="I329">
            <v>165</v>
          </cell>
          <cell r="J329">
            <v>3.6447978793903248E-2</v>
          </cell>
        </row>
        <row r="330">
          <cell r="A330" t="str">
            <v>90100220</v>
          </cell>
          <cell r="B330" t="str">
            <v>BATIDO TORTA DE TRES LECHES RP 9600G</v>
          </cell>
          <cell r="C330" t="str">
            <v>TANDA</v>
          </cell>
          <cell r="D330" t="str">
            <v>GRAMO</v>
          </cell>
          <cell r="E330">
            <v>5277.9678302260372</v>
          </cell>
          <cell r="F330">
            <v>0.54978831564854558</v>
          </cell>
          <cell r="G330">
            <v>165</v>
          </cell>
          <cell r="H330">
            <v>1.7187500000000001E-2</v>
          </cell>
          <cell r="I330">
            <v>1815</v>
          </cell>
          <cell r="J330">
            <v>0.18906249999999999</v>
          </cell>
        </row>
        <row r="331">
          <cell r="A331" t="str">
            <v>90100275</v>
          </cell>
          <cell r="B331" t="str">
            <v>ROSQUETE GUSTITO 4 LECHES 90g</v>
          </cell>
          <cell r="C331" t="str">
            <v>UND</v>
          </cell>
          <cell r="D331" t="str">
            <v>UND</v>
          </cell>
          <cell r="E331">
            <v>49.792149341755071</v>
          </cell>
          <cell r="F331">
            <v>49.792149341755071</v>
          </cell>
          <cell r="G331">
            <v>62.56504561844865</v>
          </cell>
          <cell r="H331">
            <v>62.56504561844865</v>
          </cell>
          <cell r="I331">
            <v>27.5</v>
          </cell>
          <cell r="J331">
            <v>27.5</v>
          </cell>
        </row>
        <row r="332">
          <cell r="A332" t="str">
            <v>90100161</v>
          </cell>
          <cell r="B332" t="str">
            <v>PREMEZCLA TORTA QQ CRISTAL (8176g)</v>
          </cell>
          <cell r="C332" t="str">
            <v>TANDA</v>
          </cell>
          <cell r="D332" t="str">
            <v>GRAMO</v>
          </cell>
          <cell r="E332">
            <v>3492.2954479999999</v>
          </cell>
          <cell r="F332">
            <v>0.42713985420743639</v>
          </cell>
          <cell r="G332">
            <v>62.945187777777775</v>
          </cell>
          <cell r="H332">
            <v>7.6987754131332894E-3</v>
          </cell>
          <cell r="I332">
            <v>192.5</v>
          </cell>
          <cell r="J332">
            <v>2.3544520547945206E-2</v>
          </cell>
        </row>
        <row r="333">
          <cell r="A333" t="str">
            <v>90100225</v>
          </cell>
          <cell r="B333" t="str">
            <v>BATIDO CHOCOLATE 27500g</v>
          </cell>
          <cell r="C333" t="str">
            <v>TANDA</v>
          </cell>
          <cell r="D333" t="str">
            <v>GRAMO</v>
          </cell>
          <cell r="E333">
            <v>38581.311737905038</v>
          </cell>
          <cell r="F333">
            <v>1.4029567904692741</v>
          </cell>
          <cell r="G333">
            <v>0</v>
          </cell>
          <cell r="H333">
            <v>0</v>
          </cell>
          <cell r="I333">
            <v>440</v>
          </cell>
          <cell r="J333">
            <v>1.6E-2</v>
          </cell>
        </row>
        <row r="334">
          <cell r="A334" t="str">
            <v>90100226</v>
          </cell>
          <cell r="B334" t="str">
            <v>ROSQUETE DE CHOCOLATE 1100g</v>
          </cell>
          <cell r="C334" t="str">
            <v>UND</v>
          </cell>
          <cell r="D334" t="str">
            <v>UND</v>
          </cell>
          <cell r="E334">
            <v>1564.0343487108323</v>
          </cell>
          <cell r="F334">
            <v>1564.0343487108323</v>
          </cell>
          <cell r="G334">
            <v>0.28353251677852354</v>
          </cell>
          <cell r="H334">
            <v>0.28353251677852354</v>
          </cell>
          <cell r="I334">
            <v>95.98422818791947</v>
          </cell>
          <cell r="J334">
            <v>95.98422818791947</v>
          </cell>
        </row>
        <row r="335">
          <cell r="A335" t="str">
            <v>90100233</v>
          </cell>
          <cell r="B335" t="str">
            <v>BORONA CHOCOLATE ROSTI POLLOS 3900G</v>
          </cell>
          <cell r="C335" t="str">
            <v>TANDA</v>
          </cell>
          <cell r="D335" t="str">
            <v>GRAMO</v>
          </cell>
          <cell r="E335">
            <v>6256.1373948433293</v>
          </cell>
          <cell r="F335">
            <v>1.6041377935495715</v>
          </cell>
          <cell r="G335">
            <v>79.289130067114101</v>
          </cell>
          <cell r="H335">
            <v>2.0330546171054897E-2</v>
          </cell>
          <cell r="I335">
            <v>1153.9369127516779</v>
          </cell>
          <cell r="J335">
            <v>0.29588125967991741</v>
          </cell>
        </row>
        <row r="336">
          <cell r="A336" t="str">
            <v>90100234</v>
          </cell>
          <cell r="B336" t="str">
            <v>BATIDO QUEQUE ARCOIRIS 33930</v>
          </cell>
          <cell r="C336" t="str">
            <v>TANDA</v>
          </cell>
          <cell r="D336" t="str">
            <v>GRAMO</v>
          </cell>
          <cell r="E336">
            <v>40764.431855714094</v>
          </cell>
          <cell r="F336">
            <v>1.2014274051197789</v>
          </cell>
          <cell r="G336">
            <v>79.289130067114101</v>
          </cell>
          <cell r="H336">
            <v>2.3368443874775746E-3</v>
          </cell>
          <cell r="I336">
            <v>1483.9369127516779</v>
          </cell>
          <cell r="J336">
            <v>4.3735246470724375E-2</v>
          </cell>
        </row>
        <row r="337">
          <cell r="A337" t="str">
            <v>901000106</v>
          </cell>
          <cell r="B337" t="str">
            <v>JAMON PAVO REBANADO 2870G</v>
          </cell>
          <cell r="C337" t="str">
            <v>TANDA</v>
          </cell>
          <cell r="D337" t="str">
            <v>GRAMO</v>
          </cell>
          <cell r="E337">
            <v>8490.6059999999998</v>
          </cell>
          <cell r="F337">
            <v>2.9583993031358884</v>
          </cell>
          <cell r="G337">
            <v>294.39000000000004</v>
          </cell>
          <cell r="H337">
            <v>0.10257491289198607</v>
          </cell>
          <cell r="I337">
            <v>440</v>
          </cell>
          <cell r="J337">
            <v>0.15331010452961671</v>
          </cell>
        </row>
        <row r="338">
          <cell r="A338" t="str">
            <v>90100221</v>
          </cell>
          <cell r="B338" t="str">
            <v>ROSQUETE TORTA DE TRES LECHES RP (960 gr)</v>
          </cell>
          <cell r="C338" t="str">
            <v>UND</v>
          </cell>
          <cell r="D338" t="str">
            <v>UND</v>
          </cell>
          <cell r="E338">
            <v>527.79678302260368</v>
          </cell>
          <cell r="F338">
            <v>527.79678302260368</v>
          </cell>
          <cell r="G338">
            <v>406.73166666666668</v>
          </cell>
          <cell r="H338">
            <v>406.73166666666668</v>
          </cell>
          <cell r="I338">
            <v>225.5</v>
          </cell>
          <cell r="J338">
            <v>225.5</v>
          </cell>
        </row>
        <row r="339">
          <cell r="A339" t="str">
            <v>90100222</v>
          </cell>
          <cell r="B339" t="str">
            <v>MEZCLA DE TRES LECHES RP</v>
          </cell>
          <cell r="C339" t="str">
            <v>TANDA</v>
          </cell>
          <cell r="D339" t="str">
            <v>MIlilitro</v>
          </cell>
          <cell r="E339">
            <v>12415.167355350066</v>
          </cell>
          <cell r="F339">
            <v>2.0691945592250112</v>
          </cell>
          <cell r="G339">
            <v>0</v>
          </cell>
          <cell r="H339">
            <v>0</v>
          </cell>
          <cell r="I339">
            <v>275</v>
          </cell>
          <cell r="J339">
            <v>4.583333333333333E-2</v>
          </cell>
        </row>
        <row r="340">
          <cell r="A340" t="str">
            <v>90100223</v>
          </cell>
          <cell r="B340" t="str">
            <v>MERENGUE PARA TRES LECHES RP</v>
          </cell>
          <cell r="C340" t="str">
            <v>TANDA</v>
          </cell>
          <cell r="D340" t="str">
            <v>GRAMO</v>
          </cell>
          <cell r="E340">
            <v>3761.7899899999998</v>
          </cell>
          <cell r="F340">
            <v>1.07479714</v>
          </cell>
          <cell r="G340">
            <v>3.0708489714285713E-4</v>
          </cell>
          <cell r="H340">
            <v>8.7738542040816329E-8</v>
          </cell>
          <cell r="I340">
            <v>1100</v>
          </cell>
          <cell r="J340">
            <v>0.31428571428571428</v>
          </cell>
        </row>
        <row r="341">
          <cell r="A341" t="str">
            <v>901000006</v>
          </cell>
          <cell r="B341" t="str">
            <v xml:space="preserve">BASE PREMEZCLA P/BATIDO VAINILLA PASTELERO </v>
          </cell>
          <cell r="C341" t="str">
            <v>TANDA</v>
          </cell>
          <cell r="D341" t="str">
            <v>GRAMO</v>
          </cell>
          <cell r="E341">
            <v>4095.2116799999999</v>
          </cell>
          <cell r="F341">
            <v>1.2546604411764706</v>
          </cell>
          <cell r="G341">
            <v>19.096393366600132</v>
          </cell>
          <cell r="H341">
            <v>5.8506107128064129E-3</v>
          </cell>
          <cell r="I341">
            <v>110</v>
          </cell>
          <cell r="J341">
            <v>3.3700980392156861E-2</v>
          </cell>
        </row>
        <row r="342">
          <cell r="A342" t="str">
            <v>905000094</v>
          </cell>
          <cell r="B342" t="str">
            <v>Ensamble media torta chocolate</v>
          </cell>
          <cell r="C342" t="str">
            <v>UND</v>
          </cell>
          <cell r="D342" t="str">
            <v>UND</v>
          </cell>
          <cell r="E342">
            <v>1050.4464617677095</v>
          </cell>
          <cell r="F342">
            <v>1050.4464617677095</v>
          </cell>
          <cell r="G342">
            <v>7.8435866075199412</v>
          </cell>
          <cell r="H342">
            <v>7.8435866075199412</v>
          </cell>
          <cell r="I342">
            <v>129.29891730862488</v>
          </cell>
          <cell r="J342">
            <v>129.29891730862488</v>
          </cell>
        </row>
        <row r="343">
          <cell r="A343" t="str">
            <v>905000095</v>
          </cell>
          <cell r="B343" t="str">
            <v>Ensamble media torta melocoton</v>
          </cell>
          <cell r="C343" t="str">
            <v xml:space="preserve">UND </v>
          </cell>
          <cell r="D343" t="str">
            <v>UND</v>
          </cell>
          <cell r="E343">
            <v>1044.2221005121608</v>
          </cell>
          <cell r="F343">
            <v>1044.2221005121608</v>
          </cell>
          <cell r="G343">
            <v>8.0368646012000049</v>
          </cell>
          <cell r="H343">
            <v>8.0368646012000049</v>
          </cell>
          <cell r="I343">
            <v>145.09099221492735</v>
          </cell>
          <cell r="J343">
            <v>145.09099221492735</v>
          </cell>
        </row>
        <row r="344">
          <cell r="A344" t="str">
            <v>95342</v>
          </cell>
          <cell r="B344" t="str">
            <v>BASE Premezcla Batidos para Rosquete Super esponja</v>
          </cell>
          <cell r="C344" t="str">
            <v>TANDA</v>
          </cell>
          <cell r="D344" t="str">
            <v>GRAMO</v>
          </cell>
          <cell r="E344">
            <v>536.52239999999995</v>
          </cell>
          <cell r="F344">
            <v>4.4710199999999993</v>
          </cell>
          <cell r="G344">
            <v>4.421616766467066</v>
          </cell>
          <cell r="H344">
            <v>3.6846806387225553E-2</v>
          </cell>
          <cell r="I344">
            <v>27.5</v>
          </cell>
          <cell r="J344">
            <v>0.22916666666666666</v>
          </cell>
        </row>
        <row r="345">
          <cell r="A345" t="str">
            <v>95343</v>
          </cell>
          <cell r="B345" t="str">
            <v>BATIDO Super Esponja (40120g</v>
          </cell>
          <cell r="C345" t="str">
            <v>TANDA</v>
          </cell>
          <cell r="D345" t="str">
            <v>GRAMO</v>
          </cell>
          <cell r="E345">
            <v>53885.640047058827</v>
          </cell>
          <cell r="F345">
            <v>1.3431116661779368</v>
          </cell>
          <cell r="G345">
            <v>4.421616766467066</v>
          </cell>
          <cell r="H345">
            <v>1.1020978979229976E-4</v>
          </cell>
          <cell r="I345">
            <v>467.5</v>
          </cell>
          <cell r="J345">
            <v>1.1652542372881356E-2</v>
          </cell>
        </row>
        <row r="346">
          <cell r="A346" t="str">
            <v>907000111</v>
          </cell>
          <cell r="B346" t="str">
            <v>Rosquete Super Esponja 380g</v>
          </cell>
          <cell r="C346" t="str">
            <v>UND</v>
          </cell>
          <cell r="D346" t="str">
            <v>UND</v>
          </cell>
          <cell r="E346">
            <v>524.38269974552782</v>
          </cell>
          <cell r="F346">
            <v>524.38269974552782</v>
          </cell>
          <cell r="G346">
            <v>4.6211066985275187</v>
          </cell>
          <cell r="H346">
            <v>4.6211066985275187</v>
          </cell>
          <cell r="I346">
            <v>18.483375539635087</v>
          </cell>
          <cell r="J346">
            <v>18.483375539635087</v>
          </cell>
        </row>
        <row r="347">
          <cell r="A347" t="str">
            <v>907000200</v>
          </cell>
          <cell r="B347" t="str">
            <v>BATIDO P/ARROLLADO DULCE LECHE 3600G</v>
          </cell>
          <cell r="C347" t="str">
            <v>TANDA</v>
          </cell>
          <cell r="D347" t="str">
            <v>GRAMO</v>
          </cell>
          <cell r="E347">
            <v>3846.8646231243679</v>
          </cell>
          <cell r="F347">
            <v>1.0685735064234356</v>
          </cell>
          <cell r="G347">
            <v>20.782431036855929</v>
          </cell>
          <cell r="H347">
            <v>5.7728975102377582E-3</v>
          </cell>
          <cell r="I347">
            <v>342.14751426242867</v>
          </cell>
          <cell r="J347">
            <v>9.5040976184007961E-2</v>
          </cell>
        </row>
        <row r="348">
          <cell r="A348" t="str">
            <v>903000154</v>
          </cell>
          <cell r="B348" t="str">
            <v>RUEDA HOJALDRE EMPANADA DE POLLO PEQUEÑA</v>
          </cell>
          <cell r="C348" t="str">
            <v>UND</v>
          </cell>
          <cell r="D348" t="str">
            <v>UND</v>
          </cell>
          <cell r="E348">
            <v>17.692668599069446</v>
          </cell>
          <cell r="F348">
            <v>17.692668599069446</v>
          </cell>
          <cell r="G348">
            <v>7.3629137208274437E-2</v>
          </cell>
          <cell r="H348">
            <v>7.3629137208274437E-2</v>
          </cell>
          <cell r="I348">
            <v>11.189039828684258</v>
          </cell>
          <cell r="J348">
            <v>11.189039828684258</v>
          </cell>
        </row>
        <row r="349">
          <cell r="A349" t="str">
            <v>90100281</v>
          </cell>
          <cell r="B349" t="str">
            <v>Crema de Garbanzos 10000G</v>
          </cell>
          <cell r="C349" t="str">
            <v>TANDA</v>
          </cell>
          <cell r="D349" t="str">
            <v>GRAMO</v>
          </cell>
          <cell r="E349">
            <v>13062.089689729972</v>
          </cell>
          <cell r="F349">
            <v>1.3062089689729972</v>
          </cell>
          <cell r="G349">
            <v>69.513032603681182</v>
          </cell>
          <cell r="H349">
            <v>6.9513032603681184E-3</v>
          </cell>
          <cell r="I349">
            <v>1383.7719279201042</v>
          </cell>
          <cell r="J349">
            <v>0.13837719279201041</v>
          </cell>
        </row>
        <row r="350">
          <cell r="A350" t="str">
            <v>901000051</v>
          </cell>
          <cell r="B350" t="str">
            <v>Premezcla Pasta Piña(5262g) Spoon</v>
          </cell>
          <cell r="C350" t="str">
            <v>TANDA</v>
          </cell>
          <cell r="D350" t="str">
            <v>GRAMO</v>
          </cell>
          <cell r="E350">
            <v>4629.7639655999992</v>
          </cell>
          <cell r="F350">
            <v>0.87984872018243998</v>
          </cell>
          <cell r="G350">
            <v>28.572730555555559</v>
          </cell>
          <cell r="H350">
            <v>5.4300134085054274E-3</v>
          </cell>
          <cell r="I350">
            <v>275</v>
          </cell>
          <cell r="J350">
            <v>5.2261497529456483E-2</v>
          </cell>
        </row>
        <row r="351">
          <cell r="A351" t="str">
            <v>95466</v>
          </cell>
          <cell r="B351" t="str">
            <v>Pasta para empanada de piña</v>
          </cell>
          <cell r="C351" t="str">
            <v>TANDA</v>
          </cell>
          <cell r="D351" t="str">
            <v>GRAMO</v>
          </cell>
          <cell r="E351">
            <v>7170.5829880570664</v>
          </cell>
          <cell r="F351">
            <v>1.1636778623916044</v>
          </cell>
          <cell r="G351">
            <v>64.415063888888895</v>
          </cell>
          <cell r="H351">
            <v>1.0453596866096867E-2</v>
          </cell>
          <cell r="I351">
            <v>825</v>
          </cell>
          <cell r="J351">
            <v>0.13388510223953262</v>
          </cell>
        </row>
        <row r="352">
          <cell r="A352" t="str">
            <v>907000050</v>
          </cell>
          <cell r="B352" t="str">
            <v>ROSQUETE ARROLLADO 1000G</v>
          </cell>
          <cell r="C352" t="str">
            <v>UND</v>
          </cell>
          <cell r="D352" t="str">
            <v>UND</v>
          </cell>
          <cell r="E352">
            <v>1078.5488084368583</v>
          </cell>
          <cell r="F352">
            <v>1078.5488084368583</v>
          </cell>
          <cell r="G352">
            <v>64.069821784958108</v>
          </cell>
          <cell r="H352">
            <v>64.069821784958108</v>
          </cell>
          <cell r="I352">
            <v>150.70540571420932</v>
          </cell>
          <cell r="J352">
            <v>150.70540571420932</v>
          </cell>
        </row>
        <row r="353">
          <cell r="A353" t="str">
            <v>90100280</v>
          </cell>
          <cell r="B353" t="str">
            <v>SALSA POMODORO 15000</v>
          </cell>
          <cell r="C353" t="str">
            <v>TANDA</v>
          </cell>
          <cell r="D353" t="str">
            <v>GRAMO</v>
          </cell>
          <cell r="E353">
            <v>21018.911828324784</v>
          </cell>
          <cell r="F353">
            <v>1.4012607885549857</v>
          </cell>
          <cell r="G353">
            <v>0</v>
          </cell>
          <cell r="H353"/>
          <cell r="I353">
            <v>1925</v>
          </cell>
          <cell r="J353">
            <v>0.12833333333333333</v>
          </cell>
        </row>
        <row r="354">
          <cell r="A354" t="str">
            <v>95969</v>
          </cell>
          <cell r="B354" t="str">
            <v>CALDO POLLO C/CARCASA 47000</v>
          </cell>
          <cell r="C354" t="str">
            <v>TANDA</v>
          </cell>
          <cell r="D354" t="str">
            <v>GRAMO</v>
          </cell>
          <cell r="E354">
            <v>25962.644746666661</v>
          </cell>
          <cell r="F354">
            <v>0.55239669673758851</v>
          </cell>
          <cell r="G354">
            <v>231.47791333333333</v>
          </cell>
          <cell r="H354">
            <v>4.9250619858156024E-3</v>
          </cell>
          <cell r="I354">
            <v>1650</v>
          </cell>
          <cell r="J354">
            <v>3.5106382978723406E-2</v>
          </cell>
        </row>
        <row r="355">
          <cell r="A355" t="str">
            <v>90100129</v>
          </cell>
          <cell r="B355" t="str">
            <v>ALMIDON MODIFICADO (BOLSA:5000g)</v>
          </cell>
          <cell r="C355" t="str">
            <v>TANDA</v>
          </cell>
          <cell r="D355" t="str">
            <v>GRAMO</v>
          </cell>
          <cell r="E355">
            <v>5716.2</v>
          </cell>
          <cell r="F355">
            <v>1.14324</v>
          </cell>
          <cell r="G355">
            <v>35.609333333333339</v>
          </cell>
          <cell r="H355">
            <v>7.1218666666666682E-3</v>
          </cell>
          <cell r="I355">
            <v>55</v>
          </cell>
          <cell r="J355">
            <v>1.0999999999999999E-2</v>
          </cell>
        </row>
        <row r="356">
          <cell r="A356" t="str">
            <v>90100279</v>
          </cell>
          <cell r="B356" t="str">
            <v>SALSA CULANTRO 2000G</v>
          </cell>
          <cell r="C356" t="str">
            <v>TANDA</v>
          </cell>
          <cell r="D356" t="str">
            <v>GRAMO</v>
          </cell>
          <cell r="E356">
            <v>3002.3665583193829</v>
          </cell>
          <cell r="F356">
            <v>1.5011832791596915</v>
          </cell>
          <cell r="G356">
            <v>9.5495689134751789</v>
          </cell>
          <cell r="H356">
            <v>4.7747844567375894E-3</v>
          </cell>
          <cell r="I356">
            <v>600.18293617021277</v>
          </cell>
          <cell r="J356">
            <v>0.30009146808510639</v>
          </cell>
        </row>
        <row r="357">
          <cell r="A357" t="str">
            <v>90100126</v>
          </cell>
          <cell r="B357" t="str">
            <v>RELLENO LOMO SALTEADO 3150G</v>
          </cell>
          <cell r="C357" t="str">
            <v>TANDA</v>
          </cell>
          <cell r="D357" t="str">
            <v>GRAMO</v>
          </cell>
          <cell r="E357">
            <v>24248.467874774124</v>
          </cell>
          <cell r="F357">
            <v>7.6979263094521029</v>
          </cell>
          <cell r="G357">
            <v>66.339104999999989</v>
          </cell>
          <cell r="H357">
            <v>2.1060033333333329E-2</v>
          </cell>
          <cell r="I357">
            <v>440</v>
          </cell>
          <cell r="J357">
            <v>0.13968253968253969</v>
          </cell>
        </row>
        <row r="358">
          <cell r="A358" t="str">
            <v>90100127</v>
          </cell>
          <cell r="B358" t="str">
            <v>SALSA DE AJI 1400G</v>
          </cell>
          <cell r="C358" t="str">
            <v>TANDA</v>
          </cell>
          <cell r="D358" t="str">
            <v>GRAMO</v>
          </cell>
          <cell r="E358">
            <v>2818.5643070588239</v>
          </cell>
          <cell r="F358">
            <v>2.0132602193277314</v>
          </cell>
          <cell r="G358">
            <v>29.188105</v>
          </cell>
          <cell r="H358">
            <v>2.084864642857143E-2</v>
          </cell>
          <cell r="I358">
            <v>275</v>
          </cell>
          <cell r="J358">
            <v>0.19642857142857142</v>
          </cell>
        </row>
        <row r="359">
          <cell r="A359" t="str">
            <v>95970</v>
          </cell>
          <cell r="B359" t="str">
            <v>MEZCLA GALLO PINTO BUCCA 4000G</v>
          </cell>
          <cell r="C359" t="str">
            <v>TANDA</v>
          </cell>
          <cell r="D359" t="str">
            <v>GRAMO</v>
          </cell>
          <cell r="E359">
            <v>3822.7241065995277</v>
          </cell>
          <cell r="F359">
            <v>0.95568102664988186</v>
          </cell>
          <cell r="G359">
            <v>466.21886999568108</v>
          </cell>
          <cell r="H359">
            <v>0.11655471749892027</v>
          </cell>
          <cell r="I359">
            <v>927.99820046856735</v>
          </cell>
          <cell r="J359">
            <v>0.23199955011714185</v>
          </cell>
        </row>
        <row r="360">
          <cell r="A360" t="str">
            <v>90100249</v>
          </cell>
          <cell r="B360" t="str">
            <v>COCCION POLLO DIABLA TIA FLORITA 9600G</v>
          </cell>
          <cell r="C360" t="str">
            <v>TANDA</v>
          </cell>
          <cell r="D360" t="str">
            <v>GRAMO</v>
          </cell>
          <cell r="E360">
            <v>38900.07380369032</v>
          </cell>
          <cell r="F360">
            <v>4.8808122714793374</v>
          </cell>
          <cell r="G360">
            <v>0</v>
          </cell>
          <cell r="H360">
            <v>0</v>
          </cell>
          <cell r="I360">
            <v>1650</v>
          </cell>
          <cell r="J360">
            <v>0.20702634880803011</v>
          </cell>
        </row>
        <row r="361">
          <cell r="A361" t="str">
            <v>90100250</v>
          </cell>
          <cell r="B361" t="str">
            <v>SALSA DIABLA TIA FLORITA 10025G</v>
          </cell>
          <cell r="C361" t="str">
            <v>TANDA</v>
          </cell>
          <cell r="D361" t="str">
            <v>GRAMO</v>
          </cell>
          <cell r="E361">
            <v>36165.161374030591</v>
          </cell>
          <cell r="F361">
            <v>2.2200835711498215</v>
          </cell>
          <cell r="G361">
            <v>2.2200835711498215</v>
          </cell>
          <cell r="H361">
            <v>1.3628505654695038E-4</v>
          </cell>
          <cell r="I361">
            <v>1375</v>
          </cell>
          <cell r="J361">
            <v>8.4407612031921431E-2</v>
          </cell>
        </row>
        <row r="362">
          <cell r="A362" t="str">
            <v>90100247</v>
          </cell>
          <cell r="B362" t="str">
            <v>COCCION SALSA BOLOGNESA TIA FLORITA 8495</v>
          </cell>
          <cell r="C362" t="str">
            <v>TANDA</v>
          </cell>
          <cell r="D362" t="str">
            <v>GRAMO</v>
          </cell>
          <cell r="E362">
            <v>22006.831315487259</v>
          </cell>
          <cell r="F362">
            <v>2.0820086391189458</v>
          </cell>
          <cell r="G362">
            <v>2.0820086391189458</v>
          </cell>
          <cell r="H362">
            <v>1.9697338118438465E-4</v>
          </cell>
          <cell r="I362">
            <v>1925</v>
          </cell>
          <cell r="J362">
            <v>0.18211920529801323</v>
          </cell>
        </row>
        <row r="363">
          <cell r="A363" t="str">
            <v>90100251</v>
          </cell>
          <cell r="B363" t="str">
            <v>COCCION CARNE STROGANOFF TIA FLORITA 7000G</v>
          </cell>
          <cell r="C363" t="str">
            <v>TANDA</v>
          </cell>
          <cell r="D363" t="str">
            <v>GRAMO</v>
          </cell>
          <cell r="E363">
            <v>55631.603751121198</v>
          </cell>
          <cell r="F363">
            <v>6.4017955985179746</v>
          </cell>
          <cell r="G363">
            <v>6.4017955985179746</v>
          </cell>
          <cell r="H363">
            <v>7.3668533930011215E-4</v>
          </cell>
          <cell r="I363">
            <v>3850</v>
          </cell>
          <cell r="J363">
            <v>0.44303797468354428</v>
          </cell>
        </row>
        <row r="364">
          <cell r="A364" t="str">
            <v>90100252</v>
          </cell>
          <cell r="B364" t="str">
            <v>SALSA STROGANOFF TIA FLORITA 5400G</v>
          </cell>
          <cell r="C364" t="str">
            <v>TANDA</v>
          </cell>
          <cell r="D364" t="str">
            <v>GRAMO</v>
          </cell>
          <cell r="E364">
            <v>35284.488087999998</v>
          </cell>
          <cell r="F364">
            <v>2.3856989917511831</v>
          </cell>
          <cell r="G364">
            <v>2.3856989917511831</v>
          </cell>
          <cell r="H364">
            <v>1.6130486759642886E-4</v>
          </cell>
          <cell r="I364">
            <v>1100</v>
          </cell>
          <cell r="J364">
            <v>7.4374577417173765E-2</v>
          </cell>
        </row>
        <row r="365">
          <cell r="A365" t="str">
            <v>90100244</v>
          </cell>
          <cell r="B365" t="str">
            <v>ESTOFADO RES TIA FLORITA</v>
          </cell>
          <cell r="C365" t="str">
            <v>TANDA</v>
          </cell>
          <cell r="D365" t="str">
            <v>GRAMO</v>
          </cell>
          <cell r="E365">
            <v>20782.546792963221</v>
          </cell>
          <cell r="F365">
            <v>2.3091718658848022</v>
          </cell>
          <cell r="G365">
            <v>3.5152563036760576E-4</v>
          </cell>
          <cell r="H365">
            <v>5.3512807180332738E-8</v>
          </cell>
          <cell r="I365">
            <v>4950</v>
          </cell>
          <cell r="J365">
            <v>0.55000000000000004</v>
          </cell>
        </row>
        <row r="366">
          <cell r="A366" t="str">
            <v>90100117</v>
          </cell>
          <cell r="B366" t="str">
            <v>RELLENO ESPINACA-POLLO 9200G</v>
          </cell>
          <cell r="C366" t="str">
            <v>TANDA</v>
          </cell>
          <cell r="D366" t="str">
            <v>GRAMO</v>
          </cell>
          <cell r="E366">
            <v>34639.842823397303</v>
          </cell>
          <cell r="F366">
            <v>3.7652003068910114</v>
          </cell>
          <cell r="G366">
            <v>28.8983727040243</v>
          </cell>
          <cell r="H366">
            <v>3.1411274678287285E-3</v>
          </cell>
          <cell r="I366">
            <v>2320.3334390085506</v>
          </cell>
          <cell r="J366">
            <v>0.25221015641397287</v>
          </cell>
        </row>
        <row r="367">
          <cell r="A367" t="str">
            <v>902000009</v>
          </cell>
          <cell r="B367" t="str">
            <v>BATIDO MELOCOTON FROM SCRATCH 21600</v>
          </cell>
          <cell r="C367" t="str">
            <v>TANDA</v>
          </cell>
          <cell r="D367" t="str">
            <v>GRAMO</v>
          </cell>
          <cell r="E367">
            <v>23324.529458823534</v>
          </cell>
          <cell r="F367">
            <v>1.0798393267973858</v>
          </cell>
          <cell r="G367">
            <v>0</v>
          </cell>
          <cell r="H367">
            <v>0</v>
          </cell>
          <cell r="I367">
            <v>440</v>
          </cell>
          <cell r="J367">
            <v>2.0370370370370372E-2</v>
          </cell>
        </row>
        <row r="368">
          <cell r="A368" t="str">
            <v>907000233</v>
          </cell>
          <cell r="B368" t="str">
            <v>ROSQUETE MELOCOTON PERSONAL 180G</v>
          </cell>
          <cell r="C368" t="str">
            <v>UND</v>
          </cell>
          <cell r="D368" t="str">
            <v>UND</v>
          </cell>
          <cell r="E368">
            <v>208.40697893340794</v>
          </cell>
          <cell r="F368">
            <v>208.40697893340794</v>
          </cell>
          <cell r="G368">
            <v>0.90565200671140944</v>
          </cell>
          <cell r="H368">
            <v>0.90565200671140944</v>
          </cell>
          <cell r="I368">
            <v>10.744987571464083</v>
          </cell>
          <cell r="J368">
            <v>10.744987571464083</v>
          </cell>
        </row>
        <row r="369">
          <cell r="A369" t="str">
            <v>902000085</v>
          </cell>
          <cell r="B369" t="str">
            <v>RELLENO LIMON PLANTA 2000G</v>
          </cell>
          <cell r="C369" t="str">
            <v>TANDA</v>
          </cell>
          <cell r="D369" t="str">
            <v>GRAMO</v>
          </cell>
          <cell r="E369">
            <v>41745.107599999996</v>
          </cell>
          <cell r="F369">
            <v>2.0872553799999998</v>
          </cell>
          <cell r="G369">
            <v>442.81700000000006</v>
          </cell>
          <cell r="H369">
            <v>0.22140850000000004</v>
          </cell>
          <cell r="I369">
            <v>440</v>
          </cell>
          <cell r="J369">
            <v>0.22</v>
          </cell>
        </row>
        <row r="370">
          <cell r="A370" t="str">
            <v>90100131</v>
          </cell>
          <cell r="B370" t="str">
            <v>AZUCAR BLANCO INDUSTRIAL</v>
          </cell>
          <cell r="C370" t="str">
            <v>TANDA</v>
          </cell>
          <cell r="D370" t="str">
            <v>GRAMO</v>
          </cell>
          <cell r="E370">
            <v>585.51</v>
          </cell>
          <cell r="F370">
            <v>0.39034000000000002</v>
          </cell>
          <cell r="G370">
            <v>35.609333333333339</v>
          </cell>
          <cell r="H370">
            <v>2.3739555555555559E-2</v>
          </cell>
          <cell r="I370">
            <v>55</v>
          </cell>
          <cell r="J370">
            <v>3.6666666666666667E-2</v>
          </cell>
        </row>
        <row r="371">
          <cell r="A371" t="str">
            <v>90100286</v>
          </cell>
          <cell r="B371" t="str">
            <v>TOPPING MELOCOTON PLANTA 10000G</v>
          </cell>
          <cell r="C371" t="str">
            <v>TANDA</v>
          </cell>
          <cell r="D371" t="str">
            <v>GRAMO</v>
          </cell>
          <cell r="E371">
            <v>12376.555990909092</v>
          </cell>
          <cell r="F371">
            <v>1.2376555990909091</v>
          </cell>
          <cell r="G371">
            <v>73.45082882676769</v>
          </cell>
          <cell r="H371">
            <v>7.3450828826767687E-3</v>
          </cell>
          <cell r="I371">
            <v>1205.3583333333333</v>
          </cell>
          <cell r="J371">
            <v>0.12053583333333333</v>
          </cell>
        </row>
        <row r="372">
          <cell r="A372" t="str">
            <v>20100117</v>
          </cell>
          <cell r="B372" t="str">
            <v>EMPAQUE TOPPING MELOCOTON PLANTA 2000G</v>
          </cell>
          <cell r="C372" t="str">
            <v>BOLSA</v>
          </cell>
          <cell r="D372" t="str">
            <v>GRAMO</v>
          </cell>
          <cell r="E372">
            <v>2475.3111981818179</v>
          </cell>
          <cell r="F372">
            <v>1.2376555990909088</v>
          </cell>
          <cell r="G372">
            <v>26.73494576535354</v>
          </cell>
          <cell r="H372">
            <v>1.336747288267677E-2</v>
          </cell>
          <cell r="I372">
            <v>296.07166666666666</v>
          </cell>
          <cell r="J372">
            <v>0.14803583333333334</v>
          </cell>
        </row>
        <row r="373">
          <cell r="A373" t="str">
            <v>20500039</v>
          </cell>
          <cell r="B373" t="str">
            <v>TOPPING MELOCOON C/TOPPING 8000G PLANTA</v>
          </cell>
          <cell r="C373" t="str">
            <v>TANDA</v>
          </cell>
          <cell r="D373" t="str">
            <v>GRAMO</v>
          </cell>
          <cell r="E373">
            <v>11210.111968745454</v>
          </cell>
          <cell r="F373">
            <v>1.4012639960931816</v>
          </cell>
          <cell r="G373">
            <v>38.222176783227283</v>
          </cell>
          <cell r="H373">
            <v>4.7777720979034106E-3</v>
          </cell>
          <cell r="I373">
            <v>674.69675000000007</v>
          </cell>
          <cell r="J373">
            <v>8.4337093750000008E-2</v>
          </cell>
        </row>
        <row r="374">
          <cell r="A374" t="str">
            <v>90100056</v>
          </cell>
          <cell r="B374" t="str">
            <v>SALSA TOMATE NUEVAPLANTA 5950G</v>
          </cell>
          <cell r="C374" t="str">
            <v>TANDA</v>
          </cell>
          <cell r="D374" t="str">
            <v>GRAMO</v>
          </cell>
          <cell r="E374">
            <v>9784.4693420111053</v>
          </cell>
          <cell r="F374">
            <v>1.6444486289094296</v>
          </cell>
          <cell r="G374">
            <v>0</v>
          </cell>
          <cell r="H374">
            <v>0</v>
          </cell>
          <cell r="I374">
            <v>1100</v>
          </cell>
          <cell r="J374">
            <v>0.18487394957983194</v>
          </cell>
        </row>
        <row r="375">
          <cell r="A375" t="str">
            <v>90100232</v>
          </cell>
          <cell r="B375" t="str">
            <v>STRIPS RP 15850G</v>
          </cell>
          <cell r="C375" t="str">
            <v>TANDA</v>
          </cell>
          <cell r="D375" t="str">
            <v>GRAMO</v>
          </cell>
          <cell r="E375">
            <v>68056.679166666669</v>
          </cell>
          <cell r="F375">
            <v>4.2937967928496317</v>
          </cell>
          <cell r="G375">
            <v>0</v>
          </cell>
          <cell r="H375">
            <v>0</v>
          </cell>
          <cell r="I375">
            <v>4400</v>
          </cell>
          <cell r="J375">
            <v>0.27760252365930599</v>
          </cell>
        </row>
        <row r="376">
          <cell r="A376" t="str">
            <v>90100159</v>
          </cell>
          <cell r="B376" t="str">
            <v>PATACONES RP UND</v>
          </cell>
          <cell r="C376" t="str">
            <v>UND</v>
          </cell>
          <cell r="D376" t="str">
            <v>UND</v>
          </cell>
          <cell r="E376">
            <v>60.769213483146068</v>
          </cell>
          <cell r="F376">
            <v>60.769213483146068</v>
          </cell>
          <cell r="G376">
            <v>1.3627415730337077E-3</v>
          </cell>
          <cell r="H376">
            <v>1.3627415730337077E-3</v>
          </cell>
          <cell r="I376">
            <v>5.5673595505617977</v>
          </cell>
          <cell r="J376">
            <v>5.5673595505617977</v>
          </cell>
        </row>
        <row r="377">
          <cell r="A377" t="str">
            <v>90100196</v>
          </cell>
          <cell r="B377" t="str">
            <v>REPOLLO RALLADO ROTIPOLLOS 14500G</v>
          </cell>
          <cell r="C377" t="str">
            <v>TANDA</v>
          </cell>
          <cell r="D377" t="str">
            <v>GRAMO</v>
          </cell>
          <cell r="E377">
            <v>6080</v>
          </cell>
          <cell r="F377">
            <v>0.41931034482758622</v>
          </cell>
          <cell r="G377">
            <v>0</v>
          </cell>
          <cell r="H377">
            <v>0</v>
          </cell>
          <cell r="I377">
            <v>385</v>
          </cell>
          <cell r="J377">
            <v>2.6551724137931033E-2</v>
          </cell>
        </row>
        <row r="378">
          <cell r="A378" t="str">
            <v>90100197</v>
          </cell>
          <cell r="B378" t="str">
            <v>ZANAHORIA RALLADA ROSTIPOLLOS 3700G</v>
          </cell>
          <cell r="C378" t="str">
            <v>TANDA</v>
          </cell>
          <cell r="D378" t="str">
            <v>GRAMO</v>
          </cell>
          <cell r="E378">
            <v>2460</v>
          </cell>
          <cell r="F378">
            <v>0.66486486486486485</v>
          </cell>
          <cell r="G378">
            <v>0</v>
          </cell>
          <cell r="H378">
            <v>0</v>
          </cell>
          <cell r="I378">
            <v>385</v>
          </cell>
          <cell r="J378">
            <v>0.10405405405405406</v>
          </cell>
        </row>
        <row r="379">
          <cell r="A379" t="str">
            <v>90100287</v>
          </cell>
          <cell r="B379" t="str">
            <v>CHILE RALLADO RP 2400G</v>
          </cell>
          <cell r="C379" t="str">
            <v>TANDA</v>
          </cell>
          <cell r="D379" t="str">
            <v>GRAMO</v>
          </cell>
          <cell r="E379">
            <v>3285</v>
          </cell>
          <cell r="F379">
            <v>1.3687499999999999</v>
          </cell>
          <cell r="G379">
            <v>0</v>
          </cell>
          <cell r="H379">
            <v>0</v>
          </cell>
          <cell r="I379">
            <v>385</v>
          </cell>
          <cell r="J379">
            <v>0.16041666666666668</v>
          </cell>
        </row>
        <row r="380">
          <cell r="A380" t="str">
            <v>90100276</v>
          </cell>
          <cell r="B380" t="str">
            <v>BATIDO DE VAINILLA RP 27500G</v>
          </cell>
          <cell r="C380" t="str">
            <v>TANDA</v>
          </cell>
          <cell r="D380" t="str">
            <v>GRAMO</v>
          </cell>
          <cell r="E380">
            <v>34551.182990282527</v>
          </cell>
          <cell r="F380">
            <v>1.256406654192092</v>
          </cell>
          <cell r="G380">
            <v>4.5687514697894255E-5</v>
          </cell>
          <cell r="H380">
            <v>1.6613641708325183E-9</v>
          </cell>
          <cell r="I380">
            <v>440</v>
          </cell>
          <cell r="J380">
            <v>1.6E-2</v>
          </cell>
        </row>
        <row r="381">
          <cell r="A381" t="str">
            <v>90100277</v>
          </cell>
          <cell r="B381" t="str">
            <v>ROSQUETE DE VAINILLA RP (1100G)</v>
          </cell>
          <cell r="C381" t="str">
            <v>UND</v>
          </cell>
          <cell r="D381" t="str">
            <v>UND</v>
          </cell>
          <cell r="E381">
            <v>1382.8785947790864</v>
          </cell>
          <cell r="F381">
            <v>1382.8785947790864</v>
          </cell>
          <cell r="G381">
            <v>1.1341300671140942E-2</v>
          </cell>
          <cell r="H381">
            <v>1.1341300671140942E-2</v>
          </cell>
          <cell r="I381">
            <v>94.655369127516792</v>
          </cell>
          <cell r="J381">
            <v>94.655369127516792</v>
          </cell>
        </row>
        <row r="382">
          <cell r="A382" t="str">
            <v>90100278</v>
          </cell>
          <cell r="B382" t="str">
            <v>ENSAMBLE TORTA VAINILLA RP</v>
          </cell>
          <cell r="C382" t="str">
            <v>UND</v>
          </cell>
          <cell r="D382" t="str">
            <v>UND</v>
          </cell>
          <cell r="E382">
            <v>4249.5394535523583</v>
          </cell>
          <cell r="F382">
            <v>4249.5394535523583</v>
          </cell>
          <cell r="G382">
            <v>275.0164492263159</v>
          </cell>
          <cell r="H382">
            <v>275.0164492263159</v>
          </cell>
          <cell r="I382">
            <v>4249.5394535523583</v>
          </cell>
          <cell r="J382">
            <v>456.13340346148783</v>
          </cell>
        </row>
        <row r="383">
          <cell r="A383" t="str">
            <v>90100288</v>
          </cell>
          <cell r="B383" t="str">
            <v>RELLENO MELOCOTON BUCCA  16000G</v>
          </cell>
          <cell r="C383" t="str">
            <v>TANDA</v>
          </cell>
          <cell r="D383" t="str">
            <v>GRAMO</v>
          </cell>
          <cell r="E383">
            <v>22739.972676923077</v>
          </cell>
          <cell r="F383">
            <v>1.4212482923076923</v>
          </cell>
          <cell r="G383">
            <v>0</v>
          </cell>
          <cell r="H383">
            <v>0</v>
          </cell>
          <cell r="I383">
            <v>825</v>
          </cell>
          <cell r="J383">
            <v>5.1562499999999997E-2</v>
          </cell>
        </row>
        <row r="384">
          <cell r="A384" t="str">
            <v>90100289</v>
          </cell>
          <cell r="B384" t="str">
            <v>EMPAQUE RELLENO MELOCOTON BUCCA 4000G</v>
          </cell>
          <cell r="C384" t="str">
            <v>TANDA</v>
          </cell>
          <cell r="D384" t="str">
            <v>GRAMO</v>
          </cell>
          <cell r="E384">
            <v>5684.9931692307691</v>
          </cell>
          <cell r="F384">
            <v>1.4212482923076923</v>
          </cell>
          <cell r="G384">
            <v>12.027854444444444</v>
          </cell>
          <cell r="H384">
            <v>3.006963611111111E-3</v>
          </cell>
          <cell r="I384">
            <v>261.25</v>
          </cell>
          <cell r="J384">
            <v>6.5312499999999996E-2</v>
          </cell>
        </row>
        <row r="385">
          <cell r="A385" t="str">
            <v>907000088</v>
          </cell>
          <cell r="B385" t="str">
            <v>ROSQUETE SUPER ESPONJA 250G</v>
          </cell>
          <cell r="C385" t="str">
            <v>UND</v>
          </cell>
          <cell r="D385" t="str">
            <v>UND</v>
          </cell>
          <cell r="E385">
            <v>342.19956566918029</v>
          </cell>
          <cell r="F385">
            <v>342.19956566918029</v>
          </cell>
          <cell r="G385">
            <v>3.225383877796784</v>
          </cell>
          <cell r="H385">
            <v>3.225383877796784</v>
          </cell>
          <cell r="I385">
            <v>12.772742170347644</v>
          </cell>
          <cell r="J385">
            <v>12.772742170347644</v>
          </cell>
        </row>
        <row r="386">
          <cell r="A386" t="str">
            <v>907000005</v>
          </cell>
          <cell r="B386" t="str">
            <v>MEZCLA FLAN COCO SPOON 14000G</v>
          </cell>
          <cell r="C386" t="str">
            <v>TANDA</v>
          </cell>
          <cell r="D386" t="str">
            <v>GRAMO</v>
          </cell>
          <cell r="E386">
            <v>28505.621473458821</v>
          </cell>
          <cell r="F386">
            <v>2.0361158195327729</v>
          </cell>
          <cell r="G386">
            <v>1.4543684425234092E-4</v>
          </cell>
          <cell r="H386">
            <v>1.0388346018024351E-8</v>
          </cell>
          <cell r="I386">
            <v>550</v>
          </cell>
          <cell r="J386">
            <v>3.9285714285714285E-2</v>
          </cell>
        </row>
        <row r="387">
          <cell r="A387" t="str">
            <v>906000051</v>
          </cell>
          <cell r="B387" t="str">
            <v>SOMBRERO PALMITO FROLA 65G</v>
          </cell>
          <cell r="C387" t="str">
            <v>UND</v>
          </cell>
          <cell r="D387" t="str">
            <v>UND</v>
          </cell>
          <cell r="E387">
            <v>91.65801588330207</v>
          </cell>
          <cell r="F387">
            <v>91.65801588330207</v>
          </cell>
          <cell r="G387">
            <v>1.9184015901103857</v>
          </cell>
          <cell r="H387">
            <v>1.9184015901103857</v>
          </cell>
          <cell r="I387">
            <v>38.22613334084074</v>
          </cell>
          <cell r="J387">
            <v>38.22613334084074</v>
          </cell>
        </row>
        <row r="388">
          <cell r="A388" t="str">
            <v>903000155</v>
          </cell>
          <cell r="B388" t="str">
            <v>CUADRO HOJALDRE ENCHILADA PAPA</v>
          </cell>
          <cell r="C388" t="str">
            <v>UND</v>
          </cell>
          <cell r="D388" t="str">
            <v>UND</v>
          </cell>
          <cell r="E388">
            <v>28.199774758511111</v>
          </cell>
          <cell r="F388">
            <v>28.199774758511111</v>
          </cell>
          <cell r="G388">
            <v>0.11780661953323908</v>
          </cell>
          <cell r="H388">
            <v>0.11780661953323908</v>
          </cell>
          <cell r="I388">
            <v>12.402463725894815</v>
          </cell>
          <cell r="J388">
            <v>12.402463725894815</v>
          </cell>
        </row>
        <row r="389">
          <cell r="A389" t="str">
            <v>903000127</v>
          </cell>
          <cell r="B389" t="str">
            <v>ENCHILADA PAPA Y CARNE</v>
          </cell>
          <cell r="C389" t="str">
            <v>UND</v>
          </cell>
          <cell r="D389" t="str">
            <v>UND</v>
          </cell>
          <cell r="E389">
            <v>188.15803653845248</v>
          </cell>
          <cell r="F389">
            <v>188.15803653845248</v>
          </cell>
          <cell r="G389">
            <v>0.41355966518192949</v>
          </cell>
          <cell r="H389">
            <v>0.41355966518192949</v>
          </cell>
          <cell r="I389">
            <v>32.825871204054749</v>
          </cell>
          <cell r="J389">
            <v>32.825871204054749</v>
          </cell>
        </row>
        <row r="390">
          <cell r="A390" t="str">
            <v>905000073</v>
          </cell>
          <cell r="B390" t="str">
            <v>RELLENO PAPA CON CARNE ENCHILADA</v>
          </cell>
          <cell r="C390" t="str">
            <v>TANDA</v>
          </cell>
          <cell r="D390" t="str">
            <v>GRAMO</v>
          </cell>
          <cell r="E390">
            <v>14483.312060873948</v>
          </cell>
          <cell r="F390">
            <v>2.4138853434789915</v>
          </cell>
          <cell r="G390">
            <v>3.4014410714285717</v>
          </cell>
          <cell r="H390">
            <v>5.6690684523809528E-4</v>
          </cell>
          <cell r="I390">
            <v>1008.3333333333333</v>
          </cell>
          <cell r="J390">
            <v>0.16805555555555554</v>
          </cell>
        </row>
        <row r="391">
          <cell r="A391" t="str">
            <v>903000173</v>
          </cell>
          <cell r="B391" t="str">
            <v>CIRCULO HOJALDRE 6 CM</v>
          </cell>
          <cell r="C391" t="str">
            <v>UND</v>
          </cell>
          <cell r="D391" t="str">
            <v>UND</v>
          </cell>
          <cell r="E391">
            <v>15.178328251236945</v>
          </cell>
          <cell r="F391">
            <v>15.178328251236945</v>
          </cell>
          <cell r="G391">
            <v>6.0375892510785033E-2</v>
          </cell>
          <cell r="H391">
            <v>6.0375892510785033E-2</v>
          </cell>
          <cell r="I391">
            <v>5.5083459928544265</v>
          </cell>
          <cell r="J391">
            <v>5.5083459928544265</v>
          </cell>
        </row>
        <row r="392">
          <cell r="A392" t="str">
            <v>903000174</v>
          </cell>
          <cell r="B392" t="str">
            <v>ARREGLADO MINI</v>
          </cell>
          <cell r="C392" t="str">
            <v>UND</v>
          </cell>
          <cell r="D392" t="str">
            <v>UND</v>
          </cell>
          <cell r="E392">
            <v>16.938328251236943</v>
          </cell>
          <cell r="F392">
            <v>16.938328251236943</v>
          </cell>
          <cell r="G392">
            <v>0.36531751251078504</v>
          </cell>
          <cell r="H392">
            <v>0.36531751251078504</v>
          </cell>
          <cell r="I392">
            <v>6.0583459928544263</v>
          </cell>
          <cell r="J392">
            <v>6.0583459928544263</v>
          </cell>
        </row>
        <row r="393">
          <cell r="A393" t="str">
            <v>907000221</v>
          </cell>
          <cell r="B393" t="str">
            <v>BATIDO BROWNIE BLONDIE</v>
          </cell>
          <cell r="C393" t="str">
            <v>TANDA</v>
          </cell>
          <cell r="D393" t="str">
            <v>GRAMO</v>
          </cell>
          <cell r="E393">
            <v>19788.55594117647</v>
          </cell>
          <cell r="F393">
            <v>1.9788555941176469</v>
          </cell>
          <cell r="G393">
            <v>0</v>
          </cell>
          <cell r="H393">
            <v>0</v>
          </cell>
          <cell r="I393">
            <v>275</v>
          </cell>
          <cell r="J393">
            <v>2.75E-2</v>
          </cell>
        </row>
        <row r="394">
          <cell r="A394" t="str">
            <v>907000222</v>
          </cell>
          <cell r="B394" t="str">
            <v>PLANCHA BROWNIE BLONDIE</v>
          </cell>
          <cell r="C394" t="str">
            <v>UND</v>
          </cell>
          <cell r="D394" t="str">
            <v>UND</v>
          </cell>
          <cell r="E394">
            <v>4190.6290235294118</v>
          </cell>
          <cell r="F394">
            <v>4190.6290235294118</v>
          </cell>
          <cell r="G394">
            <v>111.21710400000001</v>
          </cell>
          <cell r="H394">
            <v>111.21710400000001</v>
          </cell>
          <cell r="I394">
            <v>110</v>
          </cell>
          <cell r="J394">
            <v>110</v>
          </cell>
        </row>
        <row r="395">
          <cell r="A395" t="str">
            <v>96333</v>
          </cell>
          <cell r="B395" t="str">
            <v>MEZCLA TRES LECHES CON DULCE LECHE</v>
          </cell>
          <cell r="C395" t="str">
            <v>TANDA</v>
          </cell>
          <cell r="D395" t="str">
            <v>GRAMO</v>
          </cell>
          <cell r="E395">
            <v>7978.930311008</v>
          </cell>
          <cell r="F395">
            <v>1.5957860622016</v>
          </cell>
          <cell r="G395">
            <v>5.3780174999999995</v>
          </cell>
          <cell r="H395">
            <v>1.0756034999999998E-3</v>
          </cell>
          <cell r="I395">
            <v>153.56</v>
          </cell>
          <cell r="J395">
            <v>3.0712E-2</v>
          </cell>
        </row>
        <row r="396">
          <cell r="A396" t="str">
            <v>905000061</v>
          </cell>
          <cell r="B396" t="str">
            <v>Crema Chantilly Fucsia</v>
          </cell>
          <cell r="C396" t="str">
            <v>TANDA</v>
          </cell>
          <cell r="D396" t="str">
            <v>GRAMO</v>
          </cell>
          <cell r="E396">
            <v>18642.174413199999</v>
          </cell>
          <cell r="F396">
            <v>1.9022626952244897</v>
          </cell>
          <cell r="G396">
            <v>0</v>
          </cell>
          <cell r="H396">
            <v>0</v>
          </cell>
          <cell r="I396">
            <v>550</v>
          </cell>
          <cell r="J396">
            <v>5.6122448979591837E-2</v>
          </cell>
        </row>
        <row r="397">
          <cell r="A397" t="str">
            <v>95237</v>
          </cell>
          <cell r="B397" t="str">
            <v>PASTEL PALMITO PEQ</v>
          </cell>
          <cell r="C397" t="str">
            <v>UND</v>
          </cell>
          <cell r="D397" t="str">
            <v>UND</v>
          </cell>
          <cell r="E397">
            <v>184.50862978491162</v>
          </cell>
          <cell r="F397">
            <v>184.50862978491162</v>
          </cell>
          <cell r="G397">
            <v>3.0933846334028137</v>
          </cell>
          <cell r="H397">
            <v>3.0933846334028137</v>
          </cell>
          <cell r="I397">
            <v>59.574693822721429</v>
          </cell>
          <cell r="J397">
            <v>59.574693822721429</v>
          </cell>
        </row>
        <row r="398">
          <cell r="A398" t="str">
            <v>90100098</v>
          </cell>
          <cell r="B398" t="str">
            <v>RELLENO PASTEL ALMENDRAS 7500G</v>
          </cell>
          <cell r="C398" t="str">
            <v>TANDA</v>
          </cell>
          <cell r="D398" t="str">
            <v>GRAMO</v>
          </cell>
          <cell r="E398">
            <v>15080.066657318017</v>
          </cell>
          <cell r="F398">
            <v>2.0106755543090689</v>
          </cell>
          <cell r="G398">
            <v>34.418857142857149</v>
          </cell>
          <cell r="H398">
            <v>4.5891809523809536E-3</v>
          </cell>
          <cell r="I398">
            <v>550</v>
          </cell>
          <cell r="J398">
            <v>7.3333333333333334E-2</v>
          </cell>
        </row>
        <row r="399">
          <cell r="A399" t="str">
            <v>90100099</v>
          </cell>
          <cell r="B399" t="str">
            <v>PIE ALMENDRAS Y PECANAS PERSONAL</v>
          </cell>
          <cell r="C399" t="str">
            <v>UND</v>
          </cell>
          <cell r="D399" t="str">
            <v>UND</v>
          </cell>
          <cell r="E399">
            <v>223.11516382003214</v>
          </cell>
          <cell r="F399">
            <v>223.11516382003214</v>
          </cell>
          <cell r="G399">
            <v>1.0054282854078063</v>
          </cell>
          <cell r="H399">
            <v>1.0054282854078063</v>
          </cell>
          <cell r="I399">
            <v>54.949213516922292</v>
          </cell>
          <cell r="J399">
            <v>54.949213516922292</v>
          </cell>
        </row>
        <row r="400">
          <cell r="A400" t="str">
            <v>903000162</v>
          </cell>
          <cell r="B400" t="str">
            <v>RUEDA PASTA FROLA EMPANA POLLO Y CEBOLLA</v>
          </cell>
          <cell r="C400" t="str">
            <v>UND</v>
          </cell>
          <cell r="D400" t="str">
            <v>UND</v>
          </cell>
          <cell r="E400">
            <v>35.299909185482043</v>
          </cell>
          <cell r="F400">
            <v>35.299909185482043</v>
          </cell>
          <cell r="G400">
            <v>0.14620371576944172</v>
          </cell>
          <cell r="H400">
            <v>0.14620371576944172</v>
          </cell>
          <cell r="I400">
            <v>13.078384887484008</v>
          </cell>
          <cell r="J400">
            <v>13.078384887484008</v>
          </cell>
        </row>
        <row r="401">
          <cell r="A401" t="str">
            <v>902000013</v>
          </cell>
          <cell r="B401" t="str">
            <v>RELLENO POLLO Y CEBOLLA 400G</v>
          </cell>
          <cell r="C401" t="str">
            <v>PAQ</v>
          </cell>
          <cell r="D401" t="str">
            <v>GRAMO</v>
          </cell>
          <cell r="E401">
            <v>1554.2800282203368</v>
          </cell>
          <cell r="F401">
            <v>3.885700070550842</v>
          </cell>
          <cell r="G401">
            <v>16.491913485116637</v>
          </cell>
          <cell r="H401">
            <v>4.1229783712791596E-2</v>
          </cell>
          <cell r="I401">
            <v>94.590803754408284</v>
          </cell>
          <cell r="J401">
            <v>0.2364770093860207</v>
          </cell>
        </row>
        <row r="402">
          <cell r="A402" t="str">
            <v>903000100</v>
          </cell>
          <cell r="B402" t="str">
            <v>EMPANADA POLLO Y CEBOLLA 72G</v>
          </cell>
          <cell r="C402" t="str">
            <v>UND</v>
          </cell>
          <cell r="D402" t="str">
            <v>UND</v>
          </cell>
          <cell r="E402">
            <v>192.72245786881328</v>
          </cell>
          <cell r="F402">
            <v>192.72245786881328</v>
          </cell>
          <cell r="G402">
            <v>2.305521314392962</v>
          </cell>
          <cell r="H402">
            <v>2.305521314392962</v>
          </cell>
          <cell r="I402">
            <v>31.713360117510963</v>
          </cell>
          <cell r="J402">
            <v>31.713360117510963</v>
          </cell>
        </row>
        <row r="403">
          <cell r="A403" t="str">
            <v>906000086</v>
          </cell>
          <cell r="B403" t="str">
            <v>EMPANADA PIÑA Y COCO 85G</v>
          </cell>
          <cell r="C403" t="str">
            <v>UND</v>
          </cell>
          <cell r="D403" t="str">
            <v>UND</v>
          </cell>
          <cell r="E403">
            <v>123.83184685326725</v>
          </cell>
          <cell r="F403">
            <v>123.83184685326725</v>
          </cell>
          <cell r="G403">
            <v>0.95754501644058276</v>
          </cell>
          <cell r="H403">
            <v>0.95754501644058276</v>
          </cell>
          <cell r="I403">
            <v>20.467087348334118</v>
          </cell>
          <cell r="J403">
            <v>20.467087348334118</v>
          </cell>
        </row>
        <row r="404">
          <cell r="A404" t="str">
            <v>901000182</v>
          </cell>
          <cell r="B404" t="str">
            <v>ADEREZO CULANTRO 2400G</v>
          </cell>
          <cell r="C404" t="str">
            <v>TANDA</v>
          </cell>
          <cell r="D404" t="str">
            <v>GRAMO</v>
          </cell>
          <cell r="E404">
            <v>4534.0574728730599</v>
          </cell>
          <cell r="F404">
            <v>1.8891906136971082</v>
          </cell>
          <cell r="G404">
            <v>14.437899462426836</v>
          </cell>
          <cell r="H404">
            <v>6.0157914426778487E-3</v>
          </cell>
          <cell r="I404">
            <v>205.6984989507886</v>
          </cell>
          <cell r="J404">
            <v>8.5707707896161917E-2</v>
          </cell>
        </row>
        <row r="405">
          <cell r="A405" t="str">
            <v>907000064</v>
          </cell>
          <cell r="B405" t="str">
            <v>ROSQUETE ZANAHORIA RECT (900g)</v>
          </cell>
          <cell r="C405" t="str">
            <v>UND</v>
          </cell>
          <cell r="D405" t="str">
            <v>UND</v>
          </cell>
          <cell r="E405">
            <v>1486.4085368633203</v>
          </cell>
          <cell r="F405">
            <v>1486.4085368633203</v>
          </cell>
          <cell r="G405">
            <v>11.738226791491613</v>
          </cell>
          <cell r="H405">
            <v>11.738226791491613</v>
          </cell>
          <cell r="I405">
            <v>142.08472634928557</v>
          </cell>
          <cell r="J405">
            <v>142.08472634928557</v>
          </cell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</sheetData>
      <sheetData sheetId="4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 xml:space="preserve">Costo MP
 </v>
          </cell>
          <cell r="E1" t="str">
            <v xml:space="preserve">Costo Empaque
 </v>
          </cell>
          <cell r="F1" t="str">
            <v>Costo
MO</v>
          </cell>
          <cell r="G1" t="str">
            <v>Precio
Venta</v>
          </cell>
          <cell r="H1" t="str">
            <v>Costo Und medida 
Local</v>
          </cell>
          <cell r="I1" t="str">
            <v>Und Medida 
Locales</v>
          </cell>
        </row>
        <row r="2">
          <cell r="A2" t="str">
            <v>10010</v>
          </cell>
          <cell r="B2" t="str">
            <v>GALLO PINTO (BOLSA=400g=2 PORC)</v>
          </cell>
          <cell r="C2" t="str">
            <v>BOLSA</v>
          </cell>
          <cell r="D2">
            <v>541.5525739033319</v>
          </cell>
          <cell r="E2">
            <v>19.445710023777735</v>
          </cell>
          <cell r="F2">
            <v>80.840809717408121</v>
          </cell>
          <cell r="G2">
            <v>842.41381040842953</v>
          </cell>
          <cell r="H2">
            <v>2.106034526021074</v>
          </cell>
          <cell r="I2" t="str">
            <v>GRAMO</v>
          </cell>
        </row>
        <row r="3">
          <cell r="A3" t="str">
            <v>14004</v>
          </cell>
          <cell r="B3" t="str">
            <v>ARROZ C/PALMITO (TOPPER=2 PORC)</v>
          </cell>
          <cell r="C3" t="str">
            <v>TOPPER</v>
          </cell>
          <cell r="D3">
            <v>976.1254549545398</v>
          </cell>
          <cell r="E3">
            <v>68.412100951995939</v>
          </cell>
          <cell r="F3">
            <v>132.49121689426991</v>
          </cell>
          <cell r="G3">
            <v>1558.559819722331</v>
          </cell>
          <cell r="H3">
            <v>779.27990986116549</v>
          </cell>
          <cell r="I3" t="str">
            <v>PORCION</v>
          </cell>
        </row>
        <row r="4">
          <cell r="A4" t="str">
            <v>14013</v>
          </cell>
          <cell r="B4" t="str">
            <v>ARROZ C/POLLO (BOLSA=550g=2 PORC)</v>
          </cell>
          <cell r="C4" t="str">
            <v>BOLSA</v>
          </cell>
          <cell r="D4">
            <v>964.40958157031241</v>
          </cell>
          <cell r="E4">
            <v>15.451930635714287</v>
          </cell>
          <cell r="F4">
            <v>73.639843749999997</v>
          </cell>
          <cell r="G4">
            <v>1395.5812120399889</v>
          </cell>
          <cell r="H4">
            <v>2.5374203855272528</v>
          </cell>
          <cell r="I4" t="str">
            <v>GRAMO</v>
          </cell>
        </row>
        <row r="5">
          <cell r="A5" t="str">
            <v>14016</v>
          </cell>
          <cell r="B5" t="str">
            <v>ARROZ C/PALMITO (PIREX=6 PORC)</v>
          </cell>
          <cell r="C5" t="str">
            <v>PIREX</v>
          </cell>
          <cell r="D5">
            <v>2888.4153319953539</v>
          </cell>
          <cell r="E5">
            <v>312.05347488193479</v>
          </cell>
          <cell r="F5">
            <v>339.3935142196683</v>
          </cell>
          <cell r="G5">
            <v>4688.0754495300198</v>
          </cell>
          <cell r="H5">
            <v>781.34590825500334</v>
          </cell>
          <cell r="I5" t="str">
            <v>PORCION</v>
          </cell>
        </row>
        <row r="6">
          <cell r="A6" t="str">
            <v>14049</v>
          </cell>
          <cell r="B6" t="str">
            <v>ARROZ BLANCO CASADITO (BOLSA=600g=4 PORC)</v>
          </cell>
          <cell r="C6" t="str">
            <v>BOLSA</v>
          </cell>
          <cell r="D6">
            <v>316.13069781820445</v>
          </cell>
          <cell r="E6">
            <v>41.691918520887825</v>
          </cell>
          <cell r="F6">
            <v>50.113294044045368</v>
          </cell>
          <cell r="G6">
            <v>535.41588237786823</v>
          </cell>
          <cell r="H6">
            <v>0.89235980396311376</v>
          </cell>
          <cell r="I6" t="str">
            <v>GRAMO</v>
          </cell>
        </row>
        <row r="7">
          <cell r="A7" t="str">
            <v>16089</v>
          </cell>
          <cell r="B7" t="str">
            <v>LASAGÑA CARNE REINGENIERIA (PIREX=6 PORC)</v>
          </cell>
          <cell r="C7" t="str">
            <v>PIREX</v>
          </cell>
          <cell r="D7">
            <v>4330.960579320461</v>
          </cell>
          <cell r="E7">
            <v>319.2194043472719</v>
          </cell>
          <cell r="F7">
            <v>656.28101435472468</v>
          </cell>
          <cell r="G7">
            <v>7025.7636721901144</v>
          </cell>
          <cell r="H7">
            <v>1170.9606120316857</v>
          </cell>
          <cell r="I7" t="str">
            <v>PORCION</v>
          </cell>
        </row>
        <row r="8">
          <cell r="A8" t="str">
            <v>16094</v>
          </cell>
          <cell r="B8" t="str">
            <v>LASAGÑA VEGETARIANA (TOPPER=2 PORC)</v>
          </cell>
          <cell r="C8" t="str">
            <v>TOPPER</v>
          </cell>
          <cell r="D8">
            <v>1653.3259489253901</v>
          </cell>
          <cell r="E8">
            <v>59.224634248698166</v>
          </cell>
          <cell r="F8">
            <v>248.34050833160256</v>
          </cell>
          <cell r="G8">
            <v>2596.1467840053792</v>
          </cell>
          <cell r="H8">
            <v>1298.0733920026896</v>
          </cell>
          <cell r="I8" t="str">
            <v>PORCION</v>
          </cell>
        </row>
        <row r="9">
          <cell r="A9" t="str">
            <v>20044</v>
          </cell>
          <cell r="B9" t="str">
            <v>PASTEL POLLO (PIREX=4 PORC)</v>
          </cell>
          <cell r="C9" t="str">
            <v>UND</v>
          </cell>
          <cell r="D9"/>
          <cell r="E9"/>
          <cell r="F9"/>
          <cell r="G9"/>
          <cell r="H9"/>
          <cell r="I9"/>
        </row>
        <row r="10">
          <cell r="A10" t="str">
            <v>20052</v>
          </cell>
          <cell r="B10" t="str">
            <v>PASTEL POLLO (PIREX=6 PORC)</v>
          </cell>
          <cell r="C10" t="str">
            <v>PIREX</v>
          </cell>
          <cell r="D10">
            <v>2496.4035908650021</v>
          </cell>
          <cell r="E10">
            <v>306.56596295563088</v>
          </cell>
          <cell r="F10">
            <v>584.31552325922758</v>
          </cell>
          <cell r="G10">
            <v>4482.6006390612129</v>
          </cell>
          <cell r="H10">
            <v>4482.6006390612129</v>
          </cell>
          <cell r="I10" t="str">
            <v>PIREX</v>
          </cell>
        </row>
        <row r="11">
          <cell r="A11" t="str">
            <v>20054</v>
          </cell>
          <cell r="B11" t="str">
            <v>PASTEL PALMITO (PIREX=6 PORC)</v>
          </cell>
          <cell r="C11" t="str">
            <v>PIREX</v>
          </cell>
          <cell r="D11">
            <v>1762.9220643859064</v>
          </cell>
          <cell r="E11">
            <v>336.03535779023366</v>
          </cell>
          <cell r="F11">
            <v>702.1811984839585</v>
          </cell>
          <cell r="G11">
            <v>3704.0432557824406</v>
          </cell>
          <cell r="H11">
            <v>3704.0432557824406</v>
          </cell>
          <cell r="I11" t="str">
            <v>PIREX</v>
          </cell>
        </row>
        <row r="12">
          <cell r="A12" t="str">
            <v>22114</v>
          </cell>
          <cell r="B12" t="str">
            <v>PECHUGA RELLENA SIN SALSA (PAQ=170g)</v>
          </cell>
          <cell r="C12" t="str">
            <v>PAQ</v>
          </cell>
          <cell r="D12">
            <v>1269.0991042205712</v>
          </cell>
          <cell r="E12">
            <v>19.481587704545454</v>
          </cell>
          <cell r="F12">
            <v>89</v>
          </cell>
          <cell r="G12">
            <v>1824.9872797332328</v>
          </cell>
          <cell r="H12">
            <v>10.735219292548427</v>
          </cell>
          <cell r="I12" t="str">
            <v>GRAMO</v>
          </cell>
        </row>
        <row r="13">
          <cell r="A13" t="str">
            <v>28002</v>
          </cell>
          <cell r="B13" t="str">
            <v>SOPA AZTECA (400g)</v>
          </cell>
          <cell r="C13" t="str">
            <v>BOLSA</v>
          </cell>
          <cell r="D13">
            <v>456.02059939806981</v>
          </cell>
          <cell r="E13">
            <v>13.683999999999999</v>
          </cell>
          <cell r="F13">
            <v>62.475618131868131</v>
          </cell>
          <cell r="G13">
            <v>698.48653550804363</v>
          </cell>
          <cell r="H13">
            <v>698.48653550804363</v>
          </cell>
          <cell r="I13" t="str">
            <v>BOLSA</v>
          </cell>
        </row>
        <row r="14">
          <cell r="A14" t="str">
            <v>28010</v>
          </cell>
          <cell r="B14" t="str">
            <v>SOPA DE POLLO (TOPPER=400g)</v>
          </cell>
          <cell r="C14" t="str">
            <v>TOPPER</v>
          </cell>
          <cell r="D14">
            <v>373.82354048125001</v>
          </cell>
          <cell r="E14">
            <v>71.914266430555557</v>
          </cell>
          <cell r="F14">
            <v>131.484375</v>
          </cell>
          <cell r="G14">
            <v>763.45442247496226</v>
          </cell>
          <cell r="H14">
            <v>763.45442247496226</v>
          </cell>
          <cell r="I14" t="str">
            <v>TOPPER</v>
          </cell>
        </row>
        <row r="15">
          <cell r="A15" t="str">
            <v>28011</v>
          </cell>
          <cell r="B15" t="str">
            <v>SOPA NEGRA (TOPPER=300g)</v>
          </cell>
          <cell r="C15" t="str">
            <v>UND</v>
          </cell>
          <cell r="D15">
            <v>301.08782266666668</v>
          </cell>
          <cell r="E15">
            <v>70.676725555555564</v>
          </cell>
          <cell r="F15">
            <v>82.5</v>
          </cell>
          <cell r="G15">
            <v>601.10162923708344</v>
          </cell>
          <cell r="H15">
            <v>601.10162923708344</v>
          </cell>
          <cell r="I15" t="str">
            <v>TOPPER</v>
          </cell>
        </row>
        <row r="16">
          <cell r="A16" t="str">
            <v>28018</v>
          </cell>
          <cell r="B16" t="str">
            <v>CREMA TOMATE (CONTEN=370g)</v>
          </cell>
          <cell r="C16" t="str">
            <v>TOPPER</v>
          </cell>
          <cell r="D16">
            <v>403.38498377335173</v>
          </cell>
          <cell r="E16">
            <v>69.761854444444438</v>
          </cell>
          <cell r="F16">
            <v>52.053571428571431</v>
          </cell>
          <cell r="G16">
            <v>695.53558991246598</v>
          </cell>
          <cell r="H16">
            <v>695.53558991246598</v>
          </cell>
          <cell r="I16" t="str">
            <v>CONT</v>
          </cell>
        </row>
        <row r="17">
          <cell r="A17" t="str">
            <v>32006</v>
          </cell>
          <cell r="B17" t="str">
            <v>CHEESE CAKE FRESA (UND=5 PORC)</v>
          </cell>
          <cell r="C17" t="str">
            <v>UND</v>
          </cell>
          <cell r="D17">
            <v>1535.9506277910316</v>
          </cell>
          <cell r="E17">
            <v>359.37527</v>
          </cell>
          <cell r="F17">
            <v>301.02900912646675</v>
          </cell>
          <cell r="G17">
            <v>2907.5919677377242</v>
          </cell>
          <cell r="H17">
            <v>2907.5919677377242</v>
          </cell>
          <cell r="I17" t="str">
            <v>UND</v>
          </cell>
        </row>
        <row r="18">
          <cell r="A18" t="str">
            <v>32016</v>
          </cell>
          <cell r="B18" t="str">
            <v>CHESSE CAKE FRESA (UND=8 PORC)</v>
          </cell>
          <cell r="C18" t="str">
            <v>UND</v>
          </cell>
          <cell r="D18">
            <v>2489.5829112881156</v>
          </cell>
          <cell r="E18">
            <v>512.15726999999993</v>
          </cell>
          <cell r="F18">
            <v>303.90971316818775</v>
          </cell>
          <cell r="G18">
            <v>4494.2362525551061</v>
          </cell>
          <cell r="H18">
            <v>4494.2362525551061</v>
          </cell>
          <cell r="I18" t="str">
            <v>UND</v>
          </cell>
        </row>
        <row r="19">
          <cell r="A19" t="str">
            <v>32020</v>
          </cell>
          <cell r="B19" t="str">
            <v>CHESSE CAKE CHERRIE (UND=6 PORC)</v>
          </cell>
          <cell r="C19" t="str">
            <v>UND</v>
          </cell>
          <cell r="D19">
            <v>2788.6521291754302</v>
          </cell>
          <cell r="E19">
            <v>384.58827000000002</v>
          </cell>
          <cell r="F19">
            <v>202.21153846153845</v>
          </cell>
          <cell r="G19">
            <v>4430.2806681485217</v>
          </cell>
          <cell r="H19">
            <v>4430.2806681485217</v>
          </cell>
          <cell r="I19" t="str">
            <v>UND</v>
          </cell>
        </row>
        <row r="20">
          <cell r="A20" t="str">
            <v>32040</v>
          </cell>
          <cell r="B20" t="str">
            <v>PIE DE LIMON (UND=6 PORC)</v>
          </cell>
          <cell r="C20" t="str">
            <v>UND</v>
          </cell>
          <cell r="D20">
            <v>2827.0046489570109</v>
          </cell>
          <cell r="E20">
            <v>367.54037888888888</v>
          </cell>
          <cell r="F20">
            <v>239.20227047148524</v>
          </cell>
          <cell r="G20">
            <v>4548.7217325320444</v>
          </cell>
          <cell r="H20">
            <v>4548.7217325320444</v>
          </cell>
          <cell r="I20" t="str">
            <v>UND</v>
          </cell>
        </row>
        <row r="21">
          <cell r="A21" t="str">
            <v>32096</v>
          </cell>
          <cell r="B21" t="str">
            <v>FLAN TRES LECHES MINI (UND=5 PORC)</v>
          </cell>
          <cell r="C21" t="str">
            <v>UND</v>
          </cell>
          <cell r="D21">
            <v>1690.0848030351458</v>
          </cell>
          <cell r="E21">
            <v>296.5959038777919</v>
          </cell>
          <cell r="F21">
            <v>271.03680463083754</v>
          </cell>
          <cell r="G21">
            <v>2989.3294181794372</v>
          </cell>
          <cell r="H21">
            <v>2989.3294181794372</v>
          </cell>
          <cell r="I21" t="str">
            <v>UND</v>
          </cell>
        </row>
        <row r="22">
          <cell r="A22" t="str">
            <v>32101</v>
          </cell>
          <cell r="B22" t="str">
            <v>CHESSE CAKE MARACUYA LIGHT RED (6 PORC)</v>
          </cell>
          <cell r="C22" t="str">
            <v>UND</v>
          </cell>
          <cell r="D22">
            <v>0</v>
          </cell>
          <cell r="E22">
            <v>0</v>
          </cell>
          <cell r="F22">
            <v>0</v>
          </cell>
          <cell r="G22">
            <v>6163.3</v>
          </cell>
          <cell r="H22">
            <v>6163.3</v>
          </cell>
          <cell r="I22" t="str">
            <v>UND</v>
          </cell>
        </row>
        <row r="23">
          <cell r="A23" t="str">
            <v>32115</v>
          </cell>
          <cell r="B23" t="str">
            <v>TRES LECHES S/DECORAR (PIREX=4 PORC)</v>
          </cell>
          <cell r="C23" t="str">
            <v>UND</v>
          </cell>
          <cell r="D23">
            <v>1339.0553689207911</v>
          </cell>
          <cell r="E23">
            <v>109.40448485775694</v>
          </cell>
          <cell r="F23">
            <v>202.90031392821263</v>
          </cell>
          <cell r="G23">
            <v>2186.4212556959669</v>
          </cell>
          <cell r="H23">
            <v>2186.4212556959669</v>
          </cell>
          <cell r="I23" t="str">
            <v>UND</v>
          </cell>
        </row>
        <row r="24">
          <cell r="A24" t="str">
            <v>32116</v>
          </cell>
          <cell r="B24" t="str">
            <v>TRES LECHES S/DECORAR (PIREX=6 PORC)</v>
          </cell>
          <cell r="C24" t="str">
            <v>UND</v>
          </cell>
          <cell r="D24">
            <v>2023.2490897948062</v>
          </cell>
          <cell r="E24">
            <v>311.78286654499129</v>
          </cell>
          <cell r="F24">
            <v>206.79008202833705</v>
          </cell>
          <cell r="G24">
            <v>3366.7887197851369</v>
          </cell>
          <cell r="H24">
            <v>3366.7887197851369</v>
          </cell>
          <cell r="I24" t="str">
            <v>UND</v>
          </cell>
        </row>
        <row r="25">
          <cell r="A25" t="str">
            <v>32126</v>
          </cell>
          <cell r="B25" t="str">
            <v>POSTRE MINI COOKIES AND CREAM (CAJA=5 UND)</v>
          </cell>
          <cell r="C25" t="str">
            <v>UND</v>
          </cell>
          <cell r="D25">
            <v>435.73139116632836</v>
          </cell>
          <cell r="E25">
            <v>65.099034666666668</v>
          </cell>
          <cell r="F25">
            <v>129.77356052187514</v>
          </cell>
          <cell r="G25">
            <v>834.24113142982515</v>
          </cell>
          <cell r="H25">
            <v>834.24113142982515</v>
          </cell>
          <cell r="I25" t="str">
            <v>UND</v>
          </cell>
        </row>
        <row r="26">
          <cell r="A26" t="str">
            <v>32127</v>
          </cell>
          <cell r="B26" t="str">
            <v>POSTRE MINI CHOCOLATE DARK (CAJA=5 UND)</v>
          </cell>
          <cell r="C26" t="str">
            <v>UND</v>
          </cell>
          <cell r="D26">
            <v>452.04403920576641</v>
          </cell>
          <cell r="E26">
            <v>126.297543989267</v>
          </cell>
          <cell r="F26">
            <v>93.026232681991843</v>
          </cell>
          <cell r="G26">
            <v>888.76099161803029</v>
          </cell>
          <cell r="H26">
            <v>888.76099161803029</v>
          </cell>
          <cell r="I26" t="str">
            <v>UND</v>
          </cell>
        </row>
        <row r="27">
          <cell r="A27" t="str">
            <v>32132</v>
          </cell>
          <cell r="B27" t="str">
            <v>DELICIA MANZANA PERSONAL (CAJA=5 UND)</v>
          </cell>
          <cell r="C27" t="str">
            <v>CAJA</v>
          </cell>
          <cell r="D27">
            <v>1474.3023692560055</v>
          </cell>
          <cell r="E27">
            <v>364.08072555555555</v>
          </cell>
          <cell r="F27">
            <v>316.75330528846155</v>
          </cell>
          <cell r="G27">
            <v>2852.7453032506814</v>
          </cell>
          <cell r="H27">
            <v>570.54906065013631</v>
          </cell>
          <cell r="I27" t="str">
            <v>UND</v>
          </cell>
        </row>
        <row r="28">
          <cell r="A28" t="str">
            <v>34003</v>
          </cell>
          <cell r="B28" t="str">
            <v>GALLETAS P/TORTA CHILENA 30 PORC.</v>
          </cell>
          <cell r="C28" t="str">
            <v>PAQ</v>
          </cell>
          <cell r="D28">
            <v>1728.1420560775862</v>
          </cell>
          <cell r="E28">
            <v>974.34112455938703</v>
          </cell>
          <cell r="F28">
            <v>671.51724137931035</v>
          </cell>
          <cell r="G28">
            <v>5721.2540114621979</v>
          </cell>
          <cell r="H28">
            <v>5721.2540114621979</v>
          </cell>
          <cell r="I28" t="str">
            <v>PAQ</v>
          </cell>
        </row>
        <row r="29">
          <cell r="A29" t="str">
            <v>34010</v>
          </cell>
          <cell r="B29" t="str">
            <v>TORTA CHOCOLATE RED. (UND=8 PORC)</v>
          </cell>
          <cell r="C29" t="str">
            <v>UND</v>
          </cell>
          <cell r="D29">
            <v>5164.6364900398585</v>
          </cell>
          <cell r="E29">
            <v>459.8293194930551</v>
          </cell>
          <cell r="F29">
            <v>407.90321552434051</v>
          </cell>
          <cell r="G29">
            <v>7671.6532407722543</v>
          </cell>
          <cell r="H29">
            <v>7671.6532407722543</v>
          </cell>
          <cell r="I29" t="str">
            <v>UND</v>
          </cell>
        </row>
        <row r="30">
          <cell r="A30" t="str">
            <v>34021</v>
          </cell>
          <cell r="B30" t="str">
            <v>PORCION QQ SECO C/PASAS</v>
          </cell>
          <cell r="C30" t="str">
            <v>UND</v>
          </cell>
          <cell r="D30">
            <v>222.00230215353847</v>
          </cell>
          <cell r="E30">
            <v>110.27026293175591</v>
          </cell>
          <cell r="F30">
            <v>51.585101658112912</v>
          </cell>
          <cell r="G30">
            <v>573.02236447027894</v>
          </cell>
          <cell r="H30">
            <v>573.02236447027894</v>
          </cell>
          <cell r="I30" t="str">
            <v>PORCION</v>
          </cell>
        </row>
        <row r="31">
          <cell r="A31" t="str">
            <v>34030</v>
          </cell>
          <cell r="B31" t="str">
            <v>QQ SECO C/PASAS RECT (8 PORC)</v>
          </cell>
          <cell r="C31" t="str">
            <v>UND</v>
          </cell>
          <cell r="D31"/>
          <cell r="E31"/>
          <cell r="F31"/>
          <cell r="G31"/>
          <cell r="H31"/>
          <cell r="I31"/>
        </row>
        <row r="32">
          <cell r="A32" t="str">
            <v>34047</v>
          </cell>
          <cell r="B32" t="str">
            <v>QQ ZANAHORIA RECT. (UND=8 PORC)</v>
          </cell>
          <cell r="C32" t="str">
            <v>UND</v>
          </cell>
          <cell r="D32"/>
          <cell r="E32"/>
          <cell r="F32"/>
          <cell r="G32"/>
          <cell r="H32"/>
          <cell r="I32"/>
        </row>
        <row r="33">
          <cell r="A33" t="str">
            <v>34064</v>
          </cell>
          <cell r="B33" t="str">
            <v>GALLETAS P/TORTA CHILENA GDE (7 GALLETAS)</v>
          </cell>
          <cell r="C33" t="str">
            <v>CONT</v>
          </cell>
          <cell r="D33">
            <v>878.61409658849789</v>
          </cell>
          <cell r="E33">
            <v>468.76206177625187</v>
          </cell>
          <cell r="F33">
            <v>192.17306866952791</v>
          </cell>
          <cell r="G33">
            <v>2038.3426725610268</v>
          </cell>
          <cell r="H33">
            <v>2038.3426725610268</v>
          </cell>
          <cell r="I33" t="str">
            <v>CONT</v>
          </cell>
        </row>
        <row r="34">
          <cell r="A34" t="str">
            <v>34065</v>
          </cell>
          <cell r="B34" t="str">
            <v>GALLETAS P/TORTA CHILENA PEQ</v>
          </cell>
          <cell r="C34" t="str">
            <v>CONT</v>
          </cell>
          <cell r="D34">
            <v>638.81808722844823</v>
          </cell>
          <cell r="E34">
            <v>394.03194635478934</v>
          </cell>
          <cell r="F34">
            <v>219.15655172413793</v>
          </cell>
          <cell r="G34">
            <v>1656.8147999067103</v>
          </cell>
          <cell r="H34">
            <v>1656.8147999067103</v>
          </cell>
          <cell r="I34" t="str">
            <v>CONT</v>
          </cell>
        </row>
        <row r="35">
          <cell r="A35" t="str">
            <v>36008</v>
          </cell>
          <cell r="B35" t="str">
            <v>TORTA LECHE CONDENSADA Y PECANAS (8 PORC)</v>
          </cell>
          <cell r="C35" t="str">
            <v>UND</v>
          </cell>
          <cell r="D35">
            <v>5629.8981010416437</v>
          </cell>
          <cell r="E35">
            <v>505.88681785496516</v>
          </cell>
          <cell r="F35">
            <v>482.23681979533819</v>
          </cell>
          <cell r="G35">
            <v>7723.8752000851682</v>
          </cell>
          <cell r="H35">
            <v>7723.8752000851682</v>
          </cell>
          <cell r="I35" t="str">
            <v>UND</v>
          </cell>
        </row>
        <row r="36">
          <cell r="A36" t="str">
            <v>36022</v>
          </cell>
          <cell r="B36" t="str">
            <v>TORTA MELOCOTON MEDIANA</v>
          </cell>
          <cell r="C36" t="str">
            <v>UND</v>
          </cell>
          <cell r="D36">
            <v>2621.3063171005351</v>
          </cell>
          <cell r="E36">
            <v>651.27423019627793</v>
          </cell>
          <cell r="F36">
            <v>367.9270441386671</v>
          </cell>
          <cell r="G36">
            <v>5053.8008429534857</v>
          </cell>
          <cell r="H36">
            <v>5053.8008429534857</v>
          </cell>
          <cell r="I36" t="str">
            <v>UND</v>
          </cell>
        </row>
        <row r="37">
          <cell r="A37" t="str">
            <v>36024</v>
          </cell>
          <cell r="B37" t="str">
            <v>TORTA CHOCOFRESA MEDIANA</v>
          </cell>
          <cell r="C37" t="str">
            <v>UND</v>
          </cell>
          <cell r="D37">
            <v>2917.0384102985695</v>
          </cell>
          <cell r="E37">
            <v>656.2637880048469</v>
          </cell>
          <cell r="F37">
            <v>401.34535873634781</v>
          </cell>
          <cell r="G37">
            <v>5516.5552278723462</v>
          </cell>
          <cell r="H37">
            <v>5516.5552278723462</v>
          </cell>
          <cell r="I37" t="str">
            <v>UND</v>
          </cell>
        </row>
        <row r="38">
          <cell r="A38" t="str">
            <v>36028</v>
          </cell>
          <cell r="B38" t="str">
            <v>TORTA CHOCOLATE MEDIANA</v>
          </cell>
          <cell r="C38" t="str">
            <v>UND</v>
          </cell>
          <cell r="D38">
            <v>3286.7513452383141</v>
          </cell>
          <cell r="E38">
            <v>643.93061891890375</v>
          </cell>
          <cell r="F38">
            <v>371.17993046340183</v>
          </cell>
          <cell r="G38">
            <v>5772.3211766332934</v>
          </cell>
          <cell r="H38">
            <v>5772.3211766332934</v>
          </cell>
          <cell r="I38" t="str">
            <v>UND</v>
          </cell>
        </row>
        <row r="39">
          <cell r="A39" t="str">
            <v>36032</v>
          </cell>
          <cell r="B39" t="str">
            <v>QQ CARAMELO RECT. 30 PORC (1 CAPA)</v>
          </cell>
          <cell r="C39" t="str">
            <v>UND</v>
          </cell>
          <cell r="D39"/>
          <cell r="E39"/>
          <cell r="F39"/>
          <cell r="G39"/>
          <cell r="H39"/>
          <cell r="I39"/>
        </row>
        <row r="40">
          <cell r="A40" t="str">
            <v>36043</v>
          </cell>
          <cell r="B40" t="str">
            <v>TORTA CHOCOFRESA RED. (UND=8 PORC)</v>
          </cell>
          <cell r="C40" t="str">
            <v>UND</v>
          </cell>
          <cell r="D40">
            <v>4579.0785678545826</v>
          </cell>
          <cell r="E40">
            <v>492.41420284617993</v>
          </cell>
          <cell r="F40">
            <v>361.08838397889258</v>
          </cell>
          <cell r="G40">
            <v>7196.8261081324954</v>
          </cell>
          <cell r="H40">
            <v>7196.8261081324954</v>
          </cell>
          <cell r="I40" t="str">
            <v>UND</v>
          </cell>
        </row>
        <row r="41">
          <cell r="A41" t="str">
            <v>36045</v>
          </cell>
          <cell r="B41" t="str">
            <v>TORTA CHOCOFRESA RECT. 30 PORC (1 CAPA)</v>
          </cell>
          <cell r="C41" t="str">
            <v>UND</v>
          </cell>
          <cell r="D41"/>
          <cell r="E41"/>
          <cell r="F41"/>
          <cell r="G41"/>
          <cell r="H41"/>
          <cell r="I41"/>
        </row>
        <row r="42">
          <cell r="A42" t="str">
            <v>36075</v>
          </cell>
          <cell r="B42" t="str">
            <v>TORTA LICOR CAFE  RECT. 30 PORC DEC (1 CAPA)</v>
          </cell>
          <cell r="C42" t="str">
            <v>UND</v>
          </cell>
          <cell r="D42"/>
          <cell r="E42"/>
          <cell r="F42"/>
          <cell r="G42"/>
          <cell r="H42"/>
          <cell r="I42"/>
        </row>
        <row r="43">
          <cell r="A43" t="str">
            <v>36085</v>
          </cell>
          <cell r="B43" t="str">
            <v>TORTA MELOCOTON RED (UND=8 PORC)</v>
          </cell>
          <cell r="C43" t="str">
            <v>UND</v>
          </cell>
          <cell r="D43">
            <v>3759.963428027148</v>
          </cell>
          <cell r="E43">
            <v>498.19296587569886</v>
          </cell>
          <cell r="F43">
            <v>433.05654946837802</v>
          </cell>
          <cell r="G43">
            <v>6213.1052908447073</v>
          </cell>
          <cell r="H43">
            <v>6213.1052908447073</v>
          </cell>
          <cell r="I43" t="str">
            <v>UND</v>
          </cell>
        </row>
        <row r="44">
          <cell r="A44" t="str">
            <v>36086</v>
          </cell>
          <cell r="B44" t="str">
            <v>QUEQUE MELOCOTON RECTAGULAR 15 PORC. (Dec. Orig.)</v>
          </cell>
          <cell r="C44" t="str">
            <v>UND</v>
          </cell>
          <cell r="D44"/>
          <cell r="E44"/>
          <cell r="F44"/>
          <cell r="G44"/>
          <cell r="H44"/>
          <cell r="I44"/>
        </row>
        <row r="45">
          <cell r="A45" t="str">
            <v>36087</v>
          </cell>
          <cell r="B45" t="str">
            <v>TORTA MELOCOTON RECT. 30 PORC (1 CAPA)</v>
          </cell>
          <cell r="C45" t="str">
            <v>UND</v>
          </cell>
          <cell r="D45"/>
          <cell r="E45"/>
          <cell r="F45"/>
          <cell r="G45"/>
          <cell r="H45"/>
          <cell r="I45"/>
        </row>
        <row r="46">
          <cell r="A46" t="str">
            <v>36092</v>
          </cell>
          <cell r="B46" t="str">
            <v>TORTA MOCHA SPOON (UND=8 PORC)</v>
          </cell>
          <cell r="C46" t="str">
            <v>UND</v>
          </cell>
          <cell r="D46">
            <v>3798.6424883366694</v>
          </cell>
          <cell r="E46">
            <v>465.53249102438366</v>
          </cell>
          <cell r="F46">
            <v>439.01713495341181</v>
          </cell>
          <cell r="G46">
            <v>6415.0673236232533</v>
          </cell>
          <cell r="H46">
            <v>6415.0673236232533</v>
          </cell>
          <cell r="I46" t="str">
            <v>UND</v>
          </cell>
        </row>
        <row r="47">
          <cell r="A47" t="str">
            <v>36106</v>
          </cell>
          <cell r="B47" t="str">
            <v>TORTA CHOCOFRESA RECT. 30 PORC (2 CAPAS)</v>
          </cell>
          <cell r="C47" t="str">
            <v>UND</v>
          </cell>
          <cell r="D47"/>
          <cell r="E47"/>
          <cell r="F47"/>
          <cell r="G47"/>
          <cell r="H47"/>
          <cell r="I47"/>
        </row>
        <row r="48">
          <cell r="A48" t="str">
            <v>36108</v>
          </cell>
          <cell r="B48" t="str">
            <v>TORTA CHOCOLATE RECT. 30 PORC (2 CAPAS)</v>
          </cell>
          <cell r="C48" t="str">
            <v>UND</v>
          </cell>
          <cell r="D48"/>
          <cell r="E48"/>
          <cell r="F48"/>
          <cell r="G48"/>
          <cell r="H48"/>
          <cell r="I48"/>
        </row>
        <row r="49">
          <cell r="A49" t="str">
            <v>36116</v>
          </cell>
          <cell r="B49" t="str">
            <v>QQ KALUA RECT. 30 PORC (2 CAPAS)</v>
          </cell>
          <cell r="C49" t="str">
            <v>UND</v>
          </cell>
          <cell r="D49"/>
          <cell r="E49"/>
          <cell r="F49"/>
          <cell r="G49"/>
          <cell r="H49"/>
          <cell r="I49"/>
        </row>
        <row r="50">
          <cell r="A50" t="str">
            <v>36118</v>
          </cell>
          <cell r="B50" t="str">
            <v>TORTA MELOCOTON RECT. 30 PORC (2 CAPAS)</v>
          </cell>
          <cell r="C50" t="str">
            <v>UND</v>
          </cell>
          <cell r="D50"/>
          <cell r="E50"/>
          <cell r="F50"/>
          <cell r="G50"/>
          <cell r="H50"/>
          <cell r="I50"/>
        </row>
        <row r="51">
          <cell r="A51" t="str">
            <v>36179</v>
          </cell>
          <cell r="B51" t="str">
            <v>TORTA BAILEYS (UND= 8 PORC)</v>
          </cell>
          <cell r="C51" t="str">
            <v>UND</v>
          </cell>
          <cell r="D51">
            <v>4598.7075168997089</v>
          </cell>
          <cell r="E51">
            <v>502.75829806383814</v>
          </cell>
          <cell r="F51">
            <v>450.80325768902469</v>
          </cell>
          <cell r="G51">
            <v>7354.3098966778971</v>
          </cell>
          <cell r="H51">
            <v>7354.3098966778971</v>
          </cell>
          <cell r="I51" t="str">
            <v>UND</v>
          </cell>
        </row>
        <row r="52">
          <cell r="A52" t="str">
            <v>36180</v>
          </cell>
          <cell r="B52" t="str">
            <v>TORTA CHOCOLATE PEQUEÑA</v>
          </cell>
          <cell r="C52" t="str">
            <v>UND</v>
          </cell>
          <cell r="D52">
            <v>2103.0204458973344</v>
          </cell>
          <cell r="E52">
            <v>647.93811424697401</v>
          </cell>
          <cell r="F52">
            <v>255.15953867234606</v>
          </cell>
          <cell r="G52">
            <v>3981.6363357987534</v>
          </cell>
          <cell r="H52">
            <v>3981.6363357987534</v>
          </cell>
          <cell r="I52" t="str">
            <v>UND</v>
          </cell>
        </row>
        <row r="53">
          <cell r="A53" t="str">
            <v>36181</v>
          </cell>
          <cell r="B53" t="str">
            <v>TORTA MELOCOTON PEQUEÑA</v>
          </cell>
          <cell r="C53" t="str">
            <v>UND</v>
          </cell>
          <cell r="D53">
            <v>1318.9429917341929</v>
          </cell>
          <cell r="E53">
            <v>412.47207772015258</v>
          </cell>
          <cell r="F53">
            <v>351.19801122210458</v>
          </cell>
          <cell r="G53">
            <v>2756.154491174429</v>
          </cell>
          <cell r="H53">
            <v>2756.154491174429</v>
          </cell>
          <cell r="I53" t="str">
            <v>UND</v>
          </cell>
        </row>
        <row r="54">
          <cell r="A54" t="str">
            <v>36182</v>
          </cell>
          <cell r="B54" t="str">
            <v>TORTA CHOCOFRESA PEQUEÑA</v>
          </cell>
          <cell r="C54" t="str">
            <v>UND</v>
          </cell>
          <cell r="D54">
            <v>916.98845985247135</v>
          </cell>
          <cell r="E54">
            <v>370.24427434643383</v>
          </cell>
          <cell r="F54">
            <v>294.49960973278348</v>
          </cell>
          <cell r="G54">
            <v>2092.9186310467021</v>
          </cell>
          <cell r="H54">
            <v>2092.9186310467021</v>
          </cell>
          <cell r="I54" t="str">
            <v>UND</v>
          </cell>
        </row>
        <row r="55">
          <cell r="A55" t="str">
            <v>36183</v>
          </cell>
          <cell r="B55" t="str">
            <v>TORTA ZANAHORIA GRANDE (8 PORC)</v>
          </cell>
          <cell r="C55" t="str">
            <v>UND</v>
          </cell>
          <cell r="D55">
            <v>4272.6771574653139</v>
          </cell>
          <cell r="E55">
            <v>477.4977831651928</v>
          </cell>
          <cell r="F55">
            <v>591.93442579755583</v>
          </cell>
          <cell r="G55">
            <v>7073.864589532609</v>
          </cell>
          <cell r="H55">
            <v>7073.864589532609</v>
          </cell>
          <cell r="I55" t="str">
            <v>UND</v>
          </cell>
        </row>
        <row r="56">
          <cell r="A56" t="str">
            <v>36186</v>
          </cell>
          <cell r="B56" t="str">
            <v>TORTA MARACUYA-YOGURT (8 PORC)</v>
          </cell>
          <cell r="C56" t="str">
            <v>UND</v>
          </cell>
          <cell r="D56">
            <v>3702.9708567135813</v>
          </cell>
          <cell r="E56">
            <v>394.86962294857005</v>
          </cell>
          <cell r="F56">
            <v>526.71728597256219</v>
          </cell>
          <cell r="G56">
            <v>6606.1154964429334</v>
          </cell>
          <cell r="H56">
            <v>6606.1154964429334</v>
          </cell>
          <cell r="I56" t="str">
            <v>UND</v>
          </cell>
        </row>
        <row r="57">
          <cell r="A57" t="str">
            <v>40007</v>
          </cell>
          <cell r="B57" t="str">
            <v>ARROLLADO LECHE COND. MEDIANO (UND)</v>
          </cell>
          <cell r="C57" t="str">
            <v>UND</v>
          </cell>
          <cell r="D57">
            <v>148.98535507793008</v>
          </cell>
          <cell r="E57">
            <v>25.321664525526927</v>
          </cell>
          <cell r="F57">
            <v>24.613666467380312</v>
          </cell>
          <cell r="G57">
            <v>261.083400467974</v>
          </cell>
          <cell r="H57">
            <v>261.083400467974</v>
          </cell>
          <cell r="I57" t="str">
            <v>UND</v>
          </cell>
        </row>
        <row r="58">
          <cell r="A58" t="str">
            <v>40017</v>
          </cell>
          <cell r="B58" t="str">
            <v>BROWNIE DE CHOCOLATE (UND)</v>
          </cell>
          <cell r="C58" t="str">
            <v>UND</v>
          </cell>
          <cell r="D58">
            <v>244.33474126041665</v>
          </cell>
          <cell r="E58">
            <v>21.178204750173609</v>
          </cell>
          <cell r="F58">
            <v>34.617853009259257</v>
          </cell>
          <cell r="G58">
            <v>393.92167371355254</v>
          </cell>
          <cell r="H58">
            <v>393.92167371355254</v>
          </cell>
          <cell r="I58" t="str">
            <v>UND</v>
          </cell>
        </row>
        <row r="59">
          <cell r="A59" t="str">
            <v>40046</v>
          </cell>
          <cell r="B59" t="str">
            <v>ARROLLADO S/DECORAR (UND)</v>
          </cell>
          <cell r="C59" t="str">
            <v>UND</v>
          </cell>
          <cell r="D59"/>
          <cell r="E59"/>
          <cell r="F59"/>
          <cell r="G59"/>
          <cell r="H59"/>
          <cell r="I59"/>
        </row>
        <row r="60">
          <cell r="A60" t="str">
            <v>40049</v>
          </cell>
          <cell r="B60" t="str">
            <v>COCADITAS (UND)</v>
          </cell>
          <cell r="C60" t="str">
            <v>CAJA</v>
          </cell>
          <cell r="D60">
            <v>1260.1552206270435</v>
          </cell>
          <cell r="E60">
            <v>36.897164689754689</v>
          </cell>
          <cell r="F60">
            <v>55.873015873015873</v>
          </cell>
          <cell r="G60">
            <v>1747.9690486075428</v>
          </cell>
          <cell r="H60">
            <v>218.49613107594286</v>
          </cell>
          <cell r="I60" t="str">
            <v>UND</v>
          </cell>
        </row>
        <row r="61">
          <cell r="A61" t="str">
            <v>40054</v>
          </cell>
          <cell r="B61" t="str">
            <v>COSTILLAS SIN RELLENO (UND)</v>
          </cell>
          <cell r="C61" t="str">
            <v>CAJA</v>
          </cell>
          <cell r="D61">
            <v>132.04230858118393</v>
          </cell>
          <cell r="E61">
            <v>36.911974645002488</v>
          </cell>
          <cell r="F61">
            <v>104.17832669941257</v>
          </cell>
          <cell r="G61">
            <v>358.4865505273487</v>
          </cell>
          <cell r="H61">
            <v>59.747758421224781</v>
          </cell>
          <cell r="I61" t="str">
            <v>UND</v>
          </cell>
        </row>
        <row r="62">
          <cell r="A62" t="str">
            <v>40060</v>
          </cell>
          <cell r="B62" t="str">
            <v>CROCANTE DE ALMENDRA (PORCION)</v>
          </cell>
          <cell r="C62" t="str">
            <v>UND</v>
          </cell>
          <cell r="D62">
            <v>0</v>
          </cell>
          <cell r="E62">
            <v>0</v>
          </cell>
          <cell r="F62">
            <v>0</v>
          </cell>
          <cell r="G62">
            <v>601.33370000000014</v>
          </cell>
          <cell r="H62">
            <v>601.33370000000014</v>
          </cell>
          <cell r="I62" t="str">
            <v>UND</v>
          </cell>
        </row>
        <row r="63">
          <cell r="A63" t="str">
            <v>40093</v>
          </cell>
          <cell r="B63" t="str">
            <v>MIL HOJAS GRANDE (CAJA=6 UND)</v>
          </cell>
          <cell r="C63" t="str">
            <v>UND</v>
          </cell>
          <cell r="D63"/>
          <cell r="E63"/>
          <cell r="F63"/>
          <cell r="G63"/>
          <cell r="H63"/>
          <cell r="I63"/>
        </row>
        <row r="64">
          <cell r="A64" t="str">
            <v>40130</v>
          </cell>
          <cell r="B64" t="str">
            <v>PALETA CHOCOLATES ESCANEADOS</v>
          </cell>
          <cell r="C64" t="str">
            <v>UND</v>
          </cell>
          <cell r="D64">
            <v>243.04806947066325</v>
          </cell>
          <cell r="E64">
            <v>26.431040041783927</v>
          </cell>
          <cell r="F64">
            <v>76.535496515679441</v>
          </cell>
          <cell r="G64">
            <v>454.14417041191621</v>
          </cell>
          <cell r="H64">
            <v>454.14417041191621</v>
          </cell>
          <cell r="I64" t="str">
            <v>UND</v>
          </cell>
        </row>
        <row r="65">
          <cell r="A65" t="str">
            <v>40164</v>
          </cell>
          <cell r="B65" t="str">
            <v>SHOT MARACUYA ( CAJA= 4 UND)</v>
          </cell>
          <cell r="C65" t="str">
            <v>UND</v>
          </cell>
          <cell r="D65">
            <v>0</v>
          </cell>
          <cell r="E65">
            <v>0</v>
          </cell>
          <cell r="F65">
            <v>0</v>
          </cell>
          <cell r="G65">
            <v>650.1</v>
          </cell>
          <cell r="H65">
            <v>650.1</v>
          </cell>
          <cell r="I65" t="str">
            <v>UND</v>
          </cell>
        </row>
        <row r="66">
          <cell r="A66" t="str">
            <v>40165</v>
          </cell>
          <cell r="B66" t="str">
            <v>SHOT LIMEÑO ( CAJA= 4 UND)</v>
          </cell>
          <cell r="C66" t="str">
            <v>und</v>
          </cell>
          <cell r="D66">
            <v>0</v>
          </cell>
          <cell r="E66">
            <v>0</v>
          </cell>
          <cell r="F66">
            <v>0</v>
          </cell>
          <cell r="G66">
            <v>757.90000000000009</v>
          </cell>
          <cell r="H66">
            <v>757.90000000000009</v>
          </cell>
          <cell r="I66" t="str">
            <v>UND</v>
          </cell>
        </row>
        <row r="67">
          <cell r="A67" t="str">
            <v>42001</v>
          </cell>
          <cell r="B67" t="str">
            <v>SOMBRERO PEJIBAYE PEQ (CAJA=6 UND)</v>
          </cell>
          <cell r="C67" t="str">
            <v>UND</v>
          </cell>
          <cell r="D67">
            <v>119.45119486074059</v>
          </cell>
          <cell r="E67">
            <v>6.0941969062855783</v>
          </cell>
          <cell r="F67">
            <v>49.302018185878673</v>
          </cell>
          <cell r="G67">
            <v>342.0064368148058</v>
          </cell>
          <cell r="H67">
            <v>342.0064368148058</v>
          </cell>
          <cell r="I67" t="str">
            <v>UND</v>
          </cell>
        </row>
        <row r="68">
          <cell r="A68" t="str">
            <v>42003</v>
          </cell>
          <cell r="B68" t="str">
            <v>ARROLLADOS DE JAMON (UND)</v>
          </cell>
          <cell r="C68" t="str">
            <v>UND</v>
          </cell>
          <cell r="D68">
            <v>122.44652966566693</v>
          </cell>
          <cell r="E68">
            <v>13.192717328926527</v>
          </cell>
          <cell r="F68">
            <v>43.645704981248095</v>
          </cell>
          <cell r="G68">
            <v>235.31149946829203</v>
          </cell>
          <cell r="H68">
            <v>235.31149946829203</v>
          </cell>
          <cell r="I68" t="str">
            <v>UND</v>
          </cell>
        </row>
        <row r="69">
          <cell r="A69" t="str">
            <v>42014</v>
          </cell>
          <cell r="B69" t="str">
            <v>LAMINAS P/ MIL HOJAS (CAJA=5 LAMINAS)</v>
          </cell>
          <cell r="C69" t="str">
            <v>CAJA</v>
          </cell>
          <cell r="D69"/>
          <cell r="E69"/>
          <cell r="F69"/>
          <cell r="G69"/>
          <cell r="H69"/>
          <cell r="I69"/>
        </row>
        <row r="70">
          <cell r="A70" t="str">
            <v>42016</v>
          </cell>
          <cell r="B70" t="str">
            <v>ARREGLADOS (UND)</v>
          </cell>
          <cell r="C70" t="str">
            <v>CAJA</v>
          </cell>
          <cell r="D70">
            <v>170.22027006274968</v>
          </cell>
          <cell r="E70">
            <v>37.389087172793921</v>
          </cell>
          <cell r="F70">
            <v>66.390146364749981</v>
          </cell>
          <cell r="G70">
            <v>359.62434847538537</v>
          </cell>
          <cell r="H70">
            <v>179.81217423769269</v>
          </cell>
          <cell r="I70" t="str">
            <v>UND</v>
          </cell>
        </row>
        <row r="71">
          <cell r="A71" t="str">
            <v>42025</v>
          </cell>
          <cell r="B71" t="str">
            <v>EMPANADA POLLO PEQUEÑA (UND)</v>
          </cell>
          <cell r="C71" t="str">
            <v>CAJA</v>
          </cell>
          <cell r="D71">
            <v>342.08282488669312</v>
          </cell>
          <cell r="E71">
            <v>44.311262751137463</v>
          </cell>
          <cell r="F71">
            <v>215.77972157973363</v>
          </cell>
          <cell r="G71">
            <v>790.353124598053</v>
          </cell>
          <cell r="H71">
            <v>131.72552076634216</v>
          </cell>
          <cell r="I71" t="str">
            <v>UND</v>
          </cell>
        </row>
        <row r="72">
          <cell r="A72" t="str">
            <v>42028</v>
          </cell>
          <cell r="B72" t="str">
            <v>EMPANADA POLLO GRANDE (UND)</v>
          </cell>
          <cell r="C72" t="str">
            <v>UND</v>
          </cell>
          <cell r="D72">
            <v>1712.5607004904248</v>
          </cell>
          <cell r="E72">
            <v>66.65678691803295</v>
          </cell>
          <cell r="F72">
            <v>392.01660830165213</v>
          </cell>
          <cell r="G72">
            <v>2873.0969801417555</v>
          </cell>
          <cell r="H72">
            <v>287.30969801417552</v>
          </cell>
          <cell r="I72" t="str">
            <v>UND</v>
          </cell>
        </row>
        <row r="73">
          <cell r="A73" t="str">
            <v>42034</v>
          </cell>
          <cell r="B73" t="str">
            <v>PAÑUELO ESPINACA Y RICOTTA (UND)</v>
          </cell>
          <cell r="C73" t="str">
            <v>UND</v>
          </cell>
          <cell r="D73">
            <v>137.21388281956311</v>
          </cell>
          <cell r="E73">
            <v>6.8583516591531888</v>
          </cell>
          <cell r="F73">
            <v>43.000315884852306</v>
          </cell>
          <cell r="G73">
            <v>247.42367042971694</v>
          </cell>
          <cell r="H73">
            <v>247.42367042971694</v>
          </cell>
          <cell r="I73" t="str">
            <v>UND</v>
          </cell>
        </row>
        <row r="74">
          <cell r="A74" t="str">
            <v>42037</v>
          </cell>
          <cell r="B74" t="str">
            <v>TRIANGULO PALMITO (UND)</v>
          </cell>
          <cell r="C74" t="str">
            <v>UND</v>
          </cell>
          <cell r="D74">
            <v>62.391946592877211</v>
          </cell>
          <cell r="E74">
            <v>7.4675146555313043</v>
          </cell>
          <cell r="F74">
            <v>35.759304007653988</v>
          </cell>
          <cell r="G74">
            <v>139.54153482746739</v>
          </cell>
          <cell r="H74">
            <v>139.54153482746739</v>
          </cell>
          <cell r="I74" t="str">
            <v>UND</v>
          </cell>
        </row>
        <row r="75">
          <cell r="A75" t="str">
            <v>20034</v>
          </cell>
          <cell r="B75" t="str">
            <v>PASTEL PALMITO PEQUEÑO (3 UND)</v>
          </cell>
          <cell r="C75" t="str">
            <v>CAJA</v>
          </cell>
          <cell r="D75">
            <v>553.52588935473489</v>
          </cell>
          <cell r="E75">
            <v>97.866713900208453</v>
          </cell>
          <cell r="F75">
            <v>261.22408146816429</v>
          </cell>
          <cell r="G75">
            <v>1206.3589266167999</v>
          </cell>
          <cell r="H75">
            <v>402.11964220559997</v>
          </cell>
          <cell r="I75" t="str">
            <v>UND</v>
          </cell>
        </row>
        <row r="76">
          <cell r="A76" t="str">
            <v>42086</v>
          </cell>
          <cell r="B76" t="str">
            <v>CANASTA SIN RELLENO (UND)</v>
          </cell>
          <cell r="C76" t="str">
            <v>CAJA</v>
          </cell>
          <cell r="D76">
            <v>290.77453906541518</v>
          </cell>
          <cell r="E76">
            <v>32.365321657974022</v>
          </cell>
          <cell r="F76">
            <v>226.048</v>
          </cell>
          <cell r="G76">
            <v>1297.6798820347499</v>
          </cell>
          <cell r="H76">
            <v>108.13999016956249</v>
          </cell>
          <cell r="I76" t="str">
            <v>UND</v>
          </cell>
        </row>
        <row r="77">
          <cell r="A77" t="str">
            <v>42090</v>
          </cell>
          <cell r="B77" t="str">
            <v>PAN BLANCO BOLLETA (BOLSA=5 UND)</v>
          </cell>
          <cell r="C77" t="str">
            <v>BOLSA</v>
          </cell>
          <cell r="D77">
            <v>355.60748228253266</v>
          </cell>
          <cell r="E77">
            <v>15.153535352319498</v>
          </cell>
          <cell r="F77">
            <v>147.59836366854077</v>
          </cell>
          <cell r="G77">
            <v>685.21292631716085</v>
          </cell>
          <cell r="H77">
            <v>137.04258526343216</v>
          </cell>
          <cell r="I77" t="str">
            <v>UND</v>
          </cell>
        </row>
        <row r="78">
          <cell r="A78" t="str">
            <v>42092</v>
          </cell>
          <cell r="B78" t="str">
            <v>GALLETA P/CAFE (CONT=40 UND)</v>
          </cell>
          <cell r="C78" t="str">
            <v>UND</v>
          </cell>
          <cell r="D78">
            <v>19.72</v>
          </cell>
          <cell r="E78">
            <v>3.6923669722222221</v>
          </cell>
          <cell r="F78">
            <v>6.3509491677912724</v>
          </cell>
          <cell r="G78">
            <v>51.81031512576552</v>
          </cell>
          <cell r="H78">
            <v>51.81031512576552</v>
          </cell>
          <cell r="I78" t="str">
            <v>UND</v>
          </cell>
        </row>
        <row r="79">
          <cell r="A79" t="str">
            <v>42103</v>
          </cell>
          <cell r="B79" t="str">
            <v>EMPANADA PIÑA LIGHT (PAQ=3 UND)</v>
          </cell>
          <cell r="C79" t="str">
            <v>PAQ</v>
          </cell>
          <cell r="D79"/>
          <cell r="E79"/>
          <cell r="F79"/>
          <cell r="G79"/>
          <cell r="H79"/>
          <cell r="I79"/>
        </row>
        <row r="80">
          <cell r="A80" t="str">
            <v>42115</v>
          </cell>
          <cell r="B80" t="str">
            <v>MINI CROISSANT HONGOS/TOCINETA (CAJA=6 UND)</v>
          </cell>
          <cell r="C80" t="str">
            <v>UND</v>
          </cell>
          <cell r="D80"/>
          <cell r="E80"/>
          <cell r="F80"/>
          <cell r="G80"/>
          <cell r="H80"/>
          <cell r="I80"/>
        </row>
        <row r="81">
          <cell r="A81" t="str">
            <v>42119</v>
          </cell>
          <cell r="B81" t="str">
            <v>EMPANADA CARNE PERUANA GRANDE (CAJA=3 UNID)</v>
          </cell>
          <cell r="C81" t="str">
            <v>UND</v>
          </cell>
          <cell r="D81">
            <v>184.75896482753404</v>
          </cell>
          <cell r="E81">
            <v>13.025635846608049</v>
          </cell>
          <cell r="F81">
            <v>80.297288149715087</v>
          </cell>
          <cell r="G81">
            <v>367.57840196516071</v>
          </cell>
          <cell r="H81">
            <v>367.57840196516071</v>
          </cell>
          <cell r="I81" t="str">
            <v>UND</v>
          </cell>
        </row>
        <row r="82">
          <cell r="A82" t="str">
            <v>42127</v>
          </cell>
          <cell r="B82" t="str">
            <v>EMPANADITA CAPRESSE (UND)</v>
          </cell>
          <cell r="C82" t="str">
            <v>UND</v>
          </cell>
          <cell r="D82"/>
          <cell r="E82"/>
          <cell r="F82"/>
          <cell r="G82"/>
          <cell r="H82"/>
          <cell r="I82"/>
        </row>
        <row r="83">
          <cell r="A83" t="str">
            <v>42128</v>
          </cell>
          <cell r="B83" t="str">
            <v>EMPANADITA TRES QUESOS (UND)</v>
          </cell>
          <cell r="C83" t="str">
            <v>CAJA</v>
          </cell>
          <cell r="D83">
            <v>649.19312453837108</v>
          </cell>
          <cell r="E83">
            <v>46.807696244282234</v>
          </cell>
          <cell r="F83">
            <v>238.7281980018526</v>
          </cell>
          <cell r="G83">
            <v>1235.9668479274364</v>
          </cell>
          <cell r="H83">
            <v>205.99447465457274</v>
          </cell>
          <cell r="I83" t="str">
            <v>UND</v>
          </cell>
        </row>
        <row r="84">
          <cell r="A84" t="str">
            <v>44003</v>
          </cell>
          <cell r="B84" t="str">
            <v>OREJITAS DULCES (BURBUJA)</v>
          </cell>
          <cell r="C84" t="str">
            <v>BURBU</v>
          </cell>
          <cell r="D84">
            <v>149.65275321467044</v>
          </cell>
          <cell r="E84">
            <v>71.081569033415903</v>
          </cell>
          <cell r="F84">
            <v>144.03467063562167</v>
          </cell>
          <cell r="G84">
            <v>842.75101253585979</v>
          </cell>
          <cell r="H84">
            <v>842.75101253585979</v>
          </cell>
          <cell r="I84" t="str">
            <v>BURBUJA</v>
          </cell>
        </row>
        <row r="85">
          <cell r="A85" t="str">
            <v>44009</v>
          </cell>
          <cell r="B85" t="str">
            <v>CHILENA P/ENSAMBLAR MEDIANA</v>
          </cell>
          <cell r="C85" t="str">
            <v>CAJA</v>
          </cell>
          <cell r="D85"/>
          <cell r="E85"/>
          <cell r="F85"/>
          <cell r="G85"/>
          <cell r="H85"/>
          <cell r="I85"/>
        </row>
        <row r="86">
          <cell r="A86" t="str">
            <v>44018</v>
          </cell>
          <cell r="B86" t="str">
            <v>GALLETA ESCANEADA (120g)</v>
          </cell>
          <cell r="C86" t="str">
            <v>BURBU</v>
          </cell>
          <cell r="D86"/>
          <cell r="E86"/>
          <cell r="F86"/>
          <cell r="G86"/>
          <cell r="H86"/>
          <cell r="I86"/>
        </row>
        <row r="87">
          <cell r="A87" t="str">
            <v>44019</v>
          </cell>
          <cell r="B87" t="str">
            <v>PALITOS DE QUESO BURBUJA (130 GRS)</v>
          </cell>
          <cell r="C87" t="str">
            <v>BURBU</v>
          </cell>
          <cell r="D87">
            <v>487.25353689741917</v>
          </cell>
          <cell r="E87">
            <v>71.923429595301911</v>
          </cell>
          <cell r="F87">
            <v>101.52250557096517</v>
          </cell>
          <cell r="G87">
            <v>1026.259091847116</v>
          </cell>
          <cell r="H87">
            <v>1026.259091847116</v>
          </cell>
          <cell r="I87" t="str">
            <v>BURBUJA</v>
          </cell>
        </row>
        <row r="88">
          <cell r="A88" t="str">
            <v>44020</v>
          </cell>
          <cell r="B88" t="str">
            <v>BURBUJA GALLETA LUNA</v>
          </cell>
          <cell r="C88" t="str">
            <v>BURBU</v>
          </cell>
          <cell r="D88"/>
          <cell r="E88"/>
          <cell r="F88"/>
          <cell r="G88"/>
          <cell r="H88"/>
          <cell r="I88"/>
        </row>
        <row r="89">
          <cell r="A89" t="str">
            <v>44021</v>
          </cell>
          <cell r="B89" t="str">
            <v>GALLETA ESCANEADA INDIVIDUAL</v>
          </cell>
          <cell r="C89" t="str">
            <v>UND</v>
          </cell>
          <cell r="D89"/>
          <cell r="E89"/>
          <cell r="F89"/>
          <cell r="G89"/>
          <cell r="H89"/>
          <cell r="I89"/>
        </row>
        <row r="90">
          <cell r="A90" t="str">
            <v>44049</v>
          </cell>
          <cell r="B90" t="str">
            <v>GALLETA MANTEQUILLA (CONT=18 UND)</v>
          </cell>
          <cell r="C90" t="str">
            <v>CONT</v>
          </cell>
          <cell r="D90">
            <v>354.96</v>
          </cell>
          <cell r="E90">
            <v>66.090840952380944</v>
          </cell>
          <cell r="F90">
            <v>145.11708502024291</v>
          </cell>
          <cell r="G90">
            <v>1061.846657433279</v>
          </cell>
          <cell r="H90">
            <v>1061.846657433279</v>
          </cell>
          <cell r="I90" t="str">
            <v>CONT</v>
          </cell>
        </row>
        <row r="91">
          <cell r="A91" t="str">
            <v>44051</v>
          </cell>
          <cell r="B91" t="str">
            <v>ALFAJORES (Para ensamblar)</v>
          </cell>
          <cell r="C91" t="str">
            <v>CAJA</v>
          </cell>
          <cell r="D91"/>
          <cell r="E91"/>
          <cell r="F91"/>
          <cell r="G91"/>
          <cell r="H91"/>
          <cell r="I91"/>
        </row>
        <row r="92">
          <cell r="A92" t="str">
            <v>78002</v>
          </cell>
          <cell r="B92" t="str">
            <v>LASAGNA DE POLLO (PIREX=6 PORC)</v>
          </cell>
          <cell r="C92" t="str">
            <v>PIREX</v>
          </cell>
          <cell r="D92">
            <v>4826.7538417707074</v>
          </cell>
          <cell r="E92">
            <v>286.39102114920632</v>
          </cell>
          <cell r="F92">
            <v>385.09754066984414</v>
          </cell>
          <cell r="G92">
            <v>7283.5531810373823</v>
          </cell>
          <cell r="H92">
            <v>1213.925530172897</v>
          </cell>
          <cell r="I92" t="str">
            <v>PORCION</v>
          </cell>
        </row>
        <row r="93">
          <cell r="A93" t="str">
            <v>95132</v>
          </cell>
          <cell r="B93" t="str">
            <v>CHERRY P/TARTALETA (BOLSA=500g)</v>
          </cell>
          <cell r="C93" t="str">
            <v>BOLSA</v>
          </cell>
          <cell r="D93">
            <v>1323.7339999999999</v>
          </cell>
          <cell r="E93">
            <v>9.481730555555556</v>
          </cell>
          <cell r="F93">
            <v>42</v>
          </cell>
          <cell r="G93">
            <v>1804.9706463541665</v>
          </cell>
          <cell r="H93">
            <v>3.6099412927083332</v>
          </cell>
          <cell r="I93" t="str">
            <v>GRAMO</v>
          </cell>
        </row>
        <row r="94">
          <cell r="A94" t="str">
            <v>95217</v>
          </cell>
          <cell r="B94" t="str">
            <v>GALLETA PARA ALFAJOR MEDIANO (CAJA=42 UND)</v>
          </cell>
          <cell r="C94" t="str">
            <v>UND</v>
          </cell>
          <cell r="D94">
            <v>14.066912117670235</v>
          </cell>
          <cell r="E94">
            <v>1.0203808141794508</v>
          </cell>
          <cell r="F94">
            <v>6.7792207792207799</v>
          </cell>
          <cell r="G94">
            <v>28.699799245779985</v>
          </cell>
          <cell r="H94">
            <v>28.699799245779985</v>
          </cell>
          <cell r="I94" t="str">
            <v>UND</v>
          </cell>
        </row>
        <row r="95">
          <cell r="A95" t="str">
            <v>95445</v>
          </cell>
          <cell r="B95" t="str">
            <v>TARTALETA OVALADA SIN RELLENO (UND)</v>
          </cell>
          <cell r="C95" t="str">
            <v>UND</v>
          </cell>
          <cell r="D95">
            <v>52.843058724812039</v>
          </cell>
          <cell r="E95">
            <v>6.6610791878505786</v>
          </cell>
          <cell r="F95">
            <v>24.684523809523807</v>
          </cell>
          <cell r="G95">
            <v>110.49761851036969</v>
          </cell>
          <cell r="H95">
            <v>110.49761851036969</v>
          </cell>
          <cell r="I95" t="str">
            <v>UND</v>
          </cell>
        </row>
        <row r="96">
          <cell r="A96" t="str">
            <v>95607</v>
          </cell>
          <cell r="B96" t="str">
            <v>ALMENDRAS TAJADAS (BOLSA=500g)</v>
          </cell>
          <cell r="C96" t="str">
            <v>BOLSA</v>
          </cell>
          <cell r="D96">
            <v>2913.2882882882886</v>
          </cell>
          <cell r="E96">
            <v>9.626946248748748</v>
          </cell>
          <cell r="F96">
            <v>39.63963963963964</v>
          </cell>
          <cell r="G96">
            <v>3926.7165348101871</v>
          </cell>
          <cell r="H96">
            <v>7.8534330696203742</v>
          </cell>
          <cell r="I96" t="str">
            <v>GRAMO</v>
          </cell>
        </row>
        <row r="97">
          <cell r="A97" t="str">
            <v>96000</v>
          </cell>
          <cell r="B97" t="str">
            <v>BRILLO GLIT (BOLSA=500g)</v>
          </cell>
          <cell r="C97" t="str">
            <v>BOLSA</v>
          </cell>
          <cell r="D97">
            <v>1003.9235</v>
          </cell>
          <cell r="E97">
            <v>7.9737305555555551</v>
          </cell>
          <cell r="F97">
            <v>41.25</v>
          </cell>
          <cell r="G97">
            <v>1382.2557401041665</v>
          </cell>
          <cell r="H97">
            <v>2.7645114802083333</v>
          </cell>
          <cell r="I97" t="str">
            <v>GRAMO</v>
          </cell>
        </row>
        <row r="98">
          <cell r="A98" t="str">
            <v>96009</v>
          </cell>
          <cell r="B98" t="str">
            <v>TOPPING DE FRESA (BOLSA=400g)</v>
          </cell>
          <cell r="C98" t="str">
            <v>BOLSA</v>
          </cell>
          <cell r="D98">
            <v>807.44640000000004</v>
          </cell>
          <cell r="E98">
            <v>94.817305555555564</v>
          </cell>
          <cell r="F98">
            <v>55</v>
          </cell>
          <cell r="G98">
            <v>1268.2508246770833</v>
          </cell>
          <cell r="H98">
            <v>3.1706270616927084</v>
          </cell>
          <cell r="I98" t="str">
            <v>GRAMO</v>
          </cell>
        </row>
        <row r="99">
          <cell r="A99" t="str">
            <v>96010</v>
          </cell>
          <cell r="B99" t="str">
            <v>ICING COLORES (100g)</v>
          </cell>
          <cell r="C99" t="str">
            <v>BOLSA</v>
          </cell>
          <cell r="D99"/>
          <cell r="E99"/>
          <cell r="F99"/>
          <cell r="G99"/>
          <cell r="H99"/>
          <cell r="I99"/>
        </row>
        <row r="100">
          <cell r="A100" t="str">
            <v>96015</v>
          </cell>
          <cell r="B100" t="str">
            <v>GALLETA ALFAJOR PEQUEÑO (CAJA=36 UND)</v>
          </cell>
          <cell r="C100" t="str">
            <v>CAJA</v>
          </cell>
          <cell r="D100">
            <v>291.16796953661719</v>
          </cell>
          <cell r="E100">
            <v>28.096689090909091</v>
          </cell>
          <cell r="F100">
            <v>172.70661246378066</v>
          </cell>
          <cell r="G100">
            <v>645.71229330734025</v>
          </cell>
          <cell r="H100">
            <v>17.936452591870562</v>
          </cell>
          <cell r="I100" t="str">
            <v>UND</v>
          </cell>
        </row>
        <row r="101">
          <cell r="A101" t="str">
            <v>710256</v>
          </cell>
          <cell r="B101" t="str">
            <v>CROISSANT GRANDE (UND )</v>
          </cell>
          <cell r="C101" t="str">
            <v>UND</v>
          </cell>
          <cell r="D101">
            <v>123.89697454065589</v>
          </cell>
          <cell r="E101">
            <v>17.587479733867372</v>
          </cell>
          <cell r="F101">
            <v>66.069469692220892</v>
          </cell>
          <cell r="G101">
            <v>272.4145252063517</v>
          </cell>
          <cell r="H101">
            <v>272.4145252063517</v>
          </cell>
          <cell r="I101" t="str">
            <v>UND</v>
          </cell>
        </row>
        <row r="102">
          <cell r="A102" t="str">
            <v>1520456</v>
          </cell>
          <cell r="B102" t="str">
            <v xml:space="preserve">FRIJOLES TIERNOS C/CALDO PARA CHIFRIJO </v>
          </cell>
          <cell r="C102" t="str">
            <v>BOLSA</v>
          </cell>
          <cell r="D102">
            <v>1078.2425233725489</v>
          </cell>
          <cell r="E102">
            <v>96.144854444444448</v>
          </cell>
          <cell r="F102">
            <v>114.58333333333333</v>
          </cell>
          <cell r="G102">
            <v>1707.1878927186519</v>
          </cell>
          <cell r="H102">
            <v>2.586648322300988</v>
          </cell>
          <cell r="I102" t="str">
            <v>GRAMO</v>
          </cell>
        </row>
        <row r="103">
          <cell r="A103" t="str">
            <v>1520478</v>
          </cell>
          <cell r="B103" t="str">
            <v>SALSA P/PECHUGAS RELLENAS (BOLSA=130g)</v>
          </cell>
          <cell r="C103" t="str">
            <v>BOLSA</v>
          </cell>
          <cell r="D103">
            <v>295.10000000000002</v>
          </cell>
          <cell r="E103">
            <v>7.2911861676646712</v>
          </cell>
          <cell r="F103">
            <v>39.859550561797754</v>
          </cell>
          <cell r="G103">
            <v>453.17297627587004</v>
          </cell>
          <cell r="H103">
            <v>3.4859459713528467</v>
          </cell>
          <cell r="I103" t="str">
            <v>GRAMO</v>
          </cell>
        </row>
        <row r="104">
          <cell r="A104" t="str">
            <v>1522341</v>
          </cell>
          <cell r="B104" t="str">
            <v>SALSA ROJA (BOLSA=400g)</v>
          </cell>
          <cell r="C104" t="str">
            <v>BOLSA</v>
          </cell>
          <cell r="D104">
            <v>443.45801831811025</v>
          </cell>
          <cell r="E104">
            <v>12.17154749577136</v>
          </cell>
          <cell r="F104">
            <v>96.761601049868773</v>
          </cell>
          <cell r="G104">
            <v>725.01340650867235</v>
          </cell>
          <cell r="H104">
            <v>1.8125335162716809</v>
          </cell>
          <cell r="I104" t="str">
            <v>GRAMO</v>
          </cell>
        </row>
        <row r="105">
          <cell r="A105" t="str">
            <v>1522344</v>
          </cell>
          <cell r="B105" t="str">
            <v>PURE PAPA TRUE (BOLSA=450g=3 PORC)</v>
          </cell>
          <cell r="C105" t="str">
            <v>UND</v>
          </cell>
          <cell r="D105">
            <v>722.58993599999997</v>
          </cell>
          <cell r="E105">
            <v>25.054320194444443</v>
          </cell>
          <cell r="F105">
            <v>102.05937499999999</v>
          </cell>
          <cell r="G105">
            <v>1115.2360159427083</v>
          </cell>
          <cell r="H105">
            <v>2.478302257650463</v>
          </cell>
          <cell r="I105" t="str">
            <v>GRAMO</v>
          </cell>
        </row>
        <row r="106">
          <cell r="A106" t="str">
            <v>1522347</v>
          </cell>
          <cell r="B106" t="str">
            <v>RELLENO DE LIMON (BOLSA=500g)</v>
          </cell>
          <cell r="C106" t="str">
            <v>BOLSA</v>
          </cell>
          <cell r="D106">
            <v>1043.6276899999998</v>
          </cell>
          <cell r="E106">
            <v>118.54575777777779</v>
          </cell>
          <cell r="F106">
            <v>140.25</v>
          </cell>
          <cell r="G106">
            <v>1724.6843017104165</v>
          </cell>
          <cell r="H106">
            <v>3.4493686034208331</v>
          </cell>
          <cell r="I106" t="str">
            <v>GRAMO</v>
          </cell>
        </row>
        <row r="107">
          <cell r="A107" t="str">
            <v>1522352</v>
          </cell>
          <cell r="B107" t="str">
            <v>CHAOMIN (BOLSA=40g)</v>
          </cell>
          <cell r="C107" t="str">
            <v>BOLSA</v>
          </cell>
          <cell r="D107">
            <v>132.31899428571427</v>
          </cell>
          <cell r="E107">
            <v>5.0170966666666672</v>
          </cell>
          <cell r="F107">
            <v>66.314285714285717</v>
          </cell>
          <cell r="G107">
            <v>267.29111937499999</v>
          </cell>
          <cell r="H107">
            <v>6.6822779843750002</v>
          </cell>
          <cell r="I107" t="str">
            <v>GRAMO</v>
          </cell>
        </row>
        <row r="108">
          <cell r="A108" t="str">
            <v>1522353</v>
          </cell>
          <cell r="B108" t="str">
            <v>CROUTONS (BOLSA=20g)</v>
          </cell>
          <cell r="C108" t="str">
            <v>BOLSA</v>
          </cell>
          <cell r="D108">
            <v>94.621145000000013</v>
          </cell>
          <cell r="E108">
            <v>10.59185074352548</v>
          </cell>
          <cell r="F108">
            <v>35.444444444444443</v>
          </cell>
          <cell r="G108">
            <v>185.99381081584434</v>
          </cell>
          <cell r="H108">
            <v>9.2996905407922164</v>
          </cell>
          <cell r="I108" t="str">
            <v>GRAMO</v>
          </cell>
        </row>
        <row r="109">
          <cell r="A109" t="str">
            <v>1522354</v>
          </cell>
          <cell r="B109" t="str">
            <v>FIDEO THAI (PAQ=10g)</v>
          </cell>
          <cell r="C109" t="str">
            <v>BOLSA</v>
          </cell>
          <cell r="D109">
            <v>20.227958909090908</v>
          </cell>
          <cell r="E109">
            <v>4.0125955555555555</v>
          </cell>
          <cell r="F109">
            <v>10.833333333333334</v>
          </cell>
          <cell r="G109">
            <v>46.352635012196963</v>
          </cell>
          <cell r="H109">
            <v>4.6352635012196961</v>
          </cell>
          <cell r="I109" t="str">
            <v>GRAMO</v>
          </cell>
        </row>
        <row r="110">
          <cell r="A110" t="str">
            <v>1522361</v>
          </cell>
          <cell r="B110" t="str">
            <v>SALSA ARREGLADO (BOLSA=320g)</v>
          </cell>
          <cell r="C110" t="str">
            <v>BOLSA</v>
          </cell>
          <cell r="D110">
            <v>289.92336465608469</v>
          </cell>
          <cell r="E110">
            <v>9.3035401359186398</v>
          </cell>
          <cell r="F110">
            <v>50.780423280423278</v>
          </cell>
          <cell r="G110">
            <v>459.38461809505992</v>
          </cell>
          <cell r="H110">
            <v>1.4355769315470623</v>
          </cell>
          <cell r="I110" t="str">
            <v>GRAMO</v>
          </cell>
        </row>
        <row r="111">
          <cell r="A111" t="str">
            <v>1522386</v>
          </cell>
          <cell r="B111" t="str">
            <v>RELLENO POLLO LAPIZ (BOLSA=300g)</v>
          </cell>
          <cell r="C111" t="str">
            <v>BOLSA</v>
          </cell>
          <cell r="D111">
            <v>913.06067075859835</v>
          </cell>
          <cell r="E111">
            <v>24.163570765061852</v>
          </cell>
          <cell r="F111">
            <v>71.338321735424245</v>
          </cell>
          <cell r="G111">
            <v>1323.7383642775485</v>
          </cell>
          <cell r="H111">
            <v>4.4124612142584949</v>
          </cell>
          <cell r="I111" t="str">
            <v>GRAMO</v>
          </cell>
        </row>
        <row r="112">
          <cell r="A112" t="str">
            <v>1522458</v>
          </cell>
          <cell r="B112" t="str">
            <v>CEBOLLA CARAMELIZADA (BOLSA=75g)</v>
          </cell>
          <cell r="C112" t="str">
            <v>UND</v>
          </cell>
          <cell r="D112">
            <v>326.34923340039575</v>
          </cell>
          <cell r="E112">
            <v>10.457142834331338</v>
          </cell>
          <cell r="F112">
            <v>37.196833773087079</v>
          </cell>
          <cell r="G112">
            <v>490.87921313525612</v>
          </cell>
          <cell r="H112">
            <v>6.5450561751367484</v>
          </cell>
          <cell r="I112" t="str">
            <v>GRAMO</v>
          </cell>
        </row>
        <row r="113">
          <cell r="A113" t="str">
            <v>1522464</v>
          </cell>
          <cell r="B113" t="str">
            <v>CREMA DE BROCOLI (CONT=400g)</v>
          </cell>
          <cell r="C113" t="str">
            <v>TOPPER</v>
          </cell>
          <cell r="D113">
            <v>440.81931526302719</v>
          </cell>
          <cell r="E113">
            <v>70.68022666666667</v>
          </cell>
          <cell r="F113">
            <v>68.346774193548384</v>
          </cell>
          <cell r="G113">
            <v>767.76172139958271</v>
          </cell>
          <cell r="H113">
            <v>767.76172139958271</v>
          </cell>
          <cell r="I113" t="str">
            <v>TOPPER</v>
          </cell>
        </row>
        <row r="114">
          <cell r="A114" t="str">
            <v>20100065</v>
          </cell>
          <cell r="B114" t="str">
            <v>MADUROS EN MIEL (BOLSA=400g)</v>
          </cell>
          <cell r="C114" t="str">
            <v>BOLSA</v>
          </cell>
          <cell r="D114">
            <v>447.80621851878789</v>
          </cell>
          <cell r="E114">
            <v>13.161730555555556</v>
          </cell>
          <cell r="F114">
            <v>45.925696969696972</v>
          </cell>
          <cell r="G114">
            <v>665.29791043280295</v>
          </cell>
          <cell r="H114">
            <v>1.4784398009617843</v>
          </cell>
          <cell r="I114" t="str">
            <v>GRAMO</v>
          </cell>
        </row>
        <row r="115">
          <cell r="A115" t="str">
            <v>1522505</v>
          </cell>
          <cell r="B115" t="str">
            <v>BERENJENA EMPARRILLADA (BOLSA=240g)</v>
          </cell>
          <cell r="C115" t="str">
            <v>BOLSA</v>
          </cell>
          <cell r="D115">
            <v>632.63843916521728</v>
          </cell>
          <cell r="E115">
            <v>20.145725555555554</v>
          </cell>
          <cell r="F115">
            <v>158.86956521739131</v>
          </cell>
          <cell r="G115">
            <v>1367.927034981165</v>
          </cell>
          <cell r="H115">
            <v>5.6996959790881876</v>
          </cell>
          <cell r="I115" t="str">
            <v>GRAMO</v>
          </cell>
        </row>
        <row r="116">
          <cell r="A116" t="str">
            <v>1522506</v>
          </cell>
          <cell r="B116" t="str">
            <v>ZUCCINI EMPARRILLADO (BOLSA=160g)</v>
          </cell>
          <cell r="C116" t="str">
            <v>BOLSA</v>
          </cell>
          <cell r="D116">
            <v>524.35829333333345</v>
          </cell>
          <cell r="E116">
            <v>17.277725555555556</v>
          </cell>
          <cell r="F116">
            <v>140</v>
          </cell>
          <cell r="G116">
            <v>1169.4519262299998</v>
          </cell>
          <cell r="H116">
            <v>7.3090745389374989</v>
          </cell>
          <cell r="I116" t="str">
            <v>GRAMO</v>
          </cell>
        </row>
        <row r="117">
          <cell r="A117" t="str">
            <v>1620470</v>
          </cell>
          <cell r="B117" t="str">
            <v>PALMITO COCINADO (BOLSA=125g)</v>
          </cell>
          <cell r="C117" t="str">
            <v>BOLSA</v>
          </cell>
          <cell r="D117">
            <v>293.42508197368426</v>
          </cell>
          <cell r="E117">
            <v>24.151972266081874</v>
          </cell>
          <cell r="F117">
            <v>32.565789473684212</v>
          </cell>
          <cell r="G117">
            <v>463.73068121080047</v>
          </cell>
          <cell r="H117">
            <v>3.7098454496864037</v>
          </cell>
          <cell r="I117" t="str">
            <v>GRAMO</v>
          </cell>
        </row>
        <row r="118">
          <cell r="A118" t="str">
            <v>1620477</v>
          </cell>
          <cell r="B118" t="str">
            <v>TIQUEÑOS CON QUESO (TOPPER=720g=40 UNID)</v>
          </cell>
          <cell r="C118" t="str">
            <v>TOPPER</v>
          </cell>
          <cell r="D118">
            <v>1927.0816010502622</v>
          </cell>
          <cell r="E118">
            <v>116.021194373385</v>
          </cell>
          <cell r="F118">
            <v>315.61046511627904</v>
          </cell>
          <cell r="G118">
            <v>3122.6268786485884</v>
          </cell>
          <cell r="H118">
            <v>78.065671966214708</v>
          </cell>
          <cell r="I118" t="str">
            <v>UND</v>
          </cell>
        </row>
        <row r="119">
          <cell r="A119" t="str">
            <v>1620479</v>
          </cell>
          <cell r="B119" t="str">
            <v>ACEITE DE AJO Y PEREJIL (BOLSA=200g)</v>
          </cell>
          <cell r="C119" t="str">
            <v>BOLSA</v>
          </cell>
          <cell r="D119">
            <v>558.12103443850265</v>
          </cell>
          <cell r="E119">
            <v>9.6140432743458533</v>
          </cell>
          <cell r="F119">
            <v>72.019272727272721</v>
          </cell>
          <cell r="G119">
            <v>839.67758495265912</v>
          </cell>
          <cell r="H119">
            <v>4.1983879247632956</v>
          </cell>
          <cell r="I119" t="str">
            <v>GRAMO</v>
          </cell>
        </row>
        <row r="120">
          <cell r="A120" t="str">
            <v>1620482</v>
          </cell>
          <cell r="B120" t="str">
            <v>GUISO AYOTE (BOLSA=160g)</v>
          </cell>
          <cell r="C120" t="str">
            <v>BOLSA</v>
          </cell>
          <cell r="D120">
            <v>171.99505984693874</v>
          </cell>
          <cell r="E120">
            <v>5.2691428343313369</v>
          </cell>
          <cell r="F120">
            <v>37.602040816326529</v>
          </cell>
          <cell r="G120">
            <v>284.33853725078723</v>
          </cell>
          <cell r="H120">
            <v>1.7771158578174202</v>
          </cell>
          <cell r="I120" t="str">
            <v>GRAMO</v>
          </cell>
        </row>
        <row r="121">
          <cell r="A121" t="str">
            <v>1620483</v>
          </cell>
          <cell r="B121" t="str">
            <v>PICADILLO PAPA C/CHORIZO (PAQ=160g)</v>
          </cell>
          <cell r="C121" t="str">
            <v>BOLSA</v>
          </cell>
          <cell r="D121" t="e">
            <v>#REF!</v>
          </cell>
          <cell r="E121">
            <v>8.6092266666666664</v>
          </cell>
          <cell r="F121">
            <v>55.986842105263158</v>
          </cell>
          <cell r="G121">
            <v>657.2805299573314</v>
          </cell>
          <cell r="H121">
            <v>4.108003312233321</v>
          </cell>
          <cell r="I121" t="str">
            <v>GRAMO</v>
          </cell>
        </row>
        <row r="122">
          <cell r="A122" t="str">
            <v>1620484</v>
          </cell>
          <cell r="B122" t="str">
            <v>TORTILLA ALINEADA (CAJA=8 UND)</v>
          </cell>
          <cell r="C122" t="str">
            <v>CAJA</v>
          </cell>
          <cell r="D122">
            <v>640</v>
          </cell>
          <cell r="E122">
            <v>0</v>
          </cell>
          <cell r="F122">
            <v>0</v>
          </cell>
          <cell r="G122">
            <v>1040</v>
          </cell>
          <cell r="H122">
            <v>130</v>
          </cell>
          <cell r="I122" t="str">
            <v>UND</v>
          </cell>
        </row>
        <row r="123">
          <cell r="A123" t="str">
            <v>1622325</v>
          </cell>
          <cell r="B123" t="str">
            <v>ADEREZO MOSTAZA MIEL (BOLSA=350g)</v>
          </cell>
          <cell r="C123" t="str">
            <v>BOLSA</v>
          </cell>
          <cell r="D123">
            <v>818.84295891494139</v>
          </cell>
          <cell r="E123">
            <v>9.4483257469590995</v>
          </cell>
          <cell r="F123">
            <v>58.802102711949928</v>
          </cell>
          <cell r="G123">
            <v>1164.3100709281787</v>
          </cell>
          <cell r="H123">
            <v>3.3266002026519392</v>
          </cell>
          <cell r="I123" t="str">
            <v>GRAMO</v>
          </cell>
        </row>
        <row r="124">
          <cell r="A124" t="str">
            <v>1622332</v>
          </cell>
          <cell r="B124" t="str">
            <v>QUESO PARMESANO (BOLSA=216g)</v>
          </cell>
          <cell r="C124" t="str">
            <v>BOLSA</v>
          </cell>
          <cell r="D124">
            <v>2032.2004720279722</v>
          </cell>
          <cell r="E124">
            <v>8.6335578142968146</v>
          </cell>
          <cell r="F124">
            <v>48.17307692307692</v>
          </cell>
          <cell r="G124">
            <v>2741.821827629517</v>
          </cell>
          <cell r="H124">
            <v>12.693619572358875</v>
          </cell>
          <cell r="I124" t="str">
            <v>GRAMO</v>
          </cell>
        </row>
        <row r="125">
          <cell r="A125" t="str">
            <v>1622333</v>
          </cell>
          <cell r="B125" t="str">
            <v>MAYONESA CHIPOTLE (BOLSA=700g)</v>
          </cell>
          <cell r="C125" t="str">
            <v>BOLSA</v>
          </cell>
          <cell r="D125">
            <v>995.81075977169974</v>
          </cell>
          <cell r="E125">
            <v>9.5247799999999998</v>
          </cell>
          <cell r="F125">
            <v>72.256293441233922</v>
          </cell>
          <cell r="G125">
            <v>1427.534310051479</v>
          </cell>
          <cell r="H125">
            <v>2.0393347286449699</v>
          </cell>
          <cell r="I125" t="str">
            <v>GRAMO</v>
          </cell>
        </row>
        <row r="126">
          <cell r="A126" t="str">
            <v>1622334</v>
          </cell>
          <cell r="B126" t="str">
            <v>SALSA HONGOS PORTOBELLO (BOLSA=160g)</v>
          </cell>
          <cell r="C126" t="str">
            <v>BOLSA</v>
          </cell>
          <cell r="D126">
            <v>333.74277837864071</v>
          </cell>
          <cell r="E126">
            <v>6.7750972131920886</v>
          </cell>
          <cell r="F126">
            <v>72.256293441233922</v>
          </cell>
          <cell r="G126">
            <v>499.31361181802015</v>
          </cell>
          <cell r="H126">
            <v>3.1207100738626261</v>
          </cell>
          <cell r="I126" t="str">
            <v>GRAMO</v>
          </cell>
        </row>
        <row r="127">
          <cell r="A127" t="str">
            <v>20100059</v>
          </cell>
          <cell r="B127" t="str">
            <v>POLLO DESMENUZADO (PAQ=160g)</v>
          </cell>
          <cell r="C127" t="str">
            <v>PAQ</v>
          </cell>
          <cell r="D127">
            <v>701.55865666666671</v>
          </cell>
          <cell r="E127">
            <v>5.474186167664671</v>
          </cell>
          <cell r="F127">
            <v>66</v>
          </cell>
          <cell r="G127">
            <v>1014.6056062200599</v>
          </cell>
          <cell r="H127">
            <v>4.0584224248802396</v>
          </cell>
          <cell r="I127" t="str">
            <v>GRAMO</v>
          </cell>
        </row>
        <row r="128">
          <cell r="A128">
            <v>20100079</v>
          </cell>
          <cell r="B128" t="str">
            <v>Empaque pechuga parrilla Cruda (1 unidad)</v>
          </cell>
          <cell r="C128" t="str">
            <v>PAQ</v>
          </cell>
          <cell r="D128">
            <v>451.79085164512088</v>
          </cell>
          <cell r="E128">
            <v>6.249377508070336</v>
          </cell>
          <cell r="F128">
            <v>71.706827309236957</v>
          </cell>
          <cell r="G128">
            <v>701.30478961457254</v>
          </cell>
          <cell r="H128">
            <v>701.30478961457254</v>
          </cell>
          <cell r="I128" t="str">
            <v>UND</v>
          </cell>
        </row>
        <row r="129">
          <cell r="A129" t="str">
            <v>1622340</v>
          </cell>
          <cell r="B129" t="str">
            <v>MAYONESA CHILE MORRON (BOLSA=700g)</v>
          </cell>
          <cell r="C129" t="str">
            <v>BOLSA</v>
          </cell>
          <cell r="D129"/>
          <cell r="E129"/>
          <cell r="F129"/>
          <cell r="G129"/>
          <cell r="H129"/>
          <cell r="I129"/>
        </row>
        <row r="130">
          <cell r="A130" t="str">
            <v>1622342</v>
          </cell>
          <cell r="B130" t="str">
            <v>FRIJOLES NEGROS CASADITO (BOLSA=520g=4 PORC)</v>
          </cell>
          <cell r="C130" t="str">
            <v>BOLSA</v>
          </cell>
          <cell r="D130">
            <v>647.65550580645174</v>
          </cell>
          <cell r="E130">
            <v>29.763052698128234</v>
          </cell>
          <cell r="F130">
            <v>139.63560334528077</v>
          </cell>
          <cell r="G130">
            <v>583.88834124448988</v>
          </cell>
          <cell r="H130">
            <v>1.1228621947009421</v>
          </cell>
          <cell r="I130" t="str">
            <v>GRAMO</v>
          </cell>
        </row>
        <row r="131">
          <cell r="A131" t="str">
            <v>1622343</v>
          </cell>
          <cell r="B131" t="str">
            <v>FRIJOLES MOLIDOS (PAQ=400g)</v>
          </cell>
          <cell r="C131" t="str">
            <v>BOLSA</v>
          </cell>
          <cell r="D131">
            <v>426.6014595793128</v>
          </cell>
          <cell r="E131">
            <v>20.963509337248521</v>
          </cell>
          <cell r="F131">
            <v>80.166012170098355</v>
          </cell>
          <cell r="G131">
            <v>692.64691267624073</v>
          </cell>
          <cell r="H131">
            <v>1.7316172816906019</v>
          </cell>
          <cell r="I131" t="str">
            <v>GRAMO</v>
          </cell>
        </row>
        <row r="132">
          <cell r="A132" t="str">
            <v>1622344</v>
          </cell>
          <cell r="B132" t="str">
            <v>ADEREZO VINAGRETA ALBAHACA (BOLSA=700g)</v>
          </cell>
          <cell r="C132" t="str">
            <v>BOLSA</v>
          </cell>
          <cell r="D132">
            <v>1832.6019400593473</v>
          </cell>
          <cell r="E132">
            <v>9.1076508654797212</v>
          </cell>
          <cell r="F132">
            <v>100.61572700296736</v>
          </cell>
          <cell r="G132">
            <v>2573.4744181611181</v>
          </cell>
          <cell r="H132">
            <v>3.6763920259444545</v>
          </cell>
          <cell r="I132" t="str">
            <v>GRAMO</v>
          </cell>
        </row>
        <row r="133">
          <cell r="A133" t="str">
            <v>1622357</v>
          </cell>
          <cell r="B133" t="str">
            <v>ADEREZO TEJANO (BOLSA=350g)</v>
          </cell>
          <cell r="C133" t="str">
            <v>BOLSA</v>
          </cell>
          <cell r="D133">
            <v>531.81941303704843</v>
          </cell>
          <cell r="E133">
            <v>9.9511428343313373</v>
          </cell>
          <cell r="F133">
            <v>160.71577448128093</v>
          </cell>
          <cell r="G133">
            <v>929.12404713367914</v>
          </cell>
          <cell r="H133">
            <v>2.6546401346676545</v>
          </cell>
          <cell r="I133" t="str">
            <v>GRAMO</v>
          </cell>
        </row>
        <row r="134">
          <cell r="A134" t="str">
            <v>1622394</v>
          </cell>
          <cell r="B134" t="str">
            <v>SALSA TAMARINDO (210g)</v>
          </cell>
          <cell r="C134" t="str">
            <v>UND</v>
          </cell>
          <cell r="D134">
            <v>139.74235404999999</v>
          </cell>
          <cell r="E134">
            <v>7.3227395843313374</v>
          </cell>
          <cell r="F134">
            <v>41.75</v>
          </cell>
          <cell r="G134">
            <v>249.75003974901045</v>
          </cell>
          <cell r="H134">
            <v>1.1892859035667165</v>
          </cell>
          <cell r="I134" t="str">
            <v>GRAMO</v>
          </cell>
        </row>
        <row r="135">
          <cell r="A135" t="str">
            <v>1622396</v>
          </cell>
          <cell r="B135" t="str">
            <v>SALSA LIMON Y ALCAPARRAS (250g)</v>
          </cell>
          <cell r="C135" t="str">
            <v>BOLSA</v>
          </cell>
          <cell r="D135">
            <v>490.15264735553239</v>
          </cell>
          <cell r="E135">
            <v>5.2937855069054542</v>
          </cell>
          <cell r="F135">
            <v>57.948802100426647</v>
          </cell>
          <cell r="G135">
            <v>732.83398032007904</v>
          </cell>
          <cell r="H135">
            <v>2.9313359212803163</v>
          </cell>
          <cell r="I135" t="str">
            <v>GRAMO</v>
          </cell>
        </row>
        <row r="136">
          <cell r="A136" t="str">
            <v>1622400</v>
          </cell>
          <cell r="B136" t="str">
            <v>ADEREZO ALBAHACA CAPRESSE (BOLSA=350g)</v>
          </cell>
          <cell r="C136" t="str">
            <v>BOLSA</v>
          </cell>
          <cell r="D136">
            <v>530.95872674867758</v>
          </cell>
          <cell r="E136">
            <v>10.034693416971127</v>
          </cell>
          <cell r="F136">
            <v>83.352488492520152</v>
          </cell>
          <cell r="G136">
            <v>826.55454375352065</v>
          </cell>
          <cell r="H136">
            <v>2.3615844107243449</v>
          </cell>
          <cell r="I136" t="str">
            <v>GRAMO</v>
          </cell>
        </row>
        <row r="137">
          <cell r="A137" t="str">
            <v>1622401</v>
          </cell>
          <cell r="B137" t="str">
            <v>ADEREZO ALCAPARRAS (BOLSA=350g)</v>
          </cell>
          <cell r="C137" t="str">
            <v>BOLSA</v>
          </cell>
          <cell r="D137">
            <v>1115.2224276548552</v>
          </cell>
          <cell r="E137">
            <v>10.445407085990714</v>
          </cell>
          <cell r="F137">
            <v>104.62081661857782</v>
          </cell>
          <cell r="G137">
            <v>1614.7538549092437</v>
          </cell>
          <cell r="H137">
            <v>4.6135824425978393</v>
          </cell>
          <cell r="I137" t="str">
            <v>GRAMO</v>
          </cell>
        </row>
        <row r="138">
          <cell r="A138" t="str">
            <v>1622406</v>
          </cell>
          <cell r="B138" t="str">
            <v>ADEREZO CESAR (BOLSA=300g)</v>
          </cell>
          <cell r="C138" t="str">
            <v>BOLSA</v>
          </cell>
          <cell r="D138">
            <v>884.89826747772486</v>
          </cell>
          <cell r="E138">
            <v>6.7771428343313369</v>
          </cell>
          <cell r="F138">
            <v>80.924178016781781</v>
          </cell>
          <cell r="G138">
            <v>1288.2401994419454</v>
          </cell>
          <cell r="H138">
            <v>4.2941339981398183</v>
          </cell>
          <cell r="I138" t="str">
            <v>GRAMO</v>
          </cell>
        </row>
        <row r="139">
          <cell r="A139" t="str">
            <v>1622407</v>
          </cell>
          <cell r="B139" t="str">
            <v>ADEREZO DRESSING LOW (BOLSA=300g)</v>
          </cell>
          <cell r="C139" t="str">
            <v>BOLSA</v>
          </cell>
          <cell r="D139">
            <v>546.80726901503158</v>
          </cell>
          <cell r="E139">
            <v>8.3275732232202273</v>
          </cell>
          <cell r="F139">
            <v>98</v>
          </cell>
          <cell r="G139">
            <v>1007.1012410371676</v>
          </cell>
          <cell r="H139">
            <v>3.3570041367905588</v>
          </cell>
          <cell r="I139" t="str">
            <v>GRAMO</v>
          </cell>
        </row>
        <row r="140">
          <cell r="A140" t="str">
            <v>1622408</v>
          </cell>
          <cell r="B140" t="str">
            <v>ADEREZO THAI (BOLSA=300g)</v>
          </cell>
          <cell r="C140" t="str">
            <v>BOLSA</v>
          </cell>
          <cell r="D140">
            <v>813.28739736842078</v>
          </cell>
          <cell r="E140">
            <v>6.8322978975382576</v>
          </cell>
          <cell r="F140">
            <v>59.02493074792244</v>
          </cell>
          <cell r="G140">
            <v>1126.8261824110057</v>
          </cell>
          <cell r="H140">
            <v>3.7560872747033525</v>
          </cell>
          <cell r="I140" t="str">
            <v>GRAMO</v>
          </cell>
        </row>
        <row r="141">
          <cell r="A141" t="str">
            <v>1622409</v>
          </cell>
          <cell r="B141" t="str">
            <v>ADEREZO GRILL (BOLSA=500g)</v>
          </cell>
          <cell r="C141" t="str">
            <v>BOLSA</v>
          </cell>
          <cell r="D141">
            <v>980.56956749168285</v>
          </cell>
          <cell r="E141">
            <v>7.5778544444444442</v>
          </cell>
          <cell r="F141">
            <v>59.480748617518401</v>
          </cell>
          <cell r="G141">
            <v>1387.9814087645716</v>
          </cell>
          <cell r="H141">
            <v>2.7759628175291433</v>
          </cell>
          <cell r="I141" t="str">
            <v>GRAMO</v>
          </cell>
        </row>
        <row r="142">
          <cell r="A142" t="str">
            <v>1622410</v>
          </cell>
          <cell r="B142" t="str">
            <v>CARNE MECHADA  (BOLSA=300g)</v>
          </cell>
          <cell r="C142" t="str">
            <v>BOLSA</v>
          </cell>
          <cell r="D142">
            <v>1206.7563718176229</v>
          </cell>
          <cell r="E142">
            <v>36.865699665296219</v>
          </cell>
          <cell r="F142">
            <v>104.31246584308541</v>
          </cell>
          <cell r="G142">
            <v>1769.1640802403811</v>
          </cell>
          <cell r="H142">
            <v>5.8972136008012699</v>
          </cell>
          <cell r="I142" t="str">
            <v>GRAMO</v>
          </cell>
        </row>
        <row r="143">
          <cell r="A143" t="str">
            <v>1622411</v>
          </cell>
          <cell r="B143" t="str">
            <v>HONGOS SALTEADOS (BOLSA=100g)</v>
          </cell>
          <cell r="C143" t="str">
            <v>BOLSA</v>
          </cell>
          <cell r="D143">
            <v>362.93204697024026</v>
          </cell>
          <cell r="E143">
            <v>5.2656417232202273</v>
          </cell>
          <cell r="F143">
            <v>47.220329867335963</v>
          </cell>
          <cell r="G143">
            <v>550.06874402514688</v>
          </cell>
          <cell r="H143">
            <v>5.5006874402514692</v>
          </cell>
          <cell r="I143" t="str">
            <v>GRAMO</v>
          </cell>
        </row>
        <row r="144">
          <cell r="A144" t="str">
            <v>1622414</v>
          </cell>
          <cell r="B144" t="str">
            <v>ADEREZOS PEPINILLOS Y ANCHOAS (BOLSA=130g)</v>
          </cell>
          <cell r="C144" t="str">
            <v>BOLSA</v>
          </cell>
          <cell r="D144">
            <v>385.77670861102013</v>
          </cell>
          <cell r="E144">
            <v>8.3107006285791023</v>
          </cell>
          <cell r="F144">
            <v>122.26116338365037</v>
          </cell>
          <cell r="G144">
            <v>682.87989881428496</v>
          </cell>
          <cell r="H144">
            <v>5.2529222985714226</v>
          </cell>
          <cell r="I144" t="str">
            <v>GRAMO</v>
          </cell>
        </row>
        <row r="145">
          <cell r="A145" t="str">
            <v>1622415</v>
          </cell>
          <cell r="B145" t="str">
            <v>PAPA COCTEL (BOLSA=110g)</v>
          </cell>
          <cell r="C145" t="str">
            <v>BOLSA</v>
          </cell>
          <cell r="D145">
            <v>105.953992</v>
          </cell>
          <cell r="E145">
            <v>5.2691428343313369</v>
          </cell>
          <cell r="F145">
            <v>31.9</v>
          </cell>
          <cell r="G145">
            <v>189.30891811476044</v>
          </cell>
          <cell r="H145">
            <v>1.7209901646796404</v>
          </cell>
          <cell r="I145" t="str">
            <v>GRAMO</v>
          </cell>
        </row>
        <row r="146">
          <cell r="A146" t="str">
            <v>1622416</v>
          </cell>
          <cell r="B146" t="str">
            <v>QUINUA BLANCA (BOLSA=300g)</v>
          </cell>
          <cell r="C146" t="str">
            <v>BOLSA</v>
          </cell>
          <cell r="D146">
            <v>629.49170533333336</v>
          </cell>
          <cell r="E146">
            <v>9.5103788888888889</v>
          </cell>
          <cell r="F146">
            <v>96.25</v>
          </cell>
          <cell r="G146">
            <v>973.40526289708339</v>
          </cell>
          <cell r="H146">
            <v>3.2446842096569446</v>
          </cell>
          <cell r="I146" t="str">
            <v>GRAMO</v>
          </cell>
        </row>
        <row r="147">
          <cell r="A147" t="str">
            <v>1622428</v>
          </cell>
          <cell r="B147" t="str">
            <v>FUDGE LOCALES (BOLSA=390g)</v>
          </cell>
          <cell r="C147" t="str">
            <v>BOLSA</v>
          </cell>
          <cell r="D147"/>
          <cell r="E147"/>
          <cell r="F147"/>
          <cell r="G147"/>
          <cell r="H147"/>
          <cell r="I147"/>
        </row>
        <row r="148">
          <cell r="A148" t="str">
            <v>1622429</v>
          </cell>
          <cell r="B148" t="str">
            <v>RIZOS FLOREADOS DE CHOCOLATE (BOLSA=200g)</v>
          </cell>
          <cell r="C148" t="str">
            <v>BOLSA</v>
          </cell>
          <cell r="D148">
            <v>1736.73</v>
          </cell>
          <cell r="E148">
            <v>4.8701239055222887</v>
          </cell>
          <cell r="F148">
            <v>55</v>
          </cell>
          <cell r="G148">
            <v>2358.0376626259977</v>
          </cell>
          <cell r="H148">
            <v>11.790188313129988</v>
          </cell>
          <cell r="I148" t="str">
            <v>GRAMO</v>
          </cell>
        </row>
        <row r="149">
          <cell r="A149" t="str">
            <v>1622434</v>
          </cell>
          <cell r="B149" t="str">
            <v>LENTEJAS COCIDAS (BOLSA=300g)</v>
          </cell>
          <cell r="C149" t="str">
            <v>BOLSA</v>
          </cell>
          <cell r="D149">
            <v>165.66393650000001</v>
          </cell>
          <cell r="E149">
            <v>9.5279594444444431</v>
          </cell>
          <cell r="F149">
            <v>210.00000000000003</v>
          </cell>
          <cell r="G149">
            <v>1071.6701455565001</v>
          </cell>
          <cell r="H149">
            <v>3.5722338185216671</v>
          </cell>
          <cell r="I149" t="str">
            <v>GRAMO</v>
          </cell>
        </row>
        <row r="150">
          <cell r="A150" t="str">
            <v>1622435</v>
          </cell>
          <cell r="B150" t="str">
            <v>SALSA BBQ DE NARANJA Y ROMERO (BOLSA=500g)</v>
          </cell>
          <cell r="C150" t="str">
            <v>BOLSA</v>
          </cell>
          <cell r="D150"/>
          <cell r="E150"/>
          <cell r="F150"/>
          <cell r="G150"/>
          <cell r="H150"/>
          <cell r="I150"/>
        </row>
        <row r="151">
          <cell r="A151" t="str">
            <v>1622436</v>
          </cell>
          <cell r="B151" t="str">
            <v>ADEREZO PESTO ALBAHACA (BOLSA=300g)</v>
          </cell>
          <cell r="C151" t="str">
            <v>BOLSA</v>
          </cell>
          <cell r="D151">
            <v>823.41172326470587</v>
          </cell>
          <cell r="E151">
            <v>6.8606849793833362</v>
          </cell>
          <cell r="F151">
            <v>54.411161731207287</v>
          </cell>
          <cell r="G151">
            <v>1118.2770969088044</v>
          </cell>
          <cell r="H151">
            <v>3.7275903230293479</v>
          </cell>
          <cell r="I151" t="str">
            <v>GRAMO</v>
          </cell>
        </row>
        <row r="152">
          <cell r="A152" t="str">
            <v>6000177</v>
          </cell>
          <cell r="B152" t="str">
            <v>EMPANADA POLLO Y AJONJOLI (UND)</v>
          </cell>
          <cell r="C152" t="str">
            <v>UND</v>
          </cell>
          <cell r="D152">
            <v>556.21926026471147</v>
          </cell>
          <cell r="E152">
            <v>34.208351003192078</v>
          </cell>
          <cell r="F152">
            <v>176.78261233355292</v>
          </cell>
          <cell r="G152">
            <v>1014.712780874803</v>
          </cell>
          <cell r="H152">
            <v>1014.712780874803</v>
          </cell>
          <cell r="I152" t="str">
            <v>UND</v>
          </cell>
        </row>
        <row r="153">
          <cell r="A153" t="str">
            <v>20200056</v>
          </cell>
          <cell r="B153" t="str">
            <v>TORTA MITAD Y MITAD</v>
          </cell>
          <cell r="C153" t="str">
            <v>UND</v>
          </cell>
          <cell r="D153">
            <v>3804.1458809337378</v>
          </cell>
          <cell r="E153">
            <v>452.8786430184478</v>
          </cell>
          <cell r="F153">
            <v>698.20210202177623</v>
          </cell>
          <cell r="G153">
            <v>6559.6083934676972</v>
          </cell>
          <cell r="H153">
            <v>6559.6083934676972</v>
          </cell>
          <cell r="I153" t="str">
            <v>UND</v>
          </cell>
        </row>
        <row r="154">
          <cell r="A154" t="str">
            <v>36026</v>
          </cell>
          <cell r="B154" t="str">
            <v>TORTA CARAMELO MEDIANA</v>
          </cell>
          <cell r="C154" t="str">
            <v>UND</v>
          </cell>
          <cell r="D154">
            <v>3365.9773370292219</v>
          </cell>
          <cell r="E154">
            <v>497.90644618589749</v>
          </cell>
          <cell r="F154">
            <v>394.73328754578756</v>
          </cell>
          <cell r="G154">
            <v>5645.3292544274282</v>
          </cell>
          <cell r="H154">
            <v>5645.3292544274282</v>
          </cell>
          <cell r="I154" t="str">
            <v>UND</v>
          </cell>
        </row>
        <row r="155">
          <cell r="A155" t="str">
            <v>20100111</v>
          </cell>
          <cell r="B155" t="str">
            <v>SALSA CULANTRO (BOLSA 200G)</v>
          </cell>
          <cell r="C155" t="str">
            <v>BOLSA</v>
          </cell>
          <cell r="D155">
            <v>300.23665583193832</v>
          </cell>
          <cell r="E155">
            <v>6.2201336578145829</v>
          </cell>
          <cell r="F155">
            <v>115.01829361702127</v>
          </cell>
          <cell r="G155">
            <v>557.20829193969416</v>
          </cell>
          <cell r="H155">
            <v>2.7860414596984708</v>
          </cell>
          <cell r="I155" t="str">
            <v>GRAMO</v>
          </cell>
        </row>
        <row r="156">
          <cell r="A156" t="str">
            <v>20050</v>
          </cell>
          <cell r="B156" t="str">
            <v>PASTEL PALMITO (PIREX=4 PORC)</v>
          </cell>
          <cell r="C156" t="str">
            <v>PIREX</v>
          </cell>
          <cell r="D156">
            <v>1094.4679700683002</v>
          </cell>
          <cell r="E156">
            <v>195.54399716531969</v>
          </cell>
          <cell r="F156">
            <v>412.37385172818324</v>
          </cell>
          <cell r="G156">
            <v>2251.3127944573075</v>
          </cell>
          <cell r="H156">
            <v>2251.3127944573075</v>
          </cell>
          <cell r="I156" t="str">
            <v>PIREX</v>
          </cell>
        </row>
        <row r="157">
          <cell r="A157" t="str">
            <v>20100103</v>
          </cell>
          <cell r="B157" t="str">
            <v xml:space="preserve">LASAGÑA LOMO SALTEADO </v>
          </cell>
          <cell r="C157" t="str">
            <v>PIREX</v>
          </cell>
          <cell r="D157">
            <v>7247.6141979516196</v>
          </cell>
          <cell r="E157">
            <v>350.2273026835386</v>
          </cell>
          <cell r="F157">
            <v>548.02686202686198</v>
          </cell>
          <cell r="G157">
            <v>10791.173895689737</v>
          </cell>
          <cell r="H157">
            <v>1798.5289826149562</v>
          </cell>
          <cell r="I157" t="str">
            <v>UND</v>
          </cell>
        </row>
        <row r="158">
          <cell r="A158" t="str">
            <v>20100053</v>
          </cell>
          <cell r="B158" t="str">
            <v>CREMA AYOTE 200G</v>
          </cell>
          <cell r="C158" t="str">
            <v>BOLSA</v>
          </cell>
          <cell r="D158">
            <v>277.20361710539464</v>
          </cell>
          <cell r="E158">
            <v>19.683625069198797</v>
          </cell>
          <cell r="F158">
            <v>52.388138626749104</v>
          </cell>
          <cell r="G158">
            <v>462.3205823553036</v>
          </cell>
          <cell r="H158">
            <v>462.3205823553036</v>
          </cell>
          <cell r="I158" t="str">
            <v>UND</v>
          </cell>
        </row>
        <row r="159">
          <cell r="A159" t="str">
            <v>20100100</v>
          </cell>
          <cell r="B159" t="str">
            <v>CANELONES POLLO Y ESPINACA (PIREX 6 PORC)</v>
          </cell>
          <cell r="C159" t="str">
            <v>PIREX</v>
          </cell>
          <cell r="D159">
            <v>4854.8169411835843</v>
          </cell>
          <cell r="E159">
            <v>264.36083786449694</v>
          </cell>
          <cell r="F159">
            <v>516.45445293704211</v>
          </cell>
          <cell r="G159">
            <v>7463.9565128304812</v>
          </cell>
          <cell r="H159">
            <v>1243.9927521384136</v>
          </cell>
          <cell r="I159" t="str">
            <v>PORCION</v>
          </cell>
        </row>
        <row r="160">
          <cell r="A160" t="str">
            <v>20100018</v>
          </cell>
          <cell r="B160" t="str">
            <v>PICADILLO PLATANO C/CHORIZO 160G</v>
          </cell>
          <cell r="C160" t="str">
            <v>BOLSA</v>
          </cell>
          <cell r="D160">
            <v>291.68649572381065</v>
          </cell>
          <cell r="E160">
            <v>6.8058399667331999</v>
          </cell>
          <cell r="F160">
            <v>54.503012048192772</v>
          </cell>
          <cell r="G160">
            <v>467.22410581303012</v>
          </cell>
          <cell r="H160">
            <v>2.9201506613314381</v>
          </cell>
          <cell r="I160" t="str">
            <v>GRAMO</v>
          </cell>
        </row>
        <row r="161">
          <cell r="A161" t="str">
            <v>36013</v>
          </cell>
          <cell r="B161" t="str">
            <v>TORTA CARAMELO PEQUEÑA SPOON</v>
          </cell>
          <cell r="C161" t="str">
            <v>UND</v>
          </cell>
          <cell r="D161" t="str">
            <v>UND</v>
          </cell>
          <cell r="E161">
            <v>1833.6541989079321</v>
          </cell>
          <cell r="F161">
            <v>327.97359422550414</v>
          </cell>
          <cell r="G161">
            <v>353.70244153889809</v>
          </cell>
          <cell r="H161">
            <v>3329.7422977923152</v>
          </cell>
          <cell r="I161" t="str">
            <v>UND</v>
          </cell>
        </row>
        <row r="162">
          <cell r="A162" t="str">
            <v>20400025</v>
          </cell>
          <cell r="B162" t="str">
            <v>ENCHILADA PAPA Y CARNE</v>
          </cell>
          <cell r="C162" t="str">
            <v>CAJA</v>
          </cell>
          <cell r="D162">
            <v>752.63214615380991</v>
          </cell>
          <cell r="E162">
            <v>34.770836842545904</v>
          </cell>
          <cell r="F162">
            <v>186.303484816219</v>
          </cell>
          <cell r="G162">
            <v>1288.3244031558318</v>
          </cell>
          <cell r="H162">
            <v>322.08110078895794</v>
          </cell>
          <cell r="I162" t="str">
            <v>UND</v>
          </cell>
        </row>
        <row r="163">
          <cell r="A163" t="str">
            <v>20400055</v>
          </cell>
          <cell r="B163" t="str">
            <v>ARREGLADO MINI</v>
          </cell>
          <cell r="C163" t="str">
            <v>CAJA</v>
          </cell>
          <cell r="D163">
            <v>135.50662600989554</v>
          </cell>
          <cell r="E163">
            <v>36.614456766752944</v>
          </cell>
          <cell r="F163">
            <v>103.46676794283542</v>
          </cell>
          <cell r="G163">
            <v>363.96814328076607</v>
          </cell>
          <cell r="H163">
            <v>45.496017910095759</v>
          </cell>
          <cell r="I163" t="str">
            <v>UND</v>
          </cell>
        </row>
        <row r="164">
          <cell r="A164" t="str">
            <v>20400007</v>
          </cell>
          <cell r="B164" t="str">
            <v>SOMBRERO PALMITO</v>
          </cell>
          <cell r="C164" t="str">
            <v>CAJA</v>
          </cell>
          <cell r="D164">
            <v>461.35095003395998</v>
          </cell>
          <cell r="E164">
            <v>40.975151850551931</v>
          </cell>
          <cell r="F164">
            <v>279.13066670420369</v>
          </cell>
          <cell r="G164">
            <v>1032.2550388599234</v>
          </cell>
          <cell r="H164">
            <v>172.0425064766539</v>
          </cell>
          <cell r="I164" t="str">
            <v>UND</v>
          </cell>
        </row>
        <row r="165">
          <cell r="A165" t="str">
            <v>20500006</v>
          </cell>
          <cell r="B165" t="str">
            <v>ARROLLADO LECHE CONDENSADA PEQ</v>
          </cell>
          <cell r="C165" t="str">
            <v>UND</v>
          </cell>
          <cell r="D165">
            <v>60.865694775854209</v>
          </cell>
          <cell r="E165">
            <v>15.437600552882067</v>
          </cell>
          <cell r="F165">
            <v>13.81928782057401</v>
          </cell>
          <cell r="G165">
            <v>119.28737113465942</v>
          </cell>
          <cell r="H165">
            <v>119.28737113465942</v>
          </cell>
          <cell r="I165" t="str">
            <v>UND</v>
          </cell>
        </row>
        <row r="166">
          <cell r="A166" t="str">
            <v>20200060</v>
          </cell>
          <cell r="B166" t="str">
            <v>BROWNIE BLONDIE</v>
          </cell>
          <cell r="C166" t="str">
            <v>CAJA</v>
          </cell>
          <cell r="D166">
            <v>1602.2072558823529</v>
          </cell>
          <cell r="E166">
            <v>190.94398488888891</v>
          </cell>
          <cell r="F166">
            <v>467.5</v>
          </cell>
          <cell r="G166">
            <v>2990.6398635473774</v>
          </cell>
          <cell r="H166">
            <v>498.43997725789626</v>
          </cell>
          <cell r="I166" t="str">
            <v>UND</v>
          </cell>
        </row>
        <row r="167">
          <cell r="A167">
            <v>20200059</v>
          </cell>
          <cell r="B167" t="str">
            <v>BROWNIE CHOCOMENTA</v>
          </cell>
          <cell r="C167" t="str">
            <v>CAJA</v>
          </cell>
          <cell r="D167">
            <v>1731.1123655962872</v>
          </cell>
          <cell r="E167">
            <v>110.59735915376984</v>
          </cell>
          <cell r="F167">
            <v>236.5488312600321</v>
          </cell>
          <cell r="G167">
            <v>2751.8867949005858</v>
          </cell>
          <cell r="H167">
            <v>458.64779915009763</v>
          </cell>
          <cell r="I167" t="str">
            <v>UND</v>
          </cell>
        </row>
        <row r="168">
          <cell r="A168" t="str">
            <v>20100113</v>
          </cell>
          <cell r="B168" t="str">
            <v>CREMA DE GARBANZOS 200G</v>
          </cell>
          <cell r="C168" t="str">
            <v>UND</v>
          </cell>
          <cell r="D168">
            <v>261.24179379459946</v>
          </cell>
          <cell r="E168">
            <v>7.6913845575959119</v>
          </cell>
          <cell r="F168">
            <v>82.675438558402078</v>
          </cell>
          <cell r="G168">
            <v>465.01605766103171</v>
          </cell>
          <cell r="H168">
            <v>465.01605766103171</v>
          </cell>
          <cell r="I168" t="str">
            <v>UND</v>
          </cell>
        </row>
        <row r="169">
          <cell r="A169" t="str">
            <v>20500037</v>
          </cell>
          <cell r="B169" t="str">
            <v>CHEESE CAKE BASE BLANCA</v>
          </cell>
          <cell r="C169" t="str">
            <v>UND</v>
          </cell>
          <cell r="D169">
            <v>2071.9262814118424</v>
          </cell>
          <cell r="E169">
            <v>396.63135577551645</v>
          </cell>
          <cell r="F169">
            <v>336.40402377436214</v>
          </cell>
          <cell r="G169">
            <v>3713.9119990003428</v>
          </cell>
          <cell r="H169">
            <v>618.98533316672376</v>
          </cell>
          <cell r="I169" t="str">
            <v>PORCION</v>
          </cell>
        </row>
        <row r="170">
          <cell r="A170" t="str">
            <v>20500038</v>
          </cell>
          <cell r="B170" t="str">
            <v>RELLENO FRESA 360G</v>
          </cell>
          <cell r="C170" t="str">
            <v>BOLSA</v>
          </cell>
          <cell r="D170">
            <v>862.92</v>
          </cell>
          <cell r="E170">
            <v>8.2075077777777778</v>
          </cell>
          <cell r="F170">
            <v>55</v>
          </cell>
          <cell r="G170">
            <v>1226.9759024979166</v>
          </cell>
          <cell r="H170">
            <v>3.4082663958275461</v>
          </cell>
          <cell r="I170" t="str">
            <v>GRAMO</v>
          </cell>
        </row>
        <row r="171">
          <cell r="A171" t="str">
            <v>20500014</v>
          </cell>
          <cell r="B171" t="str">
            <v>ROSQUETE TRES LECHES 6 PORC.</v>
          </cell>
          <cell r="C171" t="str">
            <v>UND</v>
          </cell>
          <cell r="D171">
            <v>366.56552165011192</v>
          </cell>
          <cell r="E171">
            <v>286.22838846861146</v>
          </cell>
          <cell r="F171">
            <v>220.02837437846998</v>
          </cell>
          <cell r="G171">
            <v>1154.1471684728745</v>
          </cell>
          <cell r="H171">
            <v>192.35786141214575</v>
          </cell>
          <cell r="I171" t="str">
            <v>PORCION</v>
          </cell>
        </row>
        <row r="172">
          <cell r="A172" t="str">
            <v>20500012</v>
          </cell>
          <cell r="B172" t="str">
            <v xml:space="preserve">MEZCLA TRES LECHES </v>
          </cell>
          <cell r="C172" t="str">
            <v>BOLSA</v>
          </cell>
          <cell r="D172">
            <v>1836.4814162688001</v>
          </cell>
          <cell r="E172">
            <v>13.949532222222222</v>
          </cell>
          <cell r="F172">
            <v>66.616</v>
          </cell>
          <cell r="G172">
            <v>2540.4110260934112</v>
          </cell>
          <cell r="H172">
            <v>2.1170091884111759</v>
          </cell>
          <cell r="I172" t="str">
            <v>GRAMO</v>
          </cell>
        </row>
        <row r="173">
          <cell r="A173" t="str">
            <v>20100003</v>
          </cell>
          <cell r="B173" t="str">
            <v>ADEREZO CULANTRO 240G</v>
          </cell>
          <cell r="C173" t="str">
            <v>BOLSA</v>
          </cell>
          <cell r="D173">
            <v>453.40574728730599</v>
          </cell>
          <cell r="E173">
            <v>4.9716443906871284</v>
          </cell>
          <cell r="F173">
            <v>61.81984989507886</v>
          </cell>
          <cell r="G173">
            <v>688.77508283043073</v>
          </cell>
          <cell r="H173">
            <v>2.8698961784601282</v>
          </cell>
          <cell r="I173" t="str">
            <v>GRAMO</v>
          </cell>
        </row>
        <row r="174">
          <cell r="A174" t="str">
            <v>20100106</v>
          </cell>
          <cell r="B174" t="str">
            <v>MAYONESA SPOON (BOLSA=1000g)</v>
          </cell>
          <cell r="C174" t="str">
            <v>BOLSA</v>
          </cell>
          <cell r="D174">
            <v>1032.5910852889317</v>
          </cell>
          <cell r="E174">
            <v>12.218030895402272</v>
          </cell>
          <cell r="F174">
            <v>114.96073918635348</v>
          </cell>
          <cell r="G174">
            <v>1535.9110548239469</v>
          </cell>
          <cell r="H174">
            <v>1.535911054823947</v>
          </cell>
          <cell r="I174" t="str">
            <v>GRAMO</v>
          </cell>
        </row>
        <row r="175">
          <cell r="A175" t="str">
            <v>20100077</v>
          </cell>
          <cell r="B175" t="str">
            <v xml:space="preserve">TARTA DE ALMENDRA (CAJA 4 UND) </v>
          </cell>
          <cell r="C175" t="str">
            <v>CAJA</v>
          </cell>
          <cell r="D175">
            <v>892.46065528012855</v>
          </cell>
          <cell r="E175">
            <v>102.04903910122718</v>
          </cell>
          <cell r="F175">
            <v>384.7968540676892</v>
          </cell>
          <cell r="G175">
            <v>1823.3927845781266</v>
          </cell>
          <cell r="H175">
            <v>455.84819614453164</v>
          </cell>
          <cell r="I175" t="str">
            <v>UND</v>
          </cell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</row>
      </sheetData>
      <sheetData sheetId="5">
        <row r="2">
          <cell r="A2" t="str">
            <v>42069</v>
          </cell>
          <cell r="B2" t="str">
            <v>TACOS DE POLLO 20 PQT</v>
          </cell>
          <cell r="C2" t="str">
            <v>UND</v>
          </cell>
          <cell r="D2">
            <v>219.45000000000002</v>
          </cell>
          <cell r="E2" t="str">
            <v>UND</v>
          </cell>
          <cell r="F2">
            <v>219.45000000000002</v>
          </cell>
        </row>
        <row r="3">
          <cell r="A3" t="str">
            <v>0101013</v>
          </cell>
          <cell r="B3" t="str">
            <v>PAPITA RAYADA (PAQ=1.5 KILOS)</v>
          </cell>
          <cell r="C3" t="str">
            <v>KILO</v>
          </cell>
          <cell r="D3">
            <v>11440.000000000002</v>
          </cell>
          <cell r="E3" t="str">
            <v>GRAMO</v>
          </cell>
          <cell r="F3">
            <v>11.440000000000001</v>
          </cell>
        </row>
        <row r="4">
          <cell r="A4" t="str">
            <v>0101015</v>
          </cell>
          <cell r="B4" t="str">
            <v>ARVEJA CHINA (PAQ=200g)</v>
          </cell>
          <cell r="C4" t="str">
            <v>KILO</v>
          </cell>
          <cell r="D4" t="e">
            <v>#N/A</v>
          </cell>
          <cell r="E4" t="str">
            <v>GRAMO</v>
          </cell>
          <cell r="F4" t="e">
            <v>#N/A</v>
          </cell>
        </row>
        <row r="5">
          <cell r="A5" t="str">
            <v>0101019</v>
          </cell>
          <cell r="B5" t="str">
            <v>ZANAHORIA TIRAS (PAQ=500g)</v>
          </cell>
          <cell r="C5" t="str">
            <v>KILO</v>
          </cell>
          <cell r="D5">
            <v>941.6</v>
          </cell>
          <cell r="E5" t="str">
            <v>GRAMO</v>
          </cell>
          <cell r="F5">
            <v>0.94159999999999999</v>
          </cell>
        </row>
        <row r="6">
          <cell r="A6" t="str">
            <v>0101023</v>
          </cell>
          <cell r="B6" t="str">
            <v>REMOLACHA TIRAS (PAQ=500g)</v>
          </cell>
          <cell r="C6" t="str">
            <v>KILO</v>
          </cell>
          <cell r="D6">
            <v>1199</v>
          </cell>
          <cell r="E6" t="str">
            <v>GRAMO</v>
          </cell>
          <cell r="F6">
            <v>1.1990000000000001</v>
          </cell>
        </row>
        <row r="7">
          <cell r="A7" t="str">
            <v>0101031</v>
          </cell>
          <cell r="B7" t="str">
            <v>LECHUGA ROMANA PICADA (PAQ=200g)</v>
          </cell>
          <cell r="C7" t="str">
            <v>PAQ</v>
          </cell>
          <cell r="D7">
            <v>434.50000000000006</v>
          </cell>
          <cell r="E7" t="str">
            <v>GRAMO</v>
          </cell>
          <cell r="F7">
            <v>2.1725000000000003</v>
          </cell>
        </row>
        <row r="8">
          <cell r="A8" t="str">
            <v>0101040</v>
          </cell>
          <cell r="B8" t="str">
            <v>CEBOLLA EN TRENZA</v>
          </cell>
          <cell r="C8" t="str">
            <v>KILO</v>
          </cell>
          <cell r="D8">
            <v>1822.7</v>
          </cell>
          <cell r="E8" t="str">
            <v>GRAMO</v>
          </cell>
          <cell r="F8">
            <v>1.8227</v>
          </cell>
        </row>
        <row r="9">
          <cell r="A9" t="str">
            <v>0101042</v>
          </cell>
          <cell r="B9" t="str">
            <v>CEBOLLA MORADA JULIANA ( KILO )</v>
          </cell>
          <cell r="C9" t="str">
            <v>KILO</v>
          </cell>
          <cell r="D9">
            <v>2420</v>
          </cell>
          <cell r="E9" t="str">
            <v>GRAMO</v>
          </cell>
          <cell r="F9">
            <v>2.42</v>
          </cell>
        </row>
        <row r="10">
          <cell r="A10" t="str">
            <v>0101055</v>
          </cell>
          <cell r="B10" t="str">
            <v>CHILE DULCE (KILO)</v>
          </cell>
          <cell r="C10" t="str">
            <v>KILO</v>
          </cell>
          <cell r="D10">
            <v>1554.6696000000002</v>
          </cell>
          <cell r="E10" t="str">
            <v>GRAMO</v>
          </cell>
          <cell r="F10">
            <v>1.5546696000000002</v>
          </cell>
        </row>
        <row r="11">
          <cell r="A11" t="str">
            <v>0101072</v>
          </cell>
          <cell r="B11" t="str">
            <v>CULANTRO DESINFECTADO (UND=100g)</v>
          </cell>
          <cell r="C11" t="str">
            <v>UND</v>
          </cell>
          <cell r="D11">
            <v>550</v>
          </cell>
          <cell r="E11" t="str">
            <v>GRAMO</v>
          </cell>
          <cell r="F11">
            <v>5.5</v>
          </cell>
        </row>
        <row r="12">
          <cell r="A12" t="str">
            <v>0101080</v>
          </cell>
          <cell r="B12" t="str">
            <v>FRESAS ENTERA (BURBUJA=300 GRAMOS)</v>
          </cell>
          <cell r="C12" t="str">
            <v>KILO</v>
          </cell>
          <cell r="D12">
            <v>3116.6663000000003</v>
          </cell>
          <cell r="E12" t="str">
            <v>GRAMO</v>
          </cell>
          <cell r="F12">
            <v>3.1166663000000003</v>
          </cell>
        </row>
        <row r="13">
          <cell r="A13" t="str">
            <v>0101085</v>
          </cell>
          <cell r="B13" t="str">
            <v>BANANO UNI</v>
          </cell>
          <cell r="C13" t="str">
            <v>UND</v>
          </cell>
          <cell r="D13">
            <v>93.500000000000014</v>
          </cell>
          <cell r="E13" t="str">
            <v>UND</v>
          </cell>
          <cell r="F13">
            <v>93.500000000000014</v>
          </cell>
        </row>
        <row r="14">
          <cell r="A14" t="str">
            <v>0101086</v>
          </cell>
          <cell r="B14" t="str">
            <v>ELOTE MINI (BANDEJA=200g)</v>
          </cell>
          <cell r="C14" t="str">
            <v>KILO</v>
          </cell>
          <cell r="D14" t="e">
            <v>#N/A</v>
          </cell>
          <cell r="E14" t="str">
            <v>GRAMO</v>
          </cell>
          <cell r="F14" t="e">
            <v>#N/A</v>
          </cell>
        </row>
        <row r="15">
          <cell r="A15" t="str">
            <v>0101111</v>
          </cell>
          <cell r="B15" t="str">
            <v>ALBAHACA BOLSA 100 GR</v>
          </cell>
          <cell r="C15" t="str">
            <v>KILO</v>
          </cell>
          <cell r="D15" t="e">
            <v>#N/A</v>
          </cell>
          <cell r="E15" t="str">
            <v>GRAMO</v>
          </cell>
          <cell r="F15" t="e">
            <v>#N/A</v>
          </cell>
        </row>
        <row r="16">
          <cell r="A16" t="str">
            <v>0101125</v>
          </cell>
          <cell r="B16" t="str">
            <v>LECHUGA AMERICANA ENTERA ( PAQ 500g )</v>
          </cell>
          <cell r="C16" t="str">
            <v>KILO</v>
          </cell>
          <cell r="D16">
            <v>2145</v>
          </cell>
          <cell r="E16" t="str">
            <v>GRAMO</v>
          </cell>
          <cell r="F16">
            <v>2.145</v>
          </cell>
        </row>
        <row r="17">
          <cell r="A17" t="str">
            <v>0101128</v>
          </cell>
          <cell r="B17" t="str">
            <v>VAINICA BABY (PAQ=200g)</v>
          </cell>
          <cell r="C17" t="str">
            <v>KILO</v>
          </cell>
          <cell r="D17" t="e">
            <v>#N/A</v>
          </cell>
          <cell r="E17" t="str">
            <v>GRAMO</v>
          </cell>
          <cell r="F17" t="e">
            <v>#N/A</v>
          </cell>
        </row>
        <row r="18">
          <cell r="A18" t="str">
            <v>0101130</v>
          </cell>
          <cell r="B18" t="str">
            <v>LIMONES MAYA 10 UNID</v>
          </cell>
          <cell r="C18" t="str">
            <v>UND</v>
          </cell>
          <cell r="D18">
            <v>197.64359999999999</v>
          </cell>
          <cell r="E18" t="str">
            <v>UND</v>
          </cell>
          <cell r="F18">
            <v>197.64359999999999</v>
          </cell>
        </row>
        <row r="19">
          <cell r="A19" t="str">
            <v>0101133</v>
          </cell>
          <cell r="B19" t="str">
            <v>LECHUGA MIX ( .500 KG )</v>
          </cell>
          <cell r="C19" t="str">
            <v>KILO</v>
          </cell>
          <cell r="D19">
            <v>2461.3292000000001</v>
          </cell>
          <cell r="E19" t="str">
            <v>GRAMO</v>
          </cell>
          <cell r="F19">
            <v>2.4613292000000002</v>
          </cell>
        </row>
        <row r="20">
          <cell r="A20" t="str">
            <v>0101136</v>
          </cell>
          <cell r="B20" t="str">
            <v>ENSALADA DE FRUTAS (BURBUJA=180g)</v>
          </cell>
          <cell r="C20" t="str">
            <v>BURBU</v>
          </cell>
          <cell r="D20">
            <v>506.00000000000006</v>
          </cell>
          <cell r="E20" t="str">
            <v>BURBUJA</v>
          </cell>
          <cell r="F20">
            <v>506.00000000000006</v>
          </cell>
        </row>
        <row r="21">
          <cell r="A21" t="str">
            <v>0101170</v>
          </cell>
          <cell r="B21" t="str">
            <v>PAPAS FREIR (PAQ= 2.5 Kg)</v>
          </cell>
          <cell r="C21" t="str">
            <v>KILO</v>
          </cell>
          <cell r="D21">
            <v>987.97799999999995</v>
          </cell>
          <cell r="E21" t="str">
            <v>GRAMO</v>
          </cell>
          <cell r="F21">
            <v>0.98797799999999991</v>
          </cell>
        </row>
        <row r="22">
          <cell r="A22" t="str">
            <v>0101175</v>
          </cell>
          <cell r="B22" t="str">
            <v>PEPINO ENTERO</v>
          </cell>
          <cell r="C22" t="str">
            <v>KILO</v>
          </cell>
          <cell r="D22">
            <v>660</v>
          </cell>
          <cell r="E22" t="str">
            <v>GRAMO</v>
          </cell>
          <cell r="F22">
            <v>0.66</v>
          </cell>
        </row>
        <row r="23">
          <cell r="A23" t="str">
            <v>0101180</v>
          </cell>
          <cell r="B23" t="str">
            <v>PEREJIL ( 32 gr )</v>
          </cell>
          <cell r="C23" t="str">
            <v>KILO</v>
          </cell>
          <cell r="D23" t="e">
            <v>#N/A</v>
          </cell>
          <cell r="E23" t="str">
            <v>GRAMO</v>
          </cell>
          <cell r="F23" t="e">
            <v>#N/A</v>
          </cell>
        </row>
        <row r="24">
          <cell r="A24" t="str">
            <v>0101195</v>
          </cell>
          <cell r="B24" t="str">
            <v>RABANO ( 5 UND )</v>
          </cell>
          <cell r="C24" t="str">
            <v>KILO</v>
          </cell>
          <cell r="D24">
            <v>1826.3663000000001</v>
          </cell>
          <cell r="E24" t="str">
            <v>GRAMO</v>
          </cell>
          <cell r="F24">
            <v>1.8263663000000001</v>
          </cell>
        </row>
        <row r="25">
          <cell r="A25" t="str">
            <v>0101201</v>
          </cell>
          <cell r="B25" t="str">
            <v>REPOLLO MORADO RALLADO PAQ 250 GRS</v>
          </cell>
          <cell r="C25" t="str">
            <v>KILO</v>
          </cell>
          <cell r="D25">
            <v>1780.2037</v>
          </cell>
          <cell r="E25" t="str">
            <v>GRAMO</v>
          </cell>
          <cell r="F25">
            <v>1.7802036999999999</v>
          </cell>
        </row>
        <row r="26">
          <cell r="A26" t="str">
            <v>0101204</v>
          </cell>
          <cell r="B26" t="str">
            <v>HIERBA BUENA (100G)</v>
          </cell>
          <cell r="C26" t="str">
            <v>KILO</v>
          </cell>
          <cell r="D26" t="e">
            <v>#N/A</v>
          </cell>
          <cell r="E26" t="str">
            <v>GRAMO</v>
          </cell>
          <cell r="F26" t="e">
            <v>#N/A</v>
          </cell>
        </row>
        <row r="27">
          <cell r="A27" t="str">
            <v>0101210</v>
          </cell>
          <cell r="B27" t="str">
            <v>TOMATE (KILO)</v>
          </cell>
          <cell r="C27" t="str">
            <v>KILO</v>
          </cell>
          <cell r="D27">
            <v>748.00000000000011</v>
          </cell>
          <cell r="E27" t="str">
            <v>GRAMO</v>
          </cell>
          <cell r="F27">
            <v>0.74800000000000011</v>
          </cell>
        </row>
        <row r="28">
          <cell r="A28" t="str">
            <v>0101220</v>
          </cell>
          <cell r="B28" t="str">
            <v>TOMATE CHERRY (PAQ=200g)</v>
          </cell>
          <cell r="C28" t="str">
            <v>KILO</v>
          </cell>
          <cell r="D28" t="e">
            <v>#N/A</v>
          </cell>
          <cell r="E28" t="str">
            <v>GRAMO</v>
          </cell>
          <cell r="F28" t="e">
            <v>#N/A</v>
          </cell>
        </row>
        <row r="29">
          <cell r="A29" t="str">
            <v>0101235</v>
          </cell>
          <cell r="B29" t="str">
            <v>ZANAHORIA RALLADA PAQ 1/2 KG</v>
          </cell>
          <cell r="C29" t="str">
            <v>KILO</v>
          </cell>
          <cell r="D29">
            <v>1320</v>
          </cell>
          <cell r="E29" t="str">
            <v>GRAMO</v>
          </cell>
          <cell r="F29">
            <v>1.32</v>
          </cell>
        </row>
        <row r="30">
          <cell r="A30" t="str">
            <v>0101236</v>
          </cell>
          <cell r="B30" t="str">
            <v>ZANAHORIA FAJITAS ( PAQ=500g )</v>
          </cell>
          <cell r="C30" t="str">
            <v>KILO</v>
          </cell>
          <cell r="D30">
            <v>1974.5000000000002</v>
          </cell>
          <cell r="E30" t="str">
            <v>GRAMO</v>
          </cell>
          <cell r="F30">
            <v>1.9745000000000001</v>
          </cell>
        </row>
        <row r="31">
          <cell r="A31" t="str">
            <v>0101245</v>
          </cell>
          <cell r="B31" t="str">
            <v>ZUQUINI MINI (PAQ=200g)</v>
          </cell>
          <cell r="C31" t="str">
            <v>KILO</v>
          </cell>
          <cell r="D31">
            <v>2200</v>
          </cell>
          <cell r="E31" t="str">
            <v>GRAMO</v>
          </cell>
          <cell r="F31">
            <v>2.2000000000000002</v>
          </cell>
        </row>
        <row r="32">
          <cell r="A32" t="str">
            <v>0101267</v>
          </cell>
          <cell r="B32" t="str">
            <v>AGUACATE ( 5 UND= KILO)</v>
          </cell>
          <cell r="C32" t="str">
            <v>KILO</v>
          </cell>
          <cell r="D32">
            <v>3803.1367</v>
          </cell>
          <cell r="E32" t="str">
            <v>UND</v>
          </cell>
          <cell r="F32">
            <v>806.26498040000001</v>
          </cell>
        </row>
        <row r="33">
          <cell r="A33" t="str">
            <v>0110048</v>
          </cell>
          <cell r="B33" t="str">
            <v>CARAMBOLA (KILO)</v>
          </cell>
          <cell r="C33" t="str">
            <v>KILO</v>
          </cell>
          <cell r="D33">
            <v>990.00000000000011</v>
          </cell>
          <cell r="E33" t="str">
            <v>GRAMO</v>
          </cell>
          <cell r="F33">
            <v>0.9900000000000001</v>
          </cell>
        </row>
        <row r="34">
          <cell r="A34" t="str">
            <v>0110049</v>
          </cell>
          <cell r="B34" t="str">
            <v>MANGO MADURO (PAQ=1/2 KILO)</v>
          </cell>
          <cell r="C34" t="str">
            <v>KILO</v>
          </cell>
          <cell r="D34">
            <v>3300.0000000000005</v>
          </cell>
          <cell r="E34" t="str">
            <v>GRAMO</v>
          </cell>
          <cell r="F34">
            <v>3.3000000000000003</v>
          </cell>
        </row>
        <row r="35">
          <cell r="A35" t="str">
            <v>0110071</v>
          </cell>
          <cell r="B35" t="str">
            <v>ARANDANOS CONGELADOS (PAQ=2.26 Kg)</v>
          </cell>
          <cell r="C35" t="str">
            <v>KILO</v>
          </cell>
          <cell r="D35">
            <v>3891.91</v>
          </cell>
          <cell r="E35" t="str">
            <v>GRAMO</v>
          </cell>
          <cell r="F35">
            <v>3.8919099999999998</v>
          </cell>
        </row>
        <row r="36">
          <cell r="A36" t="str">
            <v>0110080</v>
          </cell>
          <cell r="B36" t="str">
            <v>CEBOLLA MORADA KG</v>
          </cell>
          <cell r="C36" t="str">
            <v>KILO</v>
          </cell>
          <cell r="D36">
            <v>1650.0000000000002</v>
          </cell>
          <cell r="E36" t="str">
            <v>GRAMO</v>
          </cell>
          <cell r="F36">
            <v>1.6500000000000001</v>
          </cell>
        </row>
        <row r="37">
          <cell r="A37" t="str">
            <v>0210047</v>
          </cell>
          <cell r="B37" t="str">
            <v>CHICHARON (450g)</v>
          </cell>
          <cell r="C37" t="str">
            <v>KILO</v>
          </cell>
          <cell r="D37">
            <v>6528.5132000000003</v>
          </cell>
          <cell r="E37" t="str">
            <v>GRAMO</v>
          </cell>
          <cell r="F37">
            <v>6.5285131999999999</v>
          </cell>
        </row>
        <row r="38">
          <cell r="A38" t="str">
            <v>0210059</v>
          </cell>
          <cell r="B38" t="str">
            <v>CAMARON EMPANIZADO 71/90 (KILO)</v>
          </cell>
          <cell r="C38" t="str">
            <v>KILO</v>
          </cell>
          <cell r="D38">
            <v>6861.4</v>
          </cell>
          <cell r="E38" t="str">
            <v>GRAMO</v>
          </cell>
          <cell r="F38">
            <v>6.8613999999999997</v>
          </cell>
        </row>
        <row r="39">
          <cell r="A39" t="str">
            <v>0210063</v>
          </cell>
          <cell r="B39" t="str">
            <v>ROAST BEEF (PAQ=1 KILO )</v>
          </cell>
          <cell r="C39" t="str">
            <v>KILO</v>
          </cell>
          <cell r="D39">
            <v>6057.7099000000007</v>
          </cell>
          <cell r="E39" t="str">
            <v>GRAMO</v>
          </cell>
          <cell r="F39">
            <v>6.0577099000000008</v>
          </cell>
        </row>
        <row r="40">
          <cell r="A40" t="str">
            <v>0210064</v>
          </cell>
          <cell r="B40" t="str">
            <v>SALMON EN MEDALLON ( KILO)</v>
          </cell>
          <cell r="C40" t="str">
            <v>KILO</v>
          </cell>
          <cell r="D40">
            <v>8745.1320000000014</v>
          </cell>
          <cell r="E40" t="str">
            <v>GRAMO</v>
          </cell>
          <cell r="F40">
            <v>8.7451320000000017</v>
          </cell>
        </row>
        <row r="41">
          <cell r="A41" t="str">
            <v>0210073</v>
          </cell>
          <cell r="B41" t="str">
            <v>JAMON DE COCIDO  (500G)</v>
          </cell>
          <cell r="C41" t="str">
            <v>KILO</v>
          </cell>
          <cell r="D41">
            <v>4517.7528000000002</v>
          </cell>
          <cell r="E41" t="str">
            <v>GRAMO</v>
          </cell>
          <cell r="F41">
            <v>4.5177528000000002</v>
          </cell>
        </row>
        <row r="42">
          <cell r="A42" t="str">
            <v>0210091</v>
          </cell>
          <cell r="B42" t="str">
            <v>TOCINETA(PAQ=1 KILO)</v>
          </cell>
          <cell r="C42" t="str">
            <v>KILO</v>
          </cell>
          <cell r="D42">
            <v>5490.1</v>
          </cell>
          <cell r="E42" t="str">
            <v>GRAMO</v>
          </cell>
          <cell r="F42">
            <v>5.4901</v>
          </cell>
        </row>
        <row r="43">
          <cell r="A43" t="str">
            <v>210444</v>
          </cell>
          <cell r="B43" t="str">
            <v>FILET DE TILAPIA ( 5-7 oz. p/Kg)</v>
          </cell>
          <cell r="C43" t="str">
            <v>KILO</v>
          </cell>
          <cell r="D43">
            <v>2759.0619999999999</v>
          </cell>
          <cell r="E43" t="str">
            <v>GRAMO</v>
          </cell>
          <cell r="F43">
            <v>2.7590619999999997</v>
          </cell>
        </row>
        <row r="44">
          <cell r="A44" t="str">
            <v>210891</v>
          </cell>
          <cell r="B44" t="str">
            <v>LOMO FAJITAS (PAQ= 400g)</v>
          </cell>
          <cell r="C44" t="str">
            <v>PAQ</v>
          </cell>
          <cell r="D44">
            <v>4053.1051000000002</v>
          </cell>
          <cell r="E44" t="str">
            <v>GRAMO</v>
          </cell>
          <cell r="F44">
            <v>10.132762750000001</v>
          </cell>
        </row>
        <row r="45">
          <cell r="A45" t="str">
            <v>0212274</v>
          </cell>
          <cell r="B45" t="str">
            <v>PECHUGA DE PAVO 250 GR</v>
          </cell>
          <cell r="C45" t="str">
            <v>KILO</v>
          </cell>
          <cell r="D45">
            <v>741.95</v>
          </cell>
          <cell r="E45" t="str">
            <v>GRAMO</v>
          </cell>
          <cell r="F45">
            <v>0.74195</v>
          </cell>
        </row>
        <row r="46">
          <cell r="A46" t="str">
            <v>0310088</v>
          </cell>
          <cell r="B46" t="str">
            <v>MANTEQUILLA BLISTER 10g (CAJA=100 UND)</v>
          </cell>
          <cell r="C46" t="str">
            <v>UND</v>
          </cell>
          <cell r="D46">
            <v>80.334100000000007</v>
          </cell>
          <cell r="E46" t="str">
            <v>UND</v>
          </cell>
          <cell r="F46">
            <v>80.334100000000007</v>
          </cell>
        </row>
        <row r="47">
          <cell r="A47" t="str">
            <v>0310104</v>
          </cell>
          <cell r="B47" t="str">
            <v>HELADOS CREAMRICA (1/2 GALON)</v>
          </cell>
          <cell r="C47" t="str">
            <v>UND</v>
          </cell>
          <cell r="D47">
            <v>9680</v>
          </cell>
          <cell r="E47" t="str">
            <v>GRAMO</v>
          </cell>
          <cell r="F47">
            <v>5.1162790697674421</v>
          </cell>
        </row>
        <row r="48">
          <cell r="A48" t="str">
            <v>0310108</v>
          </cell>
          <cell r="B48" t="str">
            <v>LECHE HOMOGENIZADA TB 3.5%  (1  Litro)</v>
          </cell>
          <cell r="C48" t="str">
            <v>LITRO</v>
          </cell>
          <cell r="D48">
            <v>647.96699999999998</v>
          </cell>
          <cell r="E48" t="str">
            <v>MILILITRO</v>
          </cell>
          <cell r="F48">
            <v>0.64796699999999996</v>
          </cell>
        </row>
        <row r="49">
          <cell r="A49" t="str">
            <v>0310109</v>
          </cell>
          <cell r="B49" t="str">
            <v>LECHE DESCREMADA (LITRO)</v>
          </cell>
          <cell r="C49" t="str">
            <v>LITRO</v>
          </cell>
          <cell r="D49">
            <v>768.58299999999997</v>
          </cell>
          <cell r="E49" t="str">
            <v>MILILITRO</v>
          </cell>
          <cell r="F49">
            <v>0.76858300000000002</v>
          </cell>
        </row>
        <row r="50">
          <cell r="A50" t="str">
            <v>0310112</v>
          </cell>
          <cell r="B50" t="str">
            <v>QUESO PRADO RICO REBANADO ( 2.3 KG )</v>
          </cell>
          <cell r="C50" t="str">
            <v>KILO</v>
          </cell>
          <cell r="D50">
            <v>5678.64</v>
          </cell>
          <cell r="E50" t="str">
            <v>GRAMO</v>
          </cell>
          <cell r="F50">
            <v>5.6786400000000006</v>
          </cell>
        </row>
        <row r="51">
          <cell r="A51" t="str">
            <v>0310122</v>
          </cell>
          <cell r="B51" t="str">
            <v>YOGURTH IN LINE NAT ( 500 GR )</v>
          </cell>
          <cell r="C51" t="str">
            <v>KILO</v>
          </cell>
          <cell r="D51">
            <v>1866.454</v>
          </cell>
          <cell r="E51" t="str">
            <v>GRAMO</v>
          </cell>
          <cell r="F51">
            <v>1.8664540000000001</v>
          </cell>
        </row>
        <row r="52">
          <cell r="A52" t="str">
            <v>0310141</v>
          </cell>
          <cell r="B52" t="str">
            <v>QUESO GOUDA (160 gr )</v>
          </cell>
          <cell r="C52" t="str">
            <v>KILO</v>
          </cell>
          <cell r="D52">
            <v>11428.312500000002</v>
          </cell>
          <cell r="E52" t="str">
            <v>GRAMO</v>
          </cell>
          <cell r="F52">
            <v>11.428312500000002</v>
          </cell>
        </row>
        <row r="53">
          <cell r="A53" t="str">
            <v>310205</v>
          </cell>
          <cell r="B53" t="str">
            <v>QUESO FETA (200 GRMS)</v>
          </cell>
          <cell r="C53" t="str">
            <v>KILO</v>
          </cell>
          <cell r="D53">
            <v>14830.695000000002</v>
          </cell>
          <cell r="E53" t="str">
            <v>GRAMO</v>
          </cell>
          <cell r="F53">
            <v>14.830695000000002</v>
          </cell>
        </row>
        <row r="54">
          <cell r="A54" t="str">
            <v>310211</v>
          </cell>
          <cell r="B54" t="str">
            <v>QUESO CHEDDAR RALLADO (225 gr)</v>
          </cell>
          <cell r="C54" t="str">
            <v>KILO</v>
          </cell>
          <cell r="D54">
            <v>9789.5769999999993</v>
          </cell>
          <cell r="E54" t="str">
            <v>GRAMO</v>
          </cell>
          <cell r="F54">
            <v>9.7895769999999995</v>
          </cell>
        </row>
        <row r="55">
          <cell r="A55" t="str">
            <v>310214</v>
          </cell>
          <cell r="B55" t="str">
            <v>QUESO FETA EN CUBOS  KILO</v>
          </cell>
          <cell r="C55" t="str">
            <v>KILO</v>
          </cell>
          <cell r="D55">
            <v>15713.775000000001</v>
          </cell>
          <cell r="E55" t="str">
            <v>GRAMO</v>
          </cell>
          <cell r="F55">
            <v>15.713775000000002</v>
          </cell>
        </row>
        <row r="56">
          <cell r="A56" t="str">
            <v>0312241</v>
          </cell>
          <cell r="B56" t="str">
            <v>MIXTURA (1.8925 LIT)</v>
          </cell>
          <cell r="C56" t="str">
            <v>LITRO</v>
          </cell>
          <cell r="D56">
            <v>1859.9735000000001</v>
          </cell>
          <cell r="E56" t="str">
            <v>MILILITRO</v>
          </cell>
          <cell r="F56">
            <v>1.8599735000000002</v>
          </cell>
        </row>
        <row r="57">
          <cell r="A57" t="str">
            <v>0312250</v>
          </cell>
          <cell r="B57" t="str">
            <v>MEZCLA BEBIDA MARACUYA (946ML)</v>
          </cell>
          <cell r="C57" t="str">
            <v>LITRO</v>
          </cell>
          <cell r="D57">
            <v>3229.4760000000001</v>
          </cell>
          <cell r="E57" t="str">
            <v>MILILITRO</v>
          </cell>
          <cell r="F57">
            <v>3.229476</v>
          </cell>
        </row>
        <row r="58">
          <cell r="A58" t="str">
            <v>0312277</v>
          </cell>
          <cell r="B58" t="str">
            <v>QUESO BOCCONCINI  (500 GR)</v>
          </cell>
          <cell r="C58" t="str">
            <v>KILO</v>
          </cell>
          <cell r="D58">
            <v>8472.2660000000014</v>
          </cell>
          <cell r="E58" t="str">
            <v>GRAMO</v>
          </cell>
          <cell r="F58">
            <v>8.4722660000000012</v>
          </cell>
        </row>
        <row r="59">
          <cell r="A59" t="str">
            <v>0410165</v>
          </cell>
          <cell r="B59" t="str">
            <v>TOPPING GOURM. D/CHOCOLATE ( 1.89 LT )</v>
          </cell>
          <cell r="C59" t="str">
            <v>LITRO</v>
          </cell>
          <cell r="D59">
            <v>5479.4784000000009</v>
          </cell>
          <cell r="E59" t="str">
            <v>MILILITRO</v>
          </cell>
          <cell r="F59">
            <v>5.4794784000000005</v>
          </cell>
        </row>
        <row r="60">
          <cell r="A60" t="str">
            <v>0412306</v>
          </cell>
          <cell r="B60" t="str">
            <v>CREMA PRESTIGE GRAND (4 LITROS)</v>
          </cell>
          <cell r="C60" t="str">
            <v>LITRO</v>
          </cell>
          <cell r="D60">
            <v>1772.1055000000003</v>
          </cell>
          <cell r="E60" t="str">
            <v>MILILITRO</v>
          </cell>
          <cell r="F60">
            <v>1.7721055000000003</v>
          </cell>
        </row>
        <row r="61">
          <cell r="A61" t="str">
            <v>0412312</v>
          </cell>
          <cell r="B61" t="str">
            <v>YUCA CONGELADA (PAQ=1KILO)</v>
          </cell>
          <cell r="C61" t="str">
            <v>KILO</v>
          </cell>
          <cell r="D61">
            <v>1923.7790000000002</v>
          </cell>
          <cell r="E61" t="str">
            <v>GRAMO</v>
          </cell>
          <cell r="F61">
            <v>1.9237790000000001</v>
          </cell>
        </row>
        <row r="62">
          <cell r="A62" t="str">
            <v>0510131</v>
          </cell>
          <cell r="B62" t="str">
            <v>CAFE FRAILES (PAQ=250g)</v>
          </cell>
          <cell r="C62" t="str">
            <v>KILO</v>
          </cell>
          <cell r="D62">
            <v>3960.0000000000005</v>
          </cell>
          <cell r="E62" t="str">
            <v>GRAMO</v>
          </cell>
          <cell r="F62">
            <v>3.9600000000000004</v>
          </cell>
        </row>
        <row r="63">
          <cell r="A63" t="str">
            <v>0510136</v>
          </cell>
          <cell r="B63" t="str">
            <v>CAFE FRAILES GRANO (250g)</v>
          </cell>
          <cell r="C63" t="str">
            <v>KILO</v>
          </cell>
          <cell r="D63">
            <v>3960.0000000000005</v>
          </cell>
          <cell r="E63" t="str">
            <v>GRAMO</v>
          </cell>
          <cell r="F63">
            <v>3.9600000000000004</v>
          </cell>
        </row>
        <row r="64">
          <cell r="A64" t="str">
            <v>0510152</v>
          </cell>
          <cell r="B64" t="str">
            <v>AZUCAR SOBRES PERSO. SPOON (1000 * PAQ)</v>
          </cell>
          <cell r="C64" t="str">
            <v>UND</v>
          </cell>
          <cell r="D64">
            <v>5.62</v>
          </cell>
          <cell r="E64" t="str">
            <v>UND</v>
          </cell>
          <cell r="F64">
            <v>5.62</v>
          </cell>
        </row>
        <row r="65">
          <cell r="A65" t="str">
            <v>0510155</v>
          </cell>
          <cell r="B65" t="str">
            <v>AZUCAR GLASS MOLIDA ( 4 KG )</v>
          </cell>
          <cell r="C65" t="str">
            <v>KILO</v>
          </cell>
          <cell r="D65">
            <v>1429.17</v>
          </cell>
          <cell r="E65" t="str">
            <v>GRAMO</v>
          </cell>
          <cell r="F65">
            <v>1.4291700000000001</v>
          </cell>
        </row>
        <row r="66">
          <cell r="A66" t="str">
            <v>0510158</v>
          </cell>
          <cell r="B66" t="str">
            <v>AZUCAR REFINADA VICTORIA ( 1 KG )</v>
          </cell>
          <cell r="C66" t="str">
            <v>KILO</v>
          </cell>
          <cell r="D66">
            <v>842.59559999999999</v>
          </cell>
          <cell r="E66" t="str">
            <v>GRAMO</v>
          </cell>
          <cell r="F66">
            <v>0.8425956</v>
          </cell>
        </row>
        <row r="67">
          <cell r="A67" t="str">
            <v>0510163</v>
          </cell>
          <cell r="B67" t="str">
            <v>CAFÉ BRITT ( 70 GRS )</v>
          </cell>
          <cell r="C67" t="str">
            <v>KILO</v>
          </cell>
          <cell r="D67">
            <v>7071.4160000000002</v>
          </cell>
          <cell r="E67" t="str">
            <v>GRAMO</v>
          </cell>
          <cell r="F67">
            <v>7.0714160000000001</v>
          </cell>
        </row>
        <row r="68">
          <cell r="A68" t="str">
            <v>0510176</v>
          </cell>
          <cell r="B68" t="str">
            <v>CAFÉ FRAILES SPOON (75 g)</v>
          </cell>
          <cell r="C68" t="str">
            <v>KILO</v>
          </cell>
          <cell r="D68">
            <v>6050.0000000000009</v>
          </cell>
          <cell r="E68" t="str">
            <v>GRAMO</v>
          </cell>
          <cell r="F68">
            <v>6.0500000000000007</v>
          </cell>
        </row>
        <row r="69">
          <cell r="A69" t="str">
            <v>0510178</v>
          </cell>
          <cell r="B69" t="str">
            <v>CAFÉ BRITT EXPRESSO  GRANO (2LB)</v>
          </cell>
          <cell r="C69" t="str">
            <v>KILO</v>
          </cell>
          <cell r="D69">
            <v>7020.7939999999999</v>
          </cell>
          <cell r="E69" t="str">
            <v>GRAMO</v>
          </cell>
          <cell r="F69">
            <v>7.0207939999999995</v>
          </cell>
        </row>
        <row r="70">
          <cell r="A70" t="str">
            <v>0510179</v>
          </cell>
          <cell r="B70" t="str">
            <v>CONFITURA COLORES(PAQ=1 KILO)</v>
          </cell>
          <cell r="C70" t="str">
            <v>KILO</v>
          </cell>
          <cell r="D70">
            <v>3564.0000000000005</v>
          </cell>
          <cell r="E70" t="str">
            <v>GRAMO</v>
          </cell>
          <cell r="F70">
            <v>3.5640000000000005</v>
          </cell>
        </row>
        <row r="71">
          <cell r="A71" t="str">
            <v>0510203</v>
          </cell>
          <cell r="B71" t="str">
            <v>SAL INDIVIDUAL ( 500 UND )</v>
          </cell>
          <cell r="C71" t="str">
            <v>UND</v>
          </cell>
          <cell r="D71">
            <v>5.7779999999999996</v>
          </cell>
          <cell r="E71" t="str">
            <v>UND</v>
          </cell>
          <cell r="F71">
            <v>5.7779999999999996</v>
          </cell>
        </row>
        <row r="72">
          <cell r="A72" t="str">
            <v>0510204</v>
          </cell>
          <cell r="B72" t="str">
            <v>SAL REFINADA ( 500 GRS )</v>
          </cell>
          <cell r="C72" t="str">
            <v>KILO</v>
          </cell>
          <cell r="D72">
            <v>335.43</v>
          </cell>
          <cell r="E72" t="str">
            <v>GRAMO</v>
          </cell>
          <cell r="F72">
            <v>0.33543000000000001</v>
          </cell>
        </row>
        <row r="73">
          <cell r="A73" t="str">
            <v>0510234</v>
          </cell>
          <cell r="B73" t="str">
            <v>AZUCAR ZUCRA (PAQ=1000 UND )</v>
          </cell>
          <cell r="C73" t="str">
            <v>UND</v>
          </cell>
          <cell r="D73">
            <v>8.8715000000000011</v>
          </cell>
          <cell r="E73" t="str">
            <v>UND</v>
          </cell>
          <cell r="F73">
            <v>8.8715000000000011</v>
          </cell>
        </row>
        <row r="74">
          <cell r="A74" t="str">
            <v>0510277</v>
          </cell>
          <cell r="B74" t="str">
            <v>AJONJOLI NEGRO (PAQ=300g)</v>
          </cell>
          <cell r="C74" t="str">
            <v>KILO</v>
          </cell>
          <cell r="D74">
            <v>4970.5337000000009</v>
          </cell>
          <cell r="E74" t="str">
            <v>GRAMO</v>
          </cell>
          <cell r="F74">
            <v>4.9705337000000007</v>
          </cell>
        </row>
        <row r="75">
          <cell r="A75" t="str">
            <v>0510284</v>
          </cell>
          <cell r="B75" t="str">
            <v>PASA NEGRA (PAQ=1 KILO)</v>
          </cell>
          <cell r="C75" t="str">
            <v>KILO</v>
          </cell>
          <cell r="D75">
            <v>2388.5708</v>
          </cell>
          <cell r="E75" t="str">
            <v>GRAMO</v>
          </cell>
          <cell r="F75">
            <v>2.3885708000000001</v>
          </cell>
        </row>
        <row r="76">
          <cell r="A76" t="str">
            <v>0510293</v>
          </cell>
          <cell r="B76" t="str">
            <v>SNACK DE PLATANO (PAQ=180g)</v>
          </cell>
          <cell r="C76" t="str">
            <v>KILO</v>
          </cell>
          <cell r="D76">
            <v>4579.1118999999999</v>
          </cell>
          <cell r="E76" t="str">
            <v>GRAMO</v>
          </cell>
          <cell r="F76">
            <v>4.5791119</v>
          </cell>
        </row>
        <row r="77">
          <cell r="A77" t="str">
            <v>0510299</v>
          </cell>
          <cell r="B77" t="str">
            <v>SACHET CAFE FRAILES 12g (PAQ= 50 UND)</v>
          </cell>
          <cell r="C77" t="str">
            <v>PAQ</v>
          </cell>
          <cell r="D77">
            <v>25850.000000000004</v>
          </cell>
          <cell r="E77" t="str">
            <v>UND</v>
          </cell>
          <cell r="F77">
            <v>517.00000000000011</v>
          </cell>
        </row>
        <row r="78">
          <cell r="A78" t="str">
            <v>510303</v>
          </cell>
          <cell r="B78" t="str">
            <v>AJONJOLI BLANCO (PAQ=200GRM)</v>
          </cell>
          <cell r="C78" t="str">
            <v>KILO</v>
          </cell>
          <cell r="D78">
            <v>3707.4895000000006</v>
          </cell>
          <cell r="E78" t="str">
            <v>GRAMO</v>
          </cell>
          <cell r="F78">
            <v>3.7074895000000008</v>
          </cell>
        </row>
        <row r="79">
          <cell r="A79" t="str">
            <v>510304</v>
          </cell>
          <cell r="B79" t="str">
            <v>SNACK YUCA SOLDANZA (PAQ=135g)</v>
          </cell>
          <cell r="C79" t="str">
            <v>KILO</v>
          </cell>
          <cell r="D79">
            <v>4852.2221</v>
          </cell>
          <cell r="E79" t="str">
            <v>GRAMO</v>
          </cell>
          <cell r="F79">
            <v>4.8522220999999996</v>
          </cell>
        </row>
        <row r="80">
          <cell r="A80" t="str">
            <v>510400</v>
          </cell>
          <cell r="B80" t="str">
            <v>CANASTA PLATANO VERDE (PAQ= 10 UND)</v>
          </cell>
          <cell r="C80" t="str">
            <v>PAQ</v>
          </cell>
          <cell r="D80">
            <v>2640</v>
          </cell>
          <cell r="E80" t="str">
            <v>UND</v>
          </cell>
          <cell r="F80">
            <v>264</v>
          </cell>
        </row>
        <row r="81">
          <cell r="A81" t="str">
            <v>510409</v>
          </cell>
          <cell r="B81" t="str">
            <v>PEPPERMINT BARK ( 1K )</v>
          </cell>
          <cell r="C81" t="str">
            <v>KILO</v>
          </cell>
          <cell r="D81">
            <v>8000</v>
          </cell>
          <cell r="E81" t="str">
            <v>GRAMO</v>
          </cell>
          <cell r="F81">
            <v>8</v>
          </cell>
        </row>
        <row r="82">
          <cell r="A82" t="str">
            <v>510411</v>
          </cell>
          <cell r="B82" t="str">
            <v>AZUCAR NEVELLA (CAJA= 2000 UND.)</v>
          </cell>
          <cell r="C82" t="str">
            <v>UND</v>
          </cell>
          <cell r="D82">
            <v>8.6940000000000008</v>
          </cell>
          <cell r="E82" t="str">
            <v>UND</v>
          </cell>
          <cell r="F82">
            <v>8.6940000000000008</v>
          </cell>
        </row>
        <row r="83">
          <cell r="A83" t="str">
            <v>0512308</v>
          </cell>
          <cell r="B83" t="str">
            <v>CAFÉ BRITT DESCAFEINADO (BOLSA=340 g)</v>
          </cell>
          <cell r="C83" t="str">
            <v>KILO</v>
          </cell>
          <cell r="D83">
            <v>13160.975</v>
          </cell>
          <cell r="E83" t="str">
            <v>GRAMO</v>
          </cell>
          <cell r="F83">
            <v>13.160975000000001</v>
          </cell>
        </row>
        <row r="84">
          <cell r="A84" t="str">
            <v>0512312</v>
          </cell>
          <cell r="B84" t="str">
            <v>OREGANO MAYCA (500G)</v>
          </cell>
          <cell r="C84" t="str">
            <v>GRAMO</v>
          </cell>
          <cell r="D84">
            <v>7.4139999999999997</v>
          </cell>
          <cell r="E84" t="str">
            <v>GRAMO</v>
          </cell>
          <cell r="F84">
            <v>7.4139999999999997</v>
          </cell>
        </row>
        <row r="85">
          <cell r="A85" t="str">
            <v>0512317</v>
          </cell>
          <cell r="B85" t="str">
            <v>CAFE BRITT DESCAFEINADO (PAQ=500g)</v>
          </cell>
          <cell r="C85" t="str">
            <v>KILO</v>
          </cell>
          <cell r="D85">
            <v>16638</v>
          </cell>
          <cell r="E85" t="str">
            <v>GRAMO</v>
          </cell>
          <cell r="F85">
            <v>16.638000000000002</v>
          </cell>
        </row>
        <row r="86">
          <cell r="A86" t="str">
            <v>0610202</v>
          </cell>
          <cell r="B86" t="str">
            <v>PIMIENTA NEGRA MOLIDA REST.511 gr (TONE´S CHEF)</v>
          </cell>
          <cell r="C86" t="str">
            <v>KILO</v>
          </cell>
          <cell r="D86">
            <v>14971.597300000001</v>
          </cell>
          <cell r="E86" t="str">
            <v>GRAMO</v>
          </cell>
          <cell r="F86">
            <v>14.971597300000001</v>
          </cell>
        </row>
        <row r="87">
          <cell r="A87" t="str">
            <v>0610210</v>
          </cell>
          <cell r="B87" t="str">
            <v>AJINOMOTO (KILO)</v>
          </cell>
          <cell r="C87" t="str">
            <v>GRAMO</v>
          </cell>
          <cell r="D87">
            <v>2.0960000000000001</v>
          </cell>
          <cell r="E87" t="str">
            <v>GRAMO</v>
          </cell>
          <cell r="F87">
            <v>2.0960000000000001</v>
          </cell>
        </row>
        <row r="88">
          <cell r="A88" t="str">
            <v>0610214</v>
          </cell>
          <cell r="B88" t="str">
            <v>CANELA EN POLVO KILO</v>
          </cell>
          <cell r="C88" t="str">
            <v>GRAMO</v>
          </cell>
          <cell r="D88">
            <v>3.786</v>
          </cell>
          <cell r="E88" t="str">
            <v>GRAMO</v>
          </cell>
          <cell r="F88">
            <v>3.786</v>
          </cell>
        </row>
        <row r="89">
          <cell r="A89" t="str">
            <v>0610217</v>
          </cell>
          <cell r="B89" t="str">
            <v>ENELDO TONES 155g</v>
          </cell>
          <cell r="C89" t="str">
            <v>KILO</v>
          </cell>
          <cell r="D89">
            <v>53439.716</v>
          </cell>
          <cell r="E89" t="str">
            <v>GRAMO</v>
          </cell>
          <cell r="F89">
            <v>53.439715999999997</v>
          </cell>
        </row>
        <row r="90">
          <cell r="A90" t="str">
            <v>0610258</v>
          </cell>
          <cell r="B90" t="str">
            <v>ADEREZO MAYONESA LIMON SIN GRASA (400g)</v>
          </cell>
          <cell r="C90" t="str">
            <v>KILO</v>
          </cell>
          <cell r="D90">
            <v>2697.7302</v>
          </cell>
          <cell r="E90" t="str">
            <v>GRAMO</v>
          </cell>
          <cell r="F90">
            <v>2.6977302000000001</v>
          </cell>
        </row>
        <row r="91">
          <cell r="A91" t="str">
            <v>0610261</v>
          </cell>
          <cell r="B91" t="str">
            <v>SEMILLA AMAPOLA (567 G)</v>
          </cell>
          <cell r="C91" t="str">
            <v>KILO</v>
          </cell>
          <cell r="D91">
            <v>6950.9660000000013</v>
          </cell>
          <cell r="E91" t="str">
            <v>GRAMO</v>
          </cell>
          <cell r="F91">
            <v>6.9509660000000011</v>
          </cell>
        </row>
        <row r="92">
          <cell r="A92" t="str">
            <v>0610265</v>
          </cell>
          <cell r="B92" t="str">
            <v>CANELA MOLIDA TONE´S CHEF (511g)</v>
          </cell>
          <cell r="C92" t="str">
            <v>KILO</v>
          </cell>
          <cell r="D92">
            <v>10388.236100000002</v>
          </cell>
          <cell r="E92" t="str">
            <v>GRAMO</v>
          </cell>
          <cell r="F92">
            <v>10.388236100000002</v>
          </cell>
        </row>
        <row r="93">
          <cell r="A93" t="str">
            <v>0710235</v>
          </cell>
          <cell r="B93" t="str">
            <v>PAN CUADRADO JUMBO (PAQ)</v>
          </cell>
          <cell r="C93" t="str">
            <v>PAQ</v>
          </cell>
          <cell r="D93">
            <v>1359.4349999999999</v>
          </cell>
          <cell r="E93" t="str">
            <v>REBANADA</v>
          </cell>
          <cell r="F93"/>
        </row>
        <row r="94">
          <cell r="A94" t="str">
            <v>0710237</v>
          </cell>
          <cell r="B94" t="str">
            <v>PAN PROVENZAL (BOLSA=10 UND)</v>
          </cell>
          <cell r="C94" t="str">
            <v>UND</v>
          </cell>
          <cell r="D94">
            <v>203.50000000000003</v>
          </cell>
          <cell r="E94" t="str">
            <v>UND</v>
          </cell>
          <cell r="F94">
            <v>203.50000000000003</v>
          </cell>
        </row>
        <row r="95">
          <cell r="A95" t="str">
            <v>0710238</v>
          </cell>
          <cell r="B95" t="str">
            <v>PAN CIABATTA PEQUEÑO (PAQ=10 UND)</v>
          </cell>
          <cell r="C95" t="str">
            <v>UND</v>
          </cell>
          <cell r="D95">
            <v>187.00000000000003</v>
          </cell>
          <cell r="E95" t="str">
            <v>UND</v>
          </cell>
          <cell r="F95">
            <v>187.00000000000003</v>
          </cell>
        </row>
        <row r="96">
          <cell r="A96" t="str">
            <v>0710240</v>
          </cell>
          <cell r="B96" t="str">
            <v>PAN MOLIDO EMPANIZADOR (250g)</v>
          </cell>
          <cell r="C96" t="str">
            <v>KILO</v>
          </cell>
          <cell r="D96">
            <v>1343.76</v>
          </cell>
          <cell r="E96" t="str">
            <v>GRAMO</v>
          </cell>
          <cell r="F96">
            <v>1.3437600000000001</v>
          </cell>
        </row>
        <row r="97">
          <cell r="A97" t="str">
            <v>0710250</v>
          </cell>
          <cell r="B97" t="str">
            <v>PAN MINI BAGUET ( 5 UND )</v>
          </cell>
          <cell r="C97" t="str">
            <v>UND</v>
          </cell>
          <cell r="D97">
            <v>203.50000000000003</v>
          </cell>
          <cell r="E97" t="str">
            <v>UND</v>
          </cell>
          <cell r="F97">
            <v>203.50000000000003</v>
          </cell>
        </row>
        <row r="98">
          <cell r="A98" t="str">
            <v>0710260</v>
          </cell>
          <cell r="B98" t="str">
            <v>PAN CUADRADO INTEGRAL (PAQ=22 REBANADAS )</v>
          </cell>
          <cell r="C98" t="str">
            <v>PAQ</v>
          </cell>
          <cell r="D98">
            <v>1430.0000000000002</v>
          </cell>
          <cell r="E98" t="str">
            <v>REBANADA</v>
          </cell>
          <cell r="F98">
            <v>65.000000000000014</v>
          </cell>
        </row>
        <row r="99">
          <cell r="A99" t="str">
            <v>0710261</v>
          </cell>
          <cell r="B99" t="str">
            <v>PAN CUADRADO BLANCO (PAQ=22 REBANADAS )</v>
          </cell>
          <cell r="C99" t="str">
            <v>PAQ</v>
          </cell>
          <cell r="D99">
            <v>1100.0011</v>
          </cell>
          <cell r="E99" t="str">
            <v>REBANADA</v>
          </cell>
          <cell r="F99">
            <v>50.000049999999995</v>
          </cell>
        </row>
        <row r="100">
          <cell r="A100" t="str">
            <v>0710263</v>
          </cell>
          <cell r="B100" t="str">
            <v>PAN ARABE BLANCO (PAQ=5 UND )</v>
          </cell>
          <cell r="C100" t="str">
            <v>UND</v>
          </cell>
          <cell r="D100">
            <v>206.99800000000002</v>
          </cell>
          <cell r="E100" t="str">
            <v>UND</v>
          </cell>
          <cell r="F100">
            <v>206.99800000000002</v>
          </cell>
        </row>
        <row r="101">
          <cell r="A101" t="str">
            <v>0710266</v>
          </cell>
          <cell r="B101" t="str">
            <v>TORTILLAS FOGON (PAQ=20 UND)</v>
          </cell>
          <cell r="C101" t="str">
            <v>UND</v>
          </cell>
          <cell r="D101">
            <v>33.44</v>
          </cell>
          <cell r="E101" t="str">
            <v>UND</v>
          </cell>
          <cell r="F101">
            <v>33.44</v>
          </cell>
        </row>
        <row r="102">
          <cell r="A102" t="str">
            <v>0710273</v>
          </cell>
          <cell r="B102" t="str">
            <v>PAN ARABE INTEGRAL (5 UND X PAQ)</v>
          </cell>
          <cell r="C102" t="str">
            <v>UND</v>
          </cell>
          <cell r="D102">
            <v>207.19380000000001</v>
          </cell>
          <cell r="E102" t="str">
            <v>UND</v>
          </cell>
          <cell r="F102">
            <v>207.19380000000001</v>
          </cell>
        </row>
        <row r="103">
          <cell r="A103" t="str">
            <v>0710286</v>
          </cell>
          <cell r="B103" t="str">
            <v>PAN CENA (PAQ= 5 UND)</v>
          </cell>
          <cell r="C103" t="str">
            <v>UND</v>
          </cell>
          <cell r="D103">
            <v>92.4</v>
          </cell>
          <cell r="E103" t="str">
            <v>UND</v>
          </cell>
          <cell r="F103">
            <v>92.4</v>
          </cell>
        </row>
        <row r="104">
          <cell r="A104" t="str">
            <v>0710289</v>
          </cell>
          <cell r="B104" t="str">
            <v>PAN ARABE MEDIANO (PAQ = 8 UND)</v>
          </cell>
          <cell r="C104" t="str">
            <v>UND</v>
          </cell>
          <cell r="D104">
            <v>133.375</v>
          </cell>
          <cell r="E104" t="str">
            <v>UND</v>
          </cell>
          <cell r="F104">
            <v>133.375</v>
          </cell>
        </row>
        <row r="105">
          <cell r="A105" t="str">
            <v>0710290</v>
          </cell>
          <cell r="B105" t="str">
            <v>PAPEL DE ARROZ (PAQ=36 UND)</v>
          </cell>
          <cell r="C105" t="str">
            <v>PAQ</v>
          </cell>
          <cell r="D105">
            <v>1486.7765000000002</v>
          </cell>
          <cell r="E105" t="str">
            <v>UND</v>
          </cell>
          <cell r="F105">
            <v>41.299347222222224</v>
          </cell>
        </row>
        <row r="106">
          <cell r="A106" t="str">
            <v>0710297</v>
          </cell>
          <cell r="B106" t="str">
            <v>PAN CIABATTA GRANDE (UND)</v>
          </cell>
          <cell r="C106" t="str">
            <v>UND</v>
          </cell>
          <cell r="D106">
            <v>203.50000000000003</v>
          </cell>
          <cell r="E106" t="str">
            <v>UND</v>
          </cell>
          <cell r="F106">
            <v>203.50000000000003</v>
          </cell>
        </row>
        <row r="107">
          <cell r="A107" t="str">
            <v>710306</v>
          </cell>
          <cell r="B107" t="str">
            <v>PAN PRETZEL (PAQ=10 UND)</v>
          </cell>
          <cell r="C107" t="str">
            <v>PAQ</v>
          </cell>
          <cell r="D107">
            <v>1760.0000000000002</v>
          </cell>
          <cell r="E107" t="str">
            <v>UND</v>
          </cell>
          <cell r="F107">
            <v>176.00000000000003</v>
          </cell>
        </row>
        <row r="108">
          <cell r="A108" t="str">
            <v>710308</v>
          </cell>
          <cell r="B108" t="str">
            <v>PAN MULTI GRANO (PAQ=10 UND)</v>
          </cell>
          <cell r="C108" t="str">
            <v>UND</v>
          </cell>
          <cell r="D108">
            <v>209.00000000000003</v>
          </cell>
          <cell r="E108" t="str">
            <v>UND</v>
          </cell>
          <cell r="F108">
            <v>209.00000000000003</v>
          </cell>
        </row>
        <row r="109">
          <cell r="A109" t="str">
            <v>710314</v>
          </cell>
          <cell r="B109" t="str">
            <v>TORTILLA TRIGO MISION (TACO BELL 12")</v>
          </cell>
          <cell r="C109" t="str">
            <v>UND</v>
          </cell>
          <cell r="D109">
            <v>109.17100000000001</v>
          </cell>
          <cell r="E109" t="str">
            <v>UND</v>
          </cell>
          <cell r="F109">
            <v>109.17100000000001</v>
          </cell>
        </row>
        <row r="110">
          <cell r="A110" t="str">
            <v>0712281</v>
          </cell>
          <cell r="B110" t="str">
            <v>PAN GRISSINI (PAQ=20 UND)</v>
          </cell>
          <cell r="C110" t="str">
            <v>PAQ</v>
          </cell>
          <cell r="D110">
            <v>554.40000000000009</v>
          </cell>
          <cell r="E110" t="str">
            <v>UND</v>
          </cell>
          <cell r="F110">
            <v>27.720000000000006</v>
          </cell>
        </row>
        <row r="111">
          <cell r="A111" t="str">
            <v>0712433</v>
          </cell>
          <cell r="B111" t="str">
            <v>EMPANIZADOR PANKO (3 Kg)</v>
          </cell>
          <cell r="C111" t="str">
            <v>KILO</v>
          </cell>
          <cell r="D111">
            <v>3586.6600000000003</v>
          </cell>
          <cell r="E111" t="str">
            <v>GRAMO</v>
          </cell>
          <cell r="F111">
            <v>3.5866600000000002</v>
          </cell>
        </row>
        <row r="112">
          <cell r="A112" t="str">
            <v>0712434</v>
          </cell>
          <cell r="B112" t="str">
            <v>CONCHA PIZZA (PAQ =5UND)</v>
          </cell>
          <cell r="C112" t="str">
            <v>UND</v>
          </cell>
          <cell r="D112">
            <v>181.50000000000003</v>
          </cell>
          <cell r="E112" t="str">
            <v>UND</v>
          </cell>
          <cell r="F112">
            <v>181.50000000000003</v>
          </cell>
        </row>
        <row r="113">
          <cell r="A113" t="str">
            <v>0712435</v>
          </cell>
          <cell r="B113" t="str">
            <v>PAN TELERA GRANDE (PAQ= 5 UND)</v>
          </cell>
          <cell r="C113" t="str">
            <v>PAQ</v>
          </cell>
          <cell r="D113">
            <v>797.50000000000011</v>
          </cell>
          <cell r="E113" t="str">
            <v>UND</v>
          </cell>
          <cell r="F113">
            <v>159.50000000000003</v>
          </cell>
        </row>
        <row r="114">
          <cell r="A114" t="str">
            <v>0810259</v>
          </cell>
          <cell r="B114" t="str">
            <v>MOTTS JUGO MANZANA 100% (1892ml)</v>
          </cell>
          <cell r="C114" t="str">
            <v>LITRO</v>
          </cell>
          <cell r="D114">
            <v>1201.9865</v>
          </cell>
          <cell r="E114" t="str">
            <v>MILILITRO</v>
          </cell>
          <cell r="F114">
            <v>1.2019865000000001</v>
          </cell>
        </row>
        <row r="115">
          <cell r="A115" t="str">
            <v>0810270</v>
          </cell>
          <cell r="B115" t="str">
            <v>PAPAYA PARA BATIDO (PAQ=0.8 Kg)</v>
          </cell>
          <cell r="C115" t="str">
            <v>KILO</v>
          </cell>
          <cell r="D115">
            <v>1455.0459000000001</v>
          </cell>
          <cell r="E115" t="str">
            <v>GRAMO</v>
          </cell>
          <cell r="F115">
            <v>1.4550459</v>
          </cell>
        </row>
        <row r="116">
          <cell r="A116" t="str">
            <v>0810279</v>
          </cell>
          <cell r="B116" t="str">
            <v>CONCENTRADO DE CAS (3.785 L)</v>
          </cell>
          <cell r="C116" t="str">
            <v>LITRO</v>
          </cell>
          <cell r="D116">
            <v>1063.2080000000001</v>
          </cell>
          <cell r="E116" t="str">
            <v>MILILITRO</v>
          </cell>
          <cell r="F116">
            <v>1.0632080000000002</v>
          </cell>
        </row>
        <row r="117">
          <cell r="A117" t="str">
            <v>0810280</v>
          </cell>
          <cell r="B117" t="str">
            <v>CONCENTRADO GUANABANA</v>
          </cell>
          <cell r="C117" t="str">
            <v>LITRO</v>
          </cell>
          <cell r="D117">
            <v>1193.1310000000001</v>
          </cell>
          <cell r="E117" t="str">
            <v>MILILITRO</v>
          </cell>
          <cell r="F117">
            <v>1.1931310000000002</v>
          </cell>
        </row>
        <row r="118">
          <cell r="A118" t="str">
            <v>0810282</v>
          </cell>
          <cell r="B118" t="str">
            <v>CONCENTRADO MORA</v>
          </cell>
          <cell r="C118" t="str">
            <v>LITRO</v>
          </cell>
          <cell r="D118">
            <v>1281.518</v>
          </cell>
          <cell r="E118" t="str">
            <v>MILILITRO</v>
          </cell>
          <cell r="F118">
            <v>1.2815179999999999</v>
          </cell>
        </row>
        <row r="119">
          <cell r="A119" t="str">
            <v>0810283</v>
          </cell>
          <cell r="B119" t="str">
            <v>FRUTAS P/BATIDOS (PAQ=0.8 Kg)</v>
          </cell>
          <cell r="C119" t="str">
            <v>KILO</v>
          </cell>
          <cell r="D119">
            <v>1659.3137000000002</v>
          </cell>
          <cell r="E119" t="str">
            <v>GRAMO</v>
          </cell>
          <cell r="F119">
            <v>1.6593137000000002</v>
          </cell>
        </row>
        <row r="120">
          <cell r="A120" t="str">
            <v>0810294</v>
          </cell>
          <cell r="B120" t="str">
            <v>PIÑA PARA BATIDO (PAQ=0.8 Kg)</v>
          </cell>
          <cell r="C120" t="str">
            <v>KILO</v>
          </cell>
          <cell r="D120">
            <v>1528.3180000000002</v>
          </cell>
          <cell r="E120" t="str">
            <v>GRAMO</v>
          </cell>
          <cell r="F120">
            <v>1.5283180000000003</v>
          </cell>
        </row>
        <row r="121">
          <cell r="A121" t="str">
            <v>0810297</v>
          </cell>
          <cell r="B121" t="str">
            <v>SIROPE VAINILLA ( BOT 750ML )</v>
          </cell>
          <cell r="C121" t="str">
            <v>LITRO</v>
          </cell>
          <cell r="D121">
            <v>6390.8350000000009</v>
          </cell>
          <cell r="E121" t="str">
            <v>MILILITRO</v>
          </cell>
          <cell r="F121">
            <v>6.3908350000000009</v>
          </cell>
        </row>
        <row r="122">
          <cell r="A122" t="str">
            <v>0810305</v>
          </cell>
          <cell r="B122" t="str">
            <v>TE FRIO INSTANTANEO ( PAQ 1 KG )</v>
          </cell>
          <cell r="C122" t="str">
            <v>KILO</v>
          </cell>
          <cell r="D122">
            <v>1238.1389999999999</v>
          </cell>
          <cell r="E122" t="str">
            <v>GRAMO</v>
          </cell>
          <cell r="F122">
            <v>1.2381389999999999</v>
          </cell>
        </row>
        <row r="123">
          <cell r="A123" t="str">
            <v>0810308</v>
          </cell>
          <cell r="B123" t="str">
            <v>SIROPE CHOCO. LIQUIDO ( 680 gr )</v>
          </cell>
          <cell r="C123" t="str">
            <v>LITRO</v>
          </cell>
          <cell r="D123">
            <v>2186.2199999999998</v>
          </cell>
          <cell r="E123" t="str">
            <v>MILILITRO</v>
          </cell>
          <cell r="F123">
            <v>2.1862199999999996</v>
          </cell>
        </row>
        <row r="124">
          <cell r="A124" t="str">
            <v>0810313</v>
          </cell>
          <cell r="B124" t="str">
            <v>TE TWINING MANZANILLA 25 PAQ.</v>
          </cell>
          <cell r="C124" t="str">
            <v>UND</v>
          </cell>
          <cell r="D124">
            <v>91.845600000000005</v>
          </cell>
          <cell r="E124" t="str">
            <v>UND</v>
          </cell>
          <cell r="F124">
            <v>91.845600000000005</v>
          </cell>
        </row>
        <row r="125">
          <cell r="A125" t="str">
            <v>0810316</v>
          </cell>
          <cell r="B125" t="str">
            <v>TE TWINING EARL GREY 25 PAQ</v>
          </cell>
          <cell r="C125" t="str">
            <v>UND</v>
          </cell>
          <cell r="D125">
            <v>91.845600000000005</v>
          </cell>
          <cell r="E125" t="str">
            <v>UND</v>
          </cell>
          <cell r="F125">
            <v>91.845600000000005</v>
          </cell>
        </row>
        <row r="126">
          <cell r="A126" t="str">
            <v>0810319</v>
          </cell>
          <cell r="B126" t="str">
            <v>TE TWINING MENTA 25 PAQ.</v>
          </cell>
          <cell r="C126" t="str">
            <v>UND</v>
          </cell>
          <cell r="D126">
            <v>91.845600000000005</v>
          </cell>
          <cell r="E126" t="str">
            <v>UND</v>
          </cell>
          <cell r="F126">
            <v>91.845600000000005</v>
          </cell>
        </row>
        <row r="127">
          <cell r="A127" t="str">
            <v>0810321</v>
          </cell>
          <cell r="B127" t="str">
            <v>TE TWINING 4 FRUTAS (25 *  PAQ)</v>
          </cell>
          <cell r="C127" t="str">
            <v>UND</v>
          </cell>
          <cell r="D127">
            <v>91.845600000000005</v>
          </cell>
          <cell r="E127" t="str">
            <v>UND</v>
          </cell>
          <cell r="F127">
            <v>91.845600000000005</v>
          </cell>
        </row>
        <row r="128">
          <cell r="A128" t="str">
            <v>0810323</v>
          </cell>
          <cell r="B128" t="str">
            <v>TE TWINING VAINILLA 20 PAQ.</v>
          </cell>
          <cell r="C128" t="str">
            <v>UND</v>
          </cell>
          <cell r="D128">
            <v>114.80700000000002</v>
          </cell>
          <cell r="E128" t="str">
            <v>UND</v>
          </cell>
          <cell r="F128">
            <v>114.80700000000002</v>
          </cell>
        </row>
        <row r="129">
          <cell r="A129" t="str">
            <v>0810348</v>
          </cell>
          <cell r="B129" t="str">
            <v>TE CHAI ESPECIES (PAQ=.800 GR)</v>
          </cell>
          <cell r="C129" t="str">
            <v>KILO</v>
          </cell>
          <cell r="D129">
            <v>6199.05</v>
          </cell>
          <cell r="E129" t="str">
            <v>GRAMO</v>
          </cell>
          <cell r="F129">
            <v>6.1990500000000006</v>
          </cell>
        </row>
        <row r="130">
          <cell r="A130" t="str">
            <v>0810354</v>
          </cell>
          <cell r="B130" t="str">
            <v>HORCHATA (GALON=3.785 Lts)</v>
          </cell>
          <cell r="C130" t="str">
            <v>GALON</v>
          </cell>
          <cell r="D130">
            <v>4400</v>
          </cell>
          <cell r="E130" t="str">
            <v>MILILITRO</v>
          </cell>
          <cell r="F130">
            <v>1.1624834874504624</v>
          </cell>
        </row>
        <row r="131">
          <cell r="A131" t="str">
            <v>0810357</v>
          </cell>
          <cell r="B131" t="str">
            <v>TE NEGRO LIPTON (CAJA=20 UND)</v>
          </cell>
          <cell r="C131" t="str">
            <v>UND</v>
          </cell>
          <cell r="D131">
            <v>26.126999999999999</v>
          </cell>
          <cell r="E131" t="str">
            <v>UND</v>
          </cell>
          <cell r="F131">
            <v>26.126999999999999</v>
          </cell>
        </row>
        <row r="132">
          <cell r="A132" t="str">
            <v>0810358</v>
          </cell>
          <cell r="B132" t="str">
            <v>TE H&amp;S TROPICAL GREEN (CAJA=20 BOLSITAS)</v>
          </cell>
          <cell r="C132" t="str">
            <v>BOLSA</v>
          </cell>
          <cell r="D132">
            <v>136.75</v>
          </cell>
          <cell r="E132" t="str">
            <v>BOLSA</v>
          </cell>
          <cell r="F132">
            <v>136.75</v>
          </cell>
        </row>
        <row r="133">
          <cell r="A133" t="str">
            <v>810360</v>
          </cell>
          <cell r="B133" t="str">
            <v>SIROPE GOURMET MENTA VERDE (750ml)</v>
          </cell>
          <cell r="C133" t="str">
            <v>LITRO</v>
          </cell>
          <cell r="D133">
            <v>5866.6662999999999</v>
          </cell>
          <cell r="E133" t="str">
            <v>MILILITRO</v>
          </cell>
          <cell r="F133">
            <v>5.8666662999999994</v>
          </cell>
        </row>
        <row r="134">
          <cell r="A134" t="str">
            <v>810361</v>
          </cell>
          <cell r="B134" t="str">
            <v>TE VERDE GREEN TROPICAL (PAQ. 1 KILO)</v>
          </cell>
          <cell r="C134" t="str">
            <v>KILO</v>
          </cell>
          <cell r="D134">
            <v>64835.100000000006</v>
          </cell>
          <cell r="E134" t="str">
            <v>GRAMO</v>
          </cell>
          <cell r="F134">
            <v>64.835100000000011</v>
          </cell>
        </row>
        <row r="135">
          <cell r="A135" t="str">
            <v>0812271</v>
          </cell>
          <cell r="B135" t="str">
            <v>JUGO DE NARANJA NATURAL 3.785 L</v>
          </cell>
          <cell r="C135" t="str">
            <v>LITRO</v>
          </cell>
          <cell r="D135">
            <v>915.45519999999999</v>
          </cell>
          <cell r="E135" t="str">
            <v>MILILITRO</v>
          </cell>
          <cell r="F135">
            <v>0.91545520000000002</v>
          </cell>
        </row>
        <row r="136">
          <cell r="A136" t="str">
            <v>0812274</v>
          </cell>
          <cell r="B136" t="str">
            <v>SIROPE CARAMELO HERSHEY 620g</v>
          </cell>
          <cell r="C136" t="str">
            <v>KILO</v>
          </cell>
          <cell r="D136">
            <v>3041.7979999999998</v>
          </cell>
          <cell r="E136" t="str">
            <v>GRAMO</v>
          </cell>
          <cell r="F136">
            <v>3.0417979999999996</v>
          </cell>
        </row>
        <row r="137">
          <cell r="A137" t="str">
            <v>0812333</v>
          </cell>
          <cell r="B137" t="str">
            <v>SIROPE MAPLE (710 ml)</v>
          </cell>
          <cell r="C137" t="str">
            <v>LITRO</v>
          </cell>
          <cell r="D137">
            <v>3139.6379999999999</v>
          </cell>
          <cell r="E137" t="str">
            <v>MILILITRO</v>
          </cell>
          <cell r="F137">
            <v>3.1396379999999997</v>
          </cell>
        </row>
        <row r="138">
          <cell r="A138" t="str">
            <v>0812377</v>
          </cell>
          <cell r="B138" t="str">
            <v>SIROPE CREMA IRLANDESA (750 ML)</v>
          </cell>
          <cell r="C138" t="str">
            <v>LITRO</v>
          </cell>
          <cell r="D138">
            <v>5573.333700000001</v>
          </cell>
          <cell r="E138" t="str">
            <v>MILILITRO</v>
          </cell>
          <cell r="F138">
            <v>5.5733337000000009</v>
          </cell>
        </row>
        <row r="139">
          <cell r="A139" t="str">
            <v>0812378</v>
          </cell>
          <cell r="B139" t="str">
            <v>SIROPE AMARETTO 750 ML</v>
          </cell>
          <cell r="C139" t="str">
            <v>LITRO</v>
          </cell>
          <cell r="D139">
            <v>5546.0537000000004</v>
          </cell>
          <cell r="E139" t="str">
            <v>MILILITRO</v>
          </cell>
          <cell r="F139">
            <v>5.5460537000000008</v>
          </cell>
        </row>
        <row r="140">
          <cell r="A140" t="str">
            <v>0812379</v>
          </cell>
          <cell r="B140" t="str">
            <v>SIROPE VAINILLA S/AZUCAR</v>
          </cell>
          <cell r="C140" t="str">
            <v>LITRO</v>
          </cell>
          <cell r="D140">
            <v>5837.333700000001</v>
          </cell>
          <cell r="E140" t="str">
            <v>MILILITRO</v>
          </cell>
          <cell r="F140">
            <v>5.8373337000000012</v>
          </cell>
        </row>
        <row r="141">
          <cell r="A141" t="str">
            <v>0812387</v>
          </cell>
          <cell r="B141" t="str">
            <v>SIROPE MANZANA VERDE ( BOTELLA=750ML)</v>
          </cell>
          <cell r="C141" t="str">
            <v>LITRO</v>
          </cell>
          <cell r="D141">
            <v>4986.6652000000004</v>
          </cell>
          <cell r="E141" t="str">
            <v>MILILITRO</v>
          </cell>
          <cell r="F141">
            <v>4.9866652</v>
          </cell>
        </row>
        <row r="142">
          <cell r="A142" t="str">
            <v>812389</v>
          </cell>
          <cell r="B142" t="str">
            <v>JUGO DE LIMON (LITRO)</v>
          </cell>
          <cell r="C142" t="str">
            <v>LITRO</v>
          </cell>
          <cell r="D142">
            <v>2309.9989</v>
          </cell>
          <cell r="E142" t="str">
            <v>MILILITRO</v>
          </cell>
          <cell r="F142">
            <v>2.3099989000000001</v>
          </cell>
        </row>
        <row r="143">
          <cell r="A143" t="str">
            <v>0910043</v>
          </cell>
          <cell r="B143" t="str">
            <v>GLASEADO BALSAMICO (225 ML)</v>
          </cell>
          <cell r="C143" t="str">
            <v>LITRO</v>
          </cell>
          <cell r="D143">
            <v>15878.2107</v>
          </cell>
          <cell r="E143" t="str">
            <v>MILILITRO</v>
          </cell>
          <cell r="F143">
            <v>15.8782107</v>
          </cell>
        </row>
        <row r="144">
          <cell r="A144" t="str">
            <v>0910307</v>
          </cell>
          <cell r="B144" t="str">
            <v>ACEITE  LIBRE DE TRANS INOLASA(17 LITROS)</v>
          </cell>
          <cell r="C144" t="str">
            <v>LITRO</v>
          </cell>
          <cell r="D144">
            <v>913.97699999999998</v>
          </cell>
          <cell r="E144" t="str">
            <v>MILILITRO</v>
          </cell>
          <cell r="F144">
            <v>0.91397699999999993</v>
          </cell>
        </row>
        <row r="145">
          <cell r="A145" t="str">
            <v>0910308</v>
          </cell>
          <cell r="B145" t="str">
            <v>ACEITE DE OLIVA EXTRA VIRGEN VIGO ( .250 ML )</v>
          </cell>
          <cell r="C145" t="str">
            <v>LITRO</v>
          </cell>
          <cell r="D145">
            <v>7349.8414000000002</v>
          </cell>
          <cell r="E145" t="str">
            <v>MILILITRO</v>
          </cell>
          <cell r="F145">
            <v>7.3498413999999999</v>
          </cell>
        </row>
        <row r="146">
          <cell r="A146" t="str">
            <v>0910329</v>
          </cell>
          <cell r="B146" t="str">
            <v>VINAGRE BALSAMICO TINTO ( 250 ML )</v>
          </cell>
          <cell r="C146" t="str">
            <v>LITRO</v>
          </cell>
          <cell r="D146">
            <v>7225.0783000000001</v>
          </cell>
          <cell r="E146" t="str">
            <v>MILILITRO</v>
          </cell>
          <cell r="F146">
            <v>7.2250782999999998</v>
          </cell>
        </row>
        <row r="147">
          <cell r="A147" t="str">
            <v>0910338</v>
          </cell>
          <cell r="B147" t="str">
            <v>ACEITE OLIVA PAMACE (1G)</v>
          </cell>
          <cell r="C147" t="str">
            <v>LITRO</v>
          </cell>
          <cell r="D147">
            <v>2193.9560000000001</v>
          </cell>
          <cell r="E147" t="str">
            <v>MILILITRO</v>
          </cell>
          <cell r="F147">
            <v>2.193956</v>
          </cell>
        </row>
        <row r="148">
          <cell r="A148" t="str">
            <v>0910341</v>
          </cell>
          <cell r="B148" t="str">
            <v>SALSA INGLESA LIZANO (GALON)</v>
          </cell>
          <cell r="C148" t="str">
            <v>GALON</v>
          </cell>
          <cell r="D148">
            <v>6842.826</v>
          </cell>
          <cell r="E148" t="str">
            <v>MILILITRO</v>
          </cell>
          <cell r="F148">
            <v>1.8078800528401586</v>
          </cell>
        </row>
        <row r="149">
          <cell r="A149" t="str">
            <v>0910353</v>
          </cell>
          <cell r="B149" t="str">
            <v>SALSA LIZANO (135g)</v>
          </cell>
          <cell r="C149" t="str">
            <v>UND</v>
          </cell>
          <cell r="D149">
            <v>498.625</v>
          </cell>
          <cell r="E149" t="str">
            <v>UND</v>
          </cell>
          <cell r="F149">
            <v>498.625</v>
          </cell>
        </row>
        <row r="150">
          <cell r="A150" t="str">
            <v>0912323</v>
          </cell>
          <cell r="B150" t="str">
            <v>GRASA SPRAY ANTIADHERENTE 22 ONZ</v>
          </cell>
          <cell r="C150" t="str">
            <v>UND</v>
          </cell>
          <cell r="D150">
            <v>3105.98</v>
          </cell>
          <cell r="E150" t="str">
            <v>GRAMO</v>
          </cell>
          <cell r="F150">
            <v>4.7060303030303032</v>
          </cell>
        </row>
        <row r="151">
          <cell r="A151" t="str">
            <v>0912334</v>
          </cell>
          <cell r="B151" t="str">
            <v>PAPA SEASONED HEDGES (2.3kG)</v>
          </cell>
          <cell r="C151" t="str">
            <v>KILO</v>
          </cell>
          <cell r="D151">
            <v>1239.723</v>
          </cell>
          <cell r="E151" t="str">
            <v>GRAMO</v>
          </cell>
          <cell r="F151">
            <v>1.2397229999999999</v>
          </cell>
        </row>
        <row r="152">
          <cell r="A152" t="str">
            <v>0912335</v>
          </cell>
          <cell r="B152" t="str">
            <v>PAPA ROSTIZADA ALEXIA CUBOS (PAQ=1.135 KG)</v>
          </cell>
          <cell r="C152" t="str">
            <v>KILO</v>
          </cell>
          <cell r="D152">
            <v>1223.8240000000001</v>
          </cell>
          <cell r="E152" t="str">
            <v>GRAMO</v>
          </cell>
          <cell r="F152">
            <v>1.223824</v>
          </cell>
        </row>
        <row r="153">
          <cell r="A153" t="str">
            <v>1010006</v>
          </cell>
          <cell r="B153" t="str">
            <v>ATUN TROZOS PRONTO (LATA=354g)</v>
          </cell>
          <cell r="C153" t="str">
            <v>LATA</v>
          </cell>
          <cell r="D153">
            <v>2486</v>
          </cell>
          <cell r="E153" t="str">
            <v>LATA</v>
          </cell>
          <cell r="F153">
            <v>2486</v>
          </cell>
        </row>
        <row r="154">
          <cell r="A154" t="str">
            <v>1010330</v>
          </cell>
          <cell r="B154" t="str">
            <v>EMPANIZADOR DE PESCADO(1000g)</v>
          </cell>
          <cell r="C154" t="str">
            <v>GRAMO</v>
          </cell>
          <cell r="D154">
            <v>2.2989999999999999</v>
          </cell>
          <cell r="E154" t="str">
            <v>GRAMO</v>
          </cell>
          <cell r="F154">
            <v>2.2989999999999999</v>
          </cell>
        </row>
        <row r="155">
          <cell r="A155" t="str">
            <v>1010333</v>
          </cell>
          <cell r="B155" t="str">
            <v>PEÑASOL AIREN TETRAPACK (1000 ml)</v>
          </cell>
          <cell r="C155" t="str">
            <v>LITRO</v>
          </cell>
          <cell r="D155">
            <v>2531.6698000000001</v>
          </cell>
          <cell r="E155" t="str">
            <v>MILILITRO</v>
          </cell>
          <cell r="F155">
            <v>2.5316698</v>
          </cell>
        </row>
        <row r="156">
          <cell r="A156" t="str">
            <v>1010339</v>
          </cell>
          <cell r="B156" t="str">
            <v>TRIPLE SEC 750ml</v>
          </cell>
          <cell r="C156" t="str">
            <v>LITRO</v>
          </cell>
          <cell r="D156">
            <v>4807.9680000000008</v>
          </cell>
          <cell r="E156" t="str">
            <v>MILILITRO</v>
          </cell>
          <cell r="F156">
            <v>4.8079680000000007</v>
          </cell>
        </row>
        <row r="157">
          <cell r="A157" t="str">
            <v>1010351</v>
          </cell>
          <cell r="B157" t="str">
            <v>VINO PEÑASOL TEMPRANILLO TETRAPACK</v>
          </cell>
          <cell r="C157" t="str">
            <v>LITRO</v>
          </cell>
          <cell r="D157">
            <v>2514.8387000000002</v>
          </cell>
          <cell r="E157" t="str">
            <v>MILILITRO</v>
          </cell>
          <cell r="F157">
            <v>2.5148387000000003</v>
          </cell>
        </row>
        <row r="158">
          <cell r="A158" t="str">
            <v>1010352</v>
          </cell>
          <cell r="B158" t="str">
            <v>SANGRIA PEÑASOL LITRO</v>
          </cell>
          <cell r="C158" t="str">
            <v>LITRO</v>
          </cell>
          <cell r="D158">
            <v>2265.1496999999999</v>
          </cell>
          <cell r="E158" t="str">
            <v>MILILITRO</v>
          </cell>
          <cell r="F158">
            <v>2.2651496999999998</v>
          </cell>
        </row>
        <row r="159">
          <cell r="A159" t="str">
            <v>1012232</v>
          </cell>
          <cell r="B159" t="str">
            <v>MALIBU (BOTELLA=1 Litro)</v>
          </cell>
          <cell r="C159" t="str">
            <v>LITRO</v>
          </cell>
          <cell r="D159">
            <v>9734.5413000000008</v>
          </cell>
          <cell r="E159" t="str">
            <v>MILILITRO</v>
          </cell>
          <cell r="F159">
            <v>9.7345413000000001</v>
          </cell>
        </row>
        <row r="160">
          <cell r="A160" t="str">
            <v>1012341</v>
          </cell>
          <cell r="B160" t="str">
            <v>BAILEYS (BOTELLA=1 LITRO)</v>
          </cell>
          <cell r="C160" t="str">
            <v>BOTE</v>
          </cell>
          <cell r="D160">
            <v>12557.666000000001</v>
          </cell>
          <cell r="E160" t="str">
            <v>MILILITRO</v>
          </cell>
          <cell r="F160">
            <v>12.557666000000001</v>
          </cell>
        </row>
        <row r="161">
          <cell r="A161" t="str">
            <v>1110339</v>
          </cell>
          <cell r="B161" t="str">
            <v>ACEITUNA VERDE C/PIMIENTO (250g) **</v>
          </cell>
          <cell r="C161" t="str">
            <v>UND</v>
          </cell>
          <cell r="D161">
            <v>1334.3000000000002</v>
          </cell>
          <cell r="E161" t="str">
            <v>GRAMO</v>
          </cell>
          <cell r="F161">
            <v>8.8953333333333351</v>
          </cell>
        </row>
        <row r="162">
          <cell r="A162" t="str">
            <v>1110363</v>
          </cell>
          <cell r="B162" t="str">
            <v>CEREZAS CON TALLO (1/2 GALON) **</v>
          </cell>
          <cell r="C162" t="str">
            <v>TOPPER</v>
          </cell>
          <cell r="D162">
            <v>4640.5020000000004</v>
          </cell>
          <cell r="E162" t="str">
            <v>GRAMO</v>
          </cell>
          <cell r="F162">
            <v>3.8670850000000003</v>
          </cell>
        </row>
        <row r="163">
          <cell r="A163" t="str">
            <v>1110375</v>
          </cell>
          <cell r="B163" t="str">
            <v>MELOCOTON MITADES ( 820 g )</v>
          </cell>
          <cell r="C163" t="str">
            <v>KILO</v>
          </cell>
          <cell r="D163">
            <v>2386.1018867924527</v>
          </cell>
          <cell r="E163" t="str">
            <v>GRAMO</v>
          </cell>
          <cell r="F163">
            <v>2.3861018867924528</v>
          </cell>
        </row>
        <row r="164">
          <cell r="A164" t="str">
            <v>1110388</v>
          </cell>
          <cell r="B164" t="str">
            <v>MOSTAZA DIJON EXTRA FUERTE ( 370 gr )</v>
          </cell>
          <cell r="C164" t="str">
            <v>KILO</v>
          </cell>
          <cell r="D164">
            <v>5783.1389000000008</v>
          </cell>
          <cell r="E164" t="str">
            <v>GRAMO</v>
          </cell>
          <cell r="F164">
            <v>5.7831389000000009</v>
          </cell>
        </row>
        <row r="165">
          <cell r="A165" t="str">
            <v>1110395</v>
          </cell>
          <cell r="B165" t="str">
            <v>MAIZ DULCE (LATA=432g) **</v>
          </cell>
          <cell r="C165" t="str">
            <v>UND</v>
          </cell>
          <cell r="D165">
            <v>373.12099999999998</v>
          </cell>
          <cell r="E165" t="str">
            <v>GRAMO</v>
          </cell>
          <cell r="F165">
            <v>1.4241259541984732</v>
          </cell>
        </row>
        <row r="166">
          <cell r="A166" t="str">
            <v>1110397</v>
          </cell>
          <cell r="B166" t="str">
            <v>LECHE CONDENSADA NESTLE ( .395 g )</v>
          </cell>
          <cell r="C166" t="str">
            <v>KILO</v>
          </cell>
          <cell r="D166">
            <v>2058.5160000000001</v>
          </cell>
          <cell r="E166" t="str">
            <v>GRAMO</v>
          </cell>
          <cell r="F166">
            <v>2.058516</v>
          </cell>
        </row>
        <row r="167">
          <cell r="A167" t="str">
            <v>1110399</v>
          </cell>
          <cell r="B167" t="str">
            <v>LECHE COND COCINADA (LATA 395G)</v>
          </cell>
          <cell r="C167" t="str">
            <v>KILO</v>
          </cell>
          <cell r="D167">
            <v>2444.0768000000003</v>
          </cell>
          <cell r="E167" t="str">
            <v>GRAMO</v>
          </cell>
          <cell r="F167">
            <v>2.4440768000000004</v>
          </cell>
        </row>
        <row r="168">
          <cell r="A168" t="str">
            <v>1110405</v>
          </cell>
          <cell r="B168" t="str">
            <v>CHILE MORRON LATA (390g) **</v>
          </cell>
          <cell r="C168" t="str">
            <v>KILO</v>
          </cell>
          <cell r="D168">
            <v>4246.1980000000003</v>
          </cell>
          <cell r="E168" t="str">
            <v>GRAMO</v>
          </cell>
          <cell r="F168">
            <v>4.2461980000000006</v>
          </cell>
        </row>
        <row r="169">
          <cell r="A169" t="str">
            <v>1110420</v>
          </cell>
          <cell r="B169" t="str">
            <v>LECHE CONDENSADA COCINADA HAPPY DAY (1 KILO)</v>
          </cell>
          <cell r="C169" t="str">
            <v>KILO</v>
          </cell>
          <cell r="D169">
            <v>1947.913</v>
          </cell>
          <cell r="E169" t="str">
            <v>GRAMO</v>
          </cell>
          <cell r="F169">
            <v>1.947913</v>
          </cell>
        </row>
        <row r="170">
          <cell r="A170" t="str">
            <v>1112408</v>
          </cell>
          <cell r="B170" t="str">
            <v>NARANJA MANDARINA ( 425g) **</v>
          </cell>
          <cell r="C170" t="str">
            <v>UND</v>
          </cell>
          <cell r="D170">
            <v>1081.08</v>
          </cell>
          <cell r="E170" t="str">
            <v>GRAMO</v>
          </cell>
          <cell r="F170">
            <v>3.6035999999999997</v>
          </cell>
        </row>
        <row r="171">
          <cell r="A171" t="str">
            <v>1210400</v>
          </cell>
          <cell r="B171" t="str">
            <v>HUEVOS EN CARTON (30UNID)</v>
          </cell>
          <cell r="C171" t="str">
            <v>UND</v>
          </cell>
          <cell r="D171">
            <v>83.576900000000009</v>
          </cell>
          <cell r="E171" t="str">
            <v>UND</v>
          </cell>
          <cell r="F171">
            <v>83.576900000000009</v>
          </cell>
        </row>
        <row r="172">
          <cell r="A172" t="str">
            <v>1210402</v>
          </cell>
          <cell r="B172" t="str">
            <v>MARGARINA BLOQUE 12.5 KILOS</v>
          </cell>
          <cell r="C172" t="str">
            <v>KILO</v>
          </cell>
          <cell r="D172">
            <v>1077.76</v>
          </cell>
          <cell r="E172" t="str">
            <v>GRAMO</v>
          </cell>
          <cell r="F172">
            <v>1.0777600000000001</v>
          </cell>
        </row>
        <row r="173">
          <cell r="A173" t="str">
            <v>1210404</v>
          </cell>
          <cell r="B173" t="str">
            <v>MAYONESA INDIVIDUAL (200 * PAQ)</v>
          </cell>
          <cell r="C173" t="str">
            <v>UND</v>
          </cell>
          <cell r="D173">
            <v>14.124000000000001</v>
          </cell>
          <cell r="E173" t="str">
            <v>UND</v>
          </cell>
          <cell r="F173">
            <v>14.124000000000001</v>
          </cell>
        </row>
        <row r="174">
          <cell r="A174" t="str">
            <v>1210407</v>
          </cell>
          <cell r="B174" t="str">
            <v>SALSA TOMATE IND  (1000 und)</v>
          </cell>
          <cell r="C174" t="str">
            <v>UND</v>
          </cell>
          <cell r="D174">
            <v>11.393000000000001</v>
          </cell>
          <cell r="E174" t="str">
            <v>UND</v>
          </cell>
          <cell r="F174">
            <v>11.393000000000001</v>
          </cell>
        </row>
        <row r="175">
          <cell r="A175" t="str">
            <v>1210409</v>
          </cell>
          <cell r="B175" t="str">
            <v>MOSTAZA INDIVIDUAL (500 UND )</v>
          </cell>
          <cell r="C175" t="str">
            <v>UND</v>
          </cell>
          <cell r="D175">
            <v>13.694000000000001</v>
          </cell>
          <cell r="E175" t="str">
            <v>UND</v>
          </cell>
          <cell r="F175">
            <v>13.694000000000001</v>
          </cell>
        </row>
        <row r="176">
          <cell r="A176" t="str">
            <v>1210410</v>
          </cell>
          <cell r="B176" t="str">
            <v>MERMELADA INDIVIDUAL(CAJA=200 UND)</v>
          </cell>
          <cell r="C176" t="str">
            <v>UND</v>
          </cell>
          <cell r="D176">
            <v>62.502000000000002</v>
          </cell>
          <cell r="E176" t="str">
            <v>UND</v>
          </cell>
          <cell r="F176">
            <v>62.502000000000002</v>
          </cell>
        </row>
        <row r="177">
          <cell r="A177" t="str">
            <v>1210411</v>
          </cell>
          <cell r="B177" t="str">
            <v>CREMA CAFÉ INDIVIDUAL (500 * PAQ)</v>
          </cell>
          <cell r="C177" t="str">
            <v>UND</v>
          </cell>
          <cell r="D177">
            <v>9.702</v>
          </cell>
          <cell r="E177" t="str">
            <v>UND</v>
          </cell>
          <cell r="F177">
            <v>9.702</v>
          </cell>
        </row>
        <row r="178">
          <cell r="A178" t="str">
            <v>1210412</v>
          </cell>
          <cell r="B178" t="str">
            <v>HIELO EN CUBITOS (PAQ=10 KILOS)</v>
          </cell>
          <cell r="C178" t="str">
            <v>PAQ</v>
          </cell>
          <cell r="D178">
            <v>1530.001</v>
          </cell>
          <cell r="E178" t="str">
            <v>GRAMO</v>
          </cell>
          <cell r="F178">
            <v>0.1530001</v>
          </cell>
        </row>
        <row r="179">
          <cell r="A179" t="str">
            <v>1210417</v>
          </cell>
          <cell r="B179" t="str">
            <v>MARGARINA INDIVIDUAL ( UND )</v>
          </cell>
          <cell r="C179" t="str">
            <v>UND</v>
          </cell>
          <cell r="D179">
            <v>87.206000000000003</v>
          </cell>
          <cell r="E179" t="str">
            <v>UND</v>
          </cell>
          <cell r="F179">
            <v>87.206000000000003</v>
          </cell>
        </row>
        <row r="180">
          <cell r="A180" t="str">
            <v>1210449</v>
          </cell>
          <cell r="B180" t="str">
            <v>FRIJOLES ROJOS ENTEROS (LATA=439g)</v>
          </cell>
          <cell r="C180" t="str">
            <v>UND</v>
          </cell>
          <cell r="D180">
            <v>780.12000000000012</v>
          </cell>
          <cell r="E180" t="str">
            <v>GRAMO</v>
          </cell>
          <cell r="F180">
            <v>2.7861428571428575</v>
          </cell>
        </row>
        <row r="181">
          <cell r="A181" t="str">
            <v>1210494</v>
          </cell>
          <cell r="B181" t="str">
            <v>CUCHARA CHOCOLATE (CAJA=25 UND)</v>
          </cell>
          <cell r="C181" t="str">
            <v>CAJA</v>
          </cell>
          <cell r="D181">
            <v>16472.5</v>
          </cell>
          <cell r="E181" t="str">
            <v>UND</v>
          </cell>
          <cell r="F181">
            <v>658.9</v>
          </cell>
        </row>
        <row r="182">
          <cell r="A182" t="str">
            <v>1212309</v>
          </cell>
          <cell r="B182" t="str">
            <v>ALFALFA  BOLSA ( 150 g )</v>
          </cell>
          <cell r="C182" t="str">
            <v>KILO</v>
          </cell>
          <cell r="D182" t="e">
            <v>#N/A</v>
          </cell>
          <cell r="E182" t="str">
            <v>GRAMO</v>
          </cell>
          <cell r="F182" t="e">
            <v>#N/A</v>
          </cell>
        </row>
        <row r="183">
          <cell r="A183" t="str">
            <v>1212416</v>
          </cell>
          <cell r="B183" t="str">
            <v>GUARNICIÓN ( .220 KG )</v>
          </cell>
          <cell r="C183" t="str">
            <v>KILO</v>
          </cell>
          <cell r="D183">
            <v>1600.0006000000001</v>
          </cell>
          <cell r="E183" t="str">
            <v>GRAMO</v>
          </cell>
          <cell r="F183">
            <v>1.6000006</v>
          </cell>
        </row>
        <row r="184">
          <cell r="A184" t="str">
            <v>1500007</v>
          </cell>
          <cell r="B184" t="str">
            <v>SIROPE MANZANA VERDE (LITRO)</v>
          </cell>
          <cell r="C184" t="str">
            <v>LITRO</v>
          </cell>
          <cell r="D184">
            <v>4675</v>
          </cell>
          <cell r="E184" t="str">
            <v>MILILITRO</v>
          </cell>
          <cell r="F184">
            <v>4.6749999999999998</v>
          </cell>
        </row>
        <row r="185">
          <cell r="A185" t="str">
            <v>1500011</v>
          </cell>
          <cell r="B185" t="str">
            <v>SIROPE COCO MONIN (LITRO)</v>
          </cell>
          <cell r="C185" t="str">
            <v>LITRO</v>
          </cell>
          <cell r="D185">
            <v>7115</v>
          </cell>
          <cell r="E185" t="str">
            <v>MILILITRO</v>
          </cell>
          <cell r="F185">
            <v>7.1150000000000002</v>
          </cell>
        </row>
        <row r="186">
          <cell r="A186" t="str">
            <v>1500012</v>
          </cell>
          <cell r="B186" t="str">
            <v>SIROPE NECTAR DE AGAVE  MONIN (LITRO)</v>
          </cell>
          <cell r="C186" t="str">
            <v>LITRO</v>
          </cell>
          <cell r="D186">
            <v>5089</v>
          </cell>
          <cell r="E186" t="str">
            <v>MILILITRO</v>
          </cell>
          <cell r="F186">
            <v>5.0890000000000004</v>
          </cell>
        </row>
        <row r="187">
          <cell r="A187" t="str">
            <v>1500015</v>
          </cell>
          <cell r="B187" t="str">
            <v>SIROPE WILDBERRY MONIN (LITRO)</v>
          </cell>
          <cell r="C187" t="str">
            <v>LITRO</v>
          </cell>
          <cell r="D187">
            <v>4497</v>
          </cell>
          <cell r="E187" t="str">
            <v>MILILITRO</v>
          </cell>
          <cell r="F187">
            <v>4.4969999999999999</v>
          </cell>
        </row>
        <row r="188">
          <cell r="A188" t="str">
            <v>1500016</v>
          </cell>
          <cell r="B188" t="str">
            <v>SIROPE MELOCOTON LIGHT (BOTELLA=750ML)</v>
          </cell>
          <cell r="C188" t="str">
            <v>BOTE</v>
          </cell>
          <cell r="D188">
            <v>4610.1000000000004</v>
          </cell>
          <cell r="E188" t="str">
            <v>MILILITRO</v>
          </cell>
          <cell r="F188">
            <v>6.1468000000000007</v>
          </cell>
        </row>
        <row r="189">
          <cell r="A189" t="str">
            <v>1500017</v>
          </cell>
          <cell r="B189" t="str">
            <v>TE ORGANICO DE MENTA HERBAL BIGELOW</v>
          </cell>
          <cell r="C189" t="str">
            <v>UND</v>
          </cell>
          <cell r="D189">
            <v>91.5</v>
          </cell>
          <cell r="E189" t="str">
            <v>UND</v>
          </cell>
          <cell r="F189">
            <v>91.5</v>
          </cell>
        </row>
        <row r="190">
          <cell r="A190" t="str">
            <v>1500018</v>
          </cell>
          <cell r="B190" t="str">
            <v>TE NEGRO INGLES BIGELOW</v>
          </cell>
          <cell r="C190" t="str">
            <v>UND</v>
          </cell>
          <cell r="D190">
            <v>104.318</v>
          </cell>
          <cell r="E190" t="str">
            <v>UND</v>
          </cell>
          <cell r="F190">
            <v>104.318</v>
          </cell>
        </row>
        <row r="191">
          <cell r="A191" t="str">
            <v>1522387</v>
          </cell>
          <cell r="B191" t="str">
            <v>MEDALLON LOMITO (PAQ=200g)</v>
          </cell>
          <cell r="C191" t="str">
            <v>KILO</v>
          </cell>
          <cell r="D191">
            <v>4044.5955000000004</v>
          </cell>
          <cell r="E191" t="str">
            <v>GRAMO</v>
          </cell>
          <cell r="F191">
            <v>4.0445955000000007</v>
          </cell>
        </row>
        <row r="192">
          <cell r="A192" t="str">
            <v>1522521</v>
          </cell>
          <cell r="B192" t="str">
            <v>MEDALLON LOMITO MONTECILLOS ( KILO)</v>
          </cell>
          <cell r="C192" t="str">
            <v>KILO</v>
          </cell>
          <cell r="D192">
            <v>12795</v>
          </cell>
          <cell r="E192" t="str">
            <v>GRAMO</v>
          </cell>
          <cell r="F192">
            <v>12.795</v>
          </cell>
        </row>
        <row r="193">
          <cell r="A193" t="str">
            <v>1590921</v>
          </cell>
          <cell r="B193" t="str">
            <v>SIROPE MAPLE AUNT JEMINA (340 GRAMOS)</v>
          </cell>
          <cell r="C193" t="str">
            <v>UND</v>
          </cell>
          <cell r="D193">
            <v>2444</v>
          </cell>
          <cell r="E193" t="str">
            <v>GRAMO</v>
          </cell>
          <cell r="F193">
            <v>7.1882352941176473</v>
          </cell>
        </row>
        <row r="194">
          <cell r="A194" t="str">
            <v>1620480</v>
          </cell>
          <cell r="B194" t="str">
            <v>ENSALADA CARACOLITOS (BOLSA=350g)</v>
          </cell>
          <cell r="C194" t="str">
            <v>BOLSA</v>
          </cell>
          <cell r="D194">
            <v>764.50000000000011</v>
          </cell>
          <cell r="E194" t="str">
            <v>GRAMO</v>
          </cell>
          <cell r="F194">
            <v>2.1842857142857146</v>
          </cell>
        </row>
        <row r="195">
          <cell r="A195" t="str">
            <v>1620481</v>
          </cell>
          <cell r="B195" t="str">
            <v>ENSALADA RUSA (BOLSA=350g)</v>
          </cell>
          <cell r="C195" t="str">
            <v>BOLSA</v>
          </cell>
          <cell r="D195">
            <v>715.00000000000011</v>
          </cell>
          <cell r="E195" t="str">
            <v>GRAMO</v>
          </cell>
          <cell r="F195">
            <v>2.0428571428571431</v>
          </cell>
        </row>
        <row r="196">
          <cell r="A196" t="str">
            <v>1730470</v>
          </cell>
          <cell r="B196" t="str">
            <v>ADEREZO ROSADO GALON</v>
          </cell>
          <cell r="C196" t="str">
            <v>GALON</v>
          </cell>
          <cell r="D196">
            <v>5285.5</v>
          </cell>
          <cell r="E196" t="str">
            <v>MILILITRO</v>
          </cell>
          <cell r="F196">
            <v>1.3964332892998679</v>
          </cell>
        </row>
        <row r="197">
          <cell r="A197" t="str">
            <v>1730473</v>
          </cell>
          <cell r="B197" t="str">
            <v>ACEITE EXTRA VIRGEN FILIPPO (250ml)</v>
          </cell>
          <cell r="C197" t="str">
            <v>LITRO</v>
          </cell>
          <cell r="D197">
            <v>7006.0045000000009</v>
          </cell>
          <cell r="E197" t="str">
            <v>MILILITRO</v>
          </cell>
          <cell r="F197">
            <v>7.0060045000000013</v>
          </cell>
        </row>
        <row r="198">
          <cell r="A198" t="str">
            <v>1730482</v>
          </cell>
          <cell r="B198" t="str">
            <v>HARINA NACARINA ( 2.5 kg )</v>
          </cell>
          <cell r="C198" t="str">
            <v>KILO</v>
          </cell>
          <cell r="D198">
            <v>611.6</v>
          </cell>
          <cell r="E198" t="str">
            <v>GRAMO</v>
          </cell>
          <cell r="F198">
            <v>0.61160000000000003</v>
          </cell>
        </row>
        <row r="199">
          <cell r="A199" t="str">
            <v>1730491</v>
          </cell>
          <cell r="B199" t="str">
            <v>CEREAL VITALISIMO ALMEDRA (450g)</v>
          </cell>
          <cell r="C199" t="str">
            <v>CAJA</v>
          </cell>
          <cell r="D199">
            <v>1926</v>
          </cell>
          <cell r="E199" t="str">
            <v>GRAMO</v>
          </cell>
          <cell r="F199">
            <v>4.28</v>
          </cell>
        </row>
        <row r="200">
          <cell r="A200" t="str">
            <v>1730532</v>
          </cell>
          <cell r="B200" t="str">
            <v>MAYONESA SPOON (3.785 L)</v>
          </cell>
          <cell r="C200" t="str">
            <v>LITRO</v>
          </cell>
          <cell r="D200">
            <v>2159.3132000000001</v>
          </cell>
          <cell r="E200" t="str">
            <v>MILILITRO</v>
          </cell>
          <cell r="F200">
            <v>2.1593132000000002</v>
          </cell>
        </row>
        <row r="201">
          <cell r="A201" t="str">
            <v>1730613</v>
          </cell>
          <cell r="B201" t="str">
            <v>LECHE DELACTOMY 1LITRO</v>
          </cell>
          <cell r="C201" t="str">
            <v>LITRO</v>
          </cell>
          <cell r="D201">
            <v>867.54899999999998</v>
          </cell>
          <cell r="E201" t="str">
            <v>MILILITRO</v>
          </cell>
          <cell r="F201">
            <v>0.86754900000000001</v>
          </cell>
        </row>
        <row r="202">
          <cell r="A202" t="str">
            <v>1730618</v>
          </cell>
          <cell r="B202" t="str">
            <v>MANDARINA (KILO)</v>
          </cell>
          <cell r="C202" t="str">
            <v>KILO</v>
          </cell>
          <cell r="D202">
            <v>1859.0000000000002</v>
          </cell>
          <cell r="E202" t="str">
            <v>GRAMO</v>
          </cell>
          <cell r="F202">
            <v>1.8590000000000002</v>
          </cell>
        </row>
        <row r="203">
          <cell r="A203" t="str">
            <v>1730643</v>
          </cell>
          <cell r="B203" t="str">
            <v>QUESO TURRIALBA (3KILO)</v>
          </cell>
          <cell r="C203" t="str">
            <v>KILO</v>
          </cell>
          <cell r="D203">
            <v>2979.5920000000001</v>
          </cell>
          <cell r="E203" t="str">
            <v>GRAMO</v>
          </cell>
          <cell r="F203">
            <v>2.9795920000000002</v>
          </cell>
        </row>
        <row r="204">
          <cell r="A204" t="str">
            <v>1730645</v>
          </cell>
          <cell r="B204" t="str">
            <v>QUESO MOZARELLA RAYADO (1KILO)</v>
          </cell>
          <cell r="C204" t="str">
            <v>KILO</v>
          </cell>
          <cell r="D204">
            <v>4621.2539999999999</v>
          </cell>
          <cell r="E204" t="str">
            <v>GRAMO</v>
          </cell>
          <cell r="F204">
            <v>4.6212539999999995</v>
          </cell>
        </row>
        <row r="205">
          <cell r="A205" t="str">
            <v>1730646</v>
          </cell>
          <cell r="B205" t="str">
            <v>NATILLA GRANJA (115g)</v>
          </cell>
          <cell r="C205" t="str">
            <v>UND</v>
          </cell>
          <cell r="D205">
            <v>130.90899999999999</v>
          </cell>
          <cell r="E205" t="str">
            <v>GRAMO</v>
          </cell>
          <cell r="F205">
            <v>1.1383391304347825</v>
          </cell>
        </row>
        <row r="206">
          <cell r="A206" t="str">
            <v>1730653</v>
          </cell>
          <cell r="B206" t="str">
            <v>PATACONES DE PLATANO VERDE (PAQ=750g)</v>
          </cell>
          <cell r="C206" t="str">
            <v>KILO</v>
          </cell>
          <cell r="D206">
            <v>1850.5663000000002</v>
          </cell>
          <cell r="E206" t="str">
            <v>GRAMO</v>
          </cell>
          <cell r="F206">
            <v>1.8505663000000001</v>
          </cell>
        </row>
        <row r="207">
          <cell r="A207" t="str">
            <v>1730663</v>
          </cell>
          <cell r="B207" t="str">
            <v>SALSA AJI AMARILLO-DOY PACK (500GR)</v>
          </cell>
          <cell r="C207" t="str">
            <v>UND</v>
          </cell>
          <cell r="D207">
            <v>3382.9598000000005</v>
          </cell>
          <cell r="E207" t="str">
            <v>GRAMO</v>
          </cell>
          <cell r="F207">
            <v>6.765919600000001</v>
          </cell>
        </row>
        <row r="208">
          <cell r="A208" t="str">
            <v>2000001</v>
          </cell>
          <cell r="B208" t="str">
            <v>SALMON AHUMADO (PAQ=900g)</v>
          </cell>
          <cell r="C208" t="str">
            <v>PAQ</v>
          </cell>
          <cell r="D208">
            <v>17671.629800000002</v>
          </cell>
          <cell r="E208" t="str">
            <v>GRAMO</v>
          </cell>
          <cell r="F208">
            <v>19.635144222222223</v>
          </cell>
        </row>
        <row r="209">
          <cell r="A209" t="str">
            <v>10900006</v>
          </cell>
          <cell r="B209" t="str">
            <v>SANDIA CONGELADA INPAK 3 KG</v>
          </cell>
          <cell r="C209" t="str">
            <v>PAQ</v>
          </cell>
          <cell r="D209">
            <v>5816.8</v>
          </cell>
          <cell r="E209" t="str">
            <v>GRAMO</v>
          </cell>
          <cell r="F209">
            <v>1.9350632069194944</v>
          </cell>
        </row>
        <row r="210">
          <cell r="A210" t="str">
            <v>10900051</v>
          </cell>
          <cell r="B210" t="str">
            <v>AGUACATE KILO</v>
          </cell>
          <cell r="C210" t="str">
            <v>kilo</v>
          </cell>
          <cell r="D210">
            <v>2805</v>
          </cell>
          <cell r="E210" t="str">
            <v>GRAMO</v>
          </cell>
          <cell r="F210">
            <v>2.8050000000000002</v>
          </cell>
        </row>
        <row r="211">
          <cell r="A211" t="str">
            <v>10900057</v>
          </cell>
          <cell r="B211" t="str">
            <v>ZUQUINI MINI (PAQ= 200g)</v>
          </cell>
          <cell r="C211" t="str">
            <v>PAQ</v>
          </cell>
          <cell r="D211">
            <v>440.00000000000006</v>
          </cell>
          <cell r="E211" t="str">
            <v>GRAMO</v>
          </cell>
          <cell r="F211">
            <v>2.2000000000000002</v>
          </cell>
        </row>
      </sheetData>
      <sheetData sheetId="6">
        <row r="2">
          <cell r="A2" t="str">
            <v>0007526</v>
          </cell>
          <cell r="B2" t="str">
            <v>VASO 12on COCA COLA 50 UND X TIRA</v>
          </cell>
          <cell r="C2" t="str">
            <v>UND</v>
          </cell>
          <cell r="D2">
            <v>7.7880000000000003</v>
          </cell>
          <cell r="E2" t="str">
            <v>UND</v>
          </cell>
          <cell r="F2">
            <v>7.7880000000000003</v>
          </cell>
        </row>
        <row r="3">
          <cell r="A3" t="str">
            <v>0007527</v>
          </cell>
          <cell r="B3" t="str">
            <v>VASO 16 on COCA COLA 50 UND X TIRA</v>
          </cell>
          <cell r="C3" t="str">
            <v>UND</v>
          </cell>
          <cell r="D3">
            <v>10.183999999999999</v>
          </cell>
          <cell r="E3" t="str">
            <v>UND</v>
          </cell>
          <cell r="F3">
            <v>10.183999999999999</v>
          </cell>
        </row>
        <row r="4">
          <cell r="A4" t="str">
            <v>0007530</v>
          </cell>
          <cell r="B4" t="str">
            <v>VASO 22on 50 UND X TIRA</v>
          </cell>
          <cell r="C4" t="str">
            <v>PAQ</v>
          </cell>
          <cell r="D4">
            <v>601.00300000000004</v>
          </cell>
          <cell r="E4" t="str">
            <v>UND</v>
          </cell>
          <cell r="F4">
            <v>12.020060000000001</v>
          </cell>
        </row>
        <row r="5">
          <cell r="A5" t="str">
            <v>0007541</v>
          </cell>
          <cell r="B5" t="str">
            <v>TAPAS 12 on COCA COLA</v>
          </cell>
          <cell r="C5" t="str">
            <v>UND</v>
          </cell>
          <cell r="D5">
            <v>5.5960000000000001</v>
          </cell>
          <cell r="E5" t="str">
            <v>UND</v>
          </cell>
          <cell r="F5">
            <v>5.5960000000000001</v>
          </cell>
        </row>
        <row r="6">
          <cell r="A6" t="str">
            <v>0007542</v>
          </cell>
          <cell r="B6" t="str">
            <v>TAPA 16 on / 22 on COCA COLA</v>
          </cell>
          <cell r="C6" t="str">
            <v>UND</v>
          </cell>
          <cell r="D6">
            <v>3.399</v>
          </cell>
          <cell r="E6" t="str">
            <v>UND</v>
          </cell>
          <cell r="F6">
            <v>3.399</v>
          </cell>
        </row>
        <row r="7">
          <cell r="A7" t="str">
            <v>56007</v>
          </cell>
          <cell r="B7" t="str">
            <v>CANDELAS # 0</v>
          </cell>
          <cell r="C7" t="str">
            <v>UND</v>
          </cell>
          <cell r="D7">
            <v>438.92310000000003</v>
          </cell>
          <cell r="E7" t="str">
            <v>UND</v>
          </cell>
          <cell r="F7">
            <v>438.92310000000003</v>
          </cell>
        </row>
        <row r="8">
          <cell r="A8" t="str">
            <v>56009</v>
          </cell>
          <cell r="B8" t="str">
            <v>CANDELA MAGICA</v>
          </cell>
          <cell r="C8" t="str">
            <v>UND</v>
          </cell>
          <cell r="D8">
            <v>783.74340000000007</v>
          </cell>
          <cell r="E8" t="str">
            <v>UND</v>
          </cell>
          <cell r="F8">
            <v>783.74340000000007</v>
          </cell>
        </row>
        <row r="9">
          <cell r="A9" t="str">
            <v>56015</v>
          </cell>
          <cell r="B9" t="str">
            <v>CANDELAS # 1</v>
          </cell>
          <cell r="C9" t="str">
            <v>UND</v>
          </cell>
          <cell r="D9">
            <v>438.90000000000003</v>
          </cell>
          <cell r="E9" t="str">
            <v>UND</v>
          </cell>
          <cell r="F9">
            <v>438.90000000000003</v>
          </cell>
        </row>
        <row r="10">
          <cell r="A10" t="str">
            <v>56017</v>
          </cell>
          <cell r="B10" t="str">
            <v>CANDELAS # 2</v>
          </cell>
          <cell r="C10" t="str">
            <v>UND</v>
          </cell>
          <cell r="D10">
            <v>438.90000000000003</v>
          </cell>
          <cell r="E10" t="str">
            <v>UND</v>
          </cell>
          <cell r="F10">
            <v>438.90000000000003</v>
          </cell>
        </row>
        <row r="11">
          <cell r="A11" t="str">
            <v>56019</v>
          </cell>
          <cell r="B11" t="str">
            <v>CANDELAS # 3</v>
          </cell>
          <cell r="C11" t="str">
            <v>UND</v>
          </cell>
          <cell r="D11">
            <v>438.90000000000003</v>
          </cell>
          <cell r="E11" t="str">
            <v>UND</v>
          </cell>
          <cell r="F11">
            <v>438.90000000000003</v>
          </cell>
        </row>
        <row r="12">
          <cell r="A12" t="str">
            <v>56021</v>
          </cell>
          <cell r="B12" t="str">
            <v>CANDELAS # 4</v>
          </cell>
          <cell r="C12" t="str">
            <v>UND</v>
          </cell>
          <cell r="D12">
            <v>438.90000000000003</v>
          </cell>
          <cell r="E12" t="str">
            <v>UND</v>
          </cell>
          <cell r="F12">
            <v>438.90000000000003</v>
          </cell>
        </row>
        <row r="13">
          <cell r="A13" t="str">
            <v>56023</v>
          </cell>
          <cell r="B13" t="str">
            <v>CANDELAS # 5</v>
          </cell>
          <cell r="C13" t="str">
            <v>UND</v>
          </cell>
          <cell r="D13">
            <v>438.90770000000003</v>
          </cell>
          <cell r="E13" t="str">
            <v>UND</v>
          </cell>
          <cell r="F13">
            <v>438.90770000000003</v>
          </cell>
        </row>
        <row r="14">
          <cell r="A14" t="str">
            <v>56025</v>
          </cell>
          <cell r="B14" t="str">
            <v>CANDELAS # 6</v>
          </cell>
          <cell r="C14" t="str">
            <v>UND</v>
          </cell>
          <cell r="D14">
            <v>438.90000000000003</v>
          </cell>
          <cell r="E14" t="str">
            <v>UND</v>
          </cell>
          <cell r="F14">
            <v>438.90000000000003</v>
          </cell>
        </row>
        <row r="15">
          <cell r="A15" t="str">
            <v>56027</v>
          </cell>
          <cell r="B15" t="str">
            <v>CANDELAS # 7</v>
          </cell>
          <cell r="C15" t="str">
            <v>UND</v>
          </cell>
          <cell r="D15">
            <v>438.911</v>
          </cell>
          <cell r="E15" t="str">
            <v>UND</v>
          </cell>
          <cell r="F15">
            <v>438.911</v>
          </cell>
        </row>
        <row r="16">
          <cell r="A16" t="str">
            <v>56029</v>
          </cell>
          <cell r="B16" t="str">
            <v>CANDELAS # 8</v>
          </cell>
          <cell r="C16" t="str">
            <v>UND</v>
          </cell>
          <cell r="D16">
            <v>438.90220000000005</v>
          </cell>
          <cell r="E16" t="str">
            <v>UND</v>
          </cell>
          <cell r="F16">
            <v>438.90220000000005</v>
          </cell>
        </row>
        <row r="17">
          <cell r="A17" t="str">
            <v>56031</v>
          </cell>
          <cell r="B17" t="str">
            <v>CANDELAS # 9</v>
          </cell>
          <cell r="C17" t="str">
            <v>UND</v>
          </cell>
          <cell r="D17">
            <v>438.90000000000003</v>
          </cell>
          <cell r="E17" t="str">
            <v>UND</v>
          </cell>
          <cell r="F17">
            <v>438.90000000000003</v>
          </cell>
        </row>
        <row r="18">
          <cell r="A18" t="str">
            <v>0702053</v>
          </cell>
          <cell r="B18" t="str">
            <v>STICKER REDONDO AMARILLO</v>
          </cell>
          <cell r="C18" t="str">
            <v>ROLLO</v>
          </cell>
          <cell r="D18">
            <v>231.48179999999999</v>
          </cell>
          <cell r="E18" t="str">
            <v>UND</v>
          </cell>
          <cell r="F18">
            <v>0.25720199999999999</v>
          </cell>
        </row>
        <row r="19">
          <cell r="A19" t="str">
            <v>0702054</v>
          </cell>
          <cell r="B19" t="str">
            <v>STICKER REDONDO BLANCO</v>
          </cell>
          <cell r="C19" t="str">
            <v>ROLLO</v>
          </cell>
          <cell r="D19">
            <v>367.29</v>
          </cell>
          <cell r="E19" t="str">
            <v>UND</v>
          </cell>
          <cell r="F19">
            <v>0.40810000000000002</v>
          </cell>
        </row>
        <row r="20">
          <cell r="A20" t="str">
            <v>0702057</v>
          </cell>
          <cell r="B20" t="str">
            <v>STICKER REDONDO NARANJA</v>
          </cell>
          <cell r="C20" t="str">
            <v>ROLLO</v>
          </cell>
          <cell r="D20">
            <v>231.21560000000002</v>
          </cell>
          <cell r="E20" t="str">
            <v>UND</v>
          </cell>
          <cell r="F20">
            <v>0.25690622222222226</v>
          </cell>
        </row>
        <row r="21">
          <cell r="A21" t="str">
            <v>0702058</v>
          </cell>
          <cell r="B21" t="str">
            <v>STICKER REDONDO ROJO</v>
          </cell>
          <cell r="C21" t="str">
            <v>ROLLO</v>
          </cell>
          <cell r="D21">
            <v>717.11090000000002</v>
          </cell>
          <cell r="E21" t="str">
            <v>UND</v>
          </cell>
          <cell r="F21">
            <v>0.79678988888888891</v>
          </cell>
        </row>
        <row r="22">
          <cell r="A22" t="str">
            <v>0702060</v>
          </cell>
          <cell r="B22" t="str">
            <v>STICKER REDONDO VERDE</v>
          </cell>
          <cell r="C22" t="str">
            <v>ROLLO</v>
          </cell>
          <cell r="D22">
            <v>353.80400000000003</v>
          </cell>
          <cell r="E22" t="str">
            <v>UND</v>
          </cell>
          <cell r="F22">
            <v>0.39311555555555561</v>
          </cell>
        </row>
        <row r="23">
          <cell r="A23" t="str">
            <v>0702119</v>
          </cell>
          <cell r="B23" t="str">
            <v>STICKER REDONDO CAFE</v>
          </cell>
          <cell r="C23" t="str">
            <v>UND</v>
          </cell>
          <cell r="D23">
            <v>660.5390000000001</v>
          </cell>
          <cell r="E23" t="str">
            <v>UND</v>
          </cell>
          <cell r="F23">
            <v>0.73393222222222232</v>
          </cell>
        </row>
        <row r="24">
          <cell r="A24" t="str">
            <v>0702155</v>
          </cell>
          <cell r="B24" t="str">
            <v>ETIQUETA BLANCA VENCE (ROLLO=1000 UND)</v>
          </cell>
          <cell r="C24" t="str">
            <v>ROLLO</v>
          </cell>
          <cell r="D24">
            <v>638</v>
          </cell>
          <cell r="E24" t="str">
            <v>UND</v>
          </cell>
          <cell r="F24">
            <v>0.63800000000000001</v>
          </cell>
        </row>
        <row r="25">
          <cell r="A25" t="str">
            <v>702174</v>
          </cell>
          <cell r="B25" t="str">
            <v>ETIQUETA SELLO DE SEGURIDAD **</v>
          </cell>
          <cell r="C25" t="str">
            <v>ROLLO</v>
          </cell>
          <cell r="D25">
            <v>6453.1675999999998</v>
          </cell>
          <cell r="E25" t="str">
            <v>UND</v>
          </cell>
          <cell r="F25">
            <v>6.4531675999999996</v>
          </cell>
        </row>
        <row r="26">
          <cell r="A26" t="str">
            <v>0703204</v>
          </cell>
          <cell r="B26" t="str">
            <v>TARJETA SPOONERS PVC C/CODIGO BARRA</v>
          </cell>
          <cell r="C26" t="str">
            <v>UND</v>
          </cell>
          <cell r="D26">
            <v>83.054400000000015</v>
          </cell>
          <cell r="E26" t="str">
            <v>UND</v>
          </cell>
          <cell r="F26">
            <v>83.054400000000015</v>
          </cell>
        </row>
        <row r="27">
          <cell r="A27" t="str">
            <v>703205</v>
          </cell>
          <cell r="B27" t="str">
            <v>BROCHURE P/ TARJETAS SPOONERS</v>
          </cell>
          <cell r="C27" t="str">
            <v>UND</v>
          </cell>
          <cell r="D27">
            <v>53.058500000000002</v>
          </cell>
          <cell r="E27" t="str">
            <v>UND</v>
          </cell>
          <cell r="F27">
            <v>53.058500000000002</v>
          </cell>
        </row>
        <row r="28">
          <cell r="A28" t="str">
            <v>1840689</v>
          </cell>
          <cell r="B28" t="str">
            <v>SERVILLETA TORK W7T (CAJA = 12 PAQ)</v>
          </cell>
          <cell r="C28" t="str">
            <v>PAQ</v>
          </cell>
          <cell r="D28">
            <v>1028.2280000000001</v>
          </cell>
          <cell r="E28" t="str">
            <v>UND</v>
          </cell>
          <cell r="F28">
            <v>2.0564560000000003</v>
          </cell>
        </row>
        <row r="29">
          <cell r="A29" t="str">
            <v>1840690</v>
          </cell>
          <cell r="B29" t="str">
            <v>SERVILLETA TORK XPRESS ADV</v>
          </cell>
          <cell r="C29" t="str">
            <v>PAQ</v>
          </cell>
          <cell r="D29">
            <v>818.173</v>
          </cell>
          <cell r="E29" t="str">
            <v>UND</v>
          </cell>
          <cell r="F29">
            <v>1.6363460000000001</v>
          </cell>
        </row>
        <row r="30">
          <cell r="A30" t="str">
            <v>1950380</v>
          </cell>
          <cell r="B30" t="str">
            <v>FORRO VASO 12 ONZ BRITT (PAQ=50 UND)</v>
          </cell>
          <cell r="C30" t="str">
            <v>UND</v>
          </cell>
          <cell r="D30">
            <v>30.015000000000001</v>
          </cell>
          <cell r="E30" t="str">
            <v>UND</v>
          </cell>
          <cell r="F30">
            <v>30.015000000000001</v>
          </cell>
        </row>
        <row r="31">
          <cell r="A31" t="str">
            <v>1950381</v>
          </cell>
          <cell r="B31" t="str">
            <v>FORRO VASO 8 ONZ BRITT (PAQ=50 UND)</v>
          </cell>
          <cell r="C31" t="str">
            <v>UND</v>
          </cell>
          <cell r="D31">
            <v>30.024000000000001</v>
          </cell>
          <cell r="E31" t="str">
            <v>UND</v>
          </cell>
          <cell r="F31">
            <v>30.024000000000001</v>
          </cell>
        </row>
        <row r="32">
          <cell r="A32" t="str">
            <v>1950405</v>
          </cell>
          <cell r="B32" t="str">
            <v>SUFLE PLASTICO TRASLUCIDO 2.5 oz (PAQ=100 UND)</v>
          </cell>
          <cell r="C32" t="str">
            <v>UND</v>
          </cell>
          <cell r="D32">
            <v>13.5388</v>
          </cell>
          <cell r="E32" t="str">
            <v>UND</v>
          </cell>
          <cell r="F32">
            <v>13.5388</v>
          </cell>
        </row>
        <row r="33">
          <cell r="A33" t="str">
            <v>1950406</v>
          </cell>
          <cell r="B33" t="str">
            <v>TAPA SUFFLE PLAST. 1.5/2.5 oz (PAQ=100 UND)</v>
          </cell>
          <cell r="C33" t="str">
            <v>UND</v>
          </cell>
          <cell r="D33">
            <v>8.5106999999999999</v>
          </cell>
          <cell r="E33" t="str">
            <v>UND</v>
          </cell>
          <cell r="F33">
            <v>8.5106999999999999</v>
          </cell>
        </row>
        <row r="34">
          <cell r="A34" t="str">
            <v>1950408</v>
          </cell>
          <cell r="B34" t="str">
            <v>CAJA OFFICE BREAK PORCION (CAJA=525 UND)</v>
          </cell>
          <cell r="C34" t="str">
            <v>UND</v>
          </cell>
          <cell r="D34">
            <v>55.855800000000002</v>
          </cell>
          <cell r="E34" t="str">
            <v>UND</v>
          </cell>
          <cell r="F34">
            <v>55.855800000000002</v>
          </cell>
        </row>
        <row r="35">
          <cell r="A35" t="str">
            <v>1950668</v>
          </cell>
          <cell r="B35" t="str">
            <v>TAPA PLAST P/CONT. PAPEL 12 ONZ (PAQ=50 UND)</v>
          </cell>
          <cell r="C35" t="str">
            <v>UND</v>
          </cell>
          <cell r="D35">
            <v>34.7303</v>
          </cell>
          <cell r="E35" t="str">
            <v>UND</v>
          </cell>
          <cell r="F35">
            <v>34.7303</v>
          </cell>
        </row>
        <row r="36">
          <cell r="A36" t="str">
            <v>1950669</v>
          </cell>
          <cell r="B36" t="str">
            <v>CONTENEDOR PAPEL 12 ONZAS (PAQ=50 UND)</v>
          </cell>
          <cell r="C36" t="str">
            <v>UND</v>
          </cell>
          <cell r="D36" t="e">
            <v>#N/A</v>
          </cell>
          <cell r="E36" t="str">
            <v>UND</v>
          </cell>
          <cell r="F36" t="e">
            <v>#N/A</v>
          </cell>
        </row>
        <row r="37">
          <cell r="A37" t="str">
            <v>1950701</v>
          </cell>
          <cell r="B37" t="str">
            <v>BOLSA PAPEL KRAFT 2 LB (PAQ=500)</v>
          </cell>
          <cell r="C37" t="str">
            <v>UND</v>
          </cell>
          <cell r="D37">
            <v>6.3689999999999998</v>
          </cell>
          <cell r="E37" t="str">
            <v>UND</v>
          </cell>
          <cell r="F37">
            <v>6.3689999999999998</v>
          </cell>
        </row>
        <row r="38">
          <cell r="A38" t="str">
            <v>1950702</v>
          </cell>
          <cell r="B38" t="str">
            <v>BOLSA 12x18 TRANSP (KILO)</v>
          </cell>
          <cell r="C38" t="str">
            <v>KILO</v>
          </cell>
          <cell r="D38">
            <v>1485.0000000000002</v>
          </cell>
          <cell r="E38" t="str">
            <v>UND</v>
          </cell>
          <cell r="F38">
            <v>11.880000000000003</v>
          </cell>
        </row>
        <row r="39">
          <cell r="A39" t="str">
            <v>1950703</v>
          </cell>
          <cell r="B39" t="str">
            <v>BOLSA IMP. SPOON CAMI 8 * 16 **</v>
          </cell>
          <cell r="C39" t="str">
            <v>KILO</v>
          </cell>
          <cell r="D39">
            <v>2035.0000000000002</v>
          </cell>
          <cell r="E39" t="str">
            <v>UND</v>
          </cell>
          <cell r="F39">
            <v>9.1666666666666679</v>
          </cell>
        </row>
        <row r="40">
          <cell r="A40" t="str">
            <v>1950704</v>
          </cell>
          <cell r="B40" t="str">
            <v>BOLSA 5x8 TRANSP (KILO) **</v>
          </cell>
          <cell r="C40" t="str">
            <v>KILO</v>
          </cell>
          <cell r="D40">
            <v>1485.0000000000002</v>
          </cell>
          <cell r="E40" t="str">
            <v>UND</v>
          </cell>
          <cell r="F40">
            <v>2.9700000000000006</v>
          </cell>
        </row>
        <row r="41">
          <cell r="A41" t="str">
            <v>1950705</v>
          </cell>
          <cell r="B41" t="str">
            <v xml:space="preserve">BOLSA 8x12 TRANSP (KILO) ** </v>
          </cell>
          <cell r="C41" t="str">
            <v>KILO</v>
          </cell>
          <cell r="D41">
            <v>1485.0000000000002</v>
          </cell>
          <cell r="E41" t="str">
            <v>UND</v>
          </cell>
          <cell r="F41">
            <v>7.4250000000000007</v>
          </cell>
        </row>
        <row r="42">
          <cell r="A42" t="str">
            <v>1950708</v>
          </cell>
          <cell r="B42" t="str">
            <v xml:space="preserve">BOLSA 17x25 TRANSP (KILO) ** </v>
          </cell>
          <cell r="C42" t="str">
            <v>KILO</v>
          </cell>
          <cell r="D42">
            <v>1485.0000000000002</v>
          </cell>
          <cell r="E42" t="str">
            <v>UND</v>
          </cell>
          <cell r="F42">
            <v>35.357142857142861</v>
          </cell>
        </row>
        <row r="43">
          <cell r="A43" t="str">
            <v>1950709</v>
          </cell>
          <cell r="B43" t="str">
            <v>BOLSAS IMP. SPOON CAMI 10 * 20 **</v>
          </cell>
          <cell r="C43" t="str">
            <v>KILO</v>
          </cell>
          <cell r="D43">
            <v>2035.0000000000002</v>
          </cell>
          <cell r="E43" t="str">
            <v>UND</v>
          </cell>
          <cell r="F43">
            <v>18.500000000000004</v>
          </cell>
        </row>
        <row r="44">
          <cell r="A44" t="str">
            <v>1950711</v>
          </cell>
          <cell r="B44" t="str">
            <v>BURBUJA # 5 (125XPAQ)</v>
          </cell>
          <cell r="C44" t="str">
            <v>UND</v>
          </cell>
          <cell r="D44">
            <v>54.371000000000002</v>
          </cell>
          <cell r="E44" t="str">
            <v>UND</v>
          </cell>
          <cell r="F44">
            <v>54.371000000000002</v>
          </cell>
        </row>
        <row r="45">
          <cell r="A45" t="str">
            <v>1950712</v>
          </cell>
          <cell r="B45" t="str">
            <v>BURBUJA # 6 (125XPAQ)</v>
          </cell>
          <cell r="C45" t="str">
            <v>UND</v>
          </cell>
          <cell r="D45">
            <v>71.129000000000005</v>
          </cell>
          <cell r="E45" t="str">
            <v>UND</v>
          </cell>
          <cell r="F45">
            <v>71.129000000000005</v>
          </cell>
        </row>
        <row r="46">
          <cell r="A46" t="str">
            <v>1950731</v>
          </cell>
          <cell r="B46" t="str">
            <v>CAPSULA # 3 LOGO (100 * PAQ)</v>
          </cell>
          <cell r="C46" t="str">
            <v>UND</v>
          </cell>
          <cell r="D46">
            <v>7.8100000000000005</v>
          </cell>
          <cell r="E46" t="str">
            <v>UND</v>
          </cell>
          <cell r="F46">
            <v>7.8100000000000005</v>
          </cell>
        </row>
        <row r="47">
          <cell r="A47" t="str">
            <v>1950733</v>
          </cell>
          <cell r="B47" t="str">
            <v>CAPSULA # 10 BLANCA (100 * PAQ)</v>
          </cell>
          <cell r="C47" t="str">
            <v>UND</v>
          </cell>
          <cell r="D47">
            <v>6.3580000000000005</v>
          </cell>
          <cell r="E47" t="str">
            <v>UND</v>
          </cell>
          <cell r="F47">
            <v>6.3580000000000005</v>
          </cell>
        </row>
        <row r="48">
          <cell r="A48" t="str">
            <v>1950735</v>
          </cell>
          <cell r="B48" t="str">
            <v>CAPSULA # 5 LOGO (100 * PAQ)</v>
          </cell>
          <cell r="C48" t="str">
            <v>UND</v>
          </cell>
          <cell r="D48">
            <v>9.240000000000002</v>
          </cell>
          <cell r="E48" t="str">
            <v>UND</v>
          </cell>
          <cell r="F48">
            <v>9.240000000000002</v>
          </cell>
        </row>
        <row r="49">
          <cell r="A49" t="str">
            <v>1950741</v>
          </cell>
          <cell r="B49" t="str">
            <v>VASO 3.25 OZ (PAQ * 125)</v>
          </cell>
          <cell r="C49" t="str">
            <v>UND</v>
          </cell>
          <cell r="D49">
            <v>12.335000000000001</v>
          </cell>
          <cell r="E49" t="str">
            <v>UND</v>
          </cell>
          <cell r="F49">
            <v>12.335000000000001</v>
          </cell>
        </row>
        <row r="50">
          <cell r="A50" t="str">
            <v>1950742</v>
          </cell>
          <cell r="B50" t="str">
            <v>VASO SOUFLE 5.5 OZ (PAQ * 250)</v>
          </cell>
          <cell r="C50" t="str">
            <v>UND</v>
          </cell>
          <cell r="D50">
            <v>10.826000000000001</v>
          </cell>
          <cell r="E50" t="str">
            <v>UND</v>
          </cell>
          <cell r="F50">
            <v>10.826000000000001</v>
          </cell>
        </row>
        <row r="51">
          <cell r="A51" t="str">
            <v>1950744</v>
          </cell>
          <cell r="B51" t="str">
            <v>CUCHARA PLASTICA NEGRA (1000 * CAJA).....</v>
          </cell>
          <cell r="C51" t="str">
            <v>UND</v>
          </cell>
          <cell r="D51">
            <v>6.1619999999999999</v>
          </cell>
          <cell r="E51" t="str">
            <v>UND</v>
          </cell>
          <cell r="F51">
            <v>6.1619999999999999</v>
          </cell>
        </row>
        <row r="52">
          <cell r="A52" t="str">
            <v>1950745</v>
          </cell>
          <cell r="B52" t="str">
            <v>CUCHILLO PLASTICO NEGRO (1000 * CAJA)....</v>
          </cell>
          <cell r="C52" t="str">
            <v>UND</v>
          </cell>
          <cell r="D52">
            <v>5.952</v>
          </cell>
          <cell r="E52" t="str">
            <v>UND</v>
          </cell>
          <cell r="F52">
            <v>5.952</v>
          </cell>
        </row>
        <row r="53">
          <cell r="A53" t="str">
            <v>1950747</v>
          </cell>
          <cell r="B53" t="str">
            <v>FILTROS P/ CAFETERA VPR (PAQ * 500)</v>
          </cell>
          <cell r="C53" t="str">
            <v>UND</v>
          </cell>
          <cell r="D53">
            <v>12.218999999999999</v>
          </cell>
          <cell r="E53" t="str">
            <v>UND</v>
          </cell>
          <cell r="F53">
            <v>12.218999999999999</v>
          </cell>
        </row>
        <row r="54">
          <cell r="A54" t="str">
            <v>1950753</v>
          </cell>
          <cell r="B54" t="str">
            <v>BANDEJA ALUM 12 PORC #367.</v>
          </cell>
          <cell r="C54" t="str">
            <v>UND</v>
          </cell>
          <cell r="D54">
            <v>524.06200000000001</v>
          </cell>
          <cell r="E54" t="str">
            <v>UND</v>
          </cell>
          <cell r="F54">
            <v>524.06200000000001</v>
          </cell>
        </row>
        <row r="55">
          <cell r="A55" t="str">
            <v>1950756</v>
          </cell>
          <cell r="B55" t="str">
            <v>BANDEJA ALUM DESE #4040 (6 PORC)</v>
          </cell>
          <cell r="C55" t="str">
            <v>UND</v>
          </cell>
          <cell r="D55">
            <v>195.88800000000003</v>
          </cell>
          <cell r="E55" t="str">
            <v>UND</v>
          </cell>
          <cell r="F55">
            <v>195.88800000000003</v>
          </cell>
        </row>
        <row r="56">
          <cell r="A56" t="str">
            <v>1950760</v>
          </cell>
          <cell r="B56" t="str">
            <v>PAJILLA ENVUELTA 500UND</v>
          </cell>
          <cell r="C56" t="str">
            <v>UND</v>
          </cell>
          <cell r="D56">
            <v>8.4209999999999994</v>
          </cell>
          <cell r="E56" t="str">
            <v>UND</v>
          </cell>
          <cell r="F56">
            <v>8.4209999999999994</v>
          </cell>
        </row>
        <row r="57">
          <cell r="A57" t="str">
            <v>1950764</v>
          </cell>
          <cell r="B57" t="str">
            <v>PALILLOS DE DIENTES (800 UNID)</v>
          </cell>
          <cell r="C57" t="str">
            <v>UND</v>
          </cell>
          <cell r="D57">
            <v>0.44700000000000001</v>
          </cell>
          <cell r="E57" t="str">
            <v>UND</v>
          </cell>
          <cell r="F57">
            <v>0.44700000000000001</v>
          </cell>
        </row>
        <row r="58">
          <cell r="A58" t="str">
            <v>1950766</v>
          </cell>
          <cell r="B58" t="str">
            <v>PLAST. AUTOAD 12 * 2000</v>
          </cell>
          <cell r="C58" t="str">
            <v>CAJA</v>
          </cell>
          <cell r="D58">
            <v>6653.4089999999997</v>
          </cell>
          <cell r="E58" t="str">
            <v>CM</v>
          </cell>
          <cell r="F58">
            <v>0.10914384842519685</v>
          </cell>
        </row>
        <row r="59">
          <cell r="A59" t="str">
            <v>1950767</v>
          </cell>
          <cell r="B59" t="str">
            <v>PAPEL ALUMINIO 12 * 1000</v>
          </cell>
          <cell r="C59" t="str">
            <v>CAJA</v>
          </cell>
          <cell r="D59">
            <v>13787.079</v>
          </cell>
          <cell r="E59" t="str">
            <v>CM</v>
          </cell>
          <cell r="F59">
            <v>0.45233198818897635</v>
          </cell>
        </row>
        <row r="60">
          <cell r="A60" t="str">
            <v>1950772</v>
          </cell>
          <cell r="B60" t="str">
            <v>PAPEL ENCERADO 12 X 10 (CAJA) **</v>
          </cell>
          <cell r="C60" t="str">
            <v>CAJA</v>
          </cell>
          <cell r="D60">
            <v>3535.223</v>
          </cell>
          <cell r="E60" t="str">
            <v>UND</v>
          </cell>
          <cell r="F60">
            <v>7.0704459999999996</v>
          </cell>
        </row>
        <row r="61">
          <cell r="A61" t="str">
            <v>1950784</v>
          </cell>
          <cell r="B61" t="str">
            <v>REMOVEDORES (CAJA=1000 UND)</v>
          </cell>
          <cell r="C61" t="str">
            <v>UND</v>
          </cell>
          <cell r="D61">
            <v>0.68300000000000005</v>
          </cell>
          <cell r="E61" t="str">
            <v>UND</v>
          </cell>
          <cell r="F61">
            <v>0.68300000000000005</v>
          </cell>
        </row>
        <row r="62">
          <cell r="A62" t="str">
            <v>1950786</v>
          </cell>
          <cell r="B62" t="str">
            <v>BOLSA IMP. SPOON CAMI 12 * 25 **</v>
          </cell>
          <cell r="C62" t="str">
            <v>KILO</v>
          </cell>
          <cell r="D62">
            <v>2035.0000000000002</v>
          </cell>
          <cell r="E62" t="str">
            <v>UND</v>
          </cell>
          <cell r="F62">
            <v>24.226190476190478</v>
          </cell>
        </row>
        <row r="63">
          <cell r="A63" t="str">
            <v>1950790</v>
          </cell>
          <cell r="B63" t="str">
            <v>KIT TENEDOR CUCHILLO (CAJA=500)</v>
          </cell>
          <cell r="C63" t="str">
            <v>UND</v>
          </cell>
          <cell r="D63">
            <v>24.754400000000004</v>
          </cell>
          <cell r="E63" t="str">
            <v>UND</v>
          </cell>
          <cell r="F63">
            <v>24.754400000000004</v>
          </cell>
        </row>
        <row r="64">
          <cell r="A64" t="str">
            <v>1950791</v>
          </cell>
          <cell r="B64" t="str">
            <v>TAPA PLAST. SUFLE 5.5 oz (PAQ=250 UND)</v>
          </cell>
          <cell r="C64" t="str">
            <v>UND</v>
          </cell>
          <cell r="D64">
            <v>7.7149999999999999</v>
          </cell>
          <cell r="E64" t="str">
            <v>UND</v>
          </cell>
          <cell r="F64">
            <v>7.7149999999999999</v>
          </cell>
        </row>
        <row r="65">
          <cell r="A65" t="str">
            <v>1950794</v>
          </cell>
          <cell r="B65" t="str">
            <v>TENEDOR PLASTICO NEGRO (1000 * CAJA).....</v>
          </cell>
          <cell r="C65" t="str">
            <v>UND</v>
          </cell>
          <cell r="D65">
            <v>4.7590000000000003</v>
          </cell>
          <cell r="E65" t="str">
            <v>UND</v>
          </cell>
          <cell r="F65">
            <v>4.7590000000000003</v>
          </cell>
        </row>
        <row r="66">
          <cell r="A66" t="str">
            <v>1950797</v>
          </cell>
          <cell r="B66" t="str">
            <v>VASO PLAST. TRASL 16 OZ (PAQ=50 UND)</v>
          </cell>
          <cell r="C66" t="str">
            <v>UND</v>
          </cell>
          <cell r="D66">
            <v>76.452200000000005</v>
          </cell>
          <cell r="E66" t="str">
            <v>UND</v>
          </cell>
          <cell r="F66">
            <v>76.452200000000005</v>
          </cell>
        </row>
        <row r="67">
          <cell r="A67" t="str">
            <v>1950853</v>
          </cell>
          <cell r="B67" t="str">
            <v>VASO 9oz P/SUNDAE TS9(PAQ=50 UND)</v>
          </cell>
          <cell r="C67" t="str">
            <v>UND</v>
          </cell>
          <cell r="D67">
            <v>45.650000000000006</v>
          </cell>
          <cell r="E67" t="str">
            <v>UND</v>
          </cell>
          <cell r="F67">
            <v>45.650000000000006</v>
          </cell>
        </row>
        <row r="68">
          <cell r="A68" t="str">
            <v>1950864</v>
          </cell>
          <cell r="B68" t="str">
            <v>FILTRO P/GRASA 10” CONICO PAQ DE 50</v>
          </cell>
          <cell r="C68" t="str">
            <v>PAQ</v>
          </cell>
          <cell r="D68">
            <v>3379.9430000000002</v>
          </cell>
          <cell r="E68" t="str">
            <v>UND</v>
          </cell>
          <cell r="F68">
            <v>67.598860000000002</v>
          </cell>
        </row>
        <row r="69">
          <cell r="A69" t="str">
            <v>1950879</v>
          </cell>
          <cell r="B69" t="str">
            <v>BANDEJA PLASTICA 3 DIV. (250 UND)</v>
          </cell>
          <cell r="C69" t="str">
            <v>UND</v>
          </cell>
          <cell r="D69">
            <v>106.91800000000001</v>
          </cell>
          <cell r="E69" t="str">
            <v>UND</v>
          </cell>
          <cell r="F69">
            <v>106.91800000000001</v>
          </cell>
        </row>
        <row r="70">
          <cell r="A70" t="str">
            <v>1950880</v>
          </cell>
          <cell r="B70" t="str">
            <v>TAPA BANDEJA PLASTICA 3 DIV. (250 UND)</v>
          </cell>
          <cell r="C70" t="str">
            <v>UND</v>
          </cell>
          <cell r="D70">
            <v>87.055000000000007</v>
          </cell>
          <cell r="E70" t="str">
            <v>UND</v>
          </cell>
          <cell r="F70">
            <v>87.055000000000007</v>
          </cell>
        </row>
        <row r="71">
          <cell r="A71" t="str">
            <v>1950883</v>
          </cell>
          <cell r="B71" t="str">
            <v>CAJA PEQUEÑA OFFICE BREAK (CAJA=550 UND)</v>
          </cell>
          <cell r="C71" t="str">
            <v>UND</v>
          </cell>
          <cell r="D71">
            <v>62.7</v>
          </cell>
          <cell r="E71" t="str">
            <v>UND</v>
          </cell>
          <cell r="F71">
            <v>62.7</v>
          </cell>
        </row>
        <row r="72">
          <cell r="A72" t="str">
            <v>1950884</v>
          </cell>
          <cell r="B72" t="str">
            <v>CAJA MEDIANA OFFICE BREAK (CAJA=240 UND)</v>
          </cell>
          <cell r="C72" t="str">
            <v>UND</v>
          </cell>
          <cell r="D72">
            <v>82.986199999999997</v>
          </cell>
          <cell r="E72" t="str">
            <v>UND</v>
          </cell>
          <cell r="F72">
            <v>82.986199999999997</v>
          </cell>
        </row>
        <row r="73">
          <cell r="A73" t="str">
            <v>1950885</v>
          </cell>
          <cell r="B73" t="str">
            <v>CAJA GRANDE OFFICE BREAK (CAJA=180 UND)</v>
          </cell>
          <cell r="C73" t="str">
            <v>UND</v>
          </cell>
          <cell r="D73">
            <v>127.2458</v>
          </cell>
          <cell r="E73" t="str">
            <v>UND</v>
          </cell>
          <cell r="F73">
            <v>127.2458</v>
          </cell>
        </row>
        <row r="74">
          <cell r="A74" t="str">
            <v>1950887</v>
          </cell>
          <cell r="B74" t="str">
            <v>PLATO 9 COMPOSTABLE</v>
          </cell>
          <cell r="C74" t="str">
            <v>UND</v>
          </cell>
          <cell r="D74">
            <v>64.900000000000006</v>
          </cell>
          <cell r="E74" t="str">
            <v>UND</v>
          </cell>
          <cell r="F74">
            <v>64.900000000000006</v>
          </cell>
        </row>
        <row r="75">
          <cell r="A75" t="str">
            <v>1950888</v>
          </cell>
          <cell r="B75" t="str">
            <v>PLATO  6 COMPOSTABLE</v>
          </cell>
          <cell r="C75" t="str">
            <v>UND</v>
          </cell>
          <cell r="D75">
            <v>29.150000000000002</v>
          </cell>
          <cell r="E75" t="str">
            <v>UND</v>
          </cell>
          <cell r="F75">
            <v>29.150000000000002</v>
          </cell>
        </row>
        <row r="76">
          <cell r="A76" t="str">
            <v>1950890</v>
          </cell>
          <cell r="B76" t="str">
            <v>VASO BIODEGRADABLE 8 on (UND)</v>
          </cell>
          <cell r="C76" t="str">
            <v>UND</v>
          </cell>
          <cell r="D76">
            <v>39.25</v>
          </cell>
          <cell r="E76" t="str">
            <v>UND</v>
          </cell>
          <cell r="F76">
            <v>39.25</v>
          </cell>
        </row>
        <row r="77">
          <cell r="A77" t="str">
            <v>1950891</v>
          </cell>
          <cell r="B77" t="str">
            <v>VASO BIODEGRAABLE 12 on (UND)</v>
          </cell>
          <cell r="C77" t="str">
            <v>UND</v>
          </cell>
          <cell r="D77">
            <v>51.76</v>
          </cell>
          <cell r="E77" t="str">
            <v>UND</v>
          </cell>
          <cell r="F77">
            <v>51.76</v>
          </cell>
        </row>
        <row r="78">
          <cell r="A78" t="str">
            <v>1950893</v>
          </cell>
          <cell r="B78" t="str">
            <v>TAPA VASO BIODEGRADABLE (12,16 on) (UND)</v>
          </cell>
          <cell r="C78" t="str">
            <v>UND</v>
          </cell>
          <cell r="D78">
            <v>18.026</v>
          </cell>
          <cell r="E78" t="str">
            <v>UND</v>
          </cell>
          <cell r="F78">
            <v>18.026</v>
          </cell>
        </row>
        <row r="79">
          <cell r="A79" t="str">
            <v>1950900</v>
          </cell>
          <cell r="B79" t="str">
            <v>BANDEJA NEGRA DELI 120NZAS (252UND)</v>
          </cell>
          <cell r="C79" t="str">
            <v>UND</v>
          </cell>
          <cell r="D79">
            <v>61.023000000000003</v>
          </cell>
          <cell r="E79" t="str">
            <v>UND</v>
          </cell>
          <cell r="F79">
            <v>61.023000000000003</v>
          </cell>
        </row>
        <row r="80">
          <cell r="A80" t="str">
            <v>1950901</v>
          </cell>
          <cell r="B80" t="str">
            <v>TAPA BANDEJA 8/12/16 ONZAS (CAJA=252UND)</v>
          </cell>
          <cell r="C80" t="str">
            <v>UND</v>
          </cell>
          <cell r="D80">
            <v>54.353000000000002</v>
          </cell>
          <cell r="E80" t="str">
            <v>UND</v>
          </cell>
          <cell r="F80">
            <v>54.353000000000002</v>
          </cell>
        </row>
        <row r="81">
          <cell r="A81" t="str">
            <v>1950902</v>
          </cell>
          <cell r="B81" t="str">
            <v>BOLW 35 ONZAS ROSEWARE (ENSALADERA) (220U)</v>
          </cell>
          <cell r="C81" t="str">
            <v>UND</v>
          </cell>
          <cell r="D81">
            <v>171.863</v>
          </cell>
          <cell r="E81" t="str">
            <v>UND</v>
          </cell>
          <cell r="F81">
            <v>171.863</v>
          </cell>
        </row>
        <row r="82">
          <cell r="A82" t="str">
            <v>1950905</v>
          </cell>
          <cell r="B82" t="str">
            <v>BOLSA PANINI IMPRESA (PAQ=500 UND)</v>
          </cell>
          <cell r="C82" t="str">
            <v>UND</v>
          </cell>
          <cell r="D82">
            <v>56.384900000000002</v>
          </cell>
          <cell r="E82" t="str">
            <v>UND</v>
          </cell>
          <cell r="F82">
            <v>56.384900000000002</v>
          </cell>
        </row>
        <row r="83">
          <cell r="A83" t="str">
            <v>1950906</v>
          </cell>
          <cell r="B83" t="str">
            <v>BOLSA PAPAS ANTIGRASA (PAQ=1000 UND)</v>
          </cell>
          <cell r="C83" t="str">
            <v>UND</v>
          </cell>
          <cell r="D83">
            <v>15.433</v>
          </cell>
          <cell r="E83" t="str">
            <v>UND</v>
          </cell>
          <cell r="F83">
            <v>15.433</v>
          </cell>
        </row>
        <row r="84">
          <cell r="A84" t="str">
            <v>1950906</v>
          </cell>
          <cell r="B84" t="str">
            <v>BOLSA PAPAS ANTIGRASA (PAQ=500 UND)</v>
          </cell>
          <cell r="C84" t="str">
            <v>UND</v>
          </cell>
          <cell r="D84">
            <v>16.976300000000002</v>
          </cell>
          <cell r="E84" t="str">
            <v>UND</v>
          </cell>
          <cell r="F84">
            <v>16.976300000000002</v>
          </cell>
        </row>
        <row r="85">
          <cell r="A85" t="str">
            <v>1950914</v>
          </cell>
          <cell r="B85" t="str">
            <v>PORTA VASO 4 CAVIDADES (CAJA=300 UND)</v>
          </cell>
          <cell r="C85" t="str">
            <v>UND</v>
          </cell>
          <cell r="D85">
            <v>54.462100000000007</v>
          </cell>
          <cell r="E85" t="str">
            <v>UND</v>
          </cell>
          <cell r="F85">
            <v>54.462100000000007</v>
          </cell>
        </row>
        <row r="86">
          <cell r="A86" t="str">
            <v>1950920</v>
          </cell>
          <cell r="B86" t="str">
            <v>SUFLE PLASTICO TRASLUCIDO 1 ONZ (PAQ=100 UND)</v>
          </cell>
          <cell r="C86" t="str">
            <v>UND</v>
          </cell>
          <cell r="D86">
            <v>7.5328000000000008</v>
          </cell>
          <cell r="E86" t="str">
            <v>UND</v>
          </cell>
          <cell r="F86">
            <v>7.5328000000000008</v>
          </cell>
        </row>
        <row r="87">
          <cell r="A87" t="str">
            <v>1950921</v>
          </cell>
          <cell r="B87" t="str">
            <v>TAPA SUFLE PLAST .5/.75/1 OZ (PAQ=100 UND)</v>
          </cell>
          <cell r="C87" t="str">
            <v>UND</v>
          </cell>
          <cell r="D87">
            <v>5.5638000000000005</v>
          </cell>
          <cell r="E87" t="str">
            <v>UND</v>
          </cell>
          <cell r="F87">
            <v>5.5638000000000005</v>
          </cell>
        </row>
        <row r="88">
          <cell r="A88" t="str">
            <v>1950925</v>
          </cell>
          <cell r="B88" t="str">
            <v>TAPA VASO BIO 8 ONZAS (100 UND)</v>
          </cell>
          <cell r="C88" t="str">
            <v>UND</v>
          </cell>
          <cell r="D88">
            <v>16.739999999999998</v>
          </cell>
          <cell r="E88" t="str">
            <v>UND</v>
          </cell>
          <cell r="F88">
            <v>16.739999999999998</v>
          </cell>
        </row>
        <row r="89">
          <cell r="A89" t="str">
            <v>1950934</v>
          </cell>
          <cell r="B89" t="str">
            <v>CINTA BORDADA LOGO (ROLLO=20M)</v>
          </cell>
          <cell r="C89" t="str">
            <v>ROLLO</v>
          </cell>
          <cell r="D89">
            <v>6941.2211000000007</v>
          </cell>
          <cell r="E89" t="str">
            <v>UND</v>
          </cell>
          <cell r="F89">
            <v>3.4706105500000004</v>
          </cell>
        </row>
        <row r="90">
          <cell r="A90" t="str">
            <v>1950941</v>
          </cell>
          <cell r="B90" t="str">
            <v>FUNDA VASO BLEND (UND)</v>
          </cell>
          <cell r="C90" t="str">
            <v>UND</v>
          </cell>
          <cell r="D90">
            <v>64.614000000000004</v>
          </cell>
          <cell r="E90" t="str">
            <v>UND</v>
          </cell>
          <cell r="F90">
            <v>64.614000000000004</v>
          </cell>
        </row>
        <row r="91">
          <cell r="A91" t="str">
            <v>1950945</v>
          </cell>
          <cell r="B91" t="str">
            <v>TAPA PLASTICA P/CONT DELI. 8/12/16 ONZ (CAJA=1008 UND)</v>
          </cell>
          <cell r="C91" t="str">
            <v>UND</v>
          </cell>
          <cell r="D91">
            <v>30.794</v>
          </cell>
          <cell r="E91" t="str">
            <v>UND</v>
          </cell>
          <cell r="F91">
            <v>30.794</v>
          </cell>
        </row>
        <row r="92">
          <cell r="A92" t="str">
            <v>1950959</v>
          </cell>
          <cell r="B92" t="str">
            <v>TAPA PLAST. SUFLE 3.25 onz (PAQ=120 UND)</v>
          </cell>
          <cell r="C92" t="str">
            <v>UND</v>
          </cell>
          <cell r="D92">
            <v>10.657</v>
          </cell>
          <cell r="E92" t="str">
            <v>UND</v>
          </cell>
          <cell r="F92">
            <v>10.657</v>
          </cell>
        </row>
        <row r="93">
          <cell r="A93" t="str">
            <v>1952409</v>
          </cell>
          <cell r="B93" t="str">
            <v>BANDEJA  ALUMINIO A-42 (4PORC) ( 500 UND )</v>
          </cell>
          <cell r="C93" t="str">
            <v>UND</v>
          </cell>
          <cell r="D93">
            <v>88.277200000000008</v>
          </cell>
          <cell r="E93" t="str">
            <v>UND</v>
          </cell>
          <cell r="F93">
            <v>88.277200000000008</v>
          </cell>
        </row>
        <row r="94">
          <cell r="A94" t="str">
            <v>1952410</v>
          </cell>
          <cell r="B94" t="str">
            <v>TAPA CONTEN. ALUMINIO A-42 (4 PORC) ( 250 UND )</v>
          </cell>
          <cell r="C94" t="str">
            <v>UND</v>
          </cell>
          <cell r="D94">
            <v>68.890799999999999</v>
          </cell>
          <cell r="E94" t="str">
            <v>UND</v>
          </cell>
          <cell r="F94">
            <v>68.890799999999999</v>
          </cell>
        </row>
        <row r="95">
          <cell r="A95" t="str">
            <v>1952432</v>
          </cell>
          <cell r="B95" t="str">
            <v>TAPA BAND ALUM. DESE 4040 (6 PORC) (CAJA=250 UND)</v>
          </cell>
          <cell r="C95" t="str">
            <v>UND</v>
          </cell>
          <cell r="D95">
            <v>78.601600000000005</v>
          </cell>
          <cell r="E95" t="str">
            <v>UND</v>
          </cell>
          <cell r="F95">
            <v>78.601600000000005</v>
          </cell>
        </row>
        <row r="96">
          <cell r="A96" t="str">
            <v>1952826</v>
          </cell>
          <cell r="B96" t="str">
            <v>TAPA DOMO P/VASO TRASL 16onz ( PAQ*100)</v>
          </cell>
          <cell r="C96" t="str">
            <v>UND</v>
          </cell>
          <cell r="D96">
            <v>41.423800000000007</v>
          </cell>
          <cell r="E96" t="str">
            <v>UND</v>
          </cell>
          <cell r="F96">
            <v>41.423800000000007</v>
          </cell>
        </row>
        <row r="97">
          <cell r="A97" t="str">
            <v>1952832</v>
          </cell>
          <cell r="B97" t="str">
            <v>CONTENEDOR PAPEL BLANCO 8 ONZ (PAQ=50 UND)</v>
          </cell>
          <cell r="C97" t="str">
            <v>UND</v>
          </cell>
          <cell r="D97">
            <v>34.023000000000003</v>
          </cell>
          <cell r="E97" t="str">
            <v>UND</v>
          </cell>
          <cell r="F97">
            <v>34.023000000000003</v>
          </cell>
        </row>
        <row r="98">
          <cell r="A98" t="str">
            <v>1952833</v>
          </cell>
          <cell r="B98" t="str">
            <v>TAPA PLASTICA P/CONTE PAPEL BLANCO (PAQ=50 UND)</v>
          </cell>
          <cell r="C98" t="str">
            <v>UND</v>
          </cell>
          <cell r="D98">
            <v>24.708200000000001</v>
          </cell>
          <cell r="E98" t="str">
            <v>UND</v>
          </cell>
          <cell r="F98">
            <v>24.708200000000001</v>
          </cell>
        </row>
        <row r="99">
          <cell r="A99" t="str">
            <v>1950886</v>
          </cell>
          <cell r="B99" t="str">
            <v>PLATO 10 COMPOSTABLE</v>
          </cell>
          <cell r="C99" t="str">
            <v>UND</v>
          </cell>
          <cell r="D99">
            <v>82.5</v>
          </cell>
          <cell r="E99" t="str">
            <v>UND</v>
          </cell>
          <cell r="F99">
            <v>82.5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7AC-2B17-4BF3-A48C-FB5C40576FA7}">
  <dimension ref="A1:L43"/>
  <sheetViews>
    <sheetView zoomScaleNormal="100" workbookViewId="0">
      <selection activeCell="C16" sqref="C16"/>
    </sheetView>
  </sheetViews>
  <sheetFormatPr baseColWidth="10" defaultColWidth="11.44140625" defaultRowHeight="13.2" x14ac:dyDescent="0.25"/>
  <cols>
    <col min="1" max="1" width="16.33203125" style="3" customWidth="1"/>
    <col min="2" max="2" width="40.5546875" style="3" customWidth="1"/>
    <col min="3" max="3" width="15.5546875" style="3" customWidth="1"/>
    <col min="4" max="4" width="11.44140625" style="3"/>
    <col min="5" max="5" width="13.33203125" style="3" customWidth="1"/>
    <col min="6" max="6" width="12.5546875" style="3" customWidth="1"/>
    <col min="7" max="7" width="15.5546875" style="3" customWidth="1"/>
    <col min="8" max="8" width="16" style="3" customWidth="1"/>
    <col min="9" max="16384" width="11.44140625" style="3"/>
  </cols>
  <sheetData>
    <row r="1" spans="1:8" ht="17.399999999999999" x14ac:dyDescent="0.3">
      <c r="A1" s="384"/>
      <c r="B1" s="368" t="s">
        <v>22</v>
      </c>
      <c r="C1" s="368"/>
      <c r="D1" s="368"/>
      <c r="E1" s="368"/>
      <c r="F1" s="368"/>
      <c r="G1" s="1" t="s">
        <v>21</v>
      </c>
      <c r="H1" s="2"/>
    </row>
    <row r="2" spans="1:8" ht="17.399999999999999" x14ac:dyDescent="0.3">
      <c r="A2" s="385"/>
      <c r="B2" s="369" t="s">
        <v>0</v>
      </c>
      <c r="C2" s="369"/>
      <c r="D2" s="369"/>
      <c r="E2" s="369"/>
      <c r="F2" s="369"/>
      <c r="G2" s="4" t="s">
        <v>20</v>
      </c>
      <c r="H2" s="5"/>
    </row>
    <row r="3" spans="1:8" ht="19.5" customHeight="1" x14ac:dyDescent="0.25">
      <c r="A3" s="385"/>
      <c r="B3" s="370" t="s">
        <v>28</v>
      </c>
      <c r="C3" s="370"/>
      <c r="D3" s="370"/>
      <c r="E3" s="370"/>
      <c r="F3" s="370"/>
      <c r="G3" s="376" t="s">
        <v>19</v>
      </c>
      <c r="H3" s="365"/>
    </row>
    <row r="4" spans="1:8" x14ac:dyDescent="0.25">
      <c r="A4" s="385"/>
      <c r="B4" s="49" t="s">
        <v>18</v>
      </c>
      <c r="C4" s="392" t="s">
        <v>27</v>
      </c>
      <c r="D4" s="392"/>
      <c r="E4" s="392"/>
      <c r="F4" s="392"/>
      <c r="G4" s="376"/>
      <c r="H4" s="365"/>
    </row>
    <row r="5" spans="1:8" ht="15" customHeight="1" thickBot="1" x14ac:dyDescent="0.3">
      <c r="A5" s="386"/>
      <c r="B5" s="50" t="s">
        <v>17</v>
      </c>
      <c r="C5" s="367" t="s">
        <v>25</v>
      </c>
      <c r="D5" s="367"/>
      <c r="E5" s="367"/>
      <c r="F5" s="367"/>
      <c r="G5" s="377"/>
      <c r="H5" s="366"/>
    </row>
    <row r="6" spans="1:8" ht="15" customHeight="1" x14ac:dyDescent="0.25">
      <c r="A6" s="44"/>
      <c r="B6" s="45"/>
      <c r="C6" s="46"/>
      <c r="D6" s="46"/>
      <c r="E6" s="46"/>
      <c r="F6" s="46"/>
      <c r="G6" s="47"/>
      <c r="H6" s="48"/>
    </row>
    <row r="7" spans="1:8" ht="21" customHeight="1" thickBot="1" x14ac:dyDescent="0.35">
      <c r="A7" s="364" t="s">
        <v>23</v>
      </c>
      <c r="B7" s="364"/>
      <c r="C7" s="374"/>
      <c r="D7" s="374"/>
      <c r="E7" s="374"/>
      <c r="F7" s="375" t="s">
        <v>24</v>
      </c>
      <c r="G7" s="375"/>
      <c r="H7" s="57"/>
    </row>
    <row r="8" spans="1:8" ht="26.4" x14ac:dyDescent="0.25">
      <c r="A8" s="387" t="s">
        <v>1</v>
      </c>
      <c r="B8" s="378" t="s">
        <v>2</v>
      </c>
      <c r="C8" s="378" t="s">
        <v>3</v>
      </c>
      <c r="D8" s="378" t="s">
        <v>4</v>
      </c>
      <c r="E8" s="378"/>
      <c r="F8" s="378" t="s">
        <v>16</v>
      </c>
      <c r="G8" s="378"/>
      <c r="H8" s="6" t="s">
        <v>5</v>
      </c>
    </row>
    <row r="9" spans="1:8" ht="27" thickBot="1" x14ac:dyDescent="0.3">
      <c r="A9" s="388"/>
      <c r="B9" s="389"/>
      <c r="C9" s="389"/>
      <c r="D9" s="7" t="s">
        <v>6</v>
      </c>
      <c r="E9" s="8" t="s">
        <v>7</v>
      </c>
      <c r="F9" s="7" t="s">
        <v>6</v>
      </c>
      <c r="G9" s="8" t="s">
        <v>7</v>
      </c>
      <c r="H9" s="56" t="s">
        <v>8</v>
      </c>
    </row>
    <row r="10" spans="1:8" ht="13.8" x14ac:dyDescent="0.25">
      <c r="A10" s="59" t="s">
        <v>29</v>
      </c>
      <c r="B10" s="60" t="s">
        <v>33</v>
      </c>
      <c r="C10" s="61" t="s">
        <v>34</v>
      </c>
      <c r="D10" s="66">
        <v>11680</v>
      </c>
      <c r="E10" s="63" t="s">
        <v>30</v>
      </c>
      <c r="F10" s="37"/>
      <c r="G10" s="54"/>
      <c r="H10" s="55"/>
    </row>
    <row r="11" spans="1:8" ht="13.8" x14ac:dyDescent="0.25">
      <c r="A11" s="64"/>
      <c r="B11" s="65"/>
      <c r="C11" s="61"/>
      <c r="D11" s="62"/>
      <c r="E11" s="63"/>
      <c r="F11" s="37"/>
      <c r="G11" s="54"/>
      <c r="H11" s="55"/>
    </row>
    <row r="12" spans="1:8" ht="15.6" x14ac:dyDescent="0.3">
      <c r="A12" s="51"/>
      <c r="B12" s="52"/>
      <c r="C12" s="53"/>
      <c r="D12" s="53"/>
      <c r="E12" s="53"/>
      <c r="F12" s="37"/>
      <c r="G12" s="54"/>
      <c r="H12" s="55"/>
    </row>
    <row r="13" spans="1:8" ht="13.8" x14ac:dyDescent="0.25">
      <c r="A13" s="64" t="s">
        <v>31</v>
      </c>
      <c r="B13" s="65" t="s">
        <v>32</v>
      </c>
      <c r="C13" s="61" t="s">
        <v>35</v>
      </c>
      <c r="D13" s="62">
        <v>175</v>
      </c>
      <c r="E13" s="63" t="s">
        <v>30</v>
      </c>
      <c r="F13" s="37"/>
      <c r="G13" s="54"/>
      <c r="H13" s="55"/>
    </row>
    <row r="14" spans="1:8" ht="15.6" x14ac:dyDescent="0.3">
      <c r="A14" s="51"/>
      <c r="B14" s="52"/>
      <c r="C14" s="53"/>
      <c r="D14" s="53"/>
      <c r="E14" s="53"/>
      <c r="F14" s="37"/>
      <c r="G14" s="54"/>
      <c r="H14" s="55"/>
    </row>
    <row r="15" spans="1:8" ht="15.6" x14ac:dyDescent="0.3">
      <c r="A15" s="51"/>
      <c r="B15" s="52"/>
      <c r="C15" s="53"/>
      <c r="D15" s="53"/>
      <c r="E15" s="53"/>
      <c r="F15" s="37"/>
      <c r="G15" s="54"/>
      <c r="H15" s="55"/>
    </row>
    <row r="16" spans="1:8" ht="15" x14ac:dyDescent="0.25">
      <c r="A16" s="51"/>
      <c r="B16" s="58" t="s">
        <v>26</v>
      </c>
      <c r="C16" s="53"/>
      <c r="D16" s="53"/>
      <c r="E16" s="53"/>
      <c r="F16" s="37"/>
      <c r="G16" s="54"/>
      <c r="H16" s="55"/>
    </row>
    <row r="17" spans="1:12" ht="15.6" x14ac:dyDescent="0.3">
      <c r="A17" s="51"/>
      <c r="B17" s="52"/>
      <c r="C17" s="53"/>
      <c r="D17" s="53"/>
      <c r="E17" s="53"/>
      <c r="F17" s="37"/>
      <c r="G17" s="54"/>
      <c r="H17" s="55"/>
    </row>
    <row r="18" spans="1:12" ht="15.6" x14ac:dyDescent="0.3">
      <c r="A18" s="51"/>
      <c r="B18" s="52"/>
      <c r="C18" s="53"/>
      <c r="D18" s="53"/>
      <c r="E18" s="53"/>
      <c r="F18" s="37"/>
      <c r="G18" s="54"/>
      <c r="H18" s="55"/>
    </row>
    <row r="19" spans="1:12" ht="15.6" x14ac:dyDescent="0.3">
      <c r="A19" s="51"/>
      <c r="B19" s="52"/>
      <c r="C19" s="53"/>
      <c r="D19" s="53"/>
      <c r="E19" s="53"/>
      <c r="F19" s="37"/>
      <c r="G19" s="54"/>
      <c r="H19" s="55"/>
    </row>
    <row r="20" spans="1:12" ht="13.5" customHeight="1" x14ac:dyDescent="0.25">
      <c r="A20" s="13"/>
      <c r="B20" s="14"/>
      <c r="C20" s="15"/>
      <c r="D20" s="16"/>
      <c r="E20" s="17"/>
      <c r="F20" s="10"/>
      <c r="G20" s="11"/>
      <c r="H20" s="12"/>
    </row>
    <row r="21" spans="1:12" ht="13.8" x14ac:dyDescent="0.25">
      <c r="A21" s="13"/>
      <c r="B21" s="14"/>
      <c r="C21" s="15"/>
      <c r="D21" s="16"/>
      <c r="E21" s="17"/>
      <c r="F21" s="10"/>
      <c r="G21" s="11"/>
      <c r="H21" s="12"/>
    </row>
    <row r="22" spans="1:12" ht="13.8" x14ac:dyDescent="0.25">
      <c r="A22" s="13"/>
      <c r="B22" s="58"/>
      <c r="C22" s="15"/>
      <c r="D22" s="16"/>
      <c r="E22" s="17"/>
      <c r="F22" s="10"/>
      <c r="G22" s="11"/>
      <c r="H22" s="12"/>
    </row>
    <row r="23" spans="1:12" ht="15" x14ac:dyDescent="0.25">
      <c r="A23" s="18"/>
      <c r="B23" s="19"/>
      <c r="C23" s="20"/>
      <c r="D23" s="9"/>
      <c r="E23" s="9"/>
      <c r="F23" s="10"/>
      <c r="G23" s="11"/>
      <c r="H23" s="21"/>
    </row>
    <row r="24" spans="1:12" ht="13.8" x14ac:dyDescent="0.25">
      <c r="A24" s="22"/>
      <c r="B24" s="23"/>
      <c r="C24" s="24"/>
      <c r="D24" s="25"/>
      <c r="E24" s="25"/>
      <c r="F24" s="25"/>
      <c r="G24" s="25"/>
      <c r="H24" s="21"/>
    </row>
    <row r="25" spans="1:12" ht="13.8" thickBot="1" x14ac:dyDescent="0.3">
      <c r="A25" s="26"/>
      <c r="D25" s="27"/>
      <c r="E25" s="28"/>
      <c r="H25" s="29"/>
      <c r="K25" s="30"/>
    </row>
    <row r="26" spans="1:12" ht="13.8" thickBot="1" x14ac:dyDescent="0.3">
      <c r="A26" s="31"/>
      <c r="B26" s="32"/>
      <c r="C26" s="33" t="s">
        <v>6</v>
      </c>
      <c r="D26" s="34" t="s">
        <v>15</v>
      </c>
      <c r="E26" s="35"/>
      <c r="F26" s="32"/>
      <c r="G26" s="32"/>
      <c r="H26" s="36"/>
      <c r="K26" s="30"/>
    </row>
    <row r="27" spans="1:12" x14ac:dyDescent="0.25">
      <c r="A27" s="379" t="s">
        <v>10</v>
      </c>
      <c r="B27" s="380"/>
      <c r="C27" s="37">
        <v>11250</v>
      </c>
      <c r="D27" s="38" t="s">
        <v>30</v>
      </c>
      <c r="E27" s="381"/>
      <c r="F27" s="381"/>
      <c r="G27" s="382"/>
      <c r="H27" s="383"/>
      <c r="K27" s="30"/>
    </row>
    <row r="28" spans="1:12" x14ac:dyDescent="0.25">
      <c r="A28" s="371" t="s">
        <v>9</v>
      </c>
      <c r="B28" s="372"/>
      <c r="C28" s="39">
        <v>36</v>
      </c>
      <c r="D28" s="11" t="s">
        <v>36</v>
      </c>
      <c r="E28" s="373"/>
      <c r="F28" s="373"/>
      <c r="G28" s="390"/>
      <c r="H28" s="391"/>
      <c r="K28" s="30"/>
    </row>
    <row r="29" spans="1:12" x14ac:dyDescent="0.25">
      <c r="A29" s="371" t="s">
        <v>14</v>
      </c>
      <c r="B29" s="372"/>
      <c r="C29" s="11">
        <v>750</v>
      </c>
      <c r="D29" s="11" t="s">
        <v>37</v>
      </c>
      <c r="E29" s="373"/>
      <c r="F29" s="373"/>
      <c r="G29" s="390"/>
      <c r="H29" s="391"/>
      <c r="K29" s="30"/>
    </row>
    <row r="30" spans="1:12" x14ac:dyDescent="0.25">
      <c r="A30" s="371" t="s">
        <v>13</v>
      </c>
      <c r="B30" s="372"/>
      <c r="C30" s="10">
        <v>15</v>
      </c>
      <c r="D30" s="11" t="s">
        <v>30</v>
      </c>
      <c r="E30" s="393"/>
      <c r="F30" s="394"/>
      <c r="G30" s="390"/>
      <c r="H30" s="391"/>
      <c r="K30" s="30"/>
      <c r="L30" s="40"/>
    </row>
    <row r="31" spans="1:12" ht="13.8" thickBot="1" x14ac:dyDescent="0.3">
      <c r="A31" s="398" t="s">
        <v>12</v>
      </c>
      <c r="B31" s="399"/>
      <c r="C31" s="41">
        <v>430</v>
      </c>
      <c r="D31" s="42" t="s">
        <v>30</v>
      </c>
      <c r="E31" s="400"/>
      <c r="F31" s="400"/>
      <c r="G31" s="401"/>
      <c r="H31" s="402"/>
      <c r="K31" s="30"/>
    </row>
    <row r="32" spans="1:12" ht="13.8" thickBot="1" x14ac:dyDescent="0.3">
      <c r="A32" s="409" t="s">
        <v>11</v>
      </c>
      <c r="B32" s="410"/>
      <c r="C32" s="410"/>
      <c r="D32" s="410"/>
      <c r="E32" s="410"/>
      <c r="F32" s="410"/>
      <c r="G32" s="410"/>
      <c r="H32" s="411"/>
    </row>
    <row r="33" spans="1:8" ht="13.8" x14ac:dyDescent="0.25">
      <c r="A33" s="403" t="s">
        <v>38</v>
      </c>
      <c r="B33" s="404"/>
      <c r="C33" s="404"/>
      <c r="D33" s="404"/>
      <c r="E33" s="404"/>
      <c r="F33" s="404"/>
      <c r="G33" s="404"/>
      <c r="H33" s="405"/>
    </row>
    <row r="34" spans="1:8" ht="13.8" x14ac:dyDescent="0.25">
      <c r="A34" s="412" t="s">
        <v>39</v>
      </c>
      <c r="B34" s="413"/>
      <c r="C34" s="413"/>
      <c r="D34" s="413"/>
      <c r="E34" s="413"/>
      <c r="F34" s="413"/>
      <c r="G34" s="413"/>
      <c r="H34" s="414"/>
    </row>
    <row r="35" spans="1:8" ht="13.8" x14ac:dyDescent="0.25">
      <c r="A35" s="412" t="s">
        <v>40</v>
      </c>
      <c r="B35" s="413"/>
      <c r="C35" s="413"/>
      <c r="D35" s="413"/>
      <c r="E35" s="413"/>
      <c r="F35" s="413"/>
      <c r="G35" s="413"/>
      <c r="H35" s="414"/>
    </row>
    <row r="36" spans="1:8" ht="13.8" x14ac:dyDescent="0.25">
      <c r="A36" s="412" t="s">
        <v>41</v>
      </c>
      <c r="B36" s="413"/>
      <c r="C36" s="413"/>
      <c r="D36" s="413"/>
      <c r="E36" s="413"/>
      <c r="F36" s="413"/>
      <c r="G36" s="413"/>
      <c r="H36" s="414"/>
    </row>
    <row r="37" spans="1:8" ht="13.8" x14ac:dyDescent="0.25">
      <c r="A37" s="415"/>
      <c r="B37" s="416"/>
      <c r="C37" s="416"/>
      <c r="D37" s="416"/>
      <c r="E37" s="416"/>
      <c r="F37" s="416"/>
      <c r="G37" s="416"/>
      <c r="H37" s="417"/>
    </row>
    <row r="38" spans="1:8" ht="13.8" x14ac:dyDescent="0.25">
      <c r="A38" s="415"/>
      <c r="B38" s="416"/>
      <c r="C38" s="416"/>
      <c r="D38" s="416"/>
      <c r="E38" s="416"/>
      <c r="F38" s="416"/>
      <c r="G38" s="416"/>
      <c r="H38" s="417"/>
    </row>
    <row r="39" spans="1:8" ht="16.5" customHeight="1" x14ac:dyDescent="0.25">
      <c r="A39" s="406"/>
      <c r="B39" s="407"/>
      <c r="C39" s="407"/>
      <c r="D39" s="407"/>
      <c r="E39" s="407"/>
      <c r="F39" s="407"/>
      <c r="G39" s="407"/>
      <c r="H39" s="408"/>
    </row>
    <row r="40" spans="1:8" ht="16.5" customHeight="1" x14ac:dyDescent="0.25">
      <c r="A40" s="406"/>
      <c r="B40" s="407"/>
      <c r="C40" s="407"/>
      <c r="D40" s="407"/>
      <c r="E40" s="407"/>
      <c r="F40" s="407"/>
      <c r="G40" s="407"/>
      <c r="H40" s="408"/>
    </row>
    <row r="41" spans="1:8" ht="16.5" customHeight="1" thickBot="1" x14ac:dyDescent="0.3">
      <c r="A41" s="395"/>
      <c r="B41" s="396"/>
      <c r="C41" s="396"/>
      <c r="D41" s="396"/>
      <c r="E41" s="396"/>
      <c r="F41" s="396"/>
      <c r="G41" s="396"/>
      <c r="H41" s="397"/>
    </row>
    <row r="43" spans="1:8" x14ac:dyDescent="0.25">
      <c r="A43" s="43"/>
      <c r="B43" s="43"/>
    </row>
  </sheetData>
  <mergeCells count="41">
    <mergeCell ref="A41:H41"/>
    <mergeCell ref="A31:B31"/>
    <mergeCell ref="E31:F31"/>
    <mergeCell ref="G31:H31"/>
    <mergeCell ref="A33:H33"/>
    <mergeCell ref="A39:H39"/>
    <mergeCell ref="A40:H40"/>
    <mergeCell ref="A32:H32"/>
    <mergeCell ref="A34:H34"/>
    <mergeCell ref="A38:H38"/>
    <mergeCell ref="A35:H35"/>
    <mergeCell ref="A36:H36"/>
    <mergeCell ref="A37:H37"/>
    <mergeCell ref="A29:B29"/>
    <mergeCell ref="E29:F29"/>
    <mergeCell ref="G29:H29"/>
    <mergeCell ref="E30:F30"/>
    <mergeCell ref="G30:H30"/>
    <mergeCell ref="A30:B30"/>
    <mergeCell ref="A28:B28"/>
    <mergeCell ref="E28:F28"/>
    <mergeCell ref="C7:E7"/>
    <mergeCell ref="F7:G7"/>
    <mergeCell ref="G3:G5"/>
    <mergeCell ref="F8:G8"/>
    <mergeCell ref="A27:B27"/>
    <mergeCell ref="E27:F27"/>
    <mergeCell ref="G27:H27"/>
    <mergeCell ref="A1:A5"/>
    <mergeCell ref="A8:A9"/>
    <mergeCell ref="B8:B9"/>
    <mergeCell ref="C8:C9"/>
    <mergeCell ref="G28:H28"/>
    <mergeCell ref="D8:E8"/>
    <mergeCell ref="C4:F4"/>
    <mergeCell ref="A7:B7"/>
    <mergeCell ref="H3:H5"/>
    <mergeCell ref="C5:F5"/>
    <mergeCell ref="B1:F1"/>
    <mergeCell ref="B2:F2"/>
    <mergeCell ref="B3:F3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D5FB-805D-4EBC-97E6-942F6B55A9DB}">
  <dimension ref="A1:Q84"/>
  <sheetViews>
    <sheetView topLeftCell="A2" workbookViewId="0">
      <selection activeCell="B59" sqref="B59:E59"/>
    </sheetView>
  </sheetViews>
  <sheetFormatPr baseColWidth="10" defaultColWidth="8.44140625" defaultRowHeight="13.2" x14ac:dyDescent="0.25"/>
  <cols>
    <col min="1" max="1" width="10" style="157" bestFit="1" customWidth="1"/>
    <col min="2" max="2" width="44.33203125" style="157" bestFit="1" customWidth="1"/>
    <col min="3" max="3" width="10.44140625" style="157" bestFit="1" customWidth="1"/>
    <col min="4" max="4" width="10.44140625" style="157" customWidth="1"/>
    <col min="5" max="5" width="9.6640625" style="157" bestFit="1" customWidth="1"/>
    <col min="6" max="6" width="9.5546875" style="157" bestFit="1" customWidth="1"/>
    <col min="7" max="7" width="9.5546875" style="214" bestFit="1" customWidth="1"/>
    <col min="8" max="8" width="10.44140625" style="207" bestFit="1" customWidth="1"/>
    <col min="9" max="9" width="4.5546875" style="207" customWidth="1"/>
    <col min="10" max="10" width="1.6640625" style="156" customWidth="1"/>
    <col min="11" max="11" width="7" style="157" bestFit="1" customWidth="1"/>
    <col min="12" max="12" width="6.33203125" style="157" customWidth="1"/>
    <col min="13" max="13" width="20.44140625" style="157" customWidth="1"/>
    <col min="14" max="14" width="6.44140625" style="157" bestFit="1" customWidth="1"/>
    <col min="15" max="15" width="9.44140625" style="157" customWidth="1"/>
    <col min="16" max="16" width="8.44140625" style="157"/>
    <col min="17" max="17" width="3.33203125" style="157" customWidth="1"/>
    <col min="18" max="16384" width="8.44140625" style="157"/>
  </cols>
  <sheetData>
    <row r="1" spans="1:10" ht="27.75" customHeight="1" x14ac:dyDescent="0.25">
      <c r="A1" s="151"/>
      <c r="B1" s="151"/>
      <c r="C1" s="151"/>
      <c r="D1" s="151"/>
      <c r="E1" s="152" t="s">
        <v>97</v>
      </c>
      <c r="F1" s="150" t="s">
        <v>98</v>
      </c>
      <c r="G1" s="150" t="s">
        <v>99</v>
      </c>
      <c r="H1" s="150" t="s">
        <v>100</v>
      </c>
      <c r="I1" s="155"/>
    </row>
    <row r="2" spans="1:10" ht="30.75" customHeight="1" x14ac:dyDescent="0.25">
      <c r="A2" s="151"/>
      <c r="B2" s="151"/>
      <c r="C2" s="151"/>
      <c r="D2" s="151"/>
      <c r="E2" s="158">
        <f>IFERROR(O55,"")</f>
        <v>21.99367713778177</v>
      </c>
      <c r="F2" s="158">
        <f>IFERROR(H46,"")</f>
        <v>13.591975857665938</v>
      </c>
      <c r="G2" s="158">
        <f>IFERROR(H47,"")</f>
        <v>4.4417376758110014E-2</v>
      </c>
      <c r="H2" s="158">
        <f>IFERROR(H49,"")</f>
        <v>2.9843301763035361</v>
      </c>
      <c r="I2" s="159"/>
    </row>
    <row r="3" spans="1:10" ht="15" customHeight="1" x14ac:dyDescent="0.25">
      <c r="A3" s="151"/>
      <c r="B3" s="151"/>
      <c r="C3" s="151"/>
      <c r="D3" s="151"/>
      <c r="E3" s="151"/>
      <c r="F3" s="160"/>
      <c r="G3" s="160"/>
      <c r="H3" s="160"/>
      <c r="I3" s="160"/>
    </row>
    <row r="4" spans="1:10" ht="24.75" customHeight="1" thickBot="1" x14ac:dyDescent="0.3">
      <c r="A4" s="444"/>
      <c r="B4" s="444"/>
      <c r="C4" s="444"/>
      <c r="D4" s="444"/>
      <c r="E4" s="444"/>
      <c r="F4" s="444"/>
      <c r="G4" s="444"/>
      <c r="H4" s="444"/>
      <c r="I4" s="161"/>
    </row>
    <row r="5" spans="1:10" ht="19.5" customHeight="1" thickBot="1" x14ac:dyDescent="0.3">
      <c r="A5" s="445" t="s">
        <v>101</v>
      </c>
      <c r="B5" s="446"/>
      <c r="C5" s="446"/>
      <c r="D5" s="446"/>
      <c r="E5" s="446"/>
      <c r="F5" s="446"/>
      <c r="G5" s="446"/>
      <c r="H5" s="447"/>
      <c r="I5" s="162"/>
    </row>
    <row r="6" spans="1:10" ht="18" thickBot="1" x14ac:dyDescent="0.3">
      <c r="A6" s="162"/>
      <c r="B6" s="162"/>
      <c r="C6" s="162"/>
      <c r="D6" s="162"/>
      <c r="E6" s="162"/>
      <c r="F6" s="448" t="s">
        <v>102</v>
      </c>
      <c r="G6" s="448"/>
      <c r="H6" s="163">
        <f ca="1">TODAY()</f>
        <v>45756</v>
      </c>
      <c r="I6" s="163"/>
    </row>
    <row r="7" spans="1:10" ht="40.200000000000003" thickBot="1" x14ac:dyDescent="0.3">
      <c r="A7" s="121" t="s">
        <v>103</v>
      </c>
      <c r="B7" s="122" t="s">
        <v>104</v>
      </c>
      <c r="C7" s="122" t="s">
        <v>103</v>
      </c>
      <c r="D7" s="123" t="s">
        <v>105</v>
      </c>
      <c r="E7" s="123" t="s">
        <v>106</v>
      </c>
      <c r="F7" s="123" t="s">
        <v>107</v>
      </c>
      <c r="G7" s="123" t="s">
        <v>108</v>
      </c>
      <c r="H7" s="124" t="s">
        <v>109</v>
      </c>
      <c r="I7" s="164"/>
    </row>
    <row r="8" spans="1:10" ht="13.8" x14ac:dyDescent="0.3">
      <c r="A8" s="165">
        <v>10</v>
      </c>
      <c r="B8" s="157" t="str">
        <f>IFERROR(VLOOKUP($H8,'[1]MP PLANTA'!$A$2:$F$500,2,0),"")</f>
        <v>HARINA HARISOL WINTER (25k)</v>
      </c>
      <c r="C8" s="166">
        <f>+A8</f>
        <v>10</v>
      </c>
      <c r="D8" s="167" t="str">
        <f>IFERROR(VLOOKUP($H8,'[1]MP PLANTA'!$A$2:$F$500,5,0),"")</f>
        <v>Gramo</v>
      </c>
      <c r="E8" s="167">
        <f>IFERROR(VLOOKUP($H8,'[1]MP PLANTA'!$A$2:$F$500,6,0),"")</f>
        <v>0.39438799999999996</v>
      </c>
      <c r="F8" s="167">
        <f>IFERROR(C8*E8,"")</f>
        <v>3.9438799999999996</v>
      </c>
      <c r="G8" s="168">
        <f>IFERROR(F8/$F$59,"")</f>
        <v>5.6816307738569464E-3</v>
      </c>
      <c r="H8" s="169" t="s">
        <v>175</v>
      </c>
      <c r="I8" s="169"/>
      <c r="J8" s="170"/>
    </row>
    <row r="9" spans="1:10" ht="13.8" hidden="1" x14ac:dyDescent="0.3">
      <c r="A9" s="165"/>
      <c r="B9" s="157" t="str">
        <f>IFERROR(VLOOKUP($H9,'[1]MP PLANTA'!$A$2:$F$500,2,0),"")</f>
        <v/>
      </c>
      <c r="C9" s="166">
        <f t="shared" ref="C9:C14" si="0">+A9</f>
        <v>0</v>
      </c>
      <c r="D9" s="167" t="str">
        <f>IFERROR(VLOOKUP($H9,'[1]MP PLANTA'!$A$2:$F$500,5,0),"")</f>
        <v/>
      </c>
      <c r="E9" s="167" t="str">
        <f>IFERROR(VLOOKUP($H9,'[1]MP PLANTA'!$A$2:$F$500,6,0),"")</f>
        <v/>
      </c>
      <c r="F9" s="167" t="str">
        <f t="shared" ref="F9:F14" si="1">IFERROR(C9*E9,"")</f>
        <v/>
      </c>
      <c r="G9" s="168" t="str">
        <f t="shared" ref="G9:G14" si="2">IFERROR(F9/$F$59,"")</f>
        <v/>
      </c>
      <c r="H9" s="169"/>
      <c r="I9" s="169"/>
      <c r="J9" s="170"/>
    </row>
    <row r="10" spans="1:10" ht="13.8" hidden="1" x14ac:dyDescent="0.3">
      <c r="A10" s="165"/>
      <c r="B10" s="157" t="str">
        <f>IFERROR(VLOOKUP($H10,'[1]MP PLANTA'!$A$2:$F$500,2,0),"")</f>
        <v/>
      </c>
      <c r="C10" s="166">
        <f t="shared" si="0"/>
        <v>0</v>
      </c>
      <c r="D10" s="167" t="str">
        <f>IFERROR(VLOOKUP($H10,'[1]MP PLANTA'!$A$2:$F$500,5,0),"")</f>
        <v/>
      </c>
      <c r="E10" s="167" t="str">
        <f>IFERROR(VLOOKUP($H10,'[1]MP PLANTA'!$A$2:$F$500,6,0),"")</f>
        <v/>
      </c>
      <c r="F10" s="167" t="str">
        <f t="shared" si="1"/>
        <v/>
      </c>
      <c r="G10" s="168" t="str">
        <f t="shared" si="2"/>
        <v/>
      </c>
      <c r="H10" s="169"/>
      <c r="I10" s="169"/>
      <c r="J10" s="170"/>
    </row>
    <row r="11" spans="1:10" ht="13.8" hidden="1" x14ac:dyDescent="0.3">
      <c r="A11" s="165"/>
      <c r="B11" s="157" t="str">
        <f>IFERROR(VLOOKUP($H11,'[1]MP PLANTA'!$A$2:$F$500,2,0),"")</f>
        <v/>
      </c>
      <c r="C11" s="166">
        <f t="shared" si="0"/>
        <v>0</v>
      </c>
      <c r="D11" s="167" t="str">
        <f>IFERROR(VLOOKUP($H11,'[1]MP PLANTA'!$A$2:$F$500,5,0),"")</f>
        <v/>
      </c>
      <c r="E11" s="167" t="str">
        <f>IFERROR(VLOOKUP($H11,'[1]MP PLANTA'!$A$2:$F$500,6,0),"")</f>
        <v/>
      </c>
      <c r="F11" s="167" t="str">
        <f t="shared" si="1"/>
        <v/>
      </c>
      <c r="G11" s="168" t="str">
        <f t="shared" si="2"/>
        <v/>
      </c>
      <c r="H11" s="169"/>
      <c r="I11" s="169"/>
      <c r="J11" s="170"/>
    </row>
    <row r="12" spans="1:10" ht="13.8" hidden="1" x14ac:dyDescent="0.3">
      <c r="A12" s="165"/>
      <c r="B12" s="157" t="str">
        <f>IFERROR(VLOOKUP($H12,'[1]MP PLANTA'!$A$2:$F$500,2,0),"")</f>
        <v/>
      </c>
      <c r="C12" s="166">
        <f t="shared" si="0"/>
        <v>0</v>
      </c>
      <c r="D12" s="167" t="str">
        <f>IFERROR(VLOOKUP($H12,'[1]MP PLANTA'!$A$2:$F$500,5,0),"")</f>
        <v/>
      </c>
      <c r="E12" s="167" t="str">
        <f>IFERROR(VLOOKUP($H12,'[1]MP PLANTA'!$A$2:$F$500,6,0),"")</f>
        <v/>
      </c>
      <c r="F12" s="167" t="str">
        <f t="shared" si="1"/>
        <v/>
      </c>
      <c r="G12" s="168" t="str">
        <f t="shared" si="2"/>
        <v/>
      </c>
      <c r="H12" s="169"/>
      <c r="I12" s="169"/>
      <c r="J12" s="170"/>
    </row>
    <row r="13" spans="1:10" ht="13.8" hidden="1" x14ac:dyDescent="0.3">
      <c r="A13" s="165"/>
      <c r="B13" s="157" t="str">
        <f>IFERROR(VLOOKUP($H13,'[1]MP PLANTA'!$A$2:$F$500,2,0),"")</f>
        <v/>
      </c>
      <c r="C13" s="166">
        <f t="shared" si="0"/>
        <v>0</v>
      </c>
      <c r="D13" s="167" t="str">
        <f>IFERROR(VLOOKUP($H13,'[1]MP PLANTA'!$A$2:$F$500,5,0),"")</f>
        <v/>
      </c>
      <c r="E13" s="167" t="str">
        <f>IFERROR(VLOOKUP($H13,'[1]MP PLANTA'!$A$2:$F$500,6,0),"")</f>
        <v/>
      </c>
      <c r="F13" s="167" t="str">
        <f t="shared" si="1"/>
        <v/>
      </c>
      <c r="G13" s="168" t="str">
        <f t="shared" si="2"/>
        <v/>
      </c>
      <c r="H13" s="169"/>
      <c r="I13" s="169"/>
      <c r="J13" s="170"/>
    </row>
    <row r="14" spans="1:10" ht="13.8" hidden="1" x14ac:dyDescent="0.3">
      <c r="A14" s="165"/>
      <c r="B14" s="157" t="str">
        <f>IFERROR(VLOOKUP($H14,'[1]MP PLANTA'!$A$2:$F$500,2,0),"")</f>
        <v/>
      </c>
      <c r="C14" s="166">
        <f t="shared" si="0"/>
        <v>0</v>
      </c>
      <c r="D14" s="167" t="str">
        <f>IFERROR(VLOOKUP($H14,'[1]MP PLANTA'!$A$2:$F$500,5,0),"")</f>
        <v/>
      </c>
      <c r="E14" s="167" t="str">
        <f>IFERROR(VLOOKUP($H14,'[1]MP PLANTA'!$A$2:$F$500,6,0),"")</f>
        <v/>
      </c>
      <c r="F14" s="167" t="str">
        <f t="shared" si="1"/>
        <v/>
      </c>
      <c r="G14" s="168" t="str">
        <f t="shared" si="2"/>
        <v/>
      </c>
      <c r="H14" s="169"/>
      <c r="I14" s="169"/>
      <c r="J14" s="170"/>
    </row>
    <row r="15" spans="1:10" ht="14.4" thickBot="1" x14ac:dyDescent="0.35">
      <c r="A15" s="165"/>
      <c r="C15" s="166"/>
      <c r="D15" s="167"/>
      <c r="E15" s="167"/>
      <c r="F15" s="167"/>
      <c r="G15" s="168"/>
      <c r="H15" s="169"/>
      <c r="I15" s="169"/>
      <c r="J15" s="170"/>
    </row>
    <row r="16" spans="1:10" ht="40.200000000000003" thickBot="1" x14ac:dyDescent="0.3">
      <c r="A16" s="121" t="s">
        <v>103</v>
      </c>
      <c r="B16" s="122" t="s">
        <v>110</v>
      </c>
      <c r="C16" s="122" t="s">
        <v>103</v>
      </c>
      <c r="D16" s="123" t="s">
        <v>105</v>
      </c>
      <c r="E16" s="123" t="s">
        <v>106</v>
      </c>
      <c r="F16" s="123" t="s">
        <v>107</v>
      </c>
      <c r="G16" s="123" t="s">
        <v>108</v>
      </c>
      <c r="H16" s="124" t="s">
        <v>109</v>
      </c>
      <c r="I16" s="164"/>
      <c r="J16" s="170"/>
    </row>
    <row r="17" spans="1:12" ht="13.8" x14ac:dyDescent="0.3">
      <c r="A17" s="165">
        <v>645</v>
      </c>
      <c r="B17" s="157" t="str">
        <f>IFERROR(VLOOKUP($H17,[1]SEMIELABORADOS!$A$1:$J$999,2,0),"")</f>
        <v>PASTA DE ALFAJOR (23.123 Kg)</v>
      </c>
      <c r="C17" s="166">
        <f>+A17</f>
        <v>645</v>
      </c>
      <c r="D17" s="166" t="str">
        <f>IFERROR(VLOOKUP($H17,[1]SEMIELABORADOS!$A$1:$J$999,4,0),"")</f>
        <v>GRAMO</v>
      </c>
      <c r="E17" s="167">
        <f>IFERROR(VLOOKUP($H17,[1]SEMIELABORADOS!$A$1:$J$999,6,0),"")</f>
        <v>0.87894435042165797</v>
      </c>
      <c r="F17" s="167">
        <f>IFERROR(E17*C17,"")</f>
        <v>566.91910602196936</v>
      </c>
      <c r="G17" s="168">
        <f>IFERROR(F17/$F$59,"")</f>
        <v>0.81671476795995079</v>
      </c>
      <c r="H17" s="169" t="s">
        <v>29</v>
      </c>
      <c r="I17" s="169"/>
      <c r="J17" s="170"/>
    </row>
    <row r="18" spans="1:12" ht="13.8" hidden="1" x14ac:dyDescent="0.3">
      <c r="A18" s="165"/>
      <c r="B18" s="157" t="str">
        <f>IFERROR(VLOOKUP($H18,[1]SEMIELABORADOS!$A$1:$J$999,2,0),"")</f>
        <v/>
      </c>
      <c r="C18" s="166">
        <f>+A18</f>
        <v>0</v>
      </c>
      <c r="D18" s="166" t="str">
        <f>IFERROR(VLOOKUP($H18,[1]SEMIELABORADOS!$A$1:$J$999,4,0),"")</f>
        <v/>
      </c>
      <c r="E18" s="167" t="str">
        <f>IFERROR(VLOOKUP($H18,[1]SEMIELABORADOS!$A$1:$J$999,6,0),"")</f>
        <v/>
      </c>
      <c r="F18" s="167" t="str">
        <f>IFERROR(E18*C18,"")</f>
        <v/>
      </c>
      <c r="G18" s="168" t="str">
        <f>IFERROR(F18/$F$59,"")</f>
        <v/>
      </c>
      <c r="H18" s="169"/>
      <c r="I18" s="169"/>
      <c r="J18" s="170"/>
    </row>
    <row r="19" spans="1:12" ht="13.8" hidden="1" x14ac:dyDescent="0.3">
      <c r="A19" s="165"/>
      <c r="B19" s="157" t="str">
        <f>IFERROR(VLOOKUP($H19,[1]SEMIELABORADOS!$A$1:$J$999,2,0),"")</f>
        <v/>
      </c>
      <c r="C19" s="166">
        <f>+A19</f>
        <v>0</v>
      </c>
      <c r="D19" s="166" t="str">
        <f>IFERROR(VLOOKUP($H19,[1]SEMIELABORADOS!$A$1:$J$999,4,0),"")</f>
        <v/>
      </c>
      <c r="E19" s="167" t="str">
        <f>IFERROR(VLOOKUP($H19,[1]SEMIELABORADOS!$A$1:$J$999,6,0),"")</f>
        <v/>
      </c>
      <c r="F19" s="167" t="str">
        <f>IFERROR(E19*C19,"")</f>
        <v/>
      </c>
      <c r="G19" s="168" t="str">
        <f>IFERROR(F19/$F$59,"")</f>
        <v/>
      </c>
      <c r="H19" s="169"/>
      <c r="I19" s="169"/>
      <c r="J19" s="170"/>
    </row>
    <row r="20" spans="1:12" ht="13.8" hidden="1" x14ac:dyDescent="0.3">
      <c r="A20" s="165"/>
      <c r="B20" s="157" t="str">
        <f>IFERROR(VLOOKUP($H20,[1]SEMIELABORADOS!$A$1:$J$999,2,0),"")</f>
        <v/>
      </c>
      <c r="C20" s="166">
        <f>+A20</f>
        <v>0</v>
      </c>
      <c r="D20" s="166" t="str">
        <f>IFERROR(VLOOKUP($H20,[1]SEMIELABORADOS!$A$1:$J$999,4,0),"")</f>
        <v/>
      </c>
      <c r="E20" s="167" t="str">
        <f>IFERROR(VLOOKUP($H20,[1]SEMIELABORADOS!$A$1:$J$999,6,0),"")</f>
        <v/>
      </c>
      <c r="F20" s="167" t="str">
        <f>IFERROR(E20*C20,"")</f>
        <v/>
      </c>
      <c r="G20" s="168" t="str">
        <f>IFERROR(F20/$F$59,"")</f>
        <v/>
      </c>
      <c r="H20" s="169"/>
      <c r="I20" s="169"/>
      <c r="J20" s="170"/>
    </row>
    <row r="21" spans="1:12" ht="13.8" hidden="1" x14ac:dyDescent="0.3">
      <c r="A21" s="165"/>
      <c r="B21" s="157" t="str">
        <f>IFERROR(VLOOKUP($H21,[1]SEMIELABORADOS!$A$1:$J$999,2,0),"")</f>
        <v/>
      </c>
      <c r="C21" s="166">
        <f>+A21</f>
        <v>0</v>
      </c>
      <c r="D21" s="166" t="str">
        <f>IFERROR(VLOOKUP($H21,[1]SEMIELABORADOS!$A$1:$J$999,4,0),"")</f>
        <v/>
      </c>
      <c r="E21" s="167" t="str">
        <f>IFERROR(VLOOKUP($H21,[1]SEMIELABORADOS!$A$1:$J$999,6,0),"")</f>
        <v/>
      </c>
      <c r="F21" s="167" t="str">
        <f>IFERROR(E21*C21,"")</f>
        <v/>
      </c>
      <c r="G21" s="168" t="str">
        <f>IFERROR(F21/$F$59,"")</f>
        <v/>
      </c>
      <c r="H21" s="169"/>
      <c r="I21" s="169"/>
      <c r="J21" s="170"/>
    </row>
    <row r="22" spans="1:12" ht="14.4" thickBot="1" x14ac:dyDescent="0.35">
      <c r="A22" s="165"/>
      <c r="C22" s="166"/>
      <c r="D22" s="166"/>
      <c r="E22" s="167"/>
      <c r="F22" s="167"/>
      <c r="G22" s="168"/>
      <c r="H22" s="169"/>
      <c r="I22" s="169"/>
      <c r="J22" s="170"/>
    </row>
    <row r="23" spans="1:12" ht="40.200000000000003" hidden="1" thickBot="1" x14ac:dyDescent="0.3">
      <c r="A23" s="121" t="s">
        <v>103</v>
      </c>
      <c r="B23" s="122" t="s">
        <v>26</v>
      </c>
      <c r="C23" s="122" t="s">
        <v>103</v>
      </c>
      <c r="D23" s="123" t="s">
        <v>105</v>
      </c>
      <c r="E23" s="123" t="s">
        <v>106</v>
      </c>
      <c r="F23" s="123" t="s">
        <v>107</v>
      </c>
      <c r="G23" s="123" t="s">
        <v>108</v>
      </c>
      <c r="H23" s="124" t="s">
        <v>109</v>
      </c>
      <c r="I23" s="164"/>
    </row>
    <row r="24" spans="1:12" ht="13.8" hidden="1" x14ac:dyDescent="0.3">
      <c r="A24" s="165"/>
      <c r="B24" s="171" t="str">
        <f>IFERROR(VLOOKUP($H24,'[1]EMP PLANTA'!$A$2:$F$500,2,0),"")</f>
        <v/>
      </c>
      <c r="C24" s="166">
        <f t="shared" ref="C24:C29" si="3">+A24</f>
        <v>0</v>
      </c>
      <c r="D24" s="167" t="str">
        <f>IFERROR(VLOOKUP($H24,'[1]EMP PLANTA'!$A$2:$F$500,5,0),"")</f>
        <v/>
      </c>
      <c r="E24" s="167" t="str">
        <f>IFERROR(VLOOKUP($H24,'[1]EMP PLANTA'!$A$2:$F$500,6,0),"")</f>
        <v/>
      </c>
      <c r="F24" s="167" t="str">
        <f t="shared" ref="F24:F29" si="4">IFERROR(E24*C24,"")</f>
        <v/>
      </c>
      <c r="G24" s="168" t="str">
        <f t="shared" ref="G24:G29" si="5">IFERROR(F24/$F$59,"")</f>
        <v/>
      </c>
      <c r="H24" s="172"/>
      <c r="I24" s="172"/>
      <c r="J24" s="170"/>
      <c r="K24" s="443"/>
      <c r="L24" s="443"/>
    </row>
    <row r="25" spans="1:12" ht="13.8" hidden="1" x14ac:dyDescent="0.3">
      <c r="A25" s="165"/>
      <c r="B25" s="171" t="str">
        <f>IFERROR(VLOOKUP($H25,'[1]EMP PLANTA'!$A$2:$F$500,2,0),"")</f>
        <v/>
      </c>
      <c r="C25" s="166">
        <f t="shared" si="3"/>
        <v>0</v>
      </c>
      <c r="D25" s="167" t="str">
        <f>IFERROR(VLOOKUP($H25,'[1]EMP PLANTA'!$A$2:$F$500,5,0),"")</f>
        <v/>
      </c>
      <c r="E25" s="167" t="str">
        <f>IFERROR(VLOOKUP($H25,'[1]EMP PLANTA'!$A$2:$F$500,6,0),"")</f>
        <v/>
      </c>
      <c r="F25" s="167" t="str">
        <f t="shared" si="4"/>
        <v/>
      </c>
      <c r="G25" s="168" t="str">
        <f t="shared" si="5"/>
        <v/>
      </c>
      <c r="H25" s="172"/>
      <c r="I25" s="172"/>
      <c r="J25" s="170"/>
      <c r="K25" s="443"/>
      <c r="L25" s="443"/>
    </row>
    <row r="26" spans="1:12" ht="13.8" hidden="1" x14ac:dyDescent="0.3">
      <c r="A26" s="165"/>
      <c r="B26" s="171" t="str">
        <f>IFERROR(VLOOKUP($H26,'[1]EMP PLANTA'!$A$2:$F$500,2,0),"")</f>
        <v/>
      </c>
      <c r="C26" s="166">
        <f t="shared" si="3"/>
        <v>0</v>
      </c>
      <c r="D26" s="167" t="str">
        <f>IFERROR(VLOOKUP($H26,'[1]EMP PLANTA'!$A$2:$F$500,5,0),"")</f>
        <v/>
      </c>
      <c r="E26" s="167" t="str">
        <f>IFERROR(VLOOKUP($H26,'[1]EMP PLANTA'!$A$2:$F$500,6,0),"")</f>
        <v/>
      </c>
      <c r="F26" s="167" t="str">
        <f t="shared" si="4"/>
        <v/>
      </c>
      <c r="G26" s="168" t="str">
        <f t="shared" si="5"/>
        <v/>
      </c>
      <c r="H26" s="172"/>
      <c r="I26" s="172"/>
      <c r="J26" s="170"/>
      <c r="K26" s="443"/>
      <c r="L26" s="443"/>
    </row>
    <row r="27" spans="1:12" ht="13.8" hidden="1" x14ac:dyDescent="0.3">
      <c r="A27" s="165"/>
      <c r="B27" s="171" t="str">
        <f>IFERROR(VLOOKUP($H27,'[1]EMP PLANTA'!$A$2:$F$500,2,0),"")</f>
        <v/>
      </c>
      <c r="C27" s="166">
        <f t="shared" si="3"/>
        <v>0</v>
      </c>
      <c r="D27" s="167" t="str">
        <f>IFERROR(VLOOKUP($H27,'[1]EMP PLANTA'!$A$2:$F$500,5,0),"")</f>
        <v/>
      </c>
      <c r="E27" s="167" t="str">
        <f>IFERROR(VLOOKUP($H27,'[1]EMP PLANTA'!$A$2:$F$500,6,0),"")</f>
        <v/>
      </c>
      <c r="F27" s="167" t="str">
        <f t="shared" si="4"/>
        <v/>
      </c>
      <c r="G27" s="168" t="str">
        <f t="shared" si="5"/>
        <v/>
      </c>
      <c r="H27" s="172"/>
      <c r="I27" s="172"/>
      <c r="J27" s="170"/>
      <c r="K27" s="443"/>
      <c r="L27" s="443"/>
    </row>
    <row r="28" spans="1:12" ht="13.8" hidden="1" x14ac:dyDescent="0.3">
      <c r="A28" s="165"/>
      <c r="B28" s="171" t="str">
        <f>IFERROR(VLOOKUP($H28,'[1]EMP PLANTA'!$A$2:$F$500,2,0),"")</f>
        <v/>
      </c>
      <c r="C28" s="166">
        <f t="shared" si="3"/>
        <v>0</v>
      </c>
      <c r="D28" s="167" t="str">
        <f>IFERROR(VLOOKUP($H28,'[1]EMP PLANTA'!$A$2:$F$500,5,0),"")</f>
        <v/>
      </c>
      <c r="E28" s="167" t="str">
        <f>IFERROR(VLOOKUP($H28,'[1]EMP PLANTA'!$A$2:$F$500,6,0),"")</f>
        <v/>
      </c>
      <c r="F28" s="167" t="str">
        <f t="shared" si="4"/>
        <v/>
      </c>
      <c r="G28" s="168" t="str">
        <f t="shared" si="5"/>
        <v/>
      </c>
      <c r="H28" s="172"/>
      <c r="I28" s="172"/>
      <c r="J28" s="170"/>
      <c r="K28" s="173"/>
      <c r="L28" s="174"/>
    </row>
    <row r="29" spans="1:12" ht="13.8" hidden="1" x14ac:dyDescent="0.3">
      <c r="A29" s="165"/>
      <c r="B29" s="171" t="str">
        <f>IFERROR(VLOOKUP($H29,'[1]EMP PLANTA'!$A$2:$F$500,2,0),"")</f>
        <v/>
      </c>
      <c r="C29" s="166">
        <f t="shared" si="3"/>
        <v>0</v>
      </c>
      <c r="D29" s="167" t="str">
        <f>IFERROR(VLOOKUP($H29,'[1]EMP PLANTA'!$A$2:$F$500,5,0),"")</f>
        <v/>
      </c>
      <c r="E29" s="167" t="str">
        <f>IFERROR(VLOOKUP($H29,'[1]EMP PLANTA'!$A$2:$F$500,6,0),"")</f>
        <v/>
      </c>
      <c r="F29" s="167" t="str">
        <f t="shared" si="4"/>
        <v/>
      </c>
      <c r="G29" s="168" t="str">
        <f t="shared" si="5"/>
        <v/>
      </c>
      <c r="H29" s="172"/>
      <c r="I29" s="172"/>
      <c r="J29" s="170"/>
    </row>
    <row r="30" spans="1:12" ht="14.4" hidden="1" thickBot="1" x14ac:dyDescent="0.35">
      <c r="A30" s="165"/>
      <c r="B30" s="171"/>
      <c r="C30" s="166"/>
      <c r="D30" s="167"/>
      <c r="E30" s="167"/>
      <c r="F30" s="167"/>
      <c r="G30" s="168"/>
      <c r="H30" s="172"/>
      <c r="I30" s="172"/>
      <c r="J30" s="170"/>
    </row>
    <row r="31" spans="1:12" ht="40.200000000000003" thickBot="1" x14ac:dyDescent="0.3">
      <c r="A31" s="121" t="s">
        <v>103</v>
      </c>
      <c r="B31" s="122" t="s">
        <v>111</v>
      </c>
      <c r="C31" s="122" t="s">
        <v>103</v>
      </c>
      <c r="D31" s="123" t="s">
        <v>105</v>
      </c>
      <c r="E31" s="123" t="s">
        <v>106</v>
      </c>
      <c r="F31" s="123" t="s">
        <v>107</v>
      </c>
      <c r="G31" s="123" t="s">
        <v>108</v>
      </c>
      <c r="H31" s="124" t="s">
        <v>109</v>
      </c>
      <c r="I31" s="164"/>
      <c r="J31" s="170"/>
    </row>
    <row r="32" spans="1:12" ht="13.8" x14ac:dyDescent="0.3">
      <c r="A32" s="165">
        <f>+A17</f>
        <v>645</v>
      </c>
      <c r="B32" s="171" t="s">
        <v>169</v>
      </c>
      <c r="C32" s="166">
        <f>+A32</f>
        <v>645</v>
      </c>
      <c r="D32" s="167" t="s">
        <v>112</v>
      </c>
      <c r="E32" s="167">
        <f>IFERROR(VLOOKUP($H32,[1]SEMIELABORADOS!$A$1:$J$999,8,0),"")</f>
        <v>2.8922943005280938E-3</v>
      </c>
      <c r="F32" s="167">
        <f>IFERROR(E32*C32,"")</f>
        <v>1.8655298238406206</v>
      </c>
      <c r="G32" s="168">
        <f>IFERROR(F32/$F$58,"")</f>
        <v>1.6959362034914733E-2</v>
      </c>
      <c r="H32" s="172" t="s">
        <v>29</v>
      </c>
      <c r="I32" s="172"/>
      <c r="J32" s="170"/>
    </row>
    <row r="33" spans="1:17" ht="13.8" hidden="1" x14ac:dyDescent="0.3">
      <c r="A33" s="165">
        <f>+A18</f>
        <v>0</v>
      </c>
      <c r="B33" s="171"/>
      <c r="C33" s="166">
        <f>+A33</f>
        <v>0</v>
      </c>
      <c r="D33" s="167" t="s">
        <v>112</v>
      </c>
      <c r="E33" s="167" t="str">
        <f>IFERROR(VLOOKUP($H33,[1]SEMIELABORADOS!$A$1:$J$999,8,0),"")</f>
        <v/>
      </c>
      <c r="F33" s="167" t="str">
        <f>IFERROR(E33*C33,"")</f>
        <v/>
      </c>
      <c r="G33" s="168" t="str">
        <f>IFERROR(F33/$F$58,"")</f>
        <v/>
      </c>
      <c r="H33" s="172"/>
      <c r="I33" s="172"/>
      <c r="J33" s="170"/>
    </row>
    <row r="34" spans="1:17" ht="13.8" hidden="1" x14ac:dyDescent="0.3">
      <c r="A34" s="165">
        <f>+A19</f>
        <v>0</v>
      </c>
      <c r="B34" s="171"/>
      <c r="C34" s="166">
        <f>+A34</f>
        <v>0</v>
      </c>
      <c r="D34" s="167" t="s">
        <v>112</v>
      </c>
      <c r="E34" s="167" t="str">
        <f>IFERROR(VLOOKUP($H34,[1]SEMIELABORADOS!$A$1:$J$999,8,0),"")</f>
        <v/>
      </c>
      <c r="F34" s="167" t="str">
        <f>IFERROR(E34*C34,"")</f>
        <v/>
      </c>
      <c r="G34" s="168" t="str">
        <f>IFERROR(F34/$F$58,"")</f>
        <v/>
      </c>
      <c r="H34" s="172"/>
      <c r="I34" s="172"/>
      <c r="J34" s="170"/>
    </row>
    <row r="35" spans="1:17" ht="13.8" hidden="1" x14ac:dyDescent="0.3">
      <c r="A35" s="165">
        <f>+A20</f>
        <v>0</v>
      </c>
      <c r="B35" s="171"/>
      <c r="C35" s="166">
        <f>+A35</f>
        <v>0</v>
      </c>
      <c r="D35" s="167" t="s">
        <v>112</v>
      </c>
      <c r="E35" s="167" t="str">
        <f>IFERROR(VLOOKUP($H35,[1]SEMIELABORADOS!$A$1:$J$999,8,0),"")</f>
        <v/>
      </c>
      <c r="F35" s="167" t="str">
        <f>IFERROR(E35*C35,"")</f>
        <v/>
      </c>
      <c r="G35" s="168" t="str">
        <f>IFERROR(F35/$F$58,"")</f>
        <v/>
      </c>
      <c r="H35" s="172"/>
      <c r="I35" s="172"/>
      <c r="J35" s="170"/>
    </row>
    <row r="36" spans="1:17" ht="13.8" hidden="1" x14ac:dyDescent="0.3">
      <c r="A36" s="165">
        <f>+A21</f>
        <v>0</v>
      </c>
      <c r="B36" s="171"/>
      <c r="C36" s="166">
        <f>+A36</f>
        <v>0</v>
      </c>
      <c r="D36" s="167" t="s">
        <v>112</v>
      </c>
      <c r="E36" s="167" t="str">
        <f>IFERROR(VLOOKUP($H36,[1]SEMIELABORADOS!$A$1:$J$999,8,0),"")</f>
        <v/>
      </c>
      <c r="F36" s="167" t="str">
        <f>IFERROR(E36*C36,"")</f>
        <v/>
      </c>
      <c r="G36" s="168" t="str">
        <f>IFERROR(F36/$F$58,"")</f>
        <v/>
      </c>
      <c r="H36" s="172"/>
      <c r="I36" s="172"/>
      <c r="J36" s="170"/>
    </row>
    <row r="37" spans="1:17" ht="14.4" thickBot="1" x14ac:dyDescent="0.35">
      <c r="A37" s="165"/>
      <c r="B37" s="171"/>
      <c r="C37" s="166"/>
      <c r="D37" s="167"/>
      <c r="E37" s="167"/>
      <c r="F37" s="167"/>
      <c r="G37" s="168"/>
      <c r="H37" s="172"/>
      <c r="I37" s="172"/>
      <c r="J37" s="170"/>
    </row>
    <row r="38" spans="1:17" ht="40.200000000000003" thickBot="1" x14ac:dyDescent="0.3">
      <c r="A38" s="121" t="s">
        <v>103</v>
      </c>
      <c r="B38" s="122" t="s">
        <v>113</v>
      </c>
      <c r="C38" s="122" t="s">
        <v>103</v>
      </c>
      <c r="D38" s="122"/>
      <c r="E38" s="123" t="s">
        <v>106</v>
      </c>
      <c r="F38" s="123" t="s">
        <v>107</v>
      </c>
      <c r="G38" s="123" t="s">
        <v>108</v>
      </c>
      <c r="H38" s="124" t="s">
        <v>109</v>
      </c>
      <c r="I38" s="164"/>
      <c r="J38" s="170"/>
    </row>
    <row r="39" spans="1:17" ht="13.8" x14ac:dyDescent="0.3">
      <c r="A39" s="165">
        <f>+A17</f>
        <v>645</v>
      </c>
      <c r="B39" s="175" t="s">
        <v>169</v>
      </c>
      <c r="C39" s="166">
        <f t="shared" ref="C39:C44" si="6">+A39</f>
        <v>645</v>
      </c>
      <c r="D39" s="166" t="s">
        <v>112</v>
      </c>
      <c r="E39" s="167">
        <f>IFERROR(VLOOKUP($H39,[1]SEMIELABORADOS!$A$1:$J$999,10,0),"")</f>
        <v>2.3785840937594602E-2</v>
      </c>
      <c r="F39" s="167">
        <f t="shared" ref="F39:F44" si="7">IFERROR(C39*E39,"")</f>
        <v>15.341867404748518</v>
      </c>
      <c r="G39" s="168">
        <f t="shared" ref="G39:G44" si="8">IFERROR(F39/$F$59,"")</f>
        <v>2.2101794673076259E-2</v>
      </c>
      <c r="H39" s="176" t="s">
        <v>29</v>
      </c>
      <c r="I39" s="176"/>
      <c r="J39" s="170"/>
    </row>
    <row r="40" spans="1:17" ht="13.8" hidden="1" x14ac:dyDescent="0.3">
      <c r="A40" s="165">
        <f>+A18</f>
        <v>0</v>
      </c>
      <c r="B40" s="175"/>
      <c r="C40" s="166">
        <f t="shared" si="6"/>
        <v>0</v>
      </c>
      <c r="D40" s="166" t="s">
        <v>112</v>
      </c>
      <c r="E40" s="167" t="str">
        <f>IFERROR(VLOOKUP($H40,[1]SEMIELABORADOS!$A$1:$J$999,10,0),"")</f>
        <v/>
      </c>
      <c r="F40" s="167" t="str">
        <f t="shared" si="7"/>
        <v/>
      </c>
      <c r="G40" s="168" t="str">
        <f t="shared" si="8"/>
        <v/>
      </c>
      <c r="H40" s="176"/>
      <c r="I40" s="176"/>
      <c r="J40" s="170"/>
    </row>
    <row r="41" spans="1:17" ht="13.8" hidden="1" x14ac:dyDescent="0.3">
      <c r="A41" s="165">
        <f>+A19</f>
        <v>0</v>
      </c>
      <c r="B41" s="175"/>
      <c r="C41" s="166">
        <f t="shared" si="6"/>
        <v>0</v>
      </c>
      <c r="D41" s="166" t="s">
        <v>112</v>
      </c>
      <c r="E41" s="167" t="str">
        <f>IFERROR(VLOOKUP($H41,[1]SEMIELABORADOS!$A$1:$J$999,10,0),"")</f>
        <v/>
      </c>
      <c r="F41" s="167" t="str">
        <f t="shared" si="7"/>
        <v/>
      </c>
      <c r="G41" s="168" t="str">
        <f t="shared" si="8"/>
        <v/>
      </c>
      <c r="H41" s="176"/>
      <c r="I41" s="176"/>
      <c r="J41" s="170"/>
    </row>
    <row r="42" spans="1:17" ht="13.8" hidden="1" x14ac:dyDescent="0.3">
      <c r="A42" s="165">
        <f>+A20</f>
        <v>0</v>
      </c>
      <c r="B42" s="175"/>
      <c r="C42" s="166">
        <f t="shared" si="6"/>
        <v>0</v>
      </c>
      <c r="D42" s="166" t="s">
        <v>112</v>
      </c>
      <c r="E42" s="167" t="str">
        <f>IFERROR(VLOOKUP($H42,[1]SEMIELABORADOS!$A$1:$J$999,10,0),"")</f>
        <v/>
      </c>
      <c r="F42" s="167" t="str">
        <f t="shared" si="7"/>
        <v/>
      </c>
      <c r="G42" s="168" t="str">
        <f t="shared" si="8"/>
        <v/>
      </c>
      <c r="H42" s="176"/>
      <c r="I42" s="176"/>
      <c r="J42" s="170"/>
    </row>
    <row r="43" spans="1:17" ht="13.8" hidden="1" x14ac:dyDescent="0.3">
      <c r="A43" s="165">
        <f>+A21</f>
        <v>0</v>
      </c>
      <c r="B43" s="175"/>
      <c r="C43" s="166">
        <f t="shared" si="6"/>
        <v>0</v>
      </c>
      <c r="D43" s="166" t="s">
        <v>112</v>
      </c>
      <c r="E43" s="167" t="str">
        <f>IFERROR(VLOOKUP($H43,[1]SEMIELABORADOS!$A$1:$J$999,10,0),"")</f>
        <v/>
      </c>
      <c r="F43" s="167" t="str">
        <f t="shared" si="7"/>
        <v/>
      </c>
      <c r="G43" s="168" t="str">
        <f t="shared" si="8"/>
        <v/>
      </c>
      <c r="H43" s="176"/>
      <c r="I43" s="176"/>
      <c r="J43" s="170"/>
    </row>
    <row r="44" spans="1:17" ht="13.8" x14ac:dyDescent="0.3">
      <c r="A44" s="165">
        <v>1</v>
      </c>
      <c r="B44" s="171" t="s">
        <v>114</v>
      </c>
      <c r="C44" s="166">
        <f t="shared" si="6"/>
        <v>1</v>
      </c>
      <c r="D44" s="166" t="s">
        <v>112</v>
      </c>
      <c r="E44" s="167">
        <f>+F58</f>
        <v>110</v>
      </c>
      <c r="F44" s="167">
        <f t="shared" si="7"/>
        <v>110</v>
      </c>
      <c r="G44" s="168">
        <f t="shared" si="8"/>
        <v>0.15846815448854026</v>
      </c>
      <c r="H44" s="176"/>
      <c r="I44" s="176"/>
      <c r="J44" s="170"/>
    </row>
    <row r="45" spans="1:17" ht="14.4" thickBot="1" x14ac:dyDescent="0.35">
      <c r="A45" s="165"/>
      <c r="B45" s="171"/>
      <c r="C45" s="166"/>
      <c r="D45" s="166"/>
      <c r="E45" s="167"/>
      <c r="F45" s="167"/>
      <c r="G45" s="168"/>
      <c r="H45" s="176"/>
      <c r="I45" s="176"/>
      <c r="J45" s="170"/>
    </row>
    <row r="46" spans="1:17" ht="13.8" thickBot="1" x14ac:dyDescent="0.3">
      <c r="A46" s="177"/>
      <c r="B46" s="433" t="s">
        <v>115</v>
      </c>
      <c r="C46" s="433"/>
      <c r="D46" s="433"/>
      <c r="E46" s="433"/>
      <c r="F46" s="179">
        <f>SUM(F8:F14,F17:F21)</f>
        <v>570.86298602196939</v>
      </c>
      <c r="G46" s="168">
        <f>+F46/$F$59</f>
        <v>0.82239639873380777</v>
      </c>
      <c r="H46" s="180">
        <f>+F46/$D$53</f>
        <v>13.591975857665938</v>
      </c>
      <c r="I46" s="180"/>
      <c r="J46" s="137"/>
      <c r="K46" s="138"/>
      <c r="L46" s="138"/>
      <c r="M46" s="138"/>
      <c r="N46" s="138"/>
      <c r="O46" s="138"/>
      <c r="P46" s="138"/>
      <c r="Q46" s="139"/>
    </row>
    <row r="47" spans="1:17" x14ac:dyDescent="0.25">
      <c r="A47" s="177"/>
      <c r="B47" s="433" t="s">
        <v>116</v>
      </c>
      <c r="C47" s="433"/>
      <c r="D47" s="433"/>
      <c r="E47" s="433"/>
      <c r="F47" s="179">
        <f>SUM(F24:F29,F32:F36)</f>
        <v>1.8655298238406206</v>
      </c>
      <c r="G47" s="168">
        <f>+F47/$F$59</f>
        <v>2.6875188029759525E-3</v>
      </c>
      <c r="H47" s="180">
        <f>+F47/$D$53</f>
        <v>4.4417376758110014E-2</v>
      </c>
      <c r="I47" s="180"/>
      <c r="J47" s="140"/>
      <c r="K47" s="441" t="s">
        <v>117</v>
      </c>
      <c r="L47" s="442"/>
      <c r="M47" s="442"/>
      <c r="N47" s="442"/>
      <c r="O47" s="181">
        <f>+F48</f>
        <v>572.72851584580997</v>
      </c>
      <c r="P47" s="181"/>
      <c r="Q47" s="141"/>
    </row>
    <row r="48" spans="1:17" x14ac:dyDescent="0.25">
      <c r="A48" s="177"/>
      <c r="B48" s="433" t="s">
        <v>118</v>
      </c>
      <c r="C48" s="433"/>
      <c r="D48" s="433"/>
      <c r="E48" s="433"/>
      <c r="F48" s="179">
        <f>+F46+F47</f>
        <v>572.72851584580997</v>
      </c>
      <c r="G48" s="168">
        <f>+F48/$F$59</f>
        <v>0.82508391753678367</v>
      </c>
      <c r="H48" s="180">
        <f>+F48/$D$53</f>
        <v>13.636393234424046</v>
      </c>
      <c r="I48" s="180"/>
      <c r="J48" s="142"/>
      <c r="K48" s="182"/>
      <c r="L48" s="432" t="s">
        <v>119</v>
      </c>
      <c r="M48" s="432"/>
      <c r="N48" s="432"/>
      <c r="O48" s="181">
        <f>+F49</f>
        <v>125.34186740474851</v>
      </c>
      <c r="P48" s="181"/>
      <c r="Q48" s="141"/>
    </row>
    <row r="49" spans="1:17" ht="13.8" thickBot="1" x14ac:dyDescent="0.3">
      <c r="A49" s="177"/>
      <c r="B49" s="178"/>
      <c r="C49" s="433" t="s">
        <v>120</v>
      </c>
      <c r="D49" s="433"/>
      <c r="E49" s="433"/>
      <c r="F49" s="179">
        <f>SUM(F39:F44)</f>
        <v>125.34186740474851</v>
      </c>
      <c r="G49" s="168">
        <f>+F49/$F$59</f>
        <v>0.18056994916161653</v>
      </c>
      <c r="H49" s="180">
        <f>+F49/$D$53</f>
        <v>2.9843301763035361</v>
      </c>
      <c r="I49" s="180"/>
      <c r="J49" s="142"/>
      <c r="K49" s="182"/>
      <c r="L49" s="182"/>
      <c r="M49" s="182" t="s">
        <v>121</v>
      </c>
      <c r="N49" s="183">
        <v>0.01</v>
      </c>
      <c r="O49" s="181">
        <f>O47*N49</f>
        <v>5.7272851584581002</v>
      </c>
      <c r="P49" s="181"/>
      <c r="Q49" s="141"/>
    </row>
    <row r="50" spans="1:17" ht="13.8" thickBot="1" x14ac:dyDescent="0.25">
      <c r="A50" s="177"/>
      <c r="B50" s="184"/>
      <c r="C50" s="184"/>
      <c r="D50" s="184"/>
      <c r="E50" s="184"/>
      <c r="F50" s="185"/>
      <c r="G50" s="168"/>
      <c r="H50" s="118"/>
      <c r="I50" s="180"/>
      <c r="J50" s="142"/>
      <c r="K50" s="186"/>
      <c r="M50" s="187" t="s">
        <v>122</v>
      </c>
      <c r="N50" s="188"/>
      <c r="O50" s="126">
        <f>SUM(O47:O49)</f>
        <v>703.79766840901664</v>
      </c>
      <c r="P50" s="189"/>
      <c r="Q50" s="141"/>
    </row>
    <row r="51" spans="1:17" x14ac:dyDescent="0.25">
      <c r="B51" s="440" t="s">
        <v>123</v>
      </c>
      <c r="C51" s="440"/>
      <c r="D51" s="190">
        <v>630</v>
      </c>
      <c r="E51" s="191"/>
      <c r="G51" s="168"/>
      <c r="H51" s="118"/>
      <c r="I51" s="118"/>
      <c r="J51" s="142"/>
      <c r="K51" s="186"/>
      <c r="L51" s="182"/>
      <c r="M51" s="182" t="s">
        <v>124</v>
      </c>
      <c r="N51" s="192">
        <v>0.25</v>
      </c>
      <c r="O51" s="181">
        <f>+O50*N51</f>
        <v>175.94941710225416</v>
      </c>
      <c r="P51" s="181"/>
      <c r="Q51" s="141"/>
    </row>
    <row r="52" spans="1:17" x14ac:dyDescent="0.25">
      <c r="B52" s="440" t="s">
        <v>125</v>
      </c>
      <c r="C52" s="440"/>
      <c r="D52" s="119">
        <v>15</v>
      </c>
      <c r="E52" s="191"/>
      <c r="G52" s="168"/>
      <c r="H52" s="118"/>
      <c r="I52" s="118"/>
      <c r="J52" s="142"/>
      <c r="K52" s="186"/>
      <c r="L52" s="182"/>
      <c r="M52" s="432" t="s">
        <v>122</v>
      </c>
      <c r="N52" s="432"/>
      <c r="O52" s="181">
        <f>SUM(O50:O51)</f>
        <v>879.74708551127083</v>
      </c>
      <c r="P52" s="181"/>
      <c r="Q52" s="141"/>
    </row>
    <row r="53" spans="1:17" ht="13.8" thickBot="1" x14ac:dyDescent="0.3">
      <c r="B53" s="436" t="s">
        <v>126</v>
      </c>
      <c r="C53" s="436"/>
      <c r="D53" s="190">
        <f>+D51/D52</f>
        <v>42</v>
      </c>
      <c r="E53" s="191"/>
      <c r="F53" s="193"/>
      <c r="G53" s="168"/>
      <c r="H53" s="118"/>
      <c r="I53" s="118"/>
      <c r="J53" s="142"/>
      <c r="K53" s="186"/>
      <c r="L53" s="432" t="s">
        <v>127</v>
      </c>
      <c r="M53" s="432"/>
      <c r="N53" s="192">
        <v>0.05</v>
      </c>
      <c r="O53" s="181">
        <f>+O52*N53</f>
        <v>43.987354275563547</v>
      </c>
      <c r="P53" s="181"/>
      <c r="Q53" s="141"/>
    </row>
    <row r="54" spans="1:17" ht="13.8" thickBot="1" x14ac:dyDescent="0.25">
      <c r="B54" s="436" t="s">
        <v>128</v>
      </c>
      <c r="C54" s="436"/>
      <c r="D54" s="145"/>
      <c r="E54" s="191"/>
      <c r="F54" s="193"/>
      <c r="G54" s="168"/>
      <c r="H54" s="118"/>
      <c r="I54" s="118"/>
      <c r="J54" s="142"/>
      <c r="K54" s="437" t="s">
        <v>129</v>
      </c>
      <c r="L54" s="438"/>
      <c r="M54" s="438"/>
      <c r="N54" s="439"/>
      <c r="O54" s="126">
        <f>SUM(O52:O53)</f>
        <v>923.7344397868344</v>
      </c>
      <c r="P54" s="194" t="s">
        <v>130</v>
      </c>
      <c r="Q54" s="141"/>
    </row>
    <row r="55" spans="1:17" ht="13.8" thickBot="1" x14ac:dyDescent="0.25">
      <c r="C55" s="177" t="s">
        <v>131</v>
      </c>
      <c r="D55" s="149"/>
      <c r="E55" s="155" t="s">
        <v>132</v>
      </c>
      <c r="F55" s="195" t="s">
        <v>133</v>
      </c>
      <c r="G55" s="168"/>
      <c r="H55" s="118"/>
      <c r="I55" s="118"/>
      <c r="J55" s="146"/>
      <c r="K55" s="196"/>
      <c r="L55" s="435" t="s">
        <v>134</v>
      </c>
      <c r="M55" s="435"/>
      <c r="N55" s="435"/>
      <c r="O55" s="197">
        <f>+O54/D53</f>
        <v>21.99367713778177</v>
      </c>
      <c r="P55" s="198">
        <f>+O55/D52</f>
        <v>1.4662451425187846</v>
      </c>
      <c r="Q55" s="143"/>
    </row>
    <row r="56" spans="1:17" ht="13.8" thickBot="1" x14ac:dyDescent="0.25">
      <c r="B56" s="434" t="s">
        <v>118</v>
      </c>
      <c r="C56" s="434"/>
      <c r="D56" s="434"/>
      <c r="E56" s="199">
        <f>+F56/F56</f>
        <v>1</v>
      </c>
      <c r="F56" s="200">
        <f>SUM(F48)</f>
        <v>572.72851584580997</v>
      </c>
      <c r="G56" s="168">
        <f>+F56/$F$59</f>
        <v>0.82508391753678367</v>
      </c>
      <c r="H56" s="118"/>
      <c r="I56" s="118"/>
      <c r="K56" s="429"/>
      <c r="L56" s="430"/>
      <c r="M56" s="430"/>
      <c r="N56" s="430"/>
      <c r="O56" s="147"/>
      <c r="P56" s="148"/>
    </row>
    <row r="57" spans="1:17" ht="13.8" thickBot="1" x14ac:dyDescent="0.3">
      <c r="B57" s="431" t="s">
        <v>135</v>
      </c>
      <c r="C57" s="431"/>
      <c r="D57" s="431"/>
      <c r="E57" s="201">
        <v>0.02</v>
      </c>
      <c r="F57" s="200">
        <f>+F46*E57</f>
        <v>11.417259720439388</v>
      </c>
      <c r="G57" s="168">
        <f>+F57/$F$59</f>
        <v>1.6447927974676153E-2</v>
      </c>
      <c r="H57" s="180"/>
      <c r="I57" s="118"/>
      <c r="J57" s="170"/>
      <c r="O57" s="202"/>
      <c r="P57" s="178"/>
    </row>
    <row r="58" spans="1:17" ht="13.8" thickBot="1" x14ac:dyDescent="0.3">
      <c r="B58" s="423" t="s">
        <v>136</v>
      </c>
      <c r="C58" s="424"/>
      <c r="D58" s="154">
        <v>2</v>
      </c>
      <c r="E58" s="203">
        <v>55</v>
      </c>
      <c r="F58" s="200">
        <f>+E58*D58</f>
        <v>110</v>
      </c>
      <c r="G58" s="168">
        <f>+F58/$F$59</f>
        <v>0.15846815448854026</v>
      </c>
      <c r="H58" s="180"/>
      <c r="I58" s="180"/>
      <c r="J58" s="170"/>
    </row>
    <row r="59" spans="1:17" ht="13.8" thickBot="1" x14ac:dyDescent="0.3">
      <c r="B59" s="420" t="s">
        <v>137</v>
      </c>
      <c r="C59" s="421"/>
      <c r="D59" s="421"/>
      <c r="E59" s="422"/>
      <c r="F59" s="185">
        <f>SUM(F56:F58)</f>
        <v>694.14577556624931</v>
      </c>
      <c r="G59" s="168">
        <f>+F59/$F$59</f>
        <v>1</v>
      </c>
      <c r="H59" s="428"/>
      <c r="I59" s="180"/>
      <c r="J59" s="170"/>
    </row>
    <row r="60" spans="1:17" x14ac:dyDescent="0.25">
      <c r="C60" s="205"/>
      <c r="D60" s="205"/>
      <c r="E60" s="206"/>
      <c r="F60" s="200"/>
      <c r="G60" s="168"/>
      <c r="H60" s="428"/>
      <c r="I60" s="204"/>
      <c r="J60" s="157"/>
    </row>
    <row r="61" spans="1:17" ht="13.8" thickBot="1" x14ac:dyDescent="0.3">
      <c r="B61" s="419" t="s">
        <v>138</v>
      </c>
      <c r="C61" s="419"/>
      <c r="D61" s="419"/>
      <c r="E61" s="419"/>
      <c r="F61" s="419"/>
      <c r="G61" s="168"/>
      <c r="H61" s="120"/>
      <c r="I61" s="204"/>
      <c r="J61" s="157"/>
    </row>
    <row r="62" spans="1:17" ht="13.8" thickBot="1" x14ac:dyDescent="0.3">
      <c r="B62" s="208" t="s">
        <v>139</v>
      </c>
      <c r="C62" s="209">
        <f>+F46</f>
        <v>570.86298602196939</v>
      </c>
      <c r="D62" s="209">
        <f>+D51</f>
        <v>630</v>
      </c>
      <c r="E62" s="125">
        <f>+C62/D62</f>
        <v>0.90613172384439589</v>
      </c>
      <c r="F62" s="168"/>
      <c r="G62" s="120"/>
      <c r="H62" s="170"/>
      <c r="I62" s="120"/>
      <c r="J62" s="157"/>
    </row>
    <row r="63" spans="1:17" x14ac:dyDescent="0.25">
      <c r="B63" s="210"/>
      <c r="C63" s="211"/>
      <c r="D63" s="212"/>
      <c r="E63" s="200"/>
      <c r="F63" s="168"/>
      <c r="G63" s="120"/>
      <c r="H63" s="170"/>
      <c r="I63" s="170"/>
      <c r="J63" s="157"/>
    </row>
    <row r="64" spans="1:17" x14ac:dyDescent="0.25">
      <c r="B64" s="208" t="s">
        <v>140</v>
      </c>
      <c r="C64" s="209">
        <f>SUM(F56:F57)</f>
        <v>584.14577556624931</v>
      </c>
      <c r="D64" s="209">
        <f>+D51</f>
        <v>630</v>
      </c>
      <c r="E64" s="213">
        <f>+C64/D64</f>
        <v>0.92721551677182434</v>
      </c>
      <c r="F64" s="168"/>
      <c r="G64" s="120"/>
      <c r="H64" s="170"/>
      <c r="I64" s="170"/>
      <c r="J64" s="157"/>
    </row>
    <row r="65" spans="2:10" x14ac:dyDescent="0.25">
      <c r="B65" s="208"/>
      <c r="C65" s="209"/>
      <c r="D65" s="209"/>
      <c r="E65" s="213"/>
      <c r="F65" s="168"/>
      <c r="G65" s="120"/>
      <c r="H65" s="170"/>
      <c r="I65" s="170"/>
      <c r="J65" s="157"/>
    </row>
    <row r="66" spans="2:10" ht="13.8" thickBot="1" x14ac:dyDescent="0.3">
      <c r="B66" s="208" t="s">
        <v>141</v>
      </c>
      <c r="C66" s="209">
        <f>+F58</f>
        <v>110</v>
      </c>
      <c r="D66" s="209">
        <f>+D51</f>
        <v>630</v>
      </c>
      <c r="E66" s="213">
        <f>+C66/D66</f>
        <v>0.17460317460317459</v>
      </c>
      <c r="F66" s="168"/>
      <c r="G66" s="120"/>
      <c r="H66" s="170"/>
      <c r="I66" s="170"/>
      <c r="J66" s="157"/>
    </row>
    <row r="67" spans="2:10" ht="13.8" thickBot="1" x14ac:dyDescent="0.3">
      <c r="B67" s="208" t="s">
        <v>142</v>
      </c>
      <c r="C67" s="209">
        <f>+F49</f>
        <v>125.34186740474851</v>
      </c>
      <c r="D67" s="209">
        <f>+D66</f>
        <v>630</v>
      </c>
      <c r="E67" s="125">
        <f>+C67/D67</f>
        <v>0.19895534508690241</v>
      </c>
      <c r="F67" s="168"/>
      <c r="G67" s="120"/>
      <c r="H67" s="170"/>
      <c r="I67" s="170"/>
      <c r="J67" s="157"/>
    </row>
    <row r="68" spans="2:10" ht="13.8" thickBot="1" x14ac:dyDescent="0.3">
      <c r="B68" s="184"/>
      <c r="C68" s="185"/>
      <c r="D68" s="185"/>
      <c r="E68" s="213"/>
      <c r="F68" s="168"/>
      <c r="G68" s="120"/>
      <c r="H68" s="170"/>
      <c r="I68" s="170"/>
      <c r="J68" s="157"/>
    </row>
    <row r="69" spans="2:10" ht="13.8" thickBot="1" x14ac:dyDescent="0.3">
      <c r="B69" s="208" t="s">
        <v>143</v>
      </c>
      <c r="C69" s="209">
        <f>+F47</f>
        <v>1.8655298238406206</v>
      </c>
      <c r="D69" s="209">
        <f>+D67</f>
        <v>630</v>
      </c>
      <c r="E69" s="125">
        <f>+C69/D69</f>
        <v>2.9611584505406675E-3</v>
      </c>
      <c r="F69" s="168"/>
      <c r="G69" s="120"/>
      <c r="H69" s="170"/>
      <c r="I69" s="170"/>
      <c r="J69" s="170"/>
    </row>
    <row r="70" spans="2:10" ht="13.8" thickBot="1" x14ac:dyDescent="0.3">
      <c r="B70" s="184"/>
      <c r="C70" s="185"/>
      <c r="D70" s="185"/>
      <c r="E70" s="213"/>
      <c r="F70" s="168"/>
      <c r="G70" s="120"/>
      <c r="H70" s="170"/>
      <c r="I70" s="170"/>
    </row>
    <row r="71" spans="2:10" ht="13.8" thickBot="1" x14ac:dyDescent="0.3">
      <c r="B71" s="425" t="s">
        <v>144</v>
      </c>
      <c r="C71" s="426"/>
      <c r="D71" s="427"/>
      <c r="E71" s="125">
        <f>+E62+E67</f>
        <v>1.1050870689312984</v>
      </c>
      <c r="G71" s="168"/>
      <c r="H71" s="120"/>
      <c r="I71" s="170"/>
      <c r="J71" s="213"/>
    </row>
    <row r="72" spans="2:10" x14ac:dyDescent="0.25">
      <c r="I72" s="120"/>
      <c r="J72" s="157"/>
    </row>
    <row r="73" spans="2:10" ht="13.8" thickBot="1" x14ac:dyDescent="0.3">
      <c r="B73" s="419" t="s">
        <v>145</v>
      </c>
      <c r="C73" s="419"/>
      <c r="D73" s="419"/>
      <c r="E73" s="419"/>
      <c r="F73" s="419"/>
      <c r="G73" s="168"/>
      <c r="H73" s="120"/>
      <c r="J73" s="157"/>
    </row>
    <row r="74" spans="2:10" ht="13.8" thickBot="1" x14ac:dyDescent="0.3">
      <c r="B74" s="208" t="s">
        <v>139</v>
      </c>
      <c r="C74" s="209">
        <f>+C62</f>
        <v>570.86298602196939</v>
      </c>
      <c r="D74" s="209">
        <f>+D53</f>
        <v>42</v>
      </c>
      <c r="E74" s="125">
        <f>+C74/D74</f>
        <v>13.591975857665938</v>
      </c>
      <c r="F74" s="168"/>
      <c r="G74" s="120"/>
      <c r="H74" s="170"/>
      <c r="I74" s="120"/>
      <c r="J74" s="157"/>
    </row>
    <row r="75" spans="2:10" x14ac:dyDescent="0.25">
      <c r="B75" s="210"/>
      <c r="C75" s="211"/>
      <c r="D75" s="212"/>
      <c r="E75" s="200"/>
      <c r="F75" s="168"/>
      <c r="G75" s="120"/>
      <c r="H75" s="170"/>
      <c r="I75" s="170"/>
      <c r="J75" s="157"/>
    </row>
    <row r="76" spans="2:10" x14ac:dyDescent="0.25">
      <c r="B76" s="208" t="s">
        <v>140</v>
      </c>
      <c r="C76" s="209">
        <f>+C64</f>
        <v>584.14577556624931</v>
      </c>
      <c r="D76" s="209">
        <f>+D53</f>
        <v>42</v>
      </c>
      <c r="E76" s="213">
        <f>+C76/D76</f>
        <v>13.908232751577364</v>
      </c>
      <c r="F76" s="168"/>
      <c r="G76" s="120"/>
      <c r="H76" s="170"/>
      <c r="I76" s="170"/>
      <c r="J76" s="157"/>
    </row>
    <row r="77" spans="2:10" x14ac:dyDescent="0.25">
      <c r="B77" s="208"/>
      <c r="C77" s="209"/>
      <c r="D77" s="209"/>
      <c r="E77" s="213"/>
      <c r="F77" s="168"/>
      <c r="G77" s="120"/>
      <c r="H77" s="170"/>
      <c r="I77" s="170"/>
      <c r="J77" s="157"/>
    </row>
    <row r="78" spans="2:10" ht="13.8" thickBot="1" x14ac:dyDescent="0.3">
      <c r="B78" s="208" t="s">
        <v>142</v>
      </c>
      <c r="C78" s="209">
        <f>+C66</f>
        <v>110</v>
      </c>
      <c r="D78" s="209">
        <f>+D53</f>
        <v>42</v>
      </c>
      <c r="E78" s="213">
        <f>+C78/D78</f>
        <v>2.6190476190476191</v>
      </c>
      <c r="F78" s="215"/>
      <c r="G78" s="207"/>
      <c r="H78" s="156"/>
      <c r="I78" s="170"/>
    </row>
    <row r="79" spans="2:10" ht="13.8" thickBot="1" x14ac:dyDescent="0.3">
      <c r="B79" s="208" t="s">
        <v>142</v>
      </c>
      <c r="C79" s="209">
        <f>+C67</f>
        <v>125.34186740474851</v>
      </c>
      <c r="D79" s="209">
        <f>+D78</f>
        <v>42</v>
      </c>
      <c r="E79" s="125">
        <f>+C79/D79</f>
        <v>2.9843301763035361</v>
      </c>
      <c r="F79" s="214"/>
      <c r="G79" s="207"/>
      <c r="H79" s="156"/>
      <c r="I79" s="156"/>
    </row>
    <row r="80" spans="2:10" x14ac:dyDescent="0.25">
      <c r="I80" s="156"/>
    </row>
    <row r="81" spans="1:5" x14ac:dyDescent="0.25">
      <c r="A81" s="418"/>
      <c r="B81" s="418"/>
      <c r="C81" s="216"/>
      <c r="D81" s="216"/>
      <c r="E81" s="217"/>
    </row>
    <row r="82" spans="1:5" x14ac:dyDescent="0.25">
      <c r="A82" s="171"/>
      <c r="B82" s="218"/>
      <c r="C82" s="219"/>
      <c r="D82" s="219"/>
      <c r="E82" s="220"/>
    </row>
    <row r="83" spans="1:5" x14ac:dyDescent="0.25">
      <c r="A83" s="171"/>
      <c r="B83" s="218"/>
      <c r="C83" s="221"/>
      <c r="D83" s="221"/>
      <c r="E83" s="171"/>
    </row>
    <row r="84" spans="1:5" x14ac:dyDescent="0.25">
      <c r="A84" s="171"/>
      <c r="B84" s="218"/>
      <c r="C84" s="222"/>
      <c r="D84" s="222"/>
      <c r="E84" s="171"/>
    </row>
  </sheetData>
  <mergeCells count="31">
    <mergeCell ref="K24:L24"/>
    <mergeCell ref="K25:L25"/>
    <mergeCell ref="K27:L27"/>
    <mergeCell ref="A4:H4"/>
    <mergeCell ref="A5:H5"/>
    <mergeCell ref="F6:G6"/>
    <mergeCell ref="K26:L26"/>
    <mergeCell ref="B46:E46"/>
    <mergeCell ref="L53:M53"/>
    <mergeCell ref="K47:N47"/>
    <mergeCell ref="B48:E48"/>
    <mergeCell ref="L48:N48"/>
    <mergeCell ref="B47:E47"/>
    <mergeCell ref="H59:H60"/>
    <mergeCell ref="K56:N56"/>
    <mergeCell ref="B57:D57"/>
    <mergeCell ref="M52:N52"/>
    <mergeCell ref="C49:E49"/>
    <mergeCell ref="B56:D56"/>
    <mergeCell ref="L55:N55"/>
    <mergeCell ref="B54:C54"/>
    <mergeCell ref="K54:N54"/>
    <mergeCell ref="B52:C52"/>
    <mergeCell ref="B51:C51"/>
    <mergeCell ref="B53:C53"/>
    <mergeCell ref="A81:B81"/>
    <mergeCell ref="B61:F61"/>
    <mergeCell ref="B73:F73"/>
    <mergeCell ref="B59:E59"/>
    <mergeCell ref="B58:C58"/>
    <mergeCell ref="B71:D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3E27-5FAF-4125-9AA2-A462A79AF61D}">
  <dimension ref="A1:L43"/>
  <sheetViews>
    <sheetView topLeftCell="A16" workbookViewId="0">
      <selection activeCell="D10" sqref="D10"/>
    </sheetView>
  </sheetViews>
  <sheetFormatPr baseColWidth="10" defaultColWidth="11.44140625" defaultRowHeight="13.2" x14ac:dyDescent="0.25"/>
  <cols>
    <col min="1" max="1" width="16.33203125" style="3" customWidth="1"/>
    <col min="2" max="2" width="40.5546875" style="3" customWidth="1"/>
    <col min="3" max="3" width="15.5546875" style="3" customWidth="1"/>
    <col min="4" max="4" width="11.44140625" style="3"/>
    <col min="5" max="5" width="13.33203125" style="3" customWidth="1"/>
    <col min="6" max="6" width="12.5546875" style="3" customWidth="1"/>
    <col min="7" max="7" width="15.5546875" style="3" customWidth="1"/>
    <col min="8" max="8" width="16" style="3" customWidth="1"/>
    <col min="9" max="16384" width="11.44140625" style="3"/>
  </cols>
  <sheetData>
    <row r="1" spans="1:8" ht="17.399999999999999" x14ac:dyDescent="0.3">
      <c r="A1" s="384"/>
      <c r="B1" s="368" t="s">
        <v>22</v>
      </c>
      <c r="C1" s="368"/>
      <c r="D1" s="368"/>
      <c r="E1" s="368"/>
      <c r="F1" s="368"/>
      <c r="G1" s="1" t="s">
        <v>21</v>
      </c>
      <c r="H1" s="2"/>
    </row>
    <row r="2" spans="1:8" ht="17.399999999999999" x14ac:dyDescent="0.3">
      <c r="A2" s="385"/>
      <c r="B2" s="369" t="s">
        <v>0</v>
      </c>
      <c r="C2" s="369"/>
      <c r="D2" s="369"/>
      <c r="E2" s="369"/>
      <c r="F2" s="369"/>
      <c r="G2" s="4" t="s">
        <v>20</v>
      </c>
      <c r="H2" s="5"/>
    </row>
    <row r="3" spans="1:8" ht="19.5" customHeight="1" x14ac:dyDescent="0.25">
      <c r="A3" s="385"/>
      <c r="B3" s="370" t="s">
        <v>60</v>
      </c>
      <c r="C3" s="370"/>
      <c r="D3" s="370"/>
      <c r="E3" s="370"/>
      <c r="F3" s="370"/>
      <c r="G3" s="376" t="s">
        <v>19</v>
      </c>
      <c r="H3" s="365"/>
    </row>
    <row r="4" spans="1:8" x14ac:dyDescent="0.25">
      <c r="A4" s="385"/>
      <c r="B4" s="49" t="s">
        <v>18</v>
      </c>
      <c r="C4" s="392" t="s">
        <v>27</v>
      </c>
      <c r="D4" s="392"/>
      <c r="E4" s="392"/>
      <c r="F4" s="392"/>
      <c r="G4" s="376"/>
      <c r="H4" s="365"/>
    </row>
    <row r="5" spans="1:8" ht="15" customHeight="1" thickBot="1" x14ac:dyDescent="0.3">
      <c r="A5" s="386"/>
      <c r="B5" s="50" t="s">
        <v>17</v>
      </c>
      <c r="C5" s="367" t="s">
        <v>25</v>
      </c>
      <c r="D5" s="367"/>
      <c r="E5" s="367"/>
      <c r="F5" s="367"/>
      <c r="G5" s="377"/>
      <c r="H5" s="366"/>
    </row>
    <row r="6" spans="1:8" ht="15" customHeight="1" x14ac:dyDescent="0.25">
      <c r="A6" s="44"/>
      <c r="B6" s="45"/>
      <c r="C6" s="46"/>
      <c r="D6" s="46"/>
      <c r="E6" s="46"/>
      <c r="F6" s="46"/>
      <c r="G6" s="47"/>
      <c r="H6" s="48"/>
    </row>
    <row r="7" spans="1:8" ht="21" customHeight="1" thickBot="1" x14ac:dyDescent="0.35">
      <c r="A7" s="364" t="s">
        <v>23</v>
      </c>
      <c r="B7" s="364"/>
      <c r="C7" s="374"/>
      <c r="D7" s="374"/>
      <c r="E7" s="374"/>
      <c r="F7" s="375" t="s">
        <v>24</v>
      </c>
      <c r="G7" s="375"/>
      <c r="H7" s="57"/>
    </row>
    <row r="8" spans="1:8" ht="26.4" x14ac:dyDescent="0.25">
      <c r="A8" s="387" t="s">
        <v>1</v>
      </c>
      <c r="B8" s="378" t="s">
        <v>2</v>
      </c>
      <c r="C8" s="378" t="s">
        <v>3</v>
      </c>
      <c r="D8" s="378" t="s">
        <v>4</v>
      </c>
      <c r="E8" s="378"/>
      <c r="F8" s="378" t="s">
        <v>16</v>
      </c>
      <c r="G8" s="378"/>
      <c r="H8" s="6" t="s">
        <v>5</v>
      </c>
    </row>
    <row r="9" spans="1:8" ht="27" thickBot="1" x14ac:dyDescent="0.3">
      <c r="A9" s="388"/>
      <c r="B9" s="389"/>
      <c r="C9" s="389"/>
      <c r="D9" s="7" t="s">
        <v>6</v>
      </c>
      <c r="E9" s="8" t="s">
        <v>7</v>
      </c>
      <c r="F9" s="7" t="s">
        <v>6</v>
      </c>
      <c r="G9" s="8" t="s">
        <v>7</v>
      </c>
      <c r="H9" s="56"/>
    </row>
    <row r="10" spans="1:8" ht="15" x14ac:dyDescent="0.25">
      <c r="A10" s="51" t="s">
        <v>42</v>
      </c>
      <c r="B10" s="67" t="s">
        <v>61</v>
      </c>
      <c r="C10" s="53" t="s">
        <v>34</v>
      </c>
      <c r="D10" s="53">
        <v>43</v>
      </c>
      <c r="E10" s="53" t="s">
        <v>37</v>
      </c>
      <c r="F10" s="37">
        <v>559</v>
      </c>
      <c r="G10" s="54" t="s">
        <v>30</v>
      </c>
      <c r="H10" s="55"/>
    </row>
    <row r="11" spans="1:8" ht="15.6" x14ac:dyDescent="0.3">
      <c r="A11" s="51"/>
      <c r="B11" s="52"/>
      <c r="C11" s="53"/>
      <c r="D11" s="53"/>
      <c r="E11" s="53"/>
      <c r="F11" s="37"/>
      <c r="G11" s="54"/>
      <c r="H11" s="55"/>
    </row>
    <row r="12" spans="1:8" ht="15.6" x14ac:dyDescent="0.3">
      <c r="A12" s="51"/>
      <c r="B12" s="52"/>
      <c r="C12" s="53"/>
      <c r="D12" s="53"/>
      <c r="E12" s="53"/>
      <c r="F12" s="37"/>
      <c r="G12" s="54"/>
      <c r="H12" s="55"/>
    </row>
    <row r="13" spans="1:8" ht="15.6" x14ac:dyDescent="0.3">
      <c r="A13" s="51"/>
      <c r="B13" s="52"/>
      <c r="C13" s="53"/>
      <c r="D13" s="53"/>
      <c r="E13" s="53"/>
      <c r="F13" s="37"/>
      <c r="G13" s="54"/>
      <c r="H13" s="55"/>
    </row>
    <row r="14" spans="1:8" ht="15.6" x14ac:dyDescent="0.3">
      <c r="A14" s="51"/>
      <c r="B14" s="52"/>
      <c r="C14" s="53"/>
      <c r="D14" s="53"/>
      <c r="E14" s="53"/>
      <c r="F14" s="37"/>
      <c r="G14" s="54"/>
      <c r="H14" s="55"/>
    </row>
    <row r="15" spans="1:8" ht="15.6" x14ac:dyDescent="0.3">
      <c r="A15" s="51"/>
      <c r="B15" s="52"/>
      <c r="C15" s="53"/>
      <c r="D15" s="53"/>
      <c r="E15" s="53"/>
      <c r="F15" s="37"/>
      <c r="G15" s="54"/>
      <c r="H15" s="55"/>
    </row>
    <row r="16" spans="1:8" ht="15.6" x14ac:dyDescent="0.3">
      <c r="A16" s="51"/>
      <c r="B16" s="52"/>
      <c r="C16" s="53"/>
      <c r="D16" s="53"/>
      <c r="E16" s="53"/>
      <c r="F16" s="37"/>
      <c r="G16" s="54"/>
      <c r="H16" s="55"/>
    </row>
    <row r="17" spans="1:12" ht="15.6" x14ac:dyDescent="0.3">
      <c r="A17" s="51"/>
      <c r="B17" s="52"/>
      <c r="C17" s="53"/>
      <c r="D17" s="53"/>
      <c r="E17" s="53"/>
      <c r="F17" s="37"/>
      <c r="G17" s="54"/>
      <c r="H17" s="55"/>
    </row>
    <row r="18" spans="1:12" ht="15" x14ac:dyDescent="0.25">
      <c r="A18" s="51"/>
      <c r="B18" s="58" t="s">
        <v>26</v>
      </c>
      <c r="C18" s="53"/>
      <c r="D18" s="53"/>
      <c r="E18" s="53"/>
      <c r="F18" s="37"/>
      <c r="G18" s="54"/>
      <c r="H18" s="55"/>
    </row>
    <row r="19" spans="1:12" ht="13.8" x14ac:dyDescent="0.25">
      <c r="A19" s="64" t="s">
        <v>43</v>
      </c>
      <c r="B19" s="65" t="s">
        <v>44</v>
      </c>
      <c r="C19" s="61" t="s">
        <v>45</v>
      </c>
      <c r="D19" s="68">
        <v>1</v>
      </c>
      <c r="E19" s="63" t="s">
        <v>46</v>
      </c>
      <c r="F19" s="62"/>
      <c r="G19" s="61"/>
      <c r="H19" s="55"/>
    </row>
    <row r="20" spans="1:12" ht="13.5" customHeight="1" x14ac:dyDescent="0.25">
      <c r="A20" s="64" t="s">
        <v>47</v>
      </c>
      <c r="B20" s="65" t="s">
        <v>48</v>
      </c>
      <c r="C20" s="61" t="s">
        <v>49</v>
      </c>
      <c r="D20" s="69">
        <v>0.5</v>
      </c>
      <c r="E20" s="63" t="s">
        <v>46</v>
      </c>
      <c r="F20" s="62"/>
      <c r="G20" s="61"/>
      <c r="H20" s="12"/>
    </row>
    <row r="21" spans="1:12" ht="13.8" x14ac:dyDescent="0.25">
      <c r="A21" s="70" t="s">
        <v>50</v>
      </c>
      <c r="B21" s="71" t="s">
        <v>51</v>
      </c>
      <c r="C21" s="61" t="s">
        <v>52</v>
      </c>
      <c r="D21" s="69">
        <v>0.5</v>
      </c>
      <c r="E21" s="63" t="s">
        <v>46</v>
      </c>
      <c r="F21" s="69"/>
      <c r="G21" s="63"/>
      <c r="H21" s="12"/>
    </row>
    <row r="22" spans="1:12" ht="13.8" x14ac:dyDescent="0.25">
      <c r="A22" s="64" t="s">
        <v>53</v>
      </c>
      <c r="B22" s="65" t="s">
        <v>54</v>
      </c>
      <c r="C22" s="72" t="s">
        <v>55</v>
      </c>
      <c r="D22" s="16">
        <v>1</v>
      </c>
      <c r="E22" s="63" t="s">
        <v>46</v>
      </c>
      <c r="F22" s="10"/>
      <c r="G22" s="11"/>
      <c r="H22" s="12"/>
    </row>
    <row r="23" spans="1:12" ht="15.6" x14ac:dyDescent="0.3">
      <c r="A23" s="73" t="s">
        <v>56</v>
      </c>
      <c r="B23" s="73" t="s">
        <v>57</v>
      </c>
      <c r="C23" s="71" t="s">
        <v>55</v>
      </c>
      <c r="D23" s="9">
        <v>1</v>
      </c>
      <c r="E23" s="63" t="s">
        <v>46</v>
      </c>
      <c r="F23" s="10"/>
      <c r="G23" s="11"/>
      <c r="H23" s="21"/>
    </row>
    <row r="24" spans="1:12" ht="13.8" x14ac:dyDescent="0.25">
      <c r="A24" s="22"/>
      <c r="B24" s="23"/>
      <c r="C24" s="24"/>
      <c r="D24" s="25"/>
      <c r="E24" s="25"/>
      <c r="F24" s="25"/>
      <c r="G24" s="25"/>
      <c r="H24" s="21"/>
    </row>
    <row r="25" spans="1:12" ht="13.8" thickBot="1" x14ac:dyDescent="0.3">
      <c r="A25" s="26"/>
      <c r="D25" s="27"/>
      <c r="E25" s="28"/>
      <c r="H25" s="29"/>
      <c r="K25" s="30"/>
    </row>
    <row r="26" spans="1:12" ht="13.8" thickBot="1" x14ac:dyDescent="0.3">
      <c r="A26" s="31"/>
      <c r="B26" s="32"/>
      <c r="C26" s="33" t="s">
        <v>6</v>
      </c>
      <c r="D26" s="34" t="s">
        <v>15</v>
      </c>
      <c r="E26" s="35"/>
      <c r="F26" s="32"/>
      <c r="G26" s="32"/>
      <c r="H26" s="36"/>
      <c r="K26" s="30"/>
    </row>
    <row r="27" spans="1:12" x14ac:dyDescent="0.25">
      <c r="A27" s="379" t="s">
        <v>10</v>
      </c>
      <c r="B27" s="380"/>
      <c r="C27" s="37">
        <v>546</v>
      </c>
      <c r="D27" s="38" t="s">
        <v>30</v>
      </c>
      <c r="E27" s="381"/>
      <c r="F27" s="381"/>
      <c r="G27" s="382"/>
      <c r="H27" s="383"/>
      <c r="K27" s="30"/>
    </row>
    <row r="28" spans="1:12" x14ac:dyDescent="0.25">
      <c r="A28" s="371" t="s">
        <v>9</v>
      </c>
      <c r="B28" s="372"/>
      <c r="C28" s="39">
        <v>1</v>
      </c>
      <c r="D28" s="11" t="s">
        <v>36</v>
      </c>
      <c r="E28" s="373"/>
      <c r="F28" s="373"/>
      <c r="G28" s="390"/>
      <c r="H28" s="391"/>
      <c r="K28" s="30"/>
    </row>
    <row r="29" spans="1:12" x14ac:dyDescent="0.25">
      <c r="A29" s="371" t="s">
        <v>14</v>
      </c>
      <c r="B29" s="372"/>
      <c r="C29" s="11">
        <v>42</v>
      </c>
      <c r="D29" s="11" t="s">
        <v>37</v>
      </c>
      <c r="E29" s="373"/>
      <c r="F29" s="373"/>
      <c r="G29" s="390"/>
      <c r="H29" s="391"/>
      <c r="K29" s="30"/>
    </row>
    <row r="30" spans="1:12" x14ac:dyDescent="0.25">
      <c r="A30" s="371" t="s">
        <v>13</v>
      </c>
      <c r="B30" s="372"/>
      <c r="C30" s="10">
        <v>546</v>
      </c>
      <c r="D30" s="11" t="s">
        <v>30</v>
      </c>
      <c r="E30" s="393"/>
      <c r="F30" s="394"/>
      <c r="G30" s="390"/>
      <c r="H30" s="391"/>
      <c r="K30" s="30"/>
      <c r="L30" s="40"/>
    </row>
    <row r="31" spans="1:12" ht="13.8" thickBot="1" x14ac:dyDescent="0.3">
      <c r="A31" s="398" t="s">
        <v>12</v>
      </c>
      <c r="B31" s="399"/>
      <c r="C31" s="41">
        <v>13</v>
      </c>
      <c r="D31" s="42" t="s">
        <v>30</v>
      </c>
      <c r="E31" s="400"/>
      <c r="F31" s="400"/>
      <c r="G31" s="401"/>
      <c r="H31" s="402"/>
      <c r="K31" s="30"/>
    </row>
    <row r="32" spans="1:12" ht="13.8" thickBot="1" x14ac:dyDescent="0.3">
      <c r="A32" s="409" t="s">
        <v>11</v>
      </c>
      <c r="B32" s="410"/>
      <c r="C32" s="410"/>
      <c r="D32" s="410"/>
      <c r="E32" s="410"/>
      <c r="F32" s="410"/>
      <c r="G32" s="410"/>
      <c r="H32" s="411"/>
    </row>
    <row r="33" spans="1:8" ht="13.8" x14ac:dyDescent="0.25">
      <c r="A33" s="450" t="s">
        <v>58</v>
      </c>
      <c r="B33" s="450"/>
      <c r="C33" s="450"/>
      <c r="D33" s="450"/>
      <c r="E33" s="450"/>
      <c r="F33" s="450"/>
      <c r="G33" s="450"/>
      <c r="H33" s="450"/>
    </row>
    <row r="34" spans="1:8" ht="15.6" x14ac:dyDescent="0.3">
      <c r="A34" s="449" t="s">
        <v>59</v>
      </c>
      <c r="B34" s="449"/>
      <c r="C34" s="449"/>
      <c r="D34" s="449"/>
      <c r="E34" s="449"/>
      <c r="F34" s="449"/>
      <c r="G34" s="449"/>
      <c r="H34" s="449"/>
    </row>
    <row r="35" spans="1:8" ht="13.8" x14ac:dyDescent="0.25">
      <c r="A35" s="415"/>
      <c r="B35" s="416"/>
      <c r="C35" s="416"/>
      <c r="D35" s="416"/>
      <c r="E35" s="416"/>
      <c r="F35" s="416"/>
      <c r="G35" s="416"/>
      <c r="H35" s="417"/>
    </row>
    <row r="36" spans="1:8" ht="13.8" x14ac:dyDescent="0.25">
      <c r="A36" s="415"/>
      <c r="B36" s="416"/>
      <c r="C36" s="416"/>
      <c r="D36" s="416"/>
      <c r="E36" s="416"/>
      <c r="F36" s="416"/>
      <c r="G36" s="416"/>
      <c r="H36" s="417"/>
    </row>
    <row r="37" spans="1:8" ht="13.8" x14ac:dyDescent="0.25">
      <c r="A37" s="415"/>
      <c r="B37" s="416"/>
      <c r="C37" s="416"/>
      <c r="D37" s="416"/>
      <c r="E37" s="416"/>
      <c r="F37" s="416"/>
      <c r="G37" s="416"/>
      <c r="H37" s="417"/>
    </row>
    <row r="38" spans="1:8" ht="13.8" x14ac:dyDescent="0.25">
      <c r="A38" s="415"/>
      <c r="B38" s="416"/>
      <c r="C38" s="416"/>
      <c r="D38" s="416"/>
      <c r="E38" s="416"/>
      <c r="F38" s="416"/>
      <c r="G38" s="416"/>
      <c r="H38" s="417"/>
    </row>
    <row r="39" spans="1:8" ht="16.5" customHeight="1" x14ac:dyDescent="0.25">
      <c r="A39" s="406"/>
      <c r="B39" s="407"/>
      <c r="C39" s="407"/>
      <c r="D39" s="407"/>
      <c r="E39" s="407"/>
      <c r="F39" s="407"/>
      <c r="G39" s="407"/>
      <c r="H39" s="408"/>
    </row>
    <row r="40" spans="1:8" ht="16.5" customHeight="1" x14ac:dyDescent="0.25">
      <c r="A40" s="406"/>
      <c r="B40" s="407"/>
      <c r="C40" s="407"/>
      <c r="D40" s="407"/>
      <c r="E40" s="407"/>
      <c r="F40" s="407"/>
      <c r="G40" s="407"/>
      <c r="H40" s="408"/>
    </row>
    <row r="41" spans="1:8" ht="16.5" customHeight="1" thickBot="1" x14ac:dyDescent="0.3">
      <c r="A41" s="395"/>
      <c r="B41" s="396"/>
      <c r="C41" s="396"/>
      <c r="D41" s="396"/>
      <c r="E41" s="396"/>
      <c r="F41" s="396"/>
      <c r="G41" s="396"/>
      <c r="H41" s="397"/>
    </row>
    <row r="43" spans="1:8" x14ac:dyDescent="0.25">
      <c r="A43" s="43"/>
      <c r="B43" s="43"/>
    </row>
  </sheetData>
  <mergeCells count="41"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  <mergeCell ref="A27:B27"/>
    <mergeCell ref="E27:F27"/>
    <mergeCell ref="G27:H27"/>
    <mergeCell ref="A28:B28"/>
    <mergeCell ref="E28:F28"/>
    <mergeCell ref="G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H32"/>
    <mergeCell ref="A33:H33"/>
    <mergeCell ref="A34:H34"/>
    <mergeCell ref="A41:H41"/>
    <mergeCell ref="A35:H35"/>
    <mergeCell ref="A36:H36"/>
    <mergeCell ref="A37:H37"/>
    <mergeCell ref="A38:H38"/>
    <mergeCell ref="A39:H39"/>
    <mergeCell ref="A40:H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A5DA-1C38-41B5-B9FB-39C586182642}">
  <dimension ref="A1:I56"/>
  <sheetViews>
    <sheetView tabSelected="1" view="pageBreakPreview" zoomScale="60" zoomScaleNormal="92" workbookViewId="0">
      <selection activeCell="N10" sqref="N10"/>
    </sheetView>
  </sheetViews>
  <sheetFormatPr baseColWidth="10" defaultRowHeight="13.2" x14ac:dyDescent="0.25"/>
  <cols>
    <col min="1" max="1" width="15.44140625" bestFit="1" customWidth="1"/>
    <col min="2" max="2" width="13.5546875" bestFit="1" customWidth="1"/>
    <col min="3" max="3" width="49" customWidth="1"/>
    <col min="4" max="4" width="34.44140625" bestFit="1" customWidth="1"/>
    <col min="5" max="5" width="11.5546875" bestFit="1" customWidth="1"/>
    <col min="8" max="8" width="47.5546875" bestFit="1" customWidth="1"/>
    <col min="9" max="9" width="21.88671875" bestFit="1" customWidth="1"/>
  </cols>
  <sheetData>
    <row r="1" spans="1:9" ht="17.399999999999999" x14ac:dyDescent="0.3">
      <c r="A1" s="460"/>
      <c r="B1" s="461"/>
      <c r="C1" s="466" t="s">
        <v>22</v>
      </c>
      <c r="D1" s="466"/>
      <c r="E1" s="466"/>
      <c r="F1" s="466"/>
      <c r="G1" s="466"/>
      <c r="H1" s="266" t="s">
        <v>21</v>
      </c>
      <c r="I1" s="267" t="s">
        <v>221</v>
      </c>
    </row>
    <row r="2" spans="1:9" ht="18" customHeight="1" thickBot="1" x14ac:dyDescent="0.35">
      <c r="A2" s="462"/>
      <c r="B2" s="463"/>
      <c r="C2" s="467" t="s">
        <v>0</v>
      </c>
      <c r="D2" s="468"/>
      <c r="E2" s="468"/>
      <c r="F2" s="468"/>
      <c r="G2" s="469"/>
      <c r="H2" s="268" t="s">
        <v>20</v>
      </c>
      <c r="I2" s="269" t="s">
        <v>224</v>
      </c>
    </row>
    <row r="3" spans="1:9" ht="31.5" customHeight="1" thickBot="1" x14ac:dyDescent="0.3">
      <c r="A3" s="462"/>
      <c r="B3" s="463"/>
      <c r="C3" s="470" t="s">
        <v>222</v>
      </c>
      <c r="D3" s="470"/>
      <c r="E3" s="470"/>
      <c r="F3" s="470"/>
      <c r="G3" s="470"/>
      <c r="H3" s="471" t="s">
        <v>19</v>
      </c>
      <c r="I3" s="451">
        <v>45614</v>
      </c>
    </row>
    <row r="4" spans="1:9" ht="18" customHeight="1" x14ac:dyDescent="0.25">
      <c r="A4" s="462"/>
      <c r="B4" s="463"/>
      <c r="C4" s="270" t="s">
        <v>18</v>
      </c>
      <c r="D4" s="454" t="s">
        <v>201</v>
      </c>
      <c r="E4" s="455"/>
      <c r="F4" s="455"/>
      <c r="G4" s="456"/>
      <c r="H4" s="472"/>
      <c r="I4" s="452"/>
    </row>
    <row r="5" spans="1:9" ht="17.399999999999999" thickBot="1" x14ac:dyDescent="0.3">
      <c r="A5" s="464"/>
      <c r="B5" s="465"/>
      <c r="C5" s="271" t="s">
        <v>17</v>
      </c>
      <c r="D5" s="457" t="s">
        <v>202</v>
      </c>
      <c r="E5" s="458"/>
      <c r="F5" s="458"/>
      <c r="G5" s="459"/>
      <c r="H5" s="473"/>
      <c r="I5" s="453"/>
    </row>
    <row r="6" spans="1:9" ht="18" thickBot="1" x14ac:dyDescent="0.35">
      <c r="A6" s="364" t="s">
        <v>23</v>
      </c>
      <c r="B6" s="364"/>
      <c r="C6" s="364"/>
      <c r="D6" s="474" t="s">
        <v>199</v>
      </c>
      <c r="E6" s="474"/>
      <c r="F6" s="474"/>
      <c r="G6" s="375" t="s">
        <v>24</v>
      </c>
      <c r="H6" s="375"/>
      <c r="I6" s="272" t="s">
        <v>199</v>
      </c>
    </row>
    <row r="7" spans="1:9" ht="34.799999999999997" x14ac:dyDescent="0.25">
      <c r="A7" s="475" t="s">
        <v>1</v>
      </c>
      <c r="B7" s="477" t="s">
        <v>205</v>
      </c>
      <c r="C7" s="479" t="s">
        <v>2</v>
      </c>
      <c r="D7" s="479" t="s">
        <v>3</v>
      </c>
      <c r="E7" s="479" t="s">
        <v>4</v>
      </c>
      <c r="F7" s="479"/>
      <c r="G7" s="479" t="s">
        <v>16</v>
      </c>
      <c r="H7" s="479"/>
      <c r="I7" s="273" t="s">
        <v>5</v>
      </c>
    </row>
    <row r="8" spans="1:9" ht="35.4" thickBot="1" x14ac:dyDescent="0.35">
      <c r="A8" s="476"/>
      <c r="B8" s="478"/>
      <c r="C8" s="480"/>
      <c r="D8" s="480"/>
      <c r="E8" s="274" t="s">
        <v>6</v>
      </c>
      <c r="F8" s="275" t="s">
        <v>7</v>
      </c>
      <c r="G8" s="274" t="s">
        <v>6</v>
      </c>
      <c r="H8" s="275" t="s">
        <v>7</v>
      </c>
      <c r="I8" s="276" t="s">
        <v>8</v>
      </c>
    </row>
    <row r="9" spans="1:9" ht="18.45" customHeight="1" x14ac:dyDescent="0.35">
      <c r="A9" s="277"/>
      <c r="B9" s="278"/>
      <c r="C9" s="279" t="s">
        <v>211</v>
      </c>
      <c r="D9" s="280"/>
      <c r="E9" s="281"/>
      <c r="F9" s="282"/>
      <c r="G9" s="281"/>
      <c r="H9" s="282"/>
      <c r="I9" s="283"/>
    </row>
    <row r="10" spans="1:9" ht="18" customHeight="1" x14ac:dyDescent="0.35">
      <c r="A10" s="284">
        <v>903000177</v>
      </c>
      <c r="B10" s="284" t="s">
        <v>206</v>
      </c>
      <c r="C10" s="285" t="s">
        <v>61</v>
      </c>
      <c r="D10" s="286" t="s">
        <v>212</v>
      </c>
      <c r="E10" s="287">
        <v>42</v>
      </c>
      <c r="F10" s="288" t="s">
        <v>198</v>
      </c>
      <c r="G10" s="289"/>
      <c r="H10" s="290"/>
      <c r="I10" s="283"/>
    </row>
    <row r="11" spans="1:9" ht="18" x14ac:dyDescent="0.35">
      <c r="A11" s="291"/>
      <c r="B11" s="292"/>
      <c r="C11" s="293"/>
      <c r="D11" s="294"/>
      <c r="E11" s="295"/>
      <c r="F11" s="296"/>
      <c r="G11" s="289"/>
      <c r="H11" s="290"/>
      <c r="I11" s="283"/>
    </row>
    <row r="12" spans="1:9" ht="18" x14ac:dyDescent="0.35">
      <c r="A12" s="297"/>
      <c r="B12" s="284"/>
      <c r="C12" s="298"/>
      <c r="D12" s="294"/>
      <c r="E12" s="295"/>
      <c r="F12" s="296"/>
      <c r="G12" s="299"/>
      <c r="H12" s="290"/>
      <c r="I12" s="283"/>
    </row>
    <row r="13" spans="1:9" ht="18" x14ac:dyDescent="0.35">
      <c r="A13" s="297"/>
      <c r="B13" s="297"/>
      <c r="C13" s="293"/>
      <c r="D13" s="300"/>
      <c r="E13" s="301"/>
      <c r="F13" s="302"/>
      <c r="G13" s="299"/>
      <c r="H13" s="290"/>
      <c r="I13" s="283"/>
    </row>
    <row r="14" spans="1:9" ht="18" x14ac:dyDescent="0.35">
      <c r="A14" s="297"/>
      <c r="B14" s="297"/>
      <c r="C14" s="293"/>
      <c r="D14" s="300"/>
      <c r="E14" s="301"/>
      <c r="F14" s="302"/>
      <c r="G14" s="299"/>
      <c r="H14" s="290"/>
      <c r="I14" s="283"/>
    </row>
    <row r="15" spans="1:9" ht="18" x14ac:dyDescent="0.35">
      <c r="A15" s="303"/>
      <c r="B15" s="297"/>
      <c r="C15" s="304"/>
      <c r="D15" s="305"/>
      <c r="E15" s="305"/>
      <c r="F15" s="305"/>
      <c r="G15" s="281"/>
      <c r="H15" s="290"/>
      <c r="I15" s="283"/>
    </row>
    <row r="16" spans="1:9" ht="18" x14ac:dyDescent="0.35">
      <c r="A16" s="306"/>
      <c r="B16" s="307"/>
      <c r="C16" s="308" t="s">
        <v>131</v>
      </c>
      <c r="D16" s="301"/>
      <c r="E16" s="309"/>
      <c r="F16" s="302"/>
      <c r="G16" s="281"/>
      <c r="H16" s="282"/>
      <c r="I16" s="283"/>
    </row>
    <row r="17" spans="1:9" ht="18" x14ac:dyDescent="0.35">
      <c r="A17" s="310"/>
      <c r="B17" s="311"/>
      <c r="C17" s="312"/>
      <c r="D17" s="313"/>
      <c r="E17" s="314"/>
      <c r="F17" s="315"/>
      <c r="G17" s="281"/>
      <c r="H17" s="282"/>
      <c r="I17" s="283"/>
    </row>
    <row r="18" spans="1:9" ht="18" x14ac:dyDescent="0.35">
      <c r="A18" s="310"/>
      <c r="B18" s="311"/>
      <c r="C18" s="312"/>
      <c r="D18" s="313"/>
      <c r="E18" s="316"/>
      <c r="F18" s="315"/>
      <c r="G18" s="281"/>
      <c r="H18" s="282"/>
      <c r="I18" s="283"/>
    </row>
    <row r="19" spans="1:9" ht="18" x14ac:dyDescent="0.35">
      <c r="A19" s="310"/>
      <c r="B19" s="311"/>
      <c r="C19" s="312"/>
      <c r="D19" s="313"/>
      <c r="E19" s="314"/>
      <c r="F19" s="315"/>
      <c r="G19" s="281"/>
      <c r="H19" s="282"/>
      <c r="I19" s="283"/>
    </row>
    <row r="20" spans="1:9" ht="18" x14ac:dyDescent="0.35">
      <c r="A20" s="310"/>
      <c r="B20" s="311"/>
      <c r="C20" s="312"/>
      <c r="D20" s="313"/>
      <c r="E20" s="317"/>
      <c r="F20" s="318"/>
      <c r="G20" s="281"/>
      <c r="H20" s="282"/>
      <c r="I20" s="283"/>
    </row>
    <row r="21" spans="1:9" ht="18" x14ac:dyDescent="0.35">
      <c r="A21" s="310"/>
      <c r="B21" s="311"/>
      <c r="C21" s="312"/>
      <c r="D21" s="313"/>
      <c r="E21" s="319"/>
      <c r="F21" s="318"/>
      <c r="G21" s="281"/>
      <c r="H21" s="282"/>
      <c r="I21" s="283"/>
    </row>
    <row r="22" spans="1:9" ht="18" x14ac:dyDescent="0.35">
      <c r="A22" s="284"/>
      <c r="B22" s="284"/>
      <c r="C22" s="320"/>
      <c r="D22" s="321"/>
      <c r="E22" s="322"/>
      <c r="F22" s="323"/>
      <c r="G22" s="281"/>
      <c r="H22" s="282"/>
      <c r="I22" s="283"/>
    </row>
    <row r="23" spans="1:9" ht="18" x14ac:dyDescent="0.35">
      <c r="A23" s="297"/>
      <c r="B23" s="297"/>
      <c r="C23" s="304"/>
      <c r="D23" s="324"/>
      <c r="E23" s="325"/>
      <c r="F23" s="323"/>
      <c r="G23" s="281"/>
      <c r="H23" s="282"/>
      <c r="I23" s="283"/>
    </row>
    <row r="24" spans="1:9" ht="18" x14ac:dyDescent="0.35">
      <c r="A24" s="297"/>
      <c r="B24" s="297"/>
      <c r="C24" s="304"/>
      <c r="D24" s="324"/>
      <c r="E24" s="326"/>
      <c r="F24" s="327"/>
      <c r="G24" s="281"/>
      <c r="H24" s="282"/>
      <c r="I24" s="283"/>
    </row>
    <row r="25" spans="1:9" ht="18" x14ac:dyDescent="0.35">
      <c r="A25" s="328"/>
      <c r="B25" s="329"/>
      <c r="C25" s="330" t="s">
        <v>213</v>
      </c>
      <c r="D25" s="331"/>
      <c r="E25" s="332"/>
      <c r="F25" s="282"/>
      <c r="G25" s="281"/>
      <c r="H25" s="320"/>
      <c r="I25" s="283"/>
    </row>
    <row r="26" spans="1:9" ht="18" x14ac:dyDescent="0.35">
      <c r="A26" s="333">
        <v>1950730</v>
      </c>
      <c r="B26" s="333" t="s">
        <v>207</v>
      </c>
      <c r="C26" s="334" t="s">
        <v>177</v>
      </c>
      <c r="D26" s="335" t="s">
        <v>214</v>
      </c>
      <c r="E26" s="336">
        <v>1</v>
      </c>
      <c r="F26" s="337" t="s">
        <v>198</v>
      </c>
      <c r="G26" s="338"/>
      <c r="H26" s="282"/>
      <c r="I26" s="283"/>
    </row>
    <row r="27" spans="1:9" ht="18" x14ac:dyDescent="0.35">
      <c r="A27" s="339">
        <v>1950705</v>
      </c>
      <c r="B27" s="339" t="s">
        <v>208</v>
      </c>
      <c r="C27" s="340" t="s">
        <v>204</v>
      </c>
      <c r="D27" s="335" t="s">
        <v>215</v>
      </c>
      <c r="E27" s="336">
        <v>0.5</v>
      </c>
      <c r="F27" s="337" t="s">
        <v>198</v>
      </c>
      <c r="G27" s="338"/>
      <c r="H27" s="282"/>
      <c r="I27" s="283"/>
    </row>
    <row r="28" spans="1:9" ht="18" x14ac:dyDescent="0.35">
      <c r="A28" s="297">
        <v>702009</v>
      </c>
      <c r="B28" s="297" t="s">
        <v>209</v>
      </c>
      <c r="C28" s="304" t="s">
        <v>178</v>
      </c>
      <c r="D28" s="341" t="s">
        <v>55</v>
      </c>
      <c r="E28" s="326">
        <v>1</v>
      </c>
      <c r="F28" s="299" t="s">
        <v>198</v>
      </c>
      <c r="G28" s="338"/>
      <c r="H28" s="282"/>
      <c r="I28" s="283"/>
    </row>
    <row r="29" spans="1:9" ht="18" x14ac:dyDescent="0.35">
      <c r="A29" s="342">
        <v>702069</v>
      </c>
      <c r="B29" s="342" t="s">
        <v>210</v>
      </c>
      <c r="C29" s="343" t="s">
        <v>179</v>
      </c>
      <c r="D29" s="335" t="s">
        <v>180</v>
      </c>
      <c r="E29" s="336">
        <v>2</v>
      </c>
      <c r="F29" s="337" t="s">
        <v>198</v>
      </c>
      <c r="G29" s="281"/>
      <c r="H29" s="282"/>
      <c r="I29" s="283"/>
    </row>
    <row r="30" spans="1:9" ht="18" x14ac:dyDescent="0.35">
      <c r="A30" s="342"/>
      <c r="B30" s="342"/>
      <c r="C30" s="343"/>
      <c r="D30" s="335"/>
      <c r="E30" s="336"/>
      <c r="F30" s="337"/>
      <c r="G30" s="281"/>
      <c r="H30" s="282"/>
      <c r="I30" s="283"/>
    </row>
    <row r="31" spans="1:9" ht="18" x14ac:dyDescent="0.35">
      <c r="A31" s="342"/>
      <c r="B31" s="342"/>
      <c r="C31" s="343"/>
      <c r="D31" s="335"/>
      <c r="E31" s="336"/>
      <c r="F31" s="337"/>
      <c r="G31" s="344"/>
      <c r="H31" s="282"/>
      <c r="I31" s="283"/>
    </row>
    <row r="32" spans="1:9" ht="18" x14ac:dyDescent="0.35">
      <c r="A32" s="342"/>
      <c r="B32" s="342"/>
      <c r="C32" s="343"/>
      <c r="D32" s="335"/>
      <c r="E32" s="336"/>
      <c r="F32" s="337"/>
      <c r="G32" s="300"/>
      <c r="H32" s="282"/>
      <c r="I32" s="283"/>
    </row>
    <row r="33" spans="1:9" ht="18" x14ac:dyDescent="0.35">
      <c r="A33" s="345"/>
      <c r="B33" s="345"/>
      <c r="C33" s="346"/>
      <c r="D33" s="335"/>
      <c r="E33" s="327"/>
      <c r="F33" s="327"/>
      <c r="G33" s="300"/>
      <c r="H33" s="282"/>
      <c r="I33" s="283"/>
    </row>
    <row r="34" spans="1:9" ht="18" x14ac:dyDescent="0.35">
      <c r="A34" s="333"/>
      <c r="B34" s="297"/>
      <c r="C34" s="334"/>
      <c r="D34" s="341"/>
      <c r="E34" s="326"/>
      <c r="F34" s="299"/>
      <c r="G34" s="300"/>
      <c r="H34" s="282"/>
      <c r="I34" s="283"/>
    </row>
    <row r="35" spans="1:9" ht="18" x14ac:dyDescent="0.35">
      <c r="A35" s="342"/>
      <c r="B35" s="342"/>
      <c r="C35" s="343"/>
      <c r="D35" s="335"/>
      <c r="E35" s="326"/>
      <c r="F35" s="299"/>
      <c r="G35" s="300"/>
      <c r="H35" s="282"/>
      <c r="I35" s="283"/>
    </row>
    <row r="36" spans="1:9" ht="18" x14ac:dyDescent="0.35">
      <c r="A36" s="306"/>
      <c r="B36" s="307"/>
      <c r="C36" s="347"/>
      <c r="D36" s="301"/>
      <c r="E36" s="301"/>
      <c r="F36" s="302"/>
      <c r="G36" s="301"/>
      <c r="H36" s="301"/>
      <c r="I36" s="283"/>
    </row>
    <row r="37" spans="1:9" ht="17.399999999999999" thickBot="1" x14ac:dyDescent="0.3">
      <c r="A37" s="348"/>
      <c r="B37" s="349"/>
      <c r="C37" s="350"/>
      <c r="D37" s="350"/>
      <c r="E37" s="351"/>
      <c r="F37" s="352"/>
      <c r="G37" s="350"/>
      <c r="H37" s="350"/>
      <c r="I37" s="353"/>
    </row>
    <row r="38" spans="1:9" ht="18" thickBot="1" x14ac:dyDescent="0.35">
      <c r="A38" s="354"/>
      <c r="B38" s="355"/>
      <c r="C38" s="356"/>
      <c r="D38" s="357" t="s">
        <v>6</v>
      </c>
      <c r="E38" s="358" t="s">
        <v>15</v>
      </c>
      <c r="F38" s="359"/>
      <c r="G38" s="356"/>
      <c r="H38" s="356"/>
      <c r="I38" s="360"/>
    </row>
    <row r="39" spans="1:9" ht="17.399999999999999" x14ac:dyDescent="0.3">
      <c r="A39" s="481" t="s">
        <v>10</v>
      </c>
      <c r="B39" s="482"/>
      <c r="C39" s="483"/>
      <c r="D39" s="325">
        <v>546</v>
      </c>
      <c r="E39" s="361" t="s">
        <v>30</v>
      </c>
      <c r="F39" s="484" t="s">
        <v>216</v>
      </c>
      <c r="G39" s="484"/>
      <c r="H39" s="485"/>
      <c r="I39" s="486"/>
    </row>
    <row r="40" spans="1:9" ht="17.399999999999999" x14ac:dyDescent="0.3">
      <c r="A40" s="487" t="s">
        <v>9</v>
      </c>
      <c r="B40" s="488"/>
      <c r="C40" s="489"/>
      <c r="D40" s="326">
        <v>1</v>
      </c>
      <c r="E40" s="299" t="s">
        <v>36</v>
      </c>
      <c r="F40" s="490" t="s">
        <v>217</v>
      </c>
      <c r="G40" s="490"/>
      <c r="H40" s="491"/>
      <c r="I40" s="492"/>
    </row>
    <row r="41" spans="1:9" ht="17.399999999999999" x14ac:dyDescent="0.3">
      <c r="A41" s="487" t="s">
        <v>14</v>
      </c>
      <c r="B41" s="488"/>
      <c r="C41" s="489"/>
      <c r="D41" s="326">
        <v>42</v>
      </c>
      <c r="E41" s="299" t="s">
        <v>198</v>
      </c>
      <c r="F41" s="490" t="s">
        <v>218</v>
      </c>
      <c r="G41" s="490"/>
      <c r="H41" s="491"/>
      <c r="I41" s="492"/>
    </row>
    <row r="42" spans="1:9" ht="17.399999999999999" x14ac:dyDescent="0.3">
      <c r="A42" s="487" t="s">
        <v>13</v>
      </c>
      <c r="B42" s="488"/>
      <c r="C42" s="489"/>
      <c r="D42" s="326">
        <v>546</v>
      </c>
      <c r="E42" s="299" t="s">
        <v>30</v>
      </c>
      <c r="F42" s="494" t="s">
        <v>219</v>
      </c>
      <c r="G42" s="495"/>
      <c r="H42" s="496"/>
      <c r="I42" s="497"/>
    </row>
    <row r="43" spans="1:9" ht="18" thickBot="1" x14ac:dyDescent="0.35">
      <c r="A43" s="498" t="s">
        <v>12</v>
      </c>
      <c r="B43" s="499"/>
      <c r="C43" s="500"/>
      <c r="D43" s="362">
        <v>0</v>
      </c>
      <c r="E43" s="363" t="s">
        <v>30</v>
      </c>
      <c r="F43" s="501"/>
      <c r="G43" s="501"/>
      <c r="H43" s="491"/>
      <c r="I43" s="492"/>
    </row>
    <row r="44" spans="1:9" ht="18" thickBot="1" x14ac:dyDescent="0.35">
      <c r="A44" s="502" t="s">
        <v>11</v>
      </c>
      <c r="B44" s="503"/>
      <c r="C44" s="503"/>
      <c r="D44" s="503"/>
      <c r="E44" s="503"/>
      <c r="F44" s="503"/>
      <c r="G44" s="503"/>
      <c r="H44" s="503"/>
      <c r="I44" s="504"/>
    </row>
    <row r="45" spans="1:9" ht="18.45" customHeight="1" x14ac:dyDescent="0.35">
      <c r="A45" s="493" t="s">
        <v>200</v>
      </c>
      <c r="B45" s="493"/>
      <c r="C45" s="493"/>
      <c r="D45" s="493"/>
      <c r="E45" s="493"/>
      <c r="F45" s="493"/>
      <c r="G45" s="493"/>
      <c r="H45" s="493"/>
      <c r="I45" s="493"/>
    </row>
    <row r="46" spans="1:9" ht="14.7" customHeight="1" x14ac:dyDescent="0.35">
      <c r="A46" s="493" t="s">
        <v>203</v>
      </c>
      <c r="B46" s="493"/>
      <c r="C46" s="493"/>
      <c r="D46" s="493"/>
      <c r="E46" s="493"/>
      <c r="F46" s="493"/>
      <c r="G46" s="493"/>
      <c r="H46" s="493"/>
      <c r="I46" s="493"/>
    </row>
    <row r="47" spans="1:9" ht="14.7" customHeight="1" x14ac:dyDescent="0.3">
      <c r="A47" s="514"/>
      <c r="B47" s="515"/>
      <c r="C47" s="515"/>
      <c r="D47" s="515"/>
      <c r="E47" s="515"/>
      <c r="F47" s="515"/>
      <c r="G47" s="515"/>
      <c r="H47" s="515"/>
      <c r="I47" s="516"/>
    </row>
    <row r="48" spans="1:9" ht="14.7" customHeight="1" x14ac:dyDescent="0.3">
      <c r="A48" s="514"/>
      <c r="B48" s="515"/>
      <c r="C48" s="515"/>
      <c r="D48" s="515"/>
      <c r="E48" s="515"/>
      <c r="F48" s="515"/>
      <c r="G48" s="515"/>
      <c r="H48" s="515"/>
      <c r="I48" s="516"/>
    </row>
    <row r="49" spans="1:9" ht="14.7" customHeight="1" x14ac:dyDescent="0.3">
      <c r="A49" s="514"/>
      <c r="B49" s="515"/>
      <c r="C49" s="515"/>
      <c r="D49" s="515"/>
      <c r="E49" s="515"/>
      <c r="F49" s="515"/>
      <c r="G49" s="515"/>
      <c r="H49" s="515"/>
      <c r="I49" s="516"/>
    </row>
    <row r="50" spans="1:9" ht="14.7" customHeight="1" x14ac:dyDescent="0.35">
      <c r="A50" s="517"/>
      <c r="B50" s="518"/>
      <c r="C50" s="518"/>
      <c r="D50" s="518"/>
      <c r="E50" s="518"/>
      <c r="F50" s="518"/>
      <c r="G50" s="518"/>
      <c r="H50" s="518"/>
      <c r="I50" s="519"/>
    </row>
    <row r="51" spans="1:9" ht="18" customHeight="1" x14ac:dyDescent="0.35">
      <c r="A51" s="520"/>
      <c r="B51" s="521"/>
      <c r="C51" s="522"/>
      <c r="D51" s="522"/>
      <c r="E51" s="522"/>
      <c r="F51" s="522"/>
      <c r="G51" s="522"/>
      <c r="H51" s="522"/>
      <c r="I51" s="523"/>
    </row>
    <row r="52" spans="1:9" ht="17.399999999999999" x14ac:dyDescent="0.3">
      <c r="A52" s="524"/>
      <c r="B52" s="525"/>
      <c r="C52" s="525"/>
      <c r="D52" s="525"/>
      <c r="E52" s="525"/>
      <c r="F52" s="525"/>
      <c r="G52" s="525"/>
      <c r="H52" s="525"/>
      <c r="I52" s="526"/>
    </row>
    <row r="53" spans="1:9" ht="18" thickBot="1" x14ac:dyDescent="0.35">
      <c r="A53" s="505"/>
      <c r="B53" s="506"/>
      <c r="C53" s="506"/>
      <c r="D53" s="506"/>
      <c r="E53" s="506"/>
      <c r="F53" s="506"/>
      <c r="G53" s="506"/>
      <c r="H53" s="506"/>
      <c r="I53" s="507"/>
    </row>
    <row r="54" spans="1:9" ht="17.399999999999999" x14ac:dyDescent="0.3">
      <c r="A54" s="508" t="s">
        <v>220</v>
      </c>
      <c r="B54" s="509"/>
      <c r="C54" s="509"/>
      <c r="D54" s="509"/>
      <c r="E54" s="509"/>
      <c r="F54" s="509"/>
      <c r="G54" s="509"/>
      <c r="H54" s="509"/>
      <c r="I54" s="509"/>
    </row>
    <row r="55" spans="1:9" ht="16.8" x14ac:dyDescent="0.25">
      <c r="A55" s="510" t="s">
        <v>223</v>
      </c>
      <c r="B55" s="511"/>
      <c r="C55" s="511"/>
      <c r="D55" s="511"/>
      <c r="E55" s="511"/>
      <c r="F55" s="511"/>
      <c r="G55" s="511"/>
      <c r="H55" s="511"/>
      <c r="I55" s="511"/>
    </row>
    <row r="56" spans="1:9" x14ac:dyDescent="0.25">
      <c r="A56" s="512"/>
      <c r="B56" s="513"/>
      <c r="C56" s="513"/>
      <c r="D56" s="513"/>
      <c r="E56" s="513"/>
      <c r="F56" s="513"/>
      <c r="G56" s="513"/>
      <c r="H56" s="513"/>
      <c r="I56" s="513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6394-0093-46CD-A270-3BCFE7513C58}">
  <dimension ref="A1:Q84"/>
  <sheetViews>
    <sheetView topLeftCell="A4" workbookViewId="0">
      <selection activeCell="D26" sqref="D26"/>
    </sheetView>
  </sheetViews>
  <sheetFormatPr baseColWidth="10" defaultColWidth="8.44140625" defaultRowHeight="13.2" x14ac:dyDescent="0.25"/>
  <cols>
    <col min="1" max="1" width="10" style="157" bestFit="1" customWidth="1"/>
    <col min="2" max="2" width="44.33203125" style="157" bestFit="1" customWidth="1"/>
    <col min="3" max="3" width="10.44140625" style="157" bestFit="1" customWidth="1"/>
    <col min="4" max="4" width="10.44140625" style="157" customWidth="1"/>
    <col min="5" max="5" width="9.6640625" style="157" bestFit="1" customWidth="1"/>
    <col min="6" max="6" width="9.5546875" style="157" bestFit="1" customWidth="1"/>
    <col min="7" max="7" width="9.5546875" style="214" bestFit="1" customWidth="1"/>
    <col min="8" max="8" width="10.44140625" style="207" bestFit="1" customWidth="1"/>
    <col min="9" max="9" width="4.5546875" style="207" customWidth="1"/>
    <col min="10" max="10" width="1.6640625" style="156" customWidth="1"/>
    <col min="11" max="11" width="7" style="157" bestFit="1" customWidth="1"/>
    <col min="12" max="12" width="6.33203125" style="157" customWidth="1"/>
    <col min="13" max="13" width="20.44140625" style="157" customWidth="1"/>
    <col min="14" max="14" width="6.44140625" style="157" bestFit="1" customWidth="1"/>
    <col min="15" max="16" width="8.44140625" style="157"/>
    <col min="17" max="17" width="3.33203125" style="157" customWidth="1"/>
    <col min="18" max="16384" width="8.44140625" style="157"/>
  </cols>
  <sheetData>
    <row r="1" spans="1:10" ht="27.75" customHeight="1" x14ac:dyDescent="0.25">
      <c r="A1" s="151"/>
      <c r="B1" s="151"/>
      <c r="C1" s="151"/>
      <c r="D1" s="151"/>
      <c r="E1" s="152" t="s">
        <v>97</v>
      </c>
      <c r="F1" s="150" t="s">
        <v>98</v>
      </c>
      <c r="G1" s="150" t="s">
        <v>99</v>
      </c>
      <c r="H1" s="150" t="s">
        <v>100</v>
      </c>
      <c r="I1" s="155"/>
    </row>
    <row r="2" spans="1:10" ht="30.75" customHeight="1" x14ac:dyDescent="0.25">
      <c r="A2" s="151"/>
      <c r="B2" s="151"/>
      <c r="C2" s="151"/>
      <c r="D2" s="151"/>
      <c r="E2" s="158">
        <f>IFERROR(O55,"")</f>
        <v>1037.836922322251</v>
      </c>
      <c r="F2" s="158">
        <f>IFERROR(H46,"")</f>
        <v>570.86298602196939</v>
      </c>
      <c r="G2" s="158">
        <f>IFERROR(H47,"")</f>
        <v>33.484564268285069</v>
      </c>
      <c r="H2" s="158">
        <f>IFERROR(H49,"")</f>
        <v>180.34186740474851</v>
      </c>
      <c r="I2" s="159"/>
    </row>
    <row r="3" spans="1:10" ht="15" customHeight="1" x14ac:dyDescent="0.25">
      <c r="A3" s="151"/>
      <c r="B3" s="151"/>
      <c r="C3" s="151"/>
      <c r="D3" s="151"/>
      <c r="E3" s="151"/>
      <c r="F3" s="160"/>
      <c r="G3" s="160"/>
      <c r="H3" s="160"/>
      <c r="I3" s="160"/>
    </row>
    <row r="4" spans="1:10" ht="24.75" customHeight="1" thickBot="1" x14ac:dyDescent="0.3">
      <c r="A4" s="444"/>
      <c r="B4" s="444"/>
      <c r="C4" s="444"/>
      <c r="D4" s="444"/>
      <c r="E4" s="444"/>
      <c r="F4" s="444"/>
      <c r="G4" s="444"/>
      <c r="H4" s="444"/>
      <c r="I4" s="161"/>
    </row>
    <row r="5" spans="1:10" ht="19.5" customHeight="1" thickBot="1" x14ac:dyDescent="0.3">
      <c r="A5" s="445" t="s">
        <v>101</v>
      </c>
      <c r="B5" s="446"/>
      <c r="C5" s="446"/>
      <c r="D5" s="446"/>
      <c r="E5" s="446"/>
      <c r="F5" s="446"/>
      <c r="G5" s="446"/>
      <c r="H5" s="447"/>
      <c r="I5" s="162"/>
    </row>
    <row r="6" spans="1:10" ht="18" thickBot="1" x14ac:dyDescent="0.3">
      <c r="A6" s="162"/>
      <c r="B6" s="162"/>
      <c r="C6" s="162"/>
      <c r="D6" s="162"/>
      <c r="E6" s="162"/>
      <c r="F6" s="448" t="s">
        <v>102</v>
      </c>
      <c r="G6" s="448"/>
      <c r="H6" s="163">
        <f ca="1">TODAY()</f>
        <v>45756</v>
      </c>
      <c r="I6" s="163"/>
    </row>
    <row r="7" spans="1:10" ht="40.200000000000003" hidden="1" thickBot="1" x14ac:dyDescent="0.3">
      <c r="A7" s="121" t="s">
        <v>103</v>
      </c>
      <c r="B7" s="122" t="s">
        <v>104</v>
      </c>
      <c r="C7" s="122" t="s">
        <v>103</v>
      </c>
      <c r="D7" s="123" t="s">
        <v>105</v>
      </c>
      <c r="E7" s="123" t="s">
        <v>106</v>
      </c>
      <c r="F7" s="123" t="s">
        <v>107</v>
      </c>
      <c r="G7" s="123" t="s">
        <v>108</v>
      </c>
      <c r="H7" s="124" t="s">
        <v>109</v>
      </c>
      <c r="I7" s="164"/>
    </row>
    <row r="8" spans="1:10" ht="13.8" hidden="1" x14ac:dyDescent="0.3">
      <c r="A8" s="165"/>
      <c r="B8" s="157" t="str">
        <f>IFERROR(VLOOKUP($H8,'[1]MP PLANTA'!$A$2:$F$500,2,0),"")</f>
        <v/>
      </c>
      <c r="C8" s="166">
        <f>+A8</f>
        <v>0</v>
      </c>
      <c r="D8" s="167" t="str">
        <f>IFERROR(VLOOKUP($H8,'[1]MP PLANTA'!$A$2:$F$500,5,0),"")</f>
        <v/>
      </c>
      <c r="E8" s="167" t="str">
        <f>IFERROR(VLOOKUP($H8,'[1]MP PLANTA'!$A$2:$F$500,6,0),"")</f>
        <v/>
      </c>
      <c r="F8" s="167" t="str">
        <f>IFERROR(C8*E8,"")</f>
        <v/>
      </c>
      <c r="G8" s="168" t="str">
        <f>IFERROR(F8/$F$59,"")</f>
        <v/>
      </c>
      <c r="H8" s="169"/>
      <c r="I8" s="169"/>
      <c r="J8" s="170"/>
    </row>
    <row r="9" spans="1:10" ht="13.8" hidden="1" x14ac:dyDescent="0.3">
      <c r="A9" s="165"/>
      <c r="B9" s="157" t="str">
        <f>IFERROR(VLOOKUP($H9,'[1]MP PLANTA'!$A$2:$F$500,2,0),"")</f>
        <v/>
      </c>
      <c r="C9" s="166">
        <f t="shared" ref="C9:C14" si="0">+A9</f>
        <v>0</v>
      </c>
      <c r="D9" s="167" t="str">
        <f>IFERROR(VLOOKUP($H9,'[1]MP PLANTA'!$A$2:$F$500,5,0),"")</f>
        <v/>
      </c>
      <c r="E9" s="167" t="str">
        <f>IFERROR(VLOOKUP($H9,'[1]MP PLANTA'!$A$2:$F$500,6,0),"")</f>
        <v/>
      </c>
      <c r="F9" s="167" t="str">
        <f t="shared" ref="F9:F14" si="1">IFERROR(C9*E9,"")</f>
        <v/>
      </c>
      <c r="G9" s="168" t="str">
        <f t="shared" ref="G9:G14" si="2">IFERROR(F9/$F$59,"")</f>
        <v/>
      </c>
      <c r="H9" s="169"/>
      <c r="I9" s="169"/>
      <c r="J9" s="170"/>
    </row>
    <row r="10" spans="1:10" ht="13.8" hidden="1" x14ac:dyDescent="0.3">
      <c r="A10" s="165"/>
      <c r="B10" s="157" t="str">
        <f>IFERROR(VLOOKUP($H10,'[1]MP PLANTA'!$A$2:$F$500,2,0),"")</f>
        <v/>
      </c>
      <c r="C10" s="166">
        <f t="shared" si="0"/>
        <v>0</v>
      </c>
      <c r="D10" s="167" t="str">
        <f>IFERROR(VLOOKUP($H10,'[1]MP PLANTA'!$A$2:$F$500,5,0),"")</f>
        <v/>
      </c>
      <c r="E10" s="167" t="str">
        <f>IFERROR(VLOOKUP($H10,'[1]MP PLANTA'!$A$2:$F$500,6,0),"")</f>
        <v/>
      </c>
      <c r="F10" s="167" t="str">
        <f t="shared" si="1"/>
        <v/>
      </c>
      <c r="G10" s="168" t="str">
        <f t="shared" si="2"/>
        <v/>
      </c>
      <c r="H10" s="169"/>
      <c r="I10" s="169"/>
      <c r="J10" s="170"/>
    </row>
    <row r="11" spans="1:10" ht="13.8" hidden="1" x14ac:dyDescent="0.3">
      <c r="A11" s="165"/>
      <c r="B11" s="157" t="str">
        <f>IFERROR(VLOOKUP($H11,'[1]MP PLANTA'!$A$2:$F$500,2,0),"")</f>
        <v/>
      </c>
      <c r="C11" s="166">
        <f t="shared" si="0"/>
        <v>0</v>
      </c>
      <c r="D11" s="167" t="str">
        <f>IFERROR(VLOOKUP($H11,'[1]MP PLANTA'!$A$2:$F$500,5,0),"")</f>
        <v/>
      </c>
      <c r="E11" s="167" t="str">
        <f>IFERROR(VLOOKUP($H11,'[1]MP PLANTA'!$A$2:$F$500,6,0),"")</f>
        <v/>
      </c>
      <c r="F11" s="167" t="str">
        <f t="shared" si="1"/>
        <v/>
      </c>
      <c r="G11" s="168" t="str">
        <f t="shared" si="2"/>
        <v/>
      </c>
      <c r="H11" s="169"/>
      <c r="I11" s="169"/>
      <c r="J11" s="170"/>
    </row>
    <row r="12" spans="1:10" ht="13.8" hidden="1" x14ac:dyDescent="0.3">
      <c r="A12" s="165"/>
      <c r="B12" s="157" t="str">
        <f>IFERROR(VLOOKUP($H12,'[1]MP PLANTA'!$A$2:$F$500,2,0),"")</f>
        <v/>
      </c>
      <c r="C12" s="166">
        <f t="shared" si="0"/>
        <v>0</v>
      </c>
      <c r="D12" s="167" t="str">
        <f>IFERROR(VLOOKUP($H12,'[1]MP PLANTA'!$A$2:$F$500,5,0),"")</f>
        <v/>
      </c>
      <c r="E12" s="167" t="str">
        <f>IFERROR(VLOOKUP($H12,'[1]MP PLANTA'!$A$2:$F$500,6,0),"")</f>
        <v/>
      </c>
      <c r="F12" s="167" t="str">
        <f t="shared" si="1"/>
        <v/>
      </c>
      <c r="G12" s="168" t="str">
        <f t="shared" si="2"/>
        <v/>
      </c>
      <c r="H12" s="169"/>
      <c r="I12" s="169"/>
      <c r="J12" s="170"/>
    </row>
    <row r="13" spans="1:10" ht="13.8" hidden="1" x14ac:dyDescent="0.3">
      <c r="A13" s="165"/>
      <c r="B13" s="157" t="str">
        <f>IFERROR(VLOOKUP($H13,'[1]MP PLANTA'!$A$2:$F$500,2,0),"")</f>
        <v/>
      </c>
      <c r="C13" s="166">
        <f t="shared" si="0"/>
        <v>0</v>
      </c>
      <c r="D13" s="167" t="str">
        <f>IFERROR(VLOOKUP($H13,'[1]MP PLANTA'!$A$2:$F$500,5,0),"")</f>
        <v/>
      </c>
      <c r="E13" s="167" t="str">
        <f>IFERROR(VLOOKUP($H13,'[1]MP PLANTA'!$A$2:$F$500,6,0),"")</f>
        <v/>
      </c>
      <c r="F13" s="167" t="str">
        <f t="shared" si="1"/>
        <v/>
      </c>
      <c r="G13" s="168" t="str">
        <f t="shared" si="2"/>
        <v/>
      </c>
      <c r="H13" s="169"/>
      <c r="I13" s="169"/>
      <c r="J13" s="170"/>
    </row>
    <row r="14" spans="1:10" ht="13.8" hidden="1" x14ac:dyDescent="0.3">
      <c r="A14" s="165"/>
      <c r="B14" s="157" t="str">
        <f>IFERROR(VLOOKUP($H14,'[1]MP PLANTA'!$A$2:$F$500,2,0),"")</f>
        <v/>
      </c>
      <c r="C14" s="166">
        <f t="shared" si="0"/>
        <v>0</v>
      </c>
      <c r="D14" s="167" t="str">
        <f>IFERROR(VLOOKUP($H14,'[1]MP PLANTA'!$A$2:$F$500,5,0),"")</f>
        <v/>
      </c>
      <c r="E14" s="167" t="str">
        <f>IFERROR(VLOOKUP($H14,'[1]MP PLANTA'!$A$2:$F$500,6,0),"")</f>
        <v/>
      </c>
      <c r="F14" s="167" t="str">
        <f t="shared" si="1"/>
        <v/>
      </c>
      <c r="G14" s="168" t="str">
        <f t="shared" si="2"/>
        <v/>
      </c>
      <c r="H14" s="169"/>
      <c r="I14" s="169"/>
      <c r="J14" s="170"/>
    </row>
    <row r="15" spans="1:10" ht="14.4" hidden="1" thickBot="1" x14ac:dyDescent="0.35">
      <c r="A15" s="165"/>
      <c r="C15" s="166"/>
      <c r="D15" s="167"/>
      <c r="E15" s="167"/>
      <c r="F15" s="167"/>
      <c r="G15" s="168"/>
      <c r="H15" s="169"/>
      <c r="I15" s="169"/>
      <c r="J15" s="170"/>
    </row>
    <row r="16" spans="1:10" ht="40.200000000000003" thickBot="1" x14ac:dyDescent="0.3">
      <c r="A16" s="121" t="s">
        <v>103</v>
      </c>
      <c r="B16" s="122" t="s">
        <v>110</v>
      </c>
      <c r="C16" s="122" t="s">
        <v>103</v>
      </c>
      <c r="D16" s="123" t="s">
        <v>105</v>
      </c>
      <c r="E16" s="123" t="s">
        <v>106</v>
      </c>
      <c r="F16" s="123" t="s">
        <v>107</v>
      </c>
      <c r="G16" s="123" t="s">
        <v>108</v>
      </c>
      <c r="H16" s="124" t="s">
        <v>109</v>
      </c>
      <c r="I16" s="164"/>
      <c r="J16" s="170"/>
    </row>
    <row r="17" spans="1:12" ht="13.8" x14ac:dyDescent="0.3">
      <c r="A17" s="165">
        <v>42</v>
      </c>
      <c r="B17" s="157" t="s">
        <v>61</v>
      </c>
      <c r="C17" s="166">
        <f>+A17</f>
        <v>42</v>
      </c>
      <c r="D17" s="166" t="s">
        <v>170</v>
      </c>
      <c r="E17" s="167">
        <f>+'Costo alfajor'!H46</f>
        <v>13.591975857665938</v>
      </c>
      <c r="F17" s="167">
        <f>IFERROR(E17*C17,"")</f>
        <v>570.86298602196939</v>
      </c>
      <c r="G17" s="168">
        <f>IFERROR(F17/$F$59,"")</f>
        <v>0.85106281292971864</v>
      </c>
      <c r="H17" s="169"/>
      <c r="I17" s="169"/>
      <c r="J17" s="170"/>
    </row>
    <row r="18" spans="1:12" ht="13.8" hidden="1" x14ac:dyDescent="0.3">
      <c r="A18" s="165"/>
      <c r="B18" s="157" t="str">
        <f>IFERROR(VLOOKUP($H18,[1]SEMIELABORADOS!$A$1:$J$999,2,0),"")</f>
        <v/>
      </c>
      <c r="C18" s="166">
        <f>+A18</f>
        <v>0</v>
      </c>
      <c r="D18" s="166" t="str">
        <f>IFERROR(VLOOKUP($H18,[1]SEMIELABORADOS!$A$1:$J$999,4,0),"")</f>
        <v/>
      </c>
      <c r="E18" s="167" t="str">
        <f>IFERROR(VLOOKUP($H18,[1]SEMIELABORADOS!$A$1:$J$999,6,0),"")</f>
        <v/>
      </c>
      <c r="F18" s="167" t="str">
        <f>IFERROR(E18*C18,"")</f>
        <v/>
      </c>
      <c r="G18" s="168" t="str">
        <f>IFERROR(F18/$F$59,"")</f>
        <v/>
      </c>
      <c r="H18" s="169"/>
      <c r="I18" s="169"/>
      <c r="J18" s="170"/>
    </row>
    <row r="19" spans="1:12" ht="13.8" hidden="1" x14ac:dyDescent="0.3">
      <c r="A19" s="165"/>
      <c r="B19" s="157" t="str">
        <f>IFERROR(VLOOKUP($H19,[1]SEMIELABORADOS!$A$1:$J$999,2,0),"")</f>
        <v/>
      </c>
      <c r="C19" s="166">
        <f>+A19</f>
        <v>0</v>
      </c>
      <c r="D19" s="166" t="str">
        <f>IFERROR(VLOOKUP($H19,[1]SEMIELABORADOS!$A$1:$J$999,4,0),"")</f>
        <v/>
      </c>
      <c r="E19" s="167" t="str">
        <f>IFERROR(VLOOKUP($H19,[1]SEMIELABORADOS!$A$1:$J$999,6,0),"")</f>
        <v/>
      </c>
      <c r="F19" s="167" t="str">
        <f>IFERROR(E19*C19,"")</f>
        <v/>
      </c>
      <c r="G19" s="168" t="str">
        <f>IFERROR(F19/$F$59,"")</f>
        <v/>
      </c>
      <c r="H19" s="169"/>
      <c r="I19" s="169"/>
      <c r="J19" s="170"/>
    </row>
    <row r="20" spans="1:12" ht="13.8" hidden="1" x14ac:dyDescent="0.3">
      <c r="A20" s="165"/>
      <c r="B20" s="157" t="str">
        <f>IFERROR(VLOOKUP($H20,[1]SEMIELABORADOS!$A$1:$J$999,2,0),"")</f>
        <v/>
      </c>
      <c r="C20" s="166">
        <f>+A20</f>
        <v>0</v>
      </c>
      <c r="D20" s="166" t="str">
        <f>IFERROR(VLOOKUP($H20,[1]SEMIELABORADOS!$A$1:$J$999,4,0),"")</f>
        <v/>
      </c>
      <c r="E20" s="167" t="str">
        <f>IFERROR(VLOOKUP($H20,[1]SEMIELABORADOS!$A$1:$J$999,6,0),"")</f>
        <v/>
      </c>
      <c r="F20" s="167" t="str">
        <f>IFERROR(E20*C20,"")</f>
        <v/>
      </c>
      <c r="G20" s="168" t="str">
        <f>IFERROR(F20/$F$59,"")</f>
        <v/>
      </c>
      <c r="H20" s="169"/>
      <c r="I20" s="169"/>
      <c r="J20" s="170"/>
    </row>
    <row r="21" spans="1:12" ht="13.8" hidden="1" x14ac:dyDescent="0.3">
      <c r="A21" s="165"/>
      <c r="B21" s="157" t="str">
        <f>IFERROR(VLOOKUP($H21,[1]SEMIELABORADOS!$A$1:$J$999,2,0),"")</f>
        <v/>
      </c>
      <c r="C21" s="166">
        <f>+A21</f>
        <v>0</v>
      </c>
      <c r="D21" s="166" t="str">
        <f>IFERROR(VLOOKUP($H21,[1]SEMIELABORADOS!$A$1:$J$999,4,0),"")</f>
        <v/>
      </c>
      <c r="E21" s="167" t="str">
        <f>IFERROR(VLOOKUP($H21,[1]SEMIELABORADOS!$A$1:$J$999,6,0),"")</f>
        <v/>
      </c>
      <c r="F21" s="167" t="str">
        <f>IFERROR(E21*C21,"")</f>
        <v/>
      </c>
      <c r="G21" s="168" t="str">
        <f>IFERROR(F21/$F$59,"")</f>
        <v/>
      </c>
      <c r="H21" s="169"/>
      <c r="I21" s="169"/>
      <c r="J21" s="170"/>
    </row>
    <row r="22" spans="1:12" ht="14.4" thickBot="1" x14ac:dyDescent="0.35">
      <c r="A22" s="165"/>
      <c r="C22" s="166"/>
      <c r="D22" s="166"/>
      <c r="E22" s="167"/>
      <c r="F22" s="167"/>
      <c r="G22" s="168"/>
      <c r="H22" s="169"/>
      <c r="I22" s="169"/>
      <c r="J22" s="170"/>
    </row>
    <row r="23" spans="1:12" ht="40.200000000000003" thickBot="1" x14ac:dyDescent="0.3">
      <c r="A23" s="121" t="s">
        <v>103</v>
      </c>
      <c r="B23" s="122" t="s">
        <v>26</v>
      </c>
      <c r="C23" s="122" t="s">
        <v>103</v>
      </c>
      <c r="D23" s="123" t="s">
        <v>105</v>
      </c>
      <c r="E23" s="123" t="s">
        <v>106</v>
      </c>
      <c r="F23" s="123" t="s">
        <v>107</v>
      </c>
      <c r="G23" s="123" t="s">
        <v>108</v>
      </c>
      <c r="H23" s="124" t="s">
        <v>109</v>
      </c>
      <c r="I23" s="164"/>
    </row>
    <row r="24" spans="1:12" ht="13.8" x14ac:dyDescent="0.3">
      <c r="A24" s="165">
        <v>1</v>
      </c>
      <c r="B24" s="171" t="str">
        <f>IFERROR(VLOOKUP($H24,'[1]EMP PLANTA'!$A$2:$F$500,2,0),"")</f>
        <v>CAJA BLANCA  PEQUEÑAS (100 X PAQ)</v>
      </c>
      <c r="C24" s="166">
        <f t="shared" ref="C24:C29" si="3">+A24</f>
        <v>1</v>
      </c>
      <c r="D24" s="167" t="str">
        <f>IFERROR(VLOOKUP($H24,'[1]EMP PLANTA'!$A$2:$F$500,5,0),"")</f>
        <v>UND</v>
      </c>
      <c r="E24" s="167">
        <f>IFERROR(VLOOKUP($H24,'[1]EMP PLANTA'!$A$2:$F$500,6,0),"")</f>
        <v>22.919</v>
      </c>
      <c r="F24" s="167">
        <f t="shared" ref="F24:F29" si="4">IFERROR(E24*C24,"")</f>
        <v>22.919</v>
      </c>
      <c r="G24" s="168">
        <f t="shared" ref="G24:G29" si="5">IFERROR(F24/$F$59,"")</f>
        <v>3.416845913493078E-2</v>
      </c>
      <c r="H24" s="172" t="s">
        <v>43</v>
      </c>
      <c r="I24" s="172"/>
      <c r="J24" s="170"/>
      <c r="K24" s="443"/>
      <c r="L24" s="443"/>
    </row>
    <row r="25" spans="1:12" ht="13.8" x14ac:dyDescent="0.3">
      <c r="A25" s="165">
        <v>0.5</v>
      </c>
      <c r="B25" s="171" t="str">
        <f>IFERROR(VLOOKUP($H25,'[1]EMP PLANTA'!$A$2:$F$500,2,0),"")</f>
        <v>PAPEL ENCERADO 10X10 (CAJA)</v>
      </c>
      <c r="C25" s="166">
        <f t="shared" si="3"/>
        <v>0.5</v>
      </c>
      <c r="D25" s="167" t="str">
        <f>IFERROR(VLOOKUP($H25,'[1]EMP PLANTA'!$A$2:$F$500,5,0),"")</f>
        <v>UND</v>
      </c>
      <c r="E25" s="167">
        <f>IFERROR(VLOOKUP($H25,'[1]EMP PLANTA'!$A$2:$F$500,6,0),"")</f>
        <v>5.5659999999999998</v>
      </c>
      <c r="F25" s="167">
        <f t="shared" si="4"/>
        <v>2.7829999999999999</v>
      </c>
      <c r="G25" s="168">
        <f t="shared" si="5"/>
        <v>4.1489952341948752E-3</v>
      </c>
      <c r="H25" s="172" t="s">
        <v>47</v>
      </c>
      <c r="I25" s="172"/>
      <c r="J25" s="170"/>
      <c r="K25" s="443"/>
      <c r="L25" s="443"/>
    </row>
    <row r="26" spans="1:12" ht="13.8" x14ac:dyDescent="0.3">
      <c r="A26" s="165">
        <v>0.5</v>
      </c>
      <c r="B26" s="171" t="str">
        <f>IFERROR(VLOOKUP($H26,'[1]EMP PLANTA'!$A$2:$F$500,2,0),"")</f>
        <v>BOLSA 12x18 TRANSP (KILO)</v>
      </c>
      <c r="C26" s="166">
        <f t="shared" si="3"/>
        <v>0.5</v>
      </c>
      <c r="D26" s="167" t="str">
        <f>IFERROR(VLOOKUP($H26,'[1]EMP PLANTA'!$A$2:$F$500,5,0),"")</f>
        <v>UND</v>
      </c>
      <c r="E26" s="167">
        <f>IFERROR(VLOOKUP($H26,'[1]EMP PLANTA'!$A$2:$F$500,6,0),"")</f>
        <v>10.8</v>
      </c>
      <c r="F26" s="167">
        <f t="shared" si="4"/>
        <v>5.4</v>
      </c>
      <c r="G26" s="168">
        <f t="shared" si="5"/>
        <v>8.0505117731413337E-3</v>
      </c>
      <c r="H26" s="172" t="s">
        <v>50</v>
      </c>
      <c r="I26" s="172"/>
      <c r="J26" s="170"/>
      <c r="K26" s="443"/>
      <c r="L26" s="443"/>
    </row>
    <row r="27" spans="1:12" ht="13.8" x14ac:dyDescent="0.3">
      <c r="A27" s="165">
        <v>1</v>
      </c>
      <c r="B27" s="171" t="str">
        <f>IFERROR(VLOOKUP($H27,'[1]EMP PLANTA'!$A$2:$F$500,2,0),"")</f>
        <v>ETIQ.FECHA VENCIMIENTO BLANCO</v>
      </c>
      <c r="C27" s="166">
        <f t="shared" si="3"/>
        <v>1</v>
      </c>
      <c r="D27" s="167" t="str">
        <f>IFERROR(VLOOKUP($H27,'[1]EMP PLANTA'!$A$2:$F$500,5,0),"")</f>
        <v>UND</v>
      </c>
      <c r="E27" s="167">
        <f>IFERROR(VLOOKUP($H27,'[1]EMP PLANTA'!$A$2:$F$500,6,0),"")</f>
        <v>0.22877999999999998</v>
      </c>
      <c r="F27" s="167">
        <f t="shared" si="4"/>
        <v>0.22877999999999998</v>
      </c>
      <c r="G27" s="168">
        <f t="shared" si="5"/>
        <v>3.4107334878875445E-4</v>
      </c>
      <c r="H27" s="172" t="s">
        <v>53</v>
      </c>
      <c r="I27" s="172"/>
      <c r="J27" s="170"/>
      <c r="K27" s="443"/>
      <c r="L27" s="443"/>
    </row>
    <row r="28" spans="1:12" ht="13.8" x14ac:dyDescent="0.3">
      <c r="A28" s="165">
        <v>1</v>
      </c>
      <c r="B28" s="171" t="str">
        <f>IFERROR(VLOOKUP($H28,'[1]EMP PLANTA'!$A$2:$F$500,2,0),"")</f>
        <v>ETIQ.FECHA VENCIMIENTO NARANJA</v>
      </c>
      <c r="C28" s="166">
        <f t="shared" si="3"/>
        <v>1</v>
      </c>
      <c r="D28" s="167" t="str">
        <f>IFERROR(VLOOKUP($H28,'[1]EMP PLANTA'!$A$2:$F$500,5,0),"")</f>
        <v>UND</v>
      </c>
      <c r="E28" s="167">
        <f>IFERROR(VLOOKUP($H28,'[1]EMP PLANTA'!$A$2:$F$500,6,0),"")</f>
        <v>0.28825444444444442</v>
      </c>
      <c r="F28" s="167">
        <f t="shared" si="4"/>
        <v>0.28825444444444442</v>
      </c>
      <c r="G28" s="168">
        <f t="shared" si="5"/>
        <v>4.2973996271487299E-4</v>
      </c>
      <c r="H28" s="172" t="s">
        <v>56</v>
      </c>
      <c r="I28" s="172"/>
      <c r="J28" s="170"/>
      <c r="K28" s="173"/>
      <c r="L28" s="174"/>
    </row>
    <row r="29" spans="1:12" ht="13.8" x14ac:dyDescent="0.3">
      <c r="A29" s="165"/>
      <c r="B29" s="171" t="str">
        <f>IFERROR(VLOOKUP($H29,'[1]EMP PLANTA'!$A$2:$F$500,2,0),"")</f>
        <v/>
      </c>
      <c r="C29" s="166">
        <f t="shared" si="3"/>
        <v>0</v>
      </c>
      <c r="D29" s="167" t="str">
        <f>IFERROR(VLOOKUP($H29,'[1]EMP PLANTA'!$A$2:$F$500,5,0),"")</f>
        <v/>
      </c>
      <c r="E29" s="167" t="str">
        <f>IFERROR(VLOOKUP($H29,'[1]EMP PLANTA'!$A$2:$F$500,6,0),"")</f>
        <v/>
      </c>
      <c r="F29" s="167" t="str">
        <f t="shared" si="4"/>
        <v/>
      </c>
      <c r="G29" s="168" t="str">
        <f t="shared" si="5"/>
        <v/>
      </c>
      <c r="H29" s="172"/>
      <c r="I29" s="172"/>
      <c r="J29" s="170"/>
    </row>
    <row r="30" spans="1:12" ht="14.4" thickBot="1" x14ac:dyDescent="0.35">
      <c r="A30" s="165"/>
      <c r="B30" s="171"/>
      <c r="C30" s="166"/>
      <c r="D30" s="167"/>
      <c r="E30" s="167"/>
      <c r="F30" s="167"/>
      <c r="G30" s="168"/>
      <c r="H30" s="172"/>
      <c r="I30" s="172"/>
      <c r="J30" s="170"/>
    </row>
    <row r="31" spans="1:12" ht="40.200000000000003" thickBot="1" x14ac:dyDescent="0.3">
      <c r="A31" s="121" t="s">
        <v>103</v>
      </c>
      <c r="B31" s="122" t="s">
        <v>111</v>
      </c>
      <c r="C31" s="122" t="s">
        <v>103</v>
      </c>
      <c r="D31" s="123" t="s">
        <v>105</v>
      </c>
      <c r="E31" s="123" t="s">
        <v>106</v>
      </c>
      <c r="F31" s="123" t="s">
        <v>107</v>
      </c>
      <c r="G31" s="123" t="s">
        <v>108</v>
      </c>
      <c r="H31" s="124" t="s">
        <v>109</v>
      </c>
      <c r="I31" s="164"/>
      <c r="J31" s="170"/>
    </row>
    <row r="32" spans="1:12" ht="13.8" x14ac:dyDescent="0.3">
      <c r="A32" s="165">
        <f>+A17</f>
        <v>42</v>
      </c>
      <c r="B32" s="171" t="s">
        <v>61</v>
      </c>
      <c r="C32" s="166">
        <f>+A32</f>
        <v>42</v>
      </c>
      <c r="D32" s="167" t="s">
        <v>112</v>
      </c>
      <c r="E32" s="167">
        <f>+'Costo alfajor'!H47</f>
        <v>4.4417376758110014E-2</v>
      </c>
      <c r="F32" s="167">
        <f>IFERROR(E32*C32,"")</f>
        <v>1.8655298238406206</v>
      </c>
      <c r="G32" s="168">
        <f>IFERROR(F32/$F$58,"")</f>
        <v>3.3918724069829466E-2</v>
      </c>
      <c r="H32" s="172"/>
      <c r="I32" s="172"/>
      <c r="J32" s="170"/>
    </row>
    <row r="33" spans="1:17" ht="13.8" hidden="1" x14ac:dyDescent="0.3">
      <c r="A33" s="165">
        <f>+A18</f>
        <v>0</v>
      </c>
      <c r="B33" s="171"/>
      <c r="C33" s="166">
        <f>+A33</f>
        <v>0</v>
      </c>
      <c r="D33" s="167" t="s">
        <v>112</v>
      </c>
      <c r="E33" s="167" t="str">
        <f>IFERROR(VLOOKUP($H33,[1]SEMIELABORADOS!$A$1:$J$999,8,0),"")</f>
        <v/>
      </c>
      <c r="F33" s="167" t="str">
        <f>IFERROR(E33*C33,"")</f>
        <v/>
      </c>
      <c r="G33" s="168" t="str">
        <f>IFERROR(F33/$F$58,"")</f>
        <v/>
      </c>
      <c r="H33" s="172"/>
      <c r="I33" s="172"/>
      <c r="J33" s="170"/>
    </row>
    <row r="34" spans="1:17" ht="13.8" hidden="1" x14ac:dyDescent="0.3">
      <c r="A34" s="165">
        <f>+A19</f>
        <v>0</v>
      </c>
      <c r="B34" s="171"/>
      <c r="C34" s="166">
        <f>+A34</f>
        <v>0</v>
      </c>
      <c r="D34" s="167" t="s">
        <v>112</v>
      </c>
      <c r="E34" s="167" t="str">
        <f>IFERROR(VLOOKUP($H34,[1]SEMIELABORADOS!$A$1:$J$999,8,0),"")</f>
        <v/>
      </c>
      <c r="F34" s="167" t="str">
        <f>IFERROR(E34*C34,"")</f>
        <v/>
      </c>
      <c r="G34" s="168" t="str">
        <f>IFERROR(F34/$F$58,"")</f>
        <v/>
      </c>
      <c r="H34" s="172"/>
      <c r="I34" s="172"/>
      <c r="J34" s="170"/>
    </row>
    <row r="35" spans="1:17" ht="13.8" hidden="1" x14ac:dyDescent="0.3">
      <c r="A35" s="165">
        <f>+A20</f>
        <v>0</v>
      </c>
      <c r="B35" s="171"/>
      <c r="C35" s="166">
        <f>+A35</f>
        <v>0</v>
      </c>
      <c r="D35" s="167" t="s">
        <v>112</v>
      </c>
      <c r="E35" s="167" t="str">
        <f>IFERROR(VLOOKUP($H35,[1]SEMIELABORADOS!$A$1:$J$999,8,0),"")</f>
        <v/>
      </c>
      <c r="F35" s="167" t="str">
        <f>IFERROR(E35*C35,"")</f>
        <v/>
      </c>
      <c r="G35" s="168" t="str">
        <f>IFERROR(F35/$F$58,"")</f>
        <v/>
      </c>
      <c r="H35" s="172"/>
      <c r="I35" s="172"/>
      <c r="J35" s="170"/>
    </row>
    <row r="36" spans="1:17" ht="13.8" hidden="1" x14ac:dyDescent="0.3">
      <c r="A36" s="165">
        <f>+A21</f>
        <v>0</v>
      </c>
      <c r="B36" s="171"/>
      <c r="C36" s="166">
        <f>+A36</f>
        <v>0</v>
      </c>
      <c r="D36" s="167" t="s">
        <v>112</v>
      </c>
      <c r="E36" s="167" t="str">
        <f>IFERROR(VLOOKUP($H36,[1]SEMIELABORADOS!$A$1:$J$999,8,0),"")</f>
        <v/>
      </c>
      <c r="F36" s="167" t="str">
        <f>IFERROR(E36*C36,"")</f>
        <v/>
      </c>
      <c r="G36" s="168" t="str">
        <f>IFERROR(F36/$F$58,"")</f>
        <v/>
      </c>
      <c r="H36" s="172"/>
      <c r="I36" s="172"/>
      <c r="J36" s="170"/>
    </row>
    <row r="37" spans="1:17" ht="14.4" thickBot="1" x14ac:dyDescent="0.35">
      <c r="A37" s="165"/>
      <c r="B37" s="171"/>
      <c r="C37" s="166"/>
      <c r="D37" s="167"/>
      <c r="E37" s="167"/>
      <c r="F37" s="167"/>
      <c r="G37" s="168"/>
      <c r="H37" s="172"/>
      <c r="I37" s="172"/>
      <c r="J37" s="170"/>
    </row>
    <row r="38" spans="1:17" ht="40.200000000000003" thickBot="1" x14ac:dyDescent="0.3">
      <c r="A38" s="121" t="s">
        <v>103</v>
      </c>
      <c r="B38" s="122" t="s">
        <v>113</v>
      </c>
      <c r="C38" s="122" t="s">
        <v>103</v>
      </c>
      <c r="D38" s="122"/>
      <c r="E38" s="123" t="s">
        <v>106</v>
      </c>
      <c r="F38" s="123" t="s">
        <v>107</v>
      </c>
      <c r="G38" s="123" t="s">
        <v>108</v>
      </c>
      <c r="H38" s="124" t="s">
        <v>109</v>
      </c>
      <c r="I38" s="164"/>
      <c r="J38" s="170"/>
    </row>
    <row r="39" spans="1:17" ht="13.8" x14ac:dyDescent="0.3">
      <c r="A39" s="165">
        <f>+A17</f>
        <v>42</v>
      </c>
      <c r="B39" s="175" t="s">
        <v>61</v>
      </c>
      <c r="C39" s="166">
        <f t="shared" ref="C39:C44" si="6">+A39</f>
        <v>42</v>
      </c>
      <c r="D39" s="166" t="s">
        <v>112</v>
      </c>
      <c r="E39" s="167">
        <f>+'Costo alfajor'!H49</f>
        <v>2.9843301763035361</v>
      </c>
      <c r="F39" s="167">
        <f t="shared" ref="F39:F44" si="7">IFERROR(C39*E39,"")</f>
        <v>125.34186740474851</v>
      </c>
      <c r="G39" s="168">
        <f t="shared" ref="G39:G44" si="8">IFERROR(F39/$F$59,"")</f>
        <v>0.18686410726100885</v>
      </c>
      <c r="H39" s="176"/>
      <c r="I39" s="176"/>
      <c r="J39" s="170"/>
    </row>
    <row r="40" spans="1:17" ht="13.8" hidden="1" x14ac:dyDescent="0.3">
      <c r="A40" s="165">
        <f>+A18</f>
        <v>0</v>
      </c>
      <c r="B40" s="175"/>
      <c r="C40" s="166">
        <f t="shared" si="6"/>
        <v>0</v>
      </c>
      <c r="D40" s="166" t="s">
        <v>112</v>
      </c>
      <c r="E40" s="167" t="str">
        <f>IFERROR(VLOOKUP($H40,[1]SEMIELABORADOS!$A$1:$J$999,10,0),"")</f>
        <v/>
      </c>
      <c r="F40" s="167" t="str">
        <f t="shared" si="7"/>
        <v/>
      </c>
      <c r="G40" s="168" t="str">
        <f t="shared" si="8"/>
        <v/>
      </c>
      <c r="H40" s="176"/>
      <c r="I40" s="176"/>
      <c r="J40" s="170"/>
    </row>
    <row r="41" spans="1:17" ht="13.8" hidden="1" x14ac:dyDescent="0.3">
      <c r="A41" s="165">
        <f>+A19</f>
        <v>0</v>
      </c>
      <c r="B41" s="175"/>
      <c r="C41" s="166">
        <f t="shared" si="6"/>
        <v>0</v>
      </c>
      <c r="D41" s="166" t="s">
        <v>112</v>
      </c>
      <c r="E41" s="167" t="str">
        <f>IFERROR(VLOOKUP($H41,[1]SEMIELABORADOS!$A$1:$J$999,10,0),"")</f>
        <v/>
      </c>
      <c r="F41" s="167" t="str">
        <f t="shared" si="7"/>
        <v/>
      </c>
      <c r="G41" s="168" t="str">
        <f t="shared" si="8"/>
        <v/>
      </c>
      <c r="H41" s="176"/>
      <c r="I41" s="176"/>
      <c r="J41" s="170"/>
    </row>
    <row r="42" spans="1:17" ht="13.8" hidden="1" x14ac:dyDescent="0.3">
      <c r="A42" s="165">
        <f>+A20</f>
        <v>0</v>
      </c>
      <c r="B42" s="175"/>
      <c r="C42" s="166">
        <f t="shared" si="6"/>
        <v>0</v>
      </c>
      <c r="D42" s="166" t="s">
        <v>112</v>
      </c>
      <c r="E42" s="167" t="str">
        <f>IFERROR(VLOOKUP($H42,[1]SEMIELABORADOS!$A$1:$J$999,10,0),"")</f>
        <v/>
      </c>
      <c r="F42" s="167" t="str">
        <f t="shared" si="7"/>
        <v/>
      </c>
      <c r="G42" s="168" t="str">
        <f t="shared" si="8"/>
        <v/>
      </c>
      <c r="H42" s="176"/>
      <c r="I42" s="176"/>
      <c r="J42" s="170"/>
    </row>
    <row r="43" spans="1:17" ht="13.8" hidden="1" x14ac:dyDescent="0.3">
      <c r="A43" s="165">
        <f>+A21</f>
        <v>0</v>
      </c>
      <c r="B43" s="175"/>
      <c r="C43" s="166">
        <f t="shared" si="6"/>
        <v>0</v>
      </c>
      <c r="D43" s="166" t="s">
        <v>112</v>
      </c>
      <c r="E43" s="167" t="str">
        <f>IFERROR(VLOOKUP($H43,[1]SEMIELABORADOS!$A$1:$J$999,10,0),"")</f>
        <v/>
      </c>
      <c r="F43" s="167" t="str">
        <f t="shared" si="7"/>
        <v/>
      </c>
      <c r="G43" s="168" t="str">
        <f t="shared" si="8"/>
        <v/>
      </c>
      <c r="H43" s="176"/>
      <c r="I43" s="176"/>
      <c r="J43" s="170"/>
    </row>
    <row r="44" spans="1:17" ht="13.8" x14ac:dyDescent="0.3">
      <c r="A44" s="165">
        <v>1</v>
      </c>
      <c r="B44" s="171" t="s">
        <v>114</v>
      </c>
      <c r="C44" s="166">
        <f t="shared" si="6"/>
        <v>1</v>
      </c>
      <c r="D44" s="166" t="s">
        <v>112</v>
      </c>
      <c r="E44" s="167">
        <f>+F58</f>
        <v>55</v>
      </c>
      <c r="F44" s="167">
        <f t="shared" si="7"/>
        <v>55</v>
      </c>
      <c r="G44" s="168">
        <f t="shared" si="8"/>
        <v>8.1995953244958023E-2</v>
      </c>
      <c r="H44" s="176"/>
      <c r="I44" s="176"/>
      <c r="J44" s="170"/>
    </row>
    <row r="45" spans="1:17" ht="14.4" thickBot="1" x14ac:dyDescent="0.35">
      <c r="A45" s="165"/>
      <c r="B45" s="171"/>
      <c r="C45" s="166"/>
      <c r="D45" s="166"/>
      <c r="E45" s="167"/>
      <c r="F45" s="167"/>
      <c r="G45" s="168"/>
      <c r="H45" s="176"/>
      <c r="I45" s="176"/>
      <c r="J45" s="170"/>
    </row>
    <row r="46" spans="1:17" ht="13.8" thickBot="1" x14ac:dyDescent="0.3">
      <c r="A46" s="177"/>
      <c r="B46" s="433" t="s">
        <v>115</v>
      </c>
      <c r="C46" s="433"/>
      <c r="D46" s="433"/>
      <c r="E46" s="433"/>
      <c r="F46" s="179">
        <f>SUM(F8:F14,F17:F21)</f>
        <v>570.86298602196939</v>
      </c>
      <c r="G46" s="168">
        <f>+F46/$F$59</f>
        <v>0.85106281292971864</v>
      </c>
      <c r="H46" s="180">
        <f>+F46/$D$53</f>
        <v>570.86298602196939</v>
      </c>
      <c r="I46" s="180"/>
      <c r="J46" s="137"/>
      <c r="K46" s="138"/>
      <c r="L46" s="138"/>
      <c r="M46" s="138"/>
      <c r="N46" s="138"/>
      <c r="O46" s="138"/>
      <c r="P46" s="138"/>
      <c r="Q46" s="139"/>
    </row>
    <row r="47" spans="1:17" x14ac:dyDescent="0.25">
      <c r="A47" s="177"/>
      <c r="B47" s="433" t="s">
        <v>116</v>
      </c>
      <c r="C47" s="433"/>
      <c r="D47" s="433"/>
      <c r="E47" s="433"/>
      <c r="F47" s="179">
        <f>SUM(F24:F29,F32:F36)</f>
        <v>33.484564268285069</v>
      </c>
      <c r="G47" s="168">
        <f>+F47/$F$59</f>
        <v>4.9919977566728987E-2</v>
      </c>
      <c r="H47" s="180">
        <f>+F47/$D$53</f>
        <v>33.484564268285069</v>
      </c>
      <c r="I47" s="180"/>
      <c r="J47" s="140"/>
      <c r="K47" s="441" t="s">
        <v>117</v>
      </c>
      <c r="L47" s="442"/>
      <c r="M47" s="442"/>
      <c r="N47" s="442"/>
      <c r="O47" s="181">
        <f>+F48</f>
        <v>604.3475502902545</v>
      </c>
      <c r="P47" s="181"/>
      <c r="Q47" s="141"/>
    </row>
    <row r="48" spans="1:17" x14ac:dyDescent="0.25">
      <c r="A48" s="177"/>
      <c r="B48" s="433" t="s">
        <v>118</v>
      </c>
      <c r="C48" s="433"/>
      <c r="D48" s="433"/>
      <c r="E48" s="433"/>
      <c r="F48" s="179">
        <f>+F46+F47</f>
        <v>604.3475502902545</v>
      </c>
      <c r="G48" s="168">
        <f>+F48/$F$59</f>
        <v>0.90098279049644769</v>
      </c>
      <c r="H48" s="180">
        <f>+F48/$D$53</f>
        <v>604.3475502902545</v>
      </c>
      <c r="I48" s="180"/>
      <c r="J48" s="142"/>
      <c r="K48" s="182"/>
      <c r="L48" s="432" t="s">
        <v>119</v>
      </c>
      <c r="M48" s="432"/>
      <c r="N48" s="432"/>
      <c r="O48" s="181">
        <f>+F49</f>
        <v>180.34186740474851</v>
      </c>
      <c r="P48" s="181"/>
      <c r="Q48" s="141"/>
    </row>
    <row r="49" spans="1:17" ht="13.8" thickBot="1" x14ac:dyDescent="0.3">
      <c r="A49" s="177"/>
      <c r="B49" s="178"/>
      <c r="C49" s="433" t="s">
        <v>120</v>
      </c>
      <c r="D49" s="433"/>
      <c r="E49" s="433"/>
      <c r="F49" s="179">
        <f>SUM(F39:F44)</f>
        <v>180.34186740474851</v>
      </c>
      <c r="G49" s="168">
        <f>+F49/$F$59</f>
        <v>0.26886006050596684</v>
      </c>
      <c r="H49" s="180">
        <f>+F49/$D$53</f>
        <v>180.34186740474851</v>
      </c>
      <c r="I49" s="180"/>
      <c r="J49" s="142"/>
      <c r="K49" s="182"/>
      <c r="L49" s="182"/>
      <c r="M49" s="182" t="s">
        <v>121</v>
      </c>
      <c r="N49" s="183">
        <v>0.01</v>
      </c>
      <c r="O49" s="181">
        <f>O47*N49</f>
        <v>6.0434755029025453</v>
      </c>
      <c r="P49" s="181"/>
      <c r="Q49" s="141"/>
    </row>
    <row r="50" spans="1:17" ht="13.8" thickBot="1" x14ac:dyDescent="0.25">
      <c r="A50" s="177"/>
      <c r="B50" s="184"/>
      <c r="C50" s="184"/>
      <c r="D50" s="184"/>
      <c r="E50" s="184"/>
      <c r="F50" s="185"/>
      <c r="G50" s="168"/>
      <c r="H50" s="118"/>
      <c r="I50" s="180"/>
      <c r="J50" s="142"/>
      <c r="K50" s="186"/>
      <c r="M50" s="187" t="s">
        <v>122</v>
      </c>
      <c r="N50" s="188"/>
      <c r="O50" s="126">
        <f>SUM(O47:O49)</f>
        <v>790.73289319790558</v>
      </c>
      <c r="P50" s="189"/>
      <c r="Q50" s="141"/>
    </row>
    <row r="51" spans="1:17" x14ac:dyDescent="0.25">
      <c r="B51" s="440" t="s">
        <v>123</v>
      </c>
      <c r="C51" s="440"/>
      <c r="D51" s="190">
        <v>546</v>
      </c>
      <c r="E51" s="191"/>
      <c r="G51" s="168"/>
      <c r="H51" s="118"/>
      <c r="I51" s="118"/>
      <c r="J51" s="142"/>
      <c r="K51" s="186"/>
      <c r="L51" s="182"/>
      <c r="M51" s="182" t="s">
        <v>124</v>
      </c>
      <c r="N51" s="192">
        <v>0.25</v>
      </c>
      <c r="O51" s="181">
        <f>+O50*N51</f>
        <v>197.6832232994764</v>
      </c>
      <c r="P51" s="181"/>
      <c r="Q51" s="141"/>
    </row>
    <row r="52" spans="1:17" x14ac:dyDescent="0.25">
      <c r="B52" s="440" t="s">
        <v>125</v>
      </c>
      <c r="C52" s="440"/>
      <c r="D52" s="119">
        <v>546</v>
      </c>
      <c r="E52" s="191"/>
      <c r="G52" s="168"/>
      <c r="H52" s="118"/>
      <c r="I52" s="118"/>
      <c r="J52" s="142"/>
      <c r="K52" s="186"/>
      <c r="L52" s="182"/>
      <c r="M52" s="432" t="s">
        <v>122</v>
      </c>
      <c r="N52" s="432"/>
      <c r="O52" s="181">
        <f>SUM(O50:O51)</f>
        <v>988.41611649738195</v>
      </c>
      <c r="P52" s="181"/>
      <c r="Q52" s="141"/>
    </row>
    <row r="53" spans="1:17" ht="13.8" thickBot="1" x14ac:dyDescent="0.3">
      <c r="B53" s="436" t="s">
        <v>126</v>
      </c>
      <c r="C53" s="436"/>
      <c r="D53" s="190">
        <f>+D51/D52</f>
        <v>1</v>
      </c>
      <c r="E53" s="191"/>
      <c r="F53" s="193"/>
      <c r="G53" s="168"/>
      <c r="H53" s="118"/>
      <c r="I53" s="118"/>
      <c r="J53" s="142"/>
      <c r="K53" s="186"/>
      <c r="L53" s="432" t="s">
        <v>127</v>
      </c>
      <c r="M53" s="432"/>
      <c r="N53" s="192">
        <v>0.05</v>
      </c>
      <c r="O53" s="181">
        <f>+O52*N53</f>
        <v>49.420805824869099</v>
      </c>
      <c r="P53" s="181"/>
      <c r="Q53" s="141"/>
    </row>
    <row r="54" spans="1:17" ht="13.8" thickBot="1" x14ac:dyDescent="0.25">
      <c r="B54" s="436" t="s">
        <v>128</v>
      </c>
      <c r="C54" s="436"/>
      <c r="D54" s="145"/>
      <c r="E54" s="191"/>
      <c r="F54" s="193"/>
      <c r="G54" s="168"/>
      <c r="H54" s="118"/>
      <c r="I54" s="118"/>
      <c r="J54" s="142"/>
      <c r="K54" s="437" t="s">
        <v>129</v>
      </c>
      <c r="L54" s="438"/>
      <c r="M54" s="438"/>
      <c r="N54" s="439"/>
      <c r="O54" s="126">
        <f>SUM(O52:O53)</f>
        <v>1037.836922322251</v>
      </c>
      <c r="P54" s="194" t="s">
        <v>130</v>
      </c>
      <c r="Q54" s="141"/>
    </row>
    <row r="55" spans="1:17" ht="13.8" thickBot="1" x14ac:dyDescent="0.25">
      <c r="C55" s="177" t="s">
        <v>131</v>
      </c>
      <c r="D55" s="149"/>
      <c r="E55" s="155" t="s">
        <v>132</v>
      </c>
      <c r="F55" s="195" t="s">
        <v>133</v>
      </c>
      <c r="G55" s="168"/>
      <c r="H55" s="118"/>
      <c r="I55" s="118"/>
      <c r="J55" s="146"/>
      <c r="K55" s="196"/>
      <c r="L55" s="435" t="s">
        <v>134</v>
      </c>
      <c r="M55" s="435"/>
      <c r="N55" s="435"/>
      <c r="O55" s="197">
        <f>+O54/D53</f>
        <v>1037.836922322251</v>
      </c>
      <c r="P55" s="198">
        <f>+O55/D52</f>
        <v>1.9008002240334267</v>
      </c>
      <c r="Q55" s="143"/>
    </row>
    <row r="56" spans="1:17" ht="13.8" thickBot="1" x14ac:dyDescent="0.25">
      <c r="B56" s="434" t="s">
        <v>118</v>
      </c>
      <c r="C56" s="434"/>
      <c r="D56" s="434"/>
      <c r="E56" s="199">
        <f>+F56/F56</f>
        <v>1</v>
      </c>
      <c r="F56" s="200">
        <f>SUM(F48)</f>
        <v>604.3475502902545</v>
      </c>
      <c r="G56" s="168">
        <f>+F56/$F$59</f>
        <v>0.90098279049644769</v>
      </c>
      <c r="H56" s="118"/>
      <c r="I56" s="118"/>
      <c r="K56" s="429"/>
      <c r="L56" s="430"/>
      <c r="M56" s="430"/>
      <c r="N56" s="430"/>
      <c r="O56" s="147"/>
      <c r="P56" s="148"/>
    </row>
    <row r="57" spans="1:17" ht="13.8" thickBot="1" x14ac:dyDescent="0.3">
      <c r="B57" s="431" t="s">
        <v>135</v>
      </c>
      <c r="C57" s="431"/>
      <c r="D57" s="431"/>
      <c r="E57" s="201">
        <v>0.02</v>
      </c>
      <c r="F57" s="200">
        <f>+F46*E57</f>
        <v>11.417259720439388</v>
      </c>
      <c r="G57" s="168">
        <f>+F57/$F$59</f>
        <v>1.7021256258594374E-2</v>
      </c>
      <c r="H57" s="180"/>
      <c r="I57" s="118"/>
      <c r="J57" s="170"/>
      <c r="O57" s="202">
        <f>+O55/42</f>
        <v>24.710402912434546</v>
      </c>
      <c r="P57" s="178"/>
    </row>
    <row r="58" spans="1:17" ht="13.8" thickBot="1" x14ac:dyDescent="0.3">
      <c r="B58" s="423" t="s">
        <v>136</v>
      </c>
      <c r="C58" s="424"/>
      <c r="D58" s="154">
        <v>1</v>
      </c>
      <c r="E58" s="203">
        <v>55</v>
      </c>
      <c r="F58" s="200">
        <f>+E58*D58</f>
        <v>55</v>
      </c>
      <c r="G58" s="168">
        <f>+F58/$F$59</f>
        <v>8.1995953244958023E-2</v>
      </c>
      <c r="H58" s="180"/>
      <c r="I58" s="180"/>
      <c r="J58" s="170"/>
    </row>
    <row r="59" spans="1:17" ht="13.8" thickBot="1" x14ac:dyDescent="0.3">
      <c r="B59" s="420" t="s">
        <v>137</v>
      </c>
      <c r="C59" s="421"/>
      <c r="D59" s="421"/>
      <c r="E59" s="422"/>
      <c r="F59" s="185">
        <f>SUM(F56:F58)</f>
        <v>670.76481001069385</v>
      </c>
      <c r="G59" s="168">
        <f>+F59/$F$59</f>
        <v>1</v>
      </c>
      <c r="H59" s="428"/>
      <c r="I59" s="180"/>
      <c r="J59" s="170"/>
    </row>
    <row r="60" spans="1:17" x14ac:dyDescent="0.25">
      <c r="C60" s="205"/>
      <c r="D60" s="205"/>
      <c r="E60" s="206"/>
      <c r="F60" s="200"/>
      <c r="G60" s="168"/>
      <c r="H60" s="428"/>
      <c r="I60" s="204"/>
      <c r="J60" s="157"/>
    </row>
    <row r="61" spans="1:17" ht="13.8" thickBot="1" x14ac:dyDescent="0.3">
      <c r="B61" s="419" t="s">
        <v>138</v>
      </c>
      <c r="C61" s="419"/>
      <c r="D61" s="419"/>
      <c r="E61" s="419"/>
      <c r="F61" s="419"/>
      <c r="G61" s="168"/>
      <c r="H61" s="120"/>
      <c r="I61" s="204"/>
      <c r="J61" s="157"/>
    </row>
    <row r="62" spans="1:17" ht="13.8" thickBot="1" x14ac:dyDescent="0.3">
      <c r="B62" s="208" t="s">
        <v>139</v>
      </c>
      <c r="C62" s="209">
        <f>+F46</f>
        <v>570.86298602196939</v>
      </c>
      <c r="D62" s="209">
        <f>+D51</f>
        <v>546</v>
      </c>
      <c r="E62" s="125">
        <f>+C62/D62</f>
        <v>1.0455366044358414</v>
      </c>
      <c r="F62" s="168"/>
      <c r="G62" s="120"/>
      <c r="H62" s="170"/>
      <c r="I62" s="120"/>
      <c r="J62" s="157"/>
    </row>
    <row r="63" spans="1:17" x14ac:dyDescent="0.25">
      <c r="B63" s="210"/>
      <c r="C63" s="211"/>
      <c r="D63" s="212"/>
      <c r="E63" s="200"/>
      <c r="F63" s="168"/>
      <c r="G63" s="120"/>
      <c r="H63" s="170"/>
      <c r="I63" s="170"/>
      <c r="J63" s="157"/>
    </row>
    <row r="64" spans="1:17" x14ac:dyDescent="0.25">
      <c r="B64" s="208" t="s">
        <v>140</v>
      </c>
      <c r="C64" s="209">
        <f>SUM(F56:F57)</f>
        <v>615.76481001069385</v>
      </c>
      <c r="D64" s="209">
        <f>+D51</f>
        <v>546</v>
      </c>
      <c r="E64" s="213">
        <f>+C64/D64</f>
        <v>1.127774377308963</v>
      </c>
      <c r="F64" s="168"/>
      <c r="G64" s="120"/>
      <c r="H64" s="170"/>
      <c r="I64" s="170"/>
      <c r="J64" s="157"/>
    </row>
    <row r="65" spans="2:10" x14ac:dyDescent="0.25">
      <c r="B65" s="208"/>
      <c r="C65" s="209"/>
      <c r="D65" s="209"/>
      <c r="E65" s="213"/>
      <c r="F65" s="168"/>
      <c r="G65" s="120"/>
      <c r="H65" s="170"/>
      <c r="I65" s="170"/>
      <c r="J65" s="157"/>
    </row>
    <row r="66" spans="2:10" ht="13.8" thickBot="1" x14ac:dyDescent="0.3">
      <c r="B66" s="208" t="s">
        <v>141</v>
      </c>
      <c r="C66" s="209">
        <f>+F58</f>
        <v>55</v>
      </c>
      <c r="D66" s="209">
        <f>+D51</f>
        <v>546</v>
      </c>
      <c r="E66" s="213">
        <f>+C66/D66</f>
        <v>0.10073260073260074</v>
      </c>
      <c r="F66" s="168"/>
      <c r="G66" s="120"/>
      <c r="H66" s="170"/>
      <c r="I66" s="170"/>
      <c r="J66" s="157"/>
    </row>
    <row r="67" spans="2:10" ht="13.8" thickBot="1" x14ac:dyDescent="0.3">
      <c r="B67" s="208" t="s">
        <v>142</v>
      </c>
      <c r="C67" s="209">
        <f>+F49</f>
        <v>180.34186740474851</v>
      </c>
      <c r="D67" s="209">
        <f>+D66</f>
        <v>546</v>
      </c>
      <c r="E67" s="125">
        <f>+C67/D67</f>
        <v>0.33029646044825733</v>
      </c>
      <c r="F67" s="168"/>
      <c r="G67" s="120"/>
      <c r="H67" s="170"/>
      <c r="I67" s="170"/>
      <c r="J67" s="157"/>
    </row>
    <row r="68" spans="2:10" ht="13.8" thickBot="1" x14ac:dyDescent="0.3">
      <c r="B68" s="184"/>
      <c r="C68" s="185"/>
      <c r="D68" s="185"/>
      <c r="E68" s="213"/>
      <c r="F68" s="168"/>
      <c r="G68" s="120"/>
      <c r="H68" s="170"/>
      <c r="I68" s="170"/>
      <c r="J68" s="157"/>
    </row>
    <row r="69" spans="2:10" ht="13.8" thickBot="1" x14ac:dyDescent="0.3">
      <c r="B69" s="208" t="s">
        <v>143</v>
      </c>
      <c r="C69" s="209">
        <f>+F47</f>
        <v>33.484564268285069</v>
      </c>
      <c r="D69" s="209">
        <f>+D67</f>
        <v>546</v>
      </c>
      <c r="E69" s="125">
        <f>+C69/D69</f>
        <v>6.1327040784404888E-2</v>
      </c>
      <c r="F69" s="168"/>
      <c r="G69" s="120"/>
      <c r="H69" s="170"/>
      <c r="I69" s="170"/>
      <c r="J69" s="170"/>
    </row>
    <row r="70" spans="2:10" ht="13.8" thickBot="1" x14ac:dyDescent="0.3">
      <c r="B70" s="184"/>
      <c r="C70" s="185"/>
      <c r="D70" s="185"/>
      <c r="E70" s="213"/>
      <c r="F70" s="168"/>
      <c r="G70" s="120"/>
      <c r="H70" s="170"/>
      <c r="I70" s="170"/>
    </row>
    <row r="71" spans="2:10" ht="13.8" thickBot="1" x14ac:dyDescent="0.3">
      <c r="B71" s="425" t="s">
        <v>144</v>
      </c>
      <c r="C71" s="426"/>
      <c r="D71" s="427"/>
      <c r="E71" s="125">
        <f>+E62+E67</f>
        <v>1.3758330648840986</v>
      </c>
      <c r="G71" s="168"/>
      <c r="H71" s="120"/>
      <c r="I71" s="170"/>
      <c r="J71" s="213"/>
    </row>
    <row r="72" spans="2:10" x14ac:dyDescent="0.25">
      <c r="I72" s="120"/>
      <c r="J72" s="157"/>
    </row>
    <row r="73" spans="2:10" ht="13.8" thickBot="1" x14ac:dyDescent="0.3">
      <c r="B73" s="419" t="s">
        <v>145</v>
      </c>
      <c r="C73" s="419"/>
      <c r="D73" s="419"/>
      <c r="E73" s="419"/>
      <c r="F73" s="419"/>
      <c r="G73" s="168"/>
      <c r="H73" s="120"/>
      <c r="J73" s="157"/>
    </row>
    <row r="74" spans="2:10" ht="13.8" thickBot="1" x14ac:dyDescent="0.3">
      <c r="B74" s="208" t="s">
        <v>139</v>
      </c>
      <c r="C74" s="209">
        <f>+C62</f>
        <v>570.86298602196939</v>
      </c>
      <c r="D74" s="209">
        <f>+D53</f>
        <v>1</v>
      </c>
      <c r="E74" s="125">
        <f>+C74/D74</f>
        <v>570.86298602196939</v>
      </c>
      <c r="F74" s="168"/>
      <c r="G74" s="120"/>
      <c r="H74" s="170"/>
      <c r="I74" s="120"/>
      <c r="J74" s="157"/>
    </row>
    <row r="75" spans="2:10" x14ac:dyDescent="0.25">
      <c r="B75" s="210"/>
      <c r="C75" s="211"/>
      <c r="D75" s="212"/>
      <c r="E75" s="200"/>
      <c r="F75" s="168"/>
      <c r="G75" s="120"/>
      <c r="H75" s="170"/>
      <c r="I75" s="170"/>
      <c r="J75" s="157"/>
    </row>
    <row r="76" spans="2:10" x14ac:dyDescent="0.25">
      <c r="B76" s="208" t="s">
        <v>140</v>
      </c>
      <c r="C76" s="209">
        <f>+C64</f>
        <v>615.76481001069385</v>
      </c>
      <c r="D76" s="209">
        <f>+D53</f>
        <v>1</v>
      </c>
      <c r="E76" s="213">
        <f>+C76/D76</f>
        <v>615.76481001069385</v>
      </c>
      <c r="F76" s="168"/>
      <c r="G76" s="120"/>
      <c r="H76" s="170"/>
      <c r="I76" s="170"/>
      <c r="J76" s="157"/>
    </row>
    <row r="77" spans="2:10" x14ac:dyDescent="0.25">
      <c r="B77" s="208"/>
      <c r="C77" s="209"/>
      <c r="D77" s="209"/>
      <c r="E77" s="213"/>
      <c r="F77" s="168"/>
      <c r="G77" s="120"/>
      <c r="H77" s="170"/>
      <c r="I77" s="170"/>
      <c r="J77" s="157"/>
    </row>
    <row r="78" spans="2:10" ht="13.8" thickBot="1" x14ac:dyDescent="0.3">
      <c r="B78" s="208" t="s">
        <v>142</v>
      </c>
      <c r="C78" s="209">
        <f>+C66</f>
        <v>55</v>
      </c>
      <c r="D78" s="209">
        <f>+D53</f>
        <v>1</v>
      </c>
      <c r="E78" s="213">
        <f>+C78/D78</f>
        <v>55</v>
      </c>
      <c r="F78" s="215"/>
      <c r="G78" s="207"/>
      <c r="H78" s="156"/>
      <c r="I78" s="170"/>
    </row>
    <row r="79" spans="2:10" ht="13.8" thickBot="1" x14ac:dyDescent="0.3">
      <c r="B79" s="208" t="s">
        <v>142</v>
      </c>
      <c r="C79" s="209">
        <f>+C67</f>
        <v>180.34186740474851</v>
      </c>
      <c r="D79" s="209">
        <f>+D78</f>
        <v>1</v>
      </c>
      <c r="E79" s="125">
        <f>+C79/D79</f>
        <v>180.34186740474851</v>
      </c>
      <c r="F79" s="214"/>
      <c r="G79" s="207"/>
      <c r="H79" s="156"/>
      <c r="I79" s="156"/>
    </row>
    <row r="80" spans="2:10" x14ac:dyDescent="0.25">
      <c r="I80" s="156"/>
    </row>
    <row r="81" spans="1:5" x14ac:dyDescent="0.25">
      <c r="A81" s="418"/>
      <c r="B81" s="418"/>
      <c r="C81" s="216"/>
      <c r="D81" s="216"/>
      <c r="E81" s="217"/>
    </row>
    <row r="82" spans="1:5" x14ac:dyDescent="0.25">
      <c r="A82" s="171"/>
      <c r="B82" s="218"/>
      <c r="C82" s="219"/>
      <c r="D82" s="219"/>
      <c r="E82" s="220"/>
    </row>
    <row r="83" spans="1:5" x14ac:dyDescent="0.25">
      <c r="A83" s="171"/>
      <c r="B83" s="218"/>
      <c r="C83" s="221"/>
      <c r="D83" s="221"/>
      <c r="E83" s="171"/>
    </row>
    <row r="84" spans="1:5" x14ac:dyDescent="0.25">
      <c r="A84" s="171"/>
      <c r="B84" s="218"/>
      <c r="C84" s="222"/>
      <c r="D84" s="222"/>
      <c r="E84" s="171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DC-DC62-48E9-A0EA-F011D9C89DF6}">
  <dimension ref="A1:G47"/>
  <sheetViews>
    <sheetView topLeftCell="A13" workbookViewId="0">
      <selection activeCell="A8" sqref="A8:A9"/>
    </sheetView>
  </sheetViews>
  <sheetFormatPr baseColWidth="10" defaultColWidth="9.6640625" defaultRowHeight="15.6" x14ac:dyDescent="0.3"/>
  <cols>
    <col min="1" max="1" width="11.33203125" style="76" customWidth="1"/>
    <col min="2" max="2" width="34.33203125" style="76" customWidth="1"/>
    <col min="3" max="5" width="18.6640625" style="76" customWidth="1"/>
    <col min="6" max="7" width="10.6640625" style="76" customWidth="1"/>
    <col min="8" max="16384" width="9.6640625" style="76"/>
  </cols>
  <sheetData>
    <row r="1" spans="1:7" ht="22.5" customHeight="1" x14ac:dyDescent="0.3">
      <c r="A1" s="552"/>
      <c r="B1" s="556" t="s">
        <v>22</v>
      </c>
      <c r="C1" s="556"/>
      <c r="D1" s="556"/>
      <c r="E1" s="556"/>
      <c r="F1" s="74" t="s">
        <v>62</v>
      </c>
      <c r="G1" s="75"/>
    </row>
    <row r="2" spans="1:7" ht="22.5" customHeight="1" x14ac:dyDescent="0.3">
      <c r="A2" s="553"/>
      <c r="B2" s="557" t="s">
        <v>63</v>
      </c>
      <c r="C2" s="557"/>
      <c r="D2" s="557"/>
      <c r="E2" s="557"/>
      <c r="F2" s="77" t="s">
        <v>64</v>
      </c>
      <c r="G2" s="78"/>
    </row>
    <row r="3" spans="1:7" s="80" customFormat="1" ht="22.5" customHeight="1" x14ac:dyDescent="0.3">
      <c r="A3" s="554"/>
      <c r="B3" s="558" t="s">
        <v>92</v>
      </c>
      <c r="C3" s="558"/>
      <c r="D3" s="558"/>
      <c r="E3" s="558"/>
      <c r="F3" s="79" t="s">
        <v>65</v>
      </c>
      <c r="G3" s="78"/>
    </row>
    <row r="4" spans="1:7" ht="18.75" customHeight="1" thickBot="1" x14ac:dyDescent="0.35">
      <c r="A4" s="555"/>
      <c r="B4" s="81" t="s">
        <v>66</v>
      </c>
      <c r="C4" s="559" t="s">
        <v>67</v>
      </c>
      <c r="D4" s="560"/>
      <c r="E4" s="82" t="s">
        <v>68</v>
      </c>
      <c r="F4" s="546" t="s">
        <v>69</v>
      </c>
      <c r="G4" s="547"/>
    </row>
    <row r="5" spans="1:7" ht="7.5" customHeight="1" thickBot="1" x14ac:dyDescent="0.35">
      <c r="A5" s="83"/>
      <c r="B5" s="84"/>
      <c r="C5" s="84"/>
      <c r="D5" s="85"/>
      <c r="E5" s="86"/>
      <c r="F5" s="86"/>
      <c r="G5" s="87"/>
    </row>
    <row r="6" spans="1:7" ht="24" customHeight="1" thickBot="1" x14ac:dyDescent="0.35">
      <c r="A6" s="88" t="s">
        <v>1</v>
      </c>
      <c r="B6" s="89" t="s">
        <v>70</v>
      </c>
      <c r="C6" s="90" t="s">
        <v>71</v>
      </c>
      <c r="D6" s="90" t="s">
        <v>72</v>
      </c>
      <c r="E6" s="91" t="s">
        <v>73</v>
      </c>
      <c r="F6" s="548" t="s">
        <v>74</v>
      </c>
      <c r="G6" s="549"/>
    </row>
    <row r="7" spans="1:7" ht="18" customHeight="1" x14ac:dyDescent="0.3">
      <c r="A7" s="92" t="s">
        <v>42</v>
      </c>
      <c r="B7" s="93" t="s">
        <v>93</v>
      </c>
      <c r="C7" s="94" t="s">
        <v>75</v>
      </c>
      <c r="D7" s="95"/>
      <c r="E7" s="96"/>
      <c r="F7" s="550"/>
      <c r="G7" s="551"/>
    </row>
    <row r="8" spans="1:7" ht="18" customHeight="1" x14ac:dyDescent="0.3">
      <c r="A8" s="97">
        <v>1110399</v>
      </c>
      <c r="B8" s="98" t="s">
        <v>96</v>
      </c>
      <c r="C8" s="99" t="s">
        <v>76</v>
      </c>
      <c r="D8" s="99"/>
      <c r="E8" s="100"/>
      <c r="F8" s="539"/>
      <c r="G8" s="540"/>
    </row>
    <row r="9" spans="1:7" ht="18" customHeight="1" x14ac:dyDescent="0.3">
      <c r="A9" s="97" t="s">
        <v>94</v>
      </c>
      <c r="B9" s="98" t="s">
        <v>95</v>
      </c>
      <c r="C9" s="99" t="s">
        <v>77</v>
      </c>
      <c r="D9" s="99"/>
      <c r="E9" s="100"/>
      <c r="F9" s="539"/>
      <c r="G9" s="540"/>
    </row>
    <row r="10" spans="1:7" x14ac:dyDescent="0.3">
      <c r="A10" s="97"/>
      <c r="B10" s="98"/>
      <c r="C10" s="99"/>
      <c r="D10" s="99"/>
      <c r="E10" s="100"/>
      <c r="F10" s="539"/>
      <c r="G10" s="540"/>
    </row>
    <row r="11" spans="1:7" ht="18" customHeight="1" x14ac:dyDescent="0.3">
      <c r="A11" s="97"/>
      <c r="B11" s="98"/>
      <c r="C11" s="99"/>
      <c r="D11" s="99"/>
      <c r="E11" s="100"/>
      <c r="F11" s="539"/>
      <c r="G11" s="540"/>
    </row>
    <row r="12" spans="1:7" ht="18" customHeight="1" x14ac:dyDescent="0.3">
      <c r="A12" s="101"/>
      <c r="B12" s="98"/>
      <c r="C12" s="99"/>
      <c r="D12" s="99"/>
      <c r="E12" s="100"/>
      <c r="F12" s="539"/>
      <c r="G12" s="540"/>
    </row>
    <row r="13" spans="1:7" x14ac:dyDescent="0.3">
      <c r="A13" s="102"/>
      <c r="B13" s="98"/>
      <c r="C13" s="99"/>
      <c r="D13" s="99"/>
      <c r="E13" s="100"/>
      <c r="F13" s="539"/>
      <c r="G13" s="540"/>
    </row>
    <row r="14" spans="1:7" x14ac:dyDescent="0.3">
      <c r="A14" s="103"/>
      <c r="B14" s="104"/>
      <c r="C14" s="105"/>
      <c r="D14" s="99"/>
      <c r="E14" s="100"/>
      <c r="F14" s="539"/>
      <c r="G14" s="540"/>
    </row>
    <row r="15" spans="1:7" x14ac:dyDescent="0.3">
      <c r="A15" s="103"/>
      <c r="B15" s="106"/>
      <c r="C15" s="105"/>
      <c r="D15" s="99"/>
      <c r="E15" s="100"/>
      <c r="F15" s="539"/>
      <c r="G15" s="540"/>
    </row>
    <row r="16" spans="1:7" x14ac:dyDescent="0.3">
      <c r="A16" s="103"/>
      <c r="B16" s="106"/>
      <c r="C16" s="104"/>
      <c r="D16" s="99"/>
      <c r="E16" s="100"/>
      <c r="F16" s="539"/>
      <c r="G16" s="540"/>
    </row>
    <row r="17" spans="1:7" x14ac:dyDescent="0.3">
      <c r="A17" s="101"/>
      <c r="B17" s="107"/>
      <c r="C17" s="105"/>
      <c r="D17" s="99"/>
      <c r="E17" s="100"/>
      <c r="F17" s="539"/>
      <c r="G17" s="540"/>
    </row>
    <row r="18" spans="1:7" x14ac:dyDescent="0.3">
      <c r="A18" s="101"/>
      <c r="B18" s="107"/>
      <c r="C18" s="105"/>
      <c r="D18" s="99"/>
      <c r="E18" s="100"/>
      <c r="F18" s="539"/>
      <c r="G18" s="540"/>
    </row>
    <row r="19" spans="1:7" x14ac:dyDescent="0.3">
      <c r="A19" s="101"/>
      <c r="B19" s="108"/>
      <c r="C19" s="105"/>
      <c r="D19" s="99"/>
      <c r="E19" s="100"/>
      <c r="F19" s="539"/>
      <c r="G19" s="540"/>
    </row>
    <row r="20" spans="1:7" x14ac:dyDescent="0.3">
      <c r="A20" s="109"/>
      <c r="B20" s="110"/>
      <c r="C20" s="105"/>
      <c r="D20" s="99"/>
      <c r="E20" s="100"/>
      <c r="F20" s="539"/>
      <c r="G20" s="540"/>
    </row>
    <row r="21" spans="1:7" x14ac:dyDescent="0.3">
      <c r="A21" s="103"/>
      <c r="B21" s="106"/>
      <c r="C21" s="99"/>
      <c r="D21" s="99"/>
      <c r="E21" s="100"/>
      <c r="F21" s="539"/>
      <c r="G21" s="540"/>
    </row>
    <row r="22" spans="1:7" ht="16.2" thickBot="1" x14ac:dyDescent="0.35">
      <c r="A22" s="111"/>
      <c r="B22" s="112"/>
      <c r="C22" s="113"/>
      <c r="D22" s="113"/>
      <c r="E22" s="114"/>
      <c r="F22" s="541"/>
      <c r="G22" s="542"/>
    </row>
    <row r="23" spans="1:7" ht="30" customHeight="1" thickBot="1" x14ac:dyDescent="0.35">
      <c r="A23" s="533" t="s">
        <v>78</v>
      </c>
      <c r="B23" s="534"/>
      <c r="C23" s="534"/>
      <c r="D23" s="534"/>
      <c r="E23" s="534"/>
      <c r="F23" s="534"/>
      <c r="G23" s="535"/>
    </row>
    <row r="24" spans="1:7" ht="18" customHeight="1" x14ac:dyDescent="0.3">
      <c r="A24" s="115"/>
      <c r="B24" s="116"/>
      <c r="C24" s="116"/>
      <c r="D24" s="86"/>
      <c r="E24" s="116"/>
      <c r="F24" s="116"/>
      <c r="G24" s="117"/>
    </row>
    <row r="25" spans="1:7" ht="18" customHeight="1" x14ac:dyDescent="0.3">
      <c r="A25" s="543" t="s">
        <v>79</v>
      </c>
      <c r="B25" s="544"/>
      <c r="C25" s="544"/>
      <c r="D25" s="544" t="s">
        <v>80</v>
      </c>
      <c r="E25" s="544"/>
      <c r="F25" s="544"/>
      <c r="G25" s="545"/>
    </row>
    <row r="26" spans="1:7" ht="18" customHeight="1" x14ac:dyDescent="0.3">
      <c r="A26" s="115"/>
      <c r="B26" s="116"/>
      <c r="C26" s="116"/>
      <c r="D26" s="86"/>
      <c r="E26" s="116"/>
      <c r="F26" s="116"/>
      <c r="G26" s="117"/>
    </row>
    <row r="27" spans="1:7" ht="18" customHeight="1" x14ac:dyDescent="0.3">
      <c r="A27" s="115"/>
      <c r="B27" s="116"/>
      <c r="C27" s="116"/>
      <c r="D27" s="86"/>
      <c r="E27" s="116"/>
      <c r="F27" s="116"/>
      <c r="G27" s="117"/>
    </row>
    <row r="28" spans="1:7" ht="18" customHeight="1" x14ac:dyDescent="0.3">
      <c r="A28" s="115"/>
      <c r="B28" s="116"/>
      <c r="C28" s="116"/>
      <c r="D28" s="86"/>
      <c r="E28" s="116"/>
      <c r="F28" s="116"/>
      <c r="G28" s="117"/>
    </row>
    <row r="29" spans="1:7" ht="21" customHeight="1" x14ac:dyDescent="0.3">
      <c r="A29" s="115"/>
      <c r="B29" s="116"/>
      <c r="C29" s="116"/>
      <c r="D29" s="86"/>
      <c r="E29" s="116"/>
      <c r="F29" s="116"/>
      <c r="G29" s="117"/>
    </row>
    <row r="30" spans="1:7" ht="18" customHeight="1" x14ac:dyDescent="0.3">
      <c r="A30" s="115"/>
      <c r="B30" s="116"/>
      <c r="C30" s="116"/>
      <c r="D30" s="86"/>
      <c r="E30" s="116"/>
      <c r="F30" s="116"/>
      <c r="G30" s="117"/>
    </row>
    <row r="31" spans="1:7" ht="18" customHeight="1" x14ac:dyDescent="0.3">
      <c r="A31" s="115"/>
      <c r="B31" s="116"/>
      <c r="C31" s="116"/>
      <c r="D31" s="86"/>
      <c r="E31" s="116"/>
      <c r="F31" s="116"/>
      <c r="G31" s="117"/>
    </row>
    <row r="32" spans="1:7" ht="18" customHeight="1" x14ac:dyDescent="0.3">
      <c r="A32" s="115"/>
      <c r="B32" s="116"/>
      <c r="C32" s="116"/>
      <c r="D32" s="86"/>
      <c r="E32" s="116"/>
      <c r="F32" s="116"/>
      <c r="G32" s="117"/>
    </row>
    <row r="33" spans="1:7" ht="18" customHeight="1" x14ac:dyDescent="0.3">
      <c r="A33" s="115"/>
      <c r="B33" s="116"/>
      <c r="C33" s="116"/>
      <c r="D33" s="86"/>
      <c r="E33" s="116"/>
      <c r="F33" s="116"/>
      <c r="G33" s="117"/>
    </row>
    <row r="34" spans="1:7" ht="19.5" customHeight="1" x14ac:dyDescent="0.3">
      <c r="A34" s="115"/>
      <c r="B34" s="116"/>
      <c r="C34" s="116"/>
      <c r="D34" s="116"/>
      <c r="E34" s="116"/>
      <c r="F34" s="116"/>
      <c r="G34" s="117"/>
    </row>
    <row r="35" spans="1:7" ht="21.75" customHeight="1" thickBot="1" x14ac:dyDescent="0.35">
      <c r="A35" s="115"/>
      <c r="B35" s="116"/>
      <c r="C35" s="116"/>
      <c r="D35" s="116"/>
      <c r="E35" s="116"/>
      <c r="F35" s="116"/>
      <c r="G35" s="117"/>
    </row>
    <row r="36" spans="1:7" ht="30" customHeight="1" thickBot="1" x14ac:dyDescent="0.35">
      <c r="A36" s="533" t="s">
        <v>81</v>
      </c>
      <c r="B36" s="534"/>
      <c r="C36" s="534"/>
      <c r="D36" s="534"/>
      <c r="E36" s="534"/>
      <c r="F36" s="534"/>
      <c r="G36" s="535"/>
    </row>
    <row r="37" spans="1:7" ht="17.25" customHeight="1" x14ac:dyDescent="0.3">
      <c r="A37" s="530" t="s">
        <v>82</v>
      </c>
      <c r="B37" s="531"/>
      <c r="C37" s="531"/>
      <c r="D37" s="531"/>
      <c r="E37" s="531"/>
      <c r="F37" s="531"/>
      <c r="G37" s="532"/>
    </row>
    <row r="38" spans="1:7" ht="17.25" customHeight="1" x14ac:dyDescent="0.3">
      <c r="A38" s="530" t="s">
        <v>83</v>
      </c>
      <c r="B38" s="531"/>
      <c r="C38" s="531"/>
      <c r="D38" s="531"/>
      <c r="E38" s="531"/>
      <c r="F38" s="531"/>
      <c r="G38" s="532"/>
    </row>
    <row r="39" spans="1:7" ht="17.25" customHeight="1" x14ac:dyDescent="0.3">
      <c r="A39" s="530" t="s">
        <v>84</v>
      </c>
      <c r="B39" s="531"/>
      <c r="C39" s="531"/>
      <c r="D39" s="531"/>
      <c r="E39" s="531"/>
      <c r="F39" s="531"/>
      <c r="G39" s="532"/>
    </row>
    <row r="40" spans="1:7" ht="17.25" customHeight="1" x14ac:dyDescent="0.3">
      <c r="A40" s="530" t="s">
        <v>85</v>
      </c>
      <c r="B40" s="531"/>
      <c r="C40" s="531"/>
      <c r="D40" s="531"/>
      <c r="E40" s="531"/>
      <c r="F40" s="531"/>
      <c r="G40" s="532"/>
    </row>
    <row r="41" spans="1:7" ht="17.25" customHeight="1" x14ac:dyDescent="0.3">
      <c r="A41" s="530" t="s">
        <v>86</v>
      </c>
      <c r="B41" s="531"/>
      <c r="C41" s="531"/>
      <c r="D41" s="531"/>
      <c r="E41" s="531"/>
      <c r="F41" s="531"/>
      <c r="G41" s="532"/>
    </row>
    <row r="42" spans="1:7" ht="17.25" customHeight="1" x14ac:dyDescent="0.3">
      <c r="A42" s="530" t="s">
        <v>87</v>
      </c>
      <c r="B42" s="531"/>
      <c r="C42" s="531"/>
      <c r="D42" s="531"/>
      <c r="E42" s="531"/>
      <c r="F42" s="531"/>
      <c r="G42" s="532"/>
    </row>
    <row r="43" spans="1:7" ht="17.25" customHeight="1" x14ac:dyDescent="0.3">
      <c r="A43" s="530" t="s">
        <v>88</v>
      </c>
      <c r="B43" s="531"/>
      <c r="C43" s="531"/>
      <c r="D43" s="531"/>
      <c r="E43" s="531"/>
      <c r="F43" s="531"/>
      <c r="G43" s="532"/>
    </row>
    <row r="44" spans="1:7" ht="17.25" customHeight="1" x14ac:dyDescent="0.3">
      <c r="A44" s="530" t="s">
        <v>89</v>
      </c>
      <c r="B44" s="531"/>
      <c r="C44" s="531"/>
      <c r="D44" s="531"/>
      <c r="E44" s="531"/>
      <c r="F44" s="531"/>
      <c r="G44" s="532"/>
    </row>
    <row r="45" spans="1:7" ht="17.25" customHeight="1" thickBot="1" x14ac:dyDescent="0.35">
      <c r="A45" s="530" t="s">
        <v>90</v>
      </c>
      <c r="B45" s="531"/>
      <c r="C45" s="531"/>
      <c r="D45" s="531"/>
      <c r="E45" s="531"/>
      <c r="F45" s="531"/>
      <c r="G45" s="532"/>
    </row>
    <row r="46" spans="1:7" ht="30" customHeight="1" thickBot="1" x14ac:dyDescent="0.35">
      <c r="A46" s="536" t="s">
        <v>91</v>
      </c>
      <c r="B46" s="537"/>
      <c r="C46" s="537"/>
      <c r="D46" s="537"/>
      <c r="E46" s="537"/>
      <c r="F46" s="537"/>
      <c r="G46" s="538"/>
    </row>
    <row r="47" spans="1:7" ht="46.5" customHeight="1" x14ac:dyDescent="0.3">
      <c r="A47" s="527"/>
      <c r="B47" s="528"/>
      <c r="C47" s="528"/>
      <c r="D47" s="528"/>
      <c r="E47" s="528"/>
      <c r="F47" s="528"/>
      <c r="G47" s="529"/>
    </row>
  </sheetData>
  <mergeCells count="38">
    <mergeCell ref="A1:A4"/>
    <mergeCell ref="B1:E1"/>
    <mergeCell ref="B2:E2"/>
    <mergeCell ref="B3:E3"/>
    <mergeCell ref="C4:D4"/>
    <mergeCell ref="F4:G4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A23:G23"/>
    <mergeCell ref="A25:C25"/>
    <mergeCell ref="D25:G25"/>
    <mergeCell ref="A36:G36"/>
    <mergeCell ref="A37:G37"/>
    <mergeCell ref="A38:G38"/>
    <mergeCell ref="A39:G39"/>
    <mergeCell ref="A46:G46"/>
    <mergeCell ref="A47:G47"/>
    <mergeCell ref="A40:G40"/>
    <mergeCell ref="A41:G41"/>
    <mergeCell ref="A42:G42"/>
    <mergeCell ref="A43:G43"/>
    <mergeCell ref="A44:G44"/>
    <mergeCell ref="A45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929B-84E3-4C0E-AD9E-DC9B6B590671}">
  <dimension ref="A1:G32"/>
  <sheetViews>
    <sheetView workbookViewId="0">
      <selection activeCell="C9" sqref="C9"/>
    </sheetView>
  </sheetViews>
  <sheetFormatPr baseColWidth="10" defaultColWidth="9.6640625" defaultRowHeight="15.6" x14ac:dyDescent="0.3"/>
  <cols>
    <col min="1" max="1" width="11.33203125" style="76" customWidth="1"/>
    <col min="2" max="2" width="34.33203125" style="76" customWidth="1"/>
    <col min="3" max="5" width="18.6640625" style="76" customWidth="1"/>
    <col min="6" max="7" width="10.6640625" style="76" customWidth="1"/>
    <col min="8" max="16384" width="9.6640625" style="76"/>
  </cols>
  <sheetData>
    <row r="1" spans="1:7" ht="22.5" customHeight="1" x14ac:dyDescent="0.3">
      <c r="A1" s="552"/>
      <c r="B1" s="556" t="s">
        <v>22</v>
      </c>
      <c r="C1" s="556"/>
      <c r="D1" s="556"/>
      <c r="E1" s="556"/>
      <c r="F1" s="74" t="s">
        <v>62</v>
      </c>
      <c r="G1" s="75"/>
    </row>
    <row r="2" spans="1:7" ht="22.5" customHeight="1" x14ac:dyDescent="0.3">
      <c r="A2" s="553"/>
      <c r="B2" s="557" t="s">
        <v>63</v>
      </c>
      <c r="C2" s="557"/>
      <c r="D2" s="557"/>
      <c r="E2" s="557"/>
      <c r="F2" s="77" t="s">
        <v>64</v>
      </c>
      <c r="G2" s="78"/>
    </row>
    <row r="3" spans="1:7" s="80" customFormat="1" ht="22.5" customHeight="1" x14ac:dyDescent="0.3">
      <c r="A3" s="554"/>
      <c r="B3" s="558" t="s">
        <v>181</v>
      </c>
      <c r="C3" s="558"/>
      <c r="D3" s="558"/>
      <c r="E3" s="558"/>
      <c r="F3" s="79" t="s">
        <v>65</v>
      </c>
      <c r="G3" s="78"/>
    </row>
    <row r="4" spans="1:7" ht="18.75" customHeight="1" thickBot="1" x14ac:dyDescent="0.35">
      <c r="A4" s="555"/>
      <c r="B4" s="81" t="s">
        <v>66</v>
      </c>
      <c r="C4" s="559" t="s">
        <v>67</v>
      </c>
      <c r="D4" s="560"/>
      <c r="E4" s="82" t="s">
        <v>68</v>
      </c>
      <c r="F4" s="546" t="s">
        <v>69</v>
      </c>
      <c r="G4" s="547"/>
    </row>
    <row r="5" spans="1:7" ht="7.5" customHeight="1" thickBot="1" x14ac:dyDescent="0.35">
      <c r="A5" s="83"/>
      <c r="B5" s="84"/>
      <c r="C5" s="84"/>
      <c r="D5" s="85"/>
      <c r="E5" s="86"/>
      <c r="F5" s="86"/>
      <c r="G5" s="87"/>
    </row>
    <row r="6" spans="1:7" ht="24" customHeight="1" thickBot="1" x14ac:dyDescent="0.35">
      <c r="A6" s="88" t="s">
        <v>1</v>
      </c>
      <c r="B6" s="89" t="s">
        <v>70</v>
      </c>
      <c r="C6" s="90" t="s">
        <v>71</v>
      </c>
      <c r="D6" s="90" t="s">
        <v>72</v>
      </c>
      <c r="E6" s="91" t="s">
        <v>73</v>
      </c>
      <c r="F6" s="548" t="s">
        <v>74</v>
      </c>
      <c r="G6" s="549"/>
    </row>
    <row r="7" spans="1:7" ht="18" customHeight="1" x14ac:dyDescent="0.3">
      <c r="A7" s="92" t="s">
        <v>197</v>
      </c>
      <c r="B7" s="93" t="s">
        <v>93</v>
      </c>
      <c r="C7" s="94" t="s">
        <v>75</v>
      </c>
      <c r="D7" s="95" t="s">
        <v>182</v>
      </c>
      <c r="E7" s="96" t="s">
        <v>183</v>
      </c>
      <c r="F7" s="550" t="s">
        <v>184</v>
      </c>
      <c r="G7" s="551"/>
    </row>
    <row r="8" spans="1:7" ht="18" customHeight="1" x14ac:dyDescent="0.3">
      <c r="A8" s="97">
        <v>11400038</v>
      </c>
      <c r="B8" s="265" t="s">
        <v>185</v>
      </c>
      <c r="C8" s="99" t="s">
        <v>76</v>
      </c>
      <c r="D8" s="99" t="s">
        <v>182</v>
      </c>
      <c r="E8" s="100" t="s">
        <v>183</v>
      </c>
      <c r="F8" s="539" t="s">
        <v>184</v>
      </c>
      <c r="G8" s="540"/>
    </row>
    <row r="9" spans="1:7" ht="18" customHeight="1" x14ac:dyDescent="0.3">
      <c r="A9" s="97" t="s">
        <v>94</v>
      </c>
      <c r="B9" s="98" t="s">
        <v>95</v>
      </c>
      <c r="C9" s="99" t="s">
        <v>77</v>
      </c>
      <c r="D9" s="99" t="s">
        <v>182</v>
      </c>
      <c r="E9" s="100" t="s">
        <v>183</v>
      </c>
      <c r="F9" s="539" t="s">
        <v>184</v>
      </c>
      <c r="G9" s="540"/>
    </row>
    <row r="10" spans="1:7" ht="16.2" thickBot="1" x14ac:dyDescent="0.35">
      <c r="A10" s="97">
        <v>1950735</v>
      </c>
      <c r="B10" s="98" t="s">
        <v>186</v>
      </c>
      <c r="C10" s="99" t="s">
        <v>187</v>
      </c>
      <c r="D10" s="99" t="s">
        <v>188</v>
      </c>
      <c r="E10" s="100" t="s">
        <v>196</v>
      </c>
      <c r="F10" s="539" t="s">
        <v>184</v>
      </c>
      <c r="G10" s="540"/>
    </row>
    <row r="11" spans="1:7" ht="30" customHeight="1" thickBot="1" x14ac:dyDescent="0.35">
      <c r="A11" s="533" t="s">
        <v>78</v>
      </c>
      <c r="B11" s="534"/>
      <c r="C11" s="534"/>
      <c r="D11" s="534"/>
      <c r="E11" s="534"/>
      <c r="F11" s="534"/>
      <c r="G11" s="535"/>
    </row>
    <row r="12" spans="1:7" ht="18" customHeight="1" x14ac:dyDescent="0.3">
      <c r="A12" s="115"/>
      <c r="B12" s="116"/>
      <c r="C12" s="116"/>
      <c r="D12" s="86"/>
      <c r="E12" s="116"/>
      <c r="F12" s="116"/>
      <c r="G12" s="117"/>
    </row>
    <row r="13" spans="1:7" ht="18" customHeight="1" x14ac:dyDescent="0.3">
      <c r="A13" s="543" t="s">
        <v>79</v>
      </c>
      <c r="B13" s="544"/>
      <c r="C13" s="544"/>
      <c r="D13" s="544" t="s">
        <v>80</v>
      </c>
      <c r="E13" s="544"/>
      <c r="F13" s="544"/>
      <c r="G13" s="545"/>
    </row>
    <row r="14" spans="1:7" ht="18" customHeight="1" x14ac:dyDescent="0.3">
      <c r="A14" s="115"/>
      <c r="B14" s="116"/>
      <c r="C14" s="116"/>
      <c r="D14" s="86"/>
      <c r="E14" s="116"/>
      <c r="F14" s="116"/>
      <c r="G14" s="117"/>
    </row>
    <row r="15" spans="1:7" ht="18" customHeight="1" x14ac:dyDescent="0.3">
      <c r="A15" s="115"/>
      <c r="B15" s="116"/>
      <c r="C15" s="116"/>
      <c r="D15" s="86"/>
      <c r="E15" s="116"/>
      <c r="F15" s="116"/>
      <c r="G15" s="117"/>
    </row>
    <row r="16" spans="1:7" ht="18" customHeight="1" x14ac:dyDescent="0.3">
      <c r="A16" s="115"/>
      <c r="B16" s="116"/>
      <c r="C16" s="116"/>
      <c r="D16" s="86"/>
      <c r="E16" s="116"/>
      <c r="F16" s="116"/>
      <c r="G16" s="117"/>
    </row>
    <row r="17" spans="1:7" ht="21" customHeight="1" x14ac:dyDescent="0.3">
      <c r="A17" s="115"/>
      <c r="B17" s="116"/>
      <c r="C17" s="116"/>
      <c r="D17" s="86"/>
      <c r="E17" s="116"/>
      <c r="F17" s="116"/>
      <c r="G17" s="117"/>
    </row>
    <row r="18" spans="1:7" ht="18" customHeight="1" x14ac:dyDescent="0.3">
      <c r="A18" s="115"/>
      <c r="B18" s="116"/>
      <c r="C18" s="116"/>
      <c r="D18" s="86"/>
      <c r="E18" s="116"/>
      <c r="F18" s="116"/>
      <c r="G18" s="117"/>
    </row>
    <row r="19" spans="1:7" ht="18" customHeight="1" x14ac:dyDescent="0.3">
      <c r="A19" s="115"/>
      <c r="B19" s="116"/>
      <c r="C19" s="116"/>
      <c r="D19" s="86"/>
      <c r="E19" s="116"/>
      <c r="F19" s="116"/>
      <c r="G19" s="117"/>
    </row>
    <row r="20" spans="1:7" ht="18" customHeight="1" x14ac:dyDescent="0.3">
      <c r="A20" s="115"/>
      <c r="B20" s="116"/>
      <c r="C20" s="116"/>
      <c r="D20" s="86"/>
      <c r="E20" s="116"/>
      <c r="F20" s="116"/>
      <c r="G20" s="117"/>
    </row>
    <row r="21" spans="1:7" ht="18" customHeight="1" x14ac:dyDescent="0.3">
      <c r="A21" s="115"/>
      <c r="B21" s="116"/>
      <c r="C21" s="116"/>
      <c r="D21" s="86"/>
      <c r="E21" s="116"/>
      <c r="F21" s="116"/>
      <c r="G21" s="117"/>
    </row>
    <row r="22" spans="1:7" ht="19.5" customHeight="1" x14ac:dyDescent="0.3">
      <c r="A22" s="115"/>
      <c r="B22" s="116"/>
      <c r="C22" s="116"/>
      <c r="D22" s="116"/>
      <c r="E22" s="116"/>
      <c r="F22" s="116"/>
      <c r="G22" s="117"/>
    </row>
    <row r="23" spans="1:7" ht="21.75" customHeight="1" thickBot="1" x14ac:dyDescent="0.35">
      <c r="A23" s="115"/>
      <c r="B23" s="116"/>
      <c r="C23" s="116"/>
      <c r="D23" s="116"/>
      <c r="E23" s="116"/>
      <c r="F23" s="116"/>
      <c r="G23" s="117"/>
    </row>
    <row r="24" spans="1:7" ht="30" customHeight="1" thickBot="1" x14ac:dyDescent="0.35">
      <c r="A24" s="533" t="s">
        <v>81</v>
      </c>
      <c r="B24" s="534"/>
      <c r="C24" s="534"/>
      <c r="D24" s="534"/>
      <c r="E24" s="534"/>
      <c r="F24" s="534"/>
      <c r="G24" s="535"/>
    </row>
    <row r="25" spans="1:7" ht="17.25" customHeight="1" x14ac:dyDescent="0.3">
      <c r="A25" s="561" t="s">
        <v>189</v>
      </c>
      <c r="B25" s="562"/>
      <c r="C25" s="562"/>
      <c r="D25" s="562"/>
      <c r="E25" s="562"/>
      <c r="F25" s="562"/>
      <c r="G25" s="563"/>
    </row>
    <row r="26" spans="1:7" ht="17.25" customHeight="1" x14ac:dyDescent="0.3">
      <c r="A26" s="561" t="s">
        <v>190</v>
      </c>
      <c r="B26" s="562"/>
      <c r="C26" s="562"/>
      <c r="D26" s="562"/>
      <c r="E26" s="562"/>
      <c r="F26" s="562"/>
      <c r="G26" s="563"/>
    </row>
    <row r="27" spans="1:7" ht="27.75" customHeight="1" x14ac:dyDescent="0.3">
      <c r="A27" s="561" t="s">
        <v>191</v>
      </c>
      <c r="B27" s="562"/>
      <c r="C27" s="562"/>
      <c r="D27" s="562"/>
      <c r="E27" s="562"/>
      <c r="F27" s="562"/>
      <c r="G27" s="563"/>
    </row>
    <row r="28" spans="1:7" ht="27.75" customHeight="1" x14ac:dyDescent="0.3">
      <c r="A28" s="561" t="s">
        <v>192</v>
      </c>
      <c r="B28" s="562"/>
      <c r="C28" s="562"/>
      <c r="D28" s="562"/>
      <c r="E28" s="562"/>
      <c r="F28" s="562"/>
      <c r="G28" s="563"/>
    </row>
    <row r="29" spans="1:7" ht="17.25" customHeight="1" x14ac:dyDescent="0.3">
      <c r="A29" s="561" t="s">
        <v>193</v>
      </c>
      <c r="B29" s="562"/>
      <c r="C29" s="562"/>
      <c r="D29" s="562"/>
      <c r="E29" s="562"/>
      <c r="F29" s="562"/>
      <c r="G29" s="563"/>
    </row>
    <row r="30" spans="1:7" ht="17.25" customHeight="1" thickBot="1" x14ac:dyDescent="0.35">
      <c r="A30" s="561" t="s">
        <v>194</v>
      </c>
      <c r="B30" s="562"/>
      <c r="C30" s="562"/>
      <c r="D30" s="562"/>
      <c r="E30" s="562"/>
      <c r="F30" s="562"/>
      <c r="G30" s="563"/>
    </row>
    <row r="31" spans="1:7" ht="30" customHeight="1" thickBot="1" x14ac:dyDescent="0.35">
      <c r="A31" s="536" t="s">
        <v>91</v>
      </c>
      <c r="B31" s="537"/>
      <c r="C31" s="537"/>
      <c r="D31" s="537"/>
      <c r="E31" s="537"/>
      <c r="F31" s="537"/>
      <c r="G31" s="538"/>
    </row>
    <row r="32" spans="1:7" ht="46.5" customHeight="1" thickBot="1" x14ac:dyDescent="0.35">
      <c r="A32" s="564" t="s">
        <v>195</v>
      </c>
      <c r="B32" s="565"/>
      <c r="C32" s="565"/>
      <c r="D32" s="565"/>
      <c r="E32" s="565"/>
      <c r="F32" s="565"/>
      <c r="G32" s="566"/>
    </row>
  </sheetData>
  <mergeCells count="23">
    <mergeCell ref="A28:G28"/>
    <mergeCell ref="A29:G29"/>
    <mergeCell ref="A30:G30"/>
    <mergeCell ref="A31:G31"/>
    <mergeCell ref="A32:G32"/>
    <mergeCell ref="A27:G27"/>
    <mergeCell ref="F6:G6"/>
    <mergeCell ref="F7:G7"/>
    <mergeCell ref="F8:G8"/>
    <mergeCell ref="F9:G9"/>
    <mergeCell ref="F10:G10"/>
    <mergeCell ref="A11:G11"/>
    <mergeCell ref="A13:C13"/>
    <mergeCell ref="D13:G13"/>
    <mergeCell ref="A24:G24"/>
    <mergeCell ref="A25:G25"/>
    <mergeCell ref="A26:G26"/>
    <mergeCell ref="F4:G4"/>
    <mergeCell ref="A1:A4"/>
    <mergeCell ref="B1:E1"/>
    <mergeCell ref="B2:E2"/>
    <mergeCell ref="B3:E3"/>
    <mergeCell ref="C4:D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3B7C-1E82-4C27-B71E-9B0C049F74FD}">
  <dimension ref="A1:AL65"/>
  <sheetViews>
    <sheetView workbookViewId="0">
      <selection activeCell="K19" sqref="K19"/>
    </sheetView>
  </sheetViews>
  <sheetFormatPr baseColWidth="10" defaultColWidth="8.44140625" defaultRowHeight="10.199999999999999" x14ac:dyDescent="0.2"/>
  <cols>
    <col min="1" max="1" width="5" style="223" customWidth="1"/>
    <col min="2" max="2" width="10" style="223" bestFit="1" customWidth="1"/>
    <col min="3" max="3" width="39.33203125" style="223" customWidth="1"/>
    <col min="4" max="4" width="10" style="223" bestFit="1" customWidth="1"/>
    <col min="5" max="5" width="10" style="223" customWidth="1"/>
    <col min="6" max="6" width="10.33203125" style="223" bestFit="1" customWidth="1"/>
    <col min="7" max="7" width="11.5546875" style="224" customWidth="1"/>
    <col min="8" max="8" width="10.44140625" style="226" bestFit="1" customWidth="1"/>
    <col min="9" max="9" width="11.5546875" style="227" bestFit="1" customWidth="1"/>
    <col min="10" max="10" width="6.6640625" style="225" bestFit="1" customWidth="1"/>
    <col min="11" max="11" width="9" style="223" bestFit="1" customWidth="1"/>
    <col min="12" max="16384" width="8.44140625" style="223"/>
  </cols>
  <sheetData>
    <row r="1" spans="2:9" x14ac:dyDescent="0.2">
      <c r="H1" s="569" t="s">
        <v>146</v>
      </c>
      <c r="I1" s="571">
        <f>+G51</f>
        <v>132.95034219799084</v>
      </c>
    </row>
    <row r="2" spans="2:9" ht="19.5" customHeight="1" thickBot="1" x14ac:dyDescent="0.25">
      <c r="H2" s="570"/>
      <c r="I2" s="572"/>
    </row>
    <row r="3" spans="2:9" ht="10.8" thickBot="1" x14ac:dyDescent="0.25"/>
    <row r="4" spans="2:9" ht="36" customHeight="1" thickBot="1" x14ac:dyDescent="0.4">
      <c r="B4" s="573"/>
      <c r="C4" s="574"/>
      <c r="D4" s="574"/>
      <c r="E4" s="574"/>
      <c r="F4" s="574"/>
      <c r="G4" s="574"/>
      <c r="H4" s="574"/>
      <c r="I4" s="575"/>
    </row>
    <row r="5" spans="2:9" ht="19.5" customHeight="1" thickBot="1" x14ac:dyDescent="0.25">
      <c r="B5" s="576" t="s">
        <v>147</v>
      </c>
      <c r="C5" s="576"/>
      <c r="D5" s="576"/>
      <c r="E5" s="576"/>
      <c r="F5" s="576"/>
      <c r="G5" s="576"/>
      <c r="H5" s="576"/>
      <c r="I5" s="576"/>
    </row>
    <row r="6" spans="2:9" ht="19.5" customHeight="1" thickTop="1" x14ac:dyDescent="0.2">
      <c r="B6" s="577" t="s">
        <v>148</v>
      </c>
      <c r="C6" s="577"/>
      <c r="D6" s="577"/>
      <c r="E6" s="577"/>
      <c r="F6" s="577"/>
      <c r="G6" s="577"/>
      <c r="H6" s="577"/>
      <c r="I6" s="577"/>
    </row>
    <row r="7" spans="2:9" ht="19.5" customHeight="1" thickBot="1" x14ac:dyDescent="0.25">
      <c r="B7" s="228"/>
      <c r="C7" s="228"/>
      <c r="D7" s="228"/>
      <c r="E7" s="228"/>
      <c r="F7" s="228"/>
      <c r="G7" s="578" t="s">
        <v>102</v>
      </c>
      <c r="H7" s="578"/>
      <c r="I7" s="163">
        <f ca="1">TODAY()</f>
        <v>45756</v>
      </c>
    </row>
    <row r="8" spans="2:9" ht="27" thickBot="1" x14ac:dyDescent="0.25">
      <c r="B8" s="121" t="s">
        <v>103</v>
      </c>
      <c r="C8" s="122" t="s">
        <v>149</v>
      </c>
      <c r="D8" s="122" t="s">
        <v>103</v>
      </c>
      <c r="E8" s="123" t="s">
        <v>105</v>
      </c>
      <c r="F8" s="123" t="s">
        <v>106</v>
      </c>
      <c r="G8" s="123" t="s">
        <v>107</v>
      </c>
      <c r="H8" s="123" t="s">
        <v>108</v>
      </c>
      <c r="I8" s="124" t="s">
        <v>109</v>
      </c>
    </row>
    <row r="9" spans="2:9" s="229" customFormat="1" ht="13.8" x14ac:dyDescent="0.3">
      <c r="B9" s="165">
        <v>2</v>
      </c>
      <c r="C9" s="171" t="s">
        <v>93</v>
      </c>
      <c r="D9" s="166">
        <f t="shared" ref="D9:D14" si="0">+B9</f>
        <v>2</v>
      </c>
      <c r="E9" s="230" t="s">
        <v>170</v>
      </c>
      <c r="F9" s="167">
        <f>+'Costo empaque'!O57</f>
        <v>24.710402912434546</v>
      </c>
      <c r="G9" s="167">
        <f t="shared" ref="G9:G14" si="1">IFERROR(D9*F9,"")</f>
        <v>49.420805824869092</v>
      </c>
      <c r="H9" s="231">
        <f t="shared" ref="H9:H14" si="2">IFERROR(G9/$G$53,"")</f>
        <v>7.0136565202882487E-2</v>
      </c>
      <c r="I9" s="172"/>
    </row>
    <row r="10" spans="2:9" s="229" customFormat="1" ht="13.8" hidden="1" x14ac:dyDescent="0.3">
      <c r="B10" s="165"/>
      <c r="C10" s="171" t="str">
        <f>IFERROR(VLOOKUP($I10,'[1]PROD PLANTA LOCALES'!$A$1:$I$494,2,0),"")</f>
        <v/>
      </c>
      <c r="D10" s="166">
        <f t="shared" si="0"/>
        <v>0</v>
      </c>
      <c r="E10" s="230" t="str">
        <f>IFERROR(VLOOKUP($I10,'[1]PROD PLANTA LOCALES'!$A$1:$I$494,9,0),"")</f>
        <v/>
      </c>
      <c r="F10" s="167" t="str">
        <f>IFERROR(VLOOKUP($I10,'[1]PROD PLANTA LOCALES'!$A$1:$I$494,8,0),"")</f>
        <v/>
      </c>
      <c r="G10" s="167" t="str">
        <f t="shared" si="1"/>
        <v/>
      </c>
      <c r="H10" s="231" t="str">
        <f t="shared" si="2"/>
        <v/>
      </c>
      <c r="I10" s="172"/>
    </row>
    <row r="11" spans="2:9" s="229" customFormat="1" ht="13.8" hidden="1" x14ac:dyDescent="0.3">
      <c r="B11" s="165"/>
      <c r="C11" s="171" t="str">
        <f>IFERROR(VLOOKUP($I11,'[1]PROD PLANTA LOCALES'!$A$1:$I$494,2,0),"")</f>
        <v/>
      </c>
      <c r="D11" s="166">
        <f t="shared" si="0"/>
        <v>0</v>
      </c>
      <c r="E11" s="230" t="str">
        <f>IFERROR(VLOOKUP($I11,'[1]PROD PLANTA LOCALES'!$A$1:$I$494,9,0),"")</f>
        <v/>
      </c>
      <c r="F11" s="167" t="str">
        <f>IFERROR(VLOOKUP($I11,'[1]PROD PLANTA LOCALES'!$A$1:$I$494,8,0),"")</f>
        <v/>
      </c>
      <c r="G11" s="167" t="str">
        <f t="shared" si="1"/>
        <v/>
      </c>
      <c r="H11" s="231" t="str">
        <f t="shared" si="2"/>
        <v/>
      </c>
      <c r="I11" s="172"/>
    </row>
    <row r="12" spans="2:9" s="229" customFormat="1" ht="13.8" hidden="1" x14ac:dyDescent="0.3">
      <c r="B12" s="165"/>
      <c r="C12" s="171" t="str">
        <f>IFERROR(VLOOKUP($I12,'[1]PROD PLANTA LOCALES'!$A$1:$I$494,2,0),"")</f>
        <v/>
      </c>
      <c r="D12" s="166">
        <f t="shared" si="0"/>
        <v>0</v>
      </c>
      <c r="E12" s="230" t="str">
        <f>IFERROR(VLOOKUP($I12,'[1]PROD PLANTA LOCALES'!$A$1:$I$494,9,0),"")</f>
        <v/>
      </c>
      <c r="F12" s="167" t="str">
        <f>IFERROR(VLOOKUP($I12,'[1]PROD PLANTA LOCALES'!$A$1:$I$494,8,0),"")</f>
        <v/>
      </c>
      <c r="G12" s="167" t="str">
        <f t="shared" si="1"/>
        <v/>
      </c>
      <c r="H12" s="231" t="str">
        <f t="shared" si="2"/>
        <v/>
      </c>
      <c r="I12" s="172"/>
    </row>
    <row r="13" spans="2:9" s="229" customFormat="1" ht="13.8" hidden="1" x14ac:dyDescent="0.3">
      <c r="B13" s="165"/>
      <c r="C13" s="171" t="str">
        <f>IFERROR(VLOOKUP($I13,'[1]PROD PLANTA LOCALES'!$A$1:$I$494,2,0),"")</f>
        <v/>
      </c>
      <c r="D13" s="166">
        <f t="shared" si="0"/>
        <v>0</v>
      </c>
      <c r="E13" s="230" t="str">
        <f>IFERROR(VLOOKUP($I13,'[1]PROD PLANTA LOCALES'!$A$1:$I$494,9,0),"")</f>
        <v/>
      </c>
      <c r="F13" s="167" t="str">
        <f>IFERROR(VLOOKUP($I13,'[1]PROD PLANTA LOCALES'!$A$1:$I$494,8,0),"")</f>
        <v/>
      </c>
      <c r="G13" s="167" t="str">
        <f t="shared" si="1"/>
        <v/>
      </c>
      <c r="H13" s="231" t="str">
        <f t="shared" si="2"/>
        <v/>
      </c>
      <c r="I13" s="172"/>
    </row>
    <row r="14" spans="2:9" s="229" customFormat="1" ht="13.8" hidden="1" x14ac:dyDescent="0.3">
      <c r="B14" s="165"/>
      <c r="C14" s="171" t="str">
        <f>IFERROR(VLOOKUP($I14,'[1]PROD PLANTA LOCALES'!$A$1:$I$494,2,0),"")</f>
        <v/>
      </c>
      <c r="D14" s="166">
        <f t="shared" si="0"/>
        <v>0</v>
      </c>
      <c r="E14" s="230" t="str">
        <f>IFERROR(VLOOKUP($I14,'[1]PROD PLANTA LOCALES'!$A$1:$I$494,9,0),"")</f>
        <v/>
      </c>
      <c r="F14" s="167" t="str">
        <f>IFERROR(VLOOKUP($I14,'[1]PROD PLANTA LOCALES'!$A$1:$I$494,8,0),"")</f>
        <v/>
      </c>
      <c r="G14" s="167" t="str">
        <f t="shared" si="1"/>
        <v/>
      </c>
      <c r="H14" s="231" t="str">
        <f t="shared" si="2"/>
        <v/>
      </c>
      <c r="I14" s="172"/>
    </row>
    <row r="15" spans="2:9" s="229" customFormat="1" ht="14.4" thickBot="1" x14ac:dyDescent="0.35">
      <c r="B15" s="165"/>
      <c r="C15" s="175"/>
      <c r="D15" s="166"/>
      <c r="E15" s="166"/>
      <c r="F15" s="167"/>
      <c r="G15" s="167"/>
      <c r="H15" s="231"/>
      <c r="I15" s="172"/>
    </row>
    <row r="16" spans="2:9" s="229" customFormat="1" ht="24" customHeight="1" thickBot="1" x14ac:dyDescent="0.3">
      <c r="B16" s="121" t="s">
        <v>103</v>
      </c>
      <c r="C16" s="122" t="s">
        <v>150</v>
      </c>
      <c r="D16" s="122" t="s">
        <v>103</v>
      </c>
      <c r="E16" s="123" t="s">
        <v>105</v>
      </c>
      <c r="F16" s="123" t="s">
        <v>106</v>
      </c>
      <c r="G16" s="123" t="s">
        <v>107</v>
      </c>
      <c r="H16" s="123" t="s">
        <v>108</v>
      </c>
      <c r="I16" s="124" t="s">
        <v>109</v>
      </c>
    </row>
    <row r="17" spans="2:9" s="229" customFormat="1" ht="13.8" x14ac:dyDescent="0.3">
      <c r="B17" s="165">
        <v>30</v>
      </c>
      <c r="C17" s="171" t="str">
        <f>IFERROR(VLOOKUP($I17,'[1]MP LOCALES'!$A$2:$F$503,2,0),"")</f>
        <v>LECHE COND COCINADA (LATA 395G)</v>
      </c>
      <c r="D17" s="166">
        <f>+B17</f>
        <v>30</v>
      </c>
      <c r="E17" s="166" t="str">
        <f>IFERROR(VLOOKUP($I17,'[1]MP LOCALES'!$A$2:$F$503,5,0),"")</f>
        <v>GRAMO</v>
      </c>
      <c r="F17" s="167">
        <f>IFERROR(VLOOKUP($I17,'[1]MP LOCALES'!$A$2:$F$503,6,0),"")</f>
        <v>2.4440768000000004</v>
      </c>
      <c r="G17" s="167">
        <f>IFERROR(D17*F17,"")</f>
        <v>73.322304000000017</v>
      </c>
      <c r="H17" s="231">
        <f>IFERROR(G17/$G$53,"")</f>
        <v>0.10405687381029656</v>
      </c>
      <c r="I17" s="172" t="s">
        <v>171</v>
      </c>
    </row>
    <row r="18" spans="2:9" s="229" customFormat="1" ht="13.8" x14ac:dyDescent="0.3">
      <c r="B18" s="165">
        <v>1</v>
      </c>
      <c r="C18" s="171" t="str">
        <f>IFERROR(VLOOKUP($I18,'[1]MP LOCALES'!$A$2:$F$503,2,0),"")</f>
        <v>AZUCAR GLASS MOLIDA ( 4 KG )</v>
      </c>
      <c r="D18" s="166">
        <f>+B18</f>
        <v>1</v>
      </c>
      <c r="E18" s="166" t="str">
        <f>IFERROR(VLOOKUP($I18,'[1]MP LOCALES'!$A$2:$F$503,5,0),"")</f>
        <v>GRAMO</v>
      </c>
      <c r="F18" s="167">
        <f>IFERROR(VLOOKUP($I18,'[1]MP LOCALES'!$A$2:$F$503,6,0),"")</f>
        <v>1.4291700000000001</v>
      </c>
      <c r="G18" s="167">
        <f>IFERROR(D18*F18,"")</f>
        <v>1.4291700000000001</v>
      </c>
      <c r="H18" s="231">
        <f>IFERROR(G18/$G$53,"")</f>
        <v>2.0282363514308212E-3</v>
      </c>
      <c r="I18" s="172" t="s">
        <v>94</v>
      </c>
    </row>
    <row r="19" spans="2:9" s="229" customFormat="1" ht="13.8" x14ac:dyDescent="0.3">
      <c r="B19" s="165"/>
      <c r="C19" s="171" t="str">
        <f>IFERROR(VLOOKUP($I19,'[1]MP LOCALES'!$A$2:$F$503,2,0),"")</f>
        <v/>
      </c>
      <c r="D19" s="166">
        <f>+B19</f>
        <v>0</v>
      </c>
      <c r="E19" s="166" t="str">
        <f>IFERROR(VLOOKUP($I19,'[1]MP LOCALES'!$A$2:$F$503,5,0),"")</f>
        <v/>
      </c>
      <c r="F19" s="167" t="str">
        <f>IFERROR(VLOOKUP($I19,'[1]MP LOCALES'!$A$2:$F$503,6,0),"")</f>
        <v/>
      </c>
      <c r="G19" s="167" t="str">
        <f>IFERROR(D19*F19,"")</f>
        <v/>
      </c>
      <c r="H19" s="231" t="str">
        <f>IFERROR(G19/$G$53,"")</f>
        <v/>
      </c>
      <c r="I19" s="172"/>
    </row>
    <row r="20" spans="2:9" s="229" customFormat="1" ht="13.8" x14ac:dyDescent="0.3">
      <c r="B20" s="165"/>
      <c r="C20" s="171" t="str">
        <f>IFERROR(VLOOKUP($I20,'[1]MP LOCALES'!$A$2:$F$503,2,0),"")</f>
        <v/>
      </c>
      <c r="D20" s="166">
        <f>+B20</f>
        <v>0</v>
      </c>
      <c r="E20" s="166" t="str">
        <f>IFERROR(VLOOKUP($I20,'[1]MP LOCALES'!$A$2:$F$503,5,0),"")</f>
        <v/>
      </c>
      <c r="F20" s="167" t="str">
        <f>IFERROR(VLOOKUP($I20,'[1]MP LOCALES'!$A$2:$F$503,6,0),"")</f>
        <v/>
      </c>
      <c r="G20" s="167" t="str">
        <f>IFERROR(D20*F20,"")</f>
        <v/>
      </c>
      <c r="H20" s="231" t="str">
        <f>IFERROR(G20/$G$53,"")</f>
        <v/>
      </c>
      <c r="I20" s="172"/>
    </row>
    <row r="21" spans="2:9" s="229" customFormat="1" ht="13.8" thickBot="1" x14ac:dyDescent="0.3">
      <c r="B21" s="129"/>
      <c r="C21" s="130"/>
      <c r="D21" s="135"/>
      <c r="E21" s="135"/>
      <c r="F21" s="135"/>
      <c r="G21" s="136"/>
      <c r="H21" s="232"/>
      <c r="I21" s="131"/>
    </row>
    <row r="22" spans="2:9" s="229" customFormat="1" ht="40.200000000000003" thickBot="1" x14ac:dyDescent="0.3">
      <c r="B22" s="121" t="s">
        <v>134</v>
      </c>
      <c r="C22" s="122" t="s">
        <v>26</v>
      </c>
      <c r="D22" s="122" t="s">
        <v>134</v>
      </c>
      <c r="E22" s="123" t="s">
        <v>105</v>
      </c>
      <c r="F22" s="123" t="s">
        <v>151</v>
      </c>
      <c r="G22" s="123" t="s">
        <v>152</v>
      </c>
      <c r="H22" s="123" t="s">
        <v>153</v>
      </c>
      <c r="I22" s="124" t="s">
        <v>154</v>
      </c>
    </row>
    <row r="23" spans="2:9" s="229" customFormat="1" ht="14.4" thickBot="1" x14ac:dyDescent="0.35">
      <c r="B23" s="165"/>
      <c r="C23" s="153" t="s">
        <v>155</v>
      </c>
      <c r="D23" s="166"/>
      <c r="E23" s="166"/>
      <c r="F23" s="167"/>
      <c r="G23" s="167"/>
      <c r="H23" s="231"/>
      <c r="I23" s="172"/>
    </row>
    <row r="24" spans="2:9" s="229" customFormat="1" ht="13.8" x14ac:dyDescent="0.3">
      <c r="B24" s="165">
        <v>0.3</v>
      </c>
      <c r="C24" s="171" t="str">
        <f>IFERROR(VLOOKUP($I24,'[1]EMP LOCALES'!$A$2:$F$500,2,0),"")</f>
        <v>CAPSULA # 3 LOGO (100 * PAQ)</v>
      </c>
      <c r="D24" s="166">
        <f>+B24</f>
        <v>0.3</v>
      </c>
      <c r="E24" s="166" t="str">
        <f>IFERROR(VLOOKUP($I24,'[1]EMP LOCALES'!$A$2:$F$500,5,0),"")</f>
        <v>UND</v>
      </c>
      <c r="F24" s="167">
        <f>IFERROR(VLOOKUP($I24,'[1]EMP LOCALES'!$A$2:$F$500,6,0),"")</f>
        <v>7.8100000000000005</v>
      </c>
      <c r="G24" s="167">
        <f>IFERROR(F24*D24,"")</f>
        <v>2.343</v>
      </c>
      <c r="H24" s="233">
        <f>IFERROR(G24/$G$53,"")</f>
        <v>3.3251172158682411E-3</v>
      </c>
      <c r="I24" s="172" t="s">
        <v>172</v>
      </c>
    </row>
    <row r="25" spans="2:9" s="229" customFormat="1" ht="13.8" x14ac:dyDescent="0.3">
      <c r="B25" s="165">
        <v>0.3</v>
      </c>
      <c r="C25" s="171" t="str">
        <f>IFERROR(VLOOKUP($I25,'[1]EMP LOCALES'!$A$2:$F$500,2,0),"")</f>
        <v>BOLSA PAPEL KRAFT 2 LB (PAQ=500)</v>
      </c>
      <c r="D25" s="166">
        <f t="shared" ref="D25:D31" si="3">+B25</f>
        <v>0.3</v>
      </c>
      <c r="E25" s="166" t="str">
        <f>IFERROR(VLOOKUP($I25,'[1]EMP LOCALES'!$A$2:$F$500,5,0),"")</f>
        <v>UND</v>
      </c>
      <c r="F25" s="167">
        <f>IFERROR(VLOOKUP($I25,'[1]EMP LOCALES'!$A$2:$F$500,6,0),"")</f>
        <v>6.3689999999999998</v>
      </c>
      <c r="G25" s="167">
        <f t="shared" ref="G25:G31" si="4">IFERROR(F25*D25,"")</f>
        <v>1.9106999999999998</v>
      </c>
      <c r="H25" s="233">
        <f t="shared" ref="H25:H38" si="5">IFERROR(G25/$G$53,"")</f>
        <v>2.7116096732221289E-3</v>
      </c>
      <c r="I25" s="172" t="s">
        <v>173</v>
      </c>
    </row>
    <row r="26" spans="2:9" s="229" customFormat="1" ht="13.8" x14ac:dyDescent="0.3">
      <c r="B26" s="165">
        <v>0.3</v>
      </c>
      <c r="C26" s="171" t="str">
        <f>IFERROR(VLOOKUP($I26,'[1]EMP LOCALES'!$A$2:$F$500,2,0),"")</f>
        <v>SERVILLETA TORK XPRESS ADV</v>
      </c>
      <c r="D26" s="166">
        <f t="shared" si="3"/>
        <v>0.3</v>
      </c>
      <c r="E26" s="166" t="str">
        <f>IFERROR(VLOOKUP($I26,'[1]EMP LOCALES'!$A$2:$F$500,5,0),"")</f>
        <v>UND</v>
      </c>
      <c r="F26" s="167">
        <f>IFERROR(VLOOKUP($I26,'[1]EMP LOCALES'!$A$2:$F$500,6,0),"")</f>
        <v>1.6363460000000001</v>
      </c>
      <c r="G26" s="167">
        <f t="shared" si="4"/>
        <v>0.4909038</v>
      </c>
      <c r="H26" s="233">
        <f t="shared" si="5"/>
        <v>6.9667634516224495E-4</v>
      </c>
      <c r="I26" s="172" t="s">
        <v>174</v>
      </c>
    </row>
    <row r="27" spans="2:9" s="229" customFormat="1" ht="13.8" x14ac:dyDescent="0.3">
      <c r="B27" s="165">
        <v>0.3</v>
      </c>
      <c r="C27" s="171" t="str">
        <f>IFERROR(VLOOKUP($I27,'[1]EMP LOCALES'!$A$2:$F$500,2,0),"")</f>
        <v/>
      </c>
      <c r="D27" s="166">
        <f t="shared" si="3"/>
        <v>0.3</v>
      </c>
      <c r="E27" s="166" t="str">
        <f>IFERROR(VLOOKUP($I27,'[1]EMP LOCALES'!$A$2:$F$500,5,0),"")</f>
        <v/>
      </c>
      <c r="F27" s="167" t="str">
        <f>IFERROR(VLOOKUP($I27,'[1]EMP LOCALES'!$A$2:$F$500,6,0),"")</f>
        <v/>
      </c>
      <c r="G27" s="167" t="str">
        <f t="shared" si="4"/>
        <v/>
      </c>
      <c r="H27" s="233" t="str">
        <f t="shared" si="5"/>
        <v/>
      </c>
      <c r="I27" s="172"/>
    </row>
    <row r="28" spans="2:9" s="229" customFormat="1" ht="13.8" x14ac:dyDescent="0.3">
      <c r="B28" s="165">
        <v>0.3</v>
      </c>
      <c r="C28" s="171" t="str">
        <f>IFERROR(VLOOKUP($I28,'[1]EMP LOCALES'!$A$2:$F$500,2,0),"")</f>
        <v/>
      </c>
      <c r="D28" s="166">
        <f t="shared" si="3"/>
        <v>0.3</v>
      </c>
      <c r="E28" s="166" t="str">
        <f>IFERROR(VLOOKUP($I28,'[1]EMP LOCALES'!$A$2:$F$500,5,0),"")</f>
        <v/>
      </c>
      <c r="F28" s="167" t="str">
        <f>IFERROR(VLOOKUP($I28,'[1]EMP LOCALES'!$A$2:$F$500,6,0),"")</f>
        <v/>
      </c>
      <c r="G28" s="167" t="str">
        <f t="shared" si="4"/>
        <v/>
      </c>
      <c r="H28" s="233" t="str">
        <f t="shared" si="5"/>
        <v/>
      </c>
      <c r="I28" s="172"/>
    </row>
    <row r="29" spans="2:9" s="229" customFormat="1" ht="13.8" x14ac:dyDescent="0.3">
      <c r="B29" s="165">
        <v>0.3</v>
      </c>
      <c r="C29" s="171" t="str">
        <f>IFERROR(VLOOKUP($I29,'[1]EMP LOCALES'!$A$2:$F$500,2,0),"")</f>
        <v/>
      </c>
      <c r="D29" s="166">
        <f t="shared" si="3"/>
        <v>0.3</v>
      </c>
      <c r="E29" s="166" t="str">
        <f>IFERROR(VLOOKUP($I29,'[1]EMP LOCALES'!$A$2:$F$500,5,0),"")</f>
        <v/>
      </c>
      <c r="F29" s="167" t="str">
        <f>IFERROR(VLOOKUP($I29,'[1]EMP LOCALES'!$A$2:$F$500,6,0),"")</f>
        <v/>
      </c>
      <c r="G29" s="167" t="str">
        <f t="shared" si="4"/>
        <v/>
      </c>
      <c r="H29" s="233" t="str">
        <f t="shared" si="5"/>
        <v/>
      </c>
      <c r="I29" s="172"/>
    </row>
    <row r="30" spans="2:9" s="229" customFormat="1" ht="13.8" x14ac:dyDescent="0.3">
      <c r="B30" s="165">
        <v>0.3</v>
      </c>
      <c r="C30" s="171" t="str">
        <f>IFERROR(VLOOKUP($I30,'[1]EMP LOCALES'!$A$2:$F$500,2,0),"")</f>
        <v/>
      </c>
      <c r="D30" s="166">
        <f t="shared" si="3"/>
        <v>0.3</v>
      </c>
      <c r="E30" s="166" t="str">
        <f>IFERROR(VLOOKUP($I30,'[1]EMP LOCALES'!$A$2:$F$500,5,0),"")</f>
        <v/>
      </c>
      <c r="F30" s="167" t="str">
        <f>IFERROR(VLOOKUP($I30,'[1]EMP LOCALES'!$A$2:$F$500,6,0),"")</f>
        <v/>
      </c>
      <c r="G30" s="167" t="str">
        <f t="shared" si="4"/>
        <v/>
      </c>
      <c r="H30" s="233" t="str">
        <f t="shared" si="5"/>
        <v/>
      </c>
      <c r="I30" s="234"/>
    </row>
    <row r="31" spans="2:9" s="229" customFormat="1" ht="14.4" thickBot="1" x14ac:dyDescent="0.35">
      <c r="B31" s="165">
        <v>0.3</v>
      </c>
      <c r="C31" s="171" t="str">
        <f>IFERROR(VLOOKUP($I31,'[1]EMP LOCALES'!$A$2:$F$500,2,0),"")</f>
        <v/>
      </c>
      <c r="D31" s="166">
        <f t="shared" si="3"/>
        <v>0.3</v>
      </c>
      <c r="E31" s="166" t="str">
        <f>IFERROR(VLOOKUP($I31,'[1]EMP LOCALES'!$A$2:$F$500,5,0),"")</f>
        <v/>
      </c>
      <c r="F31" s="167" t="str">
        <f>IFERROR(VLOOKUP($I31,'[1]EMP LOCALES'!$A$2:$F$500,6,0),"")</f>
        <v/>
      </c>
      <c r="G31" s="167" t="str">
        <f t="shared" si="4"/>
        <v/>
      </c>
      <c r="H31" s="233" t="str">
        <f t="shared" si="5"/>
        <v/>
      </c>
      <c r="I31" s="234"/>
    </row>
    <row r="32" spans="2:9" s="229" customFormat="1" ht="14.4" thickBot="1" x14ac:dyDescent="0.35">
      <c r="B32" s="165"/>
      <c r="C32" s="153" t="s">
        <v>156</v>
      </c>
      <c r="D32" s="166"/>
      <c r="E32" s="166"/>
      <c r="F32" s="167"/>
      <c r="G32" s="167"/>
      <c r="H32" s="233"/>
      <c r="I32" s="172"/>
    </row>
    <row r="33" spans="1:38" s="229" customFormat="1" ht="13.8" x14ac:dyDescent="0.3">
      <c r="B33" s="165">
        <v>0.05</v>
      </c>
      <c r="C33" s="175" t="str">
        <f>IFERROR(VLOOKUP($I33,'[1]EMP LOCALES'!$A$2:$F$500,2,0),"")</f>
        <v>CAPSULA # 3 LOGO (100 * PAQ)</v>
      </c>
      <c r="D33" s="166">
        <f t="shared" ref="D33:D38" si="6">+B33</f>
        <v>0.05</v>
      </c>
      <c r="E33" s="166" t="str">
        <f>IFERROR(VLOOKUP($I33,'[1]EMP LOCALES'!$A$2:$F$500,5,0),"")</f>
        <v>UND</v>
      </c>
      <c r="F33" s="167">
        <f>IFERROR(VLOOKUP($I33,'[1]EMP LOCALES'!$A$2:$F$500,6,0),"")</f>
        <v>7.8100000000000005</v>
      </c>
      <c r="G33" s="167">
        <f t="shared" ref="G33:G38" si="7">IFERROR(F33*D33,"")</f>
        <v>0.39050000000000007</v>
      </c>
      <c r="H33" s="233">
        <f t="shared" si="5"/>
        <v>5.5418620264470692E-4</v>
      </c>
      <c r="I33" s="172" t="s">
        <v>172</v>
      </c>
    </row>
    <row r="34" spans="1:38" s="229" customFormat="1" ht="13.8" x14ac:dyDescent="0.3">
      <c r="B34" s="165">
        <v>0.05</v>
      </c>
      <c r="C34" s="175" t="str">
        <f>IFERROR(VLOOKUP($I34,'[1]EMP LOCALES'!$A$2:$F$500,2,0),"")</f>
        <v>BOLSA PAPEL KRAFT 2 LB (PAQ=500)</v>
      </c>
      <c r="D34" s="166">
        <f t="shared" si="6"/>
        <v>0.05</v>
      </c>
      <c r="E34" s="166" t="str">
        <f>IFERROR(VLOOKUP($I34,'[1]EMP LOCALES'!$A$2:$F$500,5,0),"")</f>
        <v>UND</v>
      </c>
      <c r="F34" s="167">
        <f>IFERROR(VLOOKUP($I34,'[1]EMP LOCALES'!$A$2:$F$500,6,0),"")</f>
        <v>6.3689999999999998</v>
      </c>
      <c r="G34" s="167">
        <f t="shared" si="7"/>
        <v>0.31845000000000001</v>
      </c>
      <c r="H34" s="233">
        <f t="shared" si="5"/>
        <v>4.5193494553702148E-4</v>
      </c>
      <c r="I34" s="172" t="s">
        <v>173</v>
      </c>
    </row>
    <row r="35" spans="1:38" s="229" customFormat="1" ht="13.8" x14ac:dyDescent="0.3">
      <c r="B35" s="165">
        <v>0.05</v>
      </c>
      <c r="C35" s="175" t="str">
        <f>IFERROR(VLOOKUP($I35,'[1]EMP LOCALES'!$A$2:$F$500,2,0),"")</f>
        <v>SERVILLETA TORK XPRESS ADV</v>
      </c>
      <c r="D35" s="166">
        <f t="shared" si="6"/>
        <v>0.05</v>
      </c>
      <c r="E35" s="166" t="str">
        <f>IFERROR(VLOOKUP($I35,'[1]EMP LOCALES'!$A$2:$F$500,5,0),"")</f>
        <v>UND</v>
      </c>
      <c r="F35" s="167">
        <f>IFERROR(VLOOKUP($I35,'[1]EMP LOCALES'!$A$2:$F$500,6,0),"")</f>
        <v>1.6363460000000001</v>
      </c>
      <c r="G35" s="167">
        <f t="shared" si="7"/>
        <v>8.1817300000000009E-2</v>
      </c>
      <c r="H35" s="233">
        <f t="shared" si="5"/>
        <v>1.161127241937075E-4</v>
      </c>
      <c r="I35" s="172" t="s">
        <v>174</v>
      </c>
    </row>
    <row r="36" spans="1:38" s="229" customFormat="1" ht="13.8" x14ac:dyDescent="0.3">
      <c r="B36" s="165">
        <v>0.05</v>
      </c>
      <c r="C36" s="175" t="str">
        <f>IFERROR(VLOOKUP($I36,'[1]EMP LOCALES'!$A$2:$F$500,2,0),"")</f>
        <v/>
      </c>
      <c r="D36" s="166">
        <f t="shared" si="6"/>
        <v>0.05</v>
      </c>
      <c r="E36" s="166" t="str">
        <f>IFERROR(VLOOKUP($I36,'[1]EMP LOCALES'!$A$2:$F$500,5,0),"")</f>
        <v/>
      </c>
      <c r="F36" s="167" t="str">
        <f>IFERROR(VLOOKUP($I36,'[1]EMP LOCALES'!$A$2:$F$500,6,0),"")</f>
        <v/>
      </c>
      <c r="G36" s="167" t="str">
        <f t="shared" si="7"/>
        <v/>
      </c>
      <c r="H36" s="233" t="str">
        <f t="shared" si="5"/>
        <v/>
      </c>
      <c r="I36" s="172"/>
    </row>
    <row r="37" spans="1:38" s="229" customFormat="1" ht="13.8" x14ac:dyDescent="0.3">
      <c r="B37" s="165">
        <v>0.05</v>
      </c>
      <c r="C37" s="175" t="str">
        <f>IFERROR(VLOOKUP($I37,'[1]EMP LOCALES'!$A$2:$F$500,2,0),"")</f>
        <v/>
      </c>
      <c r="D37" s="166">
        <f t="shared" si="6"/>
        <v>0.05</v>
      </c>
      <c r="E37" s="166" t="str">
        <f>IFERROR(VLOOKUP($I37,'[1]EMP LOCALES'!$A$2:$F$500,5,0),"")</f>
        <v/>
      </c>
      <c r="F37" s="167" t="str">
        <f>IFERROR(VLOOKUP($I37,'[1]EMP LOCALES'!$A$2:$F$500,6,0),"")</f>
        <v/>
      </c>
      <c r="G37" s="167" t="str">
        <f t="shared" si="7"/>
        <v/>
      </c>
      <c r="H37" s="233" t="str">
        <f t="shared" si="5"/>
        <v/>
      </c>
      <c r="I37" s="172"/>
    </row>
    <row r="38" spans="1:38" s="229" customFormat="1" ht="13.8" x14ac:dyDescent="0.3">
      <c r="B38" s="165">
        <v>0.05</v>
      </c>
      <c r="C38" s="175" t="str">
        <f>IFERROR(VLOOKUP($I38,'[1]EMP LOCALES'!$A$2:$F$500,2,0),"")</f>
        <v/>
      </c>
      <c r="D38" s="166">
        <f t="shared" si="6"/>
        <v>0.05</v>
      </c>
      <c r="E38" s="166" t="str">
        <f>IFERROR(VLOOKUP($I38,'[1]EMP LOCALES'!$A$2:$F$500,5,0),"")</f>
        <v/>
      </c>
      <c r="F38" s="167" t="str">
        <f>IFERROR(VLOOKUP($I38,'[1]EMP LOCALES'!$A$2:$F$500,6,0),"")</f>
        <v/>
      </c>
      <c r="G38" s="167" t="str">
        <f t="shared" si="7"/>
        <v/>
      </c>
      <c r="H38" s="233" t="str">
        <f t="shared" si="5"/>
        <v/>
      </c>
      <c r="I38" s="172"/>
    </row>
    <row r="39" spans="1:38" ht="13.2" x14ac:dyDescent="0.25">
      <c r="A39" s="235"/>
      <c r="B39" s="236"/>
      <c r="C39" s="237"/>
      <c r="D39" s="238"/>
      <c r="E39" s="238"/>
      <c r="F39" s="238"/>
      <c r="G39" s="167"/>
      <c r="H39" s="239"/>
      <c r="I39" s="240"/>
      <c r="J39" s="241"/>
    </row>
    <row r="40" spans="1:38" ht="13.2" x14ac:dyDescent="0.25">
      <c r="A40" s="129"/>
      <c r="B40" s="579" t="s">
        <v>157</v>
      </c>
      <c r="C40" s="579"/>
      <c r="D40" s="579"/>
      <c r="E40" s="579"/>
      <c r="F40" s="579"/>
      <c r="G40" s="242">
        <f>SUM(G9:G14)</f>
        <v>49.420805824869092</v>
      </c>
      <c r="H40" s="231">
        <f>+G40/$G$53</f>
        <v>7.0136565202882487E-2</v>
      </c>
      <c r="I40" s="223"/>
      <c r="J40" s="223"/>
    </row>
    <row r="41" spans="1:38" ht="13.8" thickBot="1" x14ac:dyDescent="0.3">
      <c r="A41" s="129"/>
      <c r="B41" s="579" t="s">
        <v>158</v>
      </c>
      <c r="C41" s="579"/>
      <c r="D41" s="579"/>
      <c r="E41" s="579"/>
      <c r="F41" s="579">
        <f>SUM(F17:F20)</f>
        <v>3.8732468000000004</v>
      </c>
      <c r="G41" s="243">
        <f>SUM(G17:G20)</f>
        <v>74.751474000000016</v>
      </c>
      <c r="H41" s="231">
        <f>+G41/$G$53</f>
        <v>0.10608511016172738</v>
      </c>
      <c r="I41" s="223"/>
      <c r="J41" s="223"/>
    </row>
    <row r="42" spans="1:38" ht="13.8" thickTop="1" x14ac:dyDescent="0.25">
      <c r="A42" s="132"/>
      <c r="B42" s="580" t="s">
        <v>159</v>
      </c>
      <c r="C42" s="580"/>
      <c r="D42" s="580"/>
      <c r="E42" s="580"/>
      <c r="F42" s="580"/>
      <c r="G42" s="245">
        <f>SUM(G40:G41)</f>
        <v>124.17227982486911</v>
      </c>
      <c r="H42" s="231">
        <f>+G42/$G$53</f>
        <v>0.17622167536460986</v>
      </c>
      <c r="I42" s="223"/>
      <c r="J42" s="223"/>
    </row>
    <row r="43" spans="1:38" ht="13.8" thickBot="1" x14ac:dyDescent="0.3">
      <c r="A43" s="129"/>
      <c r="B43" s="581" t="s">
        <v>160</v>
      </c>
      <c r="C43" s="581"/>
      <c r="D43" s="581"/>
      <c r="E43" s="581"/>
      <c r="F43" s="581"/>
      <c r="G43" s="243">
        <f>SUM(G24:G38)</f>
        <v>5.5353711000000008</v>
      </c>
      <c r="H43" s="231">
        <f>+G43/$G$53</f>
        <v>7.8556371066280523E-3</v>
      </c>
      <c r="I43" s="223"/>
      <c r="J43" s="223"/>
    </row>
    <row r="44" spans="1:38" ht="13.8" thickTop="1" x14ac:dyDescent="0.25">
      <c r="A44" s="132"/>
      <c r="B44" s="580" t="s">
        <v>117</v>
      </c>
      <c r="C44" s="580"/>
      <c r="D44" s="580"/>
      <c r="E44" s="580"/>
      <c r="F44" s="580"/>
      <c r="G44" s="245">
        <f>SUM(G42:G43)</f>
        <v>129.70765092486911</v>
      </c>
      <c r="H44" s="231">
        <f>+G44/$G$53</f>
        <v>0.18407731247123793</v>
      </c>
      <c r="I44" s="223"/>
      <c r="J44" s="223"/>
    </row>
    <row r="45" spans="1:38" ht="13.8" thickBot="1" x14ac:dyDescent="0.3">
      <c r="A45" s="171"/>
      <c r="B45" s="247"/>
      <c r="C45" s="247"/>
      <c r="D45" s="248"/>
      <c r="E45" s="248"/>
      <c r="F45" s="249"/>
      <c r="G45" s="232"/>
      <c r="H45" s="171"/>
      <c r="I45" s="223"/>
      <c r="J45" s="223"/>
    </row>
    <row r="46" spans="1:38" s="128" customFormat="1" ht="19.5" customHeight="1" thickBot="1" x14ac:dyDescent="0.35">
      <c r="A46" s="567"/>
      <c r="B46" s="568"/>
      <c r="C46" s="568"/>
      <c r="D46" s="568"/>
      <c r="E46" s="568"/>
      <c r="F46" s="568"/>
      <c r="G46" s="568"/>
      <c r="H46" s="568"/>
      <c r="I46" s="568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</row>
    <row r="47" spans="1:38" ht="13.2" x14ac:dyDescent="0.25">
      <c r="A47" s="171"/>
      <c r="B47" s="250"/>
      <c r="C47" s="250"/>
      <c r="D47" s="250"/>
      <c r="E47" s="171"/>
      <c r="F47" s="129"/>
      <c r="G47" s="251"/>
      <c r="H47" s="252"/>
      <c r="I47" s="223"/>
      <c r="J47" s="223"/>
    </row>
    <row r="48" spans="1:38" ht="13.2" x14ac:dyDescent="0.25">
      <c r="A48" s="247"/>
      <c r="B48" s="580" t="s">
        <v>159</v>
      </c>
      <c r="C48" s="580"/>
      <c r="D48" s="580"/>
      <c r="E48" s="244"/>
      <c r="G48" s="219">
        <f>+G42</f>
        <v>124.17227982486911</v>
      </c>
      <c r="H48" s="231">
        <f>+G48/$G$53</f>
        <v>0.17622167536460986</v>
      </c>
      <c r="I48" s="223"/>
      <c r="J48" s="223"/>
    </row>
    <row r="49" spans="1:38" ht="13.2" x14ac:dyDescent="0.25">
      <c r="A49" s="247"/>
      <c r="B49" s="581" t="s">
        <v>26</v>
      </c>
      <c r="C49" s="581"/>
      <c r="D49" s="581"/>
      <c r="E49" s="246"/>
      <c r="F49" s="253" t="s">
        <v>161</v>
      </c>
      <c r="G49" s="219">
        <f>+G43</f>
        <v>5.5353711000000008</v>
      </c>
      <c r="H49" s="231">
        <f>+G49/$G$53</f>
        <v>7.8556371066280523E-3</v>
      </c>
      <c r="I49" s="223"/>
      <c r="J49" s="223"/>
    </row>
    <row r="50" spans="1:38" ht="13.8" thickBot="1" x14ac:dyDescent="0.3">
      <c r="A50" s="171"/>
      <c r="B50" s="581" t="s">
        <v>162</v>
      </c>
      <c r="C50" s="581"/>
      <c r="D50" s="581"/>
      <c r="E50" s="246"/>
      <c r="F50" s="254">
        <v>2.5000000000000001E-2</v>
      </c>
      <c r="G50" s="219">
        <f>+(G49+G48)*F50</f>
        <v>3.2426912731217281</v>
      </c>
      <c r="H50" s="231">
        <f>+G50/$G$53</f>
        <v>4.6019328117809484E-3</v>
      </c>
      <c r="I50" s="223"/>
      <c r="J50" s="223"/>
    </row>
    <row r="51" spans="1:38" ht="13.8" thickBot="1" x14ac:dyDescent="0.3">
      <c r="A51" s="247"/>
      <c r="B51" s="583" t="s">
        <v>163</v>
      </c>
      <c r="C51" s="583"/>
      <c r="D51" s="583"/>
      <c r="E51" s="583"/>
      <c r="F51" s="584"/>
      <c r="G51" s="133">
        <f>SUM(G48:G50)</f>
        <v>132.95034219799084</v>
      </c>
      <c r="H51" s="231">
        <f>+G51/$G$53</f>
        <v>0.18867924528301885</v>
      </c>
      <c r="I51" s="223"/>
      <c r="J51" s="223"/>
      <c r="K51" s="223" t="s">
        <v>176</v>
      </c>
    </row>
    <row r="52" spans="1:38" ht="17.25" customHeight="1" x14ac:dyDescent="0.25">
      <c r="A52" s="255"/>
      <c r="B52" s="582" t="s">
        <v>164</v>
      </c>
      <c r="C52" s="582"/>
      <c r="D52" s="582"/>
      <c r="E52" s="256"/>
      <c r="F52" s="257">
        <v>4.3</v>
      </c>
      <c r="G52" s="219">
        <f>+G51*F52</f>
        <v>571.6864714513606</v>
      </c>
      <c r="H52" s="258"/>
      <c r="I52" s="223"/>
      <c r="J52" s="223"/>
    </row>
    <row r="53" spans="1:38" ht="13.8" thickBot="1" x14ac:dyDescent="0.3">
      <c r="A53" s="255"/>
      <c r="B53" s="582" t="s">
        <v>165</v>
      </c>
      <c r="C53" s="582"/>
      <c r="D53" s="582"/>
      <c r="E53" s="256"/>
      <c r="F53" s="259"/>
      <c r="G53" s="219">
        <f>SUM(G51:G52)</f>
        <v>704.63681364935144</v>
      </c>
      <c r="H53" s="260"/>
      <c r="I53" s="261">
        <f>+I55/1.23</f>
        <v>719.51219512195121</v>
      </c>
      <c r="J53" s="264">
        <f>+(I53-G51)/G51</f>
        <v>4.4118867482901791</v>
      </c>
    </row>
    <row r="54" spans="1:38" s="127" customFormat="1" ht="13.8" thickBot="1" x14ac:dyDescent="0.3">
      <c r="A54" s="255"/>
      <c r="B54" s="582" t="s">
        <v>166</v>
      </c>
      <c r="C54" s="582"/>
      <c r="D54" s="582"/>
      <c r="E54" s="256"/>
      <c r="F54" s="262">
        <v>0.13</v>
      </c>
      <c r="G54" s="134">
        <f>+G53*(1+F54)</f>
        <v>796.239599423767</v>
      </c>
      <c r="H54" s="260"/>
      <c r="I54" s="261">
        <f>+I53*1.13</f>
        <v>813.04878048780483</v>
      </c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</row>
    <row r="55" spans="1:38" ht="13.8" thickBot="1" x14ac:dyDescent="0.3">
      <c r="A55" s="171"/>
      <c r="B55" s="582" t="s">
        <v>167</v>
      </c>
      <c r="C55" s="582"/>
      <c r="D55" s="582"/>
      <c r="E55" s="256"/>
      <c r="F55" s="262">
        <v>0.23</v>
      </c>
      <c r="G55" s="144">
        <f>+G53*(1+F55)</f>
        <v>866.70328078870227</v>
      </c>
      <c r="H55" s="252"/>
      <c r="I55" s="261">
        <v>885</v>
      </c>
      <c r="J55" s="223"/>
    </row>
    <row r="56" spans="1:38" ht="13.8" thickBot="1" x14ac:dyDescent="0.3">
      <c r="A56" s="171"/>
      <c r="B56" s="256"/>
      <c r="C56" s="256"/>
      <c r="D56" s="256"/>
      <c r="E56" s="256"/>
      <c r="F56" s="262"/>
      <c r="G56" s="263"/>
      <c r="H56" s="252"/>
      <c r="I56" s="223"/>
      <c r="J56" s="223"/>
    </row>
    <row r="57" spans="1:38" s="128" customFormat="1" ht="19.5" customHeight="1" thickBot="1" x14ac:dyDescent="0.35">
      <c r="A57" s="567" t="s">
        <v>168</v>
      </c>
      <c r="B57" s="568"/>
      <c r="C57" s="568"/>
      <c r="D57" s="568"/>
      <c r="E57" s="568"/>
      <c r="F57" s="568"/>
      <c r="G57" s="568"/>
      <c r="H57" s="568"/>
      <c r="I57" s="568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235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127" customFormat="1" ht="19.5" customHeight="1" thickBot="1" x14ac:dyDescent="0.25">
      <c r="A65" s="223"/>
      <c r="B65" s="223"/>
      <c r="C65" s="223"/>
      <c r="D65" s="223"/>
      <c r="E65" s="223"/>
      <c r="F65" s="223"/>
      <c r="G65" s="224"/>
      <c r="H65" s="226"/>
      <c r="I65" s="227"/>
      <c r="J65" s="225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CB95994-7AAA-4CD3-A23B-8B1D559A9A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7C72C-4D5D-4B06-B10E-BA5E84EB5B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663093-3AAB-4D44-ACE2-9D15F1A05B1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820E7FC0-7376-429B-A559-D17693F0DBE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REC SPOON</vt:lpstr>
      <vt:lpstr>Costo alfajor</vt:lpstr>
      <vt:lpstr>empaque</vt:lpstr>
      <vt:lpstr>Hoja1</vt:lpstr>
      <vt:lpstr>Costo empaque</vt:lpstr>
      <vt:lpstr>INS </vt:lpstr>
      <vt:lpstr>INS 2</vt:lpstr>
      <vt:lpstr>Costo INS</vt:lpstr>
      <vt:lpstr>'REC SPOON'!Área_de_impresión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2025-04-07T21:47:07Z</cp:lastPrinted>
  <dcterms:created xsi:type="dcterms:W3CDTF">2009-03-11T22:07:15Z</dcterms:created>
  <dcterms:modified xsi:type="dcterms:W3CDTF">2025-04-09T17:44:36Z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382800.000000000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
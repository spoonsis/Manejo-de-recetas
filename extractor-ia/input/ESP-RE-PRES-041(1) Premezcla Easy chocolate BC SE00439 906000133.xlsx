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3" documentId="8_{72B2DA93-61E2-4553-8EEE-DFB5B77A1A26}" xr6:coauthVersionLast="47" xr6:coauthVersionMax="47" xr10:uidLastSave="{A6920C42-0319-4175-8E72-687CC7609E9E}"/>
  <bookViews>
    <workbookView xWindow="-120" yWindow="-120" windowWidth="20730" windowHeight="11040" tabRatio="876" firstSheet="3" activeTab="3" xr2:uid="{00000000-000D-0000-FFFF-FFFF00000000}"/>
  </bookViews>
  <sheets>
    <sheet name="Costo Batido actual " sheetId="12" state="hidden" r:id="rId1"/>
    <sheet name="costo Premezcla Actual " sheetId="13" state="hidden" r:id="rId2"/>
    <sheet name="Costo Batido Nuevo " sheetId="10" state="hidden" r:id="rId3"/>
    <sheet name="Premezcla Nueva" sheetId="8" r:id="rId4"/>
    <sheet name="Costo premezcla nueva" sheetId="11" state="hidden" r:id="rId5"/>
  </sheets>
  <definedNames>
    <definedName name="_xlnm.Print_Area" localSheetId="3">'Premezcla Nueva'!$A$1:$I$44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11" l="1"/>
  <c r="N24" i="11"/>
  <c r="L29" i="11"/>
  <c r="N21" i="11"/>
  <c r="J14" i="8"/>
  <c r="N28" i="11"/>
  <c r="L24" i="10"/>
  <c r="M21" i="10"/>
  <c r="M23" i="10"/>
  <c r="N23" i="11"/>
  <c r="N22" i="11"/>
  <c r="K15" i="8"/>
  <c r="K14" i="8"/>
  <c r="K11" i="8"/>
  <c r="K10" i="8"/>
  <c r="J15" i="8"/>
  <c r="J13" i="8"/>
  <c r="K13" i="8" s="1"/>
  <c r="J12" i="8"/>
  <c r="K12" i="8" s="1"/>
  <c r="J11" i="8"/>
  <c r="J10" i="8"/>
  <c r="L28" i="13"/>
  <c r="L24" i="12"/>
</calcChain>
</file>

<file path=xl/sharedStrings.xml><?xml version="1.0" encoding="utf-8"?>
<sst xmlns="http://schemas.openxmlformats.org/spreadsheetml/2006/main" count="439" uniqueCount="164">
  <si>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</si>
  <si>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</si>
  <si>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</si>
  <si>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</si>
  <si>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</si>
  <si>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</si>
  <si>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</si>
  <si>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</si>
  <si>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</si>
  <si>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</si>
  <si>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</si>
  <si>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</si>
  <si>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</si>
  <si>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</si>
  <si>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</si>
  <si>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</si>
  <si>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</si>
  <si>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</si>
  <si>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</si>
  <si>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</si>
  <si>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</si>
  <si>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</si>
  <si>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</si>
  <si>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</si>
  <si>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</si>
  <si>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Premezclas</t>
  </si>
  <si>
    <t>g</t>
  </si>
  <si>
    <t>ud</t>
  </si>
  <si>
    <t>min</t>
  </si>
  <si>
    <t>tanda</t>
  </si>
  <si>
    <t>Javier Tong, Chef</t>
  </si>
  <si>
    <t>MP10074</t>
  </si>
  <si>
    <t>MP10478</t>
  </si>
  <si>
    <t>MP10008</t>
  </si>
  <si>
    <t>MP10304</t>
  </si>
  <si>
    <t>EM10013</t>
  </si>
  <si>
    <t>EM10133</t>
  </si>
  <si>
    <t>EM10011</t>
  </si>
  <si>
    <t>Esteban Cartin, Gte Manufactura</t>
  </si>
  <si>
    <t># Código Netsuite</t>
  </si>
  <si>
    <t>Ensamble</t>
  </si>
  <si>
    <t>PURATOS</t>
  </si>
  <si>
    <t>FLEISHMAN</t>
  </si>
  <si>
    <t>Empaque</t>
  </si>
  <si>
    <t>Tiempo de Horneo:</t>
  </si>
  <si>
    <t>Horno:</t>
  </si>
  <si>
    <t>Temperatura de Horneo:</t>
  </si>
  <si>
    <t>Otros</t>
  </si>
  <si>
    <t>CONTROL DE CAMBIOS</t>
  </si>
  <si>
    <t xml:space="preserve">Premezcla Easy chocolate BC SE00439 906000133 </t>
  </si>
  <si>
    <t>MP10499</t>
  </si>
  <si>
    <t>SILVER CAKE</t>
  </si>
  <si>
    <t>LAICA</t>
  </si>
  <si>
    <t>ASEAL</t>
  </si>
  <si>
    <t>NÚCLEO CHOCLOLATE EASY BC 20%</t>
  </si>
  <si>
    <t>AZUCAR BLANCO INDUSTRIAL</t>
  </si>
  <si>
    <t>HARINA SILVER CAKE</t>
  </si>
  <si>
    <t>PRESERVANTE 1047S</t>
  </si>
  <si>
    <t>POLVO HORNEAR</t>
  </si>
  <si>
    <t>BOLSA 17X25 TRANSPARENTE</t>
  </si>
  <si>
    <t>ETIQUETA BLANCA 2 5/8X1 15/16</t>
  </si>
  <si>
    <t>ETIQUETA ROJA LETRA ALERJENO</t>
  </si>
  <si>
    <t>Decoracion</t>
  </si>
  <si>
    <t>2.- En una bolsa 17x25 empacar el azucar, y etiquetar.</t>
  </si>
  <si>
    <t>HUEVO EN POLVO</t>
  </si>
  <si>
    <t>EP MARKET</t>
  </si>
  <si>
    <t>Revision #2: Se agrega huevo en polvo</t>
  </si>
  <si>
    <t>SE00439</t>
  </si>
  <si>
    <t>MP10005</t>
  </si>
  <si>
    <t>MP10002</t>
  </si>
  <si>
    <t/>
  </si>
  <si>
    <t>FILTROS :</t>
  </si>
  <si>
    <t>SUBSIDIARIA</t>
  </si>
  <si>
    <t>Empresa principal : Servicios de Pastelería S.A.</t>
  </si>
  <si>
    <t>ARTÍCULO</t>
  </si>
  <si>
    <t>SE00492 Batido Chocolate Easy BC</t>
  </si>
  <si>
    <t>UBICACIÓN</t>
  </si>
  <si>
    <t>Bodega Administrativa</t>
  </si>
  <si>
    <t>LISTA DE MATERIALES</t>
  </si>
  <si>
    <t>BOM SE00492</t>
  </si>
  <si>
    <t>CONTROL DE VISUALIZACIÓN</t>
  </si>
  <si>
    <t>Por revisión</t>
  </si>
  <si>
    <t>FECHA/FECHA EFECTIVA</t>
  </si>
  <si>
    <t>01/08/2023</t>
  </si>
  <si>
    <t>REVISIÓN DE LISTA DE MATERIALES</t>
  </si>
  <si>
    <t>REV V1 BOM SE00492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</si>
  <si>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</si>
  <si>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</si>
  <si>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</si>
  <si>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</si>
  <si>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</si>
  <si>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</si>
  <si>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</si>
  <si>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</si>
  <si>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</si>
  <si>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</si>
  <si>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</si>
  <si>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CRC1,242.42</t>
  </si>
  <si>
    <t>CRC1,242.42 KILOGRAMOS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</si>
  <si>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</si>
  <si>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</si>
  <si>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</si>
  <si>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</si>
  <si>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</si>
  <si>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</si>
  <si>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</si>
  <si>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</si>
  <si>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</si>
  <si>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</si>
  <si>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</si>
  <si>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Huevo Liquido Refrigerado</t>
  </si>
  <si>
    <t>206.19</t>
  </si>
  <si>
    <t>100%</t>
  </si>
  <si>
    <t>2.2672</t>
  </si>
  <si>
    <t>GRAMOS</t>
  </si>
  <si>
    <t>467.47</t>
  </si>
  <si>
    <t>Aceite Capullo Rbd</t>
  </si>
  <si>
    <t>129.9</t>
  </si>
  <si>
    <t>0.89294118</t>
  </si>
  <si>
    <t>MILILITROS</t>
  </si>
  <si>
    <t>115.99</t>
  </si>
  <si>
    <t>Premezcla Chocolate Easy BC</t>
  </si>
  <si>
    <t>0.52371</t>
  </si>
  <si>
    <t>1,258.2570814</t>
  </si>
  <si>
    <t>KILOGRAMOS</t>
  </si>
  <si>
    <t>658.96</t>
  </si>
  <si>
    <t>SE00439 Premezcla Chocolate Easy BC</t>
  </si>
  <si>
    <t>BOM SE00439</t>
  </si>
  <si>
    <t>REV V1 BOM SE00439</t>
  </si>
  <si>
    <t>CRC1,258.25</t>
  </si>
  <si>
    <t>CRC1,258.25 KILOGRAMOS</t>
  </si>
  <si>
    <t>Núcleo Choclolate Easy BC 20%</t>
  </si>
  <si>
    <t>196.85</t>
  </si>
  <si>
    <t>4.379</t>
  </si>
  <si>
    <t>862.01</t>
  </si>
  <si>
    <t>Azucar Blanco Industrial</t>
  </si>
  <si>
    <t>464.57</t>
  </si>
  <si>
    <t>0.43032</t>
  </si>
  <si>
    <t>199.91</t>
  </si>
  <si>
    <t>Harina Silver Cake</t>
  </si>
  <si>
    <t>326.77</t>
  </si>
  <si>
    <t>0.51548</t>
  </si>
  <si>
    <t>168.44</t>
  </si>
  <si>
    <t>Preservante 1047S</t>
  </si>
  <si>
    <t>1.97</t>
  </si>
  <si>
    <t>7.32166</t>
  </si>
  <si>
    <t>14.42</t>
  </si>
  <si>
    <t>Polvo Hornear</t>
  </si>
  <si>
    <t>9.84</t>
  </si>
  <si>
    <t>1.00588</t>
  </si>
  <si>
    <t>9.90</t>
  </si>
  <si>
    <t>Bolsa 17X25 Transparente</t>
  </si>
  <si>
    <t>1.89</t>
  </si>
  <si>
    <t>1.80</t>
  </si>
  <si>
    <t>3.40</t>
  </si>
  <si>
    <t>Etiqueta Blanca 2 5/8X1 15/16</t>
  </si>
  <si>
    <t>0.08</t>
  </si>
  <si>
    <t>2.128</t>
  </si>
  <si>
    <t>0.17</t>
  </si>
  <si>
    <t>Nuevo</t>
  </si>
  <si>
    <t>MP10769</t>
  </si>
  <si>
    <t>02</t>
  </si>
  <si>
    <t xml:space="preserve">1.- En una bolsa 17x25 empacar el nucleo easy con el harina, preservante, polvo de hornear y el actiegg y huevo en polvo.  Etiqutetar y colocar etiqueta alergeno. </t>
  </si>
  <si>
    <t>ESP-RE-PRES-041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</si>
</sst>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2" applyNumberFormat="0" applyFill="0" applyAlignment="0" applyProtection="0"/>
    <xf numFmtId="0" fontId="12" fillId="0" borderId="43" applyNumberFormat="0" applyFill="0" applyAlignment="0" applyProtection="0"/>
    <xf numFmtId="0" fontId="13" fillId="0" borderId="4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45" applyNumberFormat="0" applyAlignment="0" applyProtection="0"/>
    <xf numFmtId="0" fontId="18" fillId="11" borderId="46" applyNumberFormat="0" applyAlignment="0" applyProtection="0"/>
    <xf numFmtId="0" fontId="19" fillId="11" borderId="45" applyNumberFormat="0" applyAlignment="0" applyProtection="0"/>
    <xf numFmtId="0" fontId="20" fillId="0" borderId="47" applyNumberFormat="0" applyFill="0" applyAlignment="0" applyProtection="0"/>
    <xf numFmtId="0" fontId="21" fillId="12" borderId="48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50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3" borderId="49" applyNumberFormat="0" applyFont="0" applyAlignment="0" applyProtection="0"/>
  </cellStyleXfs>
  <cellXfs count="144">
    <xf numFmtId="0" fontId="0" fillId="0" borderId="0" xfId="0"/>
    <xf numFmtId="14" fontId="5" fillId="2" borderId="0" xfId="2" applyNumberFormat="1" applyFont="1" applyFill="1" applyAlignment="1">
      <alignment horizontal="center" vertical="center" wrapText="1"/>
    </xf>
    <xf numFmtId="0" fontId="9" fillId="2" borderId="1" xfId="2" applyFont="1" applyFill="1" applyBorder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9" fillId="2" borderId="3" xfId="2" applyFont="1" applyFill="1" applyBorder="1" applyAlignment="1">
      <alignment horizontal="right"/>
    </xf>
    <xf numFmtId="49" fontId="7" fillId="2" borderId="4" xfId="2" applyNumberFormat="1" applyFont="1" applyFill="1" applyBorder="1" applyAlignment="1">
      <alignment horizontal="center"/>
    </xf>
    <xf numFmtId="0" fontId="7" fillId="2" borderId="10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0" fontId="9" fillId="3" borderId="2" xfId="1" applyFont="1" applyFill="1" applyBorder="1" applyAlignment="1">
      <alignment horizontal="center" vertical="center" wrapText="1"/>
    </xf>
    <xf numFmtId="1" fontId="9" fillId="3" borderId="5" xfId="1" applyNumberFormat="1" applyFont="1" applyFill="1" applyBorder="1" applyAlignment="1">
      <alignment horizontal="center"/>
    </xf>
    <xf numFmtId="1" fontId="9" fillId="3" borderId="5" xfId="1" applyNumberFormat="1" applyFont="1" applyFill="1" applyBorder="1" applyAlignment="1">
      <alignment horizontal="center" wrapText="1"/>
    </xf>
    <xf numFmtId="0" fontId="9" fillId="3" borderId="13" xfId="1" applyFont="1" applyFill="1" applyBorder="1" applyAlignment="1">
      <alignment horizontal="center"/>
    </xf>
    <xf numFmtId="0" fontId="1" fillId="0" borderId="0" xfId="45"/>
    <xf numFmtId="9" fontId="0" fillId="0" borderId="0" xfId="0" applyNumberFormat="1"/>
    <xf numFmtId="43" fontId="0" fillId="0" borderId="0" xfId="4" applyFont="1"/>
    <xf numFmtId="0" fontId="2" fillId="0" borderId="0" xfId="0" applyFont="1"/>
    <xf numFmtId="14" fontId="7" fillId="2" borderId="35" xfId="2" applyNumberFormat="1" applyFont="1" applyFill="1" applyBorder="1" applyAlignment="1">
      <alignment horizontal="center" vertical="center" wrapText="1"/>
    </xf>
    <xf numFmtId="14" fontId="7" fillId="2" borderId="39" xfId="2" applyNumberFormat="1" applyFont="1" applyFill="1" applyBorder="1" applyAlignment="1">
      <alignment horizontal="center" vertical="center" wrapText="1"/>
    </xf>
    <xf numFmtId="14" fontId="7" fillId="2" borderId="12" xfId="2" applyNumberFormat="1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left"/>
    </xf>
    <xf numFmtId="0" fontId="7" fillId="2" borderId="37" xfId="2" applyFont="1" applyFill="1" applyBorder="1" applyAlignment="1">
      <alignment horizontal="left"/>
    </xf>
    <xf numFmtId="0" fontId="7" fillId="2" borderId="38" xfId="2" applyFont="1" applyFill="1" applyBorder="1" applyAlignment="1">
      <alignment horizontal="left"/>
    </xf>
    <xf numFmtId="0" fontId="7" fillId="2" borderId="22" xfId="2" applyFont="1" applyFill="1" applyBorder="1" applyAlignment="1">
      <alignment horizontal="left"/>
    </xf>
    <xf numFmtId="0" fontId="7" fillId="2" borderId="26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17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8" fillId="2" borderId="1" xfId="2" applyFont="1" applyFill="1" applyBorder="1" applyAlignment="1">
      <alignment horizontal="center"/>
    </xf>
    <xf numFmtId="0" fontId="8" fillId="2" borderId="24" xfId="2" applyFont="1" applyFill="1" applyBorder="1" applyAlignment="1">
      <alignment horizontal="center"/>
    </xf>
    <xf numFmtId="0" fontId="8" fillId="2" borderId="33" xfId="2" applyFont="1" applyFill="1" applyBorder="1" applyAlignment="1">
      <alignment horizontal="center"/>
    </xf>
    <xf numFmtId="0" fontId="8" fillId="2" borderId="27" xfId="2" applyFont="1" applyFill="1" applyBorder="1" applyAlignment="1">
      <alignment horizontal="center"/>
    </xf>
    <xf numFmtId="0" fontId="9" fillId="2" borderId="34" xfId="2" applyFont="1" applyFill="1" applyBorder="1" applyAlignment="1">
      <alignment horizontal="right" vertical="top" wrapText="1"/>
    </xf>
    <xf numFmtId="0" fontId="9" fillId="2" borderId="30" xfId="2" applyFont="1" applyFill="1" applyBorder="1" applyAlignment="1">
      <alignment horizontal="right" vertical="top" wrapText="1"/>
    </xf>
    <xf numFmtId="0" fontId="9" fillId="2" borderId="31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5" fillId="2" borderId="16" xfId="2" applyFont="1" applyFill="1" applyBorder="1" applyAlignment="1">
      <alignment horizontal="center"/>
    </xf>
    <xf numFmtId="0" fontId="4" fillId="2" borderId="0" xfId="2" applyFont="1" applyFill="1"/>
    <xf numFmtId="0" fontId="9" fillId="3" borderId="14" xfId="1" applyFont="1" applyFill="1" applyBorder="1" applyAlignment="1">
      <alignment horizontal="center" vertical="center"/>
    </xf>
    <xf numFmtId="0" fontId="9" fillId="3" borderId="15" xfId="1" applyFont="1" applyFill="1" applyBorder="1" applyAlignment="1">
      <alignment horizontal="center" vertical="center"/>
    </xf>
    <xf numFmtId="0" fontId="9" fillId="3" borderId="14" xfId="1" applyFont="1" applyFill="1" applyBorder="1" applyAlignment="1">
      <alignment horizontal="center" vertical="center" wrapText="1"/>
    </xf>
    <xf numFmtId="0" fontId="9" fillId="3" borderId="15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26" fillId="0" borderId="40" xfId="1" applyFont="1" applyBorder="1" applyAlignment="1">
      <alignment horizontal="center" vertical="center"/>
    </xf>
    <xf numFmtId="0" fontId="26" fillId="0" borderId="21" xfId="1" applyFont="1" applyBorder="1" applyAlignment="1">
      <alignment horizontal="center" vertical="center"/>
    </xf>
    <xf numFmtId="0" fontId="27" fillId="0" borderId="3" xfId="1" applyFont="1" applyBorder="1" applyAlignment="1">
      <alignment vertical="center"/>
    </xf>
    <xf numFmtId="0" fontId="26" fillId="0" borderId="3" xfId="1" applyFont="1" applyBorder="1" applyAlignment="1">
      <alignment horizontal="center" vertical="center"/>
    </xf>
    <xf numFmtId="1" fontId="26" fillId="0" borderId="3" xfId="1" applyNumberFormat="1" applyFont="1" applyBorder="1" applyAlignment="1">
      <alignment horizontal="center"/>
    </xf>
    <xf numFmtId="1" fontId="26" fillId="0" borderId="3" xfId="1" applyNumberFormat="1" applyFont="1" applyBorder="1" applyAlignment="1">
      <alignment horizontal="center" wrapText="1"/>
    </xf>
    <xf numFmtId="0" fontId="28" fillId="0" borderId="4" xfId="1" applyFont="1" applyBorder="1" applyAlignment="1">
      <alignment horizontal="center"/>
    </xf>
    <xf numFmtId="49" fontId="28" fillId="0" borderId="40" xfId="1" applyNumberFormat="1" applyFont="1" applyBorder="1" applyAlignment="1">
      <alignment horizontal="center"/>
    </xf>
    <xf numFmtId="49" fontId="28" fillId="0" borderId="21" xfId="1" applyNumberFormat="1" applyFont="1" applyBorder="1" applyAlignment="1">
      <alignment horizontal="center"/>
    </xf>
    <xf numFmtId="0" fontId="28" fillId="0" borderId="3" xfId="1" applyFont="1" applyBorder="1" applyAlignment="1">
      <alignment horizontal="center"/>
    </xf>
    <xf numFmtId="1" fontId="28" fillId="0" borderId="3" xfId="1" applyNumberFormat="1" applyFont="1" applyBorder="1" applyAlignment="1">
      <alignment horizontal="center" wrapText="1"/>
    </xf>
    <xf numFmtId="49" fontId="26" fillId="0" borderId="20" xfId="1" applyNumberFormat="1" applyFont="1" applyBorder="1" applyAlignment="1">
      <alignment horizontal="center"/>
    </xf>
    <xf numFmtId="49" fontId="26" fillId="0" borderId="26" xfId="1" applyNumberFormat="1" applyFont="1" applyBorder="1" applyAlignment="1">
      <alignment horizontal="center"/>
    </xf>
    <xf numFmtId="0" fontId="27" fillId="5" borderId="3" xfId="1" applyFont="1" applyFill="1" applyBorder="1" applyAlignment="1">
      <alignment vertical="center"/>
    </xf>
    <xf numFmtId="0" fontId="26" fillId="0" borderId="21" xfId="1" applyFont="1" applyBorder="1" applyAlignment="1">
      <alignment horizontal="center"/>
    </xf>
    <xf numFmtId="165" fontId="26" fillId="0" borderId="3" xfId="1" applyNumberFormat="1" applyFont="1" applyBorder="1" applyAlignment="1">
      <alignment horizontal="center"/>
    </xf>
    <xf numFmtId="12" fontId="28" fillId="0" borderId="3" xfId="1" applyNumberFormat="1" applyFont="1" applyBorder="1" applyAlignment="1">
      <alignment horizontal="center"/>
    </xf>
    <xf numFmtId="1" fontId="28" fillId="0" borderId="3" xfId="1" applyNumberFormat="1" applyFont="1" applyBorder="1" applyAlignment="1">
      <alignment horizontal="center"/>
    </xf>
    <xf numFmtId="49" fontId="29" fillId="2" borderId="29" xfId="1" applyNumberFormat="1" applyFont="1" applyFill="1" applyBorder="1" applyAlignment="1">
      <alignment horizontal="center" vertical="center"/>
    </xf>
    <xf numFmtId="49" fontId="29" fillId="2" borderId="0" xfId="1" applyNumberFormat="1" applyFont="1" applyFill="1" applyAlignment="1">
      <alignment horizontal="center" vertical="center"/>
    </xf>
    <xf numFmtId="0" fontId="28" fillId="2" borderId="0" xfId="1" applyFont="1" applyFill="1"/>
    <xf numFmtId="1" fontId="28" fillId="2" borderId="0" xfId="1" applyNumberFormat="1" applyFont="1" applyFill="1" applyAlignment="1">
      <alignment horizontal="center"/>
    </xf>
    <xf numFmtId="164" fontId="28" fillId="2" borderId="0" xfId="1" applyNumberFormat="1" applyFont="1" applyFill="1" applyAlignment="1">
      <alignment horizontal="center" wrapText="1"/>
    </xf>
    <xf numFmtId="0" fontId="28" fillId="2" borderId="6" xfId="1" applyFont="1" applyFill="1" applyBorder="1" applyAlignment="1">
      <alignment horizontal="center"/>
    </xf>
    <xf numFmtId="0" fontId="28" fillId="3" borderId="7" xfId="1" applyFont="1" applyFill="1" applyBorder="1" applyAlignment="1">
      <alignment horizontal="center"/>
    </xf>
    <xf numFmtId="0" fontId="28" fillId="3" borderId="8" xfId="1" applyFont="1" applyFill="1" applyBorder="1" applyAlignment="1">
      <alignment horizontal="center"/>
    </xf>
    <xf numFmtId="0" fontId="28" fillId="3" borderId="8" xfId="1" applyFont="1" applyFill="1" applyBorder="1"/>
    <xf numFmtId="0" fontId="26" fillId="3" borderId="8" xfId="1" applyFont="1" applyFill="1" applyBorder="1" applyAlignment="1">
      <alignment horizontal="center"/>
    </xf>
    <xf numFmtId="1" fontId="26" fillId="3" borderId="8" xfId="1" applyNumberFormat="1" applyFont="1" applyFill="1" applyBorder="1" applyAlignment="1">
      <alignment horizontal="center"/>
    </xf>
    <xf numFmtId="164" fontId="28" fillId="3" borderId="8" xfId="1" applyNumberFormat="1" applyFont="1" applyFill="1" applyBorder="1" applyAlignment="1">
      <alignment horizontal="center" wrapText="1"/>
    </xf>
    <xf numFmtId="0" fontId="28" fillId="3" borderId="9" xfId="1" applyFont="1" applyFill="1" applyBorder="1" applyAlignment="1">
      <alignment horizontal="center"/>
    </xf>
    <xf numFmtId="0" fontId="26" fillId="0" borderId="17" xfId="1" applyFont="1" applyBorder="1" applyAlignment="1">
      <alignment horizontal="right"/>
    </xf>
    <xf numFmtId="0" fontId="26" fillId="0" borderId="25" xfId="1" applyFont="1" applyBorder="1" applyAlignment="1">
      <alignment horizontal="right"/>
    </xf>
    <xf numFmtId="0" fontId="26" fillId="0" borderId="18" xfId="1" applyFont="1" applyBorder="1" applyAlignment="1">
      <alignment horizontal="right"/>
    </xf>
    <xf numFmtId="164" fontId="28" fillId="0" borderId="10" xfId="1" applyNumberFormat="1" applyFont="1" applyBorder="1" applyAlignment="1">
      <alignment horizontal="right"/>
    </xf>
    <xf numFmtId="0" fontId="28" fillId="2" borderId="11" xfId="1" applyFont="1" applyFill="1" applyBorder="1" applyAlignment="1">
      <alignment horizontal="center"/>
    </xf>
    <xf numFmtId="0" fontId="28" fillId="2" borderId="19" xfId="1" applyFont="1" applyFill="1" applyBorder="1" applyAlignment="1">
      <alignment horizontal="center"/>
    </xf>
    <xf numFmtId="0" fontId="26" fillId="0" borderId="20" xfId="1" applyFont="1" applyBorder="1" applyAlignment="1">
      <alignment horizontal="right"/>
    </xf>
    <xf numFmtId="0" fontId="26" fillId="0" borderId="26" xfId="1" applyFont="1" applyBorder="1" applyAlignment="1">
      <alignment horizontal="right"/>
    </xf>
    <xf numFmtId="0" fontId="26" fillId="0" borderId="21" xfId="1" applyFont="1" applyBorder="1" applyAlignment="1">
      <alignment horizontal="right"/>
    </xf>
    <xf numFmtId="0" fontId="28" fillId="0" borderId="3" xfId="1" applyFont="1" applyBorder="1" applyAlignment="1">
      <alignment horizontal="right"/>
    </xf>
    <xf numFmtId="164" fontId="28" fillId="0" borderId="22" xfId="1" applyNumberFormat="1" applyFont="1" applyBorder="1" applyAlignment="1">
      <alignment horizontal="center"/>
    </xf>
    <xf numFmtId="164" fontId="28" fillId="0" borderId="23" xfId="1" applyNumberFormat="1" applyFont="1" applyBorder="1" applyAlignment="1">
      <alignment horizontal="center"/>
    </xf>
    <xf numFmtId="164" fontId="28" fillId="0" borderId="22" xfId="1" applyNumberFormat="1" applyFont="1" applyBorder="1" applyAlignment="1">
      <alignment horizontal="right" wrapText="1"/>
    </xf>
    <xf numFmtId="164" fontId="28" fillId="0" borderId="21" xfId="1" applyNumberFormat="1" applyFont="1" applyBorder="1" applyAlignment="1">
      <alignment horizontal="right" wrapText="1"/>
    </xf>
    <xf numFmtId="0" fontId="26" fillId="0" borderId="15" xfId="1" applyFont="1" applyBorder="1" applyAlignment="1">
      <alignment horizontal="right"/>
    </xf>
    <xf numFmtId="0" fontId="26" fillId="0" borderId="27" xfId="1" applyFont="1" applyBorder="1" applyAlignment="1">
      <alignment horizontal="right"/>
    </xf>
    <xf numFmtId="0" fontId="26" fillId="0" borderId="5" xfId="1" applyFont="1" applyBorder="1" applyAlignment="1">
      <alignment horizontal="right"/>
    </xf>
    <xf numFmtId="0" fontId="28" fillId="0" borderId="5" xfId="1" applyFont="1" applyBorder="1" applyAlignment="1">
      <alignment horizontal="right"/>
    </xf>
    <xf numFmtId="0" fontId="26" fillId="0" borderId="17" xfId="1" applyFont="1" applyBorder="1" applyAlignment="1">
      <alignment horizontal="left" wrapText="1"/>
    </xf>
    <xf numFmtId="0" fontId="26" fillId="0" borderId="25" xfId="1" applyFont="1" applyBorder="1" applyAlignment="1">
      <alignment horizontal="left" wrapText="1"/>
    </xf>
    <xf numFmtId="0" fontId="26" fillId="0" borderId="19" xfId="1" applyFont="1" applyBorder="1" applyAlignment="1">
      <alignment horizontal="left" wrapText="1"/>
    </xf>
    <xf numFmtId="0" fontId="28" fillId="2" borderId="41" xfId="2" applyFont="1" applyFill="1" applyBorder="1" applyAlignment="1">
      <alignment horizontal="left"/>
    </xf>
    <xf numFmtId="0" fontId="28" fillId="2" borderId="0" xfId="2" applyFont="1" applyFill="1" applyAlignment="1">
      <alignment horizontal="left"/>
    </xf>
    <xf numFmtId="0" fontId="26" fillId="6" borderId="3" xfId="2" applyFont="1" applyFill="1" applyBorder="1" applyAlignment="1">
      <alignment horizontal="center"/>
    </xf>
    <xf numFmtId="0" fontId="28" fillId="2" borderId="3" xfId="2" applyFont="1" applyFill="1" applyBorder="1" applyAlignment="1">
      <alignment horizontal="left"/>
    </xf>
    <xf numFmtId="0" fontId="30" fillId="4" borderId="22" xfId="2" applyFont="1" applyFill="1" applyBorder="1" applyAlignment="1">
      <alignment horizontal="center" vertical="center" wrapText="1"/>
    </xf>
    <xf numFmtId="0" fontId="30" fillId="4" borderId="26" xfId="2" applyFont="1" applyFill="1" applyBorder="1" applyAlignment="1">
      <alignment horizontal="center" vertical="center" wrapText="1"/>
    </xf>
    <xf numFmtId="0" fontId="30" fillId="4" borderId="21" xfId="2" applyFont="1" applyFill="1" applyBorder="1" applyAlignment="1">
      <alignment horizontal="center" vertical="center" wrapText="1"/>
    </xf>
    <xf numFmtId="1" fontId="28" fillId="0" borderId="3" xfId="0" applyNumberFormat="1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3" xfId="0" applyFont="1" applyBorder="1"/>
    <xf numFmtId="0" fontId="28" fillId="0" borderId="10" xfId="0" applyFont="1" applyBorder="1" applyAlignment="1">
      <alignment horizontal="center"/>
    </xf>
    <xf numFmtId="0" fontId="28" fillId="0" borderId="10" xfId="0" applyFont="1" applyBorder="1" applyAlignment="1">
      <alignment horizontal="center" wrapText="1"/>
    </xf>
    <xf numFmtId="12" fontId="28" fillId="0" borderId="10" xfId="0" applyNumberFormat="1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6" fillId="0" borderId="3" xfId="0" applyFont="1" applyBorder="1"/>
    <xf numFmtId="0" fontId="28" fillId="0" borderId="0" xfId="0" applyFont="1"/>
    <xf numFmtId="0" fontId="28" fillId="0" borderId="18" xfId="0" applyFont="1" applyBorder="1" applyAlignment="1">
      <alignment horizontal="center"/>
    </xf>
    <xf numFmtId="166" fontId="26" fillId="5" borderId="3" xfId="4" applyNumberFormat="1" applyFont="1" applyFill="1" applyBorder="1" applyAlignment="1">
      <alignment horizontal="center"/>
    </xf>
    <xf numFmtId="0" fontId="28" fillId="2" borderId="21" xfId="0" applyFont="1" applyFill="1" applyBorder="1"/>
    <xf numFmtId="1" fontId="28" fillId="2" borderId="3" xfId="0" applyNumberFormat="1" applyFont="1" applyFill="1" applyBorder="1" applyAlignment="1">
      <alignment horizontal="center"/>
    </xf>
    <xf numFmtId="164" fontId="28" fillId="2" borderId="3" xfId="0" applyNumberFormat="1" applyFont="1" applyFill="1" applyBorder="1" applyAlignment="1">
      <alignment horizontal="center" wrapText="1"/>
    </xf>
    <xf numFmtId="0" fontId="28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/>
    </xf>
    <xf numFmtId="1" fontId="28" fillId="0" borderId="3" xfId="0" applyNumberFormat="1" applyFont="1" applyBorder="1" applyAlignment="1">
      <alignment horizontal="center" wrapText="1"/>
    </xf>
    <xf numFmtId="0" fontId="28" fillId="0" borderId="3" xfId="0" quotePrefix="1" applyFont="1" applyBorder="1" applyAlignment="1">
      <alignment horizontal="center"/>
    </xf>
    <xf numFmtId="0" fontId="28" fillId="0" borderId="3" xfId="0" quotePrefix="1" applyFont="1" applyBorder="1"/>
    <xf numFmtId="49" fontId="28" fillId="0" borderId="3" xfId="0" applyNumberFormat="1" applyFont="1" applyBorder="1" applyAlignment="1">
      <alignment horizontal="center"/>
    </xf>
    <xf numFmtId="49" fontId="28" fillId="0" borderId="3" xfId="0" applyNumberFormat="1" applyFont="1" applyBorder="1"/>
    <xf numFmtId="16" fontId="28" fillId="0" borderId="3" xfId="0" applyNumberFormat="1" applyFont="1" applyBorder="1" applyAlignment="1">
      <alignment horizontal="center"/>
    </xf>
    <xf numFmtId="49" fontId="28" fillId="0" borderId="3" xfId="1" applyNumberFormat="1" applyFont="1" applyBorder="1"/>
    <xf numFmtId="1" fontId="28" fillId="0" borderId="10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164" fontId="28" fillId="0" borderId="22" xfId="0" applyNumberFormat="1" applyFont="1" applyBorder="1" applyAlignment="1">
      <alignment horizontal="center" wrapText="1"/>
    </xf>
    <xf numFmtId="164" fontId="28" fillId="0" borderId="23" xfId="0" applyNumberFormat="1" applyFont="1" applyBorder="1" applyAlignment="1">
      <alignment horizontal="center" wrapText="1"/>
    </xf>
    <xf numFmtId="1" fontId="28" fillId="0" borderId="5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20" xfId="1" applyFont="1" applyBorder="1" applyAlignment="1">
      <alignment horizontal="left" wrapText="1"/>
    </xf>
    <xf numFmtId="0" fontId="28" fillId="0" borderId="26" xfId="1" applyFont="1" applyBorder="1" applyAlignment="1">
      <alignment horizontal="left" wrapText="1"/>
    </xf>
    <xf numFmtId="0" fontId="28" fillId="0" borderId="23" xfId="1" applyFont="1" applyBorder="1" applyAlignment="1">
      <alignment horizontal="left" wrapText="1"/>
    </xf>
    <xf numFmtId="0" fontId="28" fillId="0" borderId="29" xfId="1" applyFont="1" applyBorder="1" applyAlignment="1">
      <alignment horizontal="left"/>
    </xf>
    <xf numFmtId="0" fontId="28" fillId="0" borderId="0" xfId="1" applyFont="1" applyBorder="1" applyAlignment="1">
      <alignment horizontal="left"/>
    </xf>
    <xf numFmtId="0" fontId="28" fillId="0" borderId="6" xfId="1" applyFont="1" applyBorder="1" applyAlignment="1">
      <alignment horizontal="left"/>
    </xf>
    <xf numFmtId="0" fontId="26" fillId="3" borderId="7" xfId="1" applyFont="1" applyFill="1" applyBorder="1" applyAlignment="1">
      <alignment horizontal="center"/>
    </xf>
    <xf numFmtId="0" fontId="26" fillId="3" borderId="8" xfId="1" applyFont="1" applyFill="1" applyBorder="1" applyAlignment="1">
      <alignment horizontal="center"/>
    </xf>
    <xf numFmtId="0" fontId="26" fillId="3" borderId="9" xfId="1" applyFont="1" applyFill="1" applyBorder="1" applyAlignment="1">
      <alignment horizontal="center"/>
    </xf>
  </cellXfs>
  <cellStyles count="48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3" builtinId="20" customBuiltin="1"/>
    <cellStyle name="Incorrecto" xfId="11" builtinId="27" customBuiltin="1"/>
    <cellStyle name="Millares" xfId="4" builtinId="3"/>
    <cellStyle name="Millares 2" xfId="46" xr:uid="{827EAA58-CE25-4B0B-9A9C-547393405537}"/>
    <cellStyle name="Neutral" xfId="12" builtinId="28" customBuiltin="1"/>
    <cellStyle name="Normal" xfId="0" builtinId="0"/>
    <cellStyle name="Normal 2" xfId="1" xr:uid="{00000000-0005-0000-0000-000001000000}"/>
    <cellStyle name="Normal 3" xfId="45" xr:uid="{84D17FD6-2E9D-495F-8FB2-76B71ADD52D3}"/>
    <cellStyle name="Normal_CRITERIOS DE EVALUACION PT DE GB 2" xfId="2" xr:uid="{00000000-0005-0000-0000-000002000000}"/>
    <cellStyle name="Notas 2" xfId="47" xr:uid="{F5377917-CEE3-4810-9C2A-0ECCDAF5DEC8}"/>
    <cellStyle name="Porcentaje 2" xfId="3" xr:uid="{00000000-0005-0000-0000-000003000000}"/>
    <cellStyle name="Salida" xfId="14" builtinId="21" customBuiltin="1"/>
    <cellStyle name="Texto de advertencia" xfId="18" builtinId="11" customBuiltin="1"/>
    <cellStyle name="Texto explicativo" xfId="19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107155</xdr:colOff>
      <xdr:row>0</xdr:row>
      <xdr:rowOff>154780</xdr:rowOff>
    </xdr:from>
    <xdr:to>
      <xdr:col>1</xdr:col>
      <xdr:colOff>1181849</xdr:colOff>
      <xdr:row>4</xdr:row>
      <xdr:rowOff>83343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56AC9D-CFD9-48A8-9117-55D88EE4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5" y="154780"/>
          <a:ext cx="2158163" cy="988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9030-7113-4037-B78C-1CD56D83B488}">
  <dimension ref="A2:L24"/>
  <sheetViews>
    <sheetView workbookViewId="0">
      <selection sqref="A1:XFD1048576"/>
    </sheetView>
  </sheetViews>
  <sheetFormatPr baseColWidth="10" defaultRowHeight="12.75" x14ac:dyDescent="0.2"/>
  <cols>
    <col min="3" max="3" width="29.140625" customWidth="1"/>
  </cols>
  <sheetData>
    <row r="2" spans="1:2" ht="15" x14ac:dyDescent="0.25">
      <c r="A2" s="12" t="s">
        <v>71</v>
      </c>
      <c r="B2" s="12"/>
    </row>
    <row r="3" spans="1:2" ht="15" x14ac:dyDescent="0.25">
      <c r="A3" s="12" t="s">
        <v>72</v>
      </c>
      <c r="B3" s="12" t="s">
        <v>73</v>
      </c>
    </row>
    <row r="4" spans="1:2" ht="15" x14ac:dyDescent="0.25">
      <c r="A4" s="12" t="s">
        <v>74</v>
      </c>
      <c r="B4" s="12" t="s">
        <v>75</v>
      </c>
    </row>
    <row r="5" spans="1:2" ht="15" x14ac:dyDescent="0.25">
      <c r="A5" s="12" t="s">
        <v>76</v>
      </c>
      <c r="B5" s="12" t="s">
        <v>77</v>
      </c>
    </row>
    <row r="6" spans="1:2" ht="15" x14ac:dyDescent="0.25">
      <c r="A6" s="12" t="s">
        <v>78</v>
      </c>
      <c r="B6" s="12" t="s">
        <v>79</v>
      </c>
    </row>
    <row r="7" spans="1:2" ht="15" x14ac:dyDescent="0.25">
      <c r="A7" s="12" t="s">
        <v>80</v>
      </c>
      <c r="B7" s="12" t="s">
        <v>81</v>
      </c>
    </row>
    <row r="8" spans="1:2" ht="15" x14ac:dyDescent="0.25">
      <c r="A8" s="12" t="s">
        <v>82</v>
      </c>
      <c r="B8" s="12" t="s">
        <v>83</v>
      </c>
    </row>
    <row r="9" spans="1:2" ht="15" x14ac:dyDescent="0.25">
      <c r="A9" s="12" t="s">
        <v>84</v>
      </c>
      <c r="B9" s="12" t="s">
        <v>85</v>
      </c>
    </row>
    <row r="10" spans="1:2" ht="15" x14ac:dyDescent="0.25">
      <c r="A10" s="12" t="s">
        <v>86</v>
      </c>
      <c r="B10" s="12" t="s">
        <v>87</v>
      </c>
    </row>
    <row r="11" spans="1:2" ht="15" x14ac:dyDescent="0.25">
      <c r="A11" s="12" t="s">
        <v>88</v>
      </c>
      <c r="B11" s="12" t="s">
        <v>70</v>
      </c>
    </row>
    <row r="12" spans="1:2" ht="15" x14ac:dyDescent="0.25">
      <c r="A12" s="12" t="s">
        <v>89</v>
      </c>
      <c r="B12" s="12" t="s">
        <v>90</v>
      </c>
    </row>
    <row r="13" spans="1:2" ht="15" x14ac:dyDescent="0.25">
      <c r="A13" s="12" t="s">
        <v>91</v>
      </c>
      <c r="B13" s="12" t="s">
        <v>92</v>
      </c>
    </row>
    <row r="14" spans="1:2" ht="15" x14ac:dyDescent="0.25">
      <c r="A14" s="12" t="s">
        <v>93</v>
      </c>
      <c r="B14" s="12" t="s">
        <v>94</v>
      </c>
    </row>
    <row r="17" spans="1:12" ht="15" x14ac:dyDescent="0.25">
      <c r="A17" s="12" t="s">
        <v>95</v>
      </c>
      <c r="B17" s="12" t="s">
        <v>96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2" ht="15" x14ac:dyDescent="0.25">
      <c r="A18" s="12" t="s">
        <v>97</v>
      </c>
      <c r="B18" s="12" t="s">
        <v>98</v>
      </c>
      <c r="C18" s="12"/>
      <c r="D18" s="12"/>
      <c r="E18" s="12"/>
      <c r="F18" s="12"/>
      <c r="G18" s="12"/>
      <c r="H18" s="12"/>
      <c r="I18" s="12"/>
      <c r="J18" s="12"/>
      <c r="K18" s="12"/>
    </row>
    <row r="20" spans="1:12" ht="15" x14ac:dyDescent="0.25">
      <c r="A20" s="12" t="s">
        <v>99</v>
      </c>
      <c r="B20" s="12" t="s">
        <v>100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2" t="s">
        <v>108</v>
      </c>
      <c r="K20" s="12" t="s">
        <v>109</v>
      </c>
    </row>
    <row r="21" spans="1:12" ht="15" x14ac:dyDescent="0.25">
      <c r="A21" s="12" t="s">
        <v>68</v>
      </c>
      <c r="B21" s="12" t="s">
        <v>90</v>
      </c>
      <c r="C21" s="12" t="s">
        <v>110</v>
      </c>
      <c r="D21" s="12" t="s">
        <v>111</v>
      </c>
      <c r="E21" s="12" t="s">
        <v>112</v>
      </c>
      <c r="F21" s="12" t="s">
        <v>111</v>
      </c>
      <c r="G21" s="12" t="s">
        <v>111</v>
      </c>
      <c r="H21" s="12" t="s">
        <v>111</v>
      </c>
      <c r="I21" s="12" t="s">
        <v>113</v>
      </c>
      <c r="J21" s="12" t="s">
        <v>114</v>
      </c>
      <c r="K21" s="12" t="s">
        <v>115</v>
      </c>
      <c r="L21">
        <v>467.47</v>
      </c>
    </row>
    <row r="22" spans="1:12" ht="15" x14ac:dyDescent="0.25">
      <c r="A22" s="12" t="s">
        <v>69</v>
      </c>
      <c r="B22" s="12" t="s">
        <v>90</v>
      </c>
      <c r="C22" s="12" t="s">
        <v>116</v>
      </c>
      <c r="D22" s="12" t="s">
        <v>117</v>
      </c>
      <c r="E22" s="12" t="s">
        <v>112</v>
      </c>
      <c r="F22" s="12" t="s">
        <v>117</v>
      </c>
      <c r="G22" s="12" t="s">
        <v>117</v>
      </c>
      <c r="H22" s="12" t="s">
        <v>117</v>
      </c>
      <c r="I22" s="12" t="s">
        <v>118</v>
      </c>
      <c r="J22" s="12" t="s">
        <v>119</v>
      </c>
      <c r="K22" s="12" t="s">
        <v>120</v>
      </c>
      <c r="L22">
        <v>115.99</v>
      </c>
    </row>
    <row r="23" spans="1:12" ht="15" x14ac:dyDescent="0.25">
      <c r="A23" s="12" t="s">
        <v>67</v>
      </c>
      <c r="B23" s="12" t="s">
        <v>90</v>
      </c>
      <c r="C23" s="12" t="s">
        <v>121</v>
      </c>
      <c r="D23" s="12" t="s">
        <v>122</v>
      </c>
      <c r="E23" s="12" t="s">
        <v>112</v>
      </c>
      <c r="F23" s="12" t="s">
        <v>122</v>
      </c>
      <c r="G23" s="12" t="s">
        <v>122</v>
      </c>
      <c r="H23" s="12" t="s">
        <v>122</v>
      </c>
      <c r="I23" s="12" t="s">
        <v>123</v>
      </c>
      <c r="J23" s="12" t="s">
        <v>124</v>
      </c>
      <c r="K23" s="12" t="s">
        <v>125</v>
      </c>
      <c r="L23">
        <v>658.96</v>
      </c>
    </row>
    <row r="24" spans="1:12" x14ac:dyDescent="0.2">
      <c r="L24">
        <f>SUM(L21:L23)</f>
        <v>1242.42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3CC8-1AA8-4254-B57D-E4B9B8623D64}">
  <dimension ref="A2:L28"/>
  <sheetViews>
    <sheetView workbookViewId="0">
      <selection activeCell="E21" sqref="E21"/>
    </sheetView>
  </sheetViews>
  <sheetFormatPr baseColWidth="10" defaultRowHeight="12.75" x14ac:dyDescent="0.2"/>
  <sheetData>
    <row r="2" spans="1:2" ht="15" x14ac:dyDescent="0.25">
      <c r="A2" s="12" t="s">
        <v>71</v>
      </c>
      <c r="B2" s="12"/>
    </row>
    <row r="3" spans="1:2" ht="15" x14ac:dyDescent="0.25">
      <c r="A3" s="12" t="s">
        <v>72</v>
      </c>
      <c r="B3" s="12" t="s">
        <v>73</v>
      </c>
    </row>
    <row r="4" spans="1:2" ht="15" x14ac:dyDescent="0.25">
      <c r="A4" s="12" t="s">
        <v>74</v>
      </c>
      <c r="B4" s="12" t="s">
        <v>126</v>
      </c>
    </row>
    <row r="5" spans="1:2" ht="15" x14ac:dyDescent="0.25">
      <c r="A5" s="12" t="s">
        <v>76</v>
      </c>
      <c r="B5" s="12" t="s">
        <v>77</v>
      </c>
    </row>
    <row r="6" spans="1:2" ht="15" x14ac:dyDescent="0.25">
      <c r="A6" s="12" t="s">
        <v>78</v>
      </c>
      <c r="B6" s="12" t="s">
        <v>127</v>
      </c>
    </row>
    <row r="7" spans="1:2" ht="15" x14ac:dyDescent="0.25">
      <c r="A7" s="12" t="s">
        <v>80</v>
      </c>
      <c r="B7" s="12" t="s">
        <v>81</v>
      </c>
    </row>
    <row r="8" spans="1:2" ht="15" x14ac:dyDescent="0.25">
      <c r="A8" s="12" t="s">
        <v>82</v>
      </c>
      <c r="B8" s="12" t="s">
        <v>83</v>
      </c>
    </row>
    <row r="9" spans="1:2" ht="15" x14ac:dyDescent="0.25">
      <c r="A9" s="12" t="s">
        <v>84</v>
      </c>
      <c r="B9" s="12" t="s">
        <v>128</v>
      </c>
    </row>
    <row r="10" spans="1:2" ht="15" x14ac:dyDescent="0.25">
      <c r="A10" s="12" t="s">
        <v>86</v>
      </c>
      <c r="B10" s="12" t="s">
        <v>87</v>
      </c>
    </row>
    <row r="11" spans="1:2" ht="15" x14ac:dyDescent="0.25">
      <c r="A11" s="12" t="s">
        <v>88</v>
      </c>
      <c r="B11" s="12" t="s">
        <v>70</v>
      </c>
    </row>
    <row r="12" spans="1:2" ht="15" x14ac:dyDescent="0.25">
      <c r="A12" s="12" t="s">
        <v>89</v>
      </c>
      <c r="B12" s="12" t="s">
        <v>90</v>
      </c>
    </row>
    <row r="13" spans="1:2" ht="15" x14ac:dyDescent="0.25">
      <c r="A13" s="12" t="s">
        <v>91</v>
      </c>
      <c r="B13" s="12" t="s">
        <v>92</v>
      </c>
    </row>
    <row r="14" spans="1:2" ht="15" x14ac:dyDescent="0.25">
      <c r="A14" s="12" t="s">
        <v>93</v>
      </c>
      <c r="B14" s="12" t="s">
        <v>94</v>
      </c>
    </row>
    <row r="17" spans="1:12" ht="15" x14ac:dyDescent="0.25">
      <c r="A17" s="12" t="s">
        <v>95</v>
      </c>
      <c r="B17" s="12" t="s">
        <v>96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2" ht="15" x14ac:dyDescent="0.25">
      <c r="A18" s="12" t="s">
        <v>129</v>
      </c>
      <c r="B18" s="12" t="s">
        <v>130</v>
      </c>
      <c r="C18" s="12"/>
      <c r="D18" s="12"/>
      <c r="E18" s="12"/>
      <c r="F18" s="12"/>
      <c r="G18" s="12"/>
      <c r="H18" s="12"/>
      <c r="I18" s="12"/>
      <c r="J18" s="12"/>
      <c r="K18" s="12"/>
    </row>
    <row r="20" spans="1:12" ht="15" x14ac:dyDescent="0.25">
      <c r="A20" s="12" t="s">
        <v>99</v>
      </c>
      <c r="B20" s="12" t="s">
        <v>100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2" t="s">
        <v>108</v>
      </c>
      <c r="K20" s="12" t="s">
        <v>109</v>
      </c>
    </row>
    <row r="21" spans="1:12" ht="15" x14ac:dyDescent="0.25">
      <c r="A21" s="12" t="s">
        <v>50</v>
      </c>
      <c r="B21" s="12" t="s">
        <v>90</v>
      </c>
      <c r="C21" s="12" t="s">
        <v>131</v>
      </c>
      <c r="D21" s="12" t="s">
        <v>132</v>
      </c>
      <c r="E21" s="12" t="s">
        <v>112</v>
      </c>
      <c r="F21" s="12" t="s">
        <v>132</v>
      </c>
      <c r="G21" s="12" t="s">
        <v>132</v>
      </c>
      <c r="H21" s="12" t="s">
        <v>132</v>
      </c>
      <c r="I21" s="12" t="s">
        <v>133</v>
      </c>
      <c r="J21" s="12" t="s">
        <v>114</v>
      </c>
      <c r="K21" s="12" t="s">
        <v>134</v>
      </c>
      <c r="L21">
        <v>862.01</v>
      </c>
    </row>
    <row r="22" spans="1:12" ht="15" x14ac:dyDescent="0.25">
      <c r="A22" s="12" t="s">
        <v>31</v>
      </c>
      <c r="B22" s="12" t="s">
        <v>90</v>
      </c>
      <c r="C22" s="12" t="s">
        <v>135</v>
      </c>
      <c r="D22" s="12" t="s">
        <v>136</v>
      </c>
      <c r="E22" s="12" t="s">
        <v>112</v>
      </c>
      <c r="F22" s="12" t="s">
        <v>136</v>
      </c>
      <c r="G22" s="12" t="s">
        <v>136</v>
      </c>
      <c r="H22" s="12" t="s">
        <v>136</v>
      </c>
      <c r="I22" s="12" t="s">
        <v>137</v>
      </c>
      <c r="J22" s="12" t="s">
        <v>114</v>
      </c>
      <c r="K22" s="12" t="s">
        <v>138</v>
      </c>
      <c r="L22">
        <v>199.91</v>
      </c>
    </row>
    <row r="23" spans="1:12" ht="15" x14ac:dyDescent="0.25">
      <c r="A23" s="12" t="s">
        <v>32</v>
      </c>
      <c r="B23" s="12" t="s">
        <v>90</v>
      </c>
      <c r="C23" s="12" t="s">
        <v>139</v>
      </c>
      <c r="D23" s="12" t="s">
        <v>140</v>
      </c>
      <c r="E23" s="12" t="s">
        <v>112</v>
      </c>
      <c r="F23" s="12" t="s">
        <v>140</v>
      </c>
      <c r="G23" s="12" t="s">
        <v>140</v>
      </c>
      <c r="H23" s="12" t="s">
        <v>140</v>
      </c>
      <c r="I23" s="12" t="s">
        <v>141</v>
      </c>
      <c r="J23" s="12" t="s">
        <v>114</v>
      </c>
      <c r="K23" s="12" t="s">
        <v>142</v>
      </c>
      <c r="L23">
        <v>168.44</v>
      </c>
    </row>
    <row r="24" spans="1:12" ht="15" x14ac:dyDescent="0.25">
      <c r="A24" s="12" t="s">
        <v>33</v>
      </c>
      <c r="B24" s="12" t="s">
        <v>90</v>
      </c>
      <c r="C24" s="12" t="s">
        <v>143</v>
      </c>
      <c r="D24" s="12" t="s">
        <v>144</v>
      </c>
      <c r="E24" s="12" t="s">
        <v>112</v>
      </c>
      <c r="F24" s="12" t="s">
        <v>144</v>
      </c>
      <c r="G24" s="12" t="s">
        <v>144</v>
      </c>
      <c r="H24" s="12" t="s">
        <v>144</v>
      </c>
      <c r="I24" s="12" t="s">
        <v>145</v>
      </c>
      <c r="J24" s="12" t="s">
        <v>114</v>
      </c>
      <c r="K24" s="12" t="s">
        <v>146</v>
      </c>
      <c r="L24">
        <v>14.42</v>
      </c>
    </row>
    <row r="25" spans="1:12" ht="15" x14ac:dyDescent="0.25">
      <c r="A25" s="12" t="s">
        <v>34</v>
      </c>
      <c r="B25" s="12" t="s">
        <v>90</v>
      </c>
      <c r="C25" s="12" t="s">
        <v>147</v>
      </c>
      <c r="D25" s="12" t="s">
        <v>148</v>
      </c>
      <c r="E25" s="12" t="s">
        <v>112</v>
      </c>
      <c r="F25" s="12" t="s">
        <v>148</v>
      </c>
      <c r="G25" s="12" t="s">
        <v>148</v>
      </c>
      <c r="H25" s="12" t="s">
        <v>148</v>
      </c>
      <c r="I25" s="12" t="s">
        <v>149</v>
      </c>
      <c r="J25" s="12" t="s">
        <v>114</v>
      </c>
      <c r="K25" s="12" t="s">
        <v>150</v>
      </c>
      <c r="L25">
        <v>9.9</v>
      </c>
    </row>
    <row r="26" spans="1:12" ht="15" x14ac:dyDescent="0.25">
      <c r="A26" s="12" t="s">
        <v>35</v>
      </c>
      <c r="B26" s="12" t="s">
        <v>90</v>
      </c>
      <c r="C26" s="12" t="s">
        <v>151</v>
      </c>
      <c r="D26" s="12" t="s">
        <v>152</v>
      </c>
      <c r="E26" s="12" t="s">
        <v>112</v>
      </c>
      <c r="F26" s="12" t="s">
        <v>152</v>
      </c>
      <c r="G26" s="12" t="s">
        <v>152</v>
      </c>
      <c r="H26" s="12" t="s">
        <v>152</v>
      </c>
      <c r="I26" s="12" t="s">
        <v>153</v>
      </c>
      <c r="J26" s="12" t="s">
        <v>114</v>
      </c>
      <c r="K26" s="12" t="s">
        <v>154</v>
      </c>
      <c r="L26">
        <v>3.4</v>
      </c>
    </row>
    <row r="27" spans="1:12" ht="15" x14ac:dyDescent="0.25">
      <c r="A27" s="12" t="s">
        <v>37</v>
      </c>
      <c r="B27" s="12" t="s">
        <v>90</v>
      </c>
      <c r="C27" s="12" t="s">
        <v>155</v>
      </c>
      <c r="D27" s="12" t="s">
        <v>156</v>
      </c>
      <c r="E27" s="12" t="s">
        <v>112</v>
      </c>
      <c r="F27" s="12" t="s">
        <v>156</v>
      </c>
      <c r="G27" s="12" t="s">
        <v>156</v>
      </c>
      <c r="H27" s="12" t="s">
        <v>156</v>
      </c>
      <c r="I27" s="12" t="s">
        <v>157</v>
      </c>
      <c r="J27" s="12" t="s">
        <v>108</v>
      </c>
      <c r="K27" s="12" t="s">
        <v>158</v>
      </c>
      <c r="L27">
        <v>0.17</v>
      </c>
    </row>
    <row r="28" spans="1:12" x14ac:dyDescent="0.2">
      <c r="L28">
        <f>SUM(L21:L27)</f>
        <v>1258.2500000000005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A6D9-6C3D-4565-B4B4-7594C3C4761F}">
  <dimension ref="A2:M24"/>
  <sheetViews>
    <sheetView workbookViewId="0">
      <selection activeCell="H13" sqref="H13"/>
    </sheetView>
  </sheetViews>
  <sheetFormatPr baseColWidth="10" defaultRowHeight="12.75" x14ac:dyDescent="0.2"/>
  <cols>
    <col min="3" max="3" width="29.140625" customWidth="1"/>
  </cols>
  <sheetData>
    <row r="2" spans="1:2" ht="15" x14ac:dyDescent="0.25">
      <c r="A2" s="12" t="s">
        <v>71</v>
      </c>
      <c r="B2" s="12"/>
    </row>
    <row r="3" spans="1:2" ht="15" x14ac:dyDescent="0.25">
      <c r="A3" s="12" t="s">
        <v>72</v>
      </c>
      <c r="B3" s="12" t="s">
        <v>73</v>
      </c>
    </row>
    <row r="4" spans="1:2" ht="15" x14ac:dyDescent="0.25">
      <c r="A4" s="12" t="s">
        <v>74</v>
      </c>
      <c r="B4" s="12" t="s">
        <v>75</v>
      </c>
    </row>
    <row r="5" spans="1:2" ht="15" x14ac:dyDescent="0.25">
      <c r="A5" s="12" t="s">
        <v>76</v>
      </c>
      <c r="B5" s="12" t="s">
        <v>77</v>
      </c>
    </row>
    <row r="6" spans="1:2" ht="15" x14ac:dyDescent="0.25">
      <c r="A6" s="12" t="s">
        <v>78</v>
      </c>
      <c r="B6" s="12" t="s">
        <v>79</v>
      </c>
    </row>
    <row r="7" spans="1:2" ht="15" x14ac:dyDescent="0.25">
      <c r="A7" s="12" t="s">
        <v>80</v>
      </c>
      <c r="B7" s="12" t="s">
        <v>81</v>
      </c>
    </row>
    <row r="8" spans="1:2" ht="15" x14ac:dyDescent="0.25">
      <c r="A8" s="12" t="s">
        <v>82</v>
      </c>
      <c r="B8" s="12" t="s">
        <v>83</v>
      </c>
    </row>
    <row r="9" spans="1:2" ht="15" x14ac:dyDescent="0.25">
      <c r="A9" s="12" t="s">
        <v>84</v>
      </c>
      <c r="B9" s="12" t="s">
        <v>85</v>
      </c>
    </row>
    <row r="10" spans="1:2" ht="15" x14ac:dyDescent="0.25">
      <c r="A10" s="12" t="s">
        <v>86</v>
      </c>
      <c r="B10" s="12" t="s">
        <v>87</v>
      </c>
    </row>
    <row r="11" spans="1:2" ht="15" x14ac:dyDescent="0.25">
      <c r="A11" s="12" t="s">
        <v>88</v>
      </c>
      <c r="B11" s="12" t="s">
        <v>70</v>
      </c>
    </row>
    <row r="12" spans="1:2" ht="15" x14ac:dyDescent="0.25">
      <c r="A12" s="12" t="s">
        <v>89</v>
      </c>
      <c r="B12" s="12" t="s">
        <v>90</v>
      </c>
    </row>
    <row r="13" spans="1:2" ht="15" x14ac:dyDescent="0.25">
      <c r="A13" s="12" t="s">
        <v>91</v>
      </c>
      <c r="B13" s="12" t="s">
        <v>92</v>
      </c>
    </row>
    <row r="14" spans="1:2" ht="15" x14ac:dyDescent="0.25">
      <c r="A14" s="12" t="s">
        <v>93</v>
      </c>
      <c r="B14" s="12" t="s">
        <v>94</v>
      </c>
    </row>
    <row r="17" spans="1:13" ht="15" x14ac:dyDescent="0.25">
      <c r="A17" s="12" t="s">
        <v>95</v>
      </c>
      <c r="B17" s="12" t="s">
        <v>96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3" ht="15" x14ac:dyDescent="0.25">
      <c r="A18" s="12" t="s">
        <v>97</v>
      </c>
      <c r="B18" s="12" t="s">
        <v>98</v>
      </c>
      <c r="C18" s="12"/>
      <c r="D18" s="12"/>
      <c r="E18" s="12"/>
      <c r="F18" s="12"/>
      <c r="G18" s="12"/>
      <c r="H18" s="12"/>
      <c r="I18" s="12"/>
      <c r="J18" s="12"/>
      <c r="K18" s="12"/>
    </row>
    <row r="20" spans="1:13" ht="15" x14ac:dyDescent="0.25">
      <c r="A20" s="12" t="s">
        <v>99</v>
      </c>
      <c r="B20" s="12" t="s">
        <v>100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2" t="s">
        <v>108</v>
      </c>
      <c r="K20" s="12" t="s">
        <v>109</v>
      </c>
    </row>
    <row r="21" spans="1:13" ht="15" x14ac:dyDescent="0.25">
      <c r="A21" s="12" t="s">
        <v>68</v>
      </c>
      <c r="B21" s="12" t="s">
        <v>90</v>
      </c>
      <c r="C21" s="12" t="s">
        <v>110</v>
      </c>
      <c r="D21" s="12">
        <v>103.09</v>
      </c>
      <c r="E21" s="12" t="s">
        <v>112</v>
      </c>
      <c r="F21" s="12">
        <v>103.09</v>
      </c>
      <c r="G21" s="12">
        <v>103.09</v>
      </c>
      <c r="H21" s="12">
        <v>103.09</v>
      </c>
      <c r="I21" s="12" t="s">
        <v>113</v>
      </c>
      <c r="J21" s="12" t="s">
        <v>114</v>
      </c>
      <c r="K21" s="12" t="s">
        <v>115</v>
      </c>
      <c r="L21">
        <v>233.72499999999999</v>
      </c>
      <c r="M21">
        <f>103.09*2.2672</f>
        <v>233.72564800000001</v>
      </c>
    </row>
    <row r="22" spans="1:13" ht="15" x14ac:dyDescent="0.25">
      <c r="A22" s="12" t="s">
        <v>69</v>
      </c>
      <c r="B22" s="12" t="s">
        <v>90</v>
      </c>
      <c r="C22" s="12" t="s">
        <v>116</v>
      </c>
      <c r="D22" s="12" t="s">
        <v>117</v>
      </c>
      <c r="E22" s="12" t="s">
        <v>112</v>
      </c>
      <c r="F22" s="12" t="s">
        <v>117</v>
      </c>
      <c r="G22" s="12" t="s">
        <v>117</v>
      </c>
      <c r="H22" s="12" t="s">
        <v>117</v>
      </c>
      <c r="I22" s="12" t="s">
        <v>118</v>
      </c>
      <c r="J22" s="12" t="s">
        <v>119</v>
      </c>
      <c r="K22" s="12" t="s">
        <v>120</v>
      </c>
      <c r="L22">
        <v>115.99</v>
      </c>
    </row>
    <row r="23" spans="1:13" ht="15" x14ac:dyDescent="0.25">
      <c r="A23" s="12" t="s">
        <v>67</v>
      </c>
      <c r="B23" s="12" t="s">
        <v>90</v>
      </c>
      <c r="C23" s="12" t="s">
        <v>121</v>
      </c>
      <c r="D23" s="12">
        <v>0.53900000000000003</v>
      </c>
      <c r="E23" s="12" t="s">
        <v>112</v>
      </c>
      <c r="F23" s="12">
        <v>0.53900000000000003</v>
      </c>
      <c r="G23" s="12">
        <v>0.53900000000000003</v>
      </c>
      <c r="H23" s="12">
        <v>0.53900000000000003</v>
      </c>
      <c r="I23" s="12">
        <v>1483.48</v>
      </c>
      <c r="J23" s="12" t="s">
        <v>124</v>
      </c>
      <c r="K23" s="12" t="s">
        <v>125</v>
      </c>
      <c r="L23">
        <v>799.59</v>
      </c>
      <c r="M23">
        <f>0.539*1483.48</f>
        <v>799.59572000000003</v>
      </c>
    </row>
    <row r="24" spans="1:13" x14ac:dyDescent="0.2">
      <c r="L24">
        <f>SUM(L21:L23)</f>
        <v>1149.3050000000001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5746-D2EE-43D9-B261-5FDBE57DC2BF}">
  <sheetPr>
    <pageSetUpPr fitToPage="1"/>
  </sheetPr>
  <dimension ref="A1:K45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6.28515625" customWidth="1"/>
    <col min="2" max="2" width="18.5703125" bestFit="1" customWidth="1"/>
    <col min="3" max="3" width="56" bestFit="1" customWidth="1"/>
    <col min="4" max="4" width="22.5703125" customWidth="1"/>
    <col min="5" max="5" width="15.7109375" customWidth="1"/>
    <col min="6" max="6" width="13.28515625" customWidth="1"/>
    <col min="8" max="8" width="15.85546875" customWidth="1"/>
    <col min="9" max="9" width="18.140625" bestFit="1" customWidth="1"/>
  </cols>
  <sheetData>
    <row r="1" spans="1:11" ht="15.75" x14ac:dyDescent="0.25">
      <c r="A1" s="25"/>
      <c r="B1" s="26"/>
      <c r="C1" s="31" t="s">
        <v>22</v>
      </c>
      <c r="D1" s="31"/>
      <c r="E1" s="31"/>
      <c r="F1" s="31"/>
      <c r="G1" s="31"/>
      <c r="H1" s="2" t="s">
        <v>21</v>
      </c>
      <c r="I1" s="3" t="s">
        <v>163</v>
      </c>
    </row>
    <row r="2" spans="1:11" ht="18" customHeight="1" thickBot="1" x14ac:dyDescent="0.3">
      <c r="A2" s="27"/>
      <c r="B2" s="28"/>
      <c r="C2" s="32" t="s">
        <v>0</v>
      </c>
      <c r="D2" s="33"/>
      <c r="E2" s="33"/>
      <c r="F2" s="33"/>
      <c r="G2" s="34"/>
      <c r="H2" s="4" t="s">
        <v>20</v>
      </c>
      <c r="I2" s="5" t="s">
        <v>161</v>
      </c>
    </row>
    <row r="3" spans="1:11" ht="31.5" customHeight="1" thickBot="1" x14ac:dyDescent="0.25">
      <c r="A3" s="27"/>
      <c r="B3" s="28"/>
      <c r="C3" s="103" t="s">
        <v>49</v>
      </c>
      <c r="D3" s="104"/>
      <c r="E3" s="104"/>
      <c r="F3" s="104"/>
      <c r="G3" s="105"/>
      <c r="H3" s="35" t="s">
        <v>19</v>
      </c>
      <c r="I3" s="16">
        <v>45980</v>
      </c>
    </row>
    <row r="4" spans="1:11" ht="18" customHeight="1" x14ac:dyDescent="0.25">
      <c r="A4" s="27"/>
      <c r="B4" s="28"/>
      <c r="C4" s="6" t="s">
        <v>18</v>
      </c>
      <c r="D4" s="19" t="s">
        <v>30</v>
      </c>
      <c r="E4" s="20"/>
      <c r="F4" s="20"/>
      <c r="G4" s="21"/>
      <c r="H4" s="36"/>
      <c r="I4" s="17"/>
    </row>
    <row r="5" spans="1:11" ht="14.25" thickBot="1" x14ac:dyDescent="0.3">
      <c r="A5" s="29"/>
      <c r="B5" s="30"/>
      <c r="C5" s="7" t="s">
        <v>17</v>
      </c>
      <c r="D5" s="22" t="s">
        <v>38</v>
      </c>
      <c r="E5" s="23"/>
      <c r="F5" s="23"/>
      <c r="G5" s="24"/>
      <c r="H5" s="37"/>
      <c r="I5" s="18"/>
    </row>
    <row r="6" spans="1:11" ht="18.75" thickBot="1" x14ac:dyDescent="0.3">
      <c r="A6" s="38" t="s">
        <v>23</v>
      </c>
      <c r="B6" s="38"/>
      <c r="C6" s="38"/>
      <c r="D6" s="39" t="s">
        <v>25</v>
      </c>
      <c r="E6" s="39"/>
      <c r="F6" s="39"/>
      <c r="G6" s="40" t="s">
        <v>24</v>
      </c>
      <c r="H6" s="40"/>
      <c r="I6" s="1" t="s">
        <v>25</v>
      </c>
    </row>
    <row r="7" spans="1:11" ht="25.5" x14ac:dyDescent="0.2">
      <c r="A7" s="41" t="s">
        <v>1</v>
      </c>
      <c r="B7" s="43" t="s">
        <v>39</v>
      </c>
      <c r="C7" s="45" t="s">
        <v>2</v>
      </c>
      <c r="D7" s="45" t="s">
        <v>3</v>
      </c>
      <c r="E7" s="45" t="s">
        <v>4</v>
      </c>
      <c r="F7" s="45"/>
      <c r="G7" s="45" t="s">
        <v>16</v>
      </c>
      <c r="H7" s="45"/>
      <c r="I7" s="8" t="s">
        <v>5</v>
      </c>
    </row>
    <row r="8" spans="1:11" ht="26.25" thickBot="1" x14ac:dyDescent="0.25">
      <c r="A8" s="42"/>
      <c r="B8" s="44"/>
      <c r="C8" s="46"/>
      <c r="D8" s="46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11" ht="18.600000000000001" customHeight="1" x14ac:dyDescent="0.3">
      <c r="A9" s="47"/>
      <c r="B9" s="48"/>
      <c r="C9" s="49" t="s">
        <v>40</v>
      </c>
      <c r="D9" s="50"/>
      <c r="E9" s="51"/>
      <c r="F9" s="52"/>
      <c r="G9" s="51"/>
      <c r="H9" s="52"/>
      <c r="I9" s="53"/>
    </row>
    <row r="10" spans="1:11" ht="20.25" x14ac:dyDescent="0.3">
      <c r="A10" s="106">
        <v>11200083</v>
      </c>
      <c r="B10" s="107" t="s">
        <v>50</v>
      </c>
      <c r="C10" s="108" t="s">
        <v>54</v>
      </c>
      <c r="D10" s="109" t="s">
        <v>41</v>
      </c>
      <c r="E10" s="109">
        <v>5000</v>
      </c>
      <c r="F10" s="109" t="s">
        <v>26</v>
      </c>
      <c r="G10" s="110"/>
      <c r="H10" s="111"/>
      <c r="I10" s="53"/>
      <c r="J10">
        <f>+E10/$D$33</f>
        <v>0.19120458891013384</v>
      </c>
      <c r="K10" s="14">
        <f>+J10*1000</f>
        <v>191.20458891013385</v>
      </c>
    </row>
    <row r="11" spans="1:11" ht="20.25" x14ac:dyDescent="0.3">
      <c r="A11" s="106">
        <v>510301</v>
      </c>
      <c r="B11" s="107" t="s">
        <v>31</v>
      </c>
      <c r="C11" s="108" t="s">
        <v>55</v>
      </c>
      <c r="D11" s="107" t="s">
        <v>52</v>
      </c>
      <c r="E11" s="109">
        <v>11800</v>
      </c>
      <c r="F11" s="109" t="s">
        <v>26</v>
      </c>
      <c r="G11" s="110"/>
      <c r="H11" s="111"/>
      <c r="I11" s="53"/>
      <c r="J11">
        <f t="shared" ref="J11:J15" si="0">+E11/$D$33</f>
        <v>0.45124282982791586</v>
      </c>
      <c r="K11" s="14">
        <f t="shared" ref="K11:K15" si="1">+J11*1000</f>
        <v>451.24282982791584</v>
      </c>
    </row>
    <row r="12" spans="1:11" ht="20.25" x14ac:dyDescent="0.3">
      <c r="A12" s="106">
        <v>11200072</v>
      </c>
      <c r="B12" s="107" t="s">
        <v>32</v>
      </c>
      <c r="C12" s="108" t="s">
        <v>56</v>
      </c>
      <c r="D12" s="107" t="s">
        <v>51</v>
      </c>
      <c r="E12" s="109">
        <v>8300</v>
      </c>
      <c r="F12" s="109" t="s">
        <v>26</v>
      </c>
      <c r="G12" s="107"/>
      <c r="H12" s="111"/>
      <c r="I12" s="53"/>
      <c r="J12">
        <f t="shared" si="0"/>
        <v>0.31739961759082219</v>
      </c>
      <c r="K12" s="14">
        <f t="shared" si="1"/>
        <v>317.39961759082217</v>
      </c>
    </row>
    <row r="13" spans="1:11" ht="20.25" x14ac:dyDescent="0.3">
      <c r="A13" s="106">
        <v>1212410</v>
      </c>
      <c r="B13" s="107" t="s">
        <v>33</v>
      </c>
      <c r="C13" s="108" t="s">
        <v>57</v>
      </c>
      <c r="D13" s="107" t="s">
        <v>53</v>
      </c>
      <c r="E13" s="109">
        <v>50</v>
      </c>
      <c r="F13" s="109" t="s">
        <v>26</v>
      </c>
      <c r="G13" s="107"/>
      <c r="H13" s="111"/>
      <c r="I13" s="53"/>
      <c r="J13">
        <f t="shared" si="0"/>
        <v>1.9120458891013384E-3</v>
      </c>
      <c r="K13" s="14">
        <f t="shared" si="1"/>
        <v>1.9120458891013383</v>
      </c>
    </row>
    <row r="14" spans="1:11" ht="20.25" x14ac:dyDescent="0.3">
      <c r="A14" s="106">
        <v>10100046</v>
      </c>
      <c r="B14" s="107" t="s">
        <v>34</v>
      </c>
      <c r="C14" s="108" t="s">
        <v>58</v>
      </c>
      <c r="D14" s="107" t="s">
        <v>42</v>
      </c>
      <c r="E14" s="109">
        <v>250</v>
      </c>
      <c r="F14" s="109" t="s">
        <v>26</v>
      </c>
      <c r="G14" s="107"/>
      <c r="H14" s="111"/>
      <c r="I14" s="53"/>
      <c r="J14">
        <f>+E14/$D$33</f>
        <v>9.5602294455066923E-3</v>
      </c>
      <c r="K14" s="14">
        <f t="shared" si="1"/>
        <v>9.5602294455066925</v>
      </c>
    </row>
    <row r="15" spans="1:11" ht="20.25" x14ac:dyDescent="0.3">
      <c r="A15" s="106"/>
      <c r="B15" s="107" t="s">
        <v>160</v>
      </c>
      <c r="C15" s="108" t="s">
        <v>64</v>
      </c>
      <c r="D15" s="107" t="s">
        <v>65</v>
      </c>
      <c r="E15" s="109">
        <v>750</v>
      </c>
      <c r="F15" s="109" t="s">
        <v>26</v>
      </c>
      <c r="G15" s="107"/>
      <c r="H15" s="111"/>
      <c r="I15" s="53"/>
      <c r="J15">
        <f t="shared" si="0"/>
        <v>2.8680688336520075E-2</v>
      </c>
      <c r="K15" s="14">
        <f t="shared" si="1"/>
        <v>28.680688336520074</v>
      </c>
    </row>
    <row r="16" spans="1:11" ht="20.25" x14ac:dyDescent="0.3">
      <c r="A16" s="112"/>
      <c r="B16" s="112"/>
      <c r="C16" s="113"/>
      <c r="D16" s="107"/>
      <c r="E16" s="107"/>
      <c r="F16" s="107"/>
      <c r="G16" s="107"/>
      <c r="H16" s="111"/>
      <c r="I16" s="53"/>
    </row>
    <row r="17" spans="1:9" ht="20.25" hidden="1" x14ac:dyDescent="0.3">
      <c r="A17" s="112"/>
      <c r="B17" s="112"/>
      <c r="C17" s="113"/>
      <c r="D17" s="107"/>
      <c r="E17" s="107"/>
      <c r="F17" s="107"/>
      <c r="G17" s="107"/>
      <c r="H17" s="111"/>
      <c r="I17" s="53"/>
    </row>
    <row r="18" spans="1:9" ht="20.25" hidden="1" x14ac:dyDescent="0.3">
      <c r="A18" s="107"/>
      <c r="B18" s="107"/>
      <c r="C18" s="108"/>
      <c r="D18" s="107"/>
      <c r="E18" s="107"/>
      <c r="F18" s="107"/>
      <c r="G18" s="107"/>
      <c r="H18" s="111"/>
      <c r="I18" s="53"/>
    </row>
    <row r="19" spans="1:9" ht="20.25" x14ac:dyDescent="0.3">
      <c r="A19" s="107"/>
      <c r="B19" s="114"/>
      <c r="C19" s="60" t="s">
        <v>62</v>
      </c>
      <c r="D19" s="107"/>
      <c r="E19" s="107"/>
      <c r="F19" s="107"/>
      <c r="G19" s="107"/>
      <c r="H19" s="111"/>
      <c r="I19" s="53"/>
    </row>
    <row r="20" spans="1:9" ht="20.25" x14ac:dyDescent="0.3">
      <c r="A20" s="107"/>
      <c r="B20" s="107"/>
      <c r="C20" s="108"/>
      <c r="D20" s="107"/>
      <c r="E20" s="107"/>
      <c r="F20" s="107"/>
      <c r="G20" s="107"/>
      <c r="H20" s="111"/>
      <c r="I20" s="53"/>
    </row>
    <row r="21" spans="1:9" ht="20.25" x14ac:dyDescent="0.3">
      <c r="A21" s="58"/>
      <c r="B21" s="59"/>
      <c r="C21" s="60" t="s">
        <v>43</v>
      </c>
      <c r="D21" s="61"/>
      <c r="E21" s="62"/>
      <c r="F21" s="52"/>
      <c r="G21" s="51"/>
      <c r="H21" s="111"/>
      <c r="I21" s="53"/>
    </row>
    <row r="22" spans="1:9" ht="20.25" x14ac:dyDescent="0.3">
      <c r="A22" s="106">
        <v>1950708</v>
      </c>
      <c r="B22" s="107" t="s">
        <v>35</v>
      </c>
      <c r="C22" s="108" t="s">
        <v>59</v>
      </c>
      <c r="D22" s="115"/>
      <c r="E22" s="109">
        <v>2</v>
      </c>
      <c r="F22" s="109" t="s">
        <v>27</v>
      </c>
      <c r="G22" s="116"/>
      <c r="H22" s="111"/>
      <c r="I22" s="53"/>
    </row>
    <row r="23" spans="1:9" ht="20.25" x14ac:dyDescent="0.3">
      <c r="A23" s="106">
        <v>702123</v>
      </c>
      <c r="B23" s="107" t="s">
        <v>37</v>
      </c>
      <c r="C23" s="108" t="s">
        <v>60</v>
      </c>
      <c r="D23" s="115"/>
      <c r="E23" s="109">
        <v>2</v>
      </c>
      <c r="F23" s="109" t="s">
        <v>27</v>
      </c>
      <c r="G23" s="116"/>
      <c r="H23" s="111"/>
      <c r="I23" s="53"/>
    </row>
    <row r="24" spans="1:9" ht="20.25" x14ac:dyDescent="0.3">
      <c r="A24" s="106">
        <v>60100010</v>
      </c>
      <c r="B24" s="107" t="s">
        <v>36</v>
      </c>
      <c r="C24" s="108" t="s">
        <v>61</v>
      </c>
      <c r="D24" s="117"/>
      <c r="E24" s="118">
        <v>1</v>
      </c>
      <c r="F24" s="119" t="s">
        <v>27</v>
      </c>
      <c r="G24" s="51"/>
      <c r="H24" s="111"/>
      <c r="I24" s="53"/>
    </row>
    <row r="25" spans="1:9" ht="20.25" x14ac:dyDescent="0.3">
      <c r="A25" s="120"/>
      <c r="B25" s="120"/>
      <c r="C25" s="121"/>
      <c r="D25" s="107"/>
      <c r="E25" s="106"/>
      <c r="F25" s="122"/>
      <c r="G25" s="63"/>
      <c r="H25" s="52"/>
      <c r="I25" s="53"/>
    </row>
    <row r="26" spans="1:9" ht="20.25" x14ac:dyDescent="0.3">
      <c r="A26" s="120"/>
      <c r="B26" s="120"/>
      <c r="C26" s="121"/>
      <c r="D26" s="107"/>
      <c r="E26" s="106"/>
      <c r="F26" s="122"/>
      <c r="G26" s="64"/>
      <c r="H26" s="52"/>
      <c r="I26" s="53"/>
    </row>
    <row r="27" spans="1:9" ht="20.25" x14ac:dyDescent="0.3">
      <c r="A27" s="123"/>
      <c r="B27" s="123"/>
      <c r="C27" s="124"/>
      <c r="D27" s="107"/>
      <c r="E27" s="122"/>
      <c r="F27" s="122"/>
      <c r="G27" s="64"/>
      <c r="H27" s="52"/>
      <c r="I27" s="53"/>
    </row>
    <row r="28" spans="1:9" ht="20.25" x14ac:dyDescent="0.3">
      <c r="A28" s="125"/>
      <c r="B28" s="107"/>
      <c r="C28" s="126"/>
      <c r="D28" s="127"/>
      <c r="E28" s="106"/>
      <c r="F28" s="107"/>
      <c r="G28" s="64"/>
      <c r="H28" s="52"/>
      <c r="I28" s="53"/>
    </row>
    <row r="29" spans="1:9" ht="20.25" x14ac:dyDescent="0.3">
      <c r="A29" s="120"/>
      <c r="B29" s="120"/>
      <c r="C29" s="121"/>
      <c r="D29" s="107"/>
      <c r="E29" s="106"/>
      <c r="F29" s="107"/>
      <c r="G29" s="64"/>
      <c r="H29" s="52"/>
      <c r="I29" s="53"/>
    </row>
    <row r="30" spans="1:9" ht="20.25" x14ac:dyDescent="0.3">
      <c r="A30" s="54"/>
      <c r="B30" s="55"/>
      <c r="C30" s="128"/>
      <c r="D30" s="56"/>
      <c r="E30" s="56"/>
      <c r="F30" s="57"/>
      <c r="G30" s="56"/>
      <c r="H30" s="56"/>
      <c r="I30" s="53"/>
    </row>
    <row r="31" spans="1:9" ht="21" thickBot="1" x14ac:dyDescent="0.35">
      <c r="A31" s="65"/>
      <c r="B31" s="66"/>
      <c r="C31" s="67"/>
      <c r="D31" s="67"/>
      <c r="E31" s="68"/>
      <c r="F31" s="69"/>
      <c r="G31" s="67"/>
      <c r="H31" s="67"/>
      <c r="I31" s="70"/>
    </row>
    <row r="32" spans="1:9" ht="21" thickBot="1" x14ac:dyDescent="0.35">
      <c r="A32" s="71"/>
      <c r="B32" s="72"/>
      <c r="C32" s="73"/>
      <c r="D32" s="74" t="s">
        <v>6</v>
      </c>
      <c r="E32" s="75" t="s">
        <v>15</v>
      </c>
      <c r="F32" s="76"/>
      <c r="G32" s="73"/>
      <c r="H32" s="73"/>
      <c r="I32" s="77"/>
    </row>
    <row r="33" spans="1:9" ht="20.25" x14ac:dyDescent="0.3">
      <c r="A33" s="78" t="s">
        <v>10</v>
      </c>
      <c r="B33" s="79"/>
      <c r="C33" s="80"/>
      <c r="D33" s="129">
        <v>26150</v>
      </c>
      <c r="E33" s="130" t="s">
        <v>26</v>
      </c>
      <c r="F33" s="81" t="s">
        <v>44</v>
      </c>
      <c r="G33" s="81"/>
      <c r="H33" s="82"/>
      <c r="I33" s="83"/>
    </row>
    <row r="34" spans="1:9" ht="20.25" x14ac:dyDescent="0.3">
      <c r="A34" s="84" t="s">
        <v>9</v>
      </c>
      <c r="B34" s="85"/>
      <c r="C34" s="86"/>
      <c r="D34" s="106">
        <v>4</v>
      </c>
      <c r="E34" s="107" t="s">
        <v>28</v>
      </c>
      <c r="F34" s="87" t="s">
        <v>45</v>
      </c>
      <c r="G34" s="87"/>
      <c r="H34" s="88"/>
      <c r="I34" s="89"/>
    </row>
    <row r="35" spans="1:9" ht="20.25" x14ac:dyDescent="0.3">
      <c r="A35" s="84" t="s">
        <v>14</v>
      </c>
      <c r="B35" s="85"/>
      <c r="C35" s="86"/>
      <c r="D35" s="106">
        <v>1</v>
      </c>
      <c r="E35" s="107" t="s">
        <v>29</v>
      </c>
      <c r="F35" s="87" t="s">
        <v>46</v>
      </c>
      <c r="G35" s="87"/>
      <c r="H35" s="88"/>
      <c r="I35" s="89"/>
    </row>
    <row r="36" spans="1:9" ht="20.25" x14ac:dyDescent="0.3">
      <c r="A36" s="84" t="s">
        <v>13</v>
      </c>
      <c r="B36" s="85"/>
      <c r="C36" s="86"/>
      <c r="D36" s="106">
        <v>26150</v>
      </c>
      <c r="E36" s="107" t="s">
        <v>26</v>
      </c>
      <c r="F36" s="90" t="s">
        <v>47</v>
      </c>
      <c r="G36" s="91"/>
      <c r="H36" s="131"/>
      <c r="I36" s="132"/>
    </row>
    <row r="37" spans="1:9" ht="21" thickBot="1" x14ac:dyDescent="0.35">
      <c r="A37" s="92" t="s">
        <v>12</v>
      </c>
      <c r="B37" s="93"/>
      <c r="C37" s="94"/>
      <c r="D37" s="133">
        <v>0</v>
      </c>
      <c r="E37" s="134" t="s">
        <v>26</v>
      </c>
      <c r="F37" s="95"/>
      <c r="G37" s="95"/>
      <c r="H37" s="88"/>
      <c r="I37" s="89"/>
    </row>
    <row r="38" spans="1:9" ht="21" thickBot="1" x14ac:dyDescent="0.35">
      <c r="A38" s="141" t="s">
        <v>11</v>
      </c>
      <c r="B38" s="142"/>
      <c r="C38" s="142"/>
      <c r="D38" s="142"/>
      <c r="E38" s="142"/>
      <c r="F38" s="142"/>
      <c r="G38" s="142"/>
      <c r="H38" s="142"/>
      <c r="I38" s="143"/>
    </row>
    <row r="39" spans="1:9" ht="48.75" customHeight="1" x14ac:dyDescent="0.3">
      <c r="A39" s="96" t="s">
        <v>162</v>
      </c>
      <c r="B39" s="97"/>
      <c r="C39" s="97"/>
      <c r="D39" s="97"/>
      <c r="E39" s="97"/>
      <c r="F39" s="97"/>
      <c r="G39" s="97"/>
      <c r="H39" s="97"/>
      <c r="I39" s="98"/>
    </row>
    <row r="40" spans="1:9" ht="20.25" x14ac:dyDescent="0.3">
      <c r="A40" s="96" t="s">
        <v>63</v>
      </c>
      <c r="B40" s="97"/>
      <c r="C40" s="97"/>
      <c r="D40" s="97"/>
      <c r="E40" s="97"/>
      <c r="F40" s="97"/>
      <c r="G40" s="97"/>
      <c r="H40" s="97"/>
      <c r="I40" s="98"/>
    </row>
    <row r="41" spans="1:9" ht="20.25" x14ac:dyDescent="0.3">
      <c r="A41" s="135"/>
      <c r="B41" s="136"/>
      <c r="C41" s="136"/>
      <c r="D41" s="136"/>
      <c r="E41" s="136"/>
      <c r="F41" s="136"/>
      <c r="G41" s="136"/>
      <c r="H41" s="136"/>
      <c r="I41" s="137"/>
    </row>
    <row r="42" spans="1:9" ht="20.25" x14ac:dyDescent="0.3">
      <c r="A42" s="138"/>
      <c r="B42" s="139"/>
      <c r="C42" s="139"/>
      <c r="D42" s="139"/>
      <c r="E42" s="139"/>
      <c r="F42" s="139"/>
      <c r="G42" s="139"/>
      <c r="H42" s="139"/>
      <c r="I42" s="140"/>
    </row>
    <row r="43" spans="1:9" ht="20.25" x14ac:dyDescent="0.3">
      <c r="A43" s="101" t="s">
        <v>48</v>
      </c>
      <c r="B43" s="101"/>
      <c r="C43" s="101"/>
      <c r="D43" s="101"/>
      <c r="E43" s="101"/>
      <c r="F43" s="101"/>
      <c r="G43" s="101"/>
      <c r="H43" s="101"/>
      <c r="I43" s="101"/>
    </row>
    <row r="44" spans="1:9" ht="20.25" x14ac:dyDescent="0.3">
      <c r="A44" s="102" t="s">
        <v>66</v>
      </c>
      <c r="B44" s="102"/>
      <c r="C44" s="102"/>
      <c r="D44" s="102"/>
      <c r="E44" s="102"/>
      <c r="F44" s="102"/>
      <c r="G44" s="102"/>
      <c r="H44" s="102"/>
      <c r="I44" s="102"/>
    </row>
    <row r="45" spans="1:9" ht="20.25" x14ac:dyDescent="0.3">
      <c r="A45" s="99"/>
      <c r="B45" s="100"/>
      <c r="C45" s="100"/>
      <c r="D45" s="100"/>
      <c r="E45" s="100"/>
      <c r="F45" s="100"/>
      <c r="G45" s="100"/>
      <c r="H45" s="100"/>
      <c r="I45" s="100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3:C33"/>
    <mergeCell ref="F33:G33"/>
    <mergeCell ref="H33:I33"/>
    <mergeCell ref="A34:C34"/>
    <mergeCell ref="F34:G34"/>
    <mergeCell ref="H34:I34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I38"/>
    <mergeCell ref="A39:I39"/>
    <mergeCell ref="A43:I43"/>
    <mergeCell ref="A44:I44"/>
    <mergeCell ref="A45:I45"/>
    <mergeCell ref="A41:I41"/>
    <mergeCell ref="A42:I42"/>
  </mergeCells>
  <pageMargins left="0.7" right="0.7" top="0.75" bottom="0.75" header="0.3" footer="0.3"/>
  <pageSetup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6830-CFA2-4965-93EC-8A505F12285B}">
  <dimension ref="A2:N29"/>
  <sheetViews>
    <sheetView topLeftCell="A6" workbookViewId="0">
      <selection activeCell="N26" sqref="N26"/>
    </sheetView>
  </sheetViews>
  <sheetFormatPr baseColWidth="10" defaultRowHeight="12.75" x14ac:dyDescent="0.2"/>
  <cols>
    <col min="3" max="3" width="21.7109375" customWidth="1"/>
  </cols>
  <sheetData>
    <row r="2" spans="1:2" ht="15" x14ac:dyDescent="0.25">
      <c r="A2" s="12" t="s">
        <v>71</v>
      </c>
      <c r="B2" s="12"/>
    </row>
    <row r="3" spans="1:2" ht="15" x14ac:dyDescent="0.25">
      <c r="A3" s="12" t="s">
        <v>72</v>
      </c>
      <c r="B3" s="12" t="s">
        <v>73</v>
      </c>
    </row>
    <row r="4" spans="1:2" ht="15" x14ac:dyDescent="0.25">
      <c r="A4" s="12" t="s">
        <v>74</v>
      </c>
      <c r="B4" s="12" t="s">
        <v>126</v>
      </c>
    </row>
    <row r="5" spans="1:2" ht="15" x14ac:dyDescent="0.25">
      <c r="A5" s="12" t="s">
        <v>76</v>
      </c>
      <c r="B5" s="12" t="s">
        <v>77</v>
      </c>
    </row>
    <row r="6" spans="1:2" ht="15" x14ac:dyDescent="0.25">
      <c r="A6" s="12" t="s">
        <v>78</v>
      </c>
      <c r="B6" s="12" t="s">
        <v>127</v>
      </c>
    </row>
    <row r="7" spans="1:2" ht="15" x14ac:dyDescent="0.25">
      <c r="A7" s="12" t="s">
        <v>80</v>
      </c>
      <c r="B7" s="12" t="s">
        <v>81</v>
      </c>
    </row>
    <row r="8" spans="1:2" ht="15" x14ac:dyDescent="0.25">
      <c r="A8" s="12" t="s">
        <v>82</v>
      </c>
      <c r="B8" s="12" t="s">
        <v>83</v>
      </c>
    </row>
    <row r="9" spans="1:2" ht="15" x14ac:dyDescent="0.25">
      <c r="A9" s="12" t="s">
        <v>84</v>
      </c>
      <c r="B9" s="12" t="s">
        <v>128</v>
      </c>
    </row>
    <row r="10" spans="1:2" ht="15" x14ac:dyDescent="0.25">
      <c r="A10" s="12" t="s">
        <v>86</v>
      </c>
      <c r="B10" s="12" t="s">
        <v>87</v>
      </c>
    </row>
    <row r="11" spans="1:2" ht="15" x14ac:dyDescent="0.25">
      <c r="A11" s="12" t="s">
        <v>88</v>
      </c>
      <c r="B11" s="12" t="s">
        <v>70</v>
      </c>
    </row>
    <row r="12" spans="1:2" ht="15" x14ac:dyDescent="0.25">
      <c r="A12" s="12" t="s">
        <v>89</v>
      </c>
      <c r="B12" s="12" t="s">
        <v>90</v>
      </c>
    </row>
    <row r="13" spans="1:2" ht="15" x14ac:dyDescent="0.25">
      <c r="A13" s="12" t="s">
        <v>91</v>
      </c>
      <c r="B13" s="12" t="s">
        <v>92</v>
      </c>
    </row>
    <row r="14" spans="1:2" ht="15" x14ac:dyDescent="0.25">
      <c r="A14" s="12" t="s">
        <v>93</v>
      </c>
      <c r="B14" s="12" t="s">
        <v>94</v>
      </c>
    </row>
    <row r="17" spans="1:14" ht="15" x14ac:dyDescent="0.25">
      <c r="A17" s="12" t="s">
        <v>95</v>
      </c>
      <c r="B17" s="12" t="s">
        <v>96</v>
      </c>
      <c r="C17" s="12"/>
      <c r="D17" s="12"/>
      <c r="E17" s="12"/>
      <c r="F17" s="12"/>
      <c r="G17" s="12"/>
      <c r="H17" s="12"/>
      <c r="I17" s="12"/>
      <c r="J17" s="12"/>
      <c r="K17" s="12"/>
    </row>
    <row r="18" spans="1:14" ht="15" x14ac:dyDescent="0.25">
      <c r="A18" s="12" t="s">
        <v>129</v>
      </c>
      <c r="B18" s="12" t="s">
        <v>130</v>
      </c>
      <c r="C18" s="12"/>
      <c r="D18" s="12"/>
      <c r="E18" s="12"/>
      <c r="F18" s="12"/>
      <c r="G18" s="12"/>
      <c r="H18" s="12"/>
      <c r="I18" s="12"/>
      <c r="J18" s="12"/>
      <c r="K18" s="12"/>
    </row>
    <row r="20" spans="1:14" ht="15" x14ac:dyDescent="0.25">
      <c r="A20" s="12" t="s">
        <v>99</v>
      </c>
      <c r="B20" s="12" t="s">
        <v>100</v>
      </c>
      <c r="C20" s="12" t="s">
        <v>101</v>
      </c>
      <c r="D20" s="12" t="s">
        <v>102</v>
      </c>
      <c r="E20" s="12" t="s">
        <v>103</v>
      </c>
      <c r="F20" s="12" t="s">
        <v>104</v>
      </c>
      <c r="G20" s="12" t="s">
        <v>105</v>
      </c>
      <c r="H20" s="12" t="s">
        <v>106</v>
      </c>
      <c r="I20" s="12" t="s">
        <v>107</v>
      </c>
      <c r="J20" s="12" t="s">
        <v>108</v>
      </c>
      <c r="K20" s="12" t="s">
        <v>109</v>
      </c>
    </row>
    <row r="21" spans="1:14" ht="15" x14ac:dyDescent="0.25">
      <c r="A21" s="12" t="s">
        <v>50</v>
      </c>
      <c r="B21" s="12" t="s">
        <v>90</v>
      </c>
      <c r="C21" s="12" t="s">
        <v>131</v>
      </c>
      <c r="D21" s="12">
        <v>191.2</v>
      </c>
      <c r="E21" s="12" t="s">
        <v>112</v>
      </c>
      <c r="F21" s="12">
        <v>191.2</v>
      </c>
      <c r="G21" s="12">
        <v>191.2</v>
      </c>
      <c r="H21" s="12">
        <v>191.2</v>
      </c>
      <c r="I21" s="12" t="s">
        <v>133</v>
      </c>
      <c r="J21" s="12" t="s">
        <v>114</v>
      </c>
      <c r="K21" s="12" t="s">
        <v>134</v>
      </c>
      <c r="L21">
        <v>837.26480000000004</v>
      </c>
      <c r="N21">
        <f>191.2*4.379</f>
        <v>837.26479999999981</v>
      </c>
    </row>
    <row r="22" spans="1:14" ht="15" x14ac:dyDescent="0.25">
      <c r="A22" s="12" t="s">
        <v>31</v>
      </c>
      <c r="B22" s="12" t="s">
        <v>90</v>
      </c>
      <c r="C22" s="12" t="s">
        <v>135</v>
      </c>
      <c r="D22" s="12">
        <v>451.24</v>
      </c>
      <c r="E22" s="12" t="s">
        <v>112</v>
      </c>
      <c r="F22" s="12">
        <v>451.24</v>
      </c>
      <c r="G22" s="12">
        <v>451.24</v>
      </c>
      <c r="H22" s="12">
        <v>451.24</v>
      </c>
      <c r="I22" s="12" t="s">
        <v>137</v>
      </c>
      <c r="J22" s="12" t="s">
        <v>114</v>
      </c>
      <c r="K22" s="12" t="s">
        <v>138</v>
      </c>
      <c r="L22">
        <v>194.17699999999999</v>
      </c>
      <c r="N22">
        <f>451.24*0.43032</f>
        <v>194.1775968</v>
      </c>
    </row>
    <row r="23" spans="1:14" ht="15" x14ac:dyDescent="0.25">
      <c r="A23" s="12" t="s">
        <v>32</v>
      </c>
      <c r="B23" s="12" t="s">
        <v>90</v>
      </c>
      <c r="C23" s="12" t="s">
        <v>139</v>
      </c>
      <c r="D23" s="12">
        <v>317.39999999999998</v>
      </c>
      <c r="E23" s="12" t="s">
        <v>112</v>
      </c>
      <c r="F23" s="12">
        <v>317.39999999999998</v>
      </c>
      <c r="G23" s="12">
        <v>317.39999999999998</v>
      </c>
      <c r="H23" s="12">
        <v>317.39999999999998</v>
      </c>
      <c r="I23" s="12" t="s">
        <v>141</v>
      </c>
      <c r="J23" s="12" t="s">
        <v>114</v>
      </c>
      <c r="K23" s="12" t="s">
        <v>142</v>
      </c>
      <c r="L23">
        <v>163.61000000000001</v>
      </c>
      <c r="N23">
        <f>317.4*0.51548</f>
        <v>163.61335199999999</v>
      </c>
    </row>
    <row r="24" spans="1:14" ht="15" x14ac:dyDescent="0.25">
      <c r="A24" s="12" t="s">
        <v>33</v>
      </c>
      <c r="B24" s="12" t="s">
        <v>90</v>
      </c>
      <c r="C24" s="12" t="s">
        <v>143</v>
      </c>
      <c r="D24" s="12">
        <v>1.91</v>
      </c>
      <c r="E24" s="12" t="s">
        <v>112</v>
      </c>
      <c r="F24" s="12">
        <v>1.91</v>
      </c>
      <c r="G24" s="12">
        <v>1.91</v>
      </c>
      <c r="H24" s="12">
        <v>1.91</v>
      </c>
      <c r="I24" s="12" t="s">
        <v>145</v>
      </c>
      <c r="J24" s="12" t="s">
        <v>114</v>
      </c>
      <c r="K24" s="12" t="s">
        <v>146</v>
      </c>
      <c r="L24">
        <v>13.98</v>
      </c>
      <c r="N24">
        <f>1.91*7.32166</f>
        <v>13.984370599999998</v>
      </c>
    </row>
    <row r="25" spans="1:14" ht="15" x14ac:dyDescent="0.25">
      <c r="A25" s="12" t="s">
        <v>34</v>
      </c>
      <c r="B25" s="12" t="s">
        <v>90</v>
      </c>
      <c r="C25" s="12" t="s">
        <v>147</v>
      </c>
      <c r="D25" s="12">
        <v>9.56</v>
      </c>
      <c r="E25" s="12" t="s">
        <v>112</v>
      </c>
      <c r="F25" s="12">
        <v>9.56</v>
      </c>
      <c r="G25" s="12">
        <v>9.56</v>
      </c>
      <c r="H25" s="12">
        <v>9.56</v>
      </c>
      <c r="I25" s="12" t="s">
        <v>149</v>
      </c>
      <c r="J25" s="12" t="s">
        <v>114</v>
      </c>
      <c r="K25" s="12" t="s">
        <v>150</v>
      </c>
      <c r="L25">
        <v>9.61</v>
      </c>
      <c r="N25">
        <f>9.56*1.00588</f>
        <v>9.6162128000000013</v>
      </c>
    </row>
    <row r="26" spans="1:14" ht="15" x14ac:dyDescent="0.25">
      <c r="A26" s="12" t="s">
        <v>35</v>
      </c>
      <c r="B26" s="12" t="s">
        <v>90</v>
      </c>
      <c r="C26" s="12" t="s">
        <v>151</v>
      </c>
      <c r="D26" s="12" t="s">
        <v>152</v>
      </c>
      <c r="E26" s="12" t="s">
        <v>112</v>
      </c>
      <c r="F26" s="12" t="s">
        <v>152</v>
      </c>
      <c r="G26" s="12" t="s">
        <v>152</v>
      </c>
      <c r="H26" s="12" t="s">
        <v>152</v>
      </c>
      <c r="I26" s="12" t="s">
        <v>153</v>
      </c>
      <c r="J26" s="12" t="s">
        <v>114</v>
      </c>
      <c r="K26" s="12" t="s">
        <v>154</v>
      </c>
      <c r="L26">
        <v>3.4</v>
      </c>
    </row>
    <row r="27" spans="1:14" ht="15" x14ac:dyDescent="0.25">
      <c r="A27" s="12" t="s">
        <v>37</v>
      </c>
      <c r="B27" s="12" t="s">
        <v>90</v>
      </c>
      <c r="C27" s="12" t="s">
        <v>155</v>
      </c>
      <c r="D27" s="12" t="s">
        <v>156</v>
      </c>
      <c r="E27" s="12" t="s">
        <v>112</v>
      </c>
      <c r="F27" s="12" t="s">
        <v>156</v>
      </c>
      <c r="G27" s="12" t="s">
        <v>156</v>
      </c>
      <c r="H27" s="12" t="s">
        <v>156</v>
      </c>
      <c r="I27" s="12" t="s">
        <v>157</v>
      </c>
      <c r="J27" s="12" t="s">
        <v>108</v>
      </c>
      <c r="K27" s="12" t="s">
        <v>158</v>
      </c>
      <c r="L27">
        <v>0.17</v>
      </c>
    </row>
    <row r="28" spans="1:14" ht="15" x14ac:dyDescent="0.25">
      <c r="A28" s="12" t="s">
        <v>159</v>
      </c>
      <c r="B28">
        <v>1</v>
      </c>
      <c r="C28" t="s">
        <v>64</v>
      </c>
      <c r="D28">
        <v>28.68</v>
      </c>
      <c r="E28" s="13">
        <v>1</v>
      </c>
      <c r="F28" s="12">
        <v>28.68</v>
      </c>
      <c r="G28" s="15">
        <v>28.68</v>
      </c>
      <c r="H28" s="12">
        <v>28.68</v>
      </c>
      <c r="I28">
        <v>9.11</v>
      </c>
      <c r="J28" s="12" t="s">
        <v>114</v>
      </c>
      <c r="L28" s="12">
        <v>261.27</v>
      </c>
      <c r="N28">
        <f>28.68*9.11</f>
        <v>261.27479999999997</v>
      </c>
    </row>
    <row r="29" spans="1:14" x14ac:dyDescent="0.2">
      <c r="L29">
        <f>SUM(L21:L28)</f>
        <v>1483.4818000000002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C7980A-86E7-4639-BC81-1235C1B6A8A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3CB5577-9A2C-46A2-A9DA-D3446019E23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FF62E07-B67D-4ED2-AF91-0944EF61D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8BF4F5B-1D59-4641-A7B2-FD6F91F340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Costo Batido actual </vt:lpstr>
      <vt:lpstr>costo Premezcla Actual </vt:lpstr>
      <vt:lpstr>Costo Batido Nuevo </vt:lpstr>
      <vt:lpstr>Premezcla Nueva</vt:lpstr>
      <vt:lpstr>Costo premezcla nueva</vt:lpstr>
      <vt:lpstr>'Premezcla Nueva'!Área_de_impresión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2025-11-19T19:16:45Z</cp:lastPrinted>
  <dcterms:created xsi:type="dcterms:W3CDTF">2009-03-11T22:07:15Z</dcterms:created>
  <dcterms:modified xsi:type="dcterms:W3CDTF">2025-11-19T19:18:46Z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32400.0000000000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
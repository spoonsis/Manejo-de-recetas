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5" documentId="8_{3DB1AA32-FDD4-4D3D-B7D5-946DBC5C244C}" xr6:coauthVersionLast="47" xr6:coauthVersionMax="47" xr10:uidLastSave="{C55CE143-871E-47B7-9AFF-E4785BB38F37}"/>
  <bookViews>
    <workbookView xWindow="-120" yWindow="-120" windowWidth="20730" windowHeight="11040" xr2:uid="{00000000-000D-0000-FFFF-FFFF00000000}"/>
  </bookViews>
  <sheets>
    <sheet name="Hoja1" sheetId="13" r:id="rId1"/>
  </sheets>
  <definedNames>
    <definedName name="_xlnm.Print_Area" localSheetId="0">Hoja1!$A$1:$I$47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3" l="1"/>
</calcChain>
</file>

<file path=xl/sharedStrings.xml><?xml version="1.0" encoding="utf-8"?>
<sst xmlns="http://schemas.openxmlformats.org/spreadsheetml/2006/main" count="111" uniqueCount="90">
  <si>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</si>
  <si>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</si>
  <si>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</si>
  <si>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</si>
  <si>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</si>
  <si>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</si>
  <si>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</si>
  <si>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</si>
  <si>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</si>
  <si>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</si>
  <si>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</si>
  <si>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0101035</t>
  </si>
  <si>
    <t>0101115</t>
  </si>
  <si>
    <t>0101150</t>
  </si>
  <si>
    <t>cm</t>
  </si>
  <si>
    <t>g</t>
  </si>
  <si>
    <t>0101073</t>
  </si>
  <si>
    <t>1212412</t>
  </si>
  <si>
    <t>PRESERVANTE 1017</t>
  </si>
  <si>
    <t>ASEAL</t>
  </si>
  <si>
    <t>CEBOLLA PICADA</t>
  </si>
  <si>
    <t>PRESTO</t>
  </si>
  <si>
    <t>CHILE DULCE PICADO PAQ.KILO</t>
  </si>
  <si>
    <t>APIO PICADO</t>
  </si>
  <si>
    <t>MERMA</t>
  </si>
  <si>
    <t>CAPULLO</t>
  </si>
  <si>
    <t>LIZANO</t>
  </si>
  <si>
    <t>AJO MOLIDO</t>
  </si>
  <si>
    <t>DON PEDRO</t>
  </si>
  <si>
    <t>ml</t>
  </si>
  <si>
    <t>4  Enfriar y pasar frijoly por aparte el caldo</t>
  </si>
  <si>
    <t>2 Una vez cocidos, colarlos y separar el caldo de los frijoles</t>
  </si>
  <si>
    <t>1 Cocer los frijoles con el agua y preservante</t>
  </si>
  <si>
    <t>SERVICIOS DE PASTELERIA S.A.</t>
  </si>
  <si>
    <t>CÓDIGO: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</si>
  <si>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</si>
  <si>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</si>
  <si>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</si>
  <si>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</si>
  <si>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</si>
  <si>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</si>
  <si>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 xml:space="preserve">AREA QUE EMPACA: </t>
  </si>
  <si>
    <t>Medida alternativa</t>
  </si>
  <si>
    <t>Unidad</t>
  </si>
  <si>
    <t>min</t>
  </si>
  <si>
    <t>CANTIDAD DE PORCIONES OBTENIDAS</t>
  </si>
  <si>
    <t>ud</t>
  </si>
  <si>
    <t>PESO DE CADA PORCIÓN</t>
  </si>
  <si>
    <t>PROCEDIMIENTO DE PREPARACION DE LA  RECETA</t>
  </si>
  <si>
    <t>CONTROL DE CAMBIOS</t>
  </si>
  <si>
    <t>Cocina</t>
  </si>
  <si>
    <t>Empaque</t>
  </si>
  <si>
    <t>10100174</t>
  </si>
  <si>
    <t>10100050</t>
  </si>
  <si>
    <t>90100142</t>
  </si>
  <si>
    <t>FAS</t>
  </si>
  <si>
    <t>0910341</t>
  </si>
  <si>
    <t>10415</t>
  </si>
  <si>
    <t>AGUA POTABLE (PLANTA)</t>
  </si>
  <si>
    <t>512000003</t>
  </si>
  <si>
    <t xml:space="preserve">FRIJOLES NEGROS </t>
  </si>
  <si>
    <t xml:space="preserve">ACEITE CAPULLO RBD </t>
  </si>
  <si>
    <t>SAL EMPACADA PLANTA</t>
  </si>
  <si>
    <t>CULANTRO DESINFECTADO (250G)</t>
  </si>
  <si>
    <t xml:space="preserve">SALSA INGLESA LIZANO </t>
  </si>
  <si>
    <t>PLÁSTICO AUTOADERIBLE 1/ 12*2000</t>
  </si>
  <si>
    <t>BELCA</t>
  </si>
  <si>
    <t>MP10195</t>
  </si>
  <si>
    <t>MP10002</t>
  </si>
  <si>
    <t>SE00104</t>
  </si>
  <si>
    <t>MP10354</t>
  </si>
  <si>
    <t>MP10025</t>
  </si>
  <si>
    <t>EM10252</t>
  </si>
  <si>
    <t>MP10173</t>
  </si>
  <si>
    <t>MP10020</t>
  </si>
  <si>
    <t>MP10119</t>
  </si>
  <si>
    <t>MP10069</t>
  </si>
  <si>
    <t>MP10021</t>
  </si>
  <si>
    <t>Frijoles Arreglados SE00321</t>
  </si>
  <si>
    <t>ESP-RE-COCS-003</t>
  </si>
  <si>
    <t>01</t>
  </si>
  <si>
    <t>Javier Tong, Chef</t>
  </si>
  <si>
    <t># Código Netsuite</t>
  </si>
  <si>
    <t>Ensamble</t>
  </si>
  <si>
    <t>Decoración</t>
  </si>
  <si>
    <t>Tiempo de Horneo:</t>
  </si>
  <si>
    <t>Horno:</t>
  </si>
  <si>
    <t>Temperatura de Horneo:</t>
  </si>
  <si>
    <t>Otros</t>
  </si>
  <si>
    <t>3  En una sarten freir, el ajo,  el chile dulce con la cebolla y el apio. Usando un poco de aceite. Luego agregarcelo a los frijoles y adicionar
la salsa Lizano y culantro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</si>
</sst>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37">
    <xf numFmtId="0" fontId="0" fillId="0" borderId="0" xfId="0"/>
    <xf numFmtId="0" fontId="3" fillId="2" borderId="7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right"/>
    </xf>
    <xf numFmtId="0" fontId="6" fillId="2" borderId="2" xfId="1" applyFont="1" applyFill="1" applyBorder="1" applyAlignment="1">
      <alignment horizontal="right"/>
    </xf>
    <xf numFmtId="49" fontId="4" fillId="2" borderId="3" xfId="1" applyNumberFormat="1" applyFont="1" applyFill="1" applyBorder="1" applyAlignment="1">
      <alignment horizontal="center"/>
    </xf>
    <xf numFmtId="0" fontId="4" fillId="2" borderId="16" xfId="1" applyFont="1" applyFill="1" applyBorder="1" applyAlignment="1">
      <alignment horizontal="right"/>
    </xf>
    <xf numFmtId="0" fontId="4" fillId="2" borderId="2" xfId="1" applyFont="1" applyFill="1" applyBorder="1" applyAlignment="1">
      <alignment horizontal="right"/>
    </xf>
    <xf numFmtId="0" fontId="6" fillId="4" borderId="7" xfId="3" applyFont="1" applyFill="1" applyBorder="1" applyAlignment="1">
      <alignment horizontal="center" vertical="center" wrapText="1"/>
    </xf>
    <xf numFmtId="1" fontId="6" fillId="4" borderId="13" xfId="3" applyNumberFormat="1" applyFont="1" applyFill="1" applyBorder="1" applyAlignment="1">
      <alignment horizontal="center"/>
    </xf>
    <xf numFmtId="1" fontId="6" fillId="4" borderId="13" xfId="3" applyNumberFormat="1" applyFont="1" applyFill="1" applyBorder="1" applyAlignment="1">
      <alignment horizontal="center" wrapText="1"/>
    </xf>
    <xf numFmtId="0" fontId="6" fillId="4" borderId="14" xfId="3" applyFont="1" applyFill="1" applyBorder="1" applyAlignment="1">
      <alignment horizontal="center"/>
    </xf>
    <xf numFmtId="0" fontId="4" fillId="2" borderId="0" xfId="3" applyFont="1" applyFill="1"/>
    <xf numFmtId="0" fontId="3" fillId="0" borderId="0" xfId="3"/>
    <xf numFmtId="0" fontId="4" fillId="2" borderId="0" xfId="3" applyFont="1" applyFill="1" applyAlignment="1">
      <alignment horizontal="left" indent="1"/>
    </xf>
    <xf numFmtId="9" fontId="4" fillId="2" borderId="0" xfId="6" applyFont="1" applyFill="1"/>
    <xf numFmtId="0" fontId="2" fillId="2" borderId="0" xfId="2" applyFont="1" applyFill="1" applyAlignment="1">
      <alignment horizontal="right"/>
    </xf>
    <xf numFmtId="0" fontId="2" fillId="2" borderId="0" xfId="2" applyFont="1" applyFill="1"/>
    <xf numFmtId="0" fontId="6" fillId="4" borderId="10" xfId="3" applyFont="1" applyFill="1" applyBorder="1" applyAlignment="1">
      <alignment horizontal="center" vertical="center"/>
    </xf>
    <xf numFmtId="0" fontId="6" fillId="4" borderId="12" xfId="3" applyFont="1" applyFill="1" applyBorder="1" applyAlignment="1">
      <alignment horizontal="center" vertical="center"/>
    </xf>
    <xf numFmtId="0" fontId="6" fillId="4" borderId="10" xfId="3" applyFont="1" applyFill="1" applyBorder="1" applyAlignment="1">
      <alignment horizontal="center" vertical="center" wrapText="1"/>
    </xf>
    <xf numFmtId="0" fontId="6" fillId="4" borderId="12" xfId="3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horizontal="center" vertical="center"/>
    </xf>
    <xf numFmtId="0" fontId="6" fillId="4" borderId="13" xfId="3" applyFont="1" applyFill="1" applyBorder="1" applyAlignment="1">
      <alignment horizontal="center" vertical="center"/>
    </xf>
    <xf numFmtId="14" fontId="4" fillId="2" borderId="37" xfId="1" applyNumberFormat="1" applyFont="1" applyFill="1" applyBorder="1" applyAlignment="1">
      <alignment horizontal="center" vertical="center" wrapText="1"/>
    </xf>
    <xf numFmtId="14" fontId="4" fillId="2" borderId="41" xfId="1" applyNumberFormat="1" applyFont="1" applyFill="1" applyBorder="1" applyAlignment="1">
      <alignment horizontal="center" vertical="center" wrapText="1"/>
    </xf>
    <xf numFmtId="14" fontId="4" fillId="2" borderId="17" xfId="1" applyNumberFormat="1" applyFont="1" applyFill="1" applyBorder="1" applyAlignment="1">
      <alignment horizontal="center" vertical="center" wrapText="1"/>
    </xf>
    <xf numFmtId="0" fontId="4" fillId="2" borderId="38" xfId="1" applyFont="1" applyFill="1" applyBorder="1" applyAlignment="1">
      <alignment horizontal="left"/>
    </xf>
    <xf numFmtId="0" fontId="4" fillId="2" borderId="39" xfId="1" applyFont="1" applyFill="1" applyBorder="1" applyAlignment="1">
      <alignment horizontal="left"/>
    </xf>
    <xf numFmtId="0" fontId="4" fillId="2" borderId="40" xfId="1" applyFont="1" applyFill="1" applyBorder="1" applyAlignment="1">
      <alignment horizontal="left"/>
    </xf>
    <xf numFmtId="0" fontId="4" fillId="2" borderId="28" xfId="1" applyFont="1" applyFill="1" applyBorder="1" applyAlignment="1">
      <alignment horizontal="left"/>
    </xf>
    <xf numFmtId="0" fontId="4" fillId="2" borderId="5" xfId="1" applyFont="1" applyFill="1" applyBorder="1" applyAlignment="1">
      <alignment horizontal="left"/>
    </xf>
    <xf numFmtId="0" fontId="4" fillId="2" borderId="6" xfId="1" applyFont="1" applyFill="1" applyBorder="1" applyAlignment="1">
      <alignment horizontal="left"/>
    </xf>
    <xf numFmtId="0" fontId="4" fillId="2" borderId="31" xfId="1" applyFont="1" applyFill="1" applyBorder="1" applyAlignment="1">
      <alignment horizontal="center"/>
    </xf>
    <xf numFmtId="0" fontId="4" fillId="2" borderId="34" xfId="1" applyFont="1" applyFill="1" applyBorder="1" applyAlignment="1">
      <alignment horizontal="center"/>
    </xf>
    <xf numFmtId="0" fontId="4" fillId="2" borderId="18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23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5" fillId="2" borderId="35" xfId="1" applyFont="1" applyFill="1" applyBorder="1" applyAlignment="1">
      <alignment horizontal="center"/>
    </xf>
    <xf numFmtId="0" fontId="6" fillId="2" borderId="36" xfId="1" applyFont="1" applyFill="1" applyBorder="1" applyAlignment="1">
      <alignment horizontal="right" vertical="top" wrapText="1"/>
    </xf>
    <xf numFmtId="0" fontId="6" fillId="2" borderId="32" xfId="1" applyFont="1" applyFill="1" applyBorder="1" applyAlignment="1">
      <alignment horizontal="right" vertical="top" wrapText="1"/>
    </xf>
    <xf numFmtId="0" fontId="6" fillId="2" borderId="33" xfId="1" applyFont="1" applyFill="1" applyBorder="1" applyAlignment="1">
      <alignment horizontal="right" vertical="top" wrapText="1"/>
    </xf>
    <xf numFmtId="0" fontId="7" fillId="3" borderId="28" xfId="2" applyFont="1" applyFill="1" applyBorder="1" applyAlignment="1">
      <alignment horizontal="center" vertical="center" wrapText="1"/>
    </xf>
    <xf numFmtId="0" fontId="7" fillId="3" borderId="5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8" fillId="2" borderId="15" xfId="2" applyFont="1" applyFill="1" applyBorder="1" applyAlignment="1">
      <alignment horizontal="center"/>
    </xf>
    <xf numFmtId="14" fontId="8" fillId="2" borderId="0" xfId="2" applyNumberFormat="1" applyFont="1" applyFill="1" applyAlignment="1">
      <alignment horizontal="center" vertical="center" wrapText="1"/>
    </xf>
    <xf numFmtId="0" fontId="9" fillId="0" borderId="11" xfId="3" applyFont="1" applyBorder="1" applyAlignment="1">
      <alignment horizontal="center" vertical="center"/>
    </xf>
    <xf numFmtId="0" fontId="9" fillId="0" borderId="6" xfId="3" applyFont="1" applyBorder="1" applyAlignment="1">
      <alignment horizontal="center" vertical="center"/>
    </xf>
    <xf numFmtId="0" fontId="10" fillId="0" borderId="2" xfId="3" applyFont="1" applyBorder="1" applyAlignment="1">
      <alignment vertical="center"/>
    </xf>
    <xf numFmtId="0" fontId="9" fillId="0" borderId="2" xfId="3" applyFont="1" applyBorder="1" applyAlignment="1">
      <alignment horizontal="center" vertical="center"/>
    </xf>
    <xf numFmtId="1" fontId="9" fillId="0" borderId="2" xfId="3" applyNumberFormat="1" applyFont="1" applyBorder="1" applyAlignment="1">
      <alignment horizontal="center"/>
    </xf>
    <xf numFmtId="1" fontId="9" fillId="0" borderId="2" xfId="3" applyNumberFormat="1" applyFont="1" applyBorder="1" applyAlignment="1">
      <alignment horizontal="center" wrapText="1"/>
    </xf>
    <xf numFmtId="0" fontId="11" fillId="0" borderId="3" xfId="3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16" fontId="11" fillId="0" borderId="2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 wrapText="1"/>
    </xf>
    <xf numFmtId="0" fontId="11" fillId="0" borderId="2" xfId="0" quotePrefix="1" applyFont="1" applyBorder="1" applyAlignment="1">
      <alignment horizontal="center"/>
    </xf>
    <xf numFmtId="0" fontId="11" fillId="0" borderId="2" xfId="0" quotePrefix="1" applyFont="1" applyBorder="1"/>
    <xf numFmtId="0" fontId="11" fillId="0" borderId="0" xfId="0" applyFont="1"/>
    <xf numFmtId="0" fontId="11" fillId="5" borderId="2" xfId="0" applyFont="1" applyFill="1" applyBorder="1"/>
    <xf numFmtId="1" fontId="11" fillId="0" borderId="2" xfId="3" applyNumberFormat="1" applyFont="1" applyBorder="1" applyAlignment="1">
      <alignment horizontal="center"/>
    </xf>
    <xf numFmtId="1" fontId="11" fillId="0" borderId="2" xfId="3" applyNumberFormat="1" applyFont="1" applyBorder="1" applyAlignment="1">
      <alignment horizontal="center" wrapText="1"/>
    </xf>
    <xf numFmtId="49" fontId="11" fillId="0" borderId="11" xfId="3" applyNumberFormat="1" applyFont="1" applyBorder="1" applyAlignment="1">
      <alignment horizontal="center"/>
    </xf>
    <xf numFmtId="49" fontId="11" fillId="0" borderId="6" xfId="3" applyNumberFormat="1" applyFont="1" applyBorder="1" applyAlignment="1">
      <alignment horizontal="center"/>
    </xf>
    <xf numFmtId="0" fontId="9" fillId="5" borderId="2" xfId="3" applyFont="1" applyFill="1" applyBorder="1" applyAlignment="1">
      <alignment horizontal="left"/>
    </xf>
    <xf numFmtId="0" fontId="11" fillId="0" borderId="2" xfId="3" applyFont="1" applyBorder="1" applyAlignment="1">
      <alignment horizontal="center"/>
    </xf>
    <xf numFmtId="165" fontId="11" fillId="0" borderId="2" xfId="3" applyNumberFormat="1" applyFont="1" applyBorder="1" applyAlignment="1">
      <alignment horizontal="center"/>
    </xf>
    <xf numFmtId="0" fontId="11" fillId="5" borderId="2" xfId="5" applyFont="1" applyFill="1" applyBorder="1"/>
    <xf numFmtId="16" fontId="11" fillId="0" borderId="2" xfId="5" applyNumberFormat="1" applyFont="1" applyBorder="1" applyAlignment="1">
      <alignment horizontal="center"/>
    </xf>
    <xf numFmtId="0" fontId="11" fillId="0" borderId="2" xfId="5" applyFont="1" applyBorder="1" applyAlignment="1">
      <alignment horizontal="center"/>
    </xf>
    <xf numFmtId="1" fontId="11" fillId="0" borderId="2" xfId="5" applyNumberFormat="1" applyFont="1" applyBorder="1" applyAlignment="1">
      <alignment horizontal="center"/>
    </xf>
    <xf numFmtId="1" fontId="11" fillId="0" borderId="2" xfId="5" applyNumberFormat="1" applyFont="1" applyBorder="1" applyAlignment="1">
      <alignment horizontal="center" wrapText="1"/>
    </xf>
    <xf numFmtId="49" fontId="9" fillId="0" borderId="27" xfId="3" applyNumberFormat="1" applyFont="1" applyBorder="1" applyAlignment="1">
      <alignment horizontal="center"/>
    </xf>
    <xf numFmtId="49" fontId="9" fillId="0" borderId="5" xfId="3" applyNumberFormat="1" applyFont="1" applyBorder="1" applyAlignment="1">
      <alignment horizontal="center"/>
    </xf>
    <xf numFmtId="0" fontId="10" fillId="5" borderId="2" xfId="3" applyFont="1" applyFill="1" applyBorder="1" applyAlignment="1">
      <alignment vertical="center"/>
    </xf>
    <xf numFmtId="0" fontId="9" fillId="0" borderId="6" xfId="3" applyFont="1" applyBorder="1" applyAlignment="1">
      <alignment horizontal="center"/>
    </xf>
    <xf numFmtId="49" fontId="11" fillId="0" borderId="2" xfId="3" applyNumberFormat="1" applyFont="1" applyBorder="1"/>
    <xf numFmtId="49" fontId="12" fillId="2" borderId="18" xfId="3" applyNumberFormat="1" applyFont="1" applyFill="1" applyBorder="1" applyAlignment="1">
      <alignment horizontal="center" vertical="center"/>
    </xf>
    <xf numFmtId="49" fontId="12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4" fontId="11" fillId="2" borderId="0" xfId="3" applyNumberFormat="1" applyFont="1" applyFill="1" applyAlignment="1">
      <alignment horizontal="center" wrapText="1"/>
    </xf>
    <xf numFmtId="0" fontId="11" fillId="2" borderId="19" xfId="3" applyFont="1" applyFill="1" applyBorder="1" applyAlignment="1">
      <alignment horizontal="center"/>
    </xf>
    <xf numFmtId="0" fontId="11" fillId="4" borderId="20" xfId="3" applyFont="1" applyFill="1" applyBorder="1" applyAlignment="1">
      <alignment horizontal="center"/>
    </xf>
    <xf numFmtId="0" fontId="11" fillId="4" borderId="21" xfId="3" applyFont="1" applyFill="1" applyBorder="1" applyAlignment="1">
      <alignment horizontal="center"/>
    </xf>
    <xf numFmtId="0" fontId="11" fillId="4" borderId="21" xfId="3" applyFont="1" applyFill="1" applyBorder="1"/>
    <xf numFmtId="0" fontId="9" fillId="4" borderId="21" xfId="3" applyFont="1" applyFill="1" applyBorder="1" applyAlignment="1">
      <alignment horizontal="center"/>
    </xf>
    <xf numFmtId="1" fontId="9" fillId="4" borderId="21" xfId="3" applyNumberFormat="1" applyFont="1" applyFill="1" applyBorder="1" applyAlignment="1">
      <alignment horizontal="center"/>
    </xf>
    <xf numFmtId="164" fontId="11" fillId="4" borderId="21" xfId="3" applyNumberFormat="1" applyFont="1" applyFill="1" applyBorder="1" applyAlignment="1">
      <alignment horizontal="center" wrapText="1"/>
    </xf>
    <xf numFmtId="0" fontId="11" fillId="4" borderId="22" xfId="3" applyFont="1" applyFill="1" applyBorder="1" applyAlignment="1">
      <alignment horizontal="center"/>
    </xf>
    <xf numFmtId="0" fontId="9" fillId="0" borderId="23" xfId="3" applyFont="1" applyBorder="1" applyAlignment="1">
      <alignment horizontal="right"/>
    </xf>
    <xf numFmtId="0" fontId="9" fillId="0" borderId="4" xfId="3" applyFont="1" applyBorder="1" applyAlignment="1">
      <alignment horizontal="right"/>
    </xf>
    <xf numFmtId="0" fontId="9" fillId="0" borderId="24" xfId="3" applyFont="1" applyBorder="1" applyAlignment="1">
      <alignment horizontal="right"/>
    </xf>
    <xf numFmtId="1" fontId="11" fillId="0" borderId="16" xfId="0" applyNumberFormat="1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164" fontId="11" fillId="0" borderId="16" xfId="3" applyNumberFormat="1" applyFont="1" applyBorder="1" applyAlignment="1">
      <alignment horizontal="right"/>
    </xf>
    <xf numFmtId="0" fontId="11" fillId="2" borderId="25" xfId="3" applyFont="1" applyFill="1" applyBorder="1" applyAlignment="1">
      <alignment horizontal="center"/>
    </xf>
    <xf numFmtId="0" fontId="11" fillId="2" borderId="26" xfId="3" applyFont="1" applyFill="1" applyBorder="1" applyAlignment="1">
      <alignment horizontal="center"/>
    </xf>
    <xf numFmtId="0" fontId="9" fillId="0" borderId="27" xfId="3" applyFont="1" applyBorder="1" applyAlignment="1">
      <alignment horizontal="right"/>
    </xf>
    <xf numFmtId="0" fontId="9" fillId="0" borderId="5" xfId="3" applyFont="1" applyBorder="1" applyAlignment="1">
      <alignment horizontal="right"/>
    </xf>
    <xf numFmtId="0" fontId="9" fillId="0" borderId="6" xfId="3" applyFont="1" applyBorder="1" applyAlignment="1">
      <alignment horizontal="right"/>
    </xf>
    <xf numFmtId="0" fontId="9" fillId="0" borderId="2" xfId="0" applyFont="1" applyBorder="1" applyAlignment="1">
      <alignment horizontal="center"/>
    </xf>
    <xf numFmtId="0" fontId="11" fillId="0" borderId="2" xfId="3" applyFont="1" applyBorder="1" applyAlignment="1">
      <alignment horizontal="right"/>
    </xf>
    <xf numFmtId="164" fontId="11" fillId="0" borderId="28" xfId="3" applyNumberFormat="1" applyFont="1" applyBorder="1" applyAlignment="1">
      <alignment horizontal="center"/>
    </xf>
    <xf numFmtId="164" fontId="11" fillId="0" borderId="29" xfId="3" applyNumberFormat="1" applyFont="1" applyBorder="1" applyAlignment="1">
      <alignment horizontal="center"/>
    </xf>
    <xf numFmtId="164" fontId="11" fillId="0" borderId="28" xfId="3" applyNumberFormat="1" applyFont="1" applyBorder="1" applyAlignment="1">
      <alignment horizontal="right" wrapText="1"/>
    </xf>
    <xf numFmtId="164" fontId="11" fillId="0" borderId="6" xfId="3" applyNumberFormat="1" applyFont="1" applyBorder="1" applyAlignment="1">
      <alignment horizontal="right" wrapText="1"/>
    </xf>
    <xf numFmtId="0" fontId="9" fillId="0" borderId="12" xfId="3" applyFont="1" applyBorder="1" applyAlignment="1">
      <alignment horizontal="right"/>
    </xf>
    <xf numFmtId="0" fontId="9" fillId="0" borderId="30" xfId="3" applyFont="1" applyBorder="1" applyAlignment="1">
      <alignment horizontal="right"/>
    </xf>
    <xf numFmtId="0" fontId="9" fillId="0" borderId="13" xfId="3" applyFont="1" applyBorder="1" applyAlignment="1">
      <alignment horizontal="right"/>
    </xf>
    <xf numFmtId="1" fontId="11" fillId="0" borderId="13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3" xfId="3" applyFont="1" applyBorder="1" applyAlignment="1">
      <alignment horizontal="right"/>
    </xf>
    <xf numFmtId="164" fontId="11" fillId="0" borderId="8" xfId="3" applyNumberFormat="1" applyFont="1" applyBorder="1" applyAlignment="1">
      <alignment horizontal="center"/>
    </xf>
    <xf numFmtId="164" fontId="11" fillId="0" borderId="9" xfId="3" applyNumberFormat="1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11" xfId="3" applyFont="1" applyBorder="1" applyAlignment="1">
      <alignment horizontal="left" wrapText="1"/>
    </xf>
    <xf numFmtId="0" fontId="11" fillId="0" borderId="6" xfId="3" applyFont="1" applyBorder="1" applyAlignment="1">
      <alignment horizontal="left" wrapText="1"/>
    </xf>
    <xf numFmtId="0" fontId="11" fillId="0" borderId="2" xfId="3" applyFont="1" applyBorder="1" applyAlignment="1">
      <alignment horizontal="left" wrapText="1"/>
    </xf>
    <xf numFmtId="0" fontId="11" fillId="0" borderId="3" xfId="3" applyFont="1" applyBorder="1" applyAlignment="1">
      <alignment horizontal="left" wrapText="1"/>
    </xf>
    <xf numFmtId="0" fontId="11" fillId="0" borderId="12" xfId="3" applyFont="1" applyBorder="1" applyAlignment="1">
      <alignment horizontal="left"/>
    </xf>
    <xf numFmtId="0" fontId="11" fillId="0" borderId="30" xfId="3" applyFont="1" applyBorder="1" applyAlignment="1">
      <alignment horizontal="left"/>
    </xf>
    <xf numFmtId="0" fontId="11" fillId="0" borderId="13" xfId="3" applyFont="1" applyBorder="1" applyAlignment="1">
      <alignment horizontal="left"/>
    </xf>
    <xf numFmtId="0" fontId="11" fillId="0" borderId="14" xfId="3" applyFont="1" applyBorder="1" applyAlignment="1">
      <alignment horizontal="left"/>
    </xf>
    <xf numFmtId="0" fontId="9" fillId="6" borderId="42" xfId="1" applyFont="1" applyFill="1" applyBorder="1" applyAlignment="1">
      <alignment horizontal="center"/>
    </xf>
    <xf numFmtId="0" fontId="9" fillId="6" borderId="34" xfId="1" applyFont="1" applyFill="1" applyBorder="1" applyAlignment="1">
      <alignment horizontal="center"/>
    </xf>
    <xf numFmtId="0" fontId="9" fillId="4" borderId="20" xfId="3" applyFont="1" applyFill="1" applyBorder="1" applyAlignment="1">
      <alignment horizontal="center"/>
    </xf>
    <xf numFmtId="0" fontId="9" fillId="4" borderId="21" xfId="3" applyFont="1" applyFill="1" applyBorder="1" applyAlignment="1">
      <alignment horizontal="center"/>
    </xf>
    <xf numFmtId="0" fontId="9" fillId="4" borderId="22" xfId="3" applyFont="1" applyFill="1" applyBorder="1" applyAlignment="1">
      <alignment horizontal="center"/>
    </xf>
    <xf numFmtId="0" fontId="11" fillId="0" borderId="5" xfId="0" applyFont="1" applyBorder="1" applyAlignment="1">
      <alignment horizontal="left" wrapText="1"/>
    </xf>
    <xf numFmtId="0" fontId="11" fillId="2" borderId="2" xfId="1" applyFont="1" applyFill="1" applyBorder="1" applyAlignment="1">
      <alignment horizontal="left"/>
    </xf>
  </cellXfs>
  <cellStyles count="7">
    <cellStyle name="Normal" xfId="0" builtinId="0"/>
    <cellStyle name="Normal 2" xfId="3" xr:uid="{00000000-0005-0000-0000-000001000000}"/>
    <cellStyle name="Normal 3 2" xfId="5" xr:uid="{F19B7548-5CCD-456C-815C-DEAE7043F3AF}"/>
    <cellStyle name="Normal_CRITERIOS DE EVALUACION PT DE GB" xfId="1" xr:uid="{00000000-0005-0000-0000-000002000000}"/>
    <cellStyle name="Normal_CRITERIOS DE EVALUACION PT DE GB 2" xfId="2" xr:uid="{00000000-0005-0000-0000-000003000000}"/>
    <cellStyle name="Porcentaje 2" xfId="4" xr:uid="{00000000-0005-0000-0000-000004000000}"/>
    <cellStyle name="Porcentaje 2 2" xfId="6" xr:uid="{DAAADF6B-78AD-4865-B6E2-162FC04FF15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135731</xdr:colOff>
      <xdr:row>0</xdr:row>
      <xdr:rowOff>107156</xdr:rowOff>
    </xdr:from>
    <xdr:to>
      <xdr:col>1</xdr:col>
      <xdr:colOff>887958</xdr:colOff>
      <xdr:row>4</xdr:row>
      <xdr:rowOff>83344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A48FACC0-EFF1-4AC5-AEE6-EDDF1E0A6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31" y="107156"/>
          <a:ext cx="1871415" cy="845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71EE-0A23-4470-AC0F-E13E53E35921}">
  <sheetPr>
    <pageSetUpPr fitToPage="1"/>
  </sheetPr>
  <dimension ref="A1:M47"/>
  <sheetViews>
    <sheetView tabSelected="1" zoomScale="80" zoomScaleNormal="80" zoomScaleSheetLayoutView="80" workbookViewId="0">
      <selection activeCell="C1" sqref="C1:G1"/>
    </sheetView>
  </sheetViews>
  <sheetFormatPr baseColWidth="10" defaultRowHeight="12.75" x14ac:dyDescent="0.2"/>
  <cols>
    <col min="1" max="1" width="16.7109375" customWidth="1"/>
    <col min="2" max="2" width="15.5703125" customWidth="1"/>
    <col min="3" max="3" width="55.140625" customWidth="1"/>
    <col min="4" max="4" width="19.28515625" bestFit="1" customWidth="1"/>
    <col min="5" max="5" width="12.140625" customWidth="1"/>
    <col min="7" max="7" width="21.42578125" customWidth="1"/>
    <col min="8" max="8" width="16.140625" customWidth="1"/>
    <col min="9" max="9" width="17.42578125" bestFit="1" customWidth="1"/>
  </cols>
  <sheetData>
    <row r="1" spans="1:9" ht="15" x14ac:dyDescent="0.2">
      <c r="A1" s="32"/>
      <c r="B1" s="33"/>
      <c r="C1" s="38" t="s">
        <v>33</v>
      </c>
      <c r="D1" s="38"/>
      <c r="E1" s="38"/>
      <c r="F1" s="38"/>
      <c r="G1" s="38"/>
      <c r="H1" s="2" t="s">
        <v>34</v>
      </c>
      <c r="I1" s="1" t="s">
        <v>79</v>
      </c>
    </row>
    <row r="2" spans="1:9" ht="15.75" x14ac:dyDescent="0.25">
      <c r="A2" s="34"/>
      <c r="B2" s="35"/>
      <c r="C2" s="39" t="s">
        <v>0</v>
      </c>
      <c r="D2" s="39"/>
      <c r="E2" s="39"/>
      <c r="F2" s="39"/>
      <c r="G2" s="39"/>
      <c r="H2" s="3" t="s">
        <v>35</v>
      </c>
      <c r="I2" s="4" t="s">
        <v>80</v>
      </c>
    </row>
    <row r="3" spans="1:9" ht="24" thickBot="1" x14ac:dyDescent="0.25">
      <c r="A3" s="34"/>
      <c r="B3" s="35"/>
      <c r="C3" s="43" t="s">
        <v>78</v>
      </c>
      <c r="D3" s="44"/>
      <c r="E3" s="44"/>
      <c r="F3" s="44"/>
      <c r="G3" s="45"/>
      <c r="H3" s="40" t="s">
        <v>36</v>
      </c>
      <c r="I3" s="23">
        <v>45608</v>
      </c>
    </row>
    <row r="4" spans="1:9" ht="13.5" x14ac:dyDescent="0.25">
      <c r="A4" s="34"/>
      <c r="B4" s="35"/>
      <c r="C4" s="5" t="s">
        <v>37</v>
      </c>
      <c r="D4" s="26" t="s">
        <v>81</v>
      </c>
      <c r="E4" s="27"/>
      <c r="F4" s="27"/>
      <c r="G4" s="28"/>
      <c r="H4" s="41"/>
      <c r="I4" s="24"/>
    </row>
    <row r="5" spans="1:9" ht="14.25" thickBot="1" x14ac:dyDescent="0.3">
      <c r="A5" s="36"/>
      <c r="B5" s="37"/>
      <c r="C5" s="6" t="s">
        <v>38</v>
      </c>
      <c r="D5" s="29" t="s">
        <v>39</v>
      </c>
      <c r="E5" s="30"/>
      <c r="F5" s="30"/>
      <c r="G5" s="31"/>
      <c r="H5" s="42"/>
      <c r="I5" s="25"/>
    </row>
    <row r="6" spans="1:9" ht="18.75" thickBot="1" x14ac:dyDescent="0.3">
      <c r="A6" s="15" t="s">
        <v>40</v>
      </c>
      <c r="B6" s="15"/>
      <c r="C6" s="15"/>
      <c r="D6" s="46" t="s">
        <v>50</v>
      </c>
      <c r="E6" s="46"/>
      <c r="F6" s="46"/>
      <c r="G6" s="16" t="s">
        <v>41</v>
      </c>
      <c r="H6" s="16"/>
      <c r="I6" s="47" t="s">
        <v>51</v>
      </c>
    </row>
    <row r="7" spans="1:9" ht="25.5" x14ac:dyDescent="0.2">
      <c r="A7" s="17" t="s">
        <v>1</v>
      </c>
      <c r="B7" s="19" t="s">
        <v>82</v>
      </c>
      <c r="C7" s="21" t="s">
        <v>2</v>
      </c>
      <c r="D7" s="21" t="s">
        <v>3</v>
      </c>
      <c r="E7" s="21" t="s">
        <v>4</v>
      </c>
      <c r="F7" s="21"/>
      <c r="G7" s="21" t="s">
        <v>42</v>
      </c>
      <c r="H7" s="21"/>
      <c r="I7" s="7" t="s">
        <v>5</v>
      </c>
    </row>
    <row r="8" spans="1:9" ht="32.25" customHeight="1" thickBot="1" x14ac:dyDescent="0.25">
      <c r="A8" s="18"/>
      <c r="B8" s="20"/>
      <c r="C8" s="22"/>
      <c r="D8" s="22"/>
      <c r="E8" s="8" t="s">
        <v>6</v>
      </c>
      <c r="F8" s="9" t="s">
        <v>7</v>
      </c>
      <c r="G8" s="8" t="s">
        <v>6</v>
      </c>
      <c r="H8" s="9" t="s">
        <v>7</v>
      </c>
      <c r="I8" s="10" t="s">
        <v>8</v>
      </c>
    </row>
    <row r="9" spans="1:9" ht="20.25" x14ac:dyDescent="0.3">
      <c r="A9" s="48"/>
      <c r="B9" s="49"/>
      <c r="C9" s="50" t="s">
        <v>83</v>
      </c>
      <c r="D9" s="51"/>
      <c r="E9" s="52"/>
      <c r="F9" s="53"/>
      <c r="G9" s="52"/>
      <c r="H9" s="53"/>
      <c r="I9" s="54"/>
    </row>
    <row r="10" spans="1:9" ht="20.25" x14ac:dyDescent="0.3">
      <c r="A10" s="55" t="s">
        <v>52</v>
      </c>
      <c r="B10" s="55" t="s">
        <v>67</v>
      </c>
      <c r="C10" s="56" t="s">
        <v>60</v>
      </c>
      <c r="D10" s="57" t="s">
        <v>28</v>
      </c>
      <c r="E10" s="58">
        <v>9000</v>
      </c>
      <c r="F10" s="59" t="s">
        <v>15</v>
      </c>
      <c r="G10" s="52"/>
      <c r="H10" s="53"/>
      <c r="I10" s="54"/>
    </row>
    <row r="11" spans="1:9" ht="20.25" x14ac:dyDescent="0.3">
      <c r="A11" s="55" t="s">
        <v>53</v>
      </c>
      <c r="B11" s="55" t="s">
        <v>68</v>
      </c>
      <c r="C11" s="56" t="s">
        <v>61</v>
      </c>
      <c r="D11" s="57" t="s">
        <v>25</v>
      </c>
      <c r="E11" s="58">
        <v>100</v>
      </c>
      <c r="F11" s="59" t="s">
        <v>15</v>
      </c>
      <c r="G11" s="52"/>
      <c r="H11" s="53"/>
      <c r="I11" s="54"/>
    </row>
    <row r="12" spans="1:9" ht="20.25" x14ac:dyDescent="0.3">
      <c r="A12" s="60">
        <v>512319</v>
      </c>
      <c r="B12" s="55" t="s">
        <v>77</v>
      </c>
      <c r="C12" s="61" t="s">
        <v>27</v>
      </c>
      <c r="D12" s="57" t="s">
        <v>21</v>
      </c>
      <c r="E12" s="58">
        <v>200</v>
      </c>
      <c r="F12" s="59" t="s">
        <v>15</v>
      </c>
      <c r="G12" s="52"/>
      <c r="H12" s="53"/>
      <c r="I12" s="54"/>
    </row>
    <row r="13" spans="1:9" ht="20.25" x14ac:dyDescent="0.3">
      <c r="A13" s="55" t="s">
        <v>54</v>
      </c>
      <c r="B13" s="55" t="s">
        <v>69</v>
      </c>
      <c r="C13" s="56" t="s">
        <v>62</v>
      </c>
      <c r="D13" s="57" t="s">
        <v>55</v>
      </c>
      <c r="E13" s="58">
        <v>250</v>
      </c>
      <c r="F13" s="59" t="s">
        <v>15</v>
      </c>
      <c r="G13" s="52"/>
      <c r="H13" s="53"/>
      <c r="I13" s="54"/>
    </row>
    <row r="14" spans="1:9" ht="20.25" x14ac:dyDescent="0.3">
      <c r="A14" s="60" t="s">
        <v>16</v>
      </c>
      <c r="B14" s="55" t="s">
        <v>73</v>
      </c>
      <c r="C14" s="61" t="s">
        <v>63</v>
      </c>
      <c r="D14" s="57" t="s">
        <v>21</v>
      </c>
      <c r="E14" s="58">
        <v>500</v>
      </c>
      <c r="F14" s="59" t="s">
        <v>15</v>
      </c>
      <c r="G14" s="52"/>
      <c r="H14" s="53"/>
      <c r="I14" s="54"/>
    </row>
    <row r="15" spans="1:9" ht="20.25" x14ac:dyDescent="0.3">
      <c r="A15" s="55" t="s">
        <v>56</v>
      </c>
      <c r="B15" s="55" t="s">
        <v>70</v>
      </c>
      <c r="C15" s="56" t="s">
        <v>64</v>
      </c>
      <c r="D15" s="57" t="s">
        <v>26</v>
      </c>
      <c r="E15" s="58">
        <v>1100</v>
      </c>
      <c r="F15" s="59" t="s">
        <v>15</v>
      </c>
      <c r="G15" s="52"/>
      <c r="H15" s="53"/>
      <c r="I15" s="54"/>
    </row>
    <row r="16" spans="1:9" ht="20.25" x14ac:dyDescent="0.3">
      <c r="A16" s="55" t="s">
        <v>57</v>
      </c>
      <c r="B16" s="55"/>
      <c r="C16" s="62" t="s">
        <v>58</v>
      </c>
      <c r="D16" s="57" t="s">
        <v>55</v>
      </c>
      <c r="E16" s="58">
        <v>30000</v>
      </c>
      <c r="F16" s="59" t="s">
        <v>29</v>
      </c>
      <c r="G16" s="52"/>
      <c r="H16" s="53"/>
      <c r="I16" s="54"/>
    </row>
    <row r="17" spans="1:13" ht="20.25" x14ac:dyDescent="0.3">
      <c r="A17" s="60" t="s">
        <v>17</v>
      </c>
      <c r="B17" s="60" t="s">
        <v>71</v>
      </c>
      <c r="C17" s="61" t="s">
        <v>18</v>
      </c>
      <c r="D17" s="57" t="s">
        <v>19</v>
      </c>
      <c r="E17" s="58">
        <v>30</v>
      </c>
      <c r="F17" s="59" t="s">
        <v>15</v>
      </c>
      <c r="G17" s="52"/>
      <c r="H17" s="53"/>
      <c r="I17" s="54"/>
    </row>
    <row r="18" spans="1:13" ht="20.25" x14ac:dyDescent="0.3">
      <c r="A18" s="60" t="s">
        <v>11</v>
      </c>
      <c r="B18" s="55" t="s">
        <v>74</v>
      </c>
      <c r="C18" s="61" t="s">
        <v>20</v>
      </c>
      <c r="D18" s="57" t="s">
        <v>21</v>
      </c>
      <c r="E18" s="58">
        <v>1300</v>
      </c>
      <c r="F18" s="59" t="s">
        <v>15</v>
      </c>
      <c r="G18" s="52"/>
      <c r="H18" s="53"/>
      <c r="I18" s="54"/>
    </row>
    <row r="19" spans="1:13" ht="20.25" x14ac:dyDescent="0.3">
      <c r="A19" s="60" t="s">
        <v>12</v>
      </c>
      <c r="B19" s="55" t="s">
        <v>75</v>
      </c>
      <c r="C19" s="61" t="s">
        <v>22</v>
      </c>
      <c r="D19" s="57" t="s">
        <v>21</v>
      </c>
      <c r="E19" s="58">
        <v>1300</v>
      </c>
      <c r="F19" s="59" t="s">
        <v>15</v>
      </c>
      <c r="G19" s="52"/>
      <c r="H19" s="53"/>
      <c r="I19" s="54"/>
    </row>
    <row r="20" spans="1:13" ht="20.25" x14ac:dyDescent="0.3">
      <c r="A20" s="60" t="s">
        <v>13</v>
      </c>
      <c r="B20" s="55" t="s">
        <v>76</v>
      </c>
      <c r="C20" s="61" t="s">
        <v>23</v>
      </c>
      <c r="D20" s="57" t="s">
        <v>21</v>
      </c>
      <c r="E20" s="58">
        <v>130</v>
      </c>
      <c r="F20" s="59" t="s">
        <v>15</v>
      </c>
      <c r="G20" s="52"/>
      <c r="H20" s="53"/>
      <c r="I20" s="54"/>
    </row>
    <row r="21" spans="1:13" ht="20.25" x14ac:dyDescent="0.3">
      <c r="A21" s="55"/>
      <c r="B21" s="55"/>
      <c r="C21" s="63"/>
      <c r="D21" s="64"/>
      <c r="E21" s="64"/>
      <c r="F21" s="65"/>
      <c r="G21" s="52"/>
      <c r="H21" s="53"/>
      <c r="I21" s="54"/>
    </row>
    <row r="22" spans="1:13" ht="20.25" x14ac:dyDescent="0.3">
      <c r="A22" s="66"/>
      <c r="B22" s="67"/>
      <c r="C22" s="68" t="s">
        <v>84</v>
      </c>
      <c r="D22" s="69"/>
      <c r="E22" s="70"/>
      <c r="F22" s="65"/>
      <c r="G22" s="52"/>
      <c r="H22" s="53"/>
      <c r="I22" s="54"/>
    </row>
    <row r="23" spans="1:13" ht="20.25" x14ac:dyDescent="0.3">
      <c r="A23" s="73"/>
      <c r="B23" s="73"/>
      <c r="C23" s="71"/>
      <c r="D23" s="72"/>
      <c r="E23" s="64"/>
      <c r="F23" s="65"/>
      <c r="G23" s="52"/>
      <c r="H23" s="53"/>
      <c r="I23" s="54"/>
    </row>
    <row r="24" spans="1:13" ht="20.25" x14ac:dyDescent="0.3">
      <c r="A24" s="55"/>
      <c r="B24" s="55"/>
      <c r="C24" s="63"/>
      <c r="D24" s="64"/>
      <c r="E24" s="69"/>
      <c r="F24" s="65"/>
      <c r="G24" s="52"/>
      <c r="H24" s="53"/>
      <c r="I24" s="54"/>
    </row>
    <row r="25" spans="1:13" ht="20.25" x14ac:dyDescent="0.3">
      <c r="A25" s="55"/>
      <c r="B25" s="55"/>
      <c r="C25" s="63"/>
      <c r="D25" s="57"/>
      <c r="E25" s="74"/>
      <c r="F25" s="75"/>
      <c r="G25" s="52"/>
      <c r="H25" s="53"/>
      <c r="I25" s="54"/>
    </row>
    <row r="26" spans="1:13" ht="20.25" x14ac:dyDescent="0.3">
      <c r="A26" s="76"/>
      <c r="B26" s="77"/>
      <c r="C26" s="78" t="s">
        <v>51</v>
      </c>
      <c r="D26" s="79"/>
      <c r="E26" s="52"/>
      <c r="F26" s="53"/>
      <c r="G26" s="52"/>
      <c r="H26" s="53"/>
      <c r="I26" s="54"/>
    </row>
    <row r="27" spans="1:13" ht="20.25" x14ac:dyDescent="0.3">
      <c r="A27" s="55" t="s">
        <v>59</v>
      </c>
      <c r="B27" s="55" t="s">
        <v>72</v>
      </c>
      <c r="C27" s="56" t="s">
        <v>65</v>
      </c>
      <c r="D27" s="57" t="s">
        <v>66</v>
      </c>
      <c r="E27" s="58">
        <v>900</v>
      </c>
      <c r="F27" s="59" t="s">
        <v>14</v>
      </c>
      <c r="G27" s="52"/>
      <c r="H27" s="53"/>
      <c r="I27" s="54"/>
    </row>
    <row r="28" spans="1:13" ht="20.25" x14ac:dyDescent="0.3">
      <c r="A28" s="66"/>
      <c r="B28" s="67"/>
      <c r="C28" s="80"/>
      <c r="D28" s="69"/>
      <c r="E28" s="64"/>
      <c r="F28" s="65"/>
      <c r="G28" s="64"/>
      <c r="H28" s="69"/>
      <c r="I28" s="54"/>
    </row>
    <row r="29" spans="1:13" ht="20.25" x14ac:dyDescent="0.3">
      <c r="A29" s="66"/>
      <c r="B29" s="67"/>
      <c r="C29" s="80"/>
      <c r="D29" s="69"/>
      <c r="E29" s="64"/>
      <c r="F29" s="65"/>
      <c r="G29" s="64"/>
      <c r="H29" s="65"/>
      <c r="I29" s="54"/>
    </row>
    <row r="30" spans="1:13" ht="20.25" x14ac:dyDescent="0.3">
      <c r="A30" s="66"/>
      <c r="B30" s="67"/>
      <c r="C30" s="80"/>
      <c r="D30" s="69"/>
      <c r="E30" s="69"/>
      <c r="F30" s="65"/>
      <c r="G30" s="69"/>
      <c r="H30" s="69"/>
      <c r="I30" s="54"/>
    </row>
    <row r="31" spans="1:13" ht="21" thickBot="1" x14ac:dyDescent="0.35">
      <c r="A31" s="81"/>
      <c r="B31" s="82"/>
      <c r="C31" s="83"/>
      <c r="D31" s="83"/>
      <c r="E31" s="84"/>
      <c r="F31" s="85"/>
      <c r="G31" s="83"/>
      <c r="H31" s="83"/>
      <c r="I31" s="86"/>
      <c r="J31" s="12"/>
      <c r="K31" s="12"/>
      <c r="L31" s="13"/>
      <c r="M31" s="12"/>
    </row>
    <row r="32" spans="1:13" ht="21" thickBot="1" x14ac:dyDescent="0.35">
      <c r="A32" s="87"/>
      <c r="B32" s="88"/>
      <c r="C32" s="89"/>
      <c r="D32" s="90" t="s">
        <v>6</v>
      </c>
      <c r="E32" s="91" t="s">
        <v>43</v>
      </c>
      <c r="F32" s="92"/>
      <c r="G32" s="89"/>
      <c r="H32" s="89"/>
      <c r="I32" s="93"/>
      <c r="J32" s="12"/>
      <c r="K32" s="12"/>
      <c r="L32" s="13"/>
      <c r="M32" s="12"/>
    </row>
    <row r="33" spans="1:13" ht="20.25" x14ac:dyDescent="0.3">
      <c r="A33" s="94" t="s">
        <v>10</v>
      </c>
      <c r="B33" s="95"/>
      <c r="C33" s="96"/>
      <c r="D33" s="97">
        <v>22040</v>
      </c>
      <c r="E33" s="98" t="s">
        <v>15</v>
      </c>
      <c r="F33" s="99" t="s">
        <v>85</v>
      </c>
      <c r="G33" s="99"/>
      <c r="H33" s="100"/>
      <c r="I33" s="101"/>
      <c r="J33" s="12"/>
      <c r="K33" s="12"/>
      <c r="L33" s="13"/>
      <c r="M33" s="12"/>
    </row>
    <row r="34" spans="1:13" ht="20.25" x14ac:dyDescent="0.3">
      <c r="A34" s="102" t="s">
        <v>9</v>
      </c>
      <c r="B34" s="103"/>
      <c r="C34" s="104"/>
      <c r="D34" s="105">
        <v>30</v>
      </c>
      <c r="E34" s="55" t="s">
        <v>44</v>
      </c>
      <c r="F34" s="106" t="s">
        <v>86</v>
      </c>
      <c r="G34" s="106"/>
      <c r="H34" s="107"/>
      <c r="I34" s="108"/>
      <c r="J34" s="12"/>
      <c r="K34" s="12"/>
      <c r="L34" s="13"/>
      <c r="M34" s="12"/>
    </row>
    <row r="35" spans="1:13" ht="20.25" x14ac:dyDescent="0.3">
      <c r="A35" s="102" t="s">
        <v>45</v>
      </c>
      <c r="B35" s="103"/>
      <c r="C35" s="104"/>
      <c r="D35" s="55">
        <v>1</v>
      </c>
      <c r="E35" s="55" t="s">
        <v>46</v>
      </c>
      <c r="F35" s="106" t="s">
        <v>87</v>
      </c>
      <c r="G35" s="106"/>
      <c r="H35" s="107"/>
      <c r="I35" s="108"/>
      <c r="J35" s="12"/>
      <c r="K35" s="12"/>
      <c r="L35" s="13"/>
      <c r="M35" s="12"/>
    </row>
    <row r="36" spans="1:13" ht="20.25" x14ac:dyDescent="0.3">
      <c r="A36" s="102" t="s">
        <v>47</v>
      </c>
      <c r="B36" s="103"/>
      <c r="C36" s="104"/>
      <c r="D36" s="58">
        <f>+D33</f>
        <v>22040</v>
      </c>
      <c r="E36" s="55" t="s">
        <v>15</v>
      </c>
      <c r="F36" s="109" t="s">
        <v>88</v>
      </c>
      <c r="G36" s="110"/>
      <c r="H36" s="107"/>
      <c r="I36" s="108"/>
      <c r="J36" s="12"/>
      <c r="K36" s="12"/>
      <c r="L36" s="13"/>
      <c r="M36" s="14"/>
    </row>
    <row r="37" spans="1:13" ht="21" thickBot="1" x14ac:dyDescent="0.35">
      <c r="A37" s="111" t="s">
        <v>24</v>
      </c>
      <c r="B37" s="112"/>
      <c r="C37" s="113"/>
      <c r="D37" s="114">
        <v>21870</v>
      </c>
      <c r="E37" s="115" t="s">
        <v>15</v>
      </c>
      <c r="F37" s="116"/>
      <c r="G37" s="116"/>
      <c r="H37" s="117"/>
      <c r="I37" s="118"/>
      <c r="J37" s="11"/>
      <c r="K37" s="11"/>
      <c r="L37" s="13"/>
      <c r="M37" s="11"/>
    </row>
    <row r="38" spans="1:13" ht="21" thickBot="1" x14ac:dyDescent="0.35">
      <c r="A38" s="132" t="s">
        <v>48</v>
      </c>
      <c r="B38" s="133"/>
      <c r="C38" s="133"/>
      <c r="D38" s="133"/>
      <c r="E38" s="133"/>
      <c r="F38" s="133"/>
      <c r="G38" s="133"/>
      <c r="H38" s="133"/>
      <c r="I38" s="134"/>
      <c r="J38" s="12"/>
      <c r="K38" s="12"/>
      <c r="L38" s="12"/>
      <c r="M38" s="12"/>
    </row>
    <row r="39" spans="1:13" ht="20.25" x14ac:dyDescent="0.3">
      <c r="A39" s="119" t="s">
        <v>32</v>
      </c>
      <c r="B39" s="119"/>
      <c r="C39" s="119"/>
      <c r="D39" s="119"/>
      <c r="E39" s="119"/>
      <c r="F39" s="119"/>
      <c r="G39" s="119"/>
      <c r="H39" s="119"/>
      <c r="I39" s="120"/>
      <c r="J39" s="12"/>
      <c r="K39" s="12"/>
      <c r="L39" s="12"/>
      <c r="M39" s="12"/>
    </row>
    <row r="40" spans="1:13" ht="20.25" x14ac:dyDescent="0.3">
      <c r="A40" s="121" t="s">
        <v>31</v>
      </c>
      <c r="B40" s="121"/>
      <c r="C40" s="121"/>
      <c r="D40" s="121"/>
      <c r="E40" s="121"/>
      <c r="F40" s="121"/>
      <c r="G40" s="121"/>
      <c r="H40" s="121"/>
      <c r="I40" s="121"/>
      <c r="J40" s="12"/>
      <c r="K40" s="12"/>
      <c r="L40" s="12"/>
      <c r="M40" s="12"/>
    </row>
    <row r="41" spans="1:13" ht="46.5" customHeight="1" x14ac:dyDescent="0.3">
      <c r="A41" s="135" t="s">
        <v>89</v>
      </c>
      <c r="B41" s="121"/>
      <c r="C41" s="121"/>
      <c r="D41" s="121"/>
      <c r="E41" s="121"/>
      <c r="F41" s="121"/>
      <c r="G41" s="121"/>
      <c r="H41" s="121"/>
      <c r="I41" s="121"/>
      <c r="J41" s="12"/>
      <c r="K41" s="12"/>
      <c r="L41" s="12"/>
      <c r="M41" s="12"/>
    </row>
    <row r="42" spans="1:13" ht="20.25" x14ac:dyDescent="0.3">
      <c r="A42" s="121" t="s">
        <v>30</v>
      </c>
      <c r="B42" s="121"/>
      <c r="C42" s="121"/>
      <c r="D42" s="121"/>
      <c r="E42" s="121"/>
      <c r="F42" s="121"/>
      <c r="G42" s="121"/>
      <c r="H42" s="121"/>
      <c r="I42" s="121"/>
      <c r="J42" s="12"/>
      <c r="K42" s="12"/>
      <c r="L42" s="12"/>
      <c r="M42" s="12"/>
    </row>
    <row r="43" spans="1:13" ht="20.25" x14ac:dyDescent="0.3">
      <c r="A43" s="122"/>
      <c r="B43" s="123"/>
      <c r="C43" s="124"/>
      <c r="D43" s="124"/>
      <c r="E43" s="124"/>
      <c r="F43" s="124"/>
      <c r="G43" s="124"/>
      <c r="H43" s="124"/>
      <c r="I43" s="125"/>
      <c r="J43" s="12"/>
      <c r="K43" s="12"/>
      <c r="L43" s="12"/>
      <c r="M43" s="12"/>
    </row>
    <row r="44" spans="1:13" ht="21" thickBot="1" x14ac:dyDescent="0.35">
      <c r="A44" s="126"/>
      <c r="B44" s="127"/>
      <c r="C44" s="128"/>
      <c r="D44" s="128"/>
      <c r="E44" s="128"/>
      <c r="F44" s="128"/>
      <c r="G44" s="128"/>
      <c r="H44" s="128"/>
      <c r="I44" s="129"/>
      <c r="J44" s="12"/>
      <c r="K44" s="12"/>
      <c r="L44" s="12"/>
      <c r="M44" s="12"/>
    </row>
    <row r="45" spans="1:13" ht="20.25" x14ac:dyDescent="0.3">
      <c r="A45" s="130" t="s">
        <v>49</v>
      </c>
      <c r="B45" s="131"/>
      <c r="C45" s="131"/>
      <c r="D45" s="131"/>
      <c r="E45" s="131"/>
      <c r="F45" s="131"/>
      <c r="G45" s="131"/>
      <c r="H45" s="131"/>
      <c r="I45" s="131"/>
      <c r="J45" s="12"/>
      <c r="K45" s="12"/>
      <c r="L45" s="12"/>
      <c r="M45" s="12"/>
    </row>
    <row r="46" spans="1:13" ht="20.25" x14ac:dyDescent="0.3">
      <c r="A46" s="136"/>
      <c r="B46" s="136"/>
      <c r="C46" s="136"/>
      <c r="D46" s="136"/>
      <c r="E46" s="136"/>
      <c r="F46" s="136"/>
      <c r="G46" s="136"/>
      <c r="H46" s="136"/>
      <c r="I46" s="136"/>
      <c r="J46" s="12"/>
      <c r="K46" s="12"/>
      <c r="L46" s="12"/>
      <c r="M46" s="12"/>
    </row>
    <row r="47" spans="1:13" ht="20.25" x14ac:dyDescent="0.3">
      <c r="A47" s="136"/>
      <c r="B47" s="136"/>
      <c r="C47" s="136"/>
      <c r="D47" s="136"/>
      <c r="E47" s="136"/>
      <c r="F47" s="136"/>
      <c r="G47" s="136"/>
      <c r="H47" s="136"/>
      <c r="I47" s="136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3:C33"/>
    <mergeCell ref="F33:G33"/>
    <mergeCell ref="H33:I33"/>
    <mergeCell ref="A34:C34"/>
    <mergeCell ref="F34:G34"/>
    <mergeCell ref="H34:I34"/>
    <mergeCell ref="A40:I40"/>
    <mergeCell ref="A35:C35"/>
    <mergeCell ref="F35:G35"/>
    <mergeCell ref="H35:I35"/>
    <mergeCell ref="A36:C36"/>
    <mergeCell ref="F36:G36"/>
    <mergeCell ref="H36:I36"/>
    <mergeCell ref="A37:C37"/>
    <mergeCell ref="F37:G37"/>
    <mergeCell ref="H37:I37"/>
    <mergeCell ref="A38:I38"/>
    <mergeCell ref="A39:H39"/>
    <mergeCell ref="A47:I47"/>
    <mergeCell ref="A41:I41"/>
    <mergeCell ref="A42:I42"/>
    <mergeCell ref="A43:I43"/>
    <mergeCell ref="A44:I44"/>
    <mergeCell ref="A45:I45"/>
    <mergeCell ref="A46:I46"/>
  </mergeCells>
  <pageMargins left="0.25" right="0.25" top="0.75" bottom="0.75" header="0.3" footer="0.3"/>
  <pageSetup scale="5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A6D9A9-97B6-428D-BEBD-B7D9B460B31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44BE02E4-BF5E-4215-8409-0D58EEED1B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FC5ABE-9916-443C-BEEF-D038D4CAD0E5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534E542-A511-459F-9D75-83D2BB8AB3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2026-01-28T17:21:32Z</cp:lastPrinted>
  <dcterms:created xsi:type="dcterms:W3CDTF">2003-03-11T22:35:36Z</dcterms:created>
  <dcterms:modified xsi:type="dcterms:W3CDTF">2026-01-28T17:22:42Z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r8>97000</vt:r8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
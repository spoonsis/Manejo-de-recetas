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7" documentId="8_{1278F1D5-83E1-4827-BCBB-02ED3A93A5B8}" xr6:coauthVersionLast="47" xr6:coauthVersionMax="47" xr10:uidLastSave="{D8E3FE6B-CA23-439D-B262-A1056BDB7E81}"/>
  <bookViews>
    <workbookView xWindow="-120" yWindow="-120" windowWidth="20730" windowHeight="11040" tabRatio="946" firstSheet="17" activeTab="17" xr2:uid="{18C7D64D-19A1-4BFF-AD1C-288DA841B5F1}"/>
  </bookViews>
  <sheets>
    <sheet name="Ensamble Torta  Locales" sheetId="6" state="hidden" r:id="rId1"/>
    <sheet name="Ensamble 2 Locales" sheetId="23" state="hidden" r:id="rId2"/>
    <sheet name="Costo Ensamble Netsuite" sheetId="34" state="hidden" r:id="rId3"/>
    <sheet name="Ensamble Torta Industria" sheetId="8" state="hidden" r:id="rId4"/>
    <sheet name="Ensamble Industria 2" sheetId="24" state="hidden" r:id="rId5"/>
    <sheet name="Ensamble Industria 3" sheetId="36" state="hidden" r:id="rId6"/>
    <sheet name="Crema Beidge" sheetId="31" state="hidden" r:id="rId7"/>
    <sheet name="Crema blanca supremo" sheetId="33" state="hidden" r:id="rId8"/>
    <sheet name="Mezcla sirope y majar " sheetId="32" state="hidden" r:id="rId9"/>
    <sheet name="Costo Ensamble Industria " sheetId="21" state="hidden" r:id="rId10"/>
    <sheet name="Salsa de Ron " sheetId="1" state="hidden" r:id="rId11"/>
    <sheet name="Hoja7" sheetId="19" state="hidden" r:id="rId12"/>
    <sheet name="Almibar de Whisky" sheetId="4" state="hidden" r:id="rId13"/>
    <sheet name="Almibar" sheetId="30" state="hidden" r:id="rId14"/>
    <sheet name="Rosquete Vanilla Dawn 360 g" sheetId="27" state="hidden" r:id="rId15"/>
    <sheet name="Batido Nucleo Vainilla Dawn" sheetId="28" state="hidden" r:id="rId16"/>
    <sheet name="Premezcla Batido Vainilla Dawn" sheetId="29" state="hidden" r:id="rId17"/>
    <sheet name="Caramelo con chocolate blanco" sheetId="3" r:id="rId18"/>
    <sheet name="Caramelo Crocante " sheetId="26" state="hidden" r:id="rId19"/>
  </sheets>
  <externalReferences>
    <externalReference r:id="rId20"/>
    <externalReference r:id="rId21"/>
  </externalReferences>
  <definedNames>
    <definedName name="_xlnm.Print_Area" localSheetId="17">'Caramelo con chocolate blanco'!$A$1:$I$28</definedName>
    <definedName name="_xlnm.Print_Area" localSheetId="10">'Salsa de Ron 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" i="23" l="1"/>
  <c r="J16" i="23"/>
  <c r="J15" i="23"/>
  <c r="J13" i="23"/>
  <c r="J12" i="23"/>
  <c r="J17" i="24"/>
  <c r="J15" i="24"/>
  <c r="J13" i="24"/>
  <c r="J12" i="24"/>
  <c r="K11" i="4"/>
  <c r="K10" i="4"/>
  <c r="K9" i="4"/>
  <c r="J11" i="4"/>
  <c r="J10" i="4"/>
  <c r="J9" i="4"/>
  <c r="D34" i="33" l="1"/>
  <c r="D33" i="33"/>
  <c r="E18" i="31"/>
  <c r="E17" i="31"/>
  <c r="E29" i="21" l="1"/>
  <c r="D29" i="21"/>
  <c r="C29" i="21"/>
  <c r="B29" i="21"/>
  <c r="D74" i="21"/>
  <c r="D75" i="21" s="1"/>
  <c r="D77" i="21" s="1"/>
  <c r="D72" i="21"/>
  <c r="D70" i="21"/>
  <c r="F66" i="21"/>
  <c r="C74" i="21" s="1"/>
  <c r="C86" i="21" s="1"/>
  <c r="D61" i="21"/>
  <c r="D86" i="21" s="1"/>
  <c r="D87" i="21" s="1"/>
  <c r="C52" i="21"/>
  <c r="E51" i="21"/>
  <c r="D51" i="21"/>
  <c r="B51" i="21"/>
  <c r="E50" i="21"/>
  <c r="D50" i="21"/>
  <c r="B50" i="21"/>
  <c r="E42" i="21"/>
  <c r="D42" i="21"/>
  <c r="B42" i="21"/>
  <c r="A42" i="21"/>
  <c r="A51" i="21" s="1"/>
  <c r="C51" i="21" s="1"/>
  <c r="E41" i="21"/>
  <c r="D41" i="21"/>
  <c r="B41" i="21"/>
  <c r="A41" i="21"/>
  <c r="C41" i="21" s="1"/>
  <c r="A40" i="21"/>
  <c r="A49" i="21" s="1"/>
  <c r="C49" i="21" s="1"/>
  <c r="F49" i="21" s="1"/>
  <c r="A39" i="21"/>
  <c r="A48" i="21" s="1"/>
  <c r="C48" i="21" s="1"/>
  <c r="A38" i="21"/>
  <c r="A47" i="21" s="1"/>
  <c r="C47" i="21" s="1"/>
  <c r="A37" i="21"/>
  <c r="C37" i="21" s="1"/>
  <c r="A36" i="21"/>
  <c r="A45" i="21" s="1"/>
  <c r="C45" i="21" s="1"/>
  <c r="E33" i="21"/>
  <c r="D33" i="21"/>
  <c r="C33" i="21"/>
  <c r="B33" i="21"/>
  <c r="C32" i="21"/>
  <c r="E31" i="21"/>
  <c r="F31" i="21" s="1"/>
  <c r="D31" i="21"/>
  <c r="C31" i="21"/>
  <c r="B31" i="21"/>
  <c r="E30" i="21"/>
  <c r="F30" i="21" s="1"/>
  <c r="D30" i="21"/>
  <c r="C30" i="21"/>
  <c r="B30" i="21"/>
  <c r="D28" i="21"/>
  <c r="C28" i="21"/>
  <c r="B28" i="21"/>
  <c r="D27" i="21"/>
  <c r="C27" i="21"/>
  <c r="B27" i="21"/>
  <c r="E24" i="21"/>
  <c r="F24" i="21" s="1"/>
  <c r="D24" i="21"/>
  <c r="C24" i="21"/>
  <c r="B24" i="21"/>
  <c r="E23" i="21"/>
  <c r="F23" i="21" s="1"/>
  <c r="D23" i="21"/>
  <c r="C23" i="21"/>
  <c r="B23" i="21"/>
  <c r="E22" i="21"/>
  <c r="F22" i="21" s="1"/>
  <c r="D22" i="21"/>
  <c r="C22" i="21"/>
  <c r="B22" i="21"/>
  <c r="C21" i="21"/>
  <c r="C20" i="21"/>
  <c r="C19" i="21"/>
  <c r="C18" i="21"/>
  <c r="C17" i="21"/>
  <c r="B15" i="21"/>
  <c r="E14" i="21"/>
  <c r="D14" i="21"/>
  <c r="C14" i="21"/>
  <c r="B14" i="21"/>
  <c r="E13" i="21"/>
  <c r="D13" i="21"/>
  <c r="C13" i="21"/>
  <c r="B13" i="21"/>
  <c r="E12" i="21"/>
  <c r="D12" i="21"/>
  <c r="C12" i="21"/>
  <c r="B12" i="21"/>
  <c r="E11" i="21"/>
  <c r="D11" i="21"/>
  <c r="C11" i="21"/>
  <c r="B11" i="21"/>
  <c r="E10" i="21"/>
  <c r="D10" i="21"/>
  <c r="C10" i="21"/>
  <c r="B10" i="21"/>
  <c r="C9" i="21"/>
  <c r="C8" i="21"/>
  <c r="H6" i="21"/>
  <c r="D35" i="8"/>
  <c r="F10" i="21" l="1"/>
  <c r="F12" i="21"/>
  <c r="F14" i="21"/>
  <c r="F29" i="21"/>
  <c r="F28" i="21"/>
  <c r="F27" i="21"/>
  <c r="F33" i="21"/>
  <c r="F32" i="21"/>
  <c r="F9" i="21"/>
  <c r="F11" i="21"/>
  <c r="F13" i="21"/>
  <c r="F41" i="21"/>
  <c r="E52" i="21"/>
  <c r="F52" i="21" s="1"/>
  <c r="F21" i="21"/>
  <c r="C40" i="21"/>
  <c r="F40" i="21" s="1"/>
  <c r="F8" i="21"/>
  <c r="F48" i="21"/>
  <c r="C39" i="21"/>
  <c r="F39" i="21" s="1"/>
  <c r="F20" i="21"/>
  <c r="F18" i="21"/>
  <c r="F37" i="21"/>
  <c r="C36" i="21"/>
  <c r="E86" i="21"/>
  <c r="F51" i="21"/>
  <c r="C38" i="21"/>
  <c r="C42" i="21"/>
  <c r="F42" i="21" s="1"/>
  <c r="A46" i="21"/>
  <c r="C46" i="21" s="1"/>
  <c r="F46" i="21" s="1"/>
  <c r="A50" i="21"/>
  <c r="C50" i="21" s="1"/>
  <c r="F50" i="21" s="1"/>
  <c r="E74" i="21"/>
  <c r="D84" i="21"/>
  <c r="D82" i="21"/>
  <c r="D20" i="3"/>
  <c r="D22" i="1"/>
  <c r="I16" i="1"/>
  <c r="M14" i="1" l="1"/>
  <c r="D33" i="6"/>
  <c r="M15" i="6"/>
  <c r="D17" i="4" l="1"/>
  <c r="M18" i="8"/>
  <c r="D18" i="3"/>
  <c r="E38" i="21" l="1"/>
  <c r="F38" i="21" s="1"/>
  <c r="D19" i="4"/>
  <c r="E36" i="21" l="1"/>
  <c r="F36" i="21" s="1"/>
  <c r="F55" i="21" s="1"/>
  <c r="C77" i="21" s="1"/>
  <c r="E77" i="21" s="1"/>
  <c r="E47" i="21"/>
  <c r="F47" i="21" s="1"/>
  <c r="E17" i="21" l="1"/>
  <c r="F17" i="21" s="1"/>
  <c r="E19" i="21"/>
  <c r="F19" i="21" s="1"/>
  <c r="H55" i="21"/>
  <c r="G2" i="21" s="1"/>
  <c r="F54" i="21" l="1"/>
  <c r="E45" i="21"/>
  <c r="F45" i="21" s="1"/>
  <c r="F57" i="21" s="1"/>
  <c r="H54" i="21" l="1"/>
  <c r="F2" i="21" s="1"/>
  <c r="F56" i="21"/>
  <c r="C70" i="21"/>
  <c r="F65" i="21"/>
  <c r="H57" i="21"/>
  <c r="C75" i="21"/>
  <c r="H56" i="21" l="1"/>
  <c r="O55" i="21"/>
  <c r="O57" i="21" s="1"/>
  <c r="F64" i="21"/>
  <c r="C82" i="21"/>
  <c r="E82" i="21" s="1"/>
  <c r="E70" i="21"/>
  <c r="E75" i="21"/>
  <c r="C87" i="21"/>
  <c r="E87" i="21" s="1"/>
  <c r="H2" i="21"/>
  <c r="H59" i="21"/>
  <c r="H60" i="21" s="1"/>
  <c r="O59" i="21" s="1"/>
  <c r="O56" i="21"/>
  <c r="E79" i="21" l="1"/>
  <c r="O58" i="21"/>
  <c r="O60" i="21" s="1"/>
  <c r="O61" i="21" s="1"/>
  <c r="O62" i="21" s="1"/>
  <c r="O63" i="21" s="1"/>
  <c r="F67" i="21"/>
  <c r="G64" i="21" s="1"/>
  <c r="C72" i="21"/>
  <c r="E64" i="21"/>
  <c r="G50" i="21" l="1"/>
  <c r="G54" i="21"/>
  <c r="G56" i="21"/>
  <c r="G32" i="21"/>
  <c r="G28" i="21"/>
  <c r="G30" i="21"/>
  <c r="G29" i="21"/>
  <c r="G19" i="21"/>
  <c r="G9" i="21"/>
  <c r="G33" i="21"/>
  <c r="G36" i="21"/>
  <c r="G31" i="21"/>
  <c r="G67" i="21"/>
  <c r="G18" i="21"/>
  <c r="G66" i="21"/>
  <c r="G46" i="21"/>
  <c r="G37" i="21"/>
  <c r="G40" i="21"/>
  <c r="G8" i="21"/>
  <c r="G38" i="21"/>
  <c r="G24" i="21"/>
  <c r="G51" i="21"/>
  <c r="G55" i="21"/>
  <c r="G52" i="21"/>
  <c r="G39" i="21"/>
  <c r="G65" i="21"/>
  <c r="G11" i="21"/>
  <c r="G49" i="21"/>
  <c r="G17" i="21"/>
  <c r="G45" i="21"/>
  <c r="G20" i="21"/>
  <c r="G13" i="21"/>
  <c r="G42" i="21"/>
  <c r="G10" i="21"/>
  <c r="G47" i="21"/>
  <c r="G12" i="21"/>
  <c r="G23" i="21"/>
  <c r="G41" i="21"/>
  <c r="G27" i="21"/>
  <c r="G22" i="21"/>
  <c r="G21" i="21"/>
  <c r="G48" i="21"/>
  <c r="G14" i="21"/>
  <c r="G57" i="21"/>
  <c r="C84" i="21"/>
  <c r="E84" i="21" s="1"/>
  <c r="E72" i="21"/>
  <c r="E2" i="21"/>
  <c r="P63" i="21"/>
</calcChain>
</file>

<file path=xl/sharedStrings.xml><?xml version="1.0" encoding="utf-8"?>
<sst xmlns="http://schemas.openxmlformats.org/spreadsheetml/2006/main" count="1679" uniqueCount="472">
  <si>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</si>
  <si>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</si>
  <si>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</si>
  <si>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</si>
  <si>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</si>
  <si>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</si>
  <si>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</si>
  <si>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</si>
  <si>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</si>
  <si>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</si>
  <si>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</si>
  <si>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</si>
  <si>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</si>
  <si>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</si>
  <si>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</si>
  <si>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</si>
  <si>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</si>
  <si>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</si>
  <si>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</si>
  <si>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</si>
  <si>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</si>
  <si>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</si>
  <si>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</si>
  <si>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</si>
  <si>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</si>
  <si>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</si>
  <si>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</si>
  <si>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</si>
  <si>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</si>
  <si>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Salsa de Ron-Flor de Caña</t>
  </si>
  <si>
    <t xml:space="preserve">Cocina Caliente </t>
  </si>
  <si>
    <t xml:space="preserve">Empaque </t>
  </si>
  <si>
    <t>MP10022</t>
  </si>
  <si>
    <t>Lactocrema Granel</t>
  </si>
  <si>
    <t>SE00016</t>
  </si>
  <si>
    <t>Empaque Azucar  Industrial</t>
  </si>
  <si>
    <t>MP10693</t>
  </si>
  <si>
    <t>Crema Gourmet Pro</t>
  </si>
  <si>
    <t>MP10007</t>
  </si>
  <si>
    <t>Manjar Leche Condensada</t>
  </si>
  <si>
    <t>MP10008</t>
  </si>
  <si>
    <t>1. Derretir la lactocrema</t>
  </si>
  <si>
    <t xml:space="preserve">Nuevo </t>
  </si>
  <si>
    <t xml:space="preserve">Ron Flor De Caña 10 años </t>
  </si>
  <si>
    <t xml:space="preserve">Dos Pinos </t>
  </si>
  <si>
    <t>Fas</t>
  </si>
  <si>
    <t xml:space="preserve">Rich </t>
  </si>
  <si>
    <t xml:space="preserve">Flor de Caña </t>
  </si>
  <si>
    <t>Nestle</t>
  </si>
  <si>
    <t>Aceal</t>
  </si>
  <si>
    <t xml:space="preserve">Esteban Cartin, Gerente de Manofactura </t>
  </si>
  <si>
    <t>EM10016</t>
  </si>
  <si>
    <t>Bolsa 12X18 Transparente</t>
  </si>
  <si>
    <t>Plasticos P</t>
  </si>
  <si>
    <t>Unid</t>
  </si>
  <si>
    <t>EM10120</t>
  </si>
  <si>
    <t>Etiq.Blanca 1 13/16 * 1 7/8</t>
  </si>
  <si>
    <t>Mayca</t>
  </si>
  <si>
    <t xml:space="preserve">Postres </t>
  </si>
  <si>
    <t>Postres</t>
  </si>
  <si>
    <t>MP10143</t>
  </si>
  <si>
    <t>Cobertura Chocolate Blanco Nacional</t>
  </si>
  <si>
    <t xml:space="preserve">Decoración </t>
  </si>
  <si>
    <t>SE00005</t>
  </si>
  <si>
    <t>Almibar</t>
  </si>
  <si>
    <t>Flor de Caña</t>
  </si>
  <si>
    <t>Fass</t>
  </si>
  <si>
    <t>1. Pesar el almibar y mezclar con el ron hasta que se incorpore.</t>
  </si>
  <si>
    <t>EM10011</t>
  </si>
  <si>
    <t>Etiqueta Blanca 2 5/8X1 15/16</t>
  </si>
  <si>
    <t>unidad</t>
  </si>
  <si>
    <t xml:space="preserve">Trozos chocolate blanco </t>
  </si>
  <si>
    <t xml:space="preserve">Chocolate Soluction </t>
  </si>
  <si>
    <t xml:space="preserve">1 unidad </t>
  </si>
  <si>
    <t xml:space="preserve">Decoración  </t>
  </si>
  <si>
    <t>2. Hacer con el lustre una corona dejando el centro hueco, para colocar la salsa de ron y que no se desborde.</t>
  </si>
  <si>
    <t xml:space="preserve">5. Tapar y etiquetar. </t>
  </si>
  <si>
    <t>EMPAQUE</t>
  </si>
  <si>
    <t>EM10009</t>
  </si>
  <si>
    <t>QUEQUERA RED  BASE/DOMO 10 (CAJA:50)</t>
  </si>
  <si>
    <t>EXPORT PMT</t>
  </si>
  <si>
    <t>1950692</t>
  </si>
  <si>
    <t>EM10008</t>
  </si>
  <si>
    <t>Orla Carton 10" Dorada</t>
  </si>
  <si>
    <t>EM10248</t>
  </si>
  <si>
    <t>CINTA ADHESIVA TRANSPARENTE 2*100 MTS</t>
  </si>
  <si>
    <t>cm</t>
  </si>
  <si>
    <t>EM10124</t>
  </si>
  <si>
    <t>ETIQUETA BLANCA R-153 (UND)</t>
  </si>
  <si>
    <t>CEMUSA</t>
  </si>
  <si>
    <t>ETIQUETA BLANCA 2 5/8X1 15/16</t>
  </si>
  <si>
    <t>ETIPLAST</t>
  </si>
  <si>
    <t>EM10002</t>
  </si>
  <si>
    <t>Etiq.Blanca 1 1/4 * 3/4</t>
  </si>
  <si>
    <t># Codigo Netsuite</t>
  </si>
  <si>
    <t>FAS</t>
  </si>
  <si>
    <t>Tiempo de Horneo:</t>
  </si>
  <si>
    <t>Horno:</t>
  </si>
  <si>
    <t>Temperatura de Horneo:</t>
  </si>
  <si>
    <t>Encremado</t>
  </si>
  <si>
    <t>NUEVO</t>
  </si>
  <si>
    <t>Empaque salsa de ron</t>
  </si>
  <si>
    <t>MAYCA</t>
  </si>
  <si>
    <t>Aseal</t>
  </si>
  <si>
    <t>1/3 de taza</t>
  </si>
  <si>
    <t>SE00069</t>
  </si>
  <si>
    <t>Crema Beidge</t>
  </si>
  <si>
    <t>SE00034</t>
  </si>
  <si>
    <t>Mezcla Sirope manjar Dulce Leche</t>
  </si>
  <si>
    <t>1. Se monta la torta, se encrema con la crema beige de manera lisa con la espatula.</t>
  </si>
  <si>
    <t xml:space="preserve">3. En la parte inferior de la torta, realizar un linea con el sirope de manjar y alisar nuevamente hacieno un degradado. </t>
  </si>
  <si>
    <t>5.Dejar enfriar, empacar y etiquetar.</t>
  </si>
  <si>
    <t xml:space="preserve">g </t>
  </si>
  <si>
    <t xml:space="preserve">TIEMPO TOTAL DE PREPARACIÓN </t>
  </si>
  <si>
    <t>2. Incorporar el azucar hasta que tome un color estilo caramelo.</t>
  </si>
  <si>
    <t>3. Se agrega la Crema Gourmet y el mangar, mezclando hasta que agarre un punto denso.</t>
  </si>
  <si>
    <t>1.Realizar el Brittle de almendras, una vez listo y procesado, derretir chocolate  blanco y mezclarlo muy bien.</t>
  </si>
  <si>
    <t>2. Exparsirlo bien en una bandeja y dejarlo secar.</t>
  </si>
  <si>
    <t>3. Cuando este bien seco. Se vuelve a procesar para que queden pequeños trozos.</t>
  </si>
  <si>
    <t>4. Guardar y etiquetar.</t>
  </si>
  <si>
    <t>Agua (PLANTA)</t>
  </si>
  <si>
    <t>3. Colocar la avellana triturada en el borde como decoración.</t>
  </si>
  <si>
    <t xml:space="preserve">4. Por último colocar los trozos de chocolate blanco en el centro y la avellanas enteras al lado del chocolate. </t>
  </si>
  <si>
    <t xml:space="preserve">    Ensamble  Torta de Avellana Industria</t>
  </si>
  <si>
    <t xml:space="preserve">DECORACIÓN </t>
  </si>
  <si>
    <t>MP10025</t>
  </si>
  <si>
    <t>Preservante 1017S</t>
  </si>
  <si>
    <t xml:space="preserve">4. Por ultimo se le incorpora el agua y el ron hasta que espece. </t>
  </si>
  <si>
    <t>Tanda</t>
  </si>
  <si>
    <t xml:space="preserve">2. Guardar y etiquetar </t>
  </si>
  <si>
    <t>SE00355</t>
  </si>
  <si>
    <t>Caramelo Crocante</t>
  </si>
  <si>
    <t>NACIONAL</t>
  </si>
  <si>
    <t>ENSAMBLE DISCO QUESO Y CONDENSADA</t>
  </si>
  <si>
    <t>HILOS</t>
  </si>
  <si>
    <t>BORDE</t>
  </si>
  <si>
    <t>ETIQUETA ESPECIAL TEMPORADA</t>
  </si>
  <si>
    <t xml:space="preserve">2. En la parte inferior de la torta, realizar un linea con el sirope de manjar y alisar nuevamente hacieno un degradado. </t>
  </si>
  <si>
    <t>3. Hacer con el lustre una corona dejando el centro hueco, para colocar la salsa de ron y que no se desborde.</t>
  </si>
  <si>
    <t>4. Colocar los trozos de chocolate blanco en un borde de la torta y luego al borde hacer hilos de manjar.</t>
  </si>
  <si>
    <t xml:space="preserve">    Ensamble  Torta de queso y manjar de olla</t>
  </si>
  <si>
    <t>Juan Pablo Brenes-Chef</t>
  </si>
  <si>
    <t>Cocina</t>
  </si>
  <si>
    <t>SE00032</t>
  </si>
  <si>
    <t>CREMA DULCE LECHE KILO</t>
  </si>
  <si>
    <t>Boquilla lisa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</si>
  <si>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</si>
  <si>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</si>
  <si>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</si>
  <si>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</si>
  <si>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</si>
  <si>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</si>
  <si>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</si>
  <si>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</si>
  <si>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</si>
  <si>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</si>
  <si>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</si>
  <si>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</si>
  <si>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</si>
  <si>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Gramos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</si>
  <si>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</si>
  <si>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</si>
  <si>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</si>
  <si>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</si>
  <si>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</si>
  <si>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</si>
  <si>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</si>
  <si>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</si>
  <si>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</si>
  <si>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</si>
  <si>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</si>
  <si>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</si>
  <si>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</si>
  <si>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</si>
  <si>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</si>
  <si>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</si>
  <si>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</si>
  <si>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</si>
  <si>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</si>
  <si>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</si>
  <si>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</si>
  <si>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</si>
  <si>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</si>
  <si>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</si>
  <si>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</si>
  <si>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</si>
  <si>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</si>
  <si>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</si>
  <si>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</si>
  <si>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</si>
  <si>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</si>
  <si>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</si>
  <si>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</si>
  <si>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</si>
  <si>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</si>
  <si>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</si>
  <si>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</si>
  <si>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</si>
  <si>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</si>
  <si>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 xml:space="preserve">UND </t>
  </si>
  <si>
    <t>121603</t>
  </si>
  <si>
    <t>701096</t>
  </si>
  <si>
    <t>0702123</t>
  </si>
  <si>
    <t>0702069</t>
  </si>
  <si>
    <t>Empaque salsa de whiky</t>
  </si>
  <si>
    <t>Empaque salsa de whisky</t>
  </si>
  <si>
    <t>ESP-RE-POS-022</t>
  </si>
  <si>
    <t>01</t>
  </si>
  <si>
    <t>Caramelo Crocante 1000g Spoon SE00355</t>
  </si>
  <si>
    <t>Javier Tong, Chef</t>
  </si>
  <si>
    <t>Esteban Cartin, Gte Manufactura</t>
  </si>
  <si>
    <t># Código Netsuite</t>
  </si>
  <si>
    <t>Ensamble</t>
  </si>
  <si>
    <t>MP10078</t>
  </si>
  <si>
    <t xml:space="preserve">AZUCAR REFINO INDUSTRIAL </t>
  </si>
  <si>
    <t>Decoración</t>
  </si>
  <si>
    <t>Empaque</t>
  </si>
  <si>
    <t>BOLSA 12X18 TRANSPARENTE</t>
  </si>
  <si>
    <t>PLASTICOS P</t>
  </si>
  <si>
    <t>ETIQ.BLANCA 1 13/16 * 1 7/8</t>
  </si>
  <si>
    <t>Otros</t>
  </si>
  <si>
    <t>1.- Derretir el azucar hasta tomar color caramelo. Tener cuidado de no quemar.</t>
  </si>
  <si>
    <t>2.- Retirar del fuego y colocar en una blonda de teflon, dejar enfriar.</t>
  </si>
  <si>
    <t xml:space="preserve">3.- Partir con un maso, trozos pequeños. </t>
  </si>
  <si>
    <t>4.- Enviar a figuras.</t>
  </si>
  <si>
    <t>ESP-RE-BAS-030</t>
  </si>
  <si>
    <t>907000311(SE00462) Rosquete nucleo vainilla Dawn redondo 360g</t>
  </si>
  <si>
    <t>Batidos</t>
  </si>
  <si>
    <t>SE00444</t>
  </si>
  <si>
    <t>BATIDO NUCLEO VAINILLA DAWN</t>
  </si>
  <si>
    <t>902000019</t>
  </si>
  <si>
    <t>MEZCLA P/ENGRASE MOLDES KILO</t>
  </si>
  <si>
    <t>AS00028</t>
  </si>
  <si>
    <t>BOLSA TRANSPARENTE 56X96X1.80 KILO</t>
  </si>
  <si>
    <t>0702007</t>
  </si>
  <si>
    <t>EM10004</t>
  </si>
  <si>
    <t>ETIQ.FECHA VENCIMIENTO BLANCO (ROLLO)</t>
  </si>
  <si>
    <t>ETIQ.BLANCA 1 1/4 * 3/4 (UND)</t>
  </si>
  <si>
    <t/>
  </si>
  <si>
    <t>Min</t>
  </si>
  <si>
    <t>1.- Pesar 360g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</si>
  <si>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</si>
  <si>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</si>
  <si>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ESP-RE-BAS-027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</si>
  <si>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</si>
  <si>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</si>
  <si>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</si>
  <si>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</si>
  <si>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</si>
  <si>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</si>
  <si>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10415</t>
  </si>
  <si>
    <t>AGUA POTABLE (PLANTA)</t>
  </si>
  <si>
    <t>MP10315</t>
  </si>
  <si>
    <t>PRESERVANTE MIXTO (UND:17 K)</t>
  </si>
  <si>
    <t>PURATOS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</si>
  <si>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</si>
  <si>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</si>
  <si>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</si>
  <si>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ESP-RE-PRES-025</t>
  </si>
  <si>
    <t>SE00443 Premezcla Batido Nucleo Vainilla  Dawn</t>
  </si>
  <si>
    <t>Premezclas</t>
  </si>
  <si>
    <t>MP10074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</si>
  <si>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</si>
  <si>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</si>
  <si>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</si>
  <si>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</si>
  <si>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</si>
  <si>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</si>
  <si>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</si>
  <si>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</si>
  <si>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</si>
  <si>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</si>
  <si>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</si>
  <si>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</si>
  <si>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</si>
  <si>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PRESERVANTE 1047S (PAQ=5 KILO)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</si>
  <si>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</si>
  <si>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</si>
  <si>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</si>
  <si>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</si>
  <si>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</si>
  <si>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</si>
  <si>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</si>
  <si>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</si>
  <si>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</si>
  <si>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MP10517</t>
  </si>
  <si>
    <t>ACTI EGG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</si>
  <si>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</si>
  <si>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</si>
  <si>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</si>
  <si>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</si>
  <si>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</si>
  <si>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</si>
  <si>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</si>
  <si>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</si>
  <si>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huevo, acti egg. Etiquetar</t>
  </si>
  <si>
    <t>3, En una bolsa 8*12 pesar el preservante y el bicarbonato (se debe pesar justo antes de su uso)</t>
  </si>
  <si>
    <t>4, En una bolsa 8*12 pesar la clara</t>
  </si>
  <si>
    <t>ESP-RE-COCS-017</t>
  </si>
  <si>
    <t>SE00005 - ALMIBAR</t>
  </si>
  <si>
    <t>AZUCAR BLANCO INDUSTRIAL KILO</t>
  </si>
  <si>
    <t>10100311</t>
  </si>
  <si>
    <t>MP10095</t>
  </si>
  <si>
    <t>CANELA EN ASTILLA</t>
  </si>
  <si>
    <t>PRIMA</t>
  </si>
  <si>
    <t>0810288</t>
  </si>
  <si>
    <t>MP10598</t>
  </si>
  <si>
    <t>JUGO DE NARANJA TB</t>
  </si>
  <si>
    <t>1212410</t>
  </si>
  <si>
    <t>EM10259</t>
  </si>
  <si>
    <t>PLAST. AUTOAD 18 * 2000</t>
  </si>
  <si>
    <t>90</t>
  </si>
  <si>
    <t>Cm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</si>
  <si>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</si>
  <si>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</si>
  <si>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</si>
  <si>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</si>
  <si>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 xml:space="preserve">ESP-RE-DES-042 </t>
  </si>
  <si>
    <t>09</t>
  </si>
  <si>
    <t xml:space="preserve"> Crema Beidge SE00069</t>
  </si>
  <si>
    <t>SE00670</t>
  </si>
  <si>
    <t>CREMA BLANCA SUPREMO</t>
  </si>
  <si>
    <t>MP10150</t>
  </si>
  <si>
    <t>COLORANTE GEL EGG YELLOW  (UND= 130 ML)</t>
  </si>
  <si>
    <t>Master Pack</t>
  </si>
  <si>
    <t>ETIQ.BLANCA 1 1/4 * 3/4</t>
  </si>
  <si>
    <t>Etiplas</t>
  </si>
  <si>
    <t>PESO POR PORCION</t>
  </si>
  <si>
    <t>1, Mezclar la crema con los colorantes, hatsa homogeneo</t>
  </si>
  <si>
    <t>2.- Mantener en refrigeración.</t>
  </si>
  <si>
    <t>4: Actualización de codigos.</t>
  </si>
  <si>
    <t>5: Actualización de rendimiento</t>
  </si>
  <si>
    <t>6: Actualizacion del peso del colorante</t>
  </si>
  <si>
    <t>7: Se Elimina la crema supremo, la crema prestige, el preservante, el agua. Se agrega el subproducto crema chantilly Spoon</t>
  </si>
  <si>
    <t>8: Ajuste del peso de la crema</t>
  </si>
  <si>
    <t>9: Cambio de crema blanca Spoon por crema blanca supremo.</t>
  </si>
  <si>
    <t>ESP-RE-DES-016</t>
  </si>
  <si>
    <t>Mezcla Sirope de Dulce de Leche(5350g) 910000006(SE00034)</t>
  </si>
  <si>
    <t>Decoracion</t>
  </si>
  <si>
    <t>11400066</t>
  </si>
  <si>
    <t xml:space="preserve">MANJAR DE LECHE CONDENSADA </t>
  </si>
  <si>
    <t>NESTLE</t>
  </si>
  <si>
    <t>1950765</t>
  </si>
  <si>
    <t>0702012</t>
  </si>
  <si>
    <t>EM10005</t>
  </si>
  <si>
    <t>ETIQ.FECHA VENCIMIENTO</t>
  </si>
  <si>
    <t>1950705</t>
  </si>
  <si>
    <t xml:space="preserve">BOLSA 8x12 TRANSP </t>
  </si>
  <si>
    <t>Min.</t>
  </si>
  <si>
    <t>1.- Colocar en una batidora el manjar y agregar el agua, batir con ayuda del globo y colocar en velocidad 1 por 2 minutos.</t>
  </si>
  <si>
    <t>2.- Limpiar los lados y batir por 2 minutos mas.</t>
  </si>
  <si>
    <t>3.- Cubrir con plastico y etiquetar con fecha de producción.</t>
  </si>
  <si>
    <t>Cuenta con 2 dias de vida util despues de su elaboración, guardar los sobrantes en bolsasa plasticas en refigeración.</t>
  </si>
  <si>
    <t>ESP-RE-DES-180</t>
  </si>
  <si>
    <t>1</t>
  </si>
  <si>
    <t>SE00670 Crema Blanca Supremo</t>
  </si>
  <si>
    <t>MP10047</t>
  </si>
  <si>
    <t>BETTERCREME SUPREMO (UND:4 K)</t>
  </si>
  <si>
    <t>Richs</t>
  </si>
  <si>
    <t>MP10048</t>
  </si>
  <si>
    <t>CREMA PRESTIGE GRAND (UND:4 K)</t>
  </si>
  <si>
    <t>AyA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</si>
  <si>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</si>
  <si>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</si>
  <si>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</si>
  <si>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</si>
  <si>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</si>
  <si>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</si>
  <si>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 xml:space="preserve">Whisky Red label </t>
  </si>
  <si>
    <t xml:space="preserve">   PTL00237-20200106  Ensamble  Torta de Whisky y Dulce leche </t>
  </si>
  <si>
    <t>SE00682 CARAMELO CON CHOCOLATE BLANCO</t>
  </si>
  <si>
    <t>SE00685 Almibar de Whisky</t>
  </si>
  <si>
    <t>MP10545</t>
  </si>
  <si>
    <t>SE00683</t>
  </si>
  <si>
    <t>SE00686</t>
  </si>
  <si>
    <t>MP10754</t>
  </si>
  <si>
    <t xml:space="preserve">    PTI00240 Ensamble  Torta de Whisky y Dulce leche </t>
  </si>
  <si>
    <t>FILTROS :</t>
  </si>
  <si>
    <t>SUBSIDIARIA</t>
  </si>
  <si>
    <t>Empresa principal : Servicios de Pastelería S.A.</t>
  </si>
  <si>
    <t>ARTÍCULO</t>
  </si>
  <si>
    <t>PTI00240 Torta de Whisky y Dulce de Leche</t>
  </si>
  <si>
    <t>UBICACIÓN</t>
  </si>
  <si>
    <t>Bodega Administrativa</t>
  </si>
  <si>
    <t>LISTA DE MATERIALES</t>
  </si>
  <si>
    <t>BOM PTI00240</t>
  </si>
  <si>
    <t>CONTROL DE VISUALIZACIÓN</t>
  </si>
  <si>
    <t>Por revisión</t>
  </si>
  <si>
    <t>FECHA/FECHA EFECTIVA</t>
  </si>
  <si>
    <t>11/03/2025</t>
  </si>
  <si>
    <t>REVISIÓN DE LISTA DE MATERIALES</t>
  </si>
  <si>
    <t>REV V1 BOM PTI00240</t>
  </si>
  <si>
    <t>POR RUTA DE FABRICACIÓN</t>
  </si>
  <si>
    <t>No</t>
  </si>
  <si>
    <t>RUTA DE FABRICACIÓN</t>
  </si>
  <si>
    <t>CANTIDAD DE ENSAMBLAJE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</si>
  <si>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</si>
  <si>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</si>
  <si>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</si>
  <si>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</si>
  <si>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</si>
  <si>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</si>
  <si>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CRC6,691.63</t>
  </si>
  <si>
    <t>CRC6,691.63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</si>
  <si>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</si>
  <si>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</si>
  <si>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</si>
  <si>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</si>
  <si>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</si>
  <si>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</si>
  <si>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</si>
  <si>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</si>
  <si>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TOTAL</t>
  </si>
  <si>
    <t>Trozos de Chocolate Blanco</t>
  </si>
  <si>
    <t>40</t>
  </si>
  <si>
    <t>100%</t>
  </si>
  <si>
    <t>14.90</t>
  </si>
  <si>
    <t>GRAMOS</t>
  </si>
  <si>
    <t>596.00</t>
  </si>
  <si>
    <t>5</t>
  </si>
  <si>
    <t>2.12736833</t>
  </si>
  <si>
    <t>10.64</t>
  </si>
  <si>
    <t>Quequera Red  Base/Domo 10</t>
  </si>
  <si>
    <t>427.404</t>
  </si>
  <si>
    <t>427.40</t>
  </si>
  <si>
    <t>112.008</t>
  </si>
  <si>
    <t>112.01</t>
  </si>
  <si>
    <t>Etiqueta Blanca R-153</t>
  </si>
  <si>
    <t>0.39</t>
  </si>
  <si>
    <t>2.128</t>
  </si>
  <si>
    <t>2.13</t>
  </si>
  <si>
    <t>0.58</t>
  </si>
  <si>
    <t>SC-MO1</t>
  </si>
  <si>
    <t>Mano de Obra</t>
  </si>
  <si>
    <t>11.98</t>
  </si>
  <si>
    <t>77.00</t>
  </si>
  <si>
    <t>922.46</t>
  </si>
  <si>
    <t>SC-GIF1</t>
  </si>
  <si>
    <t>Gastos Indirectos Fabricación</t>
  </si>
  <si>
    <t>64.00</t>
  </si>
  <si>
    <t>766.72</t>
  </si>
  <si>
    <t>Crema Dulce Leche</t>
  </si>
  <si>
    <t>0.02</t>
  </si>
  <si>
    <t>2,270.5971524</t>
  </si>
  <si>
    <t>KILOGRAMOS</t>
  </si>
  <si>
    <t>45.41</t>
  </si>
  <si>
    <t>0.01</t>
  </si>
  <si>
    <t>1,991.21628332</t>
  </si>
  <si>
    <t>19.91</t>
  </si>
  <si>
    <t>0.135</t>
  </si>
  <si>
    <t>2,211.05533465</t>
  </si>
  <si>
    <t>298.49</t>
  </si>
  <si>
    <t>Disco de Queso y  Leche Condensada</t>
  </si>
  <si>
    <t>3,089.25697684</t>
  </si>
  <si>
    <t>3,089.26</t>
  </si>
  <si>
    <t>Empaque Salsa de Whisky</t>
  </si>
  <si>
    <t>0.07</t>
  </si>
  <si>
    <t>5,717.56297447</t>
  </si>
  <si>
    <t>400.23</t>
  </si>
  <si>
    <t>ESP-RE-DES-062</t>
  </si>
  <si>
    <t>2</t>
  </si>
  <si>
    <t xml:space="preserve">  PTI00240 Ensamble  Torta de Whisky y Dulce leche </t>
  </si>
  <si>
    <t>PTI00240</t>
  </si>
  <si>
    <t xml:space="preserve">Torta de Whisky y Dulce de Leche </t>
  </si>
  <si>
    <t>0.006</t>
  </si>
  <si>
    <t xml:space="preserve">Merma por desecho </t>
  </si>
  <si>
    <t>EM10441</t>
  </si>
  <si>
    <t>Etiqueta Torta Whisky Dulce de Leche</t>
  </si>
  <si>
    <t>Revision #2: Codigo de la etiqueta whisky</t>
  </si>
  <si>
    <t xml:space="preserve">Revision #3: Se agrega merma por desecho </t>
  </si>
  <si>
    <t>PROCEDIMIENTO</t>
  </si>
  <si>
    <t>ESP-RE-POS-163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</si>
</sst>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[$-409]d\-mmm\-yy;@"/>
    <numFmt numFmtId="166" formatCode="&quot;$&quot;#,##0_);[Red]\(&quot;$&quot;#,##0\)"/>
    <numFmt numFmtId="167" formatCode="_-* #,##0.0\ _€_-;\-* #,##0.0\ _€_-;_-* &quot;-&quot;??\ _€_-;_-@_-"/>
    <numFmt numFmtId="168" formatCode="_(* #,##0.00_);_(* \(#,##0.00\);_(* &quot;-&quot;??_);_(@_)"/>
    <numFmt numFmtId="169" formatCode="0.0"/>
    <numFmt numFmtId="170" formatCode="_(* #,##0.000_);_(* \(#,##0.000\);_(* &quot;-&quot;??_);_(@_)"/>
  </numFmts>
  <fonts count="7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1"/>
      <color theme="1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rgb="FF000000"/>
      <name val="Calibri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i/>
      <sz val="14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  <scheme val="minor"/>
    </font>
    <font>
      <sz val="11"/>
      <name val="Century Gothic"/>
      <family val="2"/>
    </font>
    <font>
      <sz val="14"/>
      <name val="Arial"/>
      <family val="2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sz val="14"/>
      <name val="Times New Roman"/>
      <family val="1"/>
    </font>
    <font>
      <sz val="14"/>
      <color rgb="FF000000"/>
      <name val="Calibri"/>
      <family val="2"/>
    </font>
    <font>
      <sz val="14"/>
      <color indexed="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6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933">
    <xf numFmtId="0" fontId="0" fillId="0" borderId="0" xfId="0"/>
    <xf numFmtId="0" fontId="2" fillId="0" borderId="0" xfId="1"/>
    <xf numFmtId="0" fontId="3" fillId="2" borderId="0" xfId="1" applyFont="1" applyFill="1" applyAlignment="1">
      <alignment vertical="center"/>
    </xf>
    <xf numFmtId="0" fontId="2" fillId="2" borderId="0" xfId="1" applyFill="1" applyAlignment="1">
      <alignment horizontal="left" indent="1"/>
    </xf>
    <xf numFmtId="0" fontId="2" fillId="0" borderId="12" xfId="1" applyBorder="1" applyAlignment="1">
      <alignment horizontal="center"/>
    </xf>
    <xf numFmtId="1" fontId="2" fillId="0" borderId="12" xfId="1" applyNumberFormat="1" applyBorder="1" applyAlignment="1">
      <alignment horizontal="center"/>
    </xf>
    <xf numFmtId="9" fontId="2" fillId="2" borderId="0" xfId="2" applyFill="1"/>
    <xf numFmtId="0" fontId="2" fillId="0" borderId="17" xfId="1" applyBorder="1" applyAlignment="1">
      <alignment horizontal="center"/>
    </xf>
    <xf numFmtId="1" fontId="2" fillId="0" borderId="17" xfId="1" applyNumberFormat="1" applyBorder="1" applyAlignment="1">
      <alignment horizontal="center"/>
    </xf>
    <xf numFmtId="0" fontId="6" fillId="0" borderId="17" xfId="1" applyFont="1" applyBorder="1" applyAlignment="1">
      <alignment horizontal="center"/>
    </xf>
    <xf numFmtId="0" fontId="2" fillId="0" borderId="19" xfId="1" applyBorder="1" applyAlignment="1">
      <alignment horizontal="center"/>
    </xf>
    <xf numFmtId="1" fontId="2" fillId="0" borderId="20" xfId="1" applyNumberFormat="1" applyBorder="1" applyAlignment="1">
      <alignment horizontal="center"/>
    </xf>
    <xf numFmtId="0" fontId="2" fillId="4" borderId="7" xfId="1" applyFill="1" applyBorder="1" applyAlignment="1">
      <alignment horizontal="center"/>
    </xf>
    <xf numFmtId="0" fontId="2" fillId="4" borderId="8" xfId="1" applyFill="1" applyBorder="1"/>
    <xf numFmtId="164" fontId="2" fillId="4" borderId="8" xfId="1" applyNumberFormat="1" applyFill="1" applyBorder="1" applyAlignment="1">
      <alignment horizontal="center" wrapText="1"/>
    </xf>
    <xf numFmtId="1" fontId="6" fillId="4" borderId="8" xfId="1" applyNumberFormat="1" applyFont="1" applyFill="1" applyBorder="1" applyAlignment="1">
      <alignment horizontal="center"/>
    </xf>
    <xf numFmtId="0" fontId="6" fillId="4" borderId="8" xfId="1" applyFont="1" applyFill="1" applyBorder="1" applyAlignment="1">
      <alignment horizontal="center"/>
    </xf>
    <xf numFmtId="0" fontId="2" fillId="4" borderId="9" xfId="1" applyFill="1" applyBorder="1" applyAlignment="1">
      <alignment horizontal="center"/>
    </xf>
    <xf numFmtId="0" fontId="2" fillId="2" borderId="22" xfId="1" applyFill="1" applyBorder="1" applyAlignment="1">
      <alignment horizontal="center"/>
    </xf>
    <xf numFmtId="164" fontId="2" fillId="2" borderId="0" xfId="1" applyNumberFormat="1" applyFill="1" applyAlignment="1">
      <alignment horizontal="center" wrapText="1"/>
    </xf>
    <xf numFmtId="1" fontId="2" fillId="2" borderId="0" xfId="1" applyNumberFormat="1" applyFill="1" applyAlignment="1">
      <alignment horizontal="center"/>
    </xf>
    <xf numFmtId="49" fontId="3" fillId="2" borderId="23" xfId="1" applyNumberFormat="1" applyFont="1" applyFill="1" applyBorder="1" applyAlignment="1">
      <alignment horizontal="center" vertical="center"/>
    </xf>
    <xf numFmtId="0" fontId="2" fillId="0" borderId="24" xfId="1" applyBorder="1" applyAlignment="1">
      <alignment horizontal="center"/>
    </xf>
    <xf numFmtId="1" fontId="2" fillId="0" borderId="17" xfId="1" applyNumberFormat="1" applyBorder="1" applyAlignment="1">
      <alignment horizontal="center" wrapText="1"/>
    </xf>
    <xf numFmtId="0" fontId="6" fillId="5" borderId="24" xfId="1" applyFont="1" applyFill="1" applyBorder="1" applyAlignment="1">
      <alignment horizontal="center"/>
    </xf>
    <xf numFmtId="1" fontId="7" fillId="0" borderId="17" xfId="1" applyNumberFormat="1" applyFont="1" applyBorder="1" applyAlignment="1">
      <alignment horizontal="center" wrapText="1"/>
    </xf>
    <xf numFmtId="1" fontId="7" fillId="0" borderId="17" xfId="1" applyNumberFormat="1" applyFont="1" applyBorder="1" applyAlignment="1">
      <alignment horizontal="center"/>
    </xf>
    <xf numFmtId="49" fontId="8" fillId="0" borderId="17" xfId="1" applyNumberFormat="1" applyFont="1" applyBorder="1"/>
    <xf numFmtId="49" fontId="8" fillId="0" borderId="25" xfId="1" applyNumberFormat="1" applyFont="1" applyBorder="1" applyAlignment="1">
      <alignment horizontal="center"/>
    </xf>
    <xf numFmtId="0" fontId="6" fillId="5" borderId="26" xfId="1" applyFont="1" applyFill="1" applyBorder="1" applyAlignment="1">
      <alignment horizontal="center"/>
    </xf>
    <xf numFmtId="0" fontId="2" fillId="0" borderId="20" xfId="1" applyBorder="1" applyAlignment="1">
      <alignment horizontal="center"/>
    </xf>
    <xf numFmtId="16" fontId="7" fillId="0" borderId="17" xfId="1" applyNumberFormat="1" applyFont="1" applyBorder="1" applyAlignment="1">
      <alignment horizontal="center"/>
    </xf>
    <xf numFmtId="0" fontId="2" fillId="0" borderId="0" xfId="1" applyAlignment="1">
      <alignment horizontal="center" vertical="center"/>
    </xf>
    <xf numFmtId="0" fontId="6" fillId="4" borderId="27" xfId="1" applyFont="1" applyFill="1" applyBorder="1" applyAlignment="1">
      <alignment horizontal="center"/>
    </xf>
    <xf numFmtId="1" fontId="6" fillId="4" borderId="12" xfId="1" applyNumberFormat="1" applyFont="1" applyFill="1" applyBorder="1" applyAlignment="1">
      <alignment horizontal="center" wrapText="1"/>
    </xf>
    <xf numFmtId="1" fontId="6" fillId="4" borderId="12" xfId="1" applyNumberFormat="1" applyFont="1" applyFill="1" applyBorder="1" applyAlignment="1">
      <alignment horizontal="center"/>
    </xf>
    <xf numFmtId="0" fontId="6" fillId="4" borderId="28" xfId="1" applyFont="1" applyFill="1" applyBorder="1" applyAlignment="1">
      <alignment horizontal="center" vertical="center" wrapText="1"/>
    </xf>
    <xf numFmtId="14" fontId="10" fillId="2" borderId="0" xfId="3" applyNumberFormat="1" applyFont="1" applyFill="1" applyAlignment="1">
      <alignment horizontal="center" vertical="center" wrapText="1"/>
    </xf>
    <xf numFmtId="0" fontId="2" fillId="2" borderId="12" xfId="3" applyFont="1" applyFill="1" applyBorder="1" applyAlignment="1">
      <alignment horizontal="right"/>
    </xf>
    <xf numFmtId="0" fontId="2" fillId="2" borderId="17" xfId="3" applyFont="1" applyFill="1" applyBorder="1" applyAlignment="1">
      <alignment horizontal="right"/>
    </xf>
    <xf numFmtId="49" fontId="12" fillId="2" borderId="24" xfId="3" applyNumberFormat="1" applyFont="1" applyFill="1" applyBorder="1" applyAlignment="1">
      <alignment horizontal="center"/>
    </xf>
    <xf numFmtId="0" fontId="6" fillId="2" borderId="17" xfId="3" applyFont="1" applyFill="1" applyBorder="1" applyAlignment="1">
      <alignment horizontal="right"/>
    </xf>
    <xf numFmtId="0" fontId="12" fillId="2" borderId="28" xfId="3" applyFont="1" applyFill="1" applyBorder="1" applyAlignment="1">
      <alignment horizontal="center"/>
    </xf>
    <xf numFmtId="0" fontId="6" fillId="2" borderId="29" xfId="3" applyFont="1" applyFill="1" applyBorder="1" applyAlignment="1">
      <alignment horizontal="right"/>
    </xf>
    <xf numFmtId="0" fontId="0" fillId="0" borderId="20" xfId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2" fillId="4" borderId="8" xfId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0" fontId="12" fillId="7" borderId="17" xfId="0" applyFont="1" applyFill="1" applyBorder="1" applyAlignment="1">
      <alignment horizontal="center"/>
    </xf>
    <xf numFmtId="0" fontId="16" fillId="7" borderId="17" xfId="0" applyFont="1" applyFill="1" applyBorder="1"/>
    <xf numFmtId="1" fontId="12" fillId="7" borderId="17" xfId="0" applyNumberFormat="1" applyFont="1" applyFill="1" applyBorder="1" applyAlignment="1">
      <alignment horizontal="center"/>
    </xf>
    <xf numFmtId="0" fontId="12" fillId="7" borderId="17" xfId="0" applyFont="1" applyFill="1" applyBorder="1"/>
    <xf numFmtId="0" fontId="0" fillId="0" borderId="17" xfId="0" applyBorder="1"/>
    <xf numFmtId="0" fontId="17" fillId="0" borderId="17" xfId="0" applyFont="1" applyBorder="1"/>
    <xf numFmtId="0" fontId="12" fillId="0" borderId="17" xfId="1" applyFont="1" applyBorder="1" applyAlignment="1">
      <alignment horizontal="center"/>
    </xf>
    <xf numFmtId="1" fontId="12" fillId="0" borderId="17" xfId="1" applyNumberFormat="1" applyFont="1" applyBorder="1" applyAlignment="1">
      <alignment horizontal="center"/>
    </xf>
    <xf numFmtId="1" fontId="12" fillId="0" borderId="17" xfId="1" applyNumberFormat="1" applyFont="1" applyBorder="1" applyAlignment="1">
      <alignment horizontal="center" wrapText="1"/>
    </xf>
    <xf numFmtId="0" fontId="16" fillId="2" borderId="29" xfId="3" applyFont="1" applyFill="1" applyBorder="1" applyAlignment="1">
      <alignment horizontal="right"/>
    </xf>
    <xf numFmtId="0" fontId="16" fillId="2" borderId="17" xfId="3" applyFont="1" applyFill="1" applyBorder="1" applyAlignment="1">
      <alignment horizontal="right"/>
    </xf>
    <xf numFmtId="0" fontId="12" fillId="0" borderId="17" xfId="0" applyFont="1" applyBorder="1" applyAlignment="1">
      <alignment horizontal="center"/>
    </xf>
    <xf numFmtId="1" fontId="12" fillId="0" borderId="17" xfId="0" applyNumberFormat="1" applyFont="1" applyBorder="1" applyAlignment="1">
      <alignment horizontal="center" wrapText="1"/>
    </xf>
    <xf numFmtId="1" fontId="12" fillId="0" borderId="17" xfId="0" applyNumberFormat="1" applyFont="1" applyBorder="1" applyAlignment="1">
      <alignment horizontal="center"/>
    </xf>
    <xf numFmtId="16" fontId="7" fillId="0" borderId="17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 wrapText="1"/>
    </xf>
    <xf numFmtId="0" fontId="16" fillId="0" borderId="17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16" fontId="12" fillId="0" borderId="17" xfId="1" applyNumberFormat="1" applyFont="1" applyBorder="1" applyAlignment="1">
      <alignment horizontal="center"/>
    </xf>
    <xf numFmtId="0" fontId="12" fillId="2" borderId="0" xfId="1" applyFont="1" applyFill="1"/>
    <xf numFmtId="0" fontId="16" fillId="4" borderId="28" xfId="1" applyFont="1" applyFill="1" applyBorder="1" applyAlignment="1">
      <alignment horizontal="center" vertical="center" wrapText="1"/>
    </xf>
    <xf numFmtId="1" fontId="12" fillId="5" borderId="17" xfId="1" applyNumberFormat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2" fillId="4" borderId="8" xfId="1" applyFont="1" applyFill="1" applyBorder="1" applyAlignment="1">
      <alignment horizontal="center"/>
    </xf>
    <xf numFmtId="0" fontId="12" fillId="4" borderId="8" xfId="1" applyFont="1" applyFill="1" applyBorder="1"/>
    <xf numFmtId="0" fontId="16" fillId="4" borderId="8" xfId="1" applyFont="1" applyFill="1" applyBorder="1" applyAlignment="1">
      <alignment horizontal="center"/>
    </xf>
    <xf numFmtId="1" fontId="16" fillId="4" borderId="8" xfId="1" applyNumberFormat="1" applyFont="1" applyFill="1" applyBorder="1" applyAlignment="1">
      <alignment horizontal="center"/>
    </xf>
    <xf numFmtId="164" fontId="12" fillId="4" borderId="8" xfId="1" applyNumberFormat="1" applyFont="1" applyFill="1" applyBorder="1" applyAlignment="1">
      <alignment horizontal="center" wrapText="1"/>
    </xf>
    <xf numFmtId="0" fontId="12" fillId="4" borderId="7" xfId="1" applyFont="1" applyFill="1" applyBorder="1" applyAlignment="1">
      <alignment horizontal="center"/>
    </xf>
    <xf numFmtId="1" fontId="12" fillId="0" borderId="20" xfId="1" applyNumberFormat="1" applyFont="1" applyBorder="1" applyAlignment="1">
      <alignment horizontal="center"/>
    </xf>
    <xf numFmtId="0" fontId="12" fillId="2" borderId="0" xfId="1" applyFont="1" applyFill="1" applyAlignment="1">
      <alignment horizontal="left" indent="1"/>
    </xf>
    <xf numFmtId="9" fontId="12" fillId="2" borderId="0" xfId="4" applyFont="1" applyFill="1"/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4" fillId="0" borderId="0" xfId="0" applyFont="1"/>
    <xf numFmtId="0" fontId="0" fillId="0" borderId="16" xfId="0" applyBorder="1"/>
    <xf numFmtId="0" fontId="0" fillId="0" borderId="16" xfId="0" applyBorder="1" applyAlignment="1">
      <alignment horizontal="center"/>
    </xf>
    <xf numFmtId="1" fontId="0" fillId="0" borderId="0" xfId="0" applyNumberFormat="1"/>
    <xf numFmtId="0" fontId="6" fillId="4" borderId="26" xfId="1" applyFont="1" applyFill="1" applyBorder="1" applyAlignment="1">
      <alignment horizontal="center" vertical="center" wrapText="1"/>
    </xf>
    <xf numFmtId="14" fontId="10" fillId="2" borderId="17" xfId="3" applyNumberFormat="1" applyFont="1" applyFill="1" applyBorder="1" applyAlignment="1">
      <alignment horizontal="center" vertical="center" wrapText="1"/>
    </xf>
    <xf numFmtId="0" fontId="6" fillId="0" borderId="17" xfId="0" applyFont="1" applyBorder="1"/>
    <xf numFmtId="0" fontId="0" fillId="0" borderId="17" xfId="0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wrapText="1"/>
    </xf>
    <xf numFmtId="1" fontId="0" fillId="5" borderId="0" xfId="0" applyNumberFormat="1" applyFill="1"/>
    <xf numFmtId="1" fontId="6" fillId="4" borderId="42" xfId="1" applyNumberFormat="1" applyFont="1" applyFill="1" applyBorder="1" applyAlignment="1">
      <alignment horizontal="center"/>
    </xf>
    <xf numFmtId="0" fontId="2" fillId="0" borderId="17" xfId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7" xfId="0" applyFill="1" applyBorder="1"/>
    <xf numFmtId="0" fontId="0" fillId="0" borderId="25" xfId="0" applyBorder="1" applyAlignment="1">
      <alignment horizontal="center"/>
    </xf>
    <xf numFmtId="0" fontId="22" fillId="0" borderId="17" xfId="0" applyFont="1" applyBorder="1"/>
    <xf numFmtId="0" fontId="8" fillId="5" borderId="0" xfId="0" applyFont="1" applyFill="1" applyAlignment="1">
      <alignment vertical="center"/>
    </xf>
    <xf numFmtId="0" fontId="23" fillId="9" borderId="17" xfId="0" applyFont="1" applyFill="1" applyBorder="1" applyAlignment="1">
      <alignment horizontal="center" vertical="center" wrapText="1"/>
    </xf>
    <xf numFmtId="0" fontId="23" fillId="9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23" fillId="0" borderId="17" xfId="5" applyFont="1" applyFill="1" applyBorder="1" applyAlignment="1">
      <alignment horizontal="center" vertical="center"/>
    </xf>
    <xf numFmtId="43" fontId="23" fillId="0" borderId="0" xfId="5" applyFont="1" applyFill="1" applyBorder="1" applyAlignment="1">
      <alignment horizontal="center" vertical="center"/>
    </xf>
    <xf numFmtId="43" fontId="25" fillId="0" borderId="0" xfId="5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5" fontId="28" fillId="0" borderId="0" xfId="0" applyNumberFormat="1" applyFont="1" applyAlignment="1">
      <alignment horizontal="center" vertical="center" wrapText="1"/>
    </xf>
    <xf numFmtId="0" fontId="23" fillId="10" borderId="50" xfId="0" applyFont="1" applyFill="1" applyBorder="1" applyAlignment="1">
      <alignment horizontal="center" vertical="center"/>
    </xf>
    <xf numFmtId="0" fontId="23" fillId="10" borderId="51" xfId="0" applyFont="1" applyFill="1" applyBorder="1" applyAlignment="1">
      <alignment horizontal="center" vertical="center"/>
    </xf>
    <xf numFmtId="0" fontId="23" fillId="10" borderId="51" xfId="0" applyFont="1" applyFill="1" applyBorder="1" applyAlignment="1">
      <alignment horizontal="center" vertical="center" wrapText="1"/>
    </xf>
    <xf numFmtId="0" fontId="23" fillId="10" borderId="5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29" fillId="0" borderId="0" xfId="0" applyNumberFormat="1" applyFont="1" applyAlignment="1">
      <alignment horizontal="center"/>
    </xf>
    <xf numFmtId="4" fontId="29" fillId="0" borderId="0" xfId="6" applyNumberFormat="1" applyFont="1" applyFill="1" applyAlignment="1">
      <alignment horizontal="center" vertical="center"/>
    </xf>
    <xf numFmtId="4" fontId="23" fillId="0" borderId="0" xfId="6" applyNumberFormat="1" applyFont="1" applyFill="1" applyAlignment="1">
      <alignment horizontal="center" vertical="center"/>
    </xf>
    <xf numFmtId="10" fontId="23" fillId="0" borderId="0" xfId="7" applyNumberFormat="1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10" fontId="24" fillId="0" borderId="0" xfId="7" applyNumberFormat="1" applyFont="1" applyFill="1" applyAlignment="1">
      <alignment vertical="center"/>
    </xf>
    <xf numFmtId="0" fontId="8" fillId="0" borderId="0" xfId="0" applyFont="1"/>
    <xf numFmtId="49" fontId="23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5" applyFont="1" applyFill="1" applyAlignment="1">
      <alignment vertical="center"/>
    </xf>
    <xf numFmtId="49" fontId="3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3" fontId="31" fillId="0" borderId="0" xfId="5" applyFont="1" applyFill="1" applyAlignment="1">
      <alignment horizontal="center" vertical="center"/>
    </xf>
    <xf numFmtId="10" fontId="24" fillId="10" borderId="53" xfId="7" applyNumberFormat="1" applyFont="1" applyFill="1" applyBorder="1" applyAlignment="1">
      <alignment vertical="center"/>
    </xf>
    <xf numFmtId="0" fontId="8" fillId="10" borderId="8" xfId="0" applyFont="1" applyFill="1" applyBorder="1" applyAlignment="1">
      <alignment vertical="center"/>
    </xf>
    <xf numFmtId="0" fontId="8" fillId="10" borderId="53" xfId="0" applyFont="1" applyFill="1" applyBorder="1" applyAlignment="1">
      <alignment vertical="center"/>
    </xf>
    <xf numFmtId="43" fontId="31" fillId="10" borderId="54" xfId="5" applyFont="1" applyFill="1" applyBorder="1" applyAlignment="1">
      <alignment horizontal="center" vertical="center"/>
    </xf>
    <xf numFmtId="43" fontId="33" fillId="0" borderId="0" xfId="5" applyFont="1" applyFill="1" applyBorder="1" applyAlignment="1">
      <alignment horizontal="right"/>
    </xf>
    <xf numFmtId="0" fontId="8" fillId="10" borderId="54" xfId="0" applyFont="1" applyFill="1" applyBorder="1" applyAlignment="1">
      <alignment vertical="center"/>
    </xf>
    <xf numFmtId="10" fontId="24" fillId="10" borderId="54" xfId="7" applyNumberFormat="1" applyFont="1" applyFill="1" applyBorder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9" fontId="32" fillId="0" borderId="0" xfId="0" applyNumberFormat="1" applyFont="1"/>
    <xf numFmtId="9" fontId="34" fillId="0" borderId="0" xfId="7" applyFont="1" applyFill="1" applyAlignment="1">
      <alignment horizontal="center"/>
    </xf>
    <xf numFmtId="0" fontId="31" fillId="0" borderId="0" xfId="0" applyFont="1" applyAlignment="1">
      <alignment horizontal="right" vertical="center"/>
    </xf>
    <xf numFmtId="4" fontId="31" fillId="0" borderId="0" xfId="5" applyNumberFormat="1" applyFont="1" applyFill="1" applyAlignment="1">
      <alignment vertical="center"/>
    </xf>
    <xf numFmtId="4" fontId="31" fillId="0" borderId="0" xfId="6" applyNumberFormat="1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22" xfId="0" applyFont="1" applyBorder="1" applyAlignment="1">
      <alignment horizontal="right"/>
    </xf>
    <xf numFmtId="43" fontId="37" fillId="6" borderId="55" xfId="5" applyFont="1" applyFill="1" applyBorder="1" applyAlignment="1">
      <alignment horizontal="right"/>
    </xf>
    <xf numFmtId="43" fontId="37" fillId="0" borderId="0" xfId="5" applyFont="1" applyFill="1" applyBorder="1" applyAlignment="1">
      <alignment horizontal="right"/>
    </xf>
    <xf numFmtId="43" fontId="23" fillId="0" borderId="17" xfId="5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4" fontId="31" fillId="0" borderId="0" xfId="6" applyNumberFormat="1" applyFont="1" applyFill="1" applyAlignment="1">
      <alignment horizontal="center" vertical="center"/>
    </xf>
    <xf numFmtId="10" fontId="39" fillId="0" borderId="0" xfId="7" applyNumberFormat="1" applyFont="1" applyFill="1" applyAlignment="1">
      <alignment horizontal="right"/>
    </xf>
    <xf numFmtId="167" fontId="23" fillId="10" borderId="17" xfId="5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23" fillId="11" borderId="17" xfId="5" applyFont="1" applyFill="1" applyBorder="1" applyAlignment="1">
      <alignment vertical="center"/>
    </xf>
    <xf numFmtId="168" fontId="40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4" fillId="10" borderId="56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2" fontId="39" fillId="0" borderId="0" xfId="5" applyNumberFormat="1" applyFont="1" applyFill="1" applyBorder="1" applyAlignment="1">
      <alignment horizontal="center"/>
    </xf>
    <xf numFmtId="2" fontId="36" fillId="0" borderId="0" xfId="5" applyNumberFormat="1" applyFont="1" applyFill="1" applyBorder="1" applyAlignment="1">
      <alignment horizontal="center"/>
    </xf>
    <xf numFmtId="0" fontId="8" fillId="10" borderId="56" xfId="0" applyFont="1" applyFill="1" applyBorder="1" applyAlignment="1">
      <alignment vertical="center"/>
    </xf>
    <xf numFmtId="10" fontId="8" fillId="0" borderId="0" xfId="7" applyNumberFormat="1" applyFont="1" applyFill="1" applyAlignment="1">
      <alignment vertical="center"/>
    </xf>
    <xf numFmtId="4" fontId="8" fillId="0" borderId="0" xfId="5" applyNumberFormat="1" applyFont="1" applyFill="1" applyAlignment="1">
      <alignment vertical="center"/>
    </xf>
    <xf numFmtId="43" fontId="37" fillId="10" borderId="8" xfId="5" applyFont="1" applyFill="1" applyBorder="1" applyAlignment="1">
      <alignment horizontal="right"/>
    </xf>
    <xf numFmtId="0" fontId="23" fillId="10" borderId="7" xfId="0" applyFont="1" applyFill="1" applyBorder="1" applyAlignment="1">
      <alignment horizontal="right" vertical="center"/>
    </xf>
    <xf numFmtId="10" fontId="43" fillId="0" borderId="0" xfId="5" applyNumberFormat="1" applyFont="1" applyFill="1" applyAlignment="1">
      <alignment vertical="center"/>
    </xf>
    <xf numFmtId="10" fontId="24" fillId="0" borderId="0" xfId="7" applyNumberFormat="1" applyFont="1" applyFill="1" applyBorder="1" applyAlignment="1">
      <alignment vertical="center"/>
    </xf>
    <xf numFmtId="168" fontId="44" fillId="0" borderId="0" xfId="0" applyNumberFormat="1" applyFont="1" applyAlignment="1">
      <alignment horizontal="center" vertical="center"/>
    </xf>
    <xf numFmtId="0" fontId="8" fillId="5" borderId="55" xfId="0" applyFont="1" applyFill="1" applyBorder="1" applyAlignment="1">
      <alignment horizontal="center" vertical="center"/>
    </xf>
    <xf numFmtId="43" fontId="45" fillId="0" borderId="0" xfId="5" applyFont="1" applyFill="1" applyAlignment="1">
      <alignment vertical="center"/>
    </xf>
    <xf numFmtId="4" fontId="46" fillId="0" borderId="0" xfId="6" applyNumberFormat="1" applyFont="1" applyFill="1" applyAlignment="1">
      <alignment horizontal="center" vertical="center" wrapText="1"/>
    </xf>
    <xf numFmtId="9" fontId="8" fillId="0" borderId="0" xfId="5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4" fontId="30" fillId="0" borderId="0" xfId="5" applyNumberFormat="1" applyFont="1" applyFill="1" applyAlignment="1">
      <alignment vertical="center"/>
    </xf>
    <xf numFmtId="4" fontId="23" fillId="13" borderId="55" xfId="5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43" fontId="47" fillId="0" borderId="0" xfId="5" applyFont="1" applyFill="1" applyAlignment="1">
      <alignment vertical="center"/>
    </xf>
    <xf numFmtId="9" fontId="47" fillId="0" borderId="0" xfId="5" applyNumberFormat="1" applyFont="1" applyFill="1" applyAlignment="1">
      <alignment vertical="center"/>
    </xf>
    <xf numFmtId="4" fontId="23" fillId="0" borderId="0" xfId="5" applyNumberFormat="1" applyFont="1" applyFill="1" applyAlignment="1">
      <alignment horizontal="center" vertical="center"/>
    </xf>
    <xf numFmtId="10" fontId="40" fillId="0" borderId="0" xfId="7" applyNumberFormat="1" applyFont="1" applyFill="1" applyAlignment="1">
      <alignment vertical="center"/>
    </xf>
    <xf numFmtId="43" fontId="40" fillId="0" borderId="0" xfId="5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5" applyFont="1" applyFill="1" applyBorder="1"/>
    <xf numFmtId="10" fontId="40" fillId="0" borderId="0" xfId="7" applyNumberFormat="1" applyFont="1" applyFill="1" applyBorder="1" applyAlignment="1">
      <alignment vertical="center"/>
    </xf>
    <xf numFmtId="0" fontId="40" fillId="0" borderId="0" xfId="0" applyFont="1" applyAlignment="1">
      <alignment horizontal="right"/>
    </xf>
    <xf numFmtId="43" fontId="8" fillId="0" borderId="0" xfId="5" applyFont="1" applyFill="1" applyBorder="1" applyAlignment="1">
      <alignment horizontal="center"/>
    </xf>
    <xf numFmtId="9" fontId="50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8" fontId="23" fillId="0" borderId="0" xfId="0" applyNumberFormat="1" applyFont="1"/>
    <xf numFmtId="0" fontId="0" fillId="14" borderId="17" xfId="0" applyFill="1" applyBorder="1"/>
    <xf numFmtId="16" fontId="7" fillId="14" borderId="17" xfId="1" applyNumberFormat="1" applyFont="1" applyFill="1" applyBorder="1" applyAlignment="1">
      <alignment horizontal="center"/>
    </xf>
    <xf numFmtId="0" fontId="2" fillId="14" borderId="17" xfId="1" applyFill="1" applyBorder="1" applyAlignment="1">
      <alignment horizontal="center" vertical="center"/>
    </xf>
    <xf numFmtId="14" fontId="12" fillId="2" borderId="31" xfId="3" applyNumberFormat="1" applyFont="1" applyFill="1" applyBorder="1" applyAlignment="1">
      <alignment horizontal="center" vertical="center" wrapText="1"/>
    </xf>
    <xf numFmtId="0" fontId="16" fillId="2" borderId="38" xfId="3" applyFont="1" applyFill="1" applyBorder="1" applyAlignment="1">
      <alignment horizontal="right" vertical="top" wrapText="1"/>
    </xf>
    <xf numFmtId="0" fontId="0" fillId="0" borderId="16" xfId="0" applyBorder="1" applyAlignment="1">
      <alignment horizontal="left"/>
    </xf>
    <xf numFmtId="0" fontId="12" fillId="2" borderId="0" xfId="3" applyFont="1" applyFill="1" applyAlignment="1">
      <alignment horizontal="center"/>
    </xf>
    <xf numFmtId="0" fontId="12" fillId="2" borderId="20" xfId="3" applyFont="1" applyFill="1" applyBorder="1" applyAlignment="1">
      <alignment horizontal="right"/>
    </xf>
    <xf numFmtId="0" fontId="12" fillId="2" borderId="17" xfId="3" applyFont="1" applyFill="1" applyBorder="1" applyAlignment="1">
      <alignment horizontal="right"/>
    </xf>
    <xf numFmtId="1" fontId="16" fillId="4" borderId="12" xfId="1" applyNumberFormat="1" applyFont="1" applyFill="1" applyBorder="1" applyAlignment="1">
      <alignment horizontal="center"/>
    </xf>
    <xf numFmtId="1" fontId="16" fillId="4" borderId="12" xfId="1" applyNumberFormat="1" applyFont="1" applyFill="1" applyBorder="1" applyAlignment="1">
      <alignment horizontal="center" wrapText="1"/>
    </xf>
    <xf numFmtId="0" fontId="16" fillId="4" borderId="27" xfId="1" applyFont="1" applyFill="1" applyBorder="1" applyAlignment="1">
      <alignment horizontal="center"/>
    </xf>
    <xf numFmtId="0" fontId="51" fillId="0" borderId="25" xfId="1" applyFont="1" applyBorder="1" applyAlignment="1">
      <alignment horizontal="center" vertical="center"/>
    </xf>
    <xf numFmtId="0" fontId="51" fillId="0" borderId="16" xfId="1" applyFont="1" applyBorder="1" applyAlignment="1">
      <alignment horizontal="center" vertical="center"/>
    </xf>
    <xf numFmtId="0" fontId="52" fillId="0" borderId="17" xfId="1" applyFont="1" applyBorder="1" applyAlignment="1">
      <alignment vertical="center"/>
    </xf>
    <xf numFmtId="0" fontId="51" fillId="0" borderId="17" xfId="1" applyFont="1" applyBorder="1" applyAlignment="1">
      <alignment horizontal="center" vertical="center"/>
    </xf>
    <xf numFmtId="1" fontId="51" fillId="0" borderId="17" xfId="1" applyNumberFormat="1" applyFont="1" applyBorder="1" applyAlignment="1">
      <alignment horizontal="center"/>
    </xf>
    <xf numFmtId="1" fontId="51" fillId="0" borderId="17" xfId="1" applyNumberFormat="1" applyFont="1" applyBorder="1" applyAlignment="1">
      <alignment horizontal="center" wrapText="1"/>
    </xf>
    <xf numFmtId="0" fontId="7" fillId="0" borderId="24" xfId="1" applyFont="1" applyBorder="1" applyAlignment="1">
      <alignment horizontal="center"/>
    </xf>
    <xf numFmtId="49" fontId="47" fillId="5" borderId="17" xfId="1" applyNumberFormat="1" applyFont="1" applyFill="1" applyBorder="1" applyAlignment="1">
      <alignment horizontal="center"/>
    </xf>
    <xf numFmtId="0" fontId="47" fillId="0" borderId="17" xfId="1" applyFont="1" applyBorder="1" applyAlignment="1">
      <alignment horizontal="left" wrapText="1"/>
    </xf>
    <xf numFmtId="16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12" fontId="12" fillId="0" borderId="20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5" borderId="17" xfId="0" applyFill="1" applyBorder="1"/>
    <xf numFmtId="16" fontId="7" fillId="2" borderId="17" xfId="0" applyNumberFormat="1" applyFont="1" applyFill="1" applyBorder="1" applyAlignment="1">
      <alignment horizontal="center"/>
    </xf>
    <xf numFmtId="1" fontId="20" fillId="2" borderId="17" xfId="0" applyNumberFormat="1" applyFont="1" applyFill="1" applyBorder="1" applyAlignment="1">
      <alignment horizontal="center"/>
    </xf>
    <xf numFmtId="1" fontId="7" fillId="2" borderId="17" xfId="0" applyNumberFormat="1" applyFont="1" applyFill="1" applyBorder="1" applyAlignment="1">
      <alignment horizontal="center" wrapText="1"/>
    </xf>
    <xf numFmtId="0" fontId="2" fillId="0" borderId="25" xfId="0" quotePrefix="1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2" fillId="0" borderId="17" xfId="0" quotePrefix="1" applyFont="1" applyBorder="1"/>
    <xf numFmtId="0" fontId="20" fillId="0" borderId="17" xfId="0" applyFont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7" fillId="0" borderId="17" xfId="1" applyFont="1" applyBorder="1" applyAlignment="1">
      <alignment horizontal="center"/>
    </xf>
    <xf numFmtId="1" fontId="0" fillId="0" borderId="17" xfId="0" applyNumberFormat="1" applyBorder="1"/>
    <xf numFmtId="0" fontId="12" fillId="5" borderId="17" xfId="1" applyFont="1" applyFill="1" applyBorder="1" applyAlignment="1">
      <alignment horizontal="center"/>
    </xf>
    <xf numFmtId="49" fontId="7" fillId="0" borderId="25" xfId="1" applyNumberFormat="1" applyFont="1" applyBorder="1" applyAlignment="1">
      <alignment horizontal="center"/>
    </xf>
    <xf numFmtId="49" fontId="7" fillId="0" borderId="16" xfId="1" applyNumberFormat="1" applyFont="1" applyBorder="1" applyAlignment="1">
      <alignment horizontal="center"/>
    </xf>
    <xf numFmtId="0" fontId="53" fillId="5" borderId="17" xfId="1" applyFont="1" applyFill="1" applyBorder="1" applyAlignment="1">
      <alignment horizontal="left"/>
    </xf>
    <xf numFmtId="169" fontId="7" fillId="0" borderId="17" xfId="1" applyNumberFormat="1" applyFont="1" applyBorder="1" applyAlignment="1">
      <alignment horizontal="center"/>
    </xf>
    <xf numFmtId="0" fontId="54" fillId="5" borderId="25" xfId="0" applyFont="1" applyFill="1" applyBorder="1" applyAlignment="1">
      <alignment horizontal="center"/>
    </xf>
    <xf numFmtId="0" fontId="54" fillId="5" borderId="21" xfId="0" applyFont="1" applyFill="1" applyBorder="1" applyAlignment="1">
      <alignment horizontal="center"/>
    </xf>
    <xf numFmtId="0" fontId="54" fillId="5" borderId="20" xfId="0" applyFont="1" applyFill="1" applyBorder="1"/>
    <xf numFmtId="0" fontId="12" fillId="5" borderId="16" xfId="0" applyFont="1" applyFill="1" applyBorder="1" applyAlignment="1">
      <alignment horizontal="center"/>
    </xf>
    <xf numFmtId="1" fontId="12" fillId="5" borderId="20" xfId="0" applyNumberFormat="1" applyFont="1" applyFill="1" applyBorder="1" applyAlignment="1">
      <alignment horizontal="center"/>
    </xf>
    <xf numFmtId="1" fontId="12" fillId="5" borderId="20" xfId="0" applyNumberFormat="1" applyFont="1" applyFill="1" applyBorder="1" applyAlignment="1">
      <alignment horizontal="center" wrapText="1"/>
    </xf>
    <xf numFmtId="49" fontId="12" fillId="5" borderId="20" xfId="0" applyNumberFormat="1" applyFont="1" applyFill="1" applyBorder="1" applyAlignment="1">
      <alignment horizontal="center"/>
    </xf>
    <xf numFmtId="1" fontId="12" fillId="5" borderId="17" xfId="1" applyNumberFormat="1" applyFont="1" applyFill="1" applyBorder="1" applyAlignment="1">
      <alignment horizontal="center" wrapText="1"/>
    </xf>
    <xf numFmtId="1" fontId="12" fillId="5" borderId="17" xfId="0" applyNumberFormat="1" applyFont="1" applyFill="1" applyBorder="1" applyAlignment="1">
      <alignment horizontal="center"/>
    </xf>
    <xf numFmtId="16" fontId="12" fillId="5" borderId="17" xfId="0" applyNumberFormat="1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1" fontId="12" fillId="0" borderId="20" xfId="0" applyNumberFormat="1" applyFont="1" applyBorder="1" applyAlignment="1">
      <alignment horizontal="center" wrapText="1"/>
    </xf>
    <xf numFmtId="16" fontId="12" fillId="0" borderId="17" xfId="0" applyNumberFormat="1" applyFont="1" applyBorder="1" applyAlignment="1">
      <alignment horizontal="center"/>
    </xf>
    <xf numFmtId="1" fontId="12" fillId="0" borderId="20" xfId="0" applyNumberFormat="1" applyFont="1" applyBorder="1" applyAlignment="1">
      <alignment horizontal="center"/>
    </xf>
    <xf numFmtId="49" fontId="51" fillId="0" borderId="18" xfId="1" applyNumberFormat="1" applyFont="1" applyBorder="1" applyAlignment="1">
      <alignment horizontal="center"/>
    </xf>
    <xf numFmtId="49" fontId="51" fillId="0" borderId="35" xfId="1" applyNumberFormat="1" applyFont="1" applyBorder="1" applyAlignment="1">
      <alignment horizontal="center"/>
    </xf>
    <xf numFmtId="0" fontId="55" fillId="5" borderId="17" xfId="1" applyFont="1" applyFill="1" applyBorder="1" applyAlignment="1">
      <alignment vertical="center"/>
    </xf>
    <xf numFmtId="0" fontId="51" fillId="0" borderId="16" xfId="1" applyFont="1" applyBorder="1" applyAlignment="1">
      <alignment horizontal="center"/>
    </xf>
    <xf numFmtId="169" fontId="51" fillId="0" borderId="17" xfId="1" applyNumberFormat="1" applyFont="1" applyBorder="1" applyAlignment="1">
      <alignment horizontal="center"/>
    </xf>
    <xf numFmtId="49" fontId="8" fillId="0" borderId="17" xfId="0" applyNumberFormat="1" applyFont="1" applyBorder="1"/>
    <xf numFmtId="0" fontId="7" fillId="0" borderId="17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wrapText="1"/>
    </xf>
    <xf numFmtId="170" fontId="16" fillId="5" borderId="17" xfId="5" applyNumberFormat="1" applyFont="1" applyFill="1" applyBorder="1" applyAlignment="1">
      <alignment horizontal="center"/>
    </xf>
    <xf numFmtId="0" fontId="1" fillId="0" borderId="17" xfId="8" applyBorder="1" applyAlignment="1">
      <alignment horizontal="center"/>
    </xf>
    <xf numFmtId="0" fontId="1" fillId="0" borderId="17" xfId="8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12" fontId="7" fillId="0" borderId="17" xfId="1" applyNumberFormat="1" applyFont="1" applyBorder="1" applyAlignment="1">
      <alignment horizontal="center"/>
    </xf>
    <xf numFmtId="0" fontId="12" fillId="0" borderId="17" xfId="0" quotePrefix="1" applyFont="1" applyBorder="1" applyAlignment="1">
      <alignment horizontal="center"/>
    </xf>
    <xf numFmtId="0" fontId="12" fillId="0" borderId="17" xfId="0" quotePrefix="1" applyFont="1" applyBorder="1"/>
    <xf numFmtId="1" fontId="20" fillId="0" borderId="17" xfId="1" applyNumberFormat="1" applyFont="1" applyBorder="1" applyAlignment="1">
      <alignment horizontal="center"/>
    </xf>
    <xf numFmtId="0" fontId="20" fillId="0" borderId="17" xfId="1" applyFont="1" applyBorder="1" applyAlignment="1">
      <alignment horizontal="center"/>
    </xf>
    <xf numFmtId="49" fontId="21" fillId="2" borderId="23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1" fontId="1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" wrapText="1"/>
    </xf>
    <xf numFmtId="0" fontId="12" fillId="2" borderId="22" xfId="1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/>
    </xf>
    <xf numFmtId="1" fontId="0" fillId="0" borderId="16" xfId="0" applyNumberFormat="1" applyBorder="1"/>
    <xf numFmtId="49" fontId="7" fillId="0" borderId="25" xfId="0" applyNumberFormat="1" applyFont="1" applyBorder="1" applyAlignment="1">
      <alignment horizontal="center"/>
    </xf>
    <xf numFmtId="49" fontId="7" fillId="0" borderId="16" xfId="0" applyNumberFormat="1" applyFont="1" applyBorder="1" applyAlignment="1">
      <alignment horizontal="center"/>
    </xf>
    <xf numFmtId="49" fontId="23" fillId="0" borderId="17" xfId="0" applyNumberFormat="1" applyFont="1" applyBorder="1"/>
    <xf numFmtId="0" fontId="56" fillId="0" borderId="25" xfId="0" applyFont="1" applyBorder="1" applyAlignment="1">
      <alignment horizontal="center"/>
    </xf>
    <xf numFmtId="0" fontId="56" fillId="0" borderId="16" xfId="0" applyFont="1" applyBorder="1" applyAlignment="1">
      <alignment horizontal="center"/>
    </xf>
    <xf numFmtId="0" fontId="47" fillId="0" borderId="17" xfId="0" applyFont="1" applyBorder="1"/>
    <xf numFmtId="1" fontId="16" fillId="0" borderId="20" xfId="0" applyNumberFormat="1" applyFont="1" applyBorder="1" applyAlignment="1">
      <alignment horizontal="center"/>
    </xf>
    <xf numFmtId="0" fontId="2" fillId="0" borderId="62" xfId="1" applyBorder="1" applyAlignment="1">
      <alignment horizontal="center" vertical="center"/>
    </xf>
    <xf numFmtId="0" fontId="2" fillId="0" borderId="63" xfId="1" applyBorder="1" applyAlignment="1">
      <alignment horizontal="left" vertical="center"/>
    </xf>
    <xf numFmtId="16" fontId="12" fillId="0" borderId="20" xfId="1" applyNumberFormat="1" applyFont="1" applyBorder="1" applyAlignment="1">
      <alignment horizontal="center"/>
    </xf>
    <xf numFmtId="0" fontId="12" fillId="0" borderId="15" xfId="1" quotePrefix="1" applyFont="1" applyBorder="1" applyAlignment="1">
      <alignment horizontal="center"/>
    </xf>
    <xf numFmtId="0" fontId="12" fillId="0" borderId="17" xfId="1" quotePrefix="1" applyFont="1" applyBorder="1" applyAlignment="1">
      <alignment horizontal="center"/>
    </xf>
    <xf numFmtId="0" fontId="12" fillId="0" borderId="16" xfId="1" quotePrefix="1" applyFont="1" applyBorder="1"/>
    <xf numFmtId="0" fontId="57" fillId="0" borderId="17" xfId="0" applyFont="1" applyBorder="1" applyAlignment="1">
      <alignment horizontal="center" vertical="center"/>
    </xf>
    <xf numFmtId="0" fontId="53" fillId="0" borderId="17" xfId="0" applyFont="1" applyBorder="1"/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6" fontId="7" fillId="5" borderId="20" xfId="0" applyNumberFormat="1" applyFont="1" applyFill="1" applyBorder="1" applyAlignment="1">
      <alignment horizontal="center"/>
    </xf>
    <xf numFmtId="1" fontId="7" fillId="5" borderId="20" xfId="0" applyNumberFormat="1" applyFont="1" applyFill="1" applyBorder="1" applyAlignment="1">
      <alignment horizontal="center"/>
    </xf>
    <xf numFmtId="1" fontId="7" fillId="0" borderId="20" xfId="0" applyNumberFormat="1" applyFont="1" applyBorder="1" applyAlignment="1">
      <alignment horizontal="center" wrapText="1"/>
    </xf>
    <xf numFmtId="2" fontId="51" fillId="0" borderId="17" xfId="1" applyNumberFormat="1" applyFont="1" applyBorder="1" applyAlignment="1">
      <alignment horizontal="center"/>
    </xf>
    <xf numFmtId="16" fontId="7" fillId="5" borderId="17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164" fontId="7" fillId="0" borderId="17" xfId="0" applyNumberFormat="1" applyFont="1" applyBorder="1" applyAlignment="1">
      <alignment horizontal="center" wrapText="1"/>
    </xf>
    <xf numFmtId="0" fontId="2" fillId="0" borderId="25" xfId="9" applyBorder="1" applyAlignment="1">
      <alignment horizontal="center"/>
    </xf>
    <xf numFmtId="0" fontId="2" fillId="5" borderId="17" xfId="9" applyFill="1" applyBorder="1"/>
    <xf numFmtId="16" fontId="7" fillId="0" borderId="17" xfId="9" applyNumberFormat="1" applyFont="1" applyBorder="1" applyAlignment="1">
      <alignment horizontal="center"/>
    </xf>
    <xf numFmtId="0" fontId="2" fillId="0" borderId="17" xfId="9" applyBorder="1" applyAlignment="1">
      <alignment horizontal="center"/>
    </xf>
    <xf numFmtId="1" fontId="7" fillId="0" borderId="17" xfId="9" applyNumberFormat="1" applyFont="1" applyBorder="1" applyAlignment="1">
      <alignment horizontal="center"/>
    </xf>
    <xf numFmtId="1" fontId="7" fillId="0" borderId="17" xfId="9" applyNumberFormat="1" applyFont="1" applyBorder="1" applyAlignment="1">
      <alignment horizontal="center" wrapText="1"/>
    </xf>
    <xf numFmtId="49" fontId="7" fillId="5" borderId="25" xfId="1" applyNumberFormat="1" applyFont="1" applyFill="1" applyBorder="1" applyAlignment="1">
      <alignment horizontal="center"/>
    </xf>
    <xf numFmtId="49" fontId="7" fillId="5" borderId="16" xfId="1" applyNumberFormat="1" applyFont="1" applyFill="1" applyBorder="1" applyAlignment="1">
      <alignment horizontal="center"/>
    </xf>
    <xf numFmtId="49" fontId="8" fillId="5" borderId="17" xfId="1" applyNumberFormat="1" applyFont="1" applyFill="1" applyBorder="1"/>
    <xf numFmtId="0" fontId="0" fillId="5" borderId="17" xfId="0" applyFill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2" fillId="2" borderId="0" xfId="0" applyFont="1" applyFill="1"/>
    <xf numFmtId="0" fontId="16" fillId="4" borderId="28" xfId="0" applyFont="1" applyFill="1" applyBorder="1" applyAlignment="1">
      <alignment horizontal="center" vertical="center" wrapText="1"/>
    </xf>
    <xf numFmtId="1" fontId="16" fillId="4" borderId="12" xfId="0" applyNumberFormat="1" applyFont="1" applyFill="1" applyBorder="1" applyAlignment="1">
      <alignment horizontal="center"/>
    </xf>
    <xf numFmtId="1" fontId="16" fillId="4" borderId="12" xfId="0" applyNumberFormat="1" applyFont="1" applyFill="1" applyBorder="1" applyAlignment="1">
      <alignment horizontal="center" wrapText="1"/>
    </xf>
    <xf numFmtId="0" fontId="16" fillId="4" borderId="27" xfId="0" applyFont="1" applyFill="1" applyBorder="1" applyAlignment="1">
      <alignment horizontal="center"/>
    </xf>
    <xf numFmtId="2" fontId="20" fillId="0" borderId="17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16" fontId="20" fillId="0" borderId="17" xfId="0" applyNumberFormat="1" applyFont="1" applyBorder="1" applyAlignment="1">
      <alignment horizontal="center"/>
    </xf>
    <xf numFmtId="1" fontId="20" fillId="0" borderId="17" xfId="0" applyNumberFormat="1" applyFont="1" applyBorder="1" applyAlignment="1">
      <alignment horizontal="center"/>
    </xf>
    <xf numFmtId="0" fontId="12" fillId="0" borderId="25" xfId="0" quotePrefix="1" applyFont="1" applyBorder="1" applyAlignment="1">
      <alignment horizontal="center"/>
    </xf>
    <xf numFmtId="0" fontId="12" fillId="0" borderId="16" xfId="0" quotePrefix="1" applyFont="1" applyBorder="1" applyAlignment="1">
      <alignment horizontal="center"/>
    </xf>
    <xf numFmtId="0" fontId="7" fillId="0" borderId="17" xfId="0" applyFont="1" applyBorder="1"/>
    <xf numFmtId="164" fontId="20" fillId="0" borderId="17" xfId="0" applyNumberFormat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49" fontId="21" fillId="2" borderId="23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 wrapText="1"/>
    </xf>
    <xf numFmtId="0" fontId="12" fillId="2" borderId="22" xfId="0" applyFont="1" applyFill="1" applyBorder="1" applyAlignment="1">
      <alignment horizontal="center"/>
    </xf>
    <xf numFmtId="0" fontId="12" fillId="2" borderId="0" xfId="0" applyFont="1" applyFill="1" applyAlignment="1">
      <alignment horizontal="left" indent="1"/>
    </xf>
    <xf numFmtId="0" fontId="12" fillId="4" borderId="9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8" xfId="0" applyFont="1" applyFill="1" applyBorder="1"/>
    <xf numFmtId="0" fontId="16" fillId="4" borderId="8" xfId="0" applyFont="1" applyFill="1" applyBorder="1" applyAlignment="1">
      <alignment horizontal="center"/>
    </xf>
    <xf numFmtId="1" fontId="16" fillId="4" borderId="8" xfId="0" applyNumberFormat="1" applyFont="1" applyFill="1" applyBorder="1" applyAlignment="1">
      <alignment horizontal="center"/>
    </xf>
    <xf numFmtId="164" fontId="12" fillId="4" borderId="8" xfId="0" applyNumberFormat="1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/>
    </xf>
    <xf numFmtId="9" fontId="12" fillId="2" borderId="0" xfId="7" applyFont="1" applyFill="1"/>
    <xf numFmtId="1" fontId="16" fillId="0" borderId="12" xfId="0" applyNumberFormat="1" applyFont="1" applyBorder="1" applyAlignment="1">
      <alignment horizontal="center"/>
    </xf>
    <xf numFmtId="0" fontId="21" fillId="2" borderId="0" xfId="0" applyFont="1" applyFill="1" applyAlignment="1">
      <alignment vertical="center"/>
    </xf>
    <xf numFmtId="0" fontId="54" fillId="5" borderId="17" xfId="0" applyFont="1" applyFill="1" applyBorder="1" applyAlignment="1">
      <alignment horizontal="center"/>
    </xf>
    <xf numFmtId="1" fontId="12" fillId="5" borderId="17" xfId="0" applyNumberFormat="1" applyFont="1" applyFill="1" applyBorder="1" applyAlignment="1">
      <alignment horizontal="center" wrapText="1"/>
    </xf>
    <xf numFmtId="0" fontId="54" fillId="5" borderId="16" xfId="0" applyFont="1" applyFill="1" applyBorder="1" applyAlignment="1">
      <alignment horizontal="center"/>
    </xf>
    <xf numFmtId="0" fontId="54" fillId="5" borderId="17" xfId="0" applyFont="1" applyFill="1" applyBorder="1"/>
    <xf numFmtId="0" fontId="59" fillId="0" borderId="17" xfId="0" applyFont="1" applyBorder="1" applyAlignment="1">
      <alignment horizontal="center"/>
    </xf>
    <xf numFmtId="0" fontId="59" fillId="0" borderId="17" xfId="0" applyFont="1" applyBorder="1" applyAlignment="1">
      <alignment horizontal="center" vertical="center"/>
    </xf>
    <xf numFmtId="0" fontId="59" fillId="7" borderId="17" xfId="0" applyFont="1" applyFill="1" applyBorder="1"/>
    <xf numFmtId="0" fontId="12" fillId="0" borderId="17" xfId="0" applyFont="1" applyBorder="1" applyAlignment="1">
      <alignment horizontal="center" wrapText="1"/>
    </xf>
    <xf numFmtId="0" fontId="59" fillId="7" borderId="0" xfId="0" applyFont="1" applyFill="1" applyAlignment="1">
      <alignment horizontal="center"/>
    </xf>
    <xf numFmtId="0" fontId="59" fillId="7" borderId="0" xfId="0" applyFont="1" applyFill="1"/>
    <xf numFmtId="0" fontId="16" fillId="7" borderId="17" xfId="0" applyFont="1" applyFill="1" applyBorder="1" applyAlignment="1">
      <alignment horizontal="left"/>
    </xf>
    <xf numFmtId="0" fontId="12" fillId="0" borderId="20" xfId="0" applyFont="1" applyBorder="1" applyAlignment="1">
      <alignment horizontal="center"/>
    </xf>
    <xf numFmtId="0" fontId="59" fillId="7" borderId="17" xfId="0" applyFont="1" applyFill="1" applyBorder="1" applyAlignment="1">
      <alignment horizontal="left" vertical="center"/>
    </xf>
    <xf numFmtId="16" fontId="20" fillId="0" borderId="16" xfId="0" applyNumberFormat="1" applyFont="1" applyBorder="1" applyAlignment="1">
      <alignment horizontal="center"/>
    </xf>
    <xf numFmtId="1" fontId="20" fillId="0" borderId="17" xfId="0" applyNumberFormat="1" applyFont="1" applyBorder="1" applyAlignment="1">
      <alignment horizontal="center" wrapText="1"/>
    </xf>
    <xf numFmtId="49" fontId="7" fillId="0" borderId="17" xfId="1" applyNumberFormat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7" fillId="0" borderId="42" xfId="0" applyFont="1" applyBorder="1" applyAlignment="1">
      <alignment horizontal="center"/>
    </xf>
    <xf numFmtId="0" fontId="7" fillId="0" borderId="17" xfId="0" applyFont="1" applyBorder="1" applyAlignment="1">
      <alignment horizontal="center" wrapText="1"/>
    </xf>
    <xf numFmtId="1" fontId="2" fillId="0" borderId="17" xfId="0" applyNumberFormat="1" applyFont="1" applyBorder="1" applyAlignment="1">
      <alignment horizontal="left" vertical="center"/>
    </xf>
    <xf numFmtId="0" fontId="7" fillId="5" borderId="25" xfId="0" applyFont="1" applyFill="1" applyBorder="1" applyAlignment="1">
      <alignment horizontal="center"/>
    </xf>
    <xf numFmtId="0" fontId="60" fillId="5" borderId="0" xfId="0" applyFont="1" applyFill="1" applyAlignment="1">
      <alignment horizontal="center"/>
    </xf>
    <xf numFmtId="1" fontId="8" fillId="5" borderId="17" xfId="0" applyNumberFormat="1" applyFont="1" applyFill="1" applyBorder="1"/>
    <xf numFmtId="0" fontId="8" fillId="5" borderId="17" xfId="0" applyFont="1" applyFill="1" applyBorder="1" applyAlignment="1">
      <alignment horizontal="center"/>
    </xf>
    <xf numFmtId="0" fontId="20" fillId="5" borderId="17" xfId="0" applyFont="1" applyFill="1" applyBorder="1" applyAlignment="1">
      <alignment horizontal="center" wrapText="1"/>
    </xf>
    <xf numFmtId="0" fontId="12" fillId="2" borderId="19" xfId="3" applyFont="1" applyFill="1" applyBorder="1" applyAlignment="1">
      <alignment horizontal="left"/>
    </xf>
    <xf numFmtId="0" fontId="12" fillId="2" borderId="5" xfId="3" applyFont="1" applyFill="1" applyBorder="1" applyAlignment="1">
      <alignment horizontal="left"/>
    </xf>
    <xf numFmtId="0" fontId="12" fillId="2" borderId="21" xfId="3" applyFont="1" applyFill="1" applyBorder="1" applyAlignment="1">
      <alignment horizontal="left"/>
    </xf>
    <xf numFmtId="0" fontId="16" fillId="4" borderId="32" xfId="0" applyFont="1" applyFill="1" applyBorder="1" applyAlignment="1">
      <alignment horizontal="center"/>
    </xf>
    <xf numFmtId="49" fontId="12" fillId="0" borderId="16" xfId="0" applyNumberFormat="1" applyFont="1" applyBorder="1" applyAlignment="1">
      <alignment horizontal="center"/>
    </xf>
    <xf numFmtId="49" fontId="16" fillId="0" borderId="17" xfId="0" applyNumberFormat="1" applyFont="1" applyBorder="1"/>
    <xf numFmtId="0" fontId="16" fillId="5" borderId="24" xfId="0" applyFont="1" applyFill="1" applyBorder="1" applyAlignment="1">
      <alignment horizontal="center"/>
    </xf>
    <xf numFmtId="0" fontId="12" fillId="0" borderId="26" xfId="0" applyFont="1" applyBorder="1" applyAlignment="1">
      <alignment horizontal="center"/>
    </xf>
    <xf numFmtId="49" fontId="7" fillId="0" borderId="43" xfId="0" applyNumberFormat="1" applyFont="1" applyBorder="1" applyAlignment="1">
      <alignment horizontal="center"/>
    </xf>
    <xf numFmtId="49" fontId="8" fillId="0" borderId="42" xfId="0" applyNumberFormat="1" applyFont="1" applyBorder="1"/>
    <xf numFmtId="16" fontId="7" fillId="0" borderId="42" xfId="0" applyNumberFormat="1" applyFont="1" applyBorder="1" applyAlignment="1">
      <alignment horizontal="center"/>
    </xf>
    <xf numFmtId="1" fontId="12" fillId="0" borderId="49" xfId="0" applyNumberFormat="1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49" fontId="7" fillId="5" borderId="36" xfId="0" applyNumberFormat="1" applyFont="1" applyFill="1" applyBorder="1" applyAlignment="1">
      <alignment horizontal="center"/>
    </xf>
    <xf numFmtId="49" fontId="7" fillId="5" borderId="41" xfId="0" applyNumberFormat="1" applyFont="1" applyFill="1" applyBorder="1" applyAlignment="1">
      <alignment horizontal="center"/>
    </xf>
    <xf numFmtId="49" fontId="8" fillId="5" borderId="41" xfId="0" applyNumberFormat="1" applyFont="1" applyFill="1" applyBorder="1"/>
    <xf numFmtId="16" fontId="7" fillId="5" borderId="41" xfId="0" applyNumberFormat="1" applyFont="1" applyFill="1" applyBorder="1" applyAlignment="1">
      <alignment horizontal="center"/>
    </xf>
    <xf numFmtId="1" fontId="20" fillId="5" borderId="41" xfId="0" applyNumberFormat="1" applyFont="1" applyFill="1" applyBorder="1" applyAlignment="1">
      <alignment horizontal="center"/>
    </xf>
    <xf numFmtId="1" fontId="20" fillId="5" borderId="41" xfId="0" applyNumberFormat="1" applyFont="1" applyFill="1" applyBorder="1" applyAlignment="1">
      <alignment horizontal="center" wrapText="1"/>
    </xf>
    <xf numFmtId="1" fontId="12" fillId="5" borderId="41" xfId="0" applyNumberFormat="1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48" xfId="0" applyFont="1" applyFill="1" applyBorder="1" applyAlignment="1">
      <alignment horizontal="center"/>
    </xf>
    <xf numFmtId="49" fontId="7" fillId="5" borderId="23" xfId="0" applyNumberFormat="1" applyFont="1" applyFill="1" applyBorder="1" applyAlignment="1">
      <alignment horizontal="center"/>
    </xf>
    <xf numFmtId="49" fontId="7" fillId="5" borderId="0" xfId="0" applyNumberFormat="1" applyFont="1" applyFill="1" applyAlignment="1">
      <alignment horizontal="center"/>
    </xf>
    <xf numFmtId="49" fontId="8" fillId="5" borderId="0" xfId="0" applyNumberFormat="1" applyFont="1" applyFill="1"/>
    <xf numFmtId="16" fontId="7" fillId="5" borderId="0" xfId="0" applyNumberFormat="1" applyFont="1" applyFill="1" applyAlignment="1">
      <alignment horizontal="center"/>
    </xf>
    <xf numFmtId="1" fontId="20" fillId="5" borderId="0" xfId="0" applyNumberFormat="1" applyFont="1" applyFill="1" applyAlignment="1">
      <alignment horizontal="center"/>
    </xf>
    <xf numFmtId="1" fontId="20" fillId="5" borderId="0" xfId="0" applyNumberFormat="1" applyFont="1" applyFill="1" applyAlignment="1">
      <alignment horizontal="center" wrapText="1"/>
    </xf>
    <xf numFmtId="1" fontId="12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3" xfId="0" quotePrefix="1" applyFont="1" applyFill="1" applyBorder="1" applyAlignment="1">
      <alignment horizontal="right"/>
    </xf>
    <xf numFmtId="0" fontId="12" fillId="5" borderId="2" xfId="0" quotePrefix="1" applyFont="1" applyFill="1" applyBorder="1" applyAlignment="1">
      <alignment horizontal="right"/>
    </xf>
    <xf numFmtId="0" fontId="12" fillId="5" borderId="2" xfId="0" quotePrefix="1" applyFont="1" applyFill="1" applyBorder="1"/>
    <xf numFmtId="0" fontId="7" fillId="5" borderId="2" xfId="0" applyFont="1" applyFill="1" applyBorder="1"/>
    <xf numFmtId="1" fontId="12" fillId="5" borderId="2" xfId="0" applyNumberFormat="1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/>
    </xf>
    <xf numFmtId="9" fontId="12" fillId="2" borderId="0" xfId="2" applyFont="1" applyFill="1"/>
    <xf numFmtId="0" fontId="12" fillId="2" borderId="15" xfId="0" applyFont="1" applyFill="1" applyBorder="1"/>
    <xf numFmtId="0" fontId="12" fillId="2" borderId="35" xfId="0" applyFont="1" applyFill="1" applyBorder="1"/>
    <xf numFmtId="0" fontId="12" fillId="2" borderId="16" xfId="0" applyFont="1" applyFill="1" applyBorder="1"/>
    <xf numFmtId="0" fontId="21" fillId="2" borderId="35" xfId="0" applyFont="1" applyFill="1" applyBorder="1" applyAlignment="1">
      <alignment vertical="center"/>
    </xf>
    <xf numFmtId="0" fontId="12" fillId="2" borderId="19" xfId="0" applyFont="1" applyFill="1" applyBorder="1"/>
    <xf numFmtId="0" fontId="12" fillId="2" borderId="5" xfId="0" applyFont="1" applyFill="1" applyBorder="1"/>
    <xf numFmtId="0" fontId="12" fillId="2" borderId="21" xfId="0" applyFont="1" applyFill="1" applyBorder="1"/>
    <xf numFmtId="0" fontId="0" fillId="0" borderId="0" xfId="1" applyFont="1"/>
    <xf numFmtId="0" fontId="0" fillId="2" borderId="0" xfId="1" applyFont="1" applyFill="1" applyAlignment="1">
      <alignment horizontal="left" indent="1"/>
    </xf>
    <xf numFmtId="9" fontId="0" fillId="2" borderId="0" xfId="2" applyFont="1" applyFill="1"/>
    <xf numFmtId="0" fontId="11" fillId="2" borderId="29" xfId="3" applyFont="1" applyFill="1" applyBorder="1" applyAlignment="1">
      <alignment horizontal="right"/>
    </xf>
    <xf numFmtId="0" fontId="63" fillId="2" borderId="28" xfId="3" applyFont="1" applyFill="1" applyBorder="1" applyAlignment="1">
      <alignment horizontal="center"/>
    </xf>
    <xf numFmtId="0" fontId="11" fillId="2" borderId="17" xfId="3" applyFont="1" applyFill="1" applyBorder="1" applyAlignment="1">
      <alignment horizontal="right"/>
    </xf>
    <xf numFmtId="49" fontId="63" fillId="2" borderId="24" xfId="3" applyNumberFormat="1" applyFont="1" applyFill="1" applyBorder="1" applyAlignment="1">
      <alignment horizontal="center"/>
    </xf>
    <xf numFmtId="0" fontId="62" fillId="2" borderId="17" xfId="3" applyFont="1" applyFill="1" applyBorder="1" applyAlignment="1">
      <alignment horizontal="right"/>
    </xf>
    <xf numFmtId="0" fontId="62" fillId="2" borderId="12" xfId="3" applyFont="1" applyFill="1" applyBorder="1" applyAlignment="1">
      <alignment horizontal="right"/>
    </xf>
    <xf numFmtId="14" fontId="65" fillId="2" borderId="17" xfId="3" applyNumberFormat="1" applyFont="1" applyFill="1" applyBorder="1" applyAlignment="1">
      <alignment horizontal="center" vertical="center" wrapText="1"/>
    </xf>
    <xf numFmtId="0" fontId="11" fillId="4" borderId="26" xfId="1" applyFont="1" applyFill="1" applyBorder="1" applyAlignment="1">
      <alignment horizontal="center" vertical="center" wrapText="1"/>
    </xf>
    <xf numFmtId="1" fontId="11" fillId="4" borderId="42" xfId="1" applyNumberFormat="1" applyFont="1" applyFill="1" applyBorder="1" applyAlignment="1">
      <alignment horizontal="center"/>
    </xf>
    <xf numFmtId="1" fontId="11" fillId="4" borderId="12" xfId="1" applyNumberFormat="1" applyFont="1" applyFill="1" applyBorder="1" applyAlignment="1">
      <alignment horizontal="center" wrapText="1"/>
    </xf>
    <xf numFmtId="1" fontId="11" fillId="4" borderId="12" xfId="1" applyNumberFormat="1" applyFont="1" applyFill="1" applyBorder="1" applyAlignment="1">
      <alignment horizontal="center"/>
    </xf>
    <xf numFmtId="0" fontId="11" fillId="4" borderId="27" xfId="1" applyFont="1" applyFill="1" applyBorder="1" applyAlignment="1">
      <alignment horizontal="center"/>
    </xf>
    <xf numFmtId="0" fontId="62" fillId="0" borderId="17" xfId="0" applyFont="1" applyBorder="1"/>
    <xf numFmtId="0" fontId="62" fillId="8" borderId="17" xfId="0" applyFont="1" applyFill="1" applyBorder="1"/>
    <xf numFmtId="16" fontId="66" fillId="0" borderId="17" xfId="1" applyNumberFormat="1" applyFont="1" applyBorder="1" applyAlignment="1">
      <alignment horizontal="center"/>
    </xf>
    <xf numFmtId="1" fontId="66" fillId="0" borderId="17" xfId="1" applyNumberFormat="1" applyFont="1" applyBorder="1" applyAlignment="1">
      <alignment horizontal="center"/>
    </xf>
    <xf numFmtId="1" fontId="66" fillId="0" borderId="17" xfId="1" applyNumberFormat="1" applyFont="1" applyBorder="1" applyAlignment="1">
      <alignment horizontal="center" wrapText="1"/>
    </xf>
    <xf numFmtId="1" fontId="62" fillId="0" borderId="20" xfId="1" applyNumberFormat="1" applyFont="1" applyBorder="1" applyAlignment="1">
      <alignment horizontal="center"/>
    </xf>
    <xf numFmtId="0" fontId="62" fillId="0" borderId="20" xfId="1" applyFont="1" applyBorder="1" applyAlignment="1">
      <alignment horizontal="center"/>
    </xf>
    <xf numFmtId="0" fontId="11" fillId="5" borderId="26" xfId="1" applyFont="1" applyFill="1" applyBorder="1" applyAlignment="1">
      <alignment horizontal="center"/>
    </xf>
    <xf numFmtId="0" fontId="62" fillId="5" borderId="17" xfId="0" applyFont="1" applyFill="1" applyBorder="1"/>
    <xf numFmtId="0" fontId="62" fillId="16" borderId="20" xfId="1" applyFont="1" applyFill="1" applyBorder="1" applyAlignment="1">
      <alignment horizontal="center" wrapText="1"/>
    </xf>
    <xf numFmtId="0" fontId="11" fillId="0" borderId="17" xfId="0" applyFont="1" applyBorder="1"/>
    <xf numFmtId="0" fontId="62" fillId="0" borderId="17" xfId="1" applyFont="1" applyBorder="1" applyAlignment="1">
      <alignment horizontal="center" vertical="center"/>
    </xf>
    <xf numFmtId="0" fontId="62" fillId="8" borderId="17" xfId="0" applyFont="1" applyFill="1" applyBorder="1" applyAlignment="1">
      <alignment horizontal="center"/>
    </xf>
    <xf numFmtId="0" fontId="62" fillId="0" borderId="16" xfId="0" applyFont="1" applyBorder="1"/>
    <xf numFmtId="0" fontId="62" fillId="0" borderId="0" xfId="0" applyFont="1"/>
    <xf numFmtId="0" fontId="62" fillId="0" borderId="25" xfId="0" applyFont="1" applyBorder="1" applyAlignment="1">
      <alignment horizontal="center"/>
    </xf>
    <xf numFmtId="0" fontId="62" fillId="0" borderId="16" xfId="0" applyFont="1" applyBorder="1" applyAlignment="1">
      <alignment horizontal="center"/>
    </xf>
    <xf numFmtId="0" fontId="67" fillId="0" borderId="17" xfId="0" applyFont="1" applyBorder="1"/>
    <xf numFmtId="49" fontId="66" fillId="0" borderId="25" xfId="1" applyNumberFormat="1" applyFont="1" applyBorder="1" applyAlignment="1">
      <alignment horizontal="center"/>
    </xf>
    <xf numFmtId="49" fontId="66" fillId="0" borderId="16" xfId="1" applyNumberFormat="1" applyFont="1" applyBorder="1" applyAlignment="1">
      <alignment horizontal="center"/>
    </xf>
    <xf numFmtId="49" fontId="66" fillId="0" borderId="17" xfId="1" applyNumberFormat="1" applyFont="1" applyBorder="1"/>
    <xf numFmtId="0" fontId="63" fillId="7" borderId="17" xfId="0" applyFont="1" applyFill="1" applyBorder="1" applyAlignment="1">
      <alignment horizontal="center"/>
    </xf>
    <xf numFmtId="0" fontId="19" fillId="7" borderId="17" xfId="0" applyFont="1" applyFill="1" applyBorder="1"/>
    <xf numFmtId="1" fontId="63" fillId="7" borderId="17" xfId="0" applyNumberFormat="1" applyFont="1" applyFill="1" applyBorder="1" applyAlignment="1">
      <alignment horizontal="center"/>
    </xf>
    <xf numFmtId="0" fontId="62" fillId="0" borderId="17" xfId="0" applyFont="1" applyBorder="1" applyAlignment="1">
      <alignment horizontal="center"/>
    </xf>
    <xf numFmtId="0" fontId="63" fillId="7" borderId="17" xfId="0" applyFont="1" applyFill="1" applyBorder="1"/>
    <xf numFmtId="1" fontId="62" fillId="0" borderId="17" xfId="1" applyNumberFormat="1" applyFont="1" applyBorder="1" applyAlignment="1">
      <alignment horizontal="center"/>
    </xf>
    <xf numFmtId="0" fontId="62" fillId="0" borderId="17" xfId="1" applyFont="1" applyBorder="1" applyAlignment="1">
      <alignment horizontal="center"/>
    </xf>
    <xf numFmtId="0" fontId="11" fillId="5" borderId="24" xfId="1" applyFont="1" applyFill="1" applyBorder="1" applyAlignment="1">
      <alignment horizontal="center"/>
    </xf>
    <xf numFmtId="0" fontId="63" fillId="0" borderId="17" xfId="1" applyFont="1" applyBorder="1" applyAlignment="1">
      <alignment horizontal="center"/>
    </xf>
    <xf numFmtId="1" fontId="63" fillId="0" borderId="17" xfId="1" applyNumberFormat="1" applyFont="1" applyBorder="1" applyAlignment="1">
      <alignment horizontal="center"/>
    </xf>
    <xf numFmtId="1" fontId="63" fillId="0" borderId="17" xfId="1" applyNumberFormat="1" applyFont="1" applyBorder="1" applyAlignment="1">
      <alignment horizontal="center" wrapText="1"/>
    </xf>
    <xf numFmtId="1" fontId="62" fillId="0" borderId="17" xfId="1" applyNumberFormat="1" applyFont="1" applyBorder="1" applyAlignment="1">
      <alignment horizontal="center" wrapText="1"/>
    </xf>
    <xf numFmtId="0" fontId="62" fillId="0" borderId="24" xfId="1" applyFont="1" applyBorder="1" applyAlignment="1">
      <alignment horizontal="center"/>
    </xf>
    <xf numFmtId="49" fontId="68" fillId="2" borderId="23" xfId="1" applyNumberFormat="1" applyFont="1" applyFill="1" applyBorder="1" applyAlignment="1">
      <alignment horizontal="center" vertical="center"/>
    </xf>
    <xf numFmtId="49" fontId="68" fillId="2" borderId="0" xfId="1" applyNumberFormat="1" applyFont="1" applyFill="1" applyAlignment="1">
      <alignment horizontal="center" vertical="center"/>
    </xf>
    <xf numFmtId="0" fontId="62" fillId="0" borderId="0" xfId="1" applyFont="1"/>
    <xf numFmtId="1" fontId="62" fillId="2" borderId="0" xfId="1" applyNumberFormat="1" applyFont="1" applyFill="1" applyAlignment="1">
      <alignment horizontal="center"/>
    </xf>
    <xf numFmtId="164" fontId="62" fillId="2" borderId="0" xfId="1" applyNumberFormat="1" applyFont="1" applyFill="1" applyAlignment="1">
      <alignment horizontal="center" wrapText="1"/>
    </xf>
    <xf numFmtId="0" fontId="62" fillId="2" borderId="22" xfId="1" applyFont="1" applyFill="1" applyBorder="1" applyAlignment="1">
      <alignment horizontal="center"/>
    </xf>
    <xf numFmtId="0" fontId="62" fillId="4" borderId="9" xfId="1" applyFont="1" applyFill="1" applyBorder="1" applyAlignment="1">
      <alignment horizontal="center"/>
    </xf>
    <xf numFmtId="0" fontId="62" fillId="4" borderId="8" xfId="1" applyFont="1" applyFill="1" applyBorder="1" applyAlignment="1">
      <alignment horizontal="center"/>
    </xf>
    <xf numFmtId="0" fontId="62" fillId="4" borderId="8" xfId="1" applyFont="1" applyFill="1" applyBorder="1"/>
    <xf numFmtId="0" fontId="11" fillId="4" borderId="8" xfId="1" applyFont="1" applyFill="1" applyBorder="1" applyAlignment="1">
      <alignment horizontal="center"/>
    </xf>
    <xf numFmtId="1" fontId="11" fillId="4" borderId="8" xfId="1" applyNumberFormat="1" applyFont="1" applyFill="1" applyBorder="1" applyAlignment="1">
      <alignment horizontal="center"/>
    </xf>
    <xf numFmtId="164" fontId="62" fillId="4" borderId="8" xfId="1" applyNumberFormat="1" applyFont="1" applyFill="1" applyBorder="1" applyAlignment="1">
      <alignment horizontal="center" wrapText="1"/>
    </xf>
    <xf numFmtId="0" fontId="62" fillId="4" borderId="7" xfId="1" applyFont="1" applyFill="1" applyBorder="1" applyAlignment="1">
      <alignment horizontal="center"/>
    </xf>
    <xf numFmtId="0" fontId="62" fillId="0" borderId="19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1" fontId="62" fillId="0" borderId="12" xfId="1" applyNumberFormat="1" applyFont="1" applyBorder="1" applyAlignment="1">
      <alignment horizontal="center"/>
    </xf>
    <xf numFmtId="0" fontId="62" fillId="0" borderId="12" xfId="1" applyFont="1" applyBorder="1" applyAlignment="1">
      <alignment horizontal="center"/>
    </xf>
    <xf numFmtId="0" fontId="62" fillId="0" borderId="5" xfId="1" applyFont="1" applyBorder="1" applyAlignment="1">
      <alignment horizontal="left" wrapText="1"/>
    </xf>
    <xf numFmtId="0" fontId="62" fillId="0" borderId="4" xfId="1" applyFont="1" applyBorder="1" applyAlignment="1">
      <alignment horizontal="left" wrapText="1"/>
    </xf>
    <xf numFmtId="0" fontId="23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right" vertical="center" wrapText="1"/>
    </xf>
    <xf numFmtId="0" fontId="40" fillId="0" borderId="17" xfId="0" applyFont="1" applyBorder="1" applyAlignment="1">
      <alignment horizontal="right" vertical="center"/>
    </xf>
    <xf numFmtId="0" fontId="41" fillId="0" borderId="23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22" xfId="0" applyFont="1" applyBorder="1" applyAlignment="1">
      <alignment horizontal="right"/>
    </xf>
    <xf numFmtId="0" fontId="23" fillId="0" borderId="0" xfId="0" applyFont="1" applyAlignment="1">
      <alignment horizontal="right" vertical="center"/>
    </xf>
    <xf numFmtId="0" fontId="32" fillId="0" borderId="36" xfId="0" applyFont="1" applyBorder="1" applyAlignment="1">
      <alignment horizontal="right"/>
    </xf>
    <xf numFmtId="0" fontId="32" fillId="0" borderId="41" xfId="0" applyFont="1" applyBorder="1" applyAlignment="1">
      <alignment horizontal="right"/>
    </xf>
    <xf numFmtId="0" fontId="8" fillId="0" borderId="17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48" fillId="0" borderId="9" xfId="0" applyFont="1" applyBorder="1" applyAlignment="1">
      <alignment horizontal="right" vertical="center"/>
    </xf>
    <xf numFmtId="0" fontId="48" fillId="0" borderId="8" xfId="0" applyFont="1" applyBorder="1" applyAlignment="1">
      <alignment horizontal="right" vertical="center"/>
    </xf>
    <xf numFmtId="0" fontId="48" fillId="0" borderId="7" xfId="0" applyFont="1" applyBorder="1" applyAlignment="1">
      <alignment horizontal="right" vertical="center"/>
    </xf>
    <xf numFmtId="0" fontId="49" fillId="0" borderId="0" xfId="0" applyFont="1" applyAlignment="1">
      <alignment horizontal="right"/>
    </xf>
    <xf numFmtId="0" fontId="39" fillId="0" borderId="2" xfId="0" applyFont="1" applyBorder="1" applyAlignment="1">
      <alignment horizontal="right"/>
    </xf>
    <xf numFmtId="0" fontId="31" fillId="0" borderId="0" xfId="0" applyFont="1" applyAlignment="1">
      <alignment horizontal="right" vertical="center"/>
    </xf>
    <xf numFmtId="0" fontId="37" fillId="10" borderId="9" xfId="0" applyFont="1" applyFill="1" applyBorder="1" applyAlignment="1">
      <alignment horizontal="right"/>
    </xf>
    <xf numFmtId="0" fontId="37" fillId="10" borderId="8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0" fontId="23" fillId="12" borderId="9" xfId="0" applyFont="1" applyFill="1" applyBorder="1" applyAlignment="1">
      <alignment horizontal="right" vertical="center"/>
    </xf>
    <xf numFmtId="0" fontId="23" fillId="12" borderId="8" xfId="0" applyFont="1" applyFill="1" applyBorder="1" applyAlignment="1">
      <alignment horizontal="right" vertical="center"/>
    </xf>
    <xf numFmtId="0" fontId="23" fillId="12" borderId="7" xfId="0" applyFont="1" applyFill="1" applyBorder="1" applyAlignment="1">
      <alignment horizontal="right" vertical="center"/>
    </xf>
    <xf numFmtId="4" fontId="46" fillId="0" borderId="0" xfId="6" applyNumberFormat="1" applyFont="1" applyFill="1" applyAlignment="1">
      <alignment horizontal="center" vertical="center" wrapText="1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2" fillId="0" borderId="17" xfId="1" applyBorder="1" applyAlignment="1">
      <alignment horizontal="right"/>
    </xf>
    <xf numFmtId="164" fontId="2" fillId="0" borderId="15" xfId="1" applyNumberFormat="1" applyBorder="1" applyAlignment="1">
      <alignment horizontal="center"/>
    </xf>
    <xf numFmtId="164" fontId="2" fillId="0" borderId="14" xfId="1" applyNumberFormat="1" applyBorder="1" applyAlignment="1">
      <alignment horizontal="center"/>
    </xf>
    <xf numFmtId="0" fontId="5" fillId="3" borderId="6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0" fontId="4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6" fillId="0" borderId="18" xfId="1" applyFont="1" applyBorder="1" applyAlignment="1">
      <alignment horizontal="right"/>
    </xf>
    <xf numFmtId="0" fontId="6" fillId="0" borderId="35" xfId="1" applyFont="1" applyBorder="1" applyAlignment="1">
      <alignment horizontal="right"/>
    </xf>
    <xf numFmtId="0" fontId="6" fillId="0" borderId="16" xfId="1" applyFont="1" applyBorder="1" applyAlignment="1">
      <alignment horizontal="right"/>
    </xf>
    <xf numFmtId="164" fontId="2" fillId="0" borderId="15" xfId="1" applyNumberFormat="1" applyBorder="1" applyAlignment="1">
      <alignment horizontal="right" wrapText="1"/>
    </xf>
    <xf numFmtId="164" fontId="2" fillId="0" borderId="16" xfId="1" applyNumberFormat="1" applyBorder="1" applyAlignment="1">
      <alignment horizontal="right" wrapText="1"/>
    </xf>
    <xf numFmtId="0" fontId="6" fillId="0" borderId="13" xfId="1" applyFont="1" applyBorder="1" applyAlignment="1">
      <alignment horizontal="right"/>
    </xf>
    <xf numFmtId="0" fontId="6" fillId="0" borderId="34" xfId="1" applyFont="1" applyBorder="1" applyAlignment="1">
      <alignment horizontal="right"/>
    </xf>
    <xf numFmtId="0" fontId="6" fillId="0" borderId="12" xfId="1" applyFont="1" applyBorder="1" applyAlignment="1">
      <alignment horizontal="right"/>
    </xf>
    <xf numFmtId="0" fontId="2" fillId="0" borderId="12" xfId="1" applyBorder="1" applyAlignment="1">
      <alignment horizontal="right"/>
    </xf>
    <xf numFmtId="164" fontId="2" fillId="0" borderId="11" xfId="1" applyNumberFormat="1" applyBorder="1" applyAlignment="1">
      <alignment horizontal="center"/>
    </xf>
    <xf numFmtId="164" fontId="2" fillId="0" borderId="10" xfId="1" applyNumberFormat="1" applyBorder="1" applyAlignment="1">
      <alignment horizontal="center"/>
    </xf>
    <xf numFmtId="0" fontId="6" fillId="4" borderId="9" xfId="1" applyFont="1" applyFill="1" applyBorder="1" applyAlignment="1">
      <alignment horizontal="left"/>
    </xf>
    <xf numFmtId="0" fontId="6" fillId="4" borderId="8" xfId="1" applyFont="1" applyFill="1" applyBorder="1" applyAlignment="1">
      <alignment horizontal="left"/>
    </xf>
    <xf numFmtId="0" fontId="6" fillId="4" borderId="7" xfId="1" applyFont="1" applyFill="1" applyBorder="1" applyAlignment="1">
      <alignment horizontal="left"/>
    </xf>
    <xf numFmtId="0" fontId="4" fillId="0" borderId="18" xfId="1" applyFont="1" applyBorder="1" applyAlignment="1">
      <alignment horizontal="left" wrapText="1"/>
    </xf>
    <xf numFmtId="0" fontId="4" fillId="0" borderId="35" xfId="1" applyFont="1" applyBorder="1" applyAlignment="1">
      <alignment horizontal="left" wrapText="1"/>
    </xf>
    <xf numFmtId="0" fontId="4" fillId="0" borderId="14" xfId="1" applyFont="1" applyBorder="1" applyAlignment="1">
      <alignment horizontal="left" wrapText="1"/>
    </xf>
    <xf numFmtId="0" fontId="11" fillId="2" borderId="0" xfId="3" applyFont="1" applyFill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11" fillId="2" borderId="0" xfId="3" applyFont="1" applyFill="1"/>
    <xf numFmtId="0" fontId="6" fillId="4" borderId="30" xfId="1" applyFont="1" applyFill="1" applyBorder="1" applyAlignment="1">
      <alignment horizontal="center" vertical="center"/>
    </xf>
    <xf numFmtId="0" fontId="6" fillId="4" borderId="47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4" borderId="42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right"/>
    </xf>
    <xf numFmtId="0" fontId="6" fillId="0" borderId="5" xfId="1" applyFont="1" applyBorder="1" applyAlignment="1">
      <alignment horizontal="right"/>
    </xf>
    <xf numFmtId="0" fontId="6" fillId="0" borderId="21" xfId="1" applyFont="1" applyBorder="1" applyAlignment="1">
      <alignment horizontal="right"/>
    </xf>
    <xf numFmtId="164" fontId="2" fillId="0" borderId="20" xfId="1" applyNumberFormat="1" applyBorder="1" applyAlignment="1">
      <alignment horizontal="right"/>
    </xf>
    <xf numFmtId="0" fontId="2" fillId="2" borderId="19" xfId="1" applyFill="1" applyBorder="1" applyAlignment="1">
      <alignment horizontal="center"/>
    </xf>
    <xf numFmtId="0" fontId="2" fillId="2" borderId="4" xfId="1" applyFill="1" applyBorder="1" applyAlignment="1">
      <alignment horizontal="center"/>
    </xf>
    <xf numFmtId="14" fontId="12" fillId="2" borderId="32" xfId="3" applyNumberFormat="1" applyFont="1" applyFill="1" applyBorder="1" applyAlignment="1">
      <alignment horizontal="center" vertical="center" wrapText="1"/>
    </xf>
    <xf numFmtId="14" fontId="12" fillId="2" borderId="31" xfId="3" applyNumberFormat="1" applyFont="1" applyFill="1" applyBorder="1" applyAlignment="1">
      <alignment horizontal="center" vertical="center" wrapText="1"/>
    </xf>
    <xf numFmtId="0" fontId="0" fillId="2" borderId="17" xfId="3" applyFont="1" applyFill="1" applyBorder="1" applyAlignment="1">
      <alignment horizontal="left"/>
    </xf>
    <xf numFmtId="0" fontId="2" fillId="2" borderId="17" xfId="3" applyFont="1" applyFill="1" applyBorder="1" applyAlignment="1">
      <alignment horizontal="left"/>
    </xf>
    <xf numFmtId="0" fontId="0" fillId="2" borderId="12" xfId="3" applyFont="1" applyFill="1" applyBorder="1" applyAlignment="1">
      <alignment horizontal="left"/>
    </xf>
    <xf numFmtId="0" fontId="2" fillId="2" borderId="12" xfId="3" applyFont="1" applyFill="1" applyBorder="1" applyAlignment="1">
      <alignment horizontal="left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2" fillId="2" borderId="3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11" fillId="2" borderId="29" xfId="3" applyFont="1" applyFill="1" applyBorder="1" applyAlignment="1">
      <alignment horizontal="center"/>
    </xf>
    <xf numFmtId="0" fontId="11" fillId="2" borderId="17" xfId="3" applyFont="1" applyFill="1" applyBorder="1" applyAlignment="1">
      <alignment horizontal="center"/>
    </xf>
    <xf numFmtId="0" fontId="14" fillId="6" borderId="17" xfId="3" applyFont="1" applyFill="1" applyBorder="1" applyAlignment="1">
      <alignment horizontal="center" vertical="center" wrapText="1"/>
    </xf>
    <xf numFmtId="0" fontId="13" fillId="6" borderId="17" xfId="3" applyFont="1" applyFill="1" applyBorder="1" applyAlignment="1">
      <alignment horizontal="center" vertical="center" wrapText="1"/>
    </xf>
    <xf numFmtId="0" fontId="6" fillId="2" borderId="17" xfId="3" applyFont="1" applyFill="1" applyBorder="1" applyAlignment="1">
      <alignment horizontal="right" vertical="top" wrapText="1"/>
    </xf>
    <xf numFmtId="0" fontId="6" fillId="2" borderId="12" xfId="3" applyFont="1" applyFill="1" applyBorder="1" applyAlignment="1">
      <alignment horizontal="right" vertical="top" wrapText="1"/>
    </xf>
    <xf numFmtId="0" fontId="62" fillId="0" borderId="3" xfId="1" applyFont="1" applyBorder="1" applyAlignment="1">
      <alignment horizontal="left"/>
    </xf>
    <xf numFmtId="0" fontId="62" fillId="0" borderId="2" xfId="1" applyFont="1" applyBorder="1" applyAlignment="1">
      <alignment horizontal="left"/>
    </xf>
    <xf numFmtId="0" fontId="62" fillId="0" borderId="1" xfId="1" applyFont="1" applyBorder="1" applyAlignment="1">
      <alignment horizontal="left"/>
    </xf>
    <xf numFmtId="0" fontId="62" fillId="0" borderId="18" xfId="1" applyFont="1" applyBorder="1" applyAlignment="1">
      <alignment horizontal="left" wrapText="1"/>
    </xf>
    <xf numFmtId="0" fontId="62" fillId="0" borderId="35" xfId="1" applyFont="1" applyBorder="1" applyAlignment="1">
      <alignment horizontal="left" wrapText="1"/>
    </xf>
    <xf numFmtId="0" fontId="62" fillId="0" borderId="14" xfId="1" applyFont="1" applyBorder="1" applyAlignment="1">
      <alignment horizontal="left" wrapText="1"/>
    </xf>
    <xf numFmtId="0" fontId="62" fillId="0" borderId="6" xfId="1" applyFont="1" applyBorder="1" applyAlignment="1">
      <alignment horizontal="left"/>
    </xf>
    <xf numFmtId="0" fontId="62" fillId="0" borderId="5" xfId="1" applyFont="1" applyBorder="1" applyAlignment="1">
      <alignment horizontal="left"/>
    </xf>
    <xf numFmtId="0" fontId="62" fillId="0" borderId="4" xfId="1" applyFont="1" applyBorder="1" applyAlignment="1">
      <alignment horizontal="left"/>
    </xf>
    <xf numFmtId="0" fontId="11" fillId="3" borderId="6" xfId="1" applyFont="1" applyFill="1" applyBorder="1" applyAlignment="1">
      <alignment horizontal="left"/>
    </xf>
    <xf numFmtId="0" fontId="11" fillId="3" borderId="5" xfId="1" applyFont="1" applyFill="1" applyBorder="1" applyAlignment="1">
      <alignment horizontal="left"/>
    </xf>
    <xf numFmtId="0" fontId="11" fillId="3" borderId="4" xfId="1" applyFont="1" applyFill="1" applyBorder="1" applyAlignment="1">
      <alignment horizontal="left"/>
    </xf>
    <xf numFmtId="0" fontId="11" fillId="0" borderId="18" xfId="1" applyFont="1" applyBorder="1" applyAlignment="1">
      <alignment horizontal="right"/>
    </xf>
    <xf numFmtId="0" fontId="11" fillId="0" borderId="35" xfId="1" applyFont="1" applyBorder="1" applyAlignment="1">
      <alignment horizontal="right"/>
    </xf>
    <xf numFmtId="0" fontId="11" fillId="0" borderId="16" xfId="1" applyFont="1" applyBorder="1" applyAlignment="1">
      <alignment horizontal="right"/>
    </xf>
    <xf numFmtId="0" fontId="62" fillId="0" borderId="17" xfId="1" applyFont="1" applyBorder="1" applyAlignment="1">
      <alignment horizontal="right"/>
    </xf>
    <xf numFmtId="164" fontId="62" fillId="0" borderId="15" xfId="1" applyNumberFormat="1" applyFont="1" applyBorder="1" applyAlignment="1">
      <alignment horizontal="center"/>
    </xf>
    <xf numFmtId="164" fontId="62" fillId="0" borderId="14" xfId="1" applyNumberFormat="1" applyFont="1" applyBorder="1" applyAlignment="1">
      <alignment horizontal="center"/>
    </xf>
    <xf numFmtId="164" fontId="62" fillId="0" borderId="15" xfId="1" applyNumberFormat="1" applyFont="1" applyBorder="1" applyAlignment="1">
      <alignment horizontal="right" wrapText="1"/>
    </xf>
    <xf numFmtId="164" fontId="62" fillId="0" borderId="16" xfId="1" applyNumberFormat="1" applyFont="1" applyBorder="1" applyAlignment="1">
      <alignment horizontal="right" wrapText="1"/>
    </xf>
    <xf numFmtId="0" fontId="11" fillId="0" borderId="13" xfId="1" applyFont="1" applyBorder="1" applyAlignment="1">
      <alignment horizontal="right"/>
    </xf>
    <xf numFmtId="0" fontId="11" fillId="0" borderId="34" xfId="1" applyFont="1" applyBorder="1" applyAlignment="1">
      <alignment horizontal="right"/>
    </xf>
    <xf numFmtId="0" fontId="11" fillId="0" borderId="12" xfId="1" applyFont="1" applyBorder="1" applyAlignment="1">
      <alignment horizontal="right"/>
    </xf>
    <xf numFmtId="0" fontId="62" fillId="0" borderId="12" xfId="1" applyFont="1" applyBorder="1" applyAlignment="1">
      <alignment horizontal="right"/>
    </xf>
    <xf numFmtId="164" fontId="62" fillId="0" borderId="11" xfId="1" applyNumberFormat="1" applyFont="1" applyBorder="1" applyAlignment="1">
      <alignment horizontal="center"/>
    </xf>
    <xf numFmtId="164" fontId="62" fillId="0" borderId="10" xfId="1" applyNumberFormat="1" applyFont="1" applyBorder="1" applyAlignment="1">
      <alignment horizontal="center"/>
    </xf>
    <xf numFmtId="0" fontId="11" fillId="4" borderId="9" xfId="1" applyFont="1" applyFill="1" applyBorder="1" applyAlignment="1">
      <alignment horizontal="left"/>
    </xf>
    <xf numFmtId="0" fontId="11" fillId="4" borderId="8" xfId="1" applyFont="1" applyFill="1" applyBorder="1" applyAlignment="1">
      <alignment horizontal="left"/>
    </xf>
    <xf numFmtId="0" fontId="11" fillId="4" borderId="7" xfId="1" applyFont="1" applyFill="1" applyBorder="1" applyAlignment="1">
      <alignment horizontal="left"/>
    </xf>
    <xf numFmtId="0" fontId="62" fillId="0" borderId="6" xfId="1" applyFont="1" applyBorder="1" applyAlignment="1">
      <alignment horizontal="left" wrapText="1"/>
    </xf>
    <xf numFmtId="0" fontId="62" fillId="0" borderId="5" xfId="1" applyFont="1" applyBorder="1" applyAlignment="1">
      <alignment horizontal="left" wrapText="1"/>
    </xf>
    <xf numFmtId="0" fontId="62" fillId="0" borderId="4" xfId="1" applyFont="1" applyBorder="1" applyAlignment="1">
      <alignment horizontal="left" wrapText="1"/>
    </xf>
    <xf numFmtId="0" fontId="11" fillId="0" borderId="6" xfId="1" applyFont="1" applyBorder="1" applyAlignment="1">
      <alignment horizontal="right"/>
    </xf>
    <xf numFmtId="0" fontId="11" fillId="0" borderId="5" xfId="1" applyFont="1" applyBorder="1" applyAlignment="1">
      <alignment horizontal="right"/>
    </xf>
    <xf numFmtId="0" fontId="11" fillId="0" borderId="21" xfId="1" applyFont="1" applyBorder="1" applyAlignment="1">
      <alignment horizontal="right"/>
    </xf>
    <xf numFmtId="164" fontId="62" fillId="0" borderId="20" xfId="1" applyNumberFormat="1" applyFont="1" applyBorder="1" applyAlignment="1">
      <alignment horizontal="right"/>
    </xf>
    <xf numFmtId="0" fontId="62" fillId="2" borderId="19" xfId="1" applyFont="1" applyFill="1" applyBorder="1" applyAlignment="1">
      <alignment horizontal="center"/>
    </xf>
    <xf numFmtId="0" fontId="62" fillId="2" borderId="4" xfId="1" applyFont="1" applyFill="1" applyBorder="1" applyAlignment="1">
      <alignment horizontal="center"/>
    </xf>
    <xf numFmtId="0" fontId="65" fillId="2" borderId="2" xfId="3" applyFont="1" applyFill="1" applyBorder="1" applyAlignment="1">
      <alignment horizontal="center"/>
    </xf>
    <xf numFmtId="0" fontId="11" fillId="4" borderId="30" xfId="1" applyFont="1" applyFill="1" applyBorder="1" applyAlignment="1">
      <alignment horizontal="center" vertical="center"/>
    </xf>
    <xf numFmtId="0" fontId="11" fillId="4" borderId="47" xfId="1" applyFont="1" applyFill="1" applyBorder="1" applyAlignment="1">
      <alignment horizontal="center" vertical="center"/>
    </xf>
    <xf numFmtId="0" fontId="11" fillId="4" borderId="29" xfId="1" applyFont="1" applyFill="1" applyBorder="1" applyAlignment="1">
      <alignment horizontal="center" vertical="center"/>
    </xf>
    <xf numFmtId="0" fontId="11" fillId="4" borderId="42" xfId="1" applyFont="1" applyFill="1" applyBorder="1" applyAlignment="1">
      <alignment horizontal="center" vertical="center"/>
    </xf>
    <xf numFmtId="0" fontId="11" fillId="4" borderId="12" xfId="1" applyFont="1" applyFill="1" applyBorder="1" applyAlignment="1">
      <alignment horizontal="center" vertical="center"/>
    </xf>
    <xf numFmtId="14" fontId="63" fillId="2" borderId="32" xfId="3" applyNumberFormat="1" applyFont="1" applyFill="1" applyBorder="1" applyAlignment="1">
      <alignment horizontal="center" vertical="center" wrapText="1"/>
    </xf>
    <xf numFmtId="14" fontId="63" fillId="2" borderId="31" xfId="3" applyNumberFormat="1" applyFont="1" applyFill="1" applyBorder="1" applyAlignment="1">
      <alignment horizontal="center" vertical="center" wrapText="1"/>
    </xf>
    <xf numFmtId="0" fontId="12" fillId="2" borderId="44" xfId="3" applyFont="1" applyFill="1" applyBorder="1" applyAlignment="1">
      <alignment horizontal="left"/>
    </xf>
    <xf numFmtId="0" fontId="12" fillId="2" borderId="45" xfId="3" applyFont="1" applyFill="1" applyBorder="1" applyAlignment="1">
      <alignment horizontal="left"/>
    </xf>
    <xf numFmtId="0" fontId="12" fillId="2" borderId="33" xfId="3" applyFont="1" applyFill="1" applyBorder="1" applyAlignment="1">
      <alignment horizontal="left"/>
    </xf>
    <xf numFmtId="0" fontId="12" fillId="2" borderId="15" xfId="3" applyFont="1" applyFill="1" applyBorder="1" applyAlignment="1">
      <alignment horizontal="left"/>
    </xf>
    <xf numFmtId="0" fontId="12" fillId="2" borderId="35" xfId="3" applyFont="1" applyFill="1" applyBorder="1" applyAlignment="1">
      <alignment horizontal="left"/>
    </xf>
    <xf numFmtId="0" fontId="12" fillId="2" borderId="16" xfId="3" applyFont="1" applyFill="1" applyBorder="1" applyAlignment="1">
      <alignment horizontal="left"/>
    </xf>
    <xf numFmtId="0" fontId="62" fillId="2" borderId="36" xfId="3" applyFont="1" applyFill="1" applyBorder="1" applyAlignment="1">
      <alignment horizontal="center"/>
    </xf>
    <xf numFmtId="0" fontId="62" fillId="2" borderId="37" xfId="3" applyFont="1" applyFill="1" applyBorder="1" applyAlignment="1">
      <alignment horizontal="center"/>
    </xf>
    <xf numFmtId="0" fontId="62" fillId="2" borderId="23" xfId="3" applyFont="1" applyFill="1" applyBorder="1" applyAlignment="1">
      <alignment horizontal="center"/>
    </xf>
    <xf numFmtId="0" fontId="62" fillId="2" borderId="38" xfId="3" applyFont="1" applyFill="1" applyBorder="1" applyAlignment="1">
      <alignment horizontal="center"/>
    </xf>
    <xf numFmtId="0" fontId="62" fillId="2" borderId="3" xfId="3" applyFont="1" applyFill="1" applyBorder="1" applyAlignment="1">
      <alignment horizontal="center"/>
    </xf>
    <xf numFmtId="0" fontId="62" fillId="2" borderId="39" xfId="3" applyFont="1" applyFill="1" applyBorder="1" applyAlignment="1">
      <alignment horizontal="center"/>
    </xf>
    <xf numFmtId="0" fontId="11" fillId="6" borderId="17" xfId="3" applyFont="1" applyFill="1" applyBorder="1" applyAlignment="1">
      <alignment horizontal="center" vertical="center" wrapText="1"/>
    </xf>
    <xf numFmtId="0" fontId="64" fillId="6" borderId="17" xfId="3" applyFont="1" applyFill="1" applyBorder="1" applyAlignment="1">
      <alignment horizontal="center" vertical="center" wrapText="1"/>
    </xf>
    <xf numFmtId="0" fontId="11" fillId="2" borderId="17" xfId="3" applyFont="1" applyFill="1" applyBorder="1" applyAlignment="1">
      <alignment horizontal="right" vertical="top" wrapText="1"/>
    </xf>
    <xf numFmtId="0" fontId="11" fillId="2" borderId="12" xfId="3" applyFont="1" applyFill="1" applyBorder="1" applyAlignment="1">
      <alignment horizontal="right" vertical="top" wrapText="1"/>
    </xf>
    <xf numFmtId="0" fontId="16" fillId="0" borderId="18" xfId="1" applyFont="1" applyBorder="1" applyAlignment="1">
      <alignment horizontal="right"/>
    </xf>
    <xf numFmtId="0" fontId="16" fillId="0" borderId="35" xfId="1" applyFont="1" applyBorder="1" applyAlignment="1">
      <alignment horizontal="right"/>
    </xf>
    <xf numFmtId="0" fontId="16" fillId="0" borderId="16" xfId="1" applyFont="1" applyBorder="1" applyAlignment="1">
      <alignment horizontal="right"/>
    </xf>
    <xf numFmtId="0" fontId="12" fillId="0" borderId="17" xfId="1" applyFont="1" applyBorder="1" applyAlignment="1">
      <alignment horizontal="right"/>
    </xf>
    <xf numFmtId="164" fontId="12" fillId="0" borderId="15" xfId="1" applyNumberFormat="1" applyFont="1" applyBorder="1" applyAlignment="1">
      <alignment horizontal="center"/>
    </xf>
    <xf numFmtId="164" fontId="12" fillId="0" borderId="14" xfId="1" applyNumberFormat="1" applyFont="1" applyBorder="1" applyAlignment="1">
      <alignment horizontal="center"/>
    </xf>
    <xf numFmtId="164" fontId="12" fillId="0" borderId="15" xfId="1" applyNumberFormat="1" applyFont="1" applyBorder="1" applyAlignment="1">
      <alignment horizontal="right" wrapText="1"/>
    </xf>
    <xf numFmtId="164" fontId="12" fillId="0" borderId="16" xfId="1" applyNumberFormat="1" applyFont="1" applyBorder="1" applyAlignment="1">
      <alignment horizontal="right" wrapText="1"/>
    </xf>
    <xf numFmtId="0" fontId="16" fillId="0" borderId="13" xfId="1" applyFont="1" applyBorder="1" applyAlignment="1">
      <alignment horizontal="right"/>
    </xf>
    <xf numFmtId="0" fontId="16" fillId="0" borderId="34" xfId="1" applyFont="1" applyBorder="1" applyAlignment="1">
      <alignment horizontal="right"/>
    </xf>
    <xf numFmtId="0" fontId="16" fillId="0" borderId="12" xfId="1" applyFont="1" applyBorder="1" applyAlignment="1">
      <alignment horizontal="right"/>
    </xf>
    <xf numFmtId="0" fontId="12" fillId="0" borderId="12" xfId="1" applyFont="1" applyBorder="1" applyAlignment="1">
      <alignment horizontal="right"/>
    </xf>
    <xf numFmtId="0" fontId="16" fillId="4" borderId="9" xfId="1" applyFont="1" applyFill="1" applyBorder="1" applyAlignment="1">
      <alignment horizontal="left"/>
    </xf>
    <xf numFmtId="0" fontId="16" fillId="4" borderId="8" xfId="1" applyFont="1" applyFill="1" applyBorder="1" applyAlignment="1">
      <alignment horizontal="left"/>
    </xf>
    <xf numFmtId="0" fontId="16" fillId="4" borderId="7" xfId="1" applyFont="1" applyFill="1" applyBorder="1" applyAlignment="1">
      <alignment horizontal="left"/>
    </xf>
    <xf numFmtId="0" fontId="16" fillId="0" borderId="6" xfId="1" applyFont="1" applyBorder="1" applyAlignment="1">
      <alignment horizontal="right"/>
    </xf>
    <xf numFmtId="0" fontId="16" fillId="0" borderId="5" xfId="1" applyFont="1" applyBorder="1" applyAlignment="1">
      <alignment horizontal="right"/>
    </xf>
    <xf numFmtId="0" fontId="16" fillId="0" borderId="21" xfId="1" applyFont="1" applyBorder="1" applyAlignment="1">
      <alignment horizontal="right"/>
    </xf>
    <xf numFmtId="164" fontId="12" fillId="0" borderId="20" xfId="1" applyNumberFormat="1" applyFont="1" applyBorder="1" applyAlignment="1">
      <alignment horizontal="right"/>
    </xf>
    <xf numFmtId="0" fontId="12" fillId="2" borderId="19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8" fillId="2" borderId="29" xfId="3" applyFont="1" applyFill="1" applyBorder="1" applyAlignment="1">
      <alignment horizontal="center"/>
    </xf>
    <xf numFmtId="0" fontId="18" fillId="2" borderId="42" xfId="3" applyFont="1" applyFill="1" applyBorder="1" applyAlignment="1">
      <alignment horizontal="center"/>
    </xf>
    <xf numFmtId="0" fontId="19" fillId="6" borderId="8" xfId="3" applyFont="1" applyFill="1" applyBorder="1" applyAlignment="1">
      <alignment horizontal="center" vertical="center" wrapText="1"/>
    </xf>
    <xf numFmtId="0" fontId="19" fillId="6" borderId="7" xfId="3" applyFont="1" applyFill="1" applyBorder="1" applyAlignment="1">
      <alignment horizontal="center" vertical="center" wrapText="1"/>
    </xf>
    <xf numFmtId="0" fontId="16" fillId="2" borderId="43" xfId="3" applyFont="1" applyFill="1" applyBorder="1" applyAlignment="1">
      <alignment horizontal="right" vertical="top" wrapText="1"/>
    </xf>
    <xf numFmtId="0" fontId="16" fillId="2" borderId="38" xfId="3" applyFont="1" applyFill="1" applyBorder="1" applyAlignment="1">
      <alignment horizontal="right" vertical="top" wrapText="1"/>
    </xf>
    <xf numFmtId="0" fontId="16" fillId="4" borderId="30" xfId="1" applyFont="1" applyFill="1" applyBorder="1" applyAlignment="1">
      <alignment horizontal="center" vertical="center"/>
    </xf>
    <xf numFmtId="0" fontId="16" fillId="4" borderId="29" xfId="1" applyFont="1" applyFill="1" applyBorder="1" applyAlignment="1">
      <alignment horizontal="center" vertical="center"/>
    </xf>
    <xf numFmtId="0" fontId="62" fillId="2" borderId="17" xfId="3" applyFont="1" applyFill="1" applyBorder="1" applyAlignment="1">
      <alignment horizontal="left"/>
    </xf>
    <xf numFmtId="0" fontId="62" fillId="2" borderId="12" xfId="3" applyFont="1" applyFill="1" applyBorder="1" applyAlignment="1">
      <alignment horizontal="left"/>
    </xf>
    <xf numFmtId="0" fontId="16" fillId="4" borderId="29" xfId="0" applyFont="1" applyFill="1" applyBorder="1" applyAlignment="1">
      <alignment horizontal="center" vertical="center"/>
    </xf>
    <xf numFmtId="0" fontId="12" fillId="2" borderId="36" xfId="3" applyFont="1" applyFill="1" applyBorder="1" applyAlignment="1">
      <alignment horizontal="center"/>
    </xf>
    <xf numFmtId="0" fontId="12" fillId="2" borderId="41" xfId="3" applyFont="1" applyFill="1" applyBorder="1" applyAlignment="1">
      <alignment horizontal="center"/>
    </xf>
    <xf numFmtId="0" fontId="12" fillId="2" borderId="23" xfId="3" applyFont="1" applyFill="1" applyBorder="1" applyAlignment="1">
      <alignment horizontal="center"/>
    </xf>
    <xf numFmtId="0" fontId="12" fillId="2" borderId="0" xfId="3" applyFont="1" applyFill="1" applyAlignment="1">
      <alignment horizontal="center"/>
    </xf>
    <xf numFmtId="0" fontId="12" fillId="2" borderId="3" xfId="3" applyFont="1" applyFill="1" applyBorder="1" applyAlignment="1">
      <alignment horizontal="center"/>
    </xf>
    <xf numFmtId="0" fontId="12" fillId="2" borderId="2" xfId="3" applyFont="1" applyFill="1" applyBorder="1" applyAlignment="1">
      <alignment horizontal="center"/>
    </xf>
    <xf numFmtId="0" fontId="19" fillId="6" borderId="9" xfId="3" applyFont="1" applyFill="1" applyBorder="1" applyAlignment="1">
      <alignment horizontal="center" vertical="center" wrapText="1"/>
    </xf>
    <xf numFmtId="0" fontId="16" fillId="2" borderId="39" xfId="3" applyFont="1" applyFill="1" applyBorder="1" applyAlignment="1">
      <alignment horizontal="right" vertical="top" wrapText="1"/>
    </xf>
    <xf numFmtId="0" fontId="16" fillId="4" borderId="30" xfId="0" applyFont="1" applyFill="1" applyBorder="1" applyAlignment="1">
      <alignment horizontal="center" vertical="center"/>
    </xf>
    <xf numFmtId="0" fontId="16" fillId="4" borderId="47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 wrapText="1"/>
    </xf>
    <xf numFmtId="0" fontId="16" fillId="4" borderId="49" xfId="0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6" fillId="0" borderId="6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164" fontId="12" fillId="0" borderId="20" xfId="0" applyNumberFormat="1" applyFont="1" applyBorder="1" applyAlignment="1">
      <alignment horizontal="right"/>
    </xf>
    <xf numFmtId="0" fontId="12" fillId="2" borderId="19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6" fillId="0" borderId="18" xfId="0" applyFont="1" applyBorder="1" applyAlignment="1">
      <alignment horizontal="right"/>
    </xf>
    <xf numFmtId="0" fontId="16" fillId="0" borderId="35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12" fillId="0" borderId="17" xfId="0" applyFont="1" applyBorder="1" applyAlignment="1">
      <alignment horizontal="right"/>
    </xf>
    <xf numFmtId="164" fontId="12" fillId="0" borderId="15" xfId="0" applyNumberFormat="1" applyFont="1" applyBorder="1" applyAlignment="1">
      <alignment horizontal="center"/>
    </xf>
    <xf numFmtId="164" fontId="12" fillId="0" borderId="14" xfId="0" applyNumberFormat="1" applyFont="1" applyBorder="1" applyAlignment="1">
      <alignment horizontal="center"/>
    </xf>
    <xf numFmtId="164" fontId="12" fillId="0" borderId="15" xfId="0" applyNumberFormat="1" applyFont="1" applyBorder="1" applyAlignment="1">
      <alignment horizontal="right" wrapText="1"/>
    </xf>
    <xf numFmtId="164" fontId="12" fillId="0" borderId="16" xfId="0" applyNumberFormat="1" applyFont="1" applyBorder="1" applyAlignment="1">
      <alignment horizontal="right" wrapText="1"/>
    </xf>
    <xf numFmtId="0" fontId="12" fillId="0" borderId="1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6" fillId="0" borderId="13" xfId="0" applyFont="1" applyBorder="1" applyAlignment="1">
      <alignment horizontal="right"/>
    </xf>
    <xf numFmtId="0" fontId="16" fillId="0" borderId="34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164" fontId="12" fillId="0" borderId="11" xfId="0" applyNumberFormat="1" applyFont="1" applyBorder="1" applyAlignment="1">
      <alignment horizontal="center"/>
    </xf>
    <xf numFmtId="164" fontId="12" fillId="0" borderId="10" xfId="0" applyNumberFormat="1" applyFont="1" applyBorder="1" applyAlignment="1">
      <alignment horizontal="center"/>
    </xf>
    <xf numFmtId="0" fontId="16" fillId="4" borderId="36" xfId="0" applyFont="1" applyFill="1" applyBorder="1" applyAlignment="1">
      <alignment horizontal="left"/>
    </xf>
    <xf numFmtId="0" fontId="16" fillId="4" borderId="41" xfId="0" applyFont="1" applyFill="1" applyBorder="1" applyAlignment="1">
      <alignment horizontal="left"/>
    </xf>
    <xf numFmtId="0" fontId="16" fillId="4" borderId="48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6" fillId="3" borderId="25" xfId="0" applyFont="1" applyFill="1" applyBorder="1" applyAlignment="1">
      <alignment horizontal="left"/>
    </xf>
    <xf numFmtId="0" fontId="16" fillId="3" borderId="16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16" fillId="3" borderId="24" xfId="0" applyFont="1" applyFill="1" applyBorder="1" applyAlignment="1">
      <alignment horizontal="left"/>
    </xf>
    <xf numFmtId="0" fontId="12" fillId="2" borderId="60" xfId="3" applyFont="1" applyFill="1" applyBorder="1" applyAlignment="1">
      <alignment horizontal="center"/>
    </xf>
    <xf numFmtId="0" fontId="12" fillId="2" borderId="61" xfId="3" applyFont="1" applyFill="1" applyBorder="1" applyAlignment="1">
      <alignment horizontal="center"/>
    </xf>
    <xf numFmtId="0" fontId="12" fillId="2" borderId="65" xfId="3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center" vertical="center"/>
    </xf>
    <xf numFmtId="0" fontId="16" fillId="4" borderId="66" xfId="0" applyFont="1" applyFill="1" applyBorder="1" applyAlignment="1">
      <alignment horizontal="center" vertical="center" wrapText="1"/>
    </xf>
    <xf numFmtId="1" fontId="20" fillId="0" borderId="15" xfId="0" applyNumberFormat="1" applyFont="1" applyBorder="1" applyAlignment="1">
      <alignment horizontal="center"/>
    </xf>
    <xf numFmtId="1" fontId="20" fillId="0" borderId="16" xfId="0" applyNumberFormat="1" applyFont="1" applyBorder="1" applyAlignment="1">
      <alignment horizontal="center"/>
    </xf>
    <xf numFmtId="0" fontId="16" fillId="4" borderId="9" xfId="0" applyFont="1" applyFill="1" applyBorder="1" applyAlignment="1">
      <alignment horizontal="left"/>
    </xf>
    <xf numFmtId="0" fontId="16" fillId="4" borderId="8" xfId="0" applyFont="1" applyFill="1" applyBorder="1" applyAlignment="1">
      <alignment horizontal="left"/>
    </xf>
    <xf numFmtId="0" fontId="16" fillId="4" borderId="7" xfId="0" applyFont="1" applyFill="1" applyBorder="1" applyAlignment="1">
      <alignment horizontal="left"/>
    </xf>
    <xf numFmtId="14" fontId="12" fillId="2" borderId="26" xfId="3" applyNumberFormat="1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/>
    </xf>
    <xf numFmtId="0" fontId="12" fillId="2" borderId="5" xfId="3" applyFont="1" applyFill="1" applyBorder="1" applyAlignment="1">
      <alignment horizontal="center"/>
    </xf>
    <xf numFmtId="0" fontId="18" fillId="2" borderId="11" xfId="3" applyFont="1" applyFill="1" applyBorder="1" applyAlignment="1">
      <alignment horizontal="center"/>
    </xf>
    <xf numFmtId="0" fontId="18" fillId="2" borderId="57" xfId="3" applyFont="1" applyFill="1" applyBorder="1" applyAlignment="1">
      <alignment horizontal="center"/>
    </xf>
    <xf numFmtId="0" fontId="18" fillId="2" borderId="34" xfId="3" applyFont="1" applyFill="1" applyBorder="1" applyAlignment="1">
      <alignment horizontal="center"/>
    </xf>
    <xf numFmtId="0" fontId="16" fillId="4" borderId="13" xfId="1" applyFont="1" applyFill="1" applyBorder="1" applyAlignment="1">
      <alignment horizontal="center" vertical="center"/>
    </xf>
    <xf numFmtId="0" fontId="16" fillId="4" borderId="30" xfId="1" applyFont="1" applyFill="1" applyBorder="1" applyAlignment="1">
      <alignment horizontal="center" vertical="center" wrapText="1"/>
    </xf>
    <xf numFmtId="0" fontId="16" fillId="4" borderId="13" xfId="1" applyFont="1" applyFill="1" applyBorder="1" applyAlignment="1">
      <alignment horizontal="center" vertical="center" wrapText="1"/>
    </xf>
    <xf numFmtId="0" fontId="16" fillId="4" borderId="12" xfId="1" applyFont="1" applyFill="1" applyBorder="1" applyAlignment="1">
      <alignment horizontal="center" vertical="center"/>
    </xf>
    <xf numFmtId="0" fontId="12" fillId="0" borderId="40" xfId="1" applyFont="1" applyBorder="1" applyAlignment="1">
      <alignment horizontal="left"/>
    </xf>
    <xf numFmtId="0" fontId="12" fillId="0" borderId="21" xfId="1" applyFont="1" applyBorder="1" applyAlignment="1">
      <alignment horizontal="left"/>
    </xf>
    <xf numFmtId="0" fontId="12" fillId="0" borderId="20" xfId="1" applyFont="1" applyBorder="1" applyAlignment="1">
      <alignment horizontal="left"/>
    </xf>
    <xf numFmtId="0" fontId="12" fillId="0" borderId="26" xfId="1" applyFont="1" applyBorder="1" applyAlignment="1">
      <alignment horizontal="left"/>
    </xf>
    <xf numFmtId="164" fontId="12" fillId="0" borderId="15" xfId="0" applyNumberFormat="1" applyFont="1" applyBorder="1" applyAlignment="1">
      <alignment horizontal="center" wrapText="1"/>
    </xf>
    <xf numFmtId="164" fontId="12" fillId="0" borderId="14" xfId="0" applyNumberFormat="1" applyFont="1" applyBorder="1" applyAlignment="1">
      <alignment horizontal="center" wrapText="1"/>
    </xf>
    <xf numFmtId="0" fontId="51" fillId="0" borderId="18" xfId="0" applyFont="1" applyBorder="1" applyAlignment="1">
      <alignment horizontal="left"/>
    </xf>
    <xf numFmtId="0" fontId="51" fillId="0" borderId="35" xfId="0" applyFont="1" applyBorder="1" applyAlignment="1">
      <alignment horizontal="left"/>
    </xf>
    <xf numFmtId="0" fontId="51" fillId="0" borderId="14" xfId="0" applyFont="1" applyBorder="1" applyAlignment="1">
      <alignment horizontal="left"/>
    </xf>
    <xf numFmtId="0" fontId="16" fillId="15" borderId="60" xfId="3" applyFont="1" applyFill="1" applyBorder="1" applyAlignment="1">
      <alignment horizontal="center"/>
    </xf>
    <xf numFmtId="0" fontId="16" fillId="15" borderId="41" xfId="3" applyFont="1" applyFill="1" applyBorder="1" applyAlignment="1">
      <alignment horizontal="center"/>
    </xf>
    <xf numFmtId="0" fontId="12" fillId="2" borderId="61" xfId="3" applyFont="1" applyFill="1" applyBorder="1" applyAlignment="1">
      <alignment horizontal="left"/>
    </xf>
    <xf numFmtId="0" fontId="12" fillId="2" borderId="0" xfId="3" applyFont="1" applyFill="1" applyAlignment="1">
      <alignment horizontal="left"/>
    </xf>
    <xf numFmtId="0" fontId="16" fillId="0" borderId="40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26" xfId="1" applyFont="1" applyBorder="1" applyAlignment="1">
      <alignment horizontal="center"/>
    </xf>
    <xf numFmtId="0" fontId="61" fillId="0" borderId="47" xfId="1" applyFont="1" applyBorder="1" applyAlignment="1">
      <alignment horizontal="left" wrapText="1"/>
    </xf>
    <xf numFmtId="0" fontId="61" fillId="0" borderId="43" xfId="1" applyFont="1" applyBorder="1" applyAlignment="1">
      <alignment horizontal="left" wrapText="1"/>
    </xf>
    <xf numFmtId="0" fontId="61" fillId="0" borderId="42" xfId="1" applyFont="1" applyBorder="1" applyAlignment="1">
      <alignment horizontal="left" wrapText="1"/>
    </xf>
    <xf numFmtId="0" fontId="61" fillId="0" borderId="32" xfId="1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3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64" xfId="0" applyFont="1" applyBorder="1" applyAlignment="1">
      <alignment horizontal="left"/>
    </xf>
    <xf numFmtId="0" fontId="12" fillId="0" borderId="57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5" fillId="0" borderId="5" xfId="1" applyFont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0" borderId="6" xfId="1" applyFont="1" applyBorder="1" applyAlignment="1">
      <alignment horizontal="left" wrapText="1"/>
    </xf>
    <xf numFmtId="0" fontId="58" fillId="4" borderId="9" xfId="3" applyFont="1" applyFill="1" applyBorder="1" applyAlignment="1">
      <alignment horizontal="center" vertical="center" wrapText="1"/>
    </xf>
    <xf numFmtId="0" fontId="58" fillId="4" borderId="8" xfId="3" applyFont="1" applyFill="1" applyBorder="1" applyAlignment="1">
      <alignment horizontal="center" vertical="center" wrapText="1"/>
    </xf>
    <xf numFmtId="0" fontId="58" fillId="4" borderId="7" xfId="3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/>
    </xf>
    <xf numFmtId="164" fontId="12" fillId="0" borderId="11" xfId="1" applyNumberFormat="1" applyFont="1" applyBorder="1" applyAlignment="1">
      <alignment horizontal="center"/>
    </xf>
    <xf numFmtId="164" fontId="12" fillId="0" borderId="10" xfId="1" applyNumberFormat="1" applyFont="1" applyBorder="1" applyAlignment="1">
      <alignment horizontal="center"/>
    </xf>
    <xf numFmtId="0" fontId="12" fillId="0" borderId="64" xfId="1" applyFont="1" applyBorder="1" applyAlignment="1">
      <alignment horizontal="left"/>
    </xf>
    <xf numFmtId="0" fontId="12" fillId="0" borderId="57" xfId="1" applyFont="1" applyBorder="1" applyAlignment="1">
      <alignment horizontal="left"/>
    </xf>
    <xf numFmtId="0" fontId="12" fillId="0" borderId="10" xfId="1" applyFont="1" applyBorder="1" applyAlignment="1">
      <alignment horizontal="left"/>
    </xf>
    <xf numFmtId="0" fontId="7" fillId="0" borderId="17" xfId="0" applyFont="1" applyBorder="1" applyAlignment="1">
      <alignment horizontal="left" wrapText="1"/>
    </xf>
    <xf numFmtId="0" fontId="7" fillId="0" borderId="35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2" fillId="0" borderId="18" xfId="1" applyFont="1" applyBorder="1" applyAlignment="1">
      <alignment horizontal="left" wrapText="1"/>
    </xf>
    <xf numFmtId="0" fontId="12" fillId="0" borderId="35" xfId="1" applyFont="1" applyBorder="1" applyAlignment="1">
      <alignment horizontal="left" wrapText="1"/>
    </xf>
    <xf numFmtId="0" fontId="12" fillId="0" borderId="14" xfId="1" applyFont="1" applyBorder="1" applyAlignment="1">
      <alignment horizontal="left" wrapText="1"/>
    </xf>
    <xf numFmtId="0" fontId="12" fillId="0" borderId="4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4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18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40" xfId="1" applyFont="1" applyBorder="1" applyAlignment="1">
      <alignment horizontal="left" wrapText="1"/>
    </xf>
    <xf numFmtId="0" fontId="12" fillId="0" borderId="21" xfId="1" applyFont="1" applyBorder="1" applyAlignment="1">
      <alignment horizontal="left" wrapText="1"/>
    </xf>
    <xf numFmtId="0" fontId="12" fillId="0" borderId="20" xfId="1" applyFont="1" applyBorder="1" applyAlignment="1">
      <alignment horizontal="left" wrapText="1"/>
    </xf>
    <xf numFmtId="0" fontId="12" fillId="0" borderId="26" xfId="1" applyFont="1" applyBorder="1" applyAlignment="1">
      <alignment horizontal="left" wrapText="1"/>
    </xf>
    <xf numFmtId="0" fontId="12" fillId="0" borderId="13" xfId="1" applyFont="1" applyBorder="1" applyAlignment="1">
      <alignment horizontal="left"/>
    </xf>
    <xf numFmtId="0" fontId="12" fillId="0" borderId="34" xfId="1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12" fillId="0" borderId="27" xfId="1" applyFont="1" applyBorder="1" applyAlignment="1">
      <alignment horizontal="left"/>
    </xf>
    <xf numFmtId="0" fontId="12" fillId="0" borderId="15" xfId="0" applyFont="1" applyBorder="1" applyAlignment="1">
      <alignment horizontal="left" wrapText="1"/>
    </xf>
    <xf numFmtId="0" fontId="13" fillId="6" borderId="15" xfId="3" applyFont="1" applyFill="1" applyBorder="1" applyAlignment="1">
      <alignment horizontal="center" vertical="center" wrapText="1"/>
    </xf>
    <xf numFmtId="0" fontId="13" fillId="6" borderId="35" xfId="3" applyFont="1" applyFill="1" applyBorder="1" applyAlignment="1">
      <alignment horizontal="center" vertical="center" wrapText="1"/>
    </xf>
    <xf numFmtId="0" fontId="13" fillId="6" borderId="16" xfId="3" applyFont="1" applyFill="1" applyBorder="1" applyAlignment="1">
      <alignment horizontal="center" vertical="center" wrapText="1"/>
    </xf>
    <xf numFmtId="0" fontId="15" fillId="0" borderId="15" xfId="0" applyFont="1" applyBorder="1"/>
    <xf numFmtId="0" fontId="15" fillId="0" borderId="35" xfId="0" applyFont="1" applyBorder="1"/>
    <xf numFmtId="0" fontId="15" fillId="0" borderId="16" xfId="0" applyFont="1" applyBorder="1"/>
    <xf numFmtId="0" fontId="12" fillId="0" borderId="30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9" fillId="6" borderId="58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19" fillId="6" borderId="59" xfId="3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0" fillId="6" borderId="17" xfId="3" applyFont="1" applyFill="1" applyBorder="1" applyAlignment="1">
      <alignment horizontal="center" vertical="center" wrapText="1"/>
    </xf>
    <xf numFmtId="0" fontId="71" fillId="6" borderId="17" xfId="3" applyFont="1" applyFill="1" applyBorder="1" applyAlignment="1">
      <alignment horizontal="center" vertical="center" wrapText="1"/>
    </xf>
    <xf numFmtId="0" fontId="72" fillId="2" borderId="2" xfId="3" applyFont="1" applyFill="1" applyBorder="1" applyAlignment="1">
      <alignment horizontal="center"/>
    </xf>
    <xf numFmtId="14" fontId="72" fillId="2" borderId="0" xfId="3" applyNumberFormat="1" applyFont="1" applyFill="1" applyAlignment="1">
      <alignment horizontal="center" vertical="center" wrapText="1"/>
    </xf>
    <xf numFmtId="1" fontId="73" fillId="0" borderId="17" xfId="0" applyNumberFormat="1" applyFont="1" applyBorder="1" applyAlignment="1">
      <alignment horizontal="center"/>
    </xf>
    <xf numFmtId="0" fontId="74" fillId="0" borderId="17" xfId="0" applyFont="1" applyBorder="1" applyAlignment="1">
      <alignment horizontal="center"/>
    </xf>
    <xf numFmtId="16" fontId="73" fillId="0" borderId="17" xfId="1" applyNumberFormat="1" applyFont="1" applyBorder="1" applyAlignment="1">
      <alignment horizontal="center"/>
    </xf>
    <xf numFmtId="1" fontId="73" fillId="0" borderId="17" xfId="1" applyNumberFormat="1" applyFont="1" applyBorder="1" applyAlignment="1">
      <alignment horizontal="center"/>
    </xf>
    <xf numFmtId="1" fontId="73" fillId="0" borderId="17" xfId="1" applyNumberFormat="1" applyFont="1" applyBorder="1" applyAlignment="1">
      <alignment horizontal="center" wrapText="1"/>
    </xf>
    <xf numFmtId="1" fontId="73" fillId="0" borderId="20" xfId="1" applyNumberFormat="1" applyFont="1" applyBorder="1" applyAlignment="1">
      <alignment horizontal="center"/>
    </xf>
    <xf numFmtId="0" fontId="73" fillId="0" borderId="20" xfId="1" applyFont="1" applyBorder="1" applyAlignment="1">
      <alignment horizontal="center"/>
    </xf>
    <xf numFmtId="0" fontId="69" fillId="5" borderId="26" xfId="1" applyFont="1" applyFill="1" applyBorder="1" applyAlignment="1">
      <alignment horizontal="center"/>
    </xf>
    <xf numFmtId="49" fontId="73" fillId="0" borderId="17" xfId="0" applyNumberFormat="1" applyFont="1" applyBorder="1" applyAlignment="1">
      <alignment horizontal="center"/>
    </xf>
    <xf numFmtId="0" fontId="73" fillId="0" borderId="0" xfId="0" applyFont="1" applyAlignment="1">
      <alignment horizontal="center"/>
    </xf>
    <xf numFmtId="0" fontId="73" fillId="0" borderId="17" xfId="0" applyFont="1" applyBorder="1" applyAlignment="1">
      <alignment horizontal="center"/>
    </xf>
    <xf numFmtId="0" fontId="73" fillId="0" borderId="16" xfId="0" applyFont="1" applyBorder="1" applyAlignment="1">
      <alignment horizontal="center"/>
    </xf>
    <xf numFmtId="0" fontId="73" fillId="0" borderId="17" xfId="1" applyFont="1" applyBorder="1" applyAlignment="1">
      <alignment horizontal="center"/>
    </xf>
    <xf numFmtId="0" fontId="73" fillId="0" borderId="17" xfId="0" applyFont="1" applyBorder="1"/>
    <xf numFmtId="49" fontId="75" fillId="2" borderId="23" xfId="1" applyNumberFormat="1" applyFont="1" applyFill="1" applyBorder="1" applyAlignment="1">
      <alignment horizontal="center" vertical="center"/>
    </xf>
    <xf numFmtId="49" fontId="75" fillId="2" borderId="0" xfId="1" applyNumberFormat="1" applyFont="1" applyFill="1" applyAlignment="1">
      <alignment horizontal="center" vertical="center"/>
    </xf>
    <xf numFmtId="0" fontId="73" fillId="0" borderId="0" xfId="1" applyFont="1"/>
    <xf numFmtId="1" fontId="73" fillId="2" borderId="0" xfId="1" applyNumberFormat="1" applyFont="1" applyFill="1" applyAlignment="1">
      <alignment horizontal="center"/>
    </xf>
    <xf numFmtId="164" fontId="73" fillId="2" borderId="0" xfId="1" applyNumberFormat="1" applyFont="1" applyFill="1" applyAlignment="1">
      <alignment horizontal="center" wrapText="1"/>
    </xf>
    <xf numFmtId="0" fontId="73" fillId="2" borderId="22" xfId="1" applyFont="1" applyFill="1" applyBorder="1" applyAlignment="1">
      <alignment horizontal="center"/>
    </xf>
    <xf numFmtId="0" fontId="73" fillId="4" borderId="9" xfId="1" applyFont="1" applyFill="1" applyBorder="1" applyAlignment="1">
      <alignment horizontal="center"/>
    </xf>
    <xf numFmtId="0" fontId="73" fillId="4" borderId="8" xfId="1" applyFont="1" applyFill="1" applyBorder="1" applyAlignment="1">
      <alignment horizontal="center"/>
    </xf>
    <xf numFmtId="0" fontId="73" fillId="4" borderId="8" xfId="1" applyFont="1" applyFill="1" applyBorder="1"/>
    <xf numFmtId="0" fontId="69" fillId="4" borderId="8" xfId="1" applyFont="1" applyFill="1" applyBorder="1" applyAlignment="1">
      <alignment horizontal="center"/>
    </xf>
    <xf numFmtId="1" fontId="69" fillId="4" borderId="8" xfId="1" applyNumberFormat="1" applyFont="1" applyFill="1" applyBorder="1" applyAlignment="1">
      <alignment horizontal="center"/>
    </xf>
    <xf numFmtId="164" fontId="73" fillId="4" borderId="8" xfId="1" applyNumberFormat="1" applyFont="1" applyFill="1" applyBorder="1" applyAlignment="1">
      <alignment horizontal="center" wrapText="1"/>
    </xf>
    <xf numFmtId="0" fontId="73" fillId="4" borderId="7" xfId="1" applyFont="1" applyFill="1" applyBorder="1" applyAlignment="1">
      <alignment horizontal="center"/>
    </xf>
    <xf numFmtId="0" fontId="69" fillId="0" borderId="6" xfId="1" applyFont="1" applyBorder="1" applyAlignment="1">
      <alignment horizontal="right"/>
    </xf>
    <xf numFmtId="0" fontId="69" fillId="0" borderId="5" xfId="1" applyFont="1" applyBorder="1" applyAlignment="1">
      <alignment horizontal="right"/>
    </xf>
    <xf numFmtId="0" fontId="69" fillId="0" borderId="21" xfId="1" applyFont="1" applyBorder="1" applyAlignment="1">
      <alignment horizontal="right"/>
    </xf>
    <xf numFmtId="0" fontId="73" fillId="0" borderId="19" xfId="1" applyFont="1" applyBorder="1" applyAlignment="1">
      <alignment horizontal="center"/>
    </xf>
    <xf numFmtId="164" fontId="73" fillId="0" borderId="20" xfId="1" applyNumberFormat="1" applyFont="1" applyBorder="1" applyAlignment="1">
      <alignment horizontal="right"/>
    </xf>
    <xf numFmtId="0" fontId="73" fillId="2" borderId="19" xfId="1" applyFont="1" applyFill="1" applyBorder="1" applyAlignment="1">
      <alignment horizontal="center"/>
    </xf>
    <xf numFmtId="0" fontId="73" fillId="2" borderId="4" xfId="1" applyFont="1" applyFill="1" applyBorder="1" applyAlignment="1">
      <alignment horizontal="center"/>
    </xf>
    <xf numFmtId="0" fontId="69" fillId="0" borderId="18" xfId="1" applyFont="1" applyBorder="1" applyAlignment="1">
      <alignment horizontal="right"/>
    </xf>
    <xf numFmtId="0" fontId="69" fillId="0" borderId="35" xfId="1" applyFont="1" applyBorder="1" applyAlignment="1">
      <alignment horizontal="right"/>
    </xf>
    <xf numFmtId="0" fontId="69" fillId="0" borderId="16" xfId="1" applyFont="1" applyBorder="1" applyAlignment="1">
      <alignment horizontal="right"/>
    </xf>
    <xf numFmtId="0" fontId="73" fillId="0" borderId="17" xfId="1" applyFont="1" applyBorder="1" applyAlignment="1">
      <alignment horizontal="right"/>
    </xf>
    <xf numFmtId="164" fontId="73" fillId="0" borderId="15" xfId="1" applyNumberFormat="1" applyFont="1" applyBorder="1" applyAlignment="1">
      <alignment horizontal="center"/>
    </xf>
    <xf numFmtId="164" fontId="73" fillId="0" borderId="14" xfId="1" applyNumberFormat="1" applyFont="1" applyBorder="1" applyAlignment="1">
      <alignment horizontal="center"/>
    </xf>
    <xf numFmtId="164" fontId="73" fillId="0" borderId="15" xfId="1" applyNumberFormat="1" applyFont="1" applyBorder="1" applyAlignment="1">
      <alignment horizontal="right" wrapText="1"/>
    </xf>
    <xf numFmtId="164" fontId="73" fillId="0" borderId="16" xfId="1" applyNumberFormat="1" applyFont="1" applyBorder="1" applyAlignment="1">
      <alignment horizontal="right" wrapText="1"/>
    </xf>
    <xf numFmtId="0" fontId="69" fillId="0" borderId="13" xfId="1" applyFont="1" applyBorder="1" applyAlignment="1">
      <alignment horizontal="right"/>
    </xf>
    <xf numFmtId="0" fontId="69" fillId="0" borderId="34" xfId="1" applyFont="1" applyBorder="1" applyAlignment="1">
      <alignment horizontal="right"/>
    </xf>
    <xf numFmtId="0" fontId="69" fillId="0" borderId="12" xfId="1" applyFont="1" applyBorder="1" applyAlignment="1">
      <alignment horizontal="right"/>
    </xf>
    <xf numFmtId="1" fontId="73" fillId="0" borderId="12" xfId="1" applyNumberFormat="1" applyFont="1" applyBorder="1" applyAlignment="1">
      <alignment horizontal="center"/>
    </xf>
    <xf numFmtId="0" fontId="73" fillId="0" borderId="12" xfId="1" applyFont="1" applyBorder="1" applyAlignment="1">
      <alignment horizontal="center"/>
    </xf>
    <xf numFmtId="0" fontId="73" fillId="0" borderId="12" xfId="1" applyFont="1" applyBorder="1" applyAlignment="1">
      <alignment horizontal="right"/>
    </xf>
    <xf numFmtId="164" fontId="73" fillId="0" borderId="11" xfId="1" applyNumberFormat="1" applyFont="1" applyBorder="1" applyAlignment="1">
      <alignment horizontal="center"/>
    </xf>
    <xf numFmtId="164" fontId="73" fillId="0" borderId="10" xfId="1" applyNumberFormat="1" applyFont="1" applyBorder="1" applyAlignment="1">
      <alignment horizontal="center"/>
    </xf>
    <xf numFmtId="0" fontId="73" fillId="0" borderId="30" xfId="0" applyFont="1" applyBorder="1" applyAlignment="1">
      <alignment horizontal="left"/>
    </xf>
    <xf numFmtId="0" fontId="73" fillId="0" borderId="33" xfId="0" applyFont="1" applyBorder="1" applyAlignment="1">
      <alignment horizontal="left"/>
    </xf>
    <xf numFmtId="0" fontId="73" fillId="0" borderId="29" xfId="0" applyFont="1" applyBorder="1" applyAlignment="1">
      <alignment horizontal="left"/>
    </xf>
    <xf numFmtId="0" fontId="73" fillId="0" borderId="28" xfId="0" applyFont="1" applyBorder="1" applyAlignment="1">
      <alignment horizontal="left"/>
    </xf>
    <xf numFmtId="0" fontId="73" fillId="0" borderId="5" xfId="0" applyFont="1" applyBorder="1" applyAlignment="1">
      <alignment horizontal="left"/>
    </xf>
    <xf numFmtId="0" fontId="73" fillId="0" borderId="15" xfId="0" applyFont="1" applyBorder="1" applyAlignment="1">
      <alignment horizontal="left" wrapText="1"/>
    </xf>
    <xf numFmtId="0" fontId="73" fillId="0" borderId="35" xfId="0" applyFont="1" applyBorder="1" applyAlignment="1">
      <alignment horizontal="left" wrapText="1"/>
    </xf>
    <xf numFmtId="0" fontId="73" fillId="0" borderId="16" xfId="0" applyFont="1" applyBorder="1" applyAlignment="1">
      <alignment horizontal="left" wrapText="1"/>
    </xf>
    <xf numFmtId="0" fontId="73" fillId="0" borderId="25" xfId="0" applyFont="1" applyBorder="1" applyAlignment="1">
      <alignment horizontal="left"/>
    </xf>
    <xf numFmtId="0" fontId="73" fillId="0" borderId="16" xfId="0" applyFont="1" applyBorder="1" applyAlignment="1">
      <alignment horizontal="left"/>
    </xf>
    <xf numFmtId="0" fontId="73" fillId="0" borderId="17" xfId="0" applyFont="1" applyBorder="1" applyAlignment="1">
      <alignment horizontal="left"/>
    </xf>
    <xf numFmtId="0" fontId="73" fillId="0" borderId="24" xfId="0" applyFont="1" applyBorder="1" applyAlignment="1">
      <alignment horizontal="left"/>
    </xf>
    <xf numFmtId="0" fontId="73" fillId="0" borderId="6" xfId="1" applyFont="1" applyBorder="1" applyAlignment="1">
      <alignment horizontal="left"/>
    </xf>
    <xf numFmtId="0" fontId="73" fillId="0" borderId="5" xfId="1" applyFont="1" applyBorder="1" applyAlignment="1">
      <alignment horizontal="left"/>
    </xf>
    <xf numFmtId="0" fontId="73" fillId="0" borderId="4" xfId="1" applyFont="1" applyBorder="1" applyAlignment="1">
      <alignment horizontal="left"/>
    </xf>
    <xf numFmtId="0" fontId="73" fillId="0" borderId="3" xfId="1" applyFont="1" applyBorder="1" applyAlignment="1">
      <alignment horizontal="left"/>
    </xf>
    <xf numFmtId="0" fontId="73" fillId="0" borderId="2" xfId="1" applyFont="1" applyBorder="1" applyAlignment="1">
      <alignment horizontal="left"/>
    </xf>
    <xf numFmtId="0" fontId="73" fillId="0" borderId="1" xfId="1" applyFont="1" applyBorder="1" applyAlignment="1">
      <alignment horizontal="left"/>
    </xf>
    <xf numFmtId="0" fontId="74" fillId="0" borderId="16" xfId="0" applyFont="1" applyBorder="1" applyAlignment="1">
      <alignment horizontal="center"/>
    </xf>
    <xf numFmtId="0" fontId="69" fillId="3" borderId="6" xfId="1" applyFont="1" applyFill="1" applyBorder="1" applyAlignment="1">
      <alignment horizontal="center"/>
    </xf>
    <xf numFmtId="0" fontId="69" fillId="3" borderId="5" xfId="1" applyFont="1" applyFill="1" applyBorder="1" applyAlignment="1">
      <alignment horizontal="center"/>
    </xf>
    <xf numFmtId="0" fontId="69" fillId="3" borderId="4" xfId="1" applyFont="1" applyFill="1" applyBorder="1" applyAlignment="1">
      <alignment horizontal="center"/>
    </xf>
    <xf numFmtId="0" fontId="69" fillId="4" borderId="9" xfId="1" applyFont="1" applyFill="1" applyBorder="1" applyAlignment="1">
      <alignment horizontal="center"/>
    </xf>
    <xf numFmtId="0" fontId="69" fillId="4" borderId="8" xfId="1" applyFont="1" applyFill="1" applyBorder="1" applyAlignment="1">
      <alignment horizontal="center"/>
    </xf>
    <xf numFmtId="0" fontId="69" fillId="4" borderId="7" xfId="1" applyFont="1" applyFill="1" applyBorder="1" applyAlignment="1">
      <alignment horizontal="center"/>
    </xf>
  </cellXfs>
  <cellStyles count="10">
    <cellStyle name="Millares" xfId="5" builtinId="3"/>
    <cellStyle name="Millares [0]" xfId="6" builtinId="6"/>
    <cellStyle name="Normal" xfId="0" builtinId="0"/>
    <cellStyle name="Normal 2" xfId="1" xr:uid="{22692F71-7316-4DB9-9F8A-07463D2C40E1}"/>
    <cellStyle name="Normal 3" xfId="8" xr:uid="{5D577CDE-A3A6-4AF9-AEF4-72D86DCED8E9}"/>
    <cellStyle name="Normal 3 2" xfId="9" xr:uid="{6FAF9378-6356-44C1-A925-A8CAE45460DF}"/>
    <cellStyle name="Normal_CRITERIOS DE EVALUACION PT DE GB 2" xfId="3" xr:uid="{BE54BEDB-07B2-4245-B2F5-224F16168543}"/>
    <cellStyle name="Porcentaje" xfId="7" builtinId="5"/>
    <cellStyle name="Porcentaje 2" xfId="2" xr:uid="{83B9336D-414D-474F-8B79-2D14C5323C26}"/>
    <cellStyle name="Porcentaje 2 2" xfId="4" xr:uid="{5E6BDF75-D453-4677-9FC3-DB96EF38D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gif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22860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FD6703D-2BB9-46D3-B6CD-18E7FB0B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106680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9295D795-603A-4346-850E-7A900B7C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0</xdr:row>
      <xdr:rowOff>85726</xdr:rowOff>
    </xdr:from>
    <xdr:ext cx="1219200" cy="840606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DAE42027-156A-47DF-B9A7-BF76B0C6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171575" y="85726"/>
          <a:ext cx="1219200" cy="8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15</xdr:row>
      <xdr:rowOff>38100</xdr:rowOff>
    </xdr:from>
    <xdr:to>
      <xdr:col>5</xdr:col>
      <xdr:colOff>628650</xdr:colOff>
      <xdr:row>26</xdr:row>
      <xdr:rowOff>76200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0BBA9487-742A-4C58-B8D3-5A677B93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3267075"/>
          <a:ext cx="181927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0</xdr:row>
      <xdr:rowOff>28576</xdr:rowOff>
    </xdr:from>
    <xdr:to>
      <xdr:col>1</xdr:col>
      <xdr:colOff>171450</xdr:colOff>
      <xdr:row>5</xdr:row>
      <xdr:rowOff>85878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D41AF29B-AC97-4C30-98D6-0CBCE253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8576"/>
          <a:ext cx="828675" cy="866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800100</xdr:colOff>
      <xdr:row>15</xdr:row>
      <xdr:rowOff>152400</xdr:rowOff>
    </xdr:from>
    <xdr:to>
      <xdr:col>2</xdr:col>
      <xdr:colOff>2406974</xdr:colOff>
      <xdr:row>28</xdr:row>
      <xdr:rowOff>104775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7AA626BA-8AF2-4D7E-A445-575E8AD02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752725" y="3381375"/>
          <a:ext cx="1606874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3</xdr:row>
      <xdr:rowOff>106680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74FFC41-4A50-4B51-97D8-B10A9D92B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1</xdr:row>
      <xdr:rowOff>30480</xdr:rowOff>
    </xdr:from>
    <xdr:to>
      <xdr:col>1</xdr:col>
      <xdr:colOff>746760</xdr:colOff>
      <xdr:row>4</xdr:row>
      <xdr:rowOff>22860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2421C2B0-01B1-4F83-8990-005721CA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51460"/>
          <a:ext cx="14782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116204</xdr:colOff>
      <xdr:row>0</xdr:row>
      <xdr:rowOff>165735</xdr:rowOff>
    </xdr:from>
    <xdr:to>
      <xdr:col>1</xdr:col>
      <xdr:colOff>837840</xdr:colOff>
      <xdr:row>3</xdr:row>
      <xdr:rowOff>154780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A021B15E-6906-4700-80A5-18E3FF10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4" y="165735"/>
          <a:ext cx="1602699" cy="739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75AC-2E07-4C04-8A10-986561CA97BB}">
  <dimension ref="A1:M45"/>
  <sheetViews>
    <sheetView topLeftCell="A5" workbookViewId="0">
      <selection activeCell="C13" sqref="C13"/>
    </sheetView>
  </sheetViews>
  <sheetFormatPr baseColWidth="10" defaultRowHeight="12.75" x14ac:dyDescent="0.2"/>
  <cols>
    <col min="3" max="3" width="42.42578125" customWidth="1"/>
    <col min="4" max="4" width="14.42578125" customWidth="1"/>
    <col min="8" max="8" width="18.5703125" customWidth="1"/>
    <col min="9" max="9" width="17.42578125" customWidth="1"/>
    <col min="11" max="11" width="54" customWidth="1"/>
  </cols>
  <sheetData>
    <row r="1" spans="1:13" ht="18" x14ac:dyDescent="0.25">
      <c r="A1" s="587"/>
      <c r="B1" s="588"/>
      <c r="C1" s="593" t="s">
        <v>28</v>
      </c>
      <c r="D1" s="593"/>
      <c r="E1" s="593"/>
      <c r="F1" s="593"/>
      <c r="G1" s="593"/>
      <c r="H1" s="43" t="s">
        <v>27</v>
      </c>
      <c r="I1" s="42"/>
    </row>
    <row r="2" spans="1:13" ht="18" x14ac:dyDescent="0.25">
      <c r="A2" s="589"/>
      <c r="B2" s="590"/>
      <c r="C2" s="594" t="s">
        <v>26</v>
      </c>
      <c r="D2" s="594"/>
      <c r="E2" s="594"/>
      <c r="F2" s="594"/>
      <c r="G2" s="594"/>
      <c r="H2" s="41" t="s">
        <v>25</v>
      </c>
      <c r="I2" s="40"/>
    </row>
    <row r="3" spans="1:13" ht="15" x14ac:dyDescent="0.2">
      <c r="A3" s="589"/>
      <c r="B3" s="590"/>
      <c r="C3" s="595" t="s">
        <v>140</v>
      </c>
      <c r="D3" s="596"/>
      <c r="E3" s="596"/>
      <c r="F3" s="596"/>
      <c r="G3" s="596"/>
      <c r="H3" s="597" t="s">
        <v>24</v>
      </c>
      <c r="I3" s="581"/>
    </row>
    <row r="4" spans="1:13" x14ac:dyDescent="0.2">
      <c r="A4" s="589"/>
      <c r="B4" s="590"/>
      <c r="C4" s="39" t="s">
        <v>23</v>
      </c>
      <c r="D4" s="583" t="s">
        <v>141</v>
      </c>
      <c r="E4" s="584"/>
      <c r="F4" s="584"/>
      <c r="G4" s="584"/>
      <c r="H4" s="597"/>
      <c r="I4" s="582"/>
    </row>
    <row r="5" spans="1:13" ht="13.5" thickBot="1" x14ac:dyDescent="0.25">
      <c r="A5" s="591"/>
      <c r="B5" s="592"/>
      <c r="C5" s="38" t="s">
        <v>22</v>
      </c>
      <c r="D5" s="585" t="s">
        <v>50</v>
      </c>
      <c r="E5" s="586"/>
      <c r="F5" s="586"/>
      <c r="G5" s="586"/>
      <c r="H5" s="598"/>
      <c r="I5" s="582"/>
    </row>
    <row r="6" spans="1:13" ht="18.75" thickBot="1" x14ac:dyDescent="0.3">
      <c r="A6" s="567" t="s">
        <v>21</v>
      </c>
      <c r="B6" s="567"/>
      <c r="C6" s="567"/>
      <c r="D6" s="568" t="s">
        <v>74</v>
      </c>
      <c r="E6" s="568"/>
      <c r="F6" s="568"/>
      <c r="G6" s="569" t="s">
        <v>20</v>
      </c>
      <c r="H6" s="569"/>
      <c r="I6" s="91" t="s">
        <v>62</v>
      </c>
    </row>
    <row r="7" spans="1:13" ht="25.5" x14ac:dyDescent="0.2">
      <c r="A7" s="570" t="s">
        <v>19</v>
      </c>
      <c r="B7" s="570" t="s">
        <v>19</v>
      </c>
      <c r="C7" s="572" t="s">
        <v>18</v>
      </c>
      <c r="D7" s="572" t="s">
        <v>17</v>
      </c>
      <c r="E7" s="572" t="s">
        <v>16</v>
      </c>
      <c r="F7" s="572"/>
      <c r="G7" s="572" t="s">
        <v>15</v>
      </c>
      <c r="H7" s="572"/>
      <c r="I7" s="90" t="s">
        <v>14</v>
      </c>
    </row>
    <row r="8" spans="1:13" ht="26.25" thickBot="1" x14ac:dyDescent="0.25">
      <c r="A8" s="571"/>
      <c r="B8" s="571"/>
      <c r="C8" s="573"/>
      <c r="D8" s="574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3" ht="15" x14ac:dyDescent="0.25">
      <c r="A9" s="55"/>
      <c r="B9" s="101" t="s">
        <v>100</v>
      </c>
      <c r="C9" s="101" t="s">
        <v>133</v>
      </c>
      <c r="D9" s="31" t="s">
        <v>45</v>
      </c>
      <c r="E9" s="26">
        <v>1220</v>
      </c>
      <c r="F9" s="25" t="s">
        <v>2</v>
      </c>
      <c r="G9" s="11" t="s">
        <v>73</v>
      </c>
      <c r="H9" s="30"/>
      <c r="I9" s="29"/>
    </row>
    <row r="10" spans="1:13" ht="15" x14ac:dyDescent="0.25">
      <c r="A10" s="55"/>
      <c r="B10" s="55"/>
      <c r="C10" s="55"/>
      <c r="D10" s="31"/>
      <c r="E10" s="26"/>
      <c r="F10" s="25"/>
      <c r="G10" s="11"/>
      <c r="H10" s="30"/>
      <c r="I10" s="29"/>
    </row>
    <row r="11" spans="1:13" ht="15" x14ac:dyDescent="0.25">
      <c r="A11" s="55"/>
      <c r="B11" s="55"/>
      <c r="C11" s="92" t="s">
        <v>124</v>
      </c>
      <c r="D11" s="31"/>
      <c r="E11" s="26"/>
      <c r="F11" s="25"/>
      <c r="G11" s="11"/>
      <c r="H11" s="30"/>
      <c r="I11" s="29"/>
    </row>
    <row r="12" spans="1:13" ht="15" x14ac:dyDescent="0.25">
      <c r="A12" s="55"/>
      <c r="B12" s="55" t="s">
        <v>105</v>
      </c>
      <c r="C12" s="55" t="s">
        <v>106</v>
      </c>
      <c r="D12" s="31" t="s">
        <v>45</v>
      </c>
      <c r="E12" s="98">
        <v>135</v>
      </c>
      <c r="F12" s="25" t="s">
        <v>2</v>
      </c>
      <c r="G12" s="11"/>
      <c r="H12" s="29" t="s">
        <v>99</v>
      </c>
    </row>
    <row r="13" spans="1:13" ht="15" x14ac:dyDescent="0.25">
      <c r="A13" s="55"/>
      <c r="B13" s="100" t="s">
        <v>100</v>
      </c>
      <c r="C13" s="101" t="s">
        <v>101</v>
      </c>
      <c r="D13" s="31" t="s">
        <v>45</v>
      </c>
      <c r="E13" s="26">
        <v>70</v>
      </c>
      <c r="F13" s="25" t="s">
        <v>2</v>
      </c>
      <c r="G13" s="11"/>
      <c r="H13" s="30" t="s">
        <v>104</v>
      </c>
      <c r="I13" s="29"/>
    </row>
    <row r="14" spans="1:13" ht="15" x14ac:dyDescent="0.25">
      <c r="A14" s="55"/>
      <c r="B14" s="100" t="s">
        <v>100</v>
      </c>
      <c r="C14" s="101" t="s">
        <v>71</v>
      </c>
      <c r="D14" s="31" t="s">
        <v>72</v>
      </c>
      <c r="E14" s="26">
        <v>40</v>
      </c>
      <c r="F14" s="25" t="s">
        <v>2</v>
      </c>
      <c r="G14" s="11"/>
      <c r="H14" s="30"/>
      <c r="I14" s="29"/>
    </row>
    <row r="15" spans="1:13" ht="15" x14ac:dyDescent="0.25">
      <c r="A15" s="55"/>
      <c r="B15" s="55" t="s">
        <v>107</v>
      </c>
      <c r="C15" s="55" t="s">
        <v>108</v>
      </c>
      <c r="D15" s="31" t="s">
        <v>45</v>
      </c>
      <c r="E15" s="26">
        <v>10</v>
      </c>
      <c r="F15" s="25" t="s">
        <v>112</v>
      </c>
      <c r="G15" s="11"/>
      <c r="H15" s="44" t="s">
        <v>135</v>
      </c>
      <c r="I15" s="29"/>
      <c r="M15" s="89">
        <f>SUM(E9:E15)</f>
        <v>1475</v>
      </c>
    </row>
    <row r="16" spans="1:13" ht="15" x14ac:dyDescent="0.25">
      <c r="A16" s="87"/>
      <c r="B16" t="s">
        <v>38</v>
      </c>
      <c r="C16" t="s">
        <v>39</v>
      </c>
      <c r="D16" s="31" t="s">
        <v>48</v>
      </c>
      <c r="E16" s="26">
        <v>5</v>
      </c>
      <c r="F16" s="25" t="s">
        <v>2</v>
      </c>
      <c r="G16" s="11"/>
      <c r="H16" s="44" t="s">
        <v>134</v>
      </c>
      <c r="I16" s="29"/>
      <c r="M16" s="89"/>
    </row>
    <row r="17" spans="1:13" ht="15" x14ac:dyDescent="0.25">
      <c r="A17" s="102">
        <v>96344</v>
      </c>
      <c r="B17" s="88" t="s">
        <v>143</v>
      </c>
      <c r="C17" s="103" t="s">
        <v>144</v>
      </c>
      <c r="D17" s="31" t="s">
        <v>95</v>
      </c>
      <c r="E17" s="26">
        <v>20</v>
      </c>
      <c r="F17" s="25" t="s">
        <v>2</v>
      </c>
      <c r="G17" s="11"/>
      <c r="H17" s="44" t="s">
        <v>145</v>
      </c>
      <c r="I17" s="29"/>
      <c r="M17" s="89"/>
    </row>
    <row r="18" spans="1:13" ht="15" x14ac:dyDescent="0.25">
      <c r="A18" s="28"/>
      <c r="B18" s="45"/>
      <c r="C18" s="27"/>
      <c r="D18" s="31"/>
      <c r="E18" s="26"/>
      <c r="F18" s="25"/>
      <c r="G18" s="11"/>
      <c r="H18" s="30"/>
      <c r="I18" s="29"/>
    </row>
    <row r="19" spans="1:13" ht="18" customHeight="1" x14ac:dyDescent="0.25">
      <c r="A19" s="51"/>
      <c r="B19" s="51"/>
      <c r="C19" s="52" t="s">
        <v>77</v>
      </c>
      <c r="D19" s="51"/>
      <c r="E19" s="53"/>
      <c r="F19" s="51"/>
      <c r="G19" s="11"/>
      <c r="H19" s="30"/>
      <c r="I19" s="29"/>
      <c r="J19" s="1"/>
      <c r="K19" s="1"/>
      <c r="L19" s="1"/>
      <c r="M19" s="1"/>
    </row>
    <row r="20" spans="1:13" ht="13.5" x14ac:dyDescent="0.25">
      <c r="A20" s="51">
        <v>121603</v>
      </c>
      <c r="B20" s="49" t="s">
        <v>78</v>
      </c>
      <c r="C20" s="54" t="s">
        <v>79</v>
      </c>
      <c r="D20" s="51" t="s">
        <v>80</v>
      </c>
      <c r="E20" s="51">
        <v>1</v>
      </c>
      <c r="F20" s="51" t="s">
        <v>5</v>
      </c>
      <c r="G20" s="11"/>
      <c r="H20" s="30"/>
      <c r="I20" s="29"/>
      <c r="J20" s="1"/>
      <c r="K20" s="1"/>
      <c r="L20" s="1"/>
      <c r="M20" s="1"/>
    </row>
    <row r="21" spans="1:13" ht="13.5" x14ac:dyDescent="0.25">
      <c r="A21" s="49" t="s">
        <v>81</v>
      </c>
      <c r="B21" s="49" t="s">
        <v>82</v>
      </c>
      <c r="C21" s="55" t="s">
        <v>83</v>
      </c>
      <c r="D21" s="51"/>
      <c r="E21" s="51">
        <v>1</v>
      </c>
      <c r="F21" s="51" t="s">
        <v>5</v>
      </c>
      <c r="G21" s="11"/>
      <c r="H21" s="30"/>
      <c r="I21" s="29"/>
      <c r="J21" s="1"/>
      <c r="K21" s="1"/>
      <c r="L21" s="1"/>
      <c r="M21" s="1"/>
    </row>
    <row r="22" spans="1:13" ht="13.5" x14ac:dyDescent="0.25">
      <c r="A22" s="51">
        <v>703020</v>
      </c>
      <c r="B22" s="49" t="s">
        <v>84</v>
      </c>
      <c r="C22" s="54" t="s">
        <v>85</v>
      </c>
      <c r="D22" s="51" t="s">
        <v>57</v>
      </c>
      <c r="E22" s="51">
        <v>60</v>
      </c>
      <c r="F22" s="51" t="s">
        <v>86</v>
      </c>
      <c r="G22" s="8"/>
      <c r="H22" s="7"/>
      <c r="I22" s="24"/>
      <c r="J22" s="1"/>
      <c r="K22" s="1"/>
      <c r="L22" s="1"/>
      <c r="M22" s="1"/>
    </row>
    <row r="23" spans="1:13" ht="13.5" x14ac:dyDescent="0.25">
      <c r="A23" s="51">
        <v>701096</v>
      </c>
      <c r="B23" s="49" t="s">
        <v>87</v>
      </c>
      <c r="C23" s="54" t="s">
        <v>88</v>
      </c>
      <c r="D23" s="51" t="s">
        <v>89</v>
      </c>
      <c r="E23" s="51">
        <v>1</v>
      </c>
      <c r="F23" s="51" t="s">
        <v>5</v>
      </c>
      <c r="G23" s="8"/>
      <c r="H23" s="7"/>
      <c r="I23" s="24"/>
      <c r="J23" s="1"/>
      <c r="K23" s="1"/>
      <c r="L23" s="1"/>
      <c r="M23" s="1"/>
    </row>
    <row r="24" spans="1:13" ht="13.5" x14ac:dyDescent="0.25">
      <c r="A24" s="51">
        <v>702123</v>
      </c>
      <c r="B24" s="49" t="s">
        <v>68</v>
      </c>
      <c r="C24" s="54" t="s">
        <v>90</v>
      </c>
      <c r="D24" s="51" t="s">
        <v>91</v>
      </c>
      <c r="E24" s="51">
        <v>1</v>
      </c>
      <c r="F24" s="51" t="s">
        <v>5</v>
      </c>
      <c r="G24" s="8"/>
      <c r="H24" s="7"/>
      <c r="I24" s="24"/>
      <c r="J24" s="1"/>
      <c r="K24" s="1"/>
      <c r="L24" s="1"/>
      <c r="M24" s="1"/>
    </row>
    <row r="25" spans="1:13" ht="13.5" x14ac:dyDescent="0.25">
      <c r="A25" s="51">
        <v>702069</v>
      </c>
      <c r="B25" s="49" t="s">
        <v>92</v>
      </c>
      <c r="C25" s="54" t="s">
        <v>93</v>
      </c>
      <c r="D25" s="51"/>
      <c r="E25" s="51">
        <v>1</v>
      </c>
      <c r="F25" s="51" t="s">
        <v>5</v>
      </c>
      <c r="G25" s="8"/>
      <c r="H25" s="7"/>
      <c r="I25" s="22"/>
      <c r="J25" s="1"/>
      <c r="K25" s="1"/>
      <c r="L25" s="1"/>
      <c r="M25" s="1"/>
    </row>
    <row r="26" spans="1:13" ht="13.5" x14ac:dyDescent="0.25">
      <c r="A26" s="56"/>
      <c r="B26" s="69" t="s">
        <v>100</v>
      </c>
      <c r="C26" s="56" t="s">
        <v>136</v>
      </c>
      <c r="D26" s="57"/>
      <c r="E26" s="58">
        <v>1</v>
      </c>
      <c r="F26" s="59" t="s">
        <v>5</v>
      </c>
      <c r="G26" s="23"/>
      <c r="H26" s="23"/>
      <c r="I26" s="22"/>
      <c r="J26" s="1"/>
      <c r="K26" s="1"/>
      <c r="L26" s="1"/>
      <c r="M26" s="1"/>
    </row>
    <row r="27" spans="1:13" ht="13.5" thickBot="1" x14ac:dyDescent="0.25">
      <c r="A27" s="21"/>
      <c r="B27" s="46"/>
      <c r="C27" s="1"/>
      <c r="D27" s="1"/>
      <c r="E27" s="20"/>
      <c r="F27" s="19"/>
      <c r="G27" s="1"/>
      <c r="H27" s="1"/>
      <c r="I27" s="18"/>
      <c r="J27" s="1"/>
      <c r="K27" s="1"/>
      <c r="L27" s="3"/>
      <c r="M27" s="1"/>
    </row>
    <row r="28" spans="1:13" ht="13.5" thickBot="1" x14ac:dyDescent="0.25">
      <c r="A28" s="17"/>
      <c r="B28" s="47"/>
      <c r="C28" s="13"/>
      <c r="D28" s="16" t="s">
        <v>11</v>
      </c>
      <c r="E28" s="15" t="s">
        <v>10</v>
      </c>
      <c r="F28" s="14"/>
      <c r="G28" s="13"/>
      <c r="H28" s="13"/>
      <c r="I28" s="12"/>
      <c r="J28" s="1"/>
      <c r="K28" s="1"/>
      <c r="L28" s="3"/>
      <c r="M28" s="1"/>
    </row>
    <row r="29" spans="1:13" x14ac:dyDescent="0.2">
      <c r="A29" s="575" t="s">
        <v>9</v>
      </c>
      <c r="B29" s="576"/>
      <c r="C29" s="577"/>
      <c r="D29" s="11">
        <v>1400</v>
      </c>
      <c r="E29" s="10" t="s">
        <v>2</v>
      </c>
      <c r="F29" s="578"/>
      <c r="G29" s="578"/>
      <c r="H29" s="579"/>
      <c r="I29" s="580"/>
      <c r="J29" s="1"/>
      <c r="K29" s="1"/>
      <c r="L29" s="3"/>
      <c r="M29" s="1"/>
    </row>
    <row r="30" spans="1:13" x14ac:dyDescent="0.2">
      <c r="A30" s="550" t="s">
        <v>113</v>
      </c>
      <c r="B30" s="551"/>
      <c r="C30" s="552"/>
      <c r="D30" s="9">
        <v>4</v>
      </c>
      <c r="E30" s="7" t="s">
        <v>7</v>
      </c>
      <c r="F30" s="538"/>
      <c r="G30" s="538"/>
      <c r="H30" s="539"/>
      <c r="I30" s="540"/>
      <c r="J30" s="1"/>
      <c r="K30" s="1"/>
      <c r="L30" s="3"/>
      <c r="M30" s="1"/>
    </row>
    <row r="31" spans="1:13" x14ac:dyDescent="0.2">
      <c r="A31" s="550" t="s">
        <v>6</v>
      </c>
      <c r="B31" s="551"/>
      <c r="C31" s="552"/>
      <c r="D31" s="8">
        <v>1</v>
      </c>
      <c r="E31" s="7" t="s">
        <v>5</v>
      </c>
      <c r="F31" s="538"/>
      <c r="G31" s="538"/>
      <c r="H31" s="539"/>
      <c r="I31" s="540"/>
      <c r="J31" s="1"/>
      <c r="K31" s="1"/>
      <c r="L31" s="3"/>
      <c r="M31" s="1"/>
    </row>
    <row r="32" spans="1:13" x14ac:dyDescent="0.2">
      <c r="A32" s="550" t="s">
        <v>4</v>
      </c>
      <c r="B32" s="551"/>
      <c r="C32" s="552"/>
      <c r="D32" s="8">
        <v>1400</v>
      </c>
      <c r="E32" s="7" t="s">
        <v>2</v>
      </c>
      <c r="F32" s="553"/>
      <c r="G32" s="554"/>
      <c r="H32" s="539"/>
      <c r="I32" s="540"/>
      <c r="J32" s="1"/>
      <c r="K32" s="1"/>
      <c r="L32" s="3"/>
      <c r="M32" s="6"/>
    </row>
    <row r="33" spans="1:13" ht="13.5" thickBot="1" x14ac:dyDescent="0.25">
      <c r="A33" s="555" t="s">
        <v>3</v>
      </c>
      <c r="B33" s="556"/>
      <c r="C33" s="557"/>
      <c r="D33" s="5">
        <f>SUM(E9:E15)-D29</f>
        <v>75</v>
      </c>
      <c r="E33" s="4" t="s">
        <v>2</v>
      </c>
      <c r="F33" s="558"/>
      <c r="G33" s="558"/>
      <c r="H33" s="559"/>
      <c r="I33" s="560"/>
      <c r="J33" s="1"/>
      <c r="K33" s="1"/>
      <c r="L33" s="3"/>
      <c r="M33" s="1"/>
    </row>
    <row r="34" spans="1:13" ht="13.5" thickBot="1" x14ac:dyDescent="0.25">
      <c r="A34" s="561" t="s">
        <v>1</v>
      </c>
      <c r="B34" s="562"/>
      <c r="C34" s="562"/>
      <c r="D34" s="562"/>
      <c r="E34" s="562"/>
      <c r="F34" s="562"/>
      <c r="G34" s="562"/>
      <c r="H34" s="562"/>
      <c r="I34" s="563"/>
      <c r="J34" s="1"/>
      <c r="K34" s="1"/>
      <c r="L34" s="1"/>
      <c r="M34" s="1"/>
    </row>
    <row r="35" spans="1:13" ht="14.1" customHeight="1" x14ac:dyDescent="0.2">
      <c r="A35" s="535" t="s">
        <v>109</v>
      </c>
      <c r="B35" s="536"/>
      <c r="C35" s="536"/>
      <c r="D35" s="536"/>
      <c r="E35" s="536"/>
      <c r="F35" s="536"/>
      <c r="G35" s="536"/>
      <c r="H35" s="536"/>
      <c r="I35" s="537"/>
    </row>
    <row r="36" spans="1:13" ht="14.1" customHeight="1" x14ac:dyDescent="0.2">
      <c r="A36" s="86" t="s">
        <v>137</v>
      </c>
      <c r="B36" s="84"/>
      <c r="C36" s="84"/>
      <c r="D36" s="84"/>
      <c r="F36" s="84"/>
      <c r="G36" s="85"/>
    </row>
    <row r="37" spans="1:13" ht="14.1" customHeight="1" x14ac:dyDescent="0.2">
      <c r="A37" s="564" t="s">
        <v>138</v>
      </c>
      <c r="B37" s="565"/>
      <c r="C37" s="565"/>
      <c r="D37" s="565"/>
      <c r="E37" s="565"/>
      <c r="F37" s="565"/>
      <c r="G37" s="565"/>
      <c r="H37" s="565"/>
      <c r="I37" s="566"/>
    </row>
    <row r="38" spans="1:13" ht="14.1" customHeight="1" x14ac:dyDescent="0.2">
      <c r="A38" s="564" t="s">
        <v>139</v>
      </c>
      <c r="B38" s="565"/>
      <c r="C38" s="565"/>
      <c r="D38" s="565"/>
      <c r="E38" s="565"/>
      <c r="F38" s="565"/>
      <c r="G38" s="565"/>
      <c r="H38" s="565"/>
      <c r="I38" s="566"/>
    </row>
    <row r="39" spans="1:13" ht="14.1" customHeight="1" x14ac:dyDescent="0.2">
      <c r="A39" s="564"/>
      <c r="B39" s="565"/>
      <c r="C39" s="565"/>
      <c r="D39" s="565"/>
      <c r="E39" s="565"/>
      <c r="F39" s="565"/>
      <c r="G39" s="565"/>
      <c r="H39" s="565"/>
      <c r="I39" s="566"/>
    </row>
    <row r="40" spans="1:13" ht="14.25" x14ac:dyDescent="0.2">
      <c r="A40" s="564" t="s">
        <v>76</v>
      </c>
      <c r="B40" s="565"/>
      <c r="C40" s="565"/>
      <c r="D40" s="565"/>
      <c r="E40" s="565"/>
      <c r="F40" s="565"/>
      <c r="G40" s="565"/>
      <c r="H40" s="565"/>
      <c r="I40" s="566"/>
    </row>
    <row r="41" spans="1:13" ht="14.25" x14ac:dyDescent="0.2">
      <c r="A41" s="547"/>
      <c r="B41" s="548"/>
      <c r="C41" s="548"/>
      <c r="D41" s="548"/>
      <c r="E41" s="548"/>
      <c r="F41" s="548"/>
      <c r="G41" s="548"/>
      <c r="H41" s="548"/>
      <c r="I41" s="549"/>
    </row>
    <row r="42" spans="1:13" ht="15" x14ac:dyDescent="0.25">
      <c r="A42" s="541" t="s">
        <v>0</v>
      </c>
      <c r="B42" s="542"/>
      <c r="C42" s="542"/>
      <c r="D42" s="542"/>
      <c r="E42" s="542"/>
      <c r="F42" s="542"/>
      <c r="G42" s="542"/>
      <c r="H42" s="542"/>
      <c r="I42" s="543"/>
    </row>
    <row r="43" spans="1:13" ht="15" thickBot="1" x14ac:dyDescent="0.25">
      <c r="A43" s="544"/>
      <c r="B43" s="545"/>
      <c r="C43" s="545"/>
      <c r="D43" s="545"/>
      <c r="E43" s="545"/>
      <c r="F43" s="545"/>
      <c r="G43" s="545"/>
      <c r="H43" s="545"/>
      <c r="I43" s="546"/>
    </row>
    <row r="45" spans="1:13" x14ac:dyDescent="0.2">
      <c r="A45" s="2"/>
      <c r="B45" s="2"/>
      <c r="C45" s="2"/>
      <c r="D45" s="1"/>
      <c r="E45" s="1"/>
      <c r="F45" s="1"/>
      <c r="G45" s="1"/>
      <c r="H45" s="1"/>
      <c r="I45" s="1"/>
    </row>
  </sheetData>
  <mergeCells count="41">
    <mergeCell ref="A30:C30"/>
    <mergeCell ref="I3:I5"/>
    <mergeCell ref="D4:G4"/>
    <mergeCell ref="D5:G5"/>
    <mergeCell ref="A1:B5"/>
    <mergeCell ref="C1:G1"/>
    <mergeCell ref="C2:G2"/>
    <mergeCell ref="C3:G3"/>
    <mergeCell ref="H3:H5"/>
    <mergeCell ref="A40:I4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5:I35"/>
    <mergeCell ref="F30:G30"/>
    <mergeCell ref="H30:I30"/>
    <mergeCell ref="A42:I42"/>
    <mergeCell ref="A43:I43"/>
    <mergeCell ref="A41:I41"/>
    <mergeCell ref="A32:C32"/>
    <mergeCell ref="F32:G32"/>
    <mergeCell ref="H32:I32"/>
    <mergeCell ref="A33:C33"/>
    <mergeCell ref="F33:G33"/>
    <mergeCell ref="H33:I33"/>
    <mergeCell ref="A34:I34"/>
    <mergeCell ref="A37:I37"/>
    <mergeCell ref="A38:I38"/>
    <mergeCell ref="A39:I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F667-7E70-4130-90F0-5ECC638EA066}">
  <dimension ref="A1:M45"/>
  <sheetViews>
    <sheetView topLeftCell="A7" workbookViewId="0">
      <selection activeCell="B25" sqref="B25"/>
    </sheetView>
  </sheetViews>
  <sheetFormatPr baseColWidth="10" defaultRowHeight="12.75" x14ac:dyDescent="0.2"/>
  <cols>
    <col min="3" max="3" width="40.42578125" customWidth="1"/>
    <col min="4" max="4" width="19.42578125" customWidth="1"/>
  </cols>
  <sheetData>
    <row r="1" spans="1:13" ht="18" x14ac:dyDescent="0.25">
      <c r="A1" s="587"/>
      <c r="B1" s="588"/>
      <c r="C1" s="593" t="s">
        <v>28</v>
      </c>
      <c r="D1" s="593"/>
      <c r="E1" s="593"/>
      <c r="F1" s="593"/>
      <c r="G1" s="593"/>
      <c r="H1" s="43" t="s">
        <v>27</v>
      </c>
      <c r="I1" s="42"/>
    </row>
    <row r="2" spans="1:13" ht="18" x14ac:dyDescent="0.25">
      <c r="A2" s="589"/>
      <c r="B2" s="590"/>
      <c r="C2" s="594" t="s">
        <v>26</v>
      </c>
      <c r="D2" s="594"/>
      <c r="E2" s="594"/>
      <c r="F2" s="594"/>
      <c r="G2" s="594"/>
      <c r="H2" s="41" t="s">
        <v>25</v>
      </c>
      <c r="I2" s="40"/>
    </row>
    <row r="3" spans="1:13" ht="15" x14ac:dyDescent="0.2">
      <c r="A3" s="589"/>
      <c r="B3" s="590"/>
      <c r="C3" s="595" t="s">
        <v>369</v>
      </c>
      <c r="D3" s="596"/>
      <c r="E3" s="596"/>
      <c r="F3" s="596"/>
      <c r="G3" s="596"/>
      <c r="H3" s="597" t="s">
        <v>24</v>
      </c>
      <c r="I3" s="581"/>
    </row>
    <row r="4" spans="1:13" x14ac:dyDescent="0.2">
      <c r="A4" s="589"/>
      <c r="B4" s="590"/>
      <c r="C4" s="39" t="s">
        <v>23</v>
      </c>
      <c r="D4" s="583" t="s">
        <v>141</v>
      </c>
      <c r="E4" s="584"/>
      <c r="F4" s="584"/>
      <c r="G4" s="584"/>
      <c r="H4" s="597"/>
      <c r="I4" s="582"/>
    </row>
    <row r="5" spans="1:13" ht="13.5" thickBot="1" x14ac:dyDescent="0.25">
      <c r="A5" s="591"/>
      <c r="B5" s="592"/>
      <c r="C5" s="38" t="s">
        <v>22</v>
      </c>
      <c r="D5" s="585" t="s">
        <v>50</v>
      </c>
      <c r="E5" s="586"/>
      <c r="F5" s="586"/>
      <c r="G5" s="586"/>
      <c r="H5" s="598"/>
      <c r="I5" s="582"/>
    </row>
    <row r="6" spans="1:13" ht="18.75" thickBot="1" x14ac:dyDescent="0.3">
      <c r="A6" s="567" t="s">
        <v>21</v>
      </c>
      <c r="B6" s="567"/>
      <c r="C6" s="567"/>
      <c r="D6" s="568" t="s">
        <v>74</v>
      </c>
      <c r="E6" s="568"/>
      <c r="F6" s="568"/>
      <c r="G6" s="569" t="s">
        <v>20</v>
      </c>
      <c r="H6" s="569"/>
      <c r="I6" s="91" t="s">
        <v>62</v>
      </c>
    </row>
    <row r="7" spans="1:13" ht="25.5" x14ac:dyDescent="0.2">
      <c r="A7" s="570" t="s">
        <v>19</v>
      </c>
      <c r="B7" s="570" t="s">
        <v>19</v>
      </c>
      <c r="C7" s="572" t="s">
        <v>18</v>
      </c>
      <c r="D7" s="572" t="s">
        <v>17</v>
      </c>
      <c r="E7" s="572" t="s">
        <v>16</v>
      </c>
      <c r="F7" s="572"/>
      <c r="G7" s="572" t="s">
        <v>15</v>
      </c>
      <c r="H7" s="572"/>
      <c r="I7" s="90" t="s">
        <v>14</v>
      </c>
    </row>
    <row r="8" spans="1:13" ht="26.25" thickBot="1" x14ac:dyDescent="0.25">
      <c r="A8" s="571"/>
      <c r="B8" s="571"/>
      <c r="C8" s="573"/>
      <c r="D8" s="574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3" ht="15" x14ac:dyDescent="0.25">
      <c r="A9" s="55"/>
      <c r="B9" s="101" t="s">
        <v>373</v>
      </c>
      <c r="C9" s="101" t="s">
        <v>133</v>
      </c>
      <c r="D9" s="31" t="s">
        <v>45</v>
      </c>
      <c r="E9" s="26">
        <v>1220</v>
      </c>
      <c r="F9" s="25" t="s">
        <v>2</v>
      </c>
      <c r="G9" s="11" t="s">
        <v>73</v>
      </c>
      <c r="H9" s="30"/>
      <c r="I9" s="29"/>
    </row>
    <row r="10" spans="1:13" ht="15" x14ac:dyDescent="0.25">
      <c r="A10" s="55"/>
      <c r="B10" s="55"/>
      <c r="C10" s="55"/>
      <c r="D10" s="31"/>
      <c r="E10" s="26"/>
      <c r="F10" s="25"/>
      <c r="G10" s="11"/>
      <c r="H10" s="30"/>
      <c r="I10" s="29"/>
    </row>
    <row r="11" spans="1:13" ht="15" x14ac:dyDescent="0.25">
      <c r="A11" s="55"/>
      <c r="B11" s="55"/>
      <c r="C11" s="92" t="s">
        <v>124</v>
      </c>
      <c r="D11" s="31"/>
      <c r="E11" s="26"/>
      <c r="F11" s="25"/>
      <c r="G11" s="11"/>
      <c r="H11" s="30"/>
      <c r="I11" s="29"/>
    </row>
    <row r="12" spans="1:13" ht="15" x14ac:dyDescent="0.25">
      <c r="A12" s="55"/>
      <c r="B12" s="55" t="s">
        <v>105</v>
      </c>
      <c r="C12" s="55" t="s">
        <v>106</v>
      </c>
      <c r="D12" s="31" t="s">
        <v>45</v>
      </c>
      <c r="E12" s="98">
        <v>135</v>
      </c>
      <c r="F12" s="25" t="s">
        <v>2</v>
      </c>
      <c r="G12" s="11"/>
      <c r="H12" s="29" t="s">
        <v>99</v>
      </c>
      <c r="J12">
        <f>135/1000</f>
        <v>0.13500000000000001</v>
      </c>
    </row>
    <row r="13" spans="1:13" ht="15" x14ac:dyDescent="0.25">
      <c r="A13" s="55"/>
      <c r="B13" s="100" t="s">
        <v>374</v>
      </c>
      <c r="C13" s="101" t="s">
        <v>204</v>
      </c>
      <c r="D13" s="31" t="s">
        <v>45</v>
      </c>
      <c r="E13" s="26">
        <v>70</v>
      </c>
      <c r="F13" s="25" t="s">
        <v>2</v>
      </c>
      <c r="G13" s="11"/>
      <c r="H13" s="30" t="s">
        <v>104</v>
      </c>
      <c r="I13" s="29"/>
      <c r="J13">
        <f>45/1000</f>
        <v>4.4999999999999998E-2</v>
      </c>
    </row>
    <row r="14" spans="1:13" ht="15" x14ac:dyDescent="0.25">
      <c r="A14" s="55"/>
      <c r="B14" s="100" t="s">
        <v>375</v>
      </c>
      <c r="C14" s="101" t="s">
        <v>71</v>
      </c>
      <c r="D14" s="31" t="s">
        <v>72</v>
      </c>
      <c r="E14" s="26">
        <v>40</v>
      </c>
      <c r="F14" s="25" t="s">
        <v>2</v>
      </c>
      <c r="G14" s="11"/>
      <c r="H14" s="30"/>
      <c r="I14" s="29"/>
    </row>
    <row r="15" spans="1:13" ht="15" x14ac:dyDescent="0.25">
      <c r="A15" s="55"/>
      <c r="B15" s="55" t="s">
        <v>107</v>
      </c>
      <c r="C15" s="55" t="s">
        <v>108</v>
      </c>
      <c r="D15" s="31" t="s">
        <v>45</v>
      </c>
      <c r="E15" s="26">
        <v>10</v>
      </c>
      <c r="F15" s="25" t="s">
        <v>112</v>
      </c>
      <c r="G15" s="11"/>
      <c r="H15" s="44" t="s">
        <v>135</v>
      </c>
      <c r="I15" s="29"/>
      <c r="J15">
        <f>10/1000</f>
        <v>0.01</v>
      </c>
      <c r="M15" s="89">
        <v>1475</v>
      </c>
    </row>
    <row r="16" spans="1:13" ht="15" x14ac:dyDescent="0.25">
      <c r="A16" s="87"/>
      <c r="B16" t="s">
        <v>38</v>
      </c>
      <c r="C16" t="s">
        <v>39</v>
      </c>
      <c r="D16" s="31" t="s">
        <v>48</v>
      </c>
      <c r="E16" s="26">
        <v>5</v>
      </c>
      <c r="F16" s="25" t="s">
        <v>2</v>
      </c>
      <c r="G16" s="11"/>
      <c r="H16" s="44" t="s">
        <v>134</v>
      </c>
      <c r="I16" s="29"/>
      <c r="J16">
        <f>5/1000</f>
        <v>5.0000000000000001E-3</v>
      </c>
      <c r="M16" s="89"/>
    </row>
    <row r="17" spans="1:13" ht="15" x14ac:dyDescent="0.25">
      <c r="A17" s="102">
        <v>96344</v>
      </c>
      <c r="B17" s="206" t="s">
        <v>143</v>
      </c>
      <c r="C17" s="103" t="s">
        <v>144</v>
      </c>
      <c r="D17" s="31" t="s">
        <v>95</v>
      </c>
      <c r="E17" s="26">
        <v>20</v>
      </c>
      <c r="F17" s="25" t="s">
        <v>2</v>
      </c>
      <c r="G17" s="11"/>
      <c r="H17" s="44" t="s">
        <v>145</v>
      </c>
      <c r="I17" s="29"/>
      <c r="J17">
        <f>20/1000</f>
        <v>0.02</v>
      </c>
      <c r="M17" s="89"/>
    </row>
    <row r="18" spans="1:13" ht="15" x14ac:dyDescent="0.25">
      <c r="A18" s="28"/>
      <c r="B18" s="45"/>
      <c r="C18" s="27"/>
      <c r="D18" s="31"/>
      <c r="E18" s="26"/>
      <c r="F18" s="25"/>
      <c r="G18" s="11"/>
      <c r="H18" s="30"/>
      <c r="I18" s="29"/>
    </row>
    <row r="19" spans="1:13" ht="13.5" x14ac:dyDescent="0.25">
      <c r="A19" s="51"/>
      <c r="B19" s="51"/>
      <c r="C19" s="52" t="s">
        <v>77</v>
      </c>
      <c r="D19" s="51"/>
      <c r="E19" s="53"/>
      <c r="F19" s="51"/>
      <c r="G19" s="11"/>
      <c r="H19" s="30"/>
      <c r="I19" s="29"/>
      <c r="J19" s="1"/>
      <c r="K19" s="1"/>
      <c r="L19" s="1"/>
      <c r="M19" s="1"/>
    </row>
    <row r="20" spans="1:13" ht="13.5" x14ac:dyDescent="0.25">
      <c r="A20" s="51">
        <v>121603</v>
      </c>
      <c r="B20" s="49" t="s">
        <v>78</v>
      </c>
      <c r="C20" s="54" t="s">
        <v>79</v>
      </c>
      <c r="D20" s="51" t="s">
        <v>80</v>
      </c>
      <c r="E20" s="51">
        <v>1</v>
      </c>
      <c r="F20" s="51" t="s">
        <v>5</v>
      </c>
      <c r="G20" s="11"/>
      <c r="H20" s="30"/>
      <c r="I20" s="29"/>
      <c r="J20" s="1"/>
      <c r="K20" s="1"/>
      <c r="L20" s="1"/>
      <c r="M20" s="1"/>
    </row>
    <row r="21" spans="1:13" ht="13.5" x14ac:dyDescent="0.25">
      <c r="A21" s="49" t="s">
        <v>81</v>
      </c>
      <c r="B21" s="49" t="s">
        <v>82</v>
      </c>
      <c r="C21" s="55" t="s">
        <v>83</v>
      </c>
      <c r="D21" s="51"/>
      <c r="E21" s="51">
        <v>1</v>
      </c>
      <c r="F21" s="51" t="s">
        <v>5</v>
      </c>
      <c r="G21" s="11"/>
      <c r="H21" s="30"/>
      <c r="I21" s="29"/>
      <c r="J21" s="1"/>
      <c r="K21" s="1"/>
      <c r="L21" s="1"/>
      <c r="M21" s="1"/>
    </row>
    <row r="22" spans="1:13" ht="13.5" x14ac:dyDescent="0.25">
      <c r="A22" s="51">
        <v>703020</v>
      </c>
      <c r="B22" s="49" t="s">
        <v>84</v>
      </c>
      <c r="C22" s="54" t="s">
        <v>85</v>
      </c>
      <c r="D22" s="51" t="s">
        <v>57</v>
      </c>
      <c r="E22" s="51">
        <v>60</v>
      </c>
      <c r="F22" s="51" t="s">
        <v>86</v>
      </c>
      <c r="G22" s="8"/>
      <c r="H22" s="7"/>
      <c r="I22" s="24"/>
      <c r="J22" s="1"/>
      <c r="K22" s="1"/>
      <c r="L22" s="1"/>
      <c r="M22" s="1"/>
    </row>
    <row r="23" spans="1:13" ht="13.5" x14ac:dyDescent="0.25">
      <c r="A23" s="51">
        <v>701096</v>
      </c>
      <c r="B23" s="49" t="s">
        <v>87</v>
      </c>
      <c r="C23" s="54" t="s">
        <v>88</v>
      </c>
      <c r="D23" s="51" t="s">
        <v>89</v>
      </c>
      <c r="E23" s="51">
        <v>1</v>
      </c>
      <c r="F23" s="51" t="s">
        <v>5</v>
      </c>
      <c r="G23" s="8"/>
      <c r="H23" s="7"/>
      <c r="I23" s="24"/>
      <c r="J23" s="1"/>
      <c r="K23" s="1"/>
      <c r="L23" s="1"/>
      <c r="M23" s="1"/>
    </row>
    <row r="24" spans="1:13" ht="13.5" x14ac:dyDescent="0.25">
      <c r="A24" s="51">
        <v>702123</v>
      </c>
      <c r="B24" s="49" t="s">
        <v>68</v>
      </c>
      <c r="C24" s="54" t="s">
        <v>90</v>
      </c>
      <c r="D24" s="51" t="s">
        <v>91</v>
      </c>
      <c r="E24" s="51">
        <v>1</v>
      </c>
      <c r="F24" s="51" t="s">
        <v>5</v>
      </c>
      <c r="G24" s="8"/>
      <c r="H24" s="7"/>
      <c r="I24" s="24"/>
      <c r="J24" s="1"/>
      <c r="K24" s="1"/>
      <c r="L24" s="1"/>
      <c r="M24" s="1"/>
    </row>
    <row r="25" spans="1:13" ht="13.5" x14ac:dyDescent="0.25">
      <c r="A25" s="51">
        <v>702069</v>
      </c>
      <c r="B25" s="49" t="s">
        <v>92</v>
      </c>
      <c r="C25" s="54" t="s">
        <v>93</v>
      </c>
      <c r="D25" s="51"/>
      <c r="E25" s="51">
        <v>1</v>
      </c>
      <c r="F25" s="51" t="s">
        <v>5</v>
      </c>
      <c r="G25" s="8"/>
      <c r="H25" s="7"/>
      <c r="I25" s="22"/>
      <c r="J25" s="1"/>
      <c r="K25" s="1"/>
      <c r="L25" s="1"/>
      <c r="M25" s="1"/>
    </row>
    <row r="26" spans="1:13" ht="13.5" x14ac:dyDescent="0.25">
      <c r="A26" s="56"/>
      <c r="B26" s="69" t="s">
        <v>100</v>
      </c>
      <c r="C26" s="56" t="s">
        <v>136</v>
      </c>
      <c r="D26" s="57"/>
      <c r="E26" s="58">
        <v>1</v>
      </c>
      <c r="F26" s="59" t="s">
        <v>5</v>
      </c>
      <c r="G26" s="23"/>
      <c r="H26" s="23"/>
      <c r="I26" s="22"/>
      <c r="J26" s="1"/>
      <c r="K26" s="1"/>
      <c r="L26" s="1"/>
      <c r="M26" s="1"/>
    </row>
    <row r="27" spans="1:13" ht="13.5" thickBot="1" x14ac:dyDescent="0.25">
      <c r="A27" s="21"/>
      <c r="B27" s="46"/>
      <c r="C27" s="1"/>
      <c r="D27" s="1"/>
      <c r="E27" s="20"/>
      <c r="F27" s="19"/>
      <c r="G27" s="1"/>
      <c r="H27" s="1"/>
      <c r="I27" s="18"/>
      <c r="J27" s="1"/>
      <c r="K27" s="1"/>
      <c r="L27" s="3"/>
      <c r="M27" s="1"/>
    </row>
    <row r="28" spans="1:13" ht="13.5" thickBot="1" x14ac:dyDescent="0.25">
      <c r="A28" s="17"/>
      <c r="B28" s="47"/>
      <c r="C28" s="13"/>
      <c r="D28" s="16" t="s">
        <v>11</v>
      </c>
      <c r="E28" s="15" t="s">
        <v>10</v>
      </c>
      <c r="F28" s="14"/>
      <c r="G28" s="13"/>
      <c r="H28" s="13"/>
      <c r="I28" s="12"/>
      <c r="J28" s="1"/>
      <c r="K28" s="1"/>
      <c r="L28" s="3"/>
      <c r="M28" s="1"/>
    </row>
    <row r="29" spans="1:13" x14ac:dyDescent="0.2">
      <c r="A29" s="575" t="s">
        <v>9</v>
      </c>
      <c r="B29" s="576"/>
      <c r="C29" s="577"/>
      <c r="D29" s="11">
        <v>1400</v>
      </c>
      <c r="E29" s="10" t="s">
        <v>2</v>
      </c>
      <c r="F29" s="578"/>
      <c r="G29" s="578"/>
      <c r="H29" s="579"/>
      <c r="I29" s="580"/>
      <c r="J29" s="1"/>
      <c r="K29" s="1"/>
      <c r="L29" s="3"/>
      <c r="M29" s="1"/>
    </row>
    <row r="30" spans="1:13" x14ac:dyDescent="0.2">
      <c r="A30" s="550" t="s">
        <v>113</v>
      </c>
      <c r="B30" s="551"/>
      <c r="C30" s="552"/>
      <c r="D30" s="9">
        <v>4</v>
      </c>
      <c r="E30" s="7" t="s">
        <v>7</v>
      </c>
      <c r="F30" s="538"/>
      <c r="G30" s="538"/>
      <c r="H30" s="539"/>
      <c r="I30" s="540"/>
      <c r="J30" s="1"/>
      <c r="K30" s="1"/>
      <c r="L30" s="3"/>
      <c r="M30" s="1"/>
    </row>
    <row r="31" spans="1:13" x14ac:dyDescent="0.2">
      <c r="A31" s="550" t="s">
        <v>6</v>
      </c>
      <c r="B31" s="551"/>
      <c r="C31" s="552"/>
      <c r="D31" s="8">
        <v>1</v>
      </c>
      <c r="E31" s="7" t="s">
        <v>5</v>
      </c>
      <c r="F31" s="538"/>
      <c r="G31" s="538"/>
      <c r="H31" s="539"/>
      <c r="I31" s="540"/>
      <c r="J31" s="1"/>
      <c r="K31" s="1"/>
      <c r="L31" s="3"/>
      <c r="M31" s="1"/>
    </row>
    <row r="32" spans="1:13" x14ac:dyDescent="0.2">
      <c r="A32" s="550" t="s">
        <v>4</v>
      </c>
      <c r="B32" s="551"/>
      <c r="C32" s="552"/>
      <c r="D32" s="8">
        <v>1400</v>
      </c>
      <c r="E32" s="7" t="s">
        <v>2</v>
      </c>
      <c r="F32" s="553"/>
      <c r="G32" s="554"/>
      <c r="H32" s="539"/>
      <c r="I32" s="540"/>
      <c r="J32" s="1"/>
      <c r="K32" s="1"/>
      <c r="L32" s="3"/>
      <c r="M32" s="6"/>
    </row>
    <row r="33" spans="1:13" ht="13.5" thickBot="1" x14ac:dyDescent="0.25">
      <c r="A33" s="555" t="s">
        <v>3</v>
      </c>
      <c r="B33" s="556"/>
      <c r="C33" s="557"/>
      <c r="D33" s="5">
        <v>75</v>
      </c>
      <c r="E33" s="4" t="s">
        <v>2</v>
      </c>
      <c r="F33" s="558"/>
      <c r="G33" s="558"/>
      <c r="H33" s="559"/>
      <c r="I33" s="560"/>
      <c r="J33" s="1"/>
      <c r="K33" s="1"/>
      <c r="L33" s="3"/>
      <c r="M33" s="1"/>
    </row>
    <row r="34" spans="1:13" ht="13.5" thickBot="1" x14ac:dyDescent="0.25">
      <c r="A34" s="561" t="s">
        <v>1</v>
      </c>
      <c r="B34" s="562"/>
      <c r="C34" s="562"/>
      <c r="D34" s="562"/>
      <c r="E34" s="562"/>
      <c r="F34" s="562"/>
      <c r="G34" s="562"/>
      <c r="H34" s="562"/>
      <c r="I34" s="563"/>
      <c r="J34" s="1"/>
      <c r="K34" s="1"/>
      <c r="L34" s="1"/>
      <c r="M34" s="1"/>
    </row>
    <row r="35" spans="1:13" ht="14.25" x14ac:dyDescent="0.2">
      <c r="A35" s="535" t="s">
        <v>109</v>
      </c>
      <c r="B35" s="536"/>
      <c r="C35" s="536"/>
      <c r="D35" s="536"/>
      <c r="E35" s="536"/>
      <c r="F35" s="536"/>
      <c r="G35" s="536"/>
      <c r="H35" s="536"/>
      <c r="I35" s="537"/>
    </row>
    <row r="36" spans="1:13" ht="14.25" x14ac:dyDescent="0.2">
      <c r="A36" s="86" t="s">
        <v>137</v>
      </c>
      <c r="B36" s="84"/>
      <c r="C36" s="84"/>
      <c r="D36" s="84"/>
      <c r="F36" s="84"/>
      <c r="G36" s="85"/>
    </row>
    <row r="37" spans="1:13" ht="14.25" x14ac:dyDescent="0.2">
      <c r="A37" s="564" t="s">
        <v>138</v>
      </c>
      <c r="B37" s="565"/>
      <c r="C37" s="565"/>
      <c r="D37" s="565"/>
      <c r="E37" s="565"/>
      <c r="F37" s="565"/>
      <c r="G37" s="565"/>
      <c r="H37" s="565"/>
      <c r="I37" s="566"/>
    </row>
    <row r="38" spans="1:13" ht="14.25" x14ac:dyDescent="0.2">
      <c r="A38" s="564" t="s">
        <v>139</v>
      </c>
      <c r="B38" s="565"/>
      <c r="C38" s="565"/>
      <c r="D38" s="565"/>
      <c r="E38" s="565"/>
      <c r="F38" s="565"/>
      <c r="G38" s="565"/>
      <c r="H38" s="565"/>
      <c r="I38" s="566"/>
    </row>
    <row r="39" spans="1:13" ht="14.25" x14ac:dyDescent="0.2">
      <c r="A39" s="564"/>
      <c r="B39" s="565"/>
      <c r="C39" s="565"/>
      <c r="D39" s="565"/>
      <c r="E39" s="565"/>
      <c r="F39" s="565"/>
      <c r="G39" s="565"/>
      <c r="H39" s="565"/>
      <c r="I39" s="566"/>
    </row>
    <row r="40" spans="1:13" ht="14.25" x14ac:dyDescent="0.2">
      <c r="A40" s="564" t="s">
        <v>76</v>
      </c>
      <c r="B40" s="565"/>
      <c r="C40" s="565"/>
      <c r="D40" s="565"/>
      <c r="E40" s="565"/>
      <c r="F40" s="565"/>
      <c r="G40" s="565"/>
      <c r="H40" s="565"/>
      <c r="I40" s="566"/>
    </row>
    <row r="41" spans="1:13" ht="14.25" x14ac:dyDescent="0.2">
      <c r="A41" s="547"/>
      <c r="B41" s="548"/>
      <c r="C41" s="548"/>
      <c r="D41" s="548"/>
      <c r="E41" s="548"/>
      <c r="F41" s="548"/>
      <c r="G41" s="548"/>
      <c r="H41" s="548"/>
      <c r="I41" s="549"/>
    </row>
    <row r="42" spans="1:13" ht="15" x14ac:dyDescent="0.25">
      <c r="A42" s="541" t="s">
        <v>0</v>
      </c>
      <c r="B42" s="542"/>
      <c r="C42" s="542"/>
      <c r="D42" s="542"/>
      <c r="E42" s="542"/>
      <c r="F42" s="542"/>
      <c r="G42" s="542"/>
      <c r="H42" s="542"/>
      <c r="I42" s="543"/>
    </row>
    <row r="43" spans="1:13" ht="15" thickBot="1" x14ac:dyDescent="0.25">
      <c r="A43" s="544"/>
      <c r="B43" s="545"/>
      <c r="C43" s="545"/>
      <c r="D43" s="545"/>
      <c r="E43" s="545"/>
      <c r="F43" s="545"/>
      <c r="G43" s="545"/>
      <c r="H43" s="545"/>
      <c r="I43" s="546"/>
    </row>
    <row r="45" spans="1:13" x14ac:dyDescent="0.2">
      <c r="A45" s="2"/>
      <c r="B45" s="2"/>
      <c r="C45" s="2"/>
      <c r="D45" s="1"/>
      <c r="E45" s="1"/>
      <c r="F45" s="1"/>
      <c r="G45" s="1"/>
      <c r="H45" s="1"/>
      <c r="I45" s="1"/>
    </row>
  </sheetData>
  <mergeCells count="41">
    <mergeCell ref="A35:I35"/>
    <mergeCell ref="F30:G30"/>
    <mergeCell ref="H30:I30"/>
    <mergeCell ref="A42:I42"/>
    <mergeCell ref="A43:I43"/>
    <mergeCell ref="A41:I41"/>
    <mergeCell ref="A32:C32"/>
    <mergeCell ref="F32:G32"/>
    <mergeCell ref="H32:I32"/>
    <mergeCell ref="A33:C33"/>
    <mergeCell ref="F33:G33"/>
    <mergeCell ref="H33:I33"/>
    <mergeCell ref="A34:I34"/>
    <mergeCell ref="A37:I37"/>
    <mergeCell ref="A38:I38"/>
    <mergeCell ref="A39:I39"/>
    <mergeCell ref="A40:I40"/>
    <mergeCell ref="A31:C31"/>
    <mergeCell ref="F31:G31"/>
    <mergeCell ref="H31:I3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0:C30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4C71-1D4D-4DEF-91F0-ADFF9367936B}">
  <dimension ref="A2:K34"/>
  <sheetViews>
    <sheetView topLeftCell="A16" workbookViewId="0">
      <selection activeCell="A33" sqref="A33"/>
    </sheetView>
  </sheetViews>
  <sheetFormatPr baseColWidth="10" defaultRowHeight="12.75" x14ac:dyDescent="0.2"/>
  <cols>
    <col min="1" max="1" width="27.85546875" customWidth="1"/>
    <col min="3" max="3" width="31.85546875" customWidth="1"/>
  </cols>
  <sheetData>
    <row r="2" spans="1:2" x14ac:dyDescent="0.2">
      <c r="A2" t="s">
        <v>377</v>
      </c>
    </row>
    <row r="3" spans="1:2" x14ac:dyDescent="0.2">
      <c r="A3" t="s">
        <v>378</v>
      </c>
      <c r="B3" t="s">
        <v>379</v>
      </c>
    </row>
    <row r="4" spans="1:2" x14ac:dyDescent="0.2">
      <c r="A4" t="s">
        <v>380</v>
      </c>
      <c r="B4" t="s">
        <v>381</v>
      </c>
    </row>
    <row r="5" spans="1:2" x14ac:dyDescent="0.2">
      <c r="A5" t="s">
        <v>382</v>
      </c>
      <c r="B5" t="s">
        <v>383</v>
      </c>
    </row>
    <row r="6" spans="1:2" x14ac:dyDescent="0.2">
      <c r="A6" t="s">
        <v>384</v>
      </c>
      <c r="B6" t="s">
        <v>385</v>
      </c>
    </row>
    <row r="7" spans="1:2" x14ac:dyDescent="0.2">
      <c r="A7" t="s">
        <v>386</v>
      </c>
      <c r="B7" t="s">
        <v>387</v>
      </c>
    </row>
    <row r="8" spans="1:2" x14ac:dyDescent="0.2">
      <c r="A8" t="s">
        <v>388</v>
      </c>
      <c r="B8" t="s">
        <v>389</v>
      </c>
    </row>
    <row r="9" spans="1:2" x14ac:dyDescent="0.2">
      <c r="A9" t="s">
        <v>390</v>
      </c>
      <c r="B9" t="s">
        <v>391</v>
      </c>
    </row>
    <row r="10" spans="1:2" x14ac:dyDescent="0.2">
      <c r="A10" t="s">
        <v>392</v>
      </c>
      <c r="B10" t="s">
        <v>393</v>
      </c>
    </row>
    <row r="11" spans="1:2" x14ac:dyDescent="0.2">
      <c r="A11" t="s">
        <v>394</v>
      </c>
      <c r="B11" t="s">
        <v>238</v>
      </c>
    </row>
    <row r="12" spans="1:2" x14ac:dyDescent="0.2">
      <c r="A12" t="s">
        <v>395</v>
      </c>
      <c r="B12" t="s">
        <v>354</v>
      </c>
    </row>
    <row r="13" spans="1:2" x14ac:dyDescent="0.2">
      <c r="A13" t="s">
        <v>396</v>
      </c>
      <c r="B13" t="s">
        <v>397</v>
      </c>
    </row>
    <row r="14" spans="1:2" x14ac:dyDescent="0.2">
      <c r="A14" t="s">
        <v>398</v>
      </c>
      <c r="B14" t="s">
        <v>399</v>
      </c>
    </row>
    <row r="17" spans="1:11" x14ac:dyDescent="0.2">
      <c r="A17" t="s">
        <v>400</v>
      </c>
      <c r="B17" t="s">
        <v>401</v>
      </c>
    </row>
    <row r="18" spans="1:11" x14ac:dyDescent="0.2">
      <c r="A18" t="s">
        <v>402</v>
      </c>
      <c r="B18" t="s">
        <v>403</v>
      </c>
    </row>
    <row r="20" spans="1:11" x14ac:dyDescent="0.2">
      <c r="A20" t="s">
        <v>404</v>
      </c>
      <c r="B20" t="s">
        <v>405</v>
      </c>
      <c r="C20" t="s">
        <v>406</v>
      </c>
      <c r="D20" t="s">
        <v>407</v>
      </c>
      <c r="E20" t="s">
        <v>408</v>
      </c>
      <c r="F20" t="s">
        <v>409</v>
      </c>
      <c r="G20" t="s">
        <v>410</v>
      </c>
      <c r="H20" t="s">
        <v>411</v>
      </c>
      <c r="I20" t="s">
        <v>155</v>
      </c>
      <c r="J20" t="s">
        <v>152</v>
      </c>
      <c r="K20" t="s">
        <v>412</v>
      </c>
    </row>
    <row r="21" spans="1:11" x14ac:dyDescent="0.2">
      <c r="A21" t="s">
        <v>375</v>
      </c>
      <c r="B21" t="s">
        <v>354</v>
      </c>
      <c r="C21" t="s">
        <v>413</v>
      </c>
      <c r="D21" t="s">
        <v>414</v>
      </c>
      <c r="E21" t="s">
        <v>415</v>
      </c>
      <c r="F21" t="s">
        <v>414</v>
      </c>
      <c r="G21" t="s">
        <v>414</v>
      </c>
      <c r="H21" t="s">
        <v>414</v>
      </c>
      <c r="I21" t="s">
        <v>416</v>
      </c>
      <c r="J21" t="s">
        <v>417</v>
      </c>
      <c r="K21" t="s">
        <v>418</v>
      </c>
    </row>
    <row r="22" spans="1:11" x14ac:dyDescent="0.2">
      <c r="A22" t="s">
        <v>38</v>
      </c>
      <c r="B22" t="s">
        <v>354</v>
      </c>
      <c r="C22" t="s">
        <v>39</v>
      </c>
      <c r="D22" t="s">
        <v>419</v>
      </c>
      <c r="E22" t="s">
        <v>415</v>
      </c>
      <c r="F22" t="s">
        <v>419</v>
      </c>
      <c r="G22" t="s">
        <v>419</v>
      </c>
      <c r="H22" t="s">
        <v>419</v>
      </c>
      <c r="I22" t="s">
        <v>420</v>
      </c>
      <c r="J22" t="s">
        <v>417</v>
      </c>
      <c r="K22" t="s">
        <v>421</v>
      </c>
    </row>
    <row r="23" spans="1:11" x14ac:dyDescent="0.2">
      <c r="A23" t="s">
        <v>78</v>
      </c>
      <c r="B23" t="s">
        <v>354</v>
      </c>
      <c r="C23" t="s">
        <v>422</v>
      </c>
      <c r="D23" t="s">
        <v>354</v>
      </c>
      <c r="E23" t="s">
        <v>415</v>
      </c>
      <c r="F23" t="s">
        <v>354</v>
      </c>
      <c r="G23" t="s">
        <v>354</v>
      </c>
      <c r="H23" t="s">
        <v>354</v>
      </c>
      <c r="I23" t="s">
        <v>423</v>
      </c>
      <c r="J23" t="s">
        <v>152</v>
      </c>
      <c r="K23" t="s">
        <v>424</v>
      </c>
    </row>
    <row r="24" spans="1:11" x14ac:dyDescent="0.2">
      <c r="A24" t="s">
        <v>82</v>
      </c>
      <c r="B24" t="s">
        <v>354</v>
      </c>
      <c r="C24" t="s">
        <v>83</v>
      </c>
      <c r="D24" t="s">
        <v>354</v>
      </c>
      <c r="E24" t="s">
        <v>415</v>
      </c>
      <c r="F24" t="s">
        <v>354</v>
      </c>
      <c r="G24" t="s">
        <v>354</v>
      </c>
      <c r="H24" t="s">
        <v>354</v>
      </c>
      <c r="I24" t="s">
        <v>425</v>
      </c>
      <c r="J24" t="s">
        <v>152</v>
      </c>
      <c r="K24" t="s">
        <v>426</v>
      </c>
    </row>
    <row r="25" spans="1:11" x14ac:dyDescent="0.2">
      <c r="A25" t="s">
        <v>87</v>
      </c>
      <c r="B25" t="s">
        <v>354</v>
      </c>
      <c r="C25" t="s">
        <v>427</v>
      </c>
      <c r="D25" t="s">
        <v>354</v>
      </c>
      <c r="E25" t="s">
        <v>415</v>
      </c>
      <c r="F25" t="s">
        <v>354</v>
      </c>
      <c r="G25" t="s">
        <v>354</v>
      </c>
      <c r="H25" t="s">
        <v>354</v>
      </c>
      <c r="I25" t="s">
        <v>428</v>
      </c>
      <c r="J25" t="s">
        <v>152</v>
      </c>
      <c r="K25" t="s">
        <v>428</v>
      </c>
    </row>
    <row r="26" spans="1:11" x14ac:dyDescent="0.2">
      <c r="A26" t="s">
        <v>68</v>
      </c>
      <c r="B26" t="s">
        <v>354</v>
      </c>
      <c r="C26" t="s">
        <v>69</v>
      </c>
      <c r="D26" t="s">
        <v>354</v>
      </c>
      <c r="E26" t="s">
        <v>415</v>
      </c>
      <c r="F26" t="s">
        <v>354</v>
      </c>
      <c r="G26" t="s">
        <v>354</v>
      </c>
      <c r="H26" t="s">
        <v>354</v>
      </c>
      <c r="I26" t="s">
        <v>429</v>
      </c>
      <c r="J26" t="s">
        <v>152</v>
      </c>
      <c r="K26" t="s">
        <v>430</v>
      </c>
    </row>
    <row r="27" spans="1:11" x14ac:dyDescent="0.2">
      <c r="A27" t="s">
        <v>92</v>
      </c>
      <c r="B27" t="s">
        <v>354</v>
      </c>
      <c r="C27" t="s">
        <v>93</v>
      </c>
      <c r="D27" t="s">
        <v>354</v>
      </c>
      <c r="E27" t="s">
        <v>415</v>
      </c>
      <c r="F27" t="s">
        <v>354</v>
      </c>
      <c r="G27" t="s">
        <v>354</v>
      </c>
      <c r="H27" t="s">
        <v>354</v>
      </c>
      <c r="I27" t="s">
        <v>431</v>
      </c>
      <c r="J27" t="s">
        <v>152</v>
      </c>
      <c r="K27" t="s">
        <v>431</v>
      </c>
    </row>
    <row r="28" spans="1:11" x14ac:dyDescent="0.2">
      <c r="A28" t="s">
        <v>432</v>
      </c>
      <c r="B28" t="s">
        <v>354</v>
      </c>
      <c r="C28" t="s">
        <v>433</v>
      </c>
      <c r="D28" t="s">
        <v>434</v>
      </c>
      <c r="E28" t="s">
        <v>415</v>
      </c>
      <c r="F28" t="s">
        <v>434</v>
      </c>
      <c r="G28" t="s">
        <v>434</v>
      </c>
      <c r="H28" t="s">
        <v>434</v>
      </c>
      <c r="I28" t="s">
        <v>435</v>
      </c>
      <c r="J28" t="s">
        <v>152</v>
      </c>
      <c r="K28" t="s">
        <v>436</v>
      </c>
    </row>
    <row r="29" spans="1:11" x14ac:dyDescent="0.2">
      <c r="A29" t="s">
        <v>437</v>
      </c>
      <c r="B29" t="s">
        <v>354</v>
      </c>
      <c r="C29" t="s">
        <v>438</v>
      </c>
      <c r="D29" t="s">
        <v>434</v>
      </c>
      <c r="E29" t="s">
        <v>415</v>
      </c>
      <c r="F29" t="s">
        <v>434</v>
      </c>
      <c r="G29" t="s">
        <v>434</v>
      </c>
      <c r="H29" t="s">
        <v>434</v>
      </c>
      <c r="I29" t="s">
        <v>439</v>
      </c>
      <c r="J29" t="s">
        <v>152</v>
      </c>
      <c r="K29" t="s">
        <v>440</v>
      </c>
    </row>
    <row r="30" spans="1:11" x14ac:dyDescent="0.2">
      <c r="A30" t="s">
        <v>143</v>
      </c>
      <c r="B30" t="s">
        <v>354</v>
      </c>
      <c r="C30" t="s">
        <v>441</v>
      </c>
      <c r="D30" t="s">
        <v>442</v>
      </c>
      <c r="E30" t="s">
        <v>415</v>
      </c>
      <c r="F30" t="s">
        <v>442</v>
      </c>
      <c r="G30" t="s">
        <v>442</v>
      </c>
      <c r="H30" t="s">
        <v>442</v>
      </c>
      <c r="I30" t="s">
        <v>443</v>
      </c>
      <c r="J30" t="s">
        <v>444</v>
      </c>
      <c r="K30" t="s">
        <v>445</v>
      </c>
    </row>
    <row r="31" spans="1:11" x14ac:dyDescent="0.2">
      <c r="A31" t="s">
        <v>107</v>
      </c>
      <c r="B31" t="s">
        <v>354</v>
      </c>
      <c r="C31" t="s">
        <v>108</v>
      </c>
      <c r="D31" t="s">
        <v>446</v>
      </c>
      <c r="E31" t="s">
        <v>415</v>
      </c>
      <c r="F31" t="s">
        <v>446</v>
      </c>
      <c r="G31" t="s">
        <v>446</v>
      </c>
      <c r="H31" t="s">
        <v>446</v>
      </c>
      <c r="I31" t="s">
        <v>447</v>
      </c>
      <c r="J31" t="s">
        <v>444</v>
      </c>
      <c r="K31" t="s">
        <v>448</v>
      </c>
    </row>
    <row r="32" spans="1:11" x14ac:dyDescent="0.2">
      <c r="A32" t="s">
        <v>105</v>
      </c>
      <c r="B32" t="s">
        <v>354</v>
      </c>
      <c r="C32" t="s">
        <v>106</v>
      </c>
      <c r="D32" t="s">
        <v>449</v>
      </c>
      <c r="E32" t="s">
        <v>415</v>
      </c>
      <c r="F32" t="s">
        <v>449</v>
      </c>
      <c r="G32" t="s">
        <v>449</v>
      </c>
      <c r="H32" t="s">
        <v>449</v>
      </c>
      <c r="I32" t="s">
        <v>450</v>
      </c>
      <c r="J32" t="s">
        <v>444</v>
      </c>
      <c r="K32" t="s">
        <v>451</v>
      </c>
    </row>
    <row r="33" spans="1:11" x14ac:dyDescent="0.2">
      <c r="A33" t="s">
        <v>373</v>
      </c>
      <c r="B33" t="s">
        <v>354</v>
      </c>
      <c r="C33" t="s">
        <v>452</v>
      </c>
      <c r="D33" t="s">
        <v>354</v>
      </c>
      <c r="E33" t="s">
        <v>415</v>
      </c>
      <c r="F33" t="s">
        <v>354</v>
      </c>
      <c r="G33" t="s">
        <v>354</v>
      </c>
      <c r="H33" t="s">
        <v>354</v>
      </c>
      <c r="I33" t="s">
        <v>453</v>
      </c>
      <c r="J33" t="s">
        <v>152</v>
      </c>
      <c r="K33" t="s">
        <v>454</v>
      </c>
    </row>
    <row r="34" spans="1:11" x14ac:dyDescent="0.2">
      <c r="A34" t="s">
        <v>374</v>
      </c>
      <c r="B34" t="s">
        <v>354</v>
      </c>
      <c r="C34" t="s">
        <v>455</v>
      </c>
      <c r="D34" t="s">
        <v>456</v>
      </c>
      <c r="E34" t="s">
        <v>415</v>
      </c>
      <c r="F34" t="s">
        <v>456</v>
      </c>
      <c r="G34" t="s">
        <v>456</v>
      </c>
      <c r="H34" t="s">
        <v>456</v>
      </c>
      <c r="I34" t="s">
        <v>457</v>
      </c>
      <c r="J34" t="s">
        <v>444</v>
      </c>
      <c r="K34" t="s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6256-8FB5-4EE0-B7BC-A3FEFE6F69F5}">
  <dimension ref="A1:M47"/>
  <sheetViews>
    <sheetView topLeftCell="A11" workbookViewId="0">
      <selection activeCell="D28" sqref="D28"/>
    </sheetView>
  </sheetViews>
  <sheetFormatPr baseColWidth="10" defaultRowHeight="12.75" x14ac:dyDescent="0.2"/>
  <cols>
    <col min="3" max="3" width="42.42578125" customWidth="1"/>
    <col min="4" max="4" width="19.140625" customWidth="1"/>
    <col min="8" max="8" width="18.5703125" customWidth="1"/>
    <col min="9" max="9" width="17.42578125" customWidth="1"/>
  </cols>
  <sheetData>
    <row r="1" spans="1:10" ht="18" x14ac:dyDescent="0.25">
      <c r="A1" s="587"/>
      <c r="B1" s="588"/>
      <c r="C1" s="593" t="s">
        <v>28</v>
      </c>
      <c r="D1" s="593"/>
      <c r="E1" s="593"/>
      <c r="F1" s="593"/>
      <c r="G1" s="593"/>
      <c r="H1" s="43" t="s">
        <v>27</v>
      </c>
      <c r="I1" s="42"/>
    </row>
    <row r="2" spans="1:10" ht="18" x14ac:dyDescent="0.25">
      <c r="A2" s="589"/>
      <c r="B2" s="590"/>
      <c r="C2" s="594" t="s">
        <v>26</v>
      </c>
      <c r="D2" s="594"/>
      <c r="E2" s="594"/>
      <c r="F2" s="594"/>
      <c r="G2" s="594"/>
      <c r="H2" s="41" t="s">
        <v>25</v>
      </c>
      <c r="I2" s="40"/>
    </row>
    <row r="3" spans="1:10" ht="15" x14ac:dyDescent="0.2">
      <c r="A3" s="589"/>
      <c r="B3" s="590"/>
      <c r="C3" s="595" t="s">
        <v>123</v>
      </c>
      <c r="D3" s="596"/>
      <c r="E3" s="596"/>
      <c r="F3" s="596"/>
      <c r="G3" s="596"/>
      <c r="H3" s="597" t="s">
        <v>24</v>
      </c>
      <c r="I3" s="581"/>
    </row>
    <row r="4" spans="1:10" x14ac:dyDescent="0.2">
      <c r="A4" s="589"/>
      <c r="B4" s="590"/>
      <c r="C4" s="39" t="s">
        <v>23</v>
      </c>
      <c r="D4" s="583" t="s">
        <v>141</v>
      </c>
      <c r="E4" s="584"/>
      <c r="F4" s="584"/>
      <c r="G4" s="584"/>
      <c r="H4" s="597"/>
      <c r="I4" s="582"/>
    </row>
    <row r="5" spans="1:10" ht="13.5" thickBot="1" x14ac:dyDescent="0.25">
      <c r="A5" s="591"/>
      <c r="B5" s="592"/>
      <c r="C5" s="38" t="s">
        <v>22</v>
      </c>
      <c r="D5" s="585" t="s">
        <v>50</v>
      </c>
      <c r="E5" s="586"/>
      <c r="F5" s="586"/>
      <c r="G5" s="586"/>
      <c r="H5" s="598"/>
      <c r="I5" s="582"/>
    </row>
    <row r="6" spans="1:10" ht="18.75" thickBot="1" x14ac:dyDescent="0.3">
      <c r="A6" s="567" t="s">
        <v>21</v>
      </c>
      <c r="B6" s="567"/>
      <c r="C6" s="567"/>
      <c r="D6" s="568" t="s">
        <v>74</v>
      </c>
      <c r="E6" s="568"/>
      <c r="F6" s="568"/>
      <c r="G6" s="569" t="s">
        <v>20</v>
      </c>
      <c r="H6" s="569"/>
      <c r="I6" s="91" t="s">
        <v>62</v>
      </c>
      <c r="J6" s="55"/>
    </row>
    <row r="7" spans="1:10" ht="25.5" x14ac:dyDescent="0.2">
      <c r="A7" s="570" t="s">
        <v>19</v>
      </c>
      <c r="B7" s="570" t="s">
        <v>19</v>
      </c>
      <c r="C7" s="572" t="s">
        <v>18</v>
      </c>
      <c r="D7" s="572" t="s">
        <v>17</v>
      </c>
      <c r="E7" s="572" t="s">
        <v>16</v>
      </c>
      <c r="F7" s="572"/>
      <c r="G7" s="572" t="s">
        <v>15</v>
      </c>
      <c r="H7" s="572"/>
      <c r="I7" s="90" t="s">
        <v>14</v>
      </c>
    </row>
    <row r="8" spans="1:10" ht="26.25" thickBot="1" x14ac:dyDescent="0.25">
      <c r="A8" s="571"/>
      <c r="B8" s="571"/>
      <c r="C8" s="573"/>
      <c r="D8" s="574"/>
      <c r="E8" s="97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0" ht="15" x14ac:dyDescent="0.25">
      <c r="A9" s="55"/>
      <c r="B9" s="101" t="s">
        <v>100</v>
      </c>
      <c r="C9" s="101" t="s">
        <v>133</v>
      </c>
      <c r="D9" s="31" t="s">
        <v>45</v>
      </c>
      <c r="E9" s="26">
        <v>1220</v>
      </c>
      <c r="F9" s="25" t="s">
        <v>2</v>
      </c>
      <c r="G9" s="11" t="s">
        <v>73</v>
      </c>
      <c r="H9" s="30"/>
      <c r="I9" s="29"/>
    </row>
    <row r="10" spans="1:10" ht="15" x14ac:dyDescent="0.25">
      <c r="A10" s="55"/>
      <c r="B10" s="55"/>
      <c r="C10" s="55"/>
      <c r="D10" s="31"/>
      <c r="E10" s="26"/>
      <c r="F10" s="25"/>
      <c r="G10" s="11"/>
      <c r="H10" s="30"/>
      <c r="I10" s="29"/>
    </row>
    <row r="11" spans="1:10" ht="15" x14ac:dyDescent="0.25">
      <c r="A11" s="55"/>
      <c r="B11" s="55"/>
      <c r="C11" s="92" t="s">
        <v>124</v>
      </c>
      <c r="D11" s="31"/>
      <c r="E11" s="26"/>
      <c r="F11" s="25"/>
      <c r="G11" s="11"/>
      <c r="H11" s="30"/>
      <c r="I11" s="29"/>
    </row>
    <row r="12" spans="1:10" ht="15" x14ac:dyDescent="0.25">
      <c r="A12" s="55"/>
      <c r="B12" s="201" t="s">
        <v>105</v>
      </c>
      <c r="C12" s="201" t="s">
        <v>106</v>
      </c>
      <c r="D12" s="202" t="s">
        <v>45</v>
      </c>
      <c r="E12" s="203">
        <v>135</v>
      </c>
      <c r="F12" s="25" t="s">
        <v>2</v>
      </c>
      <c r="G12" s="11"/>
      <c r="H12" s="29" t="s">
        <v>99</v>
      </c>
      <c r="I12" s="29" t="s">
        <v>99</v>
      </c>
    </row>
    <row r="13" spans="1:10" ht="15" x14ac:dyDescent="0.25">
      <c r="A13" s="55"/>
      <c r="B13" s="100" t="s">
        <v>100</v>
      </c>
      <c r="C13" s="101" t="s">
        <v>101</v>
      </c>
      <c r="D13" s="31" t="s">
        <v>45</v>
      </c>
      <c r="E13" s="26">
        <v>70</v>
      </c>
      <c r="F13" s="25" t="s">
        <v>2</v>
      </c>
      <c r="G13" s="11"/>
      <c r="H13" s="30" t="s">
        <v>104</v>
      </c>
      <c r="I13" s="29"/>
    </row>
    <row r="14" spans="1:10" ht="15" x14ac:dyDescent="0.25">
      <c r="A14" s="55"/>
      <c r="B14" s="100" t="s">
        <v>100</v>
      </c>
      <c r="C14" s="101" t="s">
        <v>71</v>
      </c>
      <c r="D14" s="31" t="s">
        <v>72</v>
      </c>
      <c r="E14" s="26">
        <v>40</v>
      </c>
      <c r="F14" s="25" t="s">
        <v>2</v>
      </c>
      <c r="G14" s="11"/>
      <c r="H14" s="30"/>
      <c r="I14" s="29"/>
    </row>
    <row r="15" spans="1:10" ht="15" x14ac:dyDescent="0.25">
      <c r="A15" s="55"/>
      <c r="B15" s="55" t="s">
        <v>107</v>
      </c>
      <c r="C15" s="55" t="s">
        <v>108</v>
      </c>
      <c r="D15" s="31" t="s">
        <v>45</v>
      </c>
      <c r="E15" s="26">
        <v>10</v>
      </c>
      <c r="F15" s="25" t="s">
        <v>112</v>
      </c>
      <c r="G15" s="11"/>
      <c r="H15" s="44" t="s">
        <v>135</v>
      </c>
      <c r="I15" s="29"/>
    </row>
    <row r="16" spans="1:10" ht="15" x14ac:dyDescent="0.25">
      <c r="A16" s="87"/>
      <c r="B16" t="s">
        <v>38</v>
      </c>
      <c r="C16" t="s">
        <v>39</v>
      </c>
      <c r="D16" s="31"/>
      <c r="E16" s="26">
        <v>5</v>
      </c>
      <c r="F16" s="25" t="s">
        <v>2</v>
      </c>
      <c r="G16" s="11"/>
      <c r="H16" s="44" t="s">
        <v>134</v>
      </c>
      <c r="I16" s="29"/>
    </row>
    <row r="17" spans="1:13" ht="15" x14ac:dyDescent="0.25">
      <c r="A17" s="102">
        <v>96344</v>
      </c>
      <c r="B17" s="88" t="s">
        <v>143</v>
      </c>
      <c r="C17" s="103" t="s">
        <v>144</v>
      </c>
      <c r="D17" s="31" t="s">
        <v>95</v>
      </c>
      <c r="E17" s="26">
        <v>20</v>
      </c>
      <c r="F17" s="25" t="s">
        <v>2</v>
      </c>
      <c r="G17" s="11"/>
      <c r="H17" s="44" t="s">
        <v>145</v>
      </c>
      <c r="I17" s="29"/>
    </row>
    <row r="18" spans="1:13" ht="15" x14ac:dyDescent="0.25">
      <c r="A18" s="28"/>
      <c r="B18" s="45"/>
      <c r="C18" s="27"/>
      <c r="D18" s="31"/>
      <c r="E18" s="26"/>
      <c r="F18" s="25"/>
      <c r="G18" s="11"/>
      <c r="H18" s="30"/>
      <c r="I18" s="29"/>
      <c r="M18" s="89">
        <f>SUM(E9:E18)</f>
        <v>1500</v>
      </c>
    </row>
    <row r="19" spans="1:13" ht="13.5" x14ac:dyDescent="0.25">
      <c r="A19" s="51"/>
      <c r="B19" s="51"/>
      <c r="C19" s="52" t="s">
        <v>77</v>
      </c>
      <c r="D19" s="51"/>
      <c r="E19" s="53"/>
      <c r="F19" s="51"/>
      <c r="G19" s="11"/>
      <c r="H19" s="30"/>
      <c r="I19" s="29"/>
      <c r="M19" s="89"/>
    </row>
    <row r="20" spans="1:13" ht="13.5" x14ac:dyDescent="0.25">
      <c r="A20" s="51">
        <v>121603</v>
      </c>
      <c r="B20" s="49" t="s">
        <v>78</v>
      </c>
      <c r="C20" s="54" t="s">
        <v>79</v>
      </c>
      <c r="D20" s="51" t="s">
        <v>80</v>
      </c>
      <c r="E20" s="51">
        <v>1</v>
      </c>
      <c r="F20" s="51" t="s">
        <v>5</v>
      </c>
      <c r="G20" s="11"/>
      <c r="H20" s="30"/>
      <c r="I20" s="29"/>
    </row>
    <row r="21" spans="1:13" ht="18" customHeight="1" x14ac:dyDescent="0.25">
      <c r="A21" s="49" t="s">
        <v>81</v>
      </c>
      <c r="B21" s="49" t="s">
        <v>82</v>
      </c>
      <c r="C21" s="55" t="s">
        <v>83</v>
      </c>
      <c r="D21" s="51"/>
      <c r="E21" s="51">
        <v>1</v>
      </c>
      <c r="F21" s="51" t="s">
        <v>5</v>
      </c>
      <c r="G21" s="11"/>
      <c r="H21" s="30"/>
      <c r="I21" s="29"/>
      <c r="J21" s="1"/>
      <c r="K21" s="1"/>
      <c r="L21" s="1"/>
      <c r="M21" s="1"/>
    </row>
    <row r="22" spans="1:13" ht="13.5" x14ac:dyDescent="0.25">
      <c r="A22" s="51">
        <v>703020</v>
      </c>
      <c r="B22" s="49" t="s">
        <v>84</v>
      </c>
      <c r="C22" s="54" t="s">
        <v>85</v>
      </c>
      <c r="D22" s="51" t="s">
        <v>57</v>
      </c>
      <c r="E22" s="51">
        <v>60</v>
      </c>
      <c r="F22" s="51" t="s">
        <v>86</v>
      </c>
      <c r="G22" s="8"/>
      <c r="H22" s="7"/>
      <c r="I22" s="29"/>
      <c r="J22" s="1"/>
      <c r="K22" s="1"/>
      <c r="L22" s="1"/>
      <c r="M22" s="1"/>
    </row>
    <row r="23" spans="1:13" ht="13.5" x14ac:dyDescent="0.25">
      <c r="A23" s="51">
        <v>701096</v>
      </c>
      <c r="B23" s="49" t="s">
        <v>87</v>
      </c>
      <c r="C23" s="54" t="s">
        <v>88</v>
      </c>
      <c r="D23" s="51" t="s">
        <v>89</v>
      </c>
      <c r="E23" s="51">
        <v>1</v>
      </c>
      <c r="F23" s="51" t="s">
        <v>5</v>
      </c>
      <c r="G23" s="8"/>
      <c r="H23" s="7"/>
      <c r="I23" s="29"/>
      <c r="J23" s="1"/>
      <c r="K23" s="1"/>
      <c r="L23" s="1"/>
      <c r="M23" s="1"/>
    </row>
    <row r="24" spans="1:13" ht="13.5" x14ac:dyDescent="0.25">
      <c r="A24" s="51">
        <v>702123</v>
      </c>
      <c r="B24" s="49" t="s">
        <v>68</v>
      </c>
      <c r="C24" s="54" t="s">
        <v>90</v>
      </c>
      <c r="D24" s="51" t="s">
        <v>91</v>
      </c>
      <c r="E24" s="51">
        <v>1</v>
      </c>
      <c r="F24" s="51" t="s">
        <v>5</v>
      </c>
      <c r="G24" s="8"/>
      <c r="H24" s="7"/>
      <c r="I24" s="24"/>
      <c r="J24" s="1"/>
      <c r="K24" s="1"/>
      <c r="L24" s="1"/>
      <c r="M24" s="1"/>
    </row>
    <row r="25" spans="1:13" ht="13.5" x14ac:dyDescent="0.25">
      <c r="A25" s="51">
        <v>702069</v>
      </c>
      <c r="B25" s="49" t="s">
        <v>92</v>
      </c>
      <c r="C25" s="54" t="s">
        <v>93</v>
      </c>
      <c r="D25" s="51"/>
      <c r="E25" s="51">
        <v>1</v>
      </c>
      <c r="F25" s="51" t="s">
        <v>5</v>
      </c>
      <c r="G25" s="8"/>
      <c r="H25" s="7"/>
      <c r="I25" s="24"/>
      <c r="J25" s="1"/>
      <c r="K25" s="1"/>
      <c r="L25" s="1"/>
      <c r="M25" s="1"/>
    </row>
    <row r="26" spans="1:13" ht="13.5" x14ac:dyDescent="0.25">
      <c r="A26" s="56"/>
      <c r="B26" s="69" t="s">
        <v>100</v>
      </c>
      <c r="C26" s="56" t="s">
        <v>136</v>
      </c>
      <c r="D26" s="57"/>
      <c r="E26" s="58">
        <v>1</v>
      </c>
      <c r="F26" s="59" t="s">
        <v>5</v>
      </c>
      <c r="G26" s="23"/>
      <c r="H26" s="23"/>
      <c r="I26" s="24"/>
      <c r="J26" s="1"/>
      <c r="K26" s="1"/>
      <c r="L26" s="1"/>
      <c r="M26" s="1"/>
    </row>
    <row r="27" spans="1:13" ht="13.5" x14ac:dyDescent="0.25">
      <c r="A27" s="51"/>
      <c r="B27" s="49"/>
      <c r="C27" s="54"/>
      <c r="D27" s="51"/>
      <c r="E27" s="51"/>
      <c r="F27" s="51"/>
      <c r="G27" s="8"/>
      <c r="H27" s="7"/>
      <c r="I27" s="22"/>
      <c r="J27" s="1"/>
      <c r="K27" s="1"/>
      <c r="L27" s="1"/>
      <c r="M27" s="1"/>
    </row>
    <row r="28" spans="1:13" ht="13.5" x14ac:dyDescent="0.25">
      <c r="A28" s="56"/>
      <c r="B28" s="69"/>
      <c r="C28" s="56"/>
      <c r="D28" s="57"/>
      <c r="E28" s="58"/>
      <c r="F28" s="59"/>
      <c r="G28" s="23"/>
      <c r="H28" s="23"/>
      <c r="I28" s="22"/>
      <c r="J28" s="1"/>
      <c r="K28" s="1"/>
      <c r="L28" s="1"/>
      <c r="M28" s="1"/>
    </row>
    <row r="29" spans="1:13" ht="13.5" thickBot="1" x14ac:dyDescent="0.25">
      <c r="A29" s="21"/>
      <c r="B29" s="46"/>
      <c r="C29" s="1"/>
      <c r="D29" s="1"/>
      <c r="E29" s="20"/>
      <c r="F29" s="19"/>
      <c r="G29" s="1"/>
      <c r="H29" s="1"/>
      <c r="I29" s="18"/>
      <c r="J29" s="1"/>
      <c r="K29" s="1"/>
      <c r="L29" s="3"/>
      <c r="M29" s="1"/>
    </row>
    <row r="30" spans="1:13" ht="13.5" thickBot="1" x14ac:dyDescent="0.25">
      <c r="A30" s="17"/>
      <c r="B30" s="47"/>
      <c r="C30" s="13"/>
      <c r="D30" s="16" t="s">
        <v>11</v>
      </c>
      <c r="E30" s="15" t="s">
        <v>10</v>
      </c>
      <c r="F30" s="14"/>
      <c r="G30" s="13"/>
      <c r="H30" s="13"/>
      <c r="I30" s="12"/>
      <c r="J30" s="1"/>
      <c r="K30" s="1"/>
      <c r="L30" s="3"/>
      <c r="M30" s="1"/>
    </row>
    <row r="31" spans="1:13" x14ac:dyDescent="0.2">
      <c r="A31" s="575" t="s">
        <v>9</v>
      </c>
      <c r="B31" s="576"/>
      <c r="C31" s="577"/>
      <c r="D31" s="11">
        <v>1400</v>
      </c>
      <c r="E31" s="10" t="s">
        <v>2</v>
      </c>
      <c r="F31" s="578"/>
      <c r="G31" s="578"/>
      <c r="H31" s="579"/>
      <c r="I31" s="580"/>
      <c r="J31" s="1"/>
      <c r="K31" s="1"/>
      <c r="L31" s="3"/>
      <c r="M31" s="1"/>
    </row>
    <row r="32" spans="1:13" x14ac:dyDescent="0.2">
      <c r="A32" s="550" t="s">
        <v>113</v>
      </c>
      <c r="B32" s="551"/>
      <c r="C32" s="552"/>
      <c r="D32" s="9">
        <v>4</v>
      </c>
      <c r="E32" s="7" t="s">
        <v>7</v>
      </c>
      <c r="F32" s="538"/>
      <c r="G32" s="538"/>
      <c r="H32" s="539"/>
      <c r="I32" s="540"/>
      <c r="J32" s="1"/>
      <c r="K32" s="1"/>
      <c r="L32" s="3"/>
      <c r="M32" s="1"/>
    </row>
    <row r="33" spans="1:13" x14ac:dyDescent="0.2">
      <c r="A33" s="550" t="s">
        <v>6</v>
      </c>
      <c r="B33" s="551"/>
      <c r="C33" s="552"/>
      <c r="D33" s="8">
        <v>1</v>
      </c>
      <c r="E33" s="7" t="s">
        <v>5</v>
      </c>
      <c r="F33" s="538"/>
      <c r="G33" s="538"/>
      <c r="H33" s="539"/>
      <c r="I33" s="540"/>
      <c r="J33" s="1"/>
      <c r="K33" s="1"/>
      <c r="L33" s="3"/>
      <c r="M33" s="1"/>
    </row>
    <row r="34" spans="1:13" x14ac:dyDescent="0.2">
      <c r="A34" s="550" t="s">
        <v>4</v>
      </c>
      <c r="B34" s="551"/>
      <c r="C34" s="552"/>
      <c r="D34" s="8">
        <v>1400</v>
      </c>
      <c r="E34" s="7" t="s">
        <v>2</v>
      </c>
      <c r="F34" s="553"/>
      <c r="G34" s="554"/>
      <c r="H34" s="539"/>
      <c r="I34" s="540"/>
      <c r="J34" s="1"/>
      <c r="K34" s="1"/>
      <c r="L34" s="3"/>
      <c r="M34" s="6"/>
    </row>
    <row r="35" spans="1:13" ht="13.5" thickBot="1" x14ac:dyDescent="0.25">
      <c r="A35" s="555" t="s">
        <v>3</v>
      </c>
      <c r="B35" s="556"/>
      <c r="C35" s="557"/>
      <c r="D35" s="5">
        <f>SUM(E9:E16)-D31</f>
        <v>80</v>
      </c>
      <c r="E35" s="4" t="s">
        <v>2</v>
      </c>
      <c r="F35" s="558"/>
      <c r="G35" s="558"/>
      <c r="H35" s="559"/>
      <c r="I35" s="560"/>
      <c r="J35" s="1"/>
      <c r="K35" s="1"/>
      <c r="L35" s="3"/>
      <c r="M35" s="1"/>
    </row>
    <row r="36" spans="1:13" ht="13.5" thickBot="1" x14ac:dyDescent="0.25">
      <c r="A36" s="561" t="s">
        <v>1</v>
      </c>
      <c r="B36" s="562"/>
      <c r="C36" s="562"/>
      <c r="D36" s="562"/>
      <c r="E36" s="562"/>
      <c r="F36" s="562"/>
      <c r="G36" s="562"/>
      <c r="H36" s="562"/>
      <c r="I36" s="563"/>
      <c r="J36" s="1"/>
      <c r="K36" s="1"/>
      <c r="L36" s="1"/>
      <c r="M36" s="1"/>
    </row>
    <row r="37" spans="1:13" ht="14.1" customHeight="1" x14ac:dyDescent="0.2">
      <c r="A37" s="535" t="s">
        <v>109</v>
      </c>
      <c r="B37" s="536"/>
      <c r="C37" s="536"/>
      <c r="D37" s="536"/>
      <c r="E37" s="536"/>
      <c r="F37" s="536"/>
      <c r="G37" s="536"/>
      <c r="H37" s="536"/>
      <c r="I37" s="537"/>
    </row>
    <row r="38" spans="1:13" ht="14.1" customHeight="1" x14ac:dyDescent="0.2">
      <c r="A38" s="86" t="s">
        <v>110</v>
      </c>
      <c r="B38" s="84"/>
      <c r="C38" s="84"/>
      <c r="D38" s="84"/>
      <c r="F38" s="84"/>
      <c r="G38" s="85"/>
    </row>
    <row r="39" spans="1:13" ht="14.1" customHeight="1" x14ac:dyDescent="0.2">
      <c r="A39" s="564" t="s">
        <v>75</v>
      </c>
      <c r="B39" s="565"/>
      <c r="C39" s="565"/>
      <c r="D39" s="565"/>
      <c r="E39" s="565"/>
      <c r="F39" s="565"/>
      <c r="G39" s="565"/>
      <c r="H39" s="565"/>
      <c r="I39" s="566"/>
    </row>
    <row r="40" spans="1:13" ht="14.1" customHeight="1" x14ac:dyDescent="0.2">
      <c r="A40" s="564" t="s">
        <v>121</v>
      </c>
      <c r="B40" s="565"/>
      <c r="C40" s="565"/>
      <c r="D40" s="565"/>
      <c r="E40" s="565"/>
      <c r="F40" s="565"/>
      <c r="G40" s="565"/>
      <c r="H40" s="565"/>
      <c r="I40" s="566"/>
    </row>
    <row r="41" spans="1:13" ht="14.1" customHeight="1" x14ac:dyDescent="0.2">
      <c r="A41" s="564" t="s">
        <v>122</v>
      </c>
      <c r="B41" s="565"/>
      <c r="C41" s="565"/>
      <c r="D41" s="565"/>
      <c r="E41" s="565"/>
      <c r="F41" s="565"/>
      <c r="G41" s="565"/>
      <c r="H41" s="565"/>
      <c r="I41" s="566"/>
    </row>
    <row r="42" spans="1:13" ht="14.25" x14ac:dyDescent="0.2">
      <c r="A42" s="564" t="s">
        <v>76</v>
      </c>
      <c r="B42" s="565"/>
      <c r="C42" s="565"/>
      <c r="D42" s="565"/>
      <c r="E42" s="565"/>
      <c r="F42" s="565"/>
      <c r="G42" s="565"/>
      <c r="H42" s="565"/>
      <c r="I42" s="566"/>
    </row>
    <row r="43" spans="1:13" ht="14.25" x14ac:dyDescent="0.2">
      <c r="A43" s="547"/>
      <c r="B43" s="548"/>
      <c r="C43" s="548"/>
      <c r="D43" s="548"/>
      <c r="E43" s="548"/>
      <c r="F43" s="548"/>
      <c r="G43" s="548"/>
      <c r="H43" s="548"/>
      <c r="I43" s="549"/>
    </row>
    <row r="44" spans="1:13" ht="15" x14ac:dyDescent="0.25">
      <c r="A44" s="541" t="s">
        <v>0</v>
      </c>
      <c r="B44" s="542"/>
      <c r="C44" s="542"/>
      <c r="D44" s="542"/>
      <c r="E44" s="542"/>
      <c r="F44" s="542"/>
      <c r="G44" s="542"/>
      <c r="H44" s="542"/>
      <c r="I44" s="543"/>
    </row>
    <row r="45" spans="1:13" ht="15" thickBot="1" x14ac:dyDescent="0.25">
      <c r="A45" s="544"/>
      <c r="B45" s="545"/>
      <c r="C45" s="545"/>
      <c r="D45" s="545"/>
      <c r="E45" s="545"/>
      <c r="F45" s="545"/>
      <c r="G45" s="545"/>
      <c r="H45" s="545"/>
      <c r="I45" s="546"/>
    </row>
    <row r="47" spans="1:13" x14ac:dyDescent="0.2">
      <c r="A47" s="2"/>
      <c r="B47" s="2"/>
      <c r="C47" s="2"/>
      <c r="D47" s="1"/>
      <c r="E47" s="1"/>
      <c r="F47" s="1"/>
      <c r="G47" s="1"/>
      <c r="H47" s="1"/>
      <c r="I47" s="1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45:I45"/>
    <mergeCell ref="A39:I39"/>
    <mergeCell ref="A40:I40"/>
    <mergeCell ref="A41:I41"/>
    <mergeCell ref="A42:I42"/>
    <mergeCell ref="A43:I43"/>
    <mergeCell ref="A44:I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7FF3-0693-4042-88A5-D17CD708B837}">
  <dimension ref="A1:M47"/>
  <sheetViews>
    <sheetView workbookViewId="0">
      <selection activeCell="B25" sqref="B25"/>
    </sheetView>
  </sheetViews>
  <sheetFormatPr baseColWidth="10" defaultRowHeight="12.75" x14ac:dyDescent="0.2"/>
  <cols>
    <col min="3" max="3" width="40.85546875" customWidth="1"/>
    <col min="4" max="4" width="18" customWidth="1"/>
  </cols>
  <sheetData>
    <row r="1" spans="1:10" ht="18" x14ac:dyDescent="0.25">
      <c r="A1" s="587"/>
      <c r="B1" s="588"/>
      <c r="C1" s="593" t="s">
        <v>28</v>
      </c>
      <c r="D1" s="593"/>
      <c r="E1" s="593"/>
      <c r="F1" s="593"/>
      <c r="G1" s="593"/>
      <c r="H1" s="43" t="s">
        <v>27</v>
      </c>
      <c r="I1" s="42"/>
    </row>
    <row r="2" spans="1:10" ht="18" x14ac:dyDescent="0.25">
      <c r="A2" s="589"/>
      <c r="B2" s="590"/>
      <c r="C2" s="594" t="s">
        <v>26</v>
      </c>
      <c r="D2" s="594"/>
      <c r="E2" s="594"/>
      <c r="F2" s="594"/>
      <c r="G2" s="594"/>
      <c r="H2" s="41" t="s">
        <v>25</v>
      </c>
      <c r="I2" s="40"/>
    </row>
    <row r="3" spans="1:10" ht="15" customHeight="1" x14ac:dyDescent="0.2">
      <c r="A3" s="589"/>
      <c r="B3" s="590"/>
      <c r="C3" s="595" t="s">
        <v>376</v>
      </c>
      <c r="D3" s="596"/>
      <c r="E3" s="596"/>
      <c r="F3" s="596"/>
      <c r="G3" s="596"/>
      <c r="H3" s="597" t="s">
        <v>24</v>
      </c>
      <c r="I3" s="581"/>
    </row>
    <row r="4" spans="1:10" x14ac:dyDescent="0.2">
      <c r="A4" s="589"/>
      <c r="B4" s="590"/>
      <c r="C4" s="39" t="s">
        <v>23</v>
      </c>
      <c r="D4" s="583" t="s">
        <v>141</v>
      </c>
      <c r="E4" s="584"/>
      <c r="F4" s="584"/>
      <c r="G4" s="584"/>
      <c r="H4" s="597"/>
      <c r="I4" s="582"/>
    </row>
    <row r="5" spans="1:10" ht="13.5" thickBot="1" x14ac:dyDescent="0.25">
      <c r="A5" s="591"/>
      <c r="B5" s="592"/>
      <c r="C5" s="38" t="s">
        <v>22</v>
      </c>
      <c r="D5" s="585" t="s">
        <v>50</v>
      </c>
      <c r="E5" s="586"/>
      <c r="F5" s="586"/>
      <c r="G5" s="586"/>
      <c r="H5" s="598"/>
      <c r="I5" s="582"/>
    </row>
    <row r="6" spans="1:10" ht="18.75" thickBot="1" x14ac:dyDescent="0.3">
      <c r="A6" s="567" t="s">
        <v>21</v>
      </c>
      <c r="B6" s="567"/>
      <c r="C6" s="567"/>
      <c r="D6" s="568" t="s">
        <v>74</v>
      </c>
      <c r="E6" s="568"/>
      <c r="F6" s="568"/>
      <c r="G6" s="569" t="s">
        <v>20</v>
      </c>
      <c r="H6" s="569"/>
      <c r="I6" s="91" t="s">
        <v>62</v>
      </c>
      <c r="J6" s="55"/>
    </row>
    <row r="7" spans="1:10" ht="25.5" x14ac:dyDescent="0.2">
      <c r="A7" s="570" t="s">
        <v>19</v>
      </c>
      <c r="B7" s="570" t="s">
        <v>19</v>
      </c>
      <c r="C7" s="572" t="s">
        <v>18</v>
      </c>
      <c r="D7" s="572" t="s">
        <v>17</v>
      </c>
      <c r="E7" s="572" t="s">
        <v>16</v>
      </c>
      <c r="F7" s="572"/>
      <c r="G7" s="572" t="s">
        <v>15</v>
      </c>
      <c r="H7" s="572"/>
      <c r="I7" s="90" t="s">
        <v>14</v>
      </c>
    </row>
    <row r="8" spans="1:10" ht="26.25" thickBot="1" x14ac:dyDescent="0.25">
      <c r="A8" s="571"/>
      <c r="B8" s="571"/>
      <c r="C8" s="573"/>
      <c r="D8" s="574"/>
      <c r="E8" s="97" t="s">
        <v>11</v>
      </c>
      <c r="F8" s="34" t="s">
        <v>13</v>
      </c>
      <c r="G8" s="35" t="s">
        <v>11</v>
      </c>
      <c r="H8" s="34" t="s">
        <v>13</v>
      </c>
      <c r="I8" s="33" t="s">
        <v>12</v>
      </c>
    </row>
    <row r="9" spans="1:10" ht="15" x14ac:dyDescent="0.25">
      <c r="A9" s="55"/>
      <c r="B9" s="55" t="s">
        <v>373</v>
      </c>
      <c r="C9" s="55" t="s">
        <v>133</v>
      </c>
      <c r="D9" s="31" t="s">
        <v>45</v>
      </c>
      <c r="E9" s="26">
        <v>1220</v>
      </c>
      <c r="F9" s="25" t="s">
        <v>2</v>
      </c>
      <c r="G9" s="11" t="s">
        <v>73</v>
      </c>
      <c r="H9" s="30"/>
      <c r="I9" s="29"/>
    </row>
    <row r="10" spans="1:10" ht="15" x14ac:dyDescent="0.25">
      <c r="A10" s="55"/>
      <c r="B10" s="55"/>
      <c r="C10" s="55"/>
      <c r="D10" s="31"/>
      <c r="E10" s="26"/>
      <c r="F10" s="25"/>
      <c r="G10" s="11"/>
      <c r="H10" s="30"/>
      <c r="I10" s="29"/>
    </row>
    <row r="11" spans="1:10" ht="15" x14ac:dyDescent="0.25">
      <c r="A11" s="55"/>
      <c r="B11" s="55"/>
      <c r="C11" s="92" t="s">
        <v>124</v>
      </c>
      <c r="D11" s="31"/>
      <c r="E11" s="26"/>
      <c r="F11" s="25"/>
      <c r="G11" s="11"/>
      <c r="H11" s="30"/>
      <c r="I11" s="29"/>
    </row>
    <row r="12" spans="1:10" ht="15" x14ac:dyDescent="0.25">
      <c r="A12" s="55"/>
      <c r="B12" s="55" t="s">
        <v>105</v>
      </c>
      <c r="C12" s="55" t="s">
        <v>106</v>
      </c>
      <c r="D12" s="31" t="s">
        <v>45</v>
      </c>
      <c r="E12" s="98">
        <v>135</v>
      </c>
      <c r="F12" s="25" t="s">
        <v>2</v>
      </c>
      <c r="G12" s="11"/>
      <c r="H12" s="29" t="s">
        <v>99</v>
      </c>
      <c r="I12" s="29" t="s">
        <v>99</v>
      </c>
      <c r="J12">
        <f>135/1000</f>
        <v>0.13500000000000001</v>
      </c>
    </row>
    <row r="13" spans="1:10" ht="15" x14ac:dyDescent="0.25">
      <c r="A13" s="55"/>
      <c r="B13" s="49" t="s">
        <v>374</v>
      </c>
      <c r="C13" s="55" t="s">
        <v>205</v>
      </c>
      <c r="D13" s="31" t="s">
        <v>45</v>
      </c>
      <c r="E13" s="26">
        <v>70</v>
      </c>
      <c r="F13" s="25" t="s">
        <v>2</v>
      </c>
      <c r="G13" s="11"/>
      <c r="H13" s="30" t="s">
        <v>104</v>
      </c>
      <c r="I13" s="29"/>
      <c r="J13">
        <f>70/1000</f>
        <v>7.0000000000000007E-2</v>
      </c>
    </row>
    <row r="14" spans="1:10" ht="15" x14ac:dyDescent="0.25">
      <c r="A14" s="55"/>
      <c r="B14" s="49" t="s">
        <v>375</v>
      </c>
      <c r="C14" s="55" t="s">
        <v>71</v>
      </c>
      <c r="D14" s="31" t="s">
        <v>72</v>
      </c>
      <c r="E14" s="26">
        <v>40</v>
      </c>
      <c r="F14" s="25" t="s">
        <v>2</v>
      </c>
      <c r="G14" s="11"/>
      <c r="H14" s="30"/>
      <c r="I14" s="29"/>
    </row>
    <row r="15" spans="1:10" ht="15" x14ac:dyDescent="0.25">
      <c r="A15" s="55"/>
      <c r="B15" s="55" t="s">
        <v>107</v>
      </c>
      <c r="C15" s="55" t="s">
        <v>108</v>
      </c>
      <c r="D15" s="31" t="s">
        <v>45</v>
      </c>
      <c r="E15" s="26">
        <v>10</v>
      </c>
      <c r="F15" s="25" t="s">
        <v>112</v>
      </c>
      <c r="G15" s="11"/>
      <c r="H15" s="44" t="s">
        <v>135</v>
      </c>
      <c r="I15" s="29"/>
      <c r="J15">
        <f>10/1000</f>
        <v>0.01</v>
      </c>
    </row>
    <row r="16" spans="1:10" ht="15" x14ac:dyDescent="0.25">
      <c r="A16" s="87"/>
      <c r="B16" t="s">
        <v>38</v>
      </c>
      <c r="C16" t="s">
        <v>39</v>
      </c>
      <c r="D16" s="31"/>
      <c r="E16" s="26">
        <v>5</v>
      </c>
      <c r="F16" s="25" t="s">
        <v>2</v>
      </c>
      <c r="G16" s="11"/>
      <c r="H16" s="44" t="s">
        <v>134</v>
      </c>
      <c r="I16" s="29"/>
    </row>
    <row r="17" spans="1:13" ht="15" x14ac:dyDescent="0.25">
      <c r="A17" s="102">
        <v>96344</v>
      </c>
      <c r="B17" s="88" t="s">
        <v>143</v>
      </c>
      <c r="C17" s="103" t="s">
        <v>144</v>
      </c>
      <c r="D17" s="31" t="s">
        <v>95</v>
      </c>
      <c r="E17" s="26">
        <v>20</v>
      </c>
      <c r="F17" s="25" t="s">
        <v>2</v>
      </c>
      <c r="G17" s="11"/>
      <c r="H17" s="44" t="s">
        <v>145</v>
      </c>
      <c r="I17" s="29"/>
      <c r="J17">
        <f>20/1000</f>
        <v>0.02</v>
      </c>
    </row>
    <row r="18" spans="1:13" ht="15" x14ac:dyDescent="0.25">
      <c r="A18" s="28"/>
      <c r="B18" s="45"/>
      <c r="C18" s="27"/>
      <c r="D18" s="31"/>
      <c r="E18" s="26"/>
      <c r="F18" s="25"/>
      <c r="G18" s="11"/>
      <c r="H18" s="30"/>
      <c r="I18" s="29"/>
      <c r="M18" s="89">
        <v>1500</v>
      </c>
    </row>
    <row r="19" spans="1:13" ht="13.5" x14ac:dyDescent="0.25">
      <c r="A19" s="51"/>
      <c r="B19" s="51"/>
      <c r="C19" s="52" t="s">
        <v>77</v>
      </c>
      <c r="D19" s="51"/>
      <c r="E19" s="53"/>
      <c r="F19" s="51"/>
      <c r="G19" s="11"/>
      <c r="H19" s="30"/>
      <c r="I19" s="29"/>
      <c r="M19" s="89"/>
    </row>
    <row r="20" spans="1:13" ht="13.5" x14ac:dyDescent="0.25">
      <c r="A20" s="51">
        <v>121603</v>
      </c>
      <c r="B20" s="49" t="s">
        <v>78</v>
      </c>
      <c r="C20" s="54" t="s">
        <v>79</v>
      </c>
      <c r="D20" s="51" t="s">
        <v>80</v>
      </c>
      <c r="E20" s="51">
        <v>1</v>
      </c>
      <c r="F20" s="51" t="s">
        <v>5</v>
      </c>
      <c r="G20" s="11"/>
      <c r="H20" s="30"/>
      <c r="I20" s="29"/>
    </row>
    <row r="21" spans="1:13" ht="13.5" x14ac:dyDescent="0.25">
      <c r="A21" s="49" t="s">
        <v>81</v>
      </c>
      <c r="B21" s="49" t="s">
        <v>82</v>
      </c>
      <c r="C21" s="55" t="s">
        <v>83</v>
      </c>
      <c r="D21" s="51"/>
      <c r="E21" s="51">
        <v>1</v>
      </c>
      <c r="F21" s="51" t="s">
        <v>5</v>
      </c>
      <c r="G21" s="11"/>
      <c r="H21" s="30"/>
      <c r="I21" s="29"/>
      <c r="J21" s="1"/>
      <c r="K21" s="1"/>
      <c r="L21" s="1"/>
      <c r="M21" s="1"/>
    </row>
    <row r="22" spans="1:13" ht="13.5" x14ac:dyDescent="0.25">
      <c r="A22" s="51">
        <v>703020</v>
      </c>
      <c r="B22" s="49" t="s">
        <v>84</v>
      </c>
      <c r="C22" s="54" t="s">
        <v>85</v>
      </c>
      <c r="D22" s="51" t="s">
        <v>57</v>
      </c>
      <c r="E22" s="51">
        <v>60</v>
      </c>
      <c r="F22" s="51" t="s">
        <v>86</v>
      </c>
      <c r="G22" s="8"/>
      <c r="H22" s="7"/>
      <c r="I22" s="29"/>
      <c r="J22" s="1"/>
      <c r="K22" s="1"/>
      <c r="L22" s="1"/>
      <c r="M22" s="1"/>
    </row>
    <row r="23" spans="1:13" ht="13.5" x14ac:dyDescent="0.25">
      <c r="A23" s="51">
        <v>701096</v>
      </c>
      <c r="B23" s="49" t="s">
        <v>87</v>
      </c>
      <c r="C23" s="54" t="s">
        <v>88</v>
      </c>
      <c r="D23" s="51" t="s">
        <v>89</v>
      </c>
      <c r="E23" s="51">
        <v>1</v>
      </c>
      <c r="F23" s="51" t="s">
        <v>5</v>
      </c>
      <c r="G23" s="8"/>
      <c r="H23" s="7"/>
      <c r="I23" s="29"/>
      <c r="J23" s="1"/>
      <c r="K23" s="1"/>
      <c r="L23" s="1"/>
      <c r="M23" s="1"/>
    </row>
    <row r="24" spans="1:13" ht="13.5" x14ac:dyDescent="0.25">
      <c r="A24" s="51">
        <v>702123</v>
      </c>
      <c r="B24" s="49" t="s">
        <v>68</v>
      </c>
      <c r="C24" s="54" t="s">
        <v>90</v>
      </c>
      <c r="D24" s="51" t="s">
        <v>91</v>
      </c>
      <c r="E24" s="51">
        <v>1</v>
      </c>
      <c r="F24" s="51" t="s">
        <v>5</v>
      </c>
      <c r="G24" s="8"/>
      <c r="H24" s="7"/>
      <c r="I24" s="24"/>
      <c r="J24" s="1"/>
      <c r="K24" s="1"/>
      <c r="L24" s="1"/>
      <c r="M24" s="1"/>
    </row>
    <row r="25" spans="1:13" ht="13.5" x14ac:dyDescent="0.25">
      <c r="A25" s="51">
        <v>702069</v>
      </c>
      <c r="B25" s="49" t="s">
        <v>92</v>
      </c>
      <c r="C25" s="54" t="s">
        <v>93</v>
      </c>
      <c r="D25" s="51"/>
      <c r="E25" s="51">
        <v>1</v>
      </c>
      <c r="F25" s="51" t="s">
        <v>5</v>
      </c>
      <c r="G25" s="8"/>
      <c r="H25" s="7"/>
      <c r="I25" s="24"/>
      <c r="J25" s="1"/>
      <c r="K25" s="1"/>
      <c r="L25" s="1"/>
      <c r="M25" s="1"/>
    </row>
    <row r="26" spans="1:13" ht="13.5" x14ac:dyDescent="0.25">
      <c r="A26" s="56"/>
      <c r="B26" s="69" t="s">
        <v>100</v>
      </c>
      <c r="C26" s="56" t="s">
        <v>136</v>
      </c>
      <c r="D26" s="57"/>
      <c r="E26" s="58">
        <v>1</v>
      </c>
      <c r="F26" s="59" t="s">
        <v>5</v>
      </c>
      <c r="G26" s="23"/>
      <c r="H26" s="23"/>
      <c r="I26" s="24"/>
      <c r="J26" s="1"/>
      <c r="K26" s="1"/>
      <c r="L26" s="1"/>
      <c r="M26" s="1"/>
    </row>
    <row r="27" spans="1:13" ht="13.5" x14ac:dyDescent="0.25">
      <c r="A27" s="51"/>
      <c r="B27" s="49"/>
      <c r="C27" s="54"/>
      <c r="D27" s="51"/>
      <c r="E27" s="51"/>
      <c r="F27" s="51"/>
      <c r="G27" s="8"/>
      <c r="H27" s="7"/>
      <c r="I27" s="22"/>
      <c r="J27" s="1"/>
      <c r="K27" s="1"/>
      <c r="L27" s="1"/>
      <c r="M27" s="1"/>
    </row>
    <row r="28" spans="1:13" ht="13.5" x14ac:dyDescent="0.25">
      <c r="A28" s="56"/>
      <c r="B28" s="69"/>
      <c r="C28" s="56"/>
      <c r="D28" s="57"/>
      <c r="E28" s="58"/>
      <c r="F28" s="59"/>
      <c r="G28" s="23"/>
      <c r="H28" s="23"/>
      <c r="I28" s="22"/>
      <c r="J28" s="1"/>
      <c r="K28" s="1"/>
      <c r="L28" s="1"/>
      <c r="M28" s="1"/>
    </row>
    <row r="29" spans="1:13" ht="13.5" thickBot="1" x14ac:dyDescent="0.25">
      <c r="A29" s="21"/>
      <c r="B29" s="46"/>
      <c r="C29" s="1"/>
      <c r="D29" s="1"/>
      <c r="E29" s="20"/>
      <c r="F29" s="19"/>
      <c r="G29" s="1"/>
      <c r="H29" s="1"/>
      <c r="I29" s="18"/>
      <c r="J29" s="1"/>
      <c r="K29" s="1"/>
      <c r="L29" s="3"/>
      <c r="M29" s="1"/>
    </row>
    <row r="30" spans="1:13" ht="13.5" thickBot="1" x14ac:dyDescent="0.25">
      <c r="A30" s="17"/>
      <c r="B30" s="47"/>
      <c r="C30" s="13"/>
      <c r="D30" s="16" t="s">
        <v>11</v>
      </c>
      <c r="E30" s="15" t="s">
        <v>10</v>
      </c>
      <c r="F30" s="14"/>
      <c r="G30" s="13"/>
      <c r="H30" s="13"/>
      <c r="I30" s="12"/>
      <c r="J30" s="1"/>
      <c r="K30" s="1"/>
      <c r="L30" s="3"/>
      <c r="M30" s="1"/>
    </row>
    <row r="31" spans="1:13" x14ac:dyDescent="0.2">
      <c r="A31" s="575" t="s">
        <v>9</v>
      </c>
      <c r="B31" s="576"/>
      <c r="C31" s="577"/>
      <c r="D31" s="11">
        <v>1400</v>
      </c>
      <c r="E31" s="10" t="s">
        <v>2</v>
      </c>
      <c r="F31" s="578"/>
      <c r="G31" s="578"/>
      <c r="H31" s="579"/>
      <c r="I31" s="580"/>
      <c r="J31" s="1"/>
      <c r="K31" s="1"/>
      <c r="L31" s="3"/>
      <c r="M31" s="1"/>
    </row>
    <row r="32" spans="1:13" x14ac:dyDescent="0.2">
      <c r="A32" s="550" t="s">
        <v>113</v>
      </c>
      <c r="B32" s="551"/>
      <c r="C32" s="552"/>
      <c r="D32" s="9">
        <v>4</v>
      </c>
      <c r="E32" s="7" t="s">
        <v>7</v>
      </c>
      <c r="F32" s="538"/>
      <c r="G32" s="538"/>
      <c r="H32" s="539"/>
      <c r="I32" s="540"/>
      <c r="J32" s="1"/>
      <c r="K32" s="1"/>
      <c r="L32" s="3"/>
      <c r="M32" s="1"/>
    </row>
    <row r="33" spans="1:13" x14ac:dyDescent="0.2">
      <c r="A33" s="550" t="s">
        <v>6</v>
      </c>
      <c r="B33" s="551"/>
      <c r="C33" s="552"/>
      <c r="D33" s="8">
        <v>1</v>
      </c>
      <c r="E33" s="7" t="s">
        <v>5</v>
      </c>
      <c r="F33" s="538"/>
      <c r="G33" s="538"/>
      <c r="H33" s="539"/>
      <c r="I33" s="540"/>
      <c r="J33" s="1"/>
      <c r="K33" s="1"/>
      <c r="L33" s="3"/>
      <c r="M33" s="1"/>
    </row>
    <row r="34" spans="1:13" x14ac:dyDescent="0.2">
      <c r="A34" s="550" t="s">
        <v>4</v>
      </c>
      <c r="B34" s="551"/>
      <c r="C34" s="552"/>
      <c r="D34" s="8">
        <v>1400</v>
      </c>
      <c r="E34" s="7" t="s">
        <v>2</v>
      </c>
      <c r="F34" s="553"/>
      <c r="G34" s="554"/>
      <c r="H34" s="539"/>
      <c r="I34" s="540"/>
      <c r="J34" s="1"/>
      <c r="K34" s="1"/>
      <c r="L34" s="3"/>
      <c r="M34" s="6"/>
    </row>
    <row r="35" spans="1:13" ht="13.5" thickBot="1" x14ac:dyDescent="0.25">
      <c r="A35" s="555" t="s">
        <v>3</v>
      </c>
      <c r="B35" s="556"/>
      <c r="C35" s="557"/>
      <c r="D35" s="5">
        <v>80</v>
      </c>
      <c r="E35" s="4" t="s">
        <v>2</v>
      </c>
      <c r="F35" s="558"/>
      <c r="G35" s="558"/>
      <c r="H35" s="559"/>
      <c r="I35" s="560"/>
      <c r="J35" s="1"/>
      <c r="K35" s="1"/>
      <c r="L35" s="3"/>
      <c r="M35" s="1"/>
    </row>
    <row r="36" spans="1:13" ht="13.5" thickBot="1" x14ac:dyDescent="0.25">
      <c r="A36" s="561" t="s">
        <v>1</v>
      </c>
      <c r="B36" s="562"/>
      <c r="C36" s="562"/>
      <c r="D36" s="562"/>
      <c r="E36" s="562"/>
      <c r="F36" s="562"/>
      <c r="G36" s="562"/>
      <c r="H36" s="562"/>
      <c r="I36" s="563"/>
      <c r="J36" s="1"/>
      <c r="K36" s="1"/>
      <c r="L36" s="1"/>
      <c r="M36" s="1"/>
    </row>
    <row r="37" spans="1:13" ht="14.25" x14ac:dyDescent="0.2">
      <c r="A37" s="535" t="s">
        <v>109</v>
      </c>
      <c r="B37" s="536"/>
      <c r="C37" s="536"/>
      <c r="D37" s="536"/>
      <c r="E37" s="536"/>
      <c r="F37" s="536"/>
      <c r="G37" s="536"/>
      <c r="H37" s="536"/>
      <c r="I37" s="537"/>
    </row>
    <row r="38" spans="1:13" ht="14.25" x14ac:dyDescent="0.2">
      <c r="A38" s="86" t="s">
        <v>110</v>
      </c>
      <c r="B38" s="84"/>
      <c r="C38" s="84"/>
      <c r="D38" s="84"/>
      <c r="F38" s="84"/>
      <c r="G38" s="85"/>
    </row>
    <row r="39" spans="1:13" ht="14.25" x14ac:dyDescent="0.2">
      <c r="A39" s="564" t="s">
        <v>75</v>
      </c>
      <c r="B39" s="565"/>
      <c r="C39" s="565"/>
      <c r="D39" s="565"/>
      <c r="E39" s="565"/>
      <c r="F39" s="565"/>
      <c r="G39" s="565"/>
      <c r="H39" s="565"/>
      <c r="I39" s="566"/>
    </row>
    <row r="40" spans="1:13" ht="14.25" x14ac:dyDescent="0.2">
      <c r="A40" s="564" t="s">
        <v>121</v>
      </c>
      <c r="B40" s="565"/>
      <c r="C40" s="565"/>
      <c r="D40" s="565"/>
      <c r="E40" s="565"/>
      <c r="F40" s="565"/>
      <c r="G40" s="565"/>
      <c r="H40" s="565"/>
      <c r="I40" s="566"/>
    </row>
    <row r="41" spans="1:13" ht="14.25" x14ac:dyDescent="0.2">
      <c r="A41" s="564" t="s">
        <v>122</v>
      </c>
      <c r="B41" s="565"/>
      <c r="C41" s="565"/>
      <c r="D41" s="565"/>
      <c r="E41" s="565"/>
      <c r="F41" s="565"/>
      <c r="G41" s="565"/>
      <c r="H41" s="565"/>
      <c r="I41" s="566"/>
    </row>
    <row r="42" spans="1:13" ht="14.25" x14ac:dyDescent="0.2">
      <c r="A42" s="564" t="s">
        <v>76</v>
      </c>
      <c r="B42" s="565"/>
      <c r="C42" s="565"/>
      <c r="D42" s="565"/>
      <c r="E42" s="565"/>
      <c r="F42" s="565"/>
      <c r="G42" s="565"/>
      <c r="H42" s="565"/>
      <c r="I42" s="566"/>
    </row>
    <row r="43" spans="1:13" ht="14.25" x14ac:dyDescent="0.2">
      <c r="A43" s="547"/>
      <c r="B43" s="548"/>
      <c r="C43" s="548"/>
      <c r="D43" s="548"/>
      <c r="E43" s="548"/>
      <c r="F43" s="548"/>
      <c r="G43" s="548"/>
      <c r="H43" s="548"/>
      <c r="I43" s="549"/>
    </row>
    <row r="44" spans="1:13" ht="15" x14ac:dyDescent="0.25">
      <c r="A44" s="541" t="s">
        <v>0</v>
      </c>
      <c r="B44" s="542"/>
      <c r="C44" s="542"/>
      <c r="D44" s="542"/>
      <c r="E44" s="542"/>
      <c r="F44" s="542"/>
      <c r="G44" s="542"/>
      <c r="H44" s="542"/>
      <c r="I44" s="543"/>
    </row>
    <row r="45" spans="1:13" ht="15" thickBot="1" x14ac:dyDescent="0.25">
      <c r="A45" s="544"/>
      <c r="B45" s="545"/>
      <c r="C45" s="545"/>
      <c r="D45" s="545"/>
      <c r="E45" s="545"/>
      <c r="F45" s="545"/>
      <c r="G45" s="545"/>
      <c r="H45" s="545"/>
      <c r="I45" s="546"/>
    </row>
    <row r="47" spans="1:13" x14ac:dyDescent="0.2">
      <c r="A47" s="2"/>
      <c r="B47" s="2"/>
      <c r="C47" s="2"/>
      <c r="D47" s="1"/>
      <c r="E47" s="1"/>
      <c r="F47" s="1"/>
      <c r="G47" s="1"/>
      <c r="H47" s="1"/>
      <c r="I47" s="1"/>
    </row>
  </sheetData>
  <mergeCells count="41">
    <mergeCell ref="A45:I45"/>
    <mergeCell ref="A39:I39"/>
    <mergeCell ref="A40:I40"/>
    <mergeCell ref="A41:I41"/>
    <mergeCell ref="A42:I42"/>
    <mergeCell ref="A43:I43"/>
    <mergeCell ref="A44:I44"/>
    <mergeCell ref="A35:C35"/>
    <mergeCell ref="F35:G35"/>
    <mergeCell ref="H35:I35"/>
    <mergeCell ref="A36:I36"/>
    <mergeCell ref="A37:I37"/>
    <mergeCell ref="A33:C33"/>
    <mergeCell ref="F33:G33"/>
    <mergeCell ref="H33:I33"/>
    <mergeCell ref="A34:C34"/>
    <mergeCell ref="F34:G34"/>
    <mergeCell ref="H34:I34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F93F-A9E8-4BC7-8EFD-C3A02FF13285}">
  <dimension ref="A1:M49"/>
  <sheetViews>
    <sheetView workbookViewId="0">
      <selection activeCell="C10" sqref="C10"/>
    </sheetView>
  </sheetViews>
  <sheetFormatPr baseColWidth="10" defaultRowHeight="12.75" x14ac:dyDescent="0.2"/>
  <cols>
    <col min="2" max="2" width="12.42578125" customWidth="1"/>
    <col min="3" max="3" width="60.140625" customWidth="1"/>
    <col min="4" max="4" width="22.5703125" customWidth="1"/>
    <col min="8" max="8" width="16" customWidth="1"/>
    <col min="9" max="9" width="19.5703125" customWidth="1"/>
  </cols>
  <sheetData>
    <row r="1" spans="1:10" ht="18" x14ac:dyDescent="0.25">
      <c r="A1" s="651"/>
      <c r="B1" s="652"/>
      <c r="C1" s="593" t="s">
        <v>28</v>
      </c>
      <c r="D1" s="593"/>
      <c r="E1" s="593"/>
      <c r="F1" s="593"/>
      <c r="G1" s="593"/>
      <c r="H1" s="439" t="s">
        <v>27</v>
      </c>
      <c r="I1" s="440" t="s">
        <v>459</v>
      </c>
    </row>
    <row r="2" spans="1:10" ht="18" x14ac:dyDescent="0.25">
      <c r="A2" s="653"/>
      <c r="B2" s="654"/>
      <c r="C2" s="594" t="s">
        <v>26</v>
      </c>
      <c r="D2" s="594"/>
      <c r="E2" s="594"/>
      <c r="F2" s="594"/>
      <c r="G2" s="594"/>
      <c r="H2" s="441" t="s">
        <v>25</v>
      </c>
      <c r="I2" s="442" t="s">
        <v>460</v>
      </c>
    </row>
    <row r="3" spans="1:10" ht="18.75" x14ac:dyDescent="0.2">
      <c r="A3" s="653"/>
      <c r="B3" s="654"/>
      <c r="C3" s="657" t="s">
        <v>461</v>
      </c>
      <c r="D3" s="658"/>
      <c r="E3" s="658"/>
      <c r="F3" s="658"/>
      <c r="G3" s="658"/>
      <c r="H3" s="659" t="s">
        <v>24</v>
      </c>
      <c r="I3" s="643">
        <v>45709</v>
      </c>
    </row>
    <row r="4" spans="1:10" ht="18" x14ac:dyDescent="0.25">
      <c r="A4" s="653"/>
      <c r="B4" s="654"/>
      <c r="C4" s="443" t="s">
        <v>23</v>
      </c>
      <c r="D4" s="690" t="s">
        <v>141</v>
      </c>
      <c r="E4" s="690"/>
      <c r="F4" s="690"/>
      <c r="G4" s="690"/>
      <c r="H4" s="659"/>
      <c r="I4" s="644"/>
    </row>
    <row r="5" spans="1:10" ht="18.75" thickBot="1" x14ac:dyDescent="0.3">
      <c r="A5" s="655"/>
      <c r="B5" s="656"/>
      <c r="C5" s="444" t="s">
        <v>22</v>
      </c>
      <c r="D5" s="691" t="s">
        <v>50</v>
      </c>
      <c r="E5" s="691"/>
      <c r="F5" s="691"/>
      <c r="G5" s="691"/>
      <c r="H5" s="660"/>
      <c r="I5" s="644"/>
    </row>
    <row r="6" spans="1:10" ht="18.75" thickBot="1" x14ac:dyDescent="0.3">
      <c r="A6" s="567" t="s">
        <v>21</v>
      </c>
      <c r="B6" s="567"/>
      <c r="C6" s="567"/>
      <c r="D6" s="637" t="s">
        <v>74</v>
      </c>
      <c r="E6" s="637"/>
      <c r="F6" s="637"/>
      <c r="G6" s="569" t="s">
        <v>20</v>
      </c>
      <c r="H6" s="569"/>
      <c r="I6" s="445" t="s">
        <v>62</v>
      </c>
      <c r="J6" s="55"/>
    </row>
    <row r="7" spans="1:10" ht="36" x14ac:dyDescent="0.2">
      <c r="A7" s="638" t="s">
        <v>19</v>
      </c>
      <c r="B7" s="638" t="s">
        <v>19</v>
      </c>
      <c r="C7" s="640" t="s">
        <v>18</v>
      </c>
      <c r="D7" s="640" t="s">
        <v>17</v>
      </c>
      <c r="E7" s="640" t="s">
        <v>16</v>
      </c>
      <c r="F7" s="640"/>
      <c r="G7" s="640" t="s">
        <v>15</v>
      </c>
      <c r="H7" s="640"/>
      <c r="I7" s="446" t="s">
        <v>14</v>
      </c>
    </row>
    <row r="8" spans="1:10" ht="36.75" thickBot="1" x14ac:dyDescent="0.3">
      <c r="A8" s="639"/>
      <c r="B8" s="639"/>
      <c r="C8" s="641"/>
      <c r="D8" s="642"/>
      <c r="E8" s="447" t="s">
        <v>11</v>
      </c>
      <c r="F8" s="448" t="s">
        <v>13</v>
      </c>
      <c r="G8" s="449" t="s">
        <v>11</v>
      </c>
      <c r="H8" s="448" t="s">
        <v>13</v>
      </c>
      <c r="I8" s="450" t="s">
        <v>12</v>
      </c>
    </row>
    <row r="9" spans="1:10" ht="18.75" x14ac:dyDescent="0.3">
      <c r="A9" s="451"/>
      <c r="B9" s="452" t="s">
        <v>373</v>
      </c>
      <c r="C9" s="452" t="s">
        <v>133</v>
      </c>
      <c r="D9" s="453" t="s">
        <v>45</v>
      </c>
      <c r="E9" s="454">
        <v>1220</v>
      </c>
      <c r="F9" s="455" t="s">
        <v>2</v>
      </c>
      <c r="G9" s="456" t="s">
        <v>73</v>
      </c>
      <c r="H9" s="457"/>
      <c r="I9" s="458"/>
    </row>
    <row r="10" spans="1:10" ht="28.35" customHeight="1" x14ac:dyDescent="0.3">
      <c r="A10" s="459"/>
      <c r="B10" s="459" t="s">
        <v>462</v>
      </c>
      <c r="C10" s="459" t="s">
        <v>463</v>
      </c>
      <c r="D10" s="453" t="s">
        <v>45</v>
      </c>
      <c r="E10" s="454" t="s">
        <v>464</v>
      </c>
      <c r="F10" s="455" t="s">
        <v>5</v>
      </c>
      <c r="G10" s="456"/>
      <c r="H10" s="460" t="s">
        <v>465</v>
      </c>
      <c r="I10" s="458"/>
    </row>
    <row r="11" spans="1:10" ht="18.75" x14ac:dyDescent="0.3">
      <c r="A11" s="459"/>
      <c r="B11" s="459"/>
      <c r="C11" s="459"/>
      <c r="D11" s="453"/>
      <c r="E11" s="454"/>
      <c r="F11" s="455"/>
      <c r="G11" s="456"/>
      <c r="H11" s="457"/>
      <c r="I11" s="458"/>
    </row>
    <row r="12" spans="1:10" ht="18.75" x14ac:dyDescent="0.3">
      <c r="A12" s="451"/>
      <c r="B12" s="451"/>
      <c r="C12" s="451"/>
      <c r="D12" s="453"/>
      <c r="E12" s="454"/>
      <c r="F12" s="455"/>
      <c r="G12" s="456"/>
      <c r="H12" s="457"/>
      <c r="I12" s="458"/>
    </row>
    <row r="13" spans="1:10" ht="18.75" x14ac:dyDescent="0.3">
      <c r="A13" s="451"/>
      <c r="B13" s="451"/>
      <c r="C13" s="461" t="s">
        <v>124</v>
      </c>
      <c r="D13" s="453"/>
      <c r="E13" s="454"/>
      <c r="F13" s="455"/>
      <c r="G13" s="456"/>
      <c r="H13" s="457"/>
      <c r="I13" s="458"/>
    </row>
    <row r="14" spans="1:10" ht="18.75" x14ac:dyDescent="0.3">
      <c r="A14" s="451"/>
      <c r="B14" s="451" t="s">
        <v>105</v>
      </c>
      <c r="C14" s="451" t="s">
        <v>106</v>
      </c>
      <c r="D14" s="453" t="s">
        <v>45</v>
      </c>
      <c r="E14" s="462">
        <v>135</v>
      </c>
      <c r="F14" s="455" t="s">
        <v>2</v>
      </c>
      <c r="G14" s="456"/>
      <c r="H14" s="458" t="s">
        <v>99</v>
      </c>
      <c r="I14" s="458" t="s">
        <v>99</v>
      </c>
    </row>
    <row r="15" spans="1:10" ht="18.75" x14ac:dyDescent="0.3">
      <c r="A15" s="451"/>
      <c r="B15" s="463" t="s">
        <v>374</v>
      </c>
      <c r="C15" s="452" t="s">
        <v>205</v>
      </c>
      <c r="D15" s="453" t="s">
        <v>45</v>
      </c>
      <c r="E15" s="454">
        <v>70</v>
      </c>
      <c r="F15" s="455" t="s">
        <v>2</v>
      </c>
      <c r="G15" s="456"/>
      <c r="H15" s="457" t="s">
        <v>104</v>
      </c>
      <c r="I15" s="458"/>
    </row>
    <row r="16" spans="1:10" ht="18.75" x14ac:dyDescent="0.3">
      <c r="A16" s="451"/>
      <c r="B16" s="463" t="s">
        <v>375</v>
      </c>
      <c r="C16" s="452" t="s">
        <v>71</v>
      </c>
      <c r="D16" s="453" t="s">
        <v>72</v>
      </c>
      <c r="E16" s="454">
        <v>40</v>
      </c>
      <c r="F16" s="455" t="s">
        <v>2</v>
      </c>
      <c r="G16" s="456"/>
      <c r="H16" s="457"/>
      <c r="I16" s="458"/>
    </row>
    <row r="17" spans="1:13" ht="18.75" x14ac:dyDescent="0.3">
      <c r="A17" s="451"/>
      <c r="B17" s="451" t="s">
        <v>107</v>
      </c>
      <c r="C17" s="451" t="s">
        <v>108</v>
      </c>
      <c r="D17" s="453" t="s">
        <v>45</v>
      </c>
      <c r="E17" s="454">
        <v>10</v>
      </c>
      <c r="F17" s="455" t="s">
        <v>112</v>
      </c>
      <c r="G17" s="456"/>
      <c r="H17" s="457" t="s">
        <v>135</v>
      </c>
      <c r="I17" s="458"/>
    </row>
    <row r="18" spans="1:13" ht="18.75" x14ac:dyDescent="0.3">
      <c r="A18" s="464"/>
      <c r="B18" s="465" t="s">
        <v>38</v>
      </c>
      <c r="C18" s="465" t="s">
        <v>39</v>
      </c>
      <c r="D18" s="453"/>
      <c r="E18" s="454">
        <v>5</v>
      </c>
      <c r="F18" s="455" t="s">
        <v>2</v>
      </c>
      <c r="G18" s="456"/>
      <c r="H18" s="457" t="s">
        <v>134</v>
      </c>
      <c r="I18" s="458"/>
    </row>
    <row r="19" spans="1:13" ht="18.75" x14ac:dyDescent="0.3">
      <c r="A19" s="466">
        <v>96344</v>
      </c>
      <c r="B19" s="467" t="s">
        <v>143</v>
      </c>
      <c r="C19" s="468" t="s">
        <v>144</v>
      </c>
      <c r="D19" s="453" t="s">
        <v>95</v>
      </c>
      <c r="E19" s="454">
        <v>20</v>
      </c>
      <c r="F19" s="455" t="s">
        <v>2</v>
      </c>
      <c r="G19" s="456"/>
      <c r="H19" s="457" t="s">
        <v>145</v>
      </c>
      <c r="I19" s="458"/>
    </row>
    <row r="20" spans="1:13" ht="18.75" x14ac:dyDescent="0.3">
      <c r="A20" s="469"/>
      <c r="B20" s="470"/>
      <c r="C20" s="471"/>
      <c r="D20" s="453"/>
      <c r="E20" s="454"/>
      <c r="F20" s="455"/>
      <c r="G20" s="456"/>
      <c r="H20" s="457"/>
      <c r="I20" s="458"/>
      <c r="M20" s="89">
        <v>1500</v>
      </c>
    </row>
    <row r="21" spans="1:13" ht="18" x14ac:dyDescent="0.25">
      <c r="A21" s="472"/>
      <c r="B21" s="472"/>
      <c r="C21" s="473" t="s">
        <v>77</v>
      </c>
      <c r="D21" s="472"/>
      <c r="E21" s="474"/>
      <c r="F21" s="472"/>
      <c r="G21" s="456"/>
      <c r="H21" s="457"/>
      <c r="I21" s="458"/>
      <c r="M21" s="89"/>
    </row>
    <row r="22" spans="1:13" ht="18" x14ac:dyDescent="0.25">
      <c r="A22" s="472">
        <v>121603</v>
      </c>
      <c r="B22" s="475" t="s">
        <v>78</v>
      </c>
      <c r="C22" s="476" t="s">
        <v>79</v>
      </c>
      <c r="D22" s="472" t="s">
        <v>80</v>
      </c>
      <c r="E22" s="472">
        <v>1</v>
      </c>
      <c r="F22" s="472" t="s">
        <v>5</v>
      </c>
      <c r="G22" s="456"/>
      <c r="H22" s="457"/>
      <c r="I22" s="458"/>
    </row>
    <row r="23" spans="1:13" ht="18" x14ac:dyDescent="0.25">
      <c r="A23" s="475" t="s">
        <v>81</v>
      </c>
      <c r="B23" s="475" t="s">
        <v>82</v>
      </c>
      <c r="C23" s="451" t="s">
        <v>83</v>
      </c>
      <c r="D23" s="472"/>
      <c r="E23" s="472">
        <v>1</v>
      </c>
      <c r="F23" s="472" t="s">
        <v>5</v>
      </c>
      <c r="G23" s="456"/>
      <c r="H23" s="457"/>
      <c r="I23" s="458"/>
      <c r="J23" s="436"/>
      <c r="K23" s="436"/>
      <c r="L23" s="436"/>
      <c r="M23" s="436"/>
    </row>
    <row r="24" spans="1:13" ht="18" x14ac:dyDescent="0.25">
      <c r="A24" s="472">
        <v>703020</v>
      </c>
      <c r="B24" s="475" t="s">
        <v>84</v>
      </c>
      <c r="C24" s="476" t="s">
        <v>85</v>
      </c>
      <c r="D24" s="472" t="s">
        <v>57</v>
      </c>
      <c r="E24" s="472">
        <v>60</v>
      </c>
      <c r="F24" s="472" t="s">
        <v>86</v>
      </c>
      <c r="G24" s="477"/>
      <c r="H24" s="478"/>
      <c r="I24" s="458"/>
      <c r="J24" s="436"/>
      <c r="K24" s="436"/>
      <c r="L24" s="436"/>
      <c r="M24" s="436"/>
    </row>
    <row r="25" spans="1:13" ht="18" x14ac:dyDescent="0.25">
      <c r="A25" s="472">
        <v>701096</v>
      </c>
      <c r="B25" s="475" t="s">
        <v>87</v>
      </c>
      <c r="C25" s="476" t="s">
        <v>88</v>
      </c>
      <c r="D25" s="472" t="s">
        <v>89</v>
      </c>
      <c r="E25" s="472">
        <v>1</v>
      </c>
      <c r="F25" s="472" t="s">
        <v>5</v>
      </c>
      <c r="G25" s="477"/>
      <c r="H25" s="478"/>
      <c r="I25" s="458"/>
      <c r="J25" s="436"/>
      <c r="K25" s="436"/>
      <c r="L25" s="436"/>
      <c r="M25" s="436"/>
    </row>
    <row r="26" spans="1:13" ht="18" x14ac:dyDescent="0.25">
      <c r="A26" s="472">
        <v>702123</v>
      </c>
      <c r="B26" s="475" t="s">
        <v>68</v>
      </c>
      <c r="C26" s="476" t="s">
        <v>90</v>
      </c>
      <c r="D26" s="472" t="s">
        <v>91</v>
      </c>
      <c r="E26" s="472">
        <v>1</v>
      </c>
      <c r="F26" s="472" t="s">
        <v>5</v>
      </c>
      <c r="G26" s="477"/>
      <c r="H26" s="478"/>
      <c r="I26" s="479"/>
      <c r="J26" s="436"/>
      <c r="K26" s="436"/>
      <c r="L26" s="436"/>
      <c r="M26" s="436"/>
    </row>
    <row r="27" spans="1:13" ht="18" x14ac:dyDescent="0.25">
      <c r="A27" s="472">
        <v>702069</v>
      </c>
      <c r="B27" s="475" t="s">
        <v>92</v>
      </c>
      <c r="C27" s="476" t="s">
        <v>93</v>
      </c>
      <c r="D27" s="472"/>
      <c r="E27" s="472">
        <v>1</v>
      </c>
      <c r="F27" s="472" t="s">
        <v>5</v>
      </c>
      <c r="G27" s="477"/>
      <c r="H27" s="478"/>
      <c r="I27" s="479"/>
      <c r="J27" s="436"/>
      <c r="K27" s="436"/>
      <c r="L27" s="436"/>
      <c r="M27" s="436"/>
    </row>
    <row r="28" spans="1:13" ht="18" x14ac:dyDescent="0.25">
      <c r="A28" s="451"/>
      <c r="B28" s="475" t="s">
        <v>466</v>
      </c>
      <c r="C28" s="451" t="s">
        <v>467</v>
      </c>
      <c r="D28" s="480"/>
      <c r="E28" s="481">
        <v>1</v>
      </c>
      <c r="F28" s="482" t="s">
        <v>5</v>
      </c>
      <c r="G28" s="483"/>
      <c r="H28" s="483"/>
      <c r="I28" s="479"/>
      <c r="J28" s="436"/>
      <c r="K28" s="436"/>
      <c r="L28" s="436"/>
      <c r="M28" s="436"/>
    </row>
    <row r="29" spans="1:13" ht="18" x14ac:dyDescent="0.25">
      <c r="A29" s="472"/>
      <c r="B29" s="475"/>
      <c r="C29" s="476"/>
      <c r="D29" s="472"/>
      <c r="E29" s="472"/>
      <c r="F29" s="472"/>
      <c r="G29" s="477"/>
      <c r="H29" s="478"/>
      <c r="I29" s="484"/>
      <c r="J29" s="436"/>
      <c r="K29" s="436"/>
      <c r="L29" s="436"/>
      <c r="M29" s="436"/>
    </row>
    <row r="30" spans="1:13" ht="18" x14ac:dyDescent="0.25">
      <c r="A30" s="451"/>
      <c r="B30" s="475"/>
      <c r="C30" s="451"/>
      <c r="D30" s="480"/>
      <c r="E30" s="481"/>
      <c r="F30" s="482"/>
      <c r="G30" s="483"/>
      <c r="H30" s="483"/>
      <c r="I30" s="484"/>
      <c r="J30" s="436"/>
      <c r="K30" s="436"/>
      <c r="L30" s="436"/>
      <c r="M30" s="436"/>
    </row>
    <row r="31" spans="1:13" ht="18.75" thickBot="1" x14ac:dyDescent="0.3">
      <c r="A31" s="485"/>
      <c r="B31" s="486"/>
      <c r="C31" s="487"/>
      <c r="D31" s="487"/>
      <c r="E31" s="488"/>
      <c r="F31" s="489"/>
      <c r="G31" s="487"/>
      <c r="H31" s="487"/>
      <c r="I31" s="490"/>
      <c r="J31" s="436"/>
      <c r="K31" s="436"/>
      <c r="L31" s="437"/>
      <c r="M31" s="436"/>
    </row>
    <row r="32" spans="1:13" ht="18.75" thickBot="1" x14ac:dyDescent="0.3">
      <c r="A32" s="491"/>
      <c r="B32" s="492"/>
      <c r="C32" s="493"/>
      <c r="D32" s="494" t="s">
        <v>11</v>
      </c>
      <c r="E32" s="495" t="s">
        <v>10</v>
      </c>
      <c r="F32" s="496"/>
      <c r="G32" s="493"/>
      <c r="H32" s="493"/>
      <c r="I32" s="497"/>
      <c r="J32" s="436"/>
      <c r="K32" s="436"/>
      <c r="L32" s="437"/>
      <c r="M32" s="436"/>
    </row>
    <row r="33" spans="1:13" ht="18" x14ac:dyDescent="0.25">
      <c r="A33" s="631" t="s">
        <v>9</v>
      </c>
      <c r="B33" s="632"/>
      <c r="C33" s="633"/>
      <c r="D33" s="456">
        <v>1400</v>
      </c>
      <c r="E33" s="498" t="s">
        <v>2</v>
      </c>
      <c r="F33" s="634"/>
      <c r="G33" s="634"/>
      <c r="H33" s="635"/>
      <c r="I33" s="636"/>
      <c r="J33" s="436"/>
      <c r="K33" s="436"/>
      <c r="L33" s="437"/>
      <c r="M33" s="436"/>
    </row>
    <row r="34" spans="1:13" ht="18" x14ac:dyDescent="0.25">
      <c r="A34" s="611" t="s">
        <v>113</v>
      </c>
      <c r="B34" s="612"/>
      <c r="C34" s="613"/>
      <c r="D34" s="499">
        <v>4</v>
      </c>
      <c r="E34" s="478" t="s">
        <v>7</v>
      </c>
      <c r="F34" s="614"/>
      <c r="G34" s="614"/>
      <c r="H34" s="615"/>
      <c r="I34" s="616"/>
      <c r="J34" s="436"/>
      <c r="K34" s="436"/>
      <c r="L34" s="437"/>
      <c r="M34" s="436"/>
    </row>
    <row r="35" spans="1:13" ht="18" x14ac:dyDescent="0.25">
      <c r="A35" s="611" t="s">
        <v>6</v>
      </c>
      <c r="B35" s="612"/>
      <c r="C35" s="613"/>
      <c r="D35" s="477">
        <v>1</v>
      </c>
      <c r="E35" s="478" t="s">
        <v>5</v>
      </c>
      <c r="F35" s="614"/>
      <c r="G35" s="614"/>
      <c r="H35" s="615"/>
      <c r="I35" s="616"/>
      <c r="J35" s="436"/>
      <c r="K35" s="436"/>
      <c r="L35" s="437"/>
      <c r="M35" s="436"/>
    </row>
    <row r="36" spans="1:13" ht="18" x14ac:dyDescent="0.25">
      <c r="A36" s="611" t="s">
        <v>4</v>
      </c>
      <c r="B36" s="612"/>
      <c r="C36" s="613"/>
      <c r="D36" s="477">
        <v>1400</v>
      </c>
      <c r="E36" s="478" t="s">
        <v>2</v>
      </c>
      <c r="F36" s="617"/>
      <c r="G36" s="618"/>
      <c r="H36" s="615"/>
      <c r="I36" s="616"/>
      <c r="J36" s="436"/>
      <c r="K36" s="436"/>
      <c r="L36" s="437"/>
      <c r="M36" s="438"/>
    </row>
    <row r="37" spans="1:13" ht="18.75" thickBot="1" x14ac:dyDescent="0.3">
      <c r="A37" s="619" t="s">
        <v>3</v>
      </c>
      <c r="B37" s="620"/>
      <c r="C37" s="621"/>
      <c r="D37" s="500">
        <v>100</v>
      </c>
      <c r="E37" s="501" t="s">
        <v>2</v>
      </c>
      <c r="F37" s="622"/>
      <c r="G37" s="622"/>
      <c r="H37" s="623"/>
      <c r="I37" s="624"/>
      <c r="J37" s="436"/>
      <c r="K37" s="436"/>
      <c r="L37" s="437"/>
      <c r="M37" s="436"/>
    </row>
    <row r="38" spans="1:13" ht="18.75" thickBot="1" x14ac:dyDescent="0.3">
      <c r="A38" s="625" t="s">
        <v>1</v>
      </c>
      <c r="B38" s="626"/>
      <c r="C38" s="626"/>
      <c r="D38" s="626"/>
      <c r="E38" s="626"/>
      <c r="F38" s="626"/>
      <c r="G38" s="626"/>
      <c r="H38" s="626"/>
      <c r="I38" s="627"/>
      <c r="J38" s="436"/>
      <c r="K38" s="436"/>
      <c r="L38" s="436"/>
      <c r="M38" s="436"/>
    </row>
    <row r="39" spans="1:13" ht="18" x14ac:dyDescent="0.25">
      <c r="A39" s="628" t="s">
        <v>109</v>
      </c>
      <c r="B39" s="629"/>
      <c r="C39" s="629"/>
      <c r="D39" s="629"/>
      <c r="E39" s="629"/>
      <c r="F39" s="629"/>
      <c r="G39" s="629"/>
      <c r="H39" s="629"/>
      <c r="I39" s="630"/>
    </row>
    <row r="40" spans="1:13" ht="18" x14ac:dyDescent="0.25">
      <c r="A40" s="465" t="s">
        <v>110</v>
      </c>
      <c r="B40" s="502"/>
      <c r="C40" s="502"/>
      <c r="D40" s="502"/>
      <c r="E40" s="465"/>
      <c r="F40" s="502"/>
      <c r="G40" s="503"/>
      <c r="H40" s="465"/>
      <c r="I40" s="465"/>
    </row>
    <row r="41" spans="1:13" ht="18" x14ac:dyDescent="0.25">
      <c r="A41" s="602" t="s">
        <v>75</v>
      </c>
      <c r="B41" s="603"/>
      <c r="C41" s="603"/>
      <c r="D41" s="603"/>
      <c r="E41" s="603"/>
      <c r="F41" s="603"/>
      <c r="G41" s="603"/>
      <c r="H41" s="603"/>
      <c r="I41" s="604"/>
    </row>
    <row r="42" spans="1:13" ht="18" x14ac:dyDescent="0.25">
      <c r="A42" s="602" t="s">
        <v>121</v>
      </c>
      <c r="B42" s="603"/>
      <c r="C42" s="603"/>
      <c r="D42" s="603"/>
      <c r="E42" s="603"/>
      <c r="F42" s="603"/>
      <c r="G42" s="603"/>
      <c r="H42" s="603"/>
      <c r="I42" s="604"/>
    </row>
    <row r="43" spans="1:13" ht="18" x14ac:dyDescent="0.25">
      <c r="A43" s="602" t="s">
        <v>122</v>
      </c>
      <c r="B43" s="603"/>
      <c r="C43" s="603"/>
      <c r="D43" s="603"/>
      <c r="E43" s="603"/>
      <c r="F43" s="603"/>
      <c r="G43" s="603"/>
      <c r="H43" s="603"/>
      <c r="I43" s="604"/>
    </row>
    <row r="44" spans="1:13" ht="18" x14ac:dyDescent="0.25">
      <c r="A44" s="602" t="s">
        <v>76</v>
      </c>
      <c r="B44" s="603"/>
      <c r="C44" s="603"/>
      <c r="D44" s="603"/>
      <c r="E44" s="603"/>
      <c r="F44" s="603"/>
      <c r="G44" s="603"/>
      <c r="H44" s="603"/>
      <c r="I44" s="604"/>
    </row>
    <row r="45" spans="1:13" ht="18" x14ac:dyDescent="0.25">
      <c r="A45" s="605"/>
      <c r="B45" s="606"/>
      <c r="C45" s="606"/>
      <c r="D45" s="606"/>
      <c r="E45" s="606"/>
      <c r="F45" s="606"/>
      <c r="G45" s="606"/>
      <c r="H45" s="606"/>
      <c r="I45" s="607"/>
    </row>
    <row r="46" spans="1:13" ht="18" x14ac:dyDescent="0.25">
      <c r="A46" s="608" t="s">
        <v>0</v>
      </c>
      <c r="B46" s="609"/>
      <c r="C46" s="609"/>
      <c r="D46" s="609"/>
      <c r="E46" s="609"/>
      <c r="F46" s="609"/>
      <c r="G46" s="609"/>
      <c r="H46" s="609"/>
      <c r="I46" s="610"/>
    </row>
    <row r="47" spans="1:13" ht="18.75" thickBot="1" x14ac:dyDescent="0.3">
      <c r="A47" s="599" t="s">
        <v>468</v>
      </c>
      <c r="B47" s="600"/>
      <c r="C47" s="600"/>
      <c r="D47" s="600"/>
      <c r="E47" s="600"/>
      <c r="F47" s="600"/>
      <c r="G47" s="600"/>
      <c r="H47" s="600"/>
      <c r="I47" s="601"/>
    </row>
    <row r="48" spans="1:13" ht="18.75" thickBot="1" x14ac:dyDescent="0.3">
      <c r="A48" s="599" t="s">
        <v>469</v>
      </c>
      <c r="B48" s="600"/>
      <c r="C48" s="600"/>
      <c r="D48" s="600"/>
      <c r="E48" s="600"/>
      <c r="F48" s="600"/>
      <c r="G48" s="600"/>
      <c r="H48" s="600"/>
      <c r="I48" s="601"/>
    </row>
    <row r="49" spans="1:9" x14ac:dyDescent="0.2">
      <c r="A49" s="2"/>
      <c r="B49" s="2"/>
      <c r="C49" s="2"/>
      <c r="D49" s="436"/>
      <c r="E49" s="436"/>
      <c r="F49" s="436"/>
      <c r="G49" s="436"/>
      <c r="H49" s="436"/>
      <c r="I49" s="436"/>
    </row>
  </sheetData>
  <mergeCells count="42">
    <mergeCell ref="A36:C36"/>
    <mergeCell ref="F36:G36"/>
    <mergeCell ref="H36:I36"/>
    <mergeCell ref="A47:I47"/>
    <mergeCell ref="A41:I41"/>
    <mergeCell ref="A42:I42"/>
    <mergeCell ref="A43:I43"/>
    <mergeCell ref="A44:I44"/>
    <mergeCell ref="A45:I45"/>
    <mergeCell ref="A46:I46"/>
    <mergeCell ref="A37:C37"/>
    <mergeCell ref="F37:G37"/>
    <mergeCell ref="H37:I37"/>
    <mergeCell ref="A38:I38"/>
    <mergeCell ref="A39:I39"/>
    <mergeCell ref="A34:C34"/>
    <mergeCell ref="F34:G34"/>
    <mergeCell ref="H34:I34"/>
    <mergeCell ref="A35:C35"/>
    <mergeCell ref="F35:G35"/>
    <mergeCell ref="A48:I48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H35:I35"/>
    <mergeCell ref="E7:F7"/>
    <mergeCell ref="G7:H7"/>
    <mergeCell ref="A33:C33"/>
    <mergeCell ref="F33:G33"/>
    <mergeCell ref="H33:I33"/>
    <mergeCell ref="D6:F6"/>
    <mergeCell ref="G6:H6"/>
    <mergeCell ref="A7:A8"/>
    <mergeCell ref="B7:B8"/>
    <mergeCell ref="C7:C8"/>
    <mergeCell ref="D7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CDA5-F71B-41C4-861E-670E5590188A}">
  <dimension ref="A1:N31"/>
  <sheetViews>
    <sheetView workbookViewId="0">
      <selection activeCell="C8" sqref="C8"/>
    </sheetView>
  </sheetViews>
  <sheetFormatPr baseColWidth="10" defaultColWidth="11.42578125" defaultRowHeight="13.5" x14ac:dyDescent="0.25"/>
  <cols>
    <col min="1" max="1" width="11.42578125" style="333"/>
    <col min="2" max="2" width="16.140625" style="333" customWidth="1"/>
    <col min="3" max="3" width="13.42578125" style="333" customWidth="1"/>
    <col min="4" max="4" width="45.140625" style="333" customWidth="1"/>
    <col min="5" max="5" width="15.5703125" style="333" customWidth="1"/>
    <col min="6" max="6" width="11.42578125" style="333"/>
    <col min="7" max="7" width="12.140625" style="333" customWidth="1"/>
    <col min="8" max="8" width="12" style="333" customWidth="1"/>
    <col min="9" max="9" width="14.42578125" style="333" customWidth="1"/>
    <col min="10" max="10" width="16" style="333" customWidth="1"/>
    <col min="11" max="16384" width="11.42578125" style="333"/>
  </cols>
  <sheetData>
    <row r="1" spans="1:13" ht="15.75" x14ac:dyDescent="0.25">
      <c r="B1" s="693"/>
      <c r="C1" s="694"/>
      <c r="D1" s="682" t="s">
        <v>28</v>
      </c>
      <c r="E1" s="682"/>
      <c r="F1" s="682"/>
      <c r="G1" s="682"/>
      <c r="H1" s="682"/>
      <c r="I1" s="60" t="s">
        <v>27</v>
      </c>
      <c r="J1" s="42" t="s">
        <v>317</v>
      </c>
    </row>
    <row r="2" spans="1:13" ht="16.5" thickBot="1" x14ac:dyDescent="0.3">
      <c r="B2" s="695"/>
      <c r="C2" s="696"/>
      <c r="D2" s="683" t="s">
        <v>26</v>
      </c>
      <c r="E2" s="683"/>
      <c r="F2" s="683"/>
      <c r="G2" s="683"/>
      <c r="H2" s="683"/>
      <c r="I2" s="61" t="s">
        <v>25</v>
      </c>
      <c r="J2" s="40" t="s">
        <v>318</v>
      </c>
    </row>
    <row r="3" spans="1:13" ht="18.75" thickBot="1" x14ac:dyDescent="0.3">
      <c r="B3" s="695"/>
      <c r="C3" s="696"/>
      <c r="D3" s="699" t="s">
        <v>319</v>
      </c>
      <c r="E3" s="684"/>
      <c r="F3" s="684"/>
      <c r="G3" s="684"/>
      <c r="H3" s="685"/>
      <c r="I3" s="686" t="s">
        <v>24</v>
      </c>
      <c r="J3" s="581">
        <v>45513</v>
      </c>
    </row>
    <row r="4" spans="1:13" x14ac:dyDescent="0.25">
      <c r="B4" s="695"/>
      <c r="C4" s="696"/>
      <c r="D4" s="208" t="s">
        <v>23</v>
      </c>
      <c r="E4" s="645" t="s">
        <v>209</v>
      </c>
      <c r="F4" s="646"/>
      <c r="G4" s="646"/>
      <c r="H4" s="647"/>
      <c r="I4" s="687"/>
      <c r="J4" s="582"/>
    </row>
    <row r="5" spans="1:13" ht="14.25" thickBot="1" x14ac:dyDescent="0.3">
      <c r="B5" s="697"/>
      <c r="C5" s="698"/>
      <c r="D5" s="209" t="s">
        <v>22</v>
      </c>
      <c r="E5" s="648" t="s">
        <v>210</v>
      </c>
      <c r="F5" s="649"/>
      <c r="G5" s="649"/>
      <c r="H5" s="650"/>
      <c r="I5" s="700"/>
      <c r="J5" s="582"/>
    </row>
    <row r="6" spans="1:13" ht="25.5" x14ac:dyDescent="0.25">
      <c r="B6" s="701" t="s">
        <v>19</v>
      </c>
      <c r="C6" s="703" t="s">
        <v>94</v>
      </c>
      <c r="D6" s="692" t="s">
        <v>18</v>
      </c>
      <c r="E6" s="692" t="s">
        <v>17</v>
      </c>
      <c r="F6" s="692" t="s">
        <v>16</v>
      </c>
      <c r="G6" s="692"/>
      <c r="H6" s="692" t="s">
        <v>15</v>
      </c>
      <c r="I6" s="692"/>
      <c r="J6" s="334" t="s">
        <v>14</v>
      </c>
    </row>
    <row r="7" spans="1:13" ht="27" thickBot="1" x14ac:dyDescent="0.3">
      <c r="B7" s="702"/>
      <c r="C7" s="704"/>
      <c r="D7" s="705"/>
      <c r="E7" s="706"/>
      <c r="F7" s="335" t="s">
        <v>11</v>
      </c>
      <c r="G7" s="336" t="s">
        <v>13</v>
      </c>
      <c r="H7" s="335" t="s">
        <v>11</v>
      </c>
      <c r="I7" s="336" t="s">
        <v>13</v>
      </c>
      <c r="J7" s="337" t="s">
        <v>12</v>
      </c>
    </row>
    <row r="8" spans="1:13" ht="15.75" x14ac:dyDescent="0.25">
      <c r="B8" s="99"/>
      <c r="C8" s="99" t="s">
        <v>320</v>
      </c>
      <c r="D8" t="s">
        <v>321</v>
      </c>
      <c r="E8" s="258" t="s">
        <v>95</v>
      </c>
      <c r="F8" s="62">
        <v>16580</v>
      </c>
      <c r="G8" s="268" t="s">
        <v>2</v>
      </c>
      <c r="H8" s="338"/>
      <c r="I8" s="236"/>
      <c r="J8" s="339"/>
    </row>
    <row r="9" spans="1:13" ht="15.75" x14ac:dyDescent="0.25">
      <c r="A9" s="333">
        <v>104000001</v>
      </c>
      <c r="B9" s="272">
        <v>10400008</v>
      </c>
      <c r="C9" s="272" t="s">
        <v>322</v>
      </c>
      <c r="D9" s="273" t="s">
        <v>323</v>
      </c>
      <c r="E9" s="340" t="s">
        <v>324</v>
      </c>
      <c r="F9" s="341">
        <v>7</v>
      </c>
      <c r="G9" s="268" t="s">
        <v>2</v>
      </c>
      <c r="H9" s="338"/>
      <c r="I9" s="707"/>
      <c r="J9" s="708"/>
    </row>
    <row r="10" spans="1:13" ht="15.75" x14ac:dyDescent="0.25">
      <c r="B10" s="50" t="s">
        <v>203</v>
      </c>
      <c r="C10" s="50" t="s">
        <v>92</v>
      </c>
      <c r="D10" s="265" t="s">
        <v>325</v>
      </c>
      <c r="E10" s="266" t="s">
        <v>326</v>
      </c>
      <c r="F10" s="267">
        <v>1</v>
      </c>
      <c r="G10" s="268" t="s">
        <v>5</v>
      </c>
      <c r="H10" s="338"/>
      <c r="I10" s="266"/>
      <c r="J10" s="339"/>
    </row>
    <row r="11" spans="1:13" ht="15.75" x14ac:dyDescent="0.25">
      <c r="B11" s="342"/>
      <c r="C11" s="343"/>
      <c r="D11" s="276"/>
      <c r="E11" s="344"/>
      <c r="F11" s="63"/>
      <c r="G11" s="63"/>
      <c r="H11" s="345"/>
      <c r="I11" s="63"/>
      <c r="J11" s="346"/>
    </row>
    <row r="12" spans="1:13" ht="14.25" thickBot="1" x14ac:dyDescent="0.3">
      <c r="B12" s="347"/>
      <c r="C12" s="348"/>
      <c r="F12" s="349"/>
      <c r="G12" s="350"/>
      <c r="J12" s="351"/>
      <c r="M12" s="352"/>
    </row>
    <row r="13" spans="1:13" ht="14.25" thickBot="1" x14ac:dyDescent="0.3">
      <c r="B13" s="353"/>
      <c r="C13" s="354"/>
      <c r="D13" s="355"/>
      <c r="E13" s="356" t="s">
        <v>11</v>
      </c>
      <c r="F13" s="357" t="s">
        <v>10</v>
      </c>
      <c r="G13" s="358"/>
      <c r="H13" s="355"/>
      <c r="I13" s="355"/>
      <c r="J13" s="359"/>
      <c r="M13" s="352"/>
    </row>
    <row r="14" spans="1:13" x14ac:dyDescent="0.25">
      <c r="B14" s="709" t="s">
        <v>9</v>
      </c>
      <c r="C14" s="710"/>
      <c r="D14" s="711"/>
      <c r="E14" s="259">
        <v>16580</v>
      </c>
      <c r="F14" s="284" t="s">
        <v>2</v>
      </c>
      <c r="G14" s="712" t="s">
        <v>96</v>
      </c>
      <c r="H14" s="712"/>
      <c r="I14" s="713"/>
      <c r="J14" s="714"/>
      <c r="M14" s="352"/>
    </row>
    <row r="15" spans="1:13" x14ac:dyDescent="0.25">
      <c r="B15" s="715" t="s">
        <v>8</v>
      </c>
      <c r="C15" s="716"/>
      <c r="D15" s="717"/>
      <c r="E15" s="62">
        <v>2</v>
      </c>
      <c r="F15" s="62" t="s">
        <v>239</v>
      </c>
      <c r="G15" s="718" t="s">
        <v>97</v>
      </c>
      <c r="H15" s="718"/>
      <c r="I15" s="719"/>
      <c r="J15" s="720"/>
      <c r="M15" s="352"/>
    </row>
    <row r="16" spans="1:13" x14ac:dyDescent="0.25">
      <c r="B16" s="715" t="s">
        <v>6</v>
      </c>
      <c r="C16" s="716"/>
      <c r="D16" s="717"/>
      <c r="E16" s="62">
        <v>1</v>
      </c>
      <c r="F16" s="62" t="s">
        <v>128</v>
      </c>
      <c r="G16" s="718" t="s">
        <v>98</v>
      </c>
      <c r="H16" s="718"/>
      <c r="I16" s="719"/>
      <c r="J16" s="720"/>
      <c r="M16" s="352"/>
    </row>
    <row r="17" spans="2:14" x14ac:dyDescent="0.25">
      <c r="B17" s="715" t="s">
        <v>327</v>
      </c>
      <c r="C17" s="716"/>
      <c r="D17" s="717"/>
      <c r="E17" s="64">
        <f>+E14</f>
        <v>16580</v>
      </c>
      <c r="F17" s="62" t="s">
        <v>2</v>
      </c>
      <c r="G17" s="721" t="s">
        <v>220</v>
      </c>
      <c r="H17" s="722"/>
      <c r="I17" s="719"/>
      <c r="J17" s="720"/>
      <c r="M17" s="352"/>
      <c r="N17" s="360"/>
    </row>
    <row r="18" spans="2:14" ht="14.25" thickBot="1" x14ac:dyDescent="0.3">
      <c r="B18" s="727" t="s">
        <v>3</v>
      </c>
      <c r="C18" s="728"/>
      <c r="D18" s="729"/>
      <c r="E18" s="361">
        <f>SUM(F8:F10)-E14</f>
        <v>8</v>
      </c>
      <c r="F18" s="286" t="s">
        <v>2</v>
      </c>
      <c r="G18" s="730"/>
      <c r="H18" s="730"/>
      <c r="I18" s="731"/>
      <c r="J18" s="732"/>
      <c r="M18" s="352"/>
    </row>
    <row r="19" spans="2:14" x14ac:dyDescent="0.25">
      <c r="B19" s="733" t="s">
        <v>1</v>
      </c>
      <c r="C19" s="734"/>
      <c r="D19" s="734"/>
      <c r="E19" s="734"/>
      <c r="F19" s="734"/>
      <c r="G19" s="734"/>
      <c r="H19" s="734"/>
      <c r="I19" s="734"/>
      <c r="J19" s="735"/>
    </row>
    <row r="20" spans="2:14" ht="15" x14ac:dyDescent="0.25">
      <c r="B20" s="736" t="s">
        <v>328</v>
      </c>
      <c r="C20" s="737"/>
      <c r="D20" s="737"/>
      <c r="E20" s="737"/>
      <c r="F20" s="737"/>
      <c r="G20" s="737"/>
      <c r="H20" s="737"/>
      <c r="I20" s="737"/>
      <c r="J20" s="738"/>
    </row>
    <row r="21" spans="2:14" ht="15" x14ac:dyDescent="0.25">
      <c r="B21" s="736" t="s">
        <v>329</v>
      </c>
      <c r="C21" s="737"/>
      <c r="D21" s="737"/>
      <c r="E21" s="737"/>
      <c r="F21" s="737"/>
      <c r="G21" s="737"/>
      <c r="H21" s="737"/>
      <c r="I21" s="737"/>
      <c r="J21" s="738"/>
    </row>
    <row r="22" spans="2:14" x14ac:dyDescent="0.25">
      <c r="B22" s="739"/>
      <c r="C22" s="740"/>
      <c r="D22" s="741"/>
      <c r="E22" s="741"/>
      <c r="F22" s="741"/>
      <c r="G22" s="741"/>
      <c r="H22" s="741"/>
      <c r="I22" s="741"/>
      <c r="J22" s="742"/>
    </row>
    <row r="23" spans="2:14" x14ac:dyDescent="0.25">
      <c r="B23" s="743"/>
      <c r="C23" s="744"/>
      <c r="D23" s="745"/>
      <c r="E23" s="745"/>
      <c r="F23" s="745"/>
      <c r="G23" s="745"/>
      <c r="H23" s="745"/>
      <c r="I23" s="745"/>
      <c r="J23" s="746"/>
    </row>
    <row r="24" spans="2:14" x14ac:dyDescent="0.25">
      <c r="B24" s="739"/>
      <c r="C24" s="740"/>
      <c r="D24" s="741"/>
      <c r="E24" s="741"/>
      <c r="F24" s="741"/>
      <c r="G24" s="741"/>
      <c r="H24" s="741"/>
      <c r="I24" s="741"/>
      <c r="J24" s="742"/>
    </row>
    <row r="25" spans="2:14" x14ac:dyDescent="0.25">
      <c r="B25" s="747" t="s">
        <v>0</v>
      </c>
      <c r="C25" s="748"/>
      <c r="D25" s="749"/>
      <c r="E25" s="749"/>
      <c r="F25" s="749"/>
      <c r="G25" s="749"/>
      <c r="H25" s="749"/>
      <c r="I25" s="749"/>
      <c r="J25" s="750"/>
    </row>
    <row r="26" spans="2:14" ht="14.25" thickBot="1" x14ac:dyDescent="0.3">
      <c r="B26" s="723" t="s">
        <v>330</v>
      </c>
      <c r="C26" s="724"/>
      <c r="D26" s="725"/>
      <c r="E26" s="725"/>
      <c r="F26" s="725"/>
      <c r="G26" s="725"/>
      <c r="H26" s="725"/>
      <c r="I26" s="725"/>
      <c r="J26" s="726"/>
    </row>
    <row r="27" spans="2:14" ht="14.25" thickBot="1" x14ac:dyDescent="0.3">
      <c r="B27" s="723" t="s">
        <v>331</v>
      </c>
      <c r="C27" s="724"/>
      <c r="D27" s="725"/>
      <c r="E27" s="725"/>
      <c r="F27" s="725"/>
      <c r="G27" s="725"/>
      <c r="H27" s="725"/>
      <c r="I27" s="725"/>
      <c r="J27" s="726"/>
    </row>
    <row r="28" spans="2:14" x14ac:dyDescent="0.25">
      <c r="B28" s="362" t="s">
        <v>332</v>
      </c>
      <c r="C28" s="362"/>
      <c r="D28" s="362"/>
    </row>
    <row r="29" spans="2:14" x14ac:dyDescent="0.25">
      <c r="B29" s="333" t="s">
        <v>333</v>
      </c>
    </row>
    <row r="30" spans="2:14" x14ac:dyDescent="0.25">
      <c r="B30" s="333" t="s">
        <v>334</v>
      </c>
    </row>
    <row r="31" spans="2:14" x14ac:dyDescent="0.25">
      <c r="B31" s="333" t="s">
        <v>335</v>
      </c>
    </row>
  </sheetData>
  <mergeCells count="39">
    <mergeCell ref="B27:J27"/>
    <mergeCell ref="B18:D18"/>
    <mergeCell ref="G18:H18"/>
    <mergeCell ref="I18:J18"/>
    <mergeCell ref="B19:J19"/>
    <mergeCell ref="B20:J20"/>
    <mergeCell ref="B21:J21"/>
    <mergeCell ref="B22:J22"/>
    <mergeCell ref="B23:J23"/>
    <mergeCell ref="B24:J24"/>
    <mergeCell ref="B25:J25"/>
    <mergeCell ref="B26:J26"/>
    <mergeCell ref="B16:D16"/>
    <mergeCell ref="G16:H16"/>
    <mergeCell ref="I16:J16"/>
    <mergeCell ref="B17:D17"/>
    <mergeCell ref="G17:H17"/>
    <mergeCell ref="I17:J17"/>
    <mergeCell ref="I9:J9"/>
    <mergeCell ref="B14:D14"/>
    <mergeCell ref="G14:H14"/>
    <mergeCell ref="I14:J14"/>
    <mergeCell ref="B15:D15"/>
    <mergeCell ref="G15:H15"/>
    <mergeCell ref="I15:J15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8856-38E5-4322-9984-4C894F870192}">
  <dimension ref="A1:M44"/>
  <sheetViews>
    <sheetView workbookViewId="0">
      <selection activeCell="H19" sqref="H19"/>
    </sheetView>
  </sheetViews>
  <sheetFormatPr baseColWidth="10" defaultColWidth="11.42578125" defaultRowHeight="13.5" x14ac:dyDescent="0.25"/>
  <cols>
    <col min="1" max="1" width="16.140625" style="333" customWidth="1"/>
    <col min="2" max="2" width="13.140625" style="333" customWidth="1"/>
    <col min="3" max="3" width="40.5703125" style="333" customWidth="1"/>
    <col min="4" max="4" width="15.5703125" style="333" customWidth="1"/>
    <col min="5" max="5" width="11.42578125" style="333"/>
    <col min="6" max="6" width="13.140625" style="333" customWidth="1"/>
    <col min="7" max="7" width="12.5703125" style="333" customWidth="1"/>
    <col min="8" max="8" width="15.5703125" style="333" customWidth="1"/>
    <col min="9" max="9" width="16" style="333" customWidth="1"/>
    <col min="10" max="16384" width="11.42578125" style="333"/>
  </cols>
  <sheetData>
    <row r="1" spans="1:9" ht="15.75" x14ac:dyDescent="0.25">
      <c r="A1" s="751"/>
      <c r="B1" s="694"/>
      <c r="C1" s="682" t="s">
        <v>28</v>
      </c>
      <c r="D1" s="682"/>
      <c r="E1" s="682"/>
      <c r="F1" s="682"/>
      <c r="G1" s="682"/>
      <c r="H1" s="60" t="s">
        <v>27</v>
      </c>
      <c r="I1" s="42" t="s">
        <v>353</v>
      </c>
    </row>
    <row r="2" spans="1:9" ht="16.5" thickBot="1" x14ac:dyDescent="0.3">
      <c r="A2" s="752"/>
      <c r="B2" s="696"/>
      <c r="C2" s="683" t="s">
        <v>26</v>
      </c>
      <c r="D2" s="683"/>
      <c r="E2" s="683"/>
      <c r="F2" s="683"/>
      <c r="G2" s="683"/>
      <c r="H2" s="61" t="s">
        <v>25</v>
      </c>
      <c r="I2" s="40" t="s">
        <v>354</v>
      </c>
    </row>
    <row r="3" spans="1:9" ht="18.75" thickBot="1" x14ac:dyDescent="0.3">
      <c r="A3" s="752"/>
      <c r="B3" s="696"/>
      <c r="C3" s="699" t="s">
        <v>355</v>
      </c>
      <c r="D3" s="684"/>
      <c r="E3" s="684"/>
      <c r="F3" s="684"/>
      <c r="G3" s="685"/>
      <c r="H3" s="686" t="s">
        <v>24</v>
      </c>
      <c r="I3" s="581">
        <v>45616</v>
      </c>
    </row>
    <row r="4" spans="1:9" x14ac:dyDescent="0.25">
      <c r="A4" s="752"/>
      <c r="B4" s="696"/>
      <c r="C4" s="208" t="s">
        <v>23</v>
      </c>
      <c r="D4" s="645" t="s">
        <v>209</v>
      </c>
      <c r="E4" s="646"/>
      <c r="F4" s="646"/>
      <c r="G4" s="647"/>
      <c r="H4" s="687"/>
      <c r="I4" s="582"/>
    </row>
    <row r="5" spans="1:9" ht="14.25" thickBot="1" x14ac:dyDescent="0.3">
      <c r="A5" s="753"/>
      <c r="B5" s="698"/>
      <c r="C5" s="209" t="s">
        <v>22</v>
      </c>
      <c r="D5" s="648" t="s">
        <v>210</v>
      </c>
      <c r="E5" s="649"/>
      <c r="F5" s="649"/>
      <c r="G5" s="650"/>
      <c r="H5" s="700"/>
      <c r="I5" s="582"/>
    </row>
    <row r="6" spans="1:9" ht="14.25" thickBot="1" x14ac:dyDescent="0.3">
      <c r="A6" s="207"/>
      <c r="B6" s="207"/>
      <c r="C6" s="208"/>
      <c r="D6" s="390"/>
      <c r="E6" s="391"/>
      <c r="F6" s="391"/>
      <c r="G6" s="392"/>
      <c r="H6" s="205"/>
      <c r="I6" s="204"/>
    </row>
    <row r="7" spans="1:9" ht="25.5" x14ac:dyDescent="0.25">
      <c r="A7" s="754" t="s">
        <v>19</v>
      </c>
      <c r="B7" s="703" t="s">
        <v>94</v>
      </c>
      <c r="C7" s="692" t="s">
        <v>18</v>
      </c>
      <c r="D7" s="692" t="s">
        <v>17</v>
      </c>
      <c r="E7" s="692" t="s">
        <v>16</v>
      </c>
      <c r="F7" s="692"/>
      <c r="G7" s="692" t="s">
        <v>15</v>
      </c>
      <c r="H7" s="692"/>
      <c r="I7" s="334" t="s">
        <v>14</v>
      </c>
    </row>
    <row r="8" spans="1:9" ht="27" thickBot="1" x14ac:dyDescent="0.3">
      <c r="A8" s="755"/>
      <c r="B8" s="756"/>
      <c r="C8" s="706"/>
      <c r="D8" s="706"/>
      <c r="E8" s="335" t="s">
        <v>11</v>
      </c>
      <c r="F8" s="336" t="s">
        <v>13</v>
      </c>
      <c r="G8" s="335" t="s">
        <v>11</v>
      </c>
      <c r="H8" s="336" t="s">
        <v>13</v>
      </c>
      <c r="I8" s="393" t="s">
        <v>12</v>
      </c>
    </row>
    <row r="9" spans="1:9" x14ac:dyDescent="0.25">
      <c r="A9" s="394"/>
      <c r="B9" s="394"/>
      <c r="C9" s="395"/>
      <c r="D9" s="258"/>
      <c r="E9" s="62"/>
      <c r="F9" s="63"/>
      <c r="G9" s="64"/>
      <c r="H9" s="62"/>
      <c r="I9" s="396"/>
    </row>
    <row r="10" spans="1:9" ht="15.75" x14ac:dyDescent="0.25">
      <c r="A10" s="272">
        <v>310148</v>
      </c>
      <c r="B10" s="99" t="s">
        <v>356</v>
      </c>
      <c r="C10" s="273" t="s">
        <v>357</v>
      </c>
      <c r="D10" s="65" t="s">
        <v>358</v>
      </c>
      <c r="E10" s="341">
        <v>13500</v>
      </c>
      <c r="F10" s="268" t="s">
        <v>2</v>
      </c>
      <c r="G10" s="757"/>
      <c r="H10" s="758"/>
      <c r="I10" s="397"/>
    </row>
    <row r="11" spans="1:9" ht="15.75" x14ac:dyDescent="0.25">
      <c r="A11" s="272">
        <v>11400031</v>
      </c>
      <c r="B11" s="99" t="s">
        <v>359</v>
      </c>
      <c r="C11" s="273" t="s">
        <v>360</v>
      </c>
      <c r="D11" s="65" t="s">
        <v>358</v>
      </c>
      <c r="E11" s="341">
        <v>2650</v>
      </c>
      <c r="F11" s="268" t="s">
        <v>2</v>
      </c>
      <c r="G11" s="757"/>
      <c r="H11" s="758"/>
      <c r="I11" s="397"/>
    </row>
    <row r="12" spans="1:9" ht="15.75" x14ac:dyDescent="0.25">
      <c r="A12" s="49" t="s">
        <v>250</v>
      </c>
      <c r="B12" s="49"/>
      <c r="C12" s="55" t="s">
        <v>251</v>
      </c>
      <c r="D12" s="65" t="s">
        <v>361</v>
      </c>
      <c r="E12" s="341">
        <v>650</v>
      </c>
      <c r="F12" s="268" t="s">
        <v>2</v>
      </c>
      <c r="G12" s="341"/>
      <c r="H12" s="236"/>
      <c r="I12" s="397"/>
    </row>
    <row r="13" spans="1:9" ht="15.75" x14ac:dyDescent="0.25">
      <c r="A13" s="272">
        <v>1212410</v>
      </c>
      <c r="B13" s="99" t="s">
        <v>40</v>
      </c>
      <c r="C13" s="273" t="s">
        <v>275</v>
      </c>
      <c r="D13" s="65" t="s">
        <v>103</v>
      </c>
      <c r="E13" s="341">
        <v>10.002020610224289</v>
      </c>
      <c r="F13" s="268" t="s">
        <v>2</v>
      </c>
      <c r="G13" s="341"/>
      <c r="H13" s="236"/>
      <c r="I13" s="397"/>
    </row>
    <row r="14" spans="1:9" ht="15.75" x14ac:dyDescent="0.25">
      <c r="A14" s="272">
        <v>702123</v>
      </c>
      <c r="B14" s="272" t="s">
        <v>68</v>
      </c>
      <c r="C14" s="381" t="s">
        <v>291</v>
      </c>
      <c r="D14" s="65" t="s">
        <v>326</v>
      </c>
      <c r="E14" s="341">
        <v>1</v>
      </c>
      <c r="F14" s="377" t="s">
        <v>5</v>
      </c>
      <c r="G14" s="259"/>
      <c r="H14" s="374"/>
      <c r="I14" s="397"/>
    </row>
    <row r="15" spans="1:9" ht="16.5" thickBot="1" x14ac:dyDescent="0.3">
      <c r="A15" s="398"/>
      <c r="B15" s="398"/>
      <c r="C15" s="399"/>
      <c r="D15" s="400"/>
      <c r="E15" s="66"/>
      <c r="F15" s="67"/>
      <c r="G15" s="401"/>
      <c r="H15" s="402"/>
      <c r="I15" s="403"/>
    </row>
    <row r="16" spans="1:9" ht="15.75" x14ac:dyDescent="0.25">
      <c r="A16" s="404"/>
      <c r="B16" s="405"/>
      <c r="C16" s="406"/>
      <c r="D16" s="407"/>
      <c r="E16" s="408"/>
      <c r="F16" s="409"/>
      <c r="G16" s="410"/>
      <c r="H16" s="411"/>
      <c r="I16" s="412"/>
    </row>
    <row r="17" spans="1:12" ht="15.75" x14ac:dyDescent="0.25">
      <c r="A17" s="413"/>
      <c r="B17" s="414"/>
      <c r="C17" s="415"/>
      <c r="D17" s="416"/>
      <c r="E17" s="417"/>
      <c r="F17" s="418"/>
      <c r="G17" s="419"/>
      <c r="H17" s="420"/>
      <c r="I17" s="421"/>
    </row>
    <row r="18" spans="1:12" ht="15.75" x14ac:dyDescent="0.25">
      <c r="A18" s="413"/>
      <c r="B18" s="414"/>
      <c r="C18" s="415"/>
      <c r="D18" s="416"/>
      <c r="E18" s="417"/>
      <c r="F18" s="418"/>
      <c r="G18" s="419"/>
      <c r="H18" s="420"/>
      <c r="I18" s="421"/>
    </row>
    <row r="19" spans="1:12" ht="15.75" x14ac:dyDescent="0.25">
      <c r="A19" s="413"/>
      <c r="B19" s="414"/>
      <c r="C19" s="415"/>
      <c r="D19" s="416"/>
      <c r="E19" s="417"/>
      <c r="F19" s="418"/>
      <c r="G19" s="419"/>
      <c r="H19" s="420"/>
      <c r="I19" s="421"/>
    </row>
    <row r="20" spans="1:12" ht="15.75" x14ac:dyDescent="0.25">
      <c r="A20" s="413"/>
      <c r="B20" s="414"/>
      <c r="C20" s="415"/>
      <c r="D20" s="416"/>
      <c r="E20" s="417"/>
      <c r="F20" s="418"/>
      <c r="G20" s="419"/>
      <c r="H20" s="420"/>
      <c r="I20" s="421"/>
    </row>
    <row r="21" spans="1:12" ht="15.75" x14ac:dyDescent="0.25">
      <c r="A21" s="413"/>
      <c r="B21" s="414"/>
      <c r="C21" s="415"/>
      <c r="D21" s="416"/>
      <c r="E21" s="417"/>
      <c r="F21" s="418"/>
      <c r="G21" s="419"/>
      <c r="H21" s="420"/>
      <c r="I21" s="421"/>
    </row>
    <row r="22" spans="1:12" ht="15.75" x14ac:dyDescent="0.25">
      <c r="A22" s="413"/>
      <c r="B22" s="414"/>
      <c r="C22" s="415"/>
      <c r="D22" s="416"/>
      <c r="E22" s="417"/>
      <c r="F22" s="418"/>
      <c r="G22" s="419"/>
      <c r="H22" s="420"/>
      <c r="I22" s="421"/>
    </row>
    <row r="23" spans="1:12" ht="15.75" x14ac:dyDescent="0.25">
      <c r="A23" s="413"/>
      <c r="B23" s="414"/>
      <c r="C23" s="415"/>
      <c r="D23" s="416"/>
      <c r="E23" s="417"/>
      <c r="F23" s="418"/>
      <c r="G23" s="419"/>
      <c r="H23" s="420"/>
      <c r="I23" s="421"/>
    </row>
    <row r="24" spans="1:12" ht="15.75" x14ac:dyDescent="0.25">
      <c r="A24" s="413"/>
      <c r="B24" s="414"/>
      <c r="C24" s="415"/>
      <c r="D24" s="416"/>
      <c r="E24" s="417"/>
      <c r="F24" s="418"/>
      <c r="G24" s="419"/>
      <c r="H24" s="420"/>
      <c r="I24" s="421"/>
    </row>
    <row r="25" spans="1:12" ht="15.75" x14ac:dyDescent="0.25">
      <c r="A25" s="413"/>
      <c r="B25" s="414"/>
      <c r="C25" s="415"/>
      <c r="D25" s="416"/>
      <c r="E25" s="417"/>
      <c r="F25" s="418"/>
      <c r="G25" s="419"/>
      <c r="H25" s="420"/>
      <c r="I25" s="421"/>
    </row>
    <row r="26" spans="1:12" ht="15.75" x14ac:dyDescent="0.25">
      <c r="A26" s="413"/>
      <c r="B26" s="414"/>
      <c r="C26" s="415"/>
      <c r="D26" s="416"/>
      <c r="E26" s="417"/>
      <c r="F26" s="418"/>
      <c r="G26" s="419"/>
      <c r="H26" s="420"/>
      <c r="I26" s="421"/>
    </row>
    <row r="27" spans="1:12" ht="15.75" thickBot="1" x14ac:dyDescent="0.3">
      <c r="A27" s="422"/>
      <c r="B27" s="423"/>
      <c r="C27" s="424"/>
      <c r="D27" s="425"/>
      <c r="E27" s="426"/>
      <c r="F27" s="426"/>
      <c r="G27" s="426"/>
      <c r="H27" s="426"/>
      <c r="I27" s="427"/>
    </row>
    <row r="28" spans="1:12" ht="14.25" thickBot="1" x14ac:dyDescent="0.3">
      <c r="A28" s="347"/>
      <c r="B28" s="348"/>
      <c r="E28" s="349"/>
      <c r="F28" s="350"/>
      <c r="I28" s="351"/>
      <c r="L28" s="352"/>
    </row>
    <row r="29" spans="1:12" ht="14.25" thickBot="1" x14ac:dyDescent="0.3">
      <c r="A29" s="353"/>
      <c r="B29" s="354"/>
      <c r="C29" s="355"/>
      <c r="D29" s="356" t="s">
        <v>11</v>
      </c>
      <c r="E29" s="357" t="s">
        <v>10</v>
      </c>
      <c r="F29" s="358"/>
      <c r="G29" s="355"/>
      <c r="H29" s="355"/>
      <c r="I29" s="359"/>
      <c r="L29" s="352"/>
    </row>
    <row r="30" spans="1:12" x14ac:dyDescent="0.25">
      <c r="A30" s="709" t="s">
        <v>9</v>
      </c>
      <c r="B30" s="710"/>
      <c r="C30" s="711"/>
      <c r="D30" s="259">
        <v>16580</v>
      </c>
      <c r="E30" s="284" t="s">
        <v>2</v>
      </c>
      <c r="F30" s="712" t="s">
        <v>96</v>
      </c>
      <c r="G30" s="712"/>
      <c r="H30" s="713"/>
      <c r="I30" s="714"/>
      <c r="L30" s="352"/>
    </row>
    <row r="31" spans="1:12" x14ac:dyDescent="0.25">
      <c r="A31" s="715" t="s">
        <v>8</v>
      </c>
      <c r="B31" s="716"/>
      <c r="C31" s="717"/>
      <c r="D31" s="68">
        <v>10</v>
      </c>
      <c r="E31" s="62" t="s">
        <v>7</v>
      </c>
      <c r="F31" s="718" t="s">
        <v>97</v>
      </c>
      <c r="G31" s="718"/>
      <c r="H31" s="719"/>
      <c r="I31" s="720"/>
      <c r="L31" s="352"/>
    </row>
    <row r="32" spans="1:12" x14ac:dyDescent="0.25">
      <c r="A32" s="715" t="s">
        <v>6</v>
      </c>
      <c r="B32" s="716"/>
      <c r="C32" s="717"/>
      <c r="D32" s="62">
        <v>1</v>
      </c>
      <c r="E32" s="62" t="s">
        <v>128</v>
      </c>
      <c r="F32" s="718" t="s">
        <v>98</v>
      </c>
      <c r="G32" s="718"/>
      <c r="H32" s="719"/>
      <c r="I32" s="720"/>
      <c r="L32" s="352"/>
    </row>
    <row r="33" spans="1:13" x14ac:dyDescent="0.25">
      <c r="A33" s="715" t="s">
        <v>4</v>
      </c>
      <c r="B33" s="716"/>
      <c r="C33" s="717"/>
      <c r="D33" s="64">
        <f>D30</f>
        <v>16580</v>
      </c>
      <c r="E33" s="62" t="s">
        <v>2</v>
      </c>
      <c r="F33" s="721" t="s">
        <v>220</v>
      </c>
      <c r="G33" s="722"/>
      <c r="H33" s="719"/>
      <c r="I33" s="720"/>
      <c r="L33" s="352"/>
      <c r="M33" s="428"/>
    </row>
    <row r="34" spans="1:13" ht="14.25" thickBot="1" x14ac:dyDescent="0.3">
      <c r="A34" s="727" t="s">
        <v>3</v>
      </c>
      <c r="B34" s="728"/>
      <c r="C34" s="729"/>
      <c r="D34" s="285">
        <f>SUM(E10:E13)-D30</f>
        <v>230.00202061022355</v>
      </c>
      <c r="E34" s="286" t="s">
        <v>2</v>
      </c>
      <c r="F34" s="730"/>
      <c r="G34" s="730"/>
      <c r="H34" s="731"/>
      <c r="I34" s="732"/>
      <c r="L34" s="352"/>
    </row>
    <row r="35" spans="1:13" ht="14.25" thickBot="1" x14ac:dyDescent="0.3">
      <c r="A35" s="759" t="s">
        <v>1</v>
      </c>
      <c r="B35" s="760"/>
      <c r="C35" s="760"/>
      <c r="D35" s="760"/>
      <c r="E35" s="760"/>
      <c r="F35" s="760"/>
      <c r="G35" s="760"/>
      <c r="H35" s="760"/>
      <c r="I35" s="761"/>
    </row>
    <row r="36" spans="1:13" ht="15" x14ac:dyDescent="0.25">
      <c r="A36" s="736" t="s">
        <v>362</v>
      </c>
      <c r="B36" s="737"/>
      <c r="C36" s="737"/>
      <c r="D36" s="737"/>
      <c r="E36" s="737"/>
      <c r="F36" s="737"/>
      <c r="G36" s="737"/>
      <c r="H36" s="737"/>
      <c r="I36" s="738"/>
    </row>
    <row r="37" spans="1:13" ht="15" x14ac:dyDescent="0.25">
      <c r="A37" s="736" t="s">
        <v>363</v>
      </c>
      <c r="B37" s="737"/>
      <c r="C37" s="737"/>
      <c r="D37" s="737"/>
      <c r="E37" s="737"/>
      <c r="F37" s="737"/>
      <c r="G37" s="737"/>
      <c r="H37" s="737"/>
      <c r="I37" s="738"/>
    </row>
    <row r="38" spans="1:13" ht="15" x14ac:dyDescent="0.25">
      <c r="A38" s="736" t="s">
        <v>364</v>
      </c>
      <c r="B38" s="737"/>
      <c r="C38" s="737"/>
      <c r="D38" s="737"/>
      <c r="E38" s="737"/>
      <c r="F38" s="737"/>
      <c r="G38" s="737"/>
      <c r="H38" s="737"/>
      <c r="I38" s="738"/>
    </row>
    <row r="39" spans="1:13" ht="15" x14ac:dyDescent="0.25">
      <c r="A39" s="736" t="s">
        <v>365</v>
      </c>
      <c r="B39" s="737"/>
      <c r="C39" s="737"/>
      <c r="D39" s="737"/>
      <c r="E39" s="737"/>
      <c r="F39" s="737"/>
      <c r="G39" s="737"/>
      <c r="H39" s="737"/>
      <c r="I39" s="738"/>
    </row>
    <row r="40" spans="1:13" ht="15.75" thickBot="1" x14ac:dyDescent="0.3">
      <c r="A40" s="736" t="s">
        <v>366</v>
      </c>
      <c r="B40" s="737"/>
      <c r="C40" s="737"/>
      <c r="D40" s="737"/>
      <c r="E40" s="737"/>
      <c r="F40" s="737"/>
      <c r="G40" s="737"/>
      <c r="H40" s="737"/>
      <c r="I40" s="738"/>
    </row>
    <row r="41" spans="1:13" x14ac:dyDescent="0.25">
      <c r="A41" s="733" t="s">
        <v>367</v>
      </c>
      <c r="B41" s="734"/>
      <c r="C41" s="734"/>
      <c r="D41" s="734"/>
      <c r="E41" s="734"/>
      <c r="F41" s="734"/>
      <c r="G41" s="734"/>
      <c r="H41" s="734"/>
      <c r="I41" s="735"/>
    </row>
    <row r="42" spans="1:13" x14ac:dyDescent="0.25">
      <c r="A42" s="429"/>
      <c r="B42" s="430"/>
      <c r="C42" s="430"/>
      <c r="D42" s="430"/>
      <c r="E42" s="430"/>
      <c r="F42" s="430"/>
      <c r="G42" s="430"/>
      <c r="H42" s="430"/>
      <c r="I42" s="431"/>
    </row>
    <row r="43" spans="1:13" x14ac:dyDescent="0.25">
      <c r="A43" s="429"/>
      <c r="B43" s="430"/>
      <c r="C43" s="432"/>
      <c r="D43" s="430"/>
      <c r="E43" s="430"/>
      <c r="F43" s="430"/>
      <c r="G43" s="430"/>
      <c r="H43" s="430"/>
      <c r="I43" s="431"/>
    </row>
    <row r="44" spans="1:13" x14ac:dyDescent="0.25">
      <c r="A44" s="433"/>
      <c r="B44" s="434"/>
      <c r="C44" s="434"/>
      <c r="D44" s="434"/>
      <c r="E44" s="434"/>
      <c r="F44" s="434"/>
      <c r="G44" s="434"/>
      <c r="H44" s="434"/>
      <c r="I44" s="435"/>
    </row>
  </sheetData>
  <mergeCells count="38">
    <mergeCell ref="A38:I38"/>
    <mergeCell ref="A39:I39"/>
    <mergeCell ref="A40:I40"/>
    <mergeCell ref="A41:I41"/>
    <mergeCell ref="A34:C34"/>
    <mergeCell ref="F34:G34"/>
    <mergeCell ref="H34:I34"/>
    <mergeCell ref="A35:I35"/>
    <mergeCell ref="A36:I36"/>
    <mergeCell ref="A37:I37"/>
    <mergeCell ref="A32:C32"/>
    <mergeCell ref="F32:G32"/>
    <mergeCell ref="H32:I32"/>
    <mergeCell ref="A33:C33"/>
    <mergeCell ref="F33:G33"/>
    <mergeCell ref="H33:I33"/>
    <mergeCell ref="A31:C31"/>
    <mergeCell ref="F31:G31"/>
    <mergeCell ref="H31:I31"/>
    <mergeCell ref="A7:A8"/>
    <mergeCell ref="B7:B8"/>
    <mergeCell ref="C7:C8"/>
    <mergeCell ref="D7:D8"/>
    <mergeCell ref="E7:F7"/>
    <mergeCell ref="G7:H7"/>
    <mergeCell ref="G10:H10"/>
    <mergeCell ref="G11:H11"/>
    <mergeCell ref="A30:C30"/>
    <mergeCell ref="F30:G30"/>
    <mergeCell ref="H30:I30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1DF4-2D64-442C-BFE2-5D9F0952EB05}">
  <dimension ref="A1:I58"/>
  <sheetViews>
    <sheetView workbookViewId="0">
      <selection activeCell="D12" sqref="D12"/>
    </sheetView>
  </sheetViews>
  <sheetFormatPr baseColWidth="10" defaultRowHeight="12.75" x14ac:dyDescent="0.2"/>
  <cols>
    <col min="3" max="3" width="49" customWidth="1"/>
    <col min="4" max="4" width="34.42578125" bestFit="1" customWidth="1"/>
    <col min="8" max="8" width="33.5703125" bestFit="1" customWidth="1"/>
    <col min="9" max="9" width="17.42578125" bestFit="1" customWidth="1"/>
  </cols>
  <sheetData>
    <row r="1" spans="1:9" ht="15.75" x14ac:dyDescent="0.25">
      <c r="A1" s="693"/>
      <c r="B1" s="694"/>
      <c r="C1" s="682" t="s">
        <v>28</v>
      </c>
      <c r="D1" s="682"/>
      <c r="E1" s="682"/>
      <c r="F1" s="682"/>
      <c r="G1" s="682"/>
      <c r="H1" s="60" t="s">
        <v>27</v>
      </c>
      <c r="I1" s="42" t="s">
        <v>336</v>
      </c>
    </row>
    <row r="2" spans="1:9" ht="18" customHeight="1" thickBot="1" x14ac:dyDescent="0.3">
      <c r="A2" s="695"/>
      <c r="B2" s="696"/>
      <c r="C2" s="765" t="s">
        <v>26</v>
      </c>
      <c r="D2" s="766"/>
      <c r="E2" s="766"/>
      <c r="F2" s="766"/>
      <c r="G2" s="767"/>
      <c r="H2" s="61" t="s">
        <v>25</v>
      </c>
      <c r="I2" s="40" t="s">
        <v>207</v>
      </c>
    </row>
    <row r="3" spans="1:9" ht="31.5" customHeight="1" thickBot="1" x14ac:dyDescent="0.25">
      <c r="A3" s="695"/>
      <c r="B3" s="696"/>
      <c r="C3" s="699" t="s">
        <v>337</v>
      </c>
      <c r="D3" s="684"/>
      <c r="E3" s="684"/>
      <c r="F3" s="684"/>
      <c r="G3" s="685"/>
      <c r="H3" s="686" t="s">
        <v>24</v>
      </c>
      <c r="I3" s="581">
        <v>45613</v>
      </c>
    </row>
    <row r="4" spans="1:9" ht="18" customHeight="1" x14ac:dyDescent="0.25">
      <c r="A4" s="695"/>
      <c r="B4" s="696"/>
      <c r="C4" s="208" t="s">
        <v>23</v>
      </c>
      <c r="D4" s="645" t="s">
        <v>209</v>
      </c>
      <c r="E4" s="646"/>
      <c r="F4" s="646"/>
      <c r="G4" s="647"/>
      <c r="H4" s="687"/>
      <c r="I4" s="582"/>
    </row>
    <row r="5" spans="1:9" ht="14.25" thickBot="1" x14ac:dyDescent="0.3">
      <c r="A5" s="763"/>
      <c r="B5" s="764"/>
      <c r="C5" s="209" t="s">
        <v>22</v>
      </c>
      <c r="D5" s="648" t="s">
        <v>210</v>
      </c>
      <c r="E5" s="649"/>
      <c r="F5" s="649"/>
      <c r="G5" s="650"/>
      <c r="H5" s="700"/>
      <c r="I5" s="762"/>
    </row>
    <row r="6" spans="1:9" ht="18.75" thickBot="1" x14ac:dyDescent="0.3">
      <c r="A6" s="567" t="s">
        <v>21</v>
      </c>
      <c r="B6" s="567"/>
      <c r="C6" s="567"/>
      <c r="D6" s="568" t="s">
        <v>215</v>
      </c>
      <c r="E6" s="568"/>
      <c r="F6" s="568"/>
      <c r="G6" s="569" t="s">
        <v>20</v>
      </c>
      <c r="H6" s="569"/>
      <c r="I6" s="37" t="s">
        <v>338</v>
      </c>
    </row>
    <row r="7" spans="1:9" ht="25.5" x14ac:dyDescent="0.2">
      <c r="A7" s="688" t="s">
        <v>19</v>
      </c>
      <c r="B7" s="769" t="s">
        <v>211</v>
      </c>
      <c r="C7" s="689" t="s">
        <v>18</v>
      </c>
      <c r="D7" s="689" t="s">
        <v>17</v>
      </c>
      <c r="E7" s="689" t="s">
        <v>16</v>
      </c>
      <c r="F7" s="689"/>
      <c r="G7" s="689" t="s">
        <v>15</v>
      </c>
      <c r="H7" s="689"/>
      <c r="I7" s="72" t="s">
        <v>14</v>
      </c>
    </row>
    <row r="8" spans="1:9" ht="26.25" thickBot="1" x14ac:dyDescent="0.25">
      <c r="A8" s="768"/>
      <c r="B8" s="770"/>
      <c r="C8" s="771"/>
      <c r="D8" s="771"/>
      <c r="E8" s="210" t="s">
        <v>11</v>
      </c>
      <c r="F8" s="211" t="s">
        <v>13</v>
      </c>
      <c r="G8" s="210" t="s">
        <v>11</v>
      </c>
      <c r="H8" s="211" t="s">
        <v>13</v>
      </c>
      <c r="I8" s="212" t="s">
        <v>12</v>
      </c>
    </row>
    <row r="9" spans="1:9" ht="15" x14ac:dyDescent="0.25">
      <c r="A9" s="213"/>
      <c r="B9" s="214"/>
      <c r="C9" s="215" t="s">
        <v>212</v>
      </c>
      <c r="D9" s="216"/>
      <c r="E9" s="217"/>
      <c r="F9" s="218"/>
      <c r="G9" s="217"/>
      <c r="H9" s="218"/>
      <c r="I9" s="219"/>
    </row>
    <row r="10" spans="1:9" ht="18" customHeight="1" x14ac:dyDescent="0.25">
      <c r="A10" s="246" t="s">
        <v>339</v>
      </c>
      <c r="B10" s="363" t="s">
        <v>38</v>
      </c>
      <c r="C10" s="248" t="s">
        <v>340</v>
      </c>
      <c r="D10" s="249" t="s">
        <v>341</v>
      </c>
      <c r="E10" s="254">
        <v>5000</v>
      </c>
      <c r="F10" s="364" t="s">
        <v>2</v>
      </c>
      <c r="G10" s="225"/>
      <c r="H10" s="226"/>
      <c r="I10" s="219"/>
    </row>
    <row r="11" spans="1:9" ht="15" x14ac:dyDescent="0.25">
      <c r="A11" s="246" t="s">
        <v>250</v>
      </c>
      <c r="B11" s="365"/>
      <c r="C11" s="366" t="s">
        <v>251</v>
      </c>
      <c r="D11" s="249" t="s">
        <v>95</v>
      </c>
      <c r="E11" s="250">
        <v>400</v>
      </c>
      <c r="F11" s="251" t="s">
        <v>2</v>
      </c>
      <c r="G11" s="225"/>
      <c r="H11" s="226"/>
      <c r="I11" s="219"/>
    </row>
    <row r="12" spans="1:9" ht="15" x14ac:dyDescent="0.25">
      <c r="A12" s="246"/>
      <c r="B12" s="365"/>
      <c r="C12" s="366"/>
      <c r="D12" s="249"/>
      <c r="E12" s="250"/>
      <c r="F12" s="251"/>
      <c r="G12" s="62"/>
      <c r="H12" s="226"/>
      <c r="I12" s="219"/>
    </row>
    <row r="13" spans="1:9" ht="15" x14ac:dyDescent="0.25">
      <c r="A13" s="246"/>
      <c r="B13" s="365"/>
      <c r="C13" s="366"/>
      <c r="D13" s="249"/>
      <c r="E13" s="250"/>
      <c r="F13" s="251"/>
      <c r="G13" s="62"/>
      <c r="H13" s="226"/>
      <c r="I13" s="219"/>
    </row>
    <row r="14" spans="1:9" ht="15" x14ac:dyDescent="0.25">
      <c r="A14" s="367"/>
      <c r="B14" s="368"/>
      <c r="C14" s="369"/>
      <c r="D14" s="62"/>
      <c r="E14" s="62"/>
      <c r="F14" s="370"/>
      <c r="G14" s="62"/>
      <c r="H14" s="226"/>
      <c r="I14" s="219"/>
    </row>
    <row r="15" spans="1:9" ht="15" x14ac:dyDescent="0.25">
      <c r="A15" s="371"/>
      <c r="B15" s="368"/>
      <c r="C15" s="372"/>
      <c r="D15" s="62"/>
      <c r="E15" s="62"/>
      <c r="F15" s="370"/>
      <c r="G15" s="62"/>
      <c r="H15" s="226"/>
      <c r="I15" s="219"/>
    </row>
    <row r="16" spans="1:9" ht="15" x14ac:dyDescent="0.25">
      <c r="A16" s="62"/>
      <c r="B16" s="62"/>
      <c r="C16" s="373"/>
      <c r="D16" s="374"/>
      <c r="E16" s="374"/>
      <c r="F16" s="225"/>
      <c r="G16" s="62"/>
      <c r="H16" s="226"/>
      <c r="I16" s="219"/>
    </row>
    <row r="17" spans="1:9" ht="15" x14ac:dyDescent="0.25">
      <c r="A17" s="368"/>
      <c r="B17" s="368"/>
      <c r="C17" s="375"/>
      <c r="D17" s="62"/>
      <c r="E17" s="62"/>
      <c r="F17" s="370"/>
      <c r="G17" s="62"/>
      <c r="H17" s="226"/>
      <c r="I17" s="219"/>
    </row>
    <row r="18" spans="1:9" ht="15" x14ac:dyDescent="0.25">
      <c r="A18" s="367"/>
      <c r="B18" s="368"/>
      <c r="C18" s="369"/>
      <c r="D18" s="62"/>
      <c r="E18" s="62"/>
      <c r="F18" s="370"/>
      <c r="G18" s="62"/>
      <c r="H18" s="226"/>
      <c r="I18" s="219"/>
    </row>
    <row r="19" spans="1:9" ht="15.75" x14ac:dyDescent="0.25">
      <c r="A19" s="49"/>
      <c r="B19" s="49"/>
      <c r="C19" s="55"/>
      <c r="D19" s="376"/>
      <c r="E19" s="341"/>
      <c r="F19" s="377"/>
      <c r="G19" s="217"/>
      <c r="H19" s="226"/>
      <c r="I19" s="219"/>
    </row>
    <row r="20" spans="1:9" ht="15.75" x14ac:dyDescent="0.25">
      <c r="A20" s="242"/>
      <c r="B20" s="243"/>
      <c r="C20" s="244" t="s">
        <v>215</v>
      </c>
      <c r="D20" s="239"/>
      <c r="E20" s="245"/>
      <c r="F20" s="25"/>
      <c r="G20" s="217"/>
      <c r="H20" s="218"/>
      <c r="I20" s="219"/>
    </row>
    <row r="21" spans="1:9" ht="15" x14ac:dyDescent="0.25">
      <c r="A21" s="246"/>
      <c r="B21" s="247"/>
      <c r="C21" s="248"/>
      <c r="D21" s="249"/>
      <c r="E21" s="250"/>
      <c r="F21" s="251"/>
      <c r="G21" s="217"/>
      <c r="H21" s="218"/>
      <c r="I21" s="219"/>
    </row>
    <row r="22" spans="1:9" ht="15" x14ac:dyDescent="0.25">
      <c r="A22" s="246"/>
      <c r="B22" s="247"/>
      <c r="C22" s="248"/>
      <c r="D22" s="249"/>
      <c r="E22" s="64"/>
      <c r="F22" s="251"/>
      <c r="G22" s="217"/>
      <c r="H22" s="218"/>
      <c r="I22" s="219"/>
    </row>
    <row r="23" spans="1:9" ht="15" x14ac:dyDescent="0.25">
      <c r="A23" s="246"/>
      <c r="B23" s="247"/>
      <c r="C23" s="248"/>
      <c r="D23" s="249"/>
      <c r="E23" s="250"/>
      <c r="F23" s="251"/>
      <c r="G23" s="217"/>
      <c r="H23" s="218"/>
      <c r="I23" s="219"/>
    </row>
    <row r="24" spans="1:9" ht="15" x14ac:dyDescent="0.25">
      <c r="A24" s="246"/>
      <c r="B24" s="247"/>
      <c r="C24" s="248"/>
      <c r="D24" s="249"/>
      <c r="E24" s="73"/>
      <c r="F24" s="253"/>
      <c r="G24" s="217"/>
      <c r="H24" s="218"/>
      <c r="I24" s="219"/>
    </row>
    <row r="25" spans="1:9" ht="15" x14ac:dyDescent="0.25">
      <c r="A25" s="246"/>
      <c r="B25" s="247"/>
      <c r="C25" s="248"/>
      <c r="D25" s="249"/>
      <c r="E25" s="254"/>
      <c r="F25" s="253"/>
      <c r="G25" s="217"/>
      <c r="H25" s="218"/>
      <c r="I25" s="219"/>
    </row>
    <row r="26" spans="1:9" ht="15" x14ac:dyDescent="0.25">
      <c r="A26" s="99"/>
      <c r="B26" s="99"/>
      <c r="D26" s="255"/>
      <c r="E26" s="256"/>
      <c r="F26" s="257"/>
      <c r="G26" s="217"/>
      <c r="H26" s="218"/>
      <c r="I26" s="219"/>
    </row>
    <row r="27" spans="1:9" ht="15" x14ac:dyDescent="0.25">
      <c r="A27" s="49"/>
      <c r="B27" s="49"/>
      <c r="C27" s="55"/>
      <c r="D27" s="258"/>
      <c r="E27" s="259"/>
      <c r="F27" s="257"/>
      <c r="G27" s="217"/>
      <c r="H27" s="218"/>
      <c r="I27" s="219"/>
    </row>
    <row r="28" spans="1:9" ht="15" x14ac:dyDescent="0.25">
      <c r="A28" s="49"/>
      <c r="B28" s="49"/>
      <c r="C28" s="55"/>
      <c r="D28" s="258"/>
      <c r="E28" s="64"/>
      <c r="F28" s="63"/>
      <c r="G28" s="217"/>
      <c r="H28" s="218"/>
      <c r="I28" s="219"/>
    </row>
    <row r="29" spans="1:9" ht="15.75" x14ac:dyDescent="0.25">
      <c r="A29" s="260"/>
      <c r="B29" s="261"/>
      <c r="C29" s="262" t="s">
        <v>216</v>
      </c>
      <c r="D29" s="263"/>
      <c r="E29" s="264"/>
      <c r="F29" s="218"/>
      <c r="G29" s="217"/>
      <c r="I29" s="219"/>
    </row>
    <row r="30" spans="1:9" ht="15" x14ac:dyDescent="0.25">
      <c r="A30" s="378" t="s">
        <v>342</v>
      </c>
      <c r="B30" s="378" t="s">
        <v>309</v>
      </c>
      <c r="C30" s="27" t="s">
        <v>310</v>
      </c>
      <c r="D30" s="31" t="s">
        <v>102</v>
      </c>
      <c r="E30" s="81">
        <v>20</v>
      </c>
      <c r="F30" s="379" t="s">
        <v>86</v>
      </c>
      <c r="G30" s="269"/>
      <c r="H30" s="218"/>
      <c r="I30" s="219"/>
    </row>
    <row r="31" spans="1:9" ht="15" x14ac:dyDescent="0.25">
      <c r="A31" s="378" t="s">
        <v>343</v>
      </c>
      <c r="B31" s="378" t="s">
        <v>344</v>
      </c>
      <c r="C31" s="27" t="s">
        <v>345</v>
      </c>
      <c r="D31" s="31" t="s">
        <v>91</v>
      </c>
      <c r="E31" s="81">
        <v>1</v>
      </c>
      <c r="F31" s="379" t="s">
        <v>54</v>
      </c>
      <c r="G31" s="269"/>
      <c r="H31" s="218"/>
      <c r="I31" s="219"/>
    </row>
    <row r="32" spans="1:9" ht="15" x14ac:dyDescent="0.25">
      <c r="A32" s="378" t="s">
        <v>346</v>
      </c>
      <c r="B32" s="378" t="s">
        <v>292</v>
      </c>
      <c r="C32" s="27" t="s">
        <v>347</v>
      </c>
      <c r="D32" s="31" t="s">
        <v>218</v>
      </c>
      <c r="E32" s="81">
        <v>1</v>
      </c>
      <c r="F32" s="379" t="s">
        <v>54</v>
      </c>
      <c r="G32" s="269"/>
      <c r="H32" s="218"/>
      <c r="I32" s="219"/>
    </row>
    <row r="33" spans="1:9" ht="15" x14ac:dyDescent="0.25">
      <c r="A33" s="380"/>
      <c r="B33" s="380"/>
      <c r="C33" s="381"/>
      <c r="D33" s="266"/>
      <c r="E33" s="382"/>
      <c r="F33" s="383"/>
      <c r="G33" s="217"/>
      <c r="H33" s="218"/>
      <c r="I33" s="219"/>
    </row>
    <row r="34" spans="1:9" ht="15" x14ac:dyDescent="0.25">
      <c r="A34" s="380"/>
      <c r="B34" s="380"/>
      <c r="C34" s="384"/>
      <c r="D34" s="266"/>
      <c r="E34" s="266"/>
      <c r="F34" s="383"/>
      <c r="G34" s="217"/>
      <c r="H34" s="218"/>
      <c r="I34" s="219"/>
    </row>
    <row r="35" spans="1:9" ht="15" x14ac:dyDescent="0.25">
      <c r="A35" s="380"/>
      <c r="B35" s="380"/>
      <c r="C35" s="384"/>
      <c r="D35" s="266"/>
      <c r="E35" s="266"/>
      <c r="F35" s="383"/>
      <c r="G35" s="274"/>
      <c r="H35" s="218"/>
      <c r="I35" s="219"/>
    </row>
    <row r="36" spans="1:9" ht="15.75" x14ac:dyDescent="0.25">
      <c r="A36" s="385"/>
      <c r="B36" s="386"/>
      <c r="C36" s="387"/>
      <c r="D36" s="388"/>
      <c r="E36" s="388"/>
      <c r="F36" s="389"/>
      <c r="G36" s="26"/>
      <c r="H36" s="218"/>
      <c r="I36" s="219"/>
    </row>
    <row r="37" spans="1:9" ht="15.75" x14ac:dyDescent="0.25">
      <c r="A37" s="242"/>
      <c r="B37" s="243"/>
      <c r="C37" s="27"/>
      <c r="D37" s="266"/>
      <c r="E37" s="26"/>
      <c r="F37" s="25"/>
      <c r="G37" s="277"/>
      <c r="H37" s="218"/>
      <c r="I37" s="219"/>
    </row>
    <row r="38" spans="1:9" ht="15.75" x14ac:dyDescent="0.25">
      <c r="A38" s="242"/>
      <c r="B38" s="243"/>
      <c r="C38" s="27"/>
      <c r="D38" s="239"/>
      <c r="E38" s="239"/>
      <c r="F38" s="25"/>
      <c r="G38" s="278"/>
      <c r="H38" s="278"/>
      <c r="I38" s="219"/>
    </row>
    <row r="39" spans="1:9" ht="14.25" thickBot="1" x14ac:dyDescent="0.3">
      <c r="A39" s="279"/>
      <c r="B39" s="280"/>
      <c r="C39" s="71"/>
      <c r="D39" s="71"/>
      <c r="E39" s="281"/>
      <c r="F39" s="282"/>
      <c r="G39" s="71"/>
      <c r="H39" s="71"/>
      <c r="I39" s="283"/>
    </row>
    <row r="40" spans="1:9" ht="14.25" thickBot="1" x14ac:dyDescent="0.3">
      <c r="A40" s="74"/>
      <c r="B40" s="75"/>
      <c r="C40" s="76"/>
      <c r="D40" s="77" t="s">
        <v>11</v>
      </c>
      <c r="E40" s="78" t="s">
        <v>10</v>
      </c>
      <c r="F40" s="79"/>
      <c r="G40" s="76"/>
      <c r="H40" s="76"/>
      <c r="I40" s="80"/>
    </row>
    <row r="41" spans="1:9" ht="13.5" x14ac:dyDescent="0.25">
      <c r="A41" s="676" t="s">
        <v>9</v>
      </c>
      <c r="B41" s="677"/>
      <c r="C41" s="678"/>
      <c r="D41" s="259">
        <v>5350</v>
      </c>
      <c r="E41" s="284" t="s">
        <v>2</v>
      </c>
      <c r="F41" s="679" t="s">
        <v>96</v>
      </c>
      <c r="G41" s="679"/>
      <c r="H41" s="680"/>
      <c r="I41" s="681"/>
    </row>
    <row r="42" spans="1:9" ht="13.5" x14ac:dyDescent="0.25">
      <c r="A42" s="661" t="s">
        <v>8</v>
      </c>
      <c r="B42" s="662"/>
      <c r="C42" s="663"/>
      <c r="D42" s="62">
        <v>3</v>
      </c>
      <c r="E42" s="62" t="s">
        <v>348</v>
      </c>
      <c r="F42" s="664" t="s">
        <v>97</v>
      </c>
      <c r="G42" s="664"/>
      <c r="H42" s="665"/>
      <c r="I42" s="666"/>
    </row>
    <row r="43" spans="1:9" ht="13.5" x14ac:dyDescent="0.25">
      <c r="A43" s="661" t="s">
        <v>6</v>
      </c>
      <c r="B43" s="662"/>
      <c r="C43" s="663"/>
      <c r="D43" s="62">
        <v>1</v>
      </c>
      <c r="E43" s="62" t="s">
        <v>128</v>
      </c>
      <c r="F43" s="664" t="s">
        <v>98</v>
      </c>
      <c r="G43" s="664"/>
      <c r="H43" s="665"/>
      <c r="I43" s="666"/>
    </row>
    <row r="44" spans="1:9" ht="13.5" x14ac:dyDescent="0.25">
      <c r="A44" s="661" t="s">
        <v>4</v>
      </c>
      <c r="B44" s="662"/>
      <c r="C44" s="663"/>
      <c r="D44" s="64">
        <v>5350</v>
      </c>
      <c r="E44" s="62" t="s">
        <v>2</v>
      </c>
      <c r="F44" s="667" t="s">
        <v>220</v>
      </c>
      <c r="G44" s="668"/>
      <c r="H44" s="776"/>
      <c r="I44" s="777"/>
    </row>
    <row r="45" spans="1:9" ht="14.25" thickBot="1" x14ac:dyDescent="0.3">
      <c r="A45" s="669" t="s">
        <v>3</v>
      </c>
      <c r="B45" s="670"/>
      <c r="C45" s="671"/>
      <c r="D45" s="285">
        <v>50</v>
      </c>
      <c r="E45" s="286" t="s">
        <v>2</v>
      </c>
      <c r="F45" s="672"/>
      <c r="G45" s="672"/>
      <c r="H45" s="665"/>
      <c r="I45" s="666"/>
    </row>
    <row r="46" spans="1:9" ht="13.5" thickBot="1" x14ac:dyDescent="0.25">
      <c r="A46" s="673" t="s">
        <v>1</v>
      </c>
      <c r="B46" s="674"/>
      <c r="C46" s="674"/>
      <c r="D46" s="674"/>
      <c r="E46" s="674"/>
      <c r="F46" s="674"/>
      <c r="G46" s="674"/>
      <c r="H46" s="674"/>
      <c r="I46" s="675"/>
    </row>
    <row r="47" spans="1:9" ht="18.600000000000001" customHeight="1" x14ac:dyDescent="0.25">
      <c r="A47" s="772" t="s">
        <v>349</v>
      </c>
      <c r="B47" s="773"/>
      <c r="C47" s="774"/>
      <c r="D47" s="774"/>
      <c r="E47" s="774"/>
      <c r="F47" s="774"/>
      <c r="G47" s="774"/>
      <c r="H47" s="774"/>
      <c r="I47" s="775"/>
    </row>
    <row r="48" spans="1:9" ht="14.45" customHeight="1" x14ac:dyDescent="0.25">
      <c r="A48" s="772" t="s">
        <v>350</v>
      </c>
      <c r="B48" s="773"/>
      <c r="C48" s="774"/>
      <c r="D48" s="774"/>
      <c r="E48" s="774"/>
      <c r="F48" s="774"/>
      <c r="G48" s="774"/>
      <c r="H48" s="774"/>
      <c r="I48" s="775"/>
    </row>
    <row r="49" spans="1:9" ht="14.45" customHeight="1" x14ac:dyDescent="0.25">
      <c r="A49" s="772" t="s">
        <v>351</v>
      </c>
      <c r="B49" s="773"/>
      <c r="C49" s="774"/>
      <c r="D49" s="774"/>
      <c r="E49" s="774"/>
      <c r="F49" s="774"/>
      <c r="G49" s="774"/>
      <c r="H49" s="774"/>
      <c r="I49" s="775"/>
    </row>
    <row r="50" spans="1:9" ht="14.45" customHeight="1" x14ac:dyDescent="0.2">
      <c r="A50" s="785" t="s">
        <v>352</v>
      </c>
      <c r="B50" s="786"/>
      <c r="C50" s="787"/>
      <c r="D50" s="787"/>
      <c r="E50" s="787"/>
      <c r="F50" s="787"/>
      <c r="G50" s="787"/>
      <c r="H50" s="787"/>
      <c r="I50" s="788"/>
    </row>
    <row r="51" spans="1:9" ht="14.45" customHeight="1" x14ac:dyDescent="0.3">
      <c r="A51" s="789"/>
      <c r="B51" s="790"/>
      <c r="C51" s="791"/>
      <c r="D51" s="791"/>
      <c r="E51" s="791"/>
      <c r="F51" s="791"/>
      <c r="G51" s="791"/>
      <c r="H51" s="791"/>
      <c r="I51" s="792"/>
    </row>
    <row r="52" spans="1:9" ht="14.45" customHeight="1" x14ac:dyDescent="0.25">
      <c r="A52" s="739"/>
      <c r="B52" s="740"/>
      <c r="C52" s="741"/>
      <c r="D52" s="741"/>
      <c r="E52" s="741"/>
      <c r="F52" s="741"/>
      <c r="G52" s="741"/>
      <c r="H52" s="741"/>
      <c r="I52" s="742"/>
    </row>
    <row r="53" spans="1:9" ht="18" customHeight="1" x14ac:dyDescent="0.25">
      <c r="A53" s="793"/>
      <c r="B53" s="794"/>
      <c r="C53" s="794"/>
      <c r="D53" s="794"/>
      <c r="E53" s="794"/>
      <c r="F53" s="794"/>
      <c r="G53" s="794"/>
      <c r="H53" s="794"/>
      <c r="I53" s="795"/>
    </row>
    <row r="54" spans="1:9" ht="14.25" thickBot="1" x14ac:dyDescent="0.3">
      <c r="A54" s="796"/>
      <c r="B54" s="797"/>
      <c r="C54" s="797"/>
      <c r="D54" s="797"/>
      <c r="E54" s="797"/>
      <c r="F54" s="797"/>
      <c r="G54" s="797"/>
      <c r="H54" s="797"/>
      <c r="I54" s="798"/>
    </row>
    <row r="55" spans="1:9" ht="15" thickBot="1" x14ac:dyDescent="0.25">
      <c r="A55" s="778"/>
      <c r="B55" s="779"/>
      <c r="C55" s="779"/>
      <c r="D55" s="779"/>
      <c r="E55" s="779"/>
      <c r="F55" s="779"/>
      <c r="G55" s="779"/>
      <c r="H55" s="779"/>
      <c r="I55" s="780"/>
    </row>
    <row r="56" spans="1:9" x14ac:dyDescent="0.2">
      <c r="A56" s="781" t="s">
        <v>0</v>
      </c>
      <c r="B56" s="782"/>
      <c r="C56" s="782"/>
      <c r="D56" s="782"/>
      <c r="E56" s="782"/>
      <c r="F56" s="782"/>
      <c r="G56" s="782"/>
      <c r="H56" s="782"/>
      <c r="I56" s="782"/>
    </row>
    <row r="57" spans="1:9" ht="13.5" x14ac:dyDescent="0.25">
      <c r="A57" s="783"/>
      <c r="B57" s="784"/>
      <c r="C57" s="784"/>
      <c r="D57" s="784"/>
      <c r="E57" s="784"/>
      <c r="F57" s="784"/>
      <c r="G57" s="784"/>
      <c r="H57" s="784"/>
      <c r="I57" s="784"/>
    </row>
    <row r="58" spans="1:9" ht="13.5" x14ac:dyDescent="0.25">
      <c r="A58" s="783"/>
      <c r="B58" s="784"/>
      <c r="C58" s="784"/>
      <c r="D58" s="784"/>
      <c r="E58" s="784"/>
      <c r="F58" s="784"/>
      <c r="G58" s="784"/>
      <c r="H58" s="784"/>
      <c r="I58" s="784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B78A-B65E-4C56-81F3-5F9E53B330C9}">
  <dimension ref="A1:Q92"/>
  <sheetViews>
    <sheetView topLeftCell="A44" workbookViewId="0">
      <selection activeCell="H59" sqref="H59"/>
    </sheetView>
  </sheetViews>
  <sheetFormatPr baseColWidth="10" defaultColWidth="8.42578125" defaultRowHeight="12.75" x14ac:dyDescent="0.2"/>
  <cols>
    <col min="1" max="1" width="10" style="109" bestFit="1" customWidth="1"/>
    <col min="2" max="2" width="44.42578125" style="109" bestFit="1" customWidth="1"/>
    <col min="3" max="3" width="10.42578125" style="109" bestFit="1" customWidth="1"/>
    <col min="4" max="4" width="10.42578125" style="109" customWidth="1"/>
    <col min="5" max="6" width="9.5703125" style="109" bestFit="1" customWidth="1"/>
    <col min="7" max="7" width="9.5703125" style="191" bestFit="1" customWidth="1"/>
    <col min="8" max="8" width="10.42578125" style="182" bestFit="1" customWidth="1"/>
    <col min="9" max="9" width="4.5703125" style="182" customWidth="1"/>
    <col min="10" max="10" width="1.85546875" style="108" customWidth="1"/>
    <col min="11" max="11" width="7" style="109" bestFit="1" customWidth="1"/>
    <col min="12" max="12" width="6.42578125" style="109" customWidth="1"/>
    <col min="13" max="13" width="20.42578125" style="109" customWidth="1"/>
    <col min="14" max="14" width="6.42578125" style="109" bestFit="1" customWidth="1"/>
    <col min="15" max="15" width="9" style="109" bestFit="1" customWidth="1"/>
    <col min="16" max="16" width="8.42578125" style="109"/>
    <col min="17" max="17" width="3.42578125" style="109" customWidth="1"/>
    <col min="18" max="256" width="8.42578125" style="109"/>
    <col min="257" max="257" width="10" style="109" bestFit="1" customWidth="1"/>
    <col min="258" max="258" width="44.42578125" style="109" bestFit="1" customWidth="1"/>
    <col min="259" max="259" width="10.42578125" style="109" bestFit="1" customWidth="1"/>
    <col min="260" max="260" width="10.42578125" style="109" customWidth="1"/>
    <col min="261" max="263" width="9.5703125" style="109" bestFit="1" customWidth="1"/>
    <col min="264" max="264" width="10.42578125" style="109" bestFit="1" customWidth="1"/>
    <col min="265" max="265" width="4.5703125" style="109" customWidth="1"/>
    <col min="266" max="266" width="1.85546875" style="109" customWidth="1"/>
    <col min="267" max="267" width="7" style="109" bestFit="1" customWidth="1"/>
    <col min="268" max="268" width="6.42578125" style="109" customWidth="1"/>
    <col min="269" max="269" width="20.42578125" style="109" customWidth="1"/>
    <col min="270" max="270" width="6.42578125" style="109" bestFit="1" customWidth="1"/>
    <col min="271" max="272" width="8.42578125" style="109"/>
    <col min="273" max="273" width="3.42578125" style="109" customWidth="1"/>
    <col min="274" max="512" width="8.42578125" style="109"/>
    <col min="513" max="513" width="10" style="109" bestFit="1" customWidth="1"/>
    <col min="514" max="514" width="44.42578125" style="109" bestFit="1" customWidth="1"/>
    <col min="515" max="515" width="10.42578125" style="109" bestFit="1" customWidth="1"/>
    <col min="516" max="516" width="10.42578125" style="109" customWidth="1"/>
    <col min="517" max="519" width="9.5703125" style="109" bestFit="1" customWidth="1"/>
    <col min="520" max="520" width="10.42578125" style="109" bestFit="1" customWidth="1"/>
    <col min="521" max="521" width="4.5703125" style="109" customWidth="1"/>
    <col min="522" max="522" width="1.85546875" style="109" customWidth="1"/>
    <col min="523" max="523" width="7" style="109" bestFit="1" customWidth="1"/>
    <col min="524" max="524" width="6.42578125" style="109" customWidth="1"/>
    <col min="525" max="525" width="20.42578125" style="109" customWidth="1"/>
    <col min="526" max="526" width="6.42578125" style="109" bestFit="1" customWidth="1"/>
    <col min="527" max="528" width="8.42578125" style="109"/>
    <col min="529" max="529" width="3.42578125" style="109" customWidth="1"/>
    <col min="530" max="768" width="8.42578125" style="109"/>
    <col min="769" max="769" width="10" style="109" bestFit="1" customWidth="1"/>
    <col min="770" max="770" width="44.42578125" style="109" bestFit="1" customWidth="1"/>
    <col min="771" max="771" width="10.42578125" style="109" bestFit="1" customWidth="1"/>
    <col min="772" max="772" width="10.42578125" style="109" customWidth="1"/>
    <col min="773" max="775" width="9.5703125" style="109" bestFit="1" customWidth="1"/>
    <col min="776" max="776" width="10.42578125" style="109" bestFit="1" customWidth="1"/>
    <col min="777" max="777" width="4.5703125" style="109" customWidth="1"/>
    <col min="778" max="778" width="1.85546875" style="109" customWidth="1"/>
    <col min="779" max="779" width="7" style="109" bestFit="1" customWidth="1"/>
    <col min="780" max="780" width="6.42578125" style="109" customWidth="1"/>
    <col min="781" max="781" width="20.42578125" style="109" customWidth="1"/>
    <col min="782" max="782" width="6.42578125" style="109" bestFit="1" customWidth="1"/>
    <col min="783" max="784" width="8.42578125" style="109"/>
    <col min="785" max="785" width="3.42578125" style="109" customWidth="1"/>
    <col min="786" max="1024" width="8.42578125" style="109"/>
    <col min="1025" max="1025" width="10" style="109" bestFit="1" customWidth="1"/>
    <col min="1026" max="1026" width="44.42578125" style="109" bestFit="1" customWidth="1"/>
    <col min="1027" max="1027" width="10.42578125" style="109" bestFit="1" customWidth="1"/>
    <col min="1028" max="1028" width="10.42578125" style="109" customWidth="1"/>
    <col min="1029" max="1031" width="9.5703125" style="109" bestFit="1" customWidth="1"/>
    <col min="1032" max="1032" width="10.42578125" style="109" bestFit="1" customWidth="1"/>
    <col min="1033" max="1033" width="4.5703125" style="109" customWidth="1"/>
    <col min="1034" max="1034" width="1.85546875" style="109" customWidth="1"/>
    <col min="1035" max="1035" width="7" style="109" bestFit="1" customWidth="1"/>
    <col min="1036" max="1036" width="6.42578125" style="109" customWidth="1"/>
    <col min="1037" max="1037" width="20.42578125" style="109" customWidth="1"/>
    <col min="1038" max="1038" width="6.42578125" style="109" bestFit="1" customWidth="1"/>
    <col min="1039" max="1040" width="8.42578125" style="109"/>
    <col min="1041" max="1041" width="3.42578125" style="109" customWidth="1"/>
    <col min="1042" max="1280" width="8.42578125" style="109"/>
    <col min="1281" max="1281" width="10" style="109" bestFit="1" customWidth="1"/>
    <col min="1282" max="1282" width="44.42578125" style="109" bestFit="1" customWidth="1"/>
    <col min="1283" max="1283" width="10.42578125" style="109" bestFit="1" customWidth="1"/>
    <col min="1284" max="1284" width="10.42578125" style="109" customWidth="1"/>
    <col min="1285" max="1287" width="9.5703125" style="109" bestFit="1" customWidth="1"/>
    <col min="1288" max="1288" width="10.42578125" style="109" bestFit="1" customWidth="1"/>
    <col min="1289" max="1289" width="4.5703125" style="109" customWidth="1"/>
    <col min="1290" max="1290" width="1.85546875" style="109" customWidth="1"/>
    <col min="1291" max="1291" width="7" style="109" bestFit="1" customWidth="1"/>
    <col min="1292" max="1292" width="6.42578125" style="109" customWidth="1"/>
    <col min="1293" max="1293" width="20.42578125" style="109" customWidth="1"/>
    <col min="1294" max="1294" width="6.42578125" style="109" bestFit="1" customWidth="1"/>
    <col min="1295" max="1296" width="8.42578125" style="109"/>
    <col min="1297" max="1297" width="3.42578125" style="109" customWidth="1"/>
    <col min="1298" max="1536" width="8.42578125" style="109"/>
    <col min="1537" max="1537" width="10" style="109" bestFit="1" customWidth="1"/>
    <col min="1538" max="1538" width="44.42578125" style="109" bestFit="1" customWidth="1"/>
    <col min="1539" max="1539" width="10.42578125" style="109" bestFit="1" customWidth="1"/>
    <col min="1540" max="1540" width="10.42578125" style="109" customWidth="1"/>
    <col min="1541" max="1543" width="9.5703125" style="109" bestFit="1" customWidth="1"/>
    <col min="1544" max="1544" width="10.42578125" style="109" bestFit="1" customWidth="1"/>
    <col min="1545" max="1545" width="4.5703125" style="109" customWidth="1"/>
    <col min="1546" max="1546" width="1.85546875" style="109" customWidth="1"/>
    <col min="1547" max="1547" width="7" style="109" bestFit="1" customWidth="1"/>
    <col min="1548" max="1548" width="6.42578125" style="109" customWidth="1"/>
    <col min="1549" max="1549" width="20.42578125" style="109" customWidth="1"/>
    <col min="1550" max="1550" width="6.42578125" style="109" bestFit="1" customWidth="1"/>
    <col min="1551" max="1552" width="8.42578125" style="109"/>
    <col min="1553" max="1553" width="3.42578125" style="109" customWidth="1"/>
    <col min="1554" max="1792" width="8.42578125" style="109"/>
    <col min="1793" max="1793" width="10" style="109" bestFit="1" customWidth="1"/>
    <col min="1794" max="1794" width="44.42578125" style="109" bestFit="1" customWidth="1"/>
    <col min="1795" max="1795" width="10.42578125" style="109" bestFit="1" customWidth="1"/>
    <col min="1796" max="1796" width="10.42578125" style="109" customWidth="1"/>
    <col min="1797" max="1799" width="9.5703125" style="109" bestFit="1" customWidth="1"/>
    <col min="1800" max="1800" width="10.42578125" style="109" bestFit="1" customWidth="1"/>
    <col min="1801" max="1801" width="4.5703125" style="109" customWidth="1"/>
    <col min="1802" max="1802" width="1.85546875" style="109" customWidth="1"/>
    <col min="1803" max="1803" width="7" style="109" bestFit="1" customWidth="1"/>
    <col min="1804" max="1804" width="6.42578125" style="109" customWidth="1"/>
    <col min="1805" max="1805" width="20.42578125" style="109" customWidth="1"/>
    <col min="1806" max="1806" width="6.42578125" style="109" bestFit="1" customWidth="1"/>
    <col min="1807" max="1808" width="8.42578125" style="109"/>
    <col min="1809" max="1809" width="3.42578125" style="109" customWidth="1"/>
    <col min="1810" max="2048" width="8.42578125" style="109"/>
    <col min="2049" max="2049" width="10" style="109" bestFit="1" customWidth="1"/>
    <col min="2050" max="2050" width="44.42578125" style="109" bestFit="1" customWidth="1"/>
    <col min="2051" max="2051" width="10.42578125" style="109" bestFit="1" customWidth="1"/>
    <col min="2052" max="2052" width="10.42578125" style="109" customWidth="1"/>
    <col min="2053" max="2055" width="9.5703125" style="109" bestFit="1" customWidth="1"/>
    <col min="2056" max="2056" width="10.42578125" style="109" bestFit="1" customWidth="1"/>
    <col min="2057" max="2057" width="4.5703125" style="109" customWidth="1"/>
    <col min="2058" max="2058" width="1.85546875" style="109" customWidth="1"/>
    <col min="2059" max="2059" width="7" style="109" bestFit="1" customWidth="1"/>
    <col min="2060" max="2060" width="6.42578125" style="109" customWidth="1"/>
    <col min="2061" max="2061" width="20.42578125" style="109" customWidth="1"/>
    <col min="2062" max="2062" width="6.42578125" style="109" bestFit="1" customWidth="1"/>
    <col min="2063" max="2064" width="8.42578125" style="109"/>
    <col min="2065" max="2065" width="3.42578125" style="109" customWidth="1"/>
    <col min="2066" max="2304" width="8.42578125" style="109"/>
    <col min="2305" max="2305" width="10" style="109" bestFit="1" customWidth="1"/>
    <col min="2306" max="2306" width="44.42578125" style="109" bestFit="1" customWidth="1"/>
    <col min="2307" max="2307" width="10.42578125" style="109" bestFit="1" customWidth="1"/>
    <col min="2308" max="2308" width="10.42578125" style="109" customWidth="1"/>
    <col min="2309" max="2311" width="9.5703125" style="109" bestFit="1" customWidth="1"/>
    <col min="2312" max="2312" width="10.42578125" style="109" bestFit="1" customWidth="1"/>
    <col min="2313" max="2313" width="4.5703125" style="109" customWidth="1"/>
    <col min="2314" max="2314" width="1.85546875" style="109" customWidth="1"/>
    <col min="2315" max="2315" width="7" style="109" bestFit="1" customWidth="1"/>
    <col min="2316" max="2316" width="6.42578125" style="109" customWidth="1"/>
    <col min="2317" max="2317" width="20.42578125" style="109" customWidth="1"/>
    <col min="2318" max="2318" width="6.42578125" style="109" bestFit="1" customWidth="1"/>
    <col min="2319" max="2320" width="8.42578125" style="109"/>
    <col min="2321" max="2321" width="3.42578125" style="109" customWidth="1"/>
    <col min="2322" max="2560" width="8.42578125" style="109"/>
    <col min="2561" max="2561" width="10" style="109" bestFit="1" customWidth="1"/>
    <col min="2562" max="2562" width="44.42578125" style="109" bestFit="1" customWidth="1"/>
    <col min="2563" max="2563" width="10.42578125" style="109" bestFit="1" customWidth="1"/>
    <col min="2564" max="2564" width="10.42578125" style="109" customWidth="1"/>
    <col min="2565" max="2567" width="9.5703125" style="109" bestFit="1" customWidth="1"/>
    <col min="2568" max="2568" width="10.42578125" style="109" bestFit="1" customWidth="1"/>
    <col min="2569" max="2569" width="4.5703125" style="109" customWidth="1"/>
    <col min="2570" max="2570" width="1.85546875" style="109" customWidth="1"/>
    <col min="2571" max="2571" width="7" style="109" bestFit="1" customWidth="1"/>
    <col min="2572" max="2572" width="6.42578125" style="109" customWidth="1"/>
    <col min="2573" max="2573" width="20.42578125" style="109" customWidth="1"/>
    <col min="2574" max="2574" width="6.42578125" style="109" bestFit="1" customWidth="1"/>
    <col min="2575" max="2576" width="8.42578125" style="109"/>
    <col min="2577" max="2577" width="3.42578125" style="109" customWidth="1"/>
    <col min="2578" max="2816" width="8.42578125" style="109"/>
    <col min="2817" max="2817" width="10" style="109" bestFit="1" customWidth="1"/>
    <col min="2818" max="2818" width="44.42578125" style="109" bestFit="1" customWidth="1"/>
    <col min="2819" max="2819" width="10.42578125" style="109" bestFit="1" customWidth="1"/>
    <col min="2820" max="2820" width="10.42578125" style="109" customWidth="1"/>
    <col min="2821" max="2823" width="9.5703125" style="109" bestFit="1" customWidth="1"/>
    <col min="2824" max="2824" width="10.42578125" style="109" bestFit="1" customWidth="1"/>
    <col min="2825" max="2825" width="4.5703125" style="109" customWidth="1"/>
    <col min="2826" max="2826" width="1.85546875" style="109" customWidth="1"/>
    <col min="2827" max="2827" width="7" style="109" bestFit="1" customWidth="1"/>
    <col min="2828" max="2828" width="6.42578125" style="109" customWidth="1"/>
    <col min="2829" max="2829" width="20.42578125" style="109" customWidth="1"/>
    <col min="2830" max="2830" width="6.42578125" style="109" bestFit="1" customWidth="1"/>
    <col min="2831" max="2832" width="8.42578125" style="109"/>
    <col min="2833" max="2833" width="3.42578125" style="109" customWidth="1"/>
    <col min="2834" max="3072" width="8.42578125" style="109"/>
    <col min="3073" max="3073" width="10" style="109" bestFit="1" customWidth="1"/>
    <col min="3074" max="3074" width="44.42578125" style="109" bestFit="1" customWidth="1"/>
    <col min="3075" max="3075" width="10.42578125" style="109" bestFit="1" customWidth="1"/>
    <col min="3076" max="3076" width="10.42578125" style="109" customWidth="1"/>
    <col min="3077" max="3079" width="9.5703125" style="109" bestFit="1" customWidth="1"/>
    <col min="3080" max="3080" width="10.42578125" style="109" bestFit="1" customWidth="1"/>
    <col min="3081" max="3081" width="4.5703125" style="109" customWidth="1"/>
    <col min="3082" max="3082" width="1.85546875" style="109" customWidth="1"/>
    <col min="3083" max="3083" width="7" style="109" bestFit="1" customWidth="1"/>
    <col min="3084" max="3084" width="6.42578125" style="109" customWidth="1"/>
    <col min="3085" max="3085" width="20.42578125" style="109" customWidth="1"/>
    <col min="3086" max="3086" width="6.42578125" style="109" bestFit="1" customWidth="1"/>
    <col min="3087" max="3088" width="8.42578125" style="109"/>
    <col min="3089" max="3089" width="3.42578125" style="109" customWidth="1"/>
    <col min="3090" max="3328" width="8.42578125" style="109"/>
    <col min="3329" max="3329" width="10" style="109" bestFit="1" customWidth="1"/>
    <col min="3330" max="3330" width="44.42578125" style="109" bestFit="1" customWidth="1"/>
    <col min="3331" max="3331" width="10.42578125" style="109" bestFit="1" customWidth="1"/>
    <col min="3332" max="3332" width="10.42578125" style="109" customWidth="1"/>
    <col min="3333" max="3335" width="9.5703125" style="109" bestFit="1" customWidth="1"/>
    <col min="3336" max="3336" width="10.42578125" style="109" bestFit="1" customWidth="1"/>
    <col min="3337" max="3337" width="4.5703125" style="109" customWidth="1"/>
    <col min="3338" max="3338" width="1.85546875" style="109" customWidth="1"/>
    <col min="3339" max="3339" width="7" style="109" bestFit="1" customWidth="1"/>
    <col min="3340" max="3340" width="6.42578125" style="109" customWidth="1"/>
    <col min="3341" max="3341" width="20.42578125" style="109" customWidth="1"/>
    <col min="3342" max="3342" width="6.42578125" style="109" bestFit="1" customWidth="1"/>
    <col min="3343" max="3344" width="8.42578125" style="109"/>
    <col min="3345" max="3345" width="3.42578125" style="109" customWidth="1"/>
    <col min="3346" max="3584" width="8.42578125" style="109"/>
    <col min="3585" max="3585" width="10" style="109" bestFit="1" customWidth="1"/>
    <col min="3586" max="3586" width="44.42578125" style="109" bestFit="1" customWidth="1"/>
    <col min="3587" max="3587" width="10.42578125" style="109" bestFit="1" customWidth="1"/>
    <col min="3588" max="3588" width="10.42578125" style="109" customWidth="1"/>
    <col min="3589" max="3591" width="9.5703125" style="109" bestFit="1" customWidth="1"/>
    <col min="3592" max="3592" width="10.42578125" style="109" bestFit="1" customWidth="1"/>
    <col min="3593" max="3593" width="4.5703125" style="109" customWidth="1"/>
    <col min="3594" max="3594" width="1.85546875" style="109" customWidth="1"/>
    <col min="3595" max="3595" width="7" style="109" bestFit="1" customWidth="1"/>
    <col min="3596" max="3596" width="6.42578125" style="109" customWidth="1"/>
    <col min="3597" max="3597" width="20.42578125" style="109" customWidth="1"/>
    <col min="3598" max="3598" width="6.42578125" style="109" bestFit="1" customWidth="1"/>
    <col min="3599" max="3600" width="8.42578125" style="109"/>
    <col min="3601" max="3601" width="3.42578125" style="109" customWidth="1"/>
    <col min="3602" max="3840" width="8.42578125" style="109"/>
    <col min="3841" max="3841" width="10" style="109" bestFit="1" customWidth="1"/>
    <col min="3842" max="3842" width="44.42578125" style="109" bestFit="1" customWidth="1"/>
    <col min="3843" max="3843" width="10.42578125" style="109" bestFit="1" customWidth="1"/>
    <col min="3844" max="3844" width="10.42578125" style="109" customWidth="1"/>
    <col min="3845" max="3847" width="9.5703125" style="109" bestFit="1" customWidth="1"/>
    <col min="3848" max="3848" width="10.42578125" style="109" bestFit="1" customWidth="1"/>
    <col min="3849" max="3849" width="4.5703125" style="109" customWidth="1"/>
    <col min="3850" max="3850" width="1.85546875" style="109" customWidth="1"/>
    <col min="3851" max="3851" width="7" style="109" bestFit="1" customWidth="1"/>
    <col min="3852" max="3852" width="6.42578125" style="109" customWidth="1"/>
    <col min="3853" max="3853" width="20.42578125" style="109" customWidth="1"/>
    <col min="3854" max="3854" width="6.42578125" style="109" bestFit="1" customWidth="1"/>
    <col min="3855" max="3856" width="8.42578125" style="109"/>
    <col min="3857" max="3857" width="3.42578125" style="109" customWidth="1"/>
    <col min="3858" max="4096" width="8.42578125" style="109"/>
    <col min="4097" max="4097" width="10" style="109" bestFit="1" customWidth="1"/>
    <col min="4098" max="4098" width="44.42578125" style="109" bestFit="1" customWidth="1"/>
    <col min="4099" max="4099" width="10.42578125" style="109" bestFit="1" customWidth="1"/>
    <col min="4100" max="4100" width="10.42578125" style="109" customWidth="1"/>
    <col min="4101" max="4103" width="9.5703125" style="109" bestFit="1" customWidth="1"/>
    <col min="4104" max="4104" width="10.42578125" style="109" bestFit="1" customWidth="1"/>
    <col min="4105" max="4105" width="4.5703125" style="109" customWidth="1"/>
    <col min="4106" max="4106" width="1.85546875" style="109" customWidth="1"/>
    <col min="4107" max="4107" width="7" style="109" bestFit="1" customWidth="1"/>
    <col min="4108" max="4108" width="6.42578125" style="109" customWidth="1"/>
    <col min="4109" max="4109" width="20.42578125" style="109" customWidth="1"/>
    <col min="4110" max="4110" width="6.42578125" style="109" bestFit="1" customWidth="1"/>
    <col min="4111" max="4112" width="8.42578125" style="109"/>
    <col min="4113" max="4113" width="3.42578125" style="109" customWidth="1"/>
    <col min="4114" max="4352" width="8.42578125" style="109"/>
    <col min="4353" max="4353" width="10" style="109" bestFit="1" customWidth="1"/>
    <col min="4354" max="4354" width="44.42578125" style="109" bestFit="1" customWidth="1"/>
    <col min="4355" max="4355" width="10.42578125" style="109" bestFit="1" customWidth="1"/>
    <col min="4356" max="4356" width="10.42578125" style="109" customWidth="1"/>
    <col min="4357" max="4359" width="9.5703125" style="109" bestFit="1" customWidth="1"/>
    <col min="4360" max="4360" width="10.42578125" style="109" bestFit="1" customWidth="1"/>
    <col min="4361" max="4361" width="4.5703125" style="109" customWidth="1"/>
    <col min="4362" max="4362" width="1.85546875" style="109" customWidth="1"/>
    <col min="4363" max="4363" width="7" style="109" bestFit="1" customWidth="1"/>
    <col min="4364" max="4364" width="6.42578125" style="109" customWidth="1"/>
    <col min="4365" max="4365" width="20.42578125" style="109" customWidth="1"/>
    <col min="4366" max="4366" width="6.42578125" style="109" bestFit="1" customWidth="1"/>
    <col min="4367" max="4368" width="8.42578125" style="109"/>
    <col min="4369" max="4369" width="3.42578125" style="109" customWidth="1"/>
    <col min="4370" max="4608" width="8.42578125" style="109"/>
    <col min="4609" max="4609" width="10" style="109" bestFit="1" customWidth="1"/>
    <col min="4610" max="4610" width="44.42578125" style="109" bestFit="1" customWidth="1"/>
    <col min="4611" max="4611" width="10.42578125" style="109" bestFit="1" customWidth="1"/>
    <col min="4612" max="4612" width="10.42578125" style="109" customWidth="1"/>
    <col min="4613" max="4615" width="9.5703125" style="109" bestFit="1" customWidth="1"/>
    <col min="4616" max="4616" width="10.42578125" style="109" bestFit="1" customWidth="1"/>
    <col min="4617" max="4617" width="4.5703125" style="109" customWidth="1"/>
    <col min="4618" max="4618" width="1.85546875" style="109" customWidth="1"/>
    <col min="4619" max="4619" width="7" style="109" bestFit="1" customWidth="1"/>
    <col min="4620" max="4620" width="6.42578125" style="109" customWidth="1"/>
    <col min="4621" max="4621" width="20.42578125" style="109" customWidth="1"/>
    <col min="4622" max="4622" width="6.42578125" style="109" bestFit="1" customWidth="1"/>
    <col min="4623" max="4624" width="8.42578125" style="109"/>
    <col min="4625" max="4625" width="3.42578125" style="109" customWidth="1"/>
    <col min="4626" max="4864" width="8.42578125" style="109"/>
    <col min="4865" max="4865" width="10" style="109" bestFit="1" customWidth="1"/>
    <col min="4866" max="4866" width="44.42578125" style="109" bestFit="1" customWidth="1"/>
    <col min="4867" max="4867" width="10.42578125" style="109" bestFit="1" customWidth="1"/>
    <col min="4868" max="4868" width="10.42578125" style="109" customWidth="1"/>
    <col min="4869" max="4871" width="9.5703125" style="109" bestFit="1" customWidth="1"/>
    <col min="4872" max="4872" width="10.42578125" style="109" bestFit="1" customWidth="1"/>
    <col min="4873" max="4873" width="4.5703125" style="109" customWidth="1"/>
    <col min="4874" max="4874" width="1.85546875" style="109" customWidth="1"/>
    <col min="4875" max="4875" width="7" style="109" bestFit="1" customWidth="1"/>
    <col min="4876" max="4876" width="6.42578125" style="109" customWidth="1"/>
    <col min="4877" max="4877" width="20.42578125" style="109" customWidth="1"/>
    <col min="4878" max="4878" width="6.42578125" style="109" bestFit="1" customWidth="1"/>
    <col min="4879" max="4880" width="8.42578125" style="109"/>
    <col min="4881" max="4881" width="3.42578125" style="109" customWidth="1"/>
    <col min="4882" max="5120" width="8.42578125" style="109"/>
    <col min="5121" max="5121" width="10" style="109" bestFit="1" customWidth="1"/>
    <col min="5122" max="5122" width="44.42578125" style="109" bestFit="1" customWidth="1"/>
    <col min="5123" max="5123" width="10.42578125" style="109" bestFit="1" customWidth="1"/>
    <col min="5124" max="5124" width="10.42578125" style="109" customWidth="1"/>
    <col min="5125" max="5127" width="9.5703125" style="109" bestFit="1" customWidth="1"/>
    <col min="5128" max="5128" width="10.42578125" style="109" bestFit="1" customWidth="1"/>
    <col min="5129" max="5129" width="4.5703125" style="109" customWidth="1"/>
    <col min="5130" max="5130" width="1.85546875" style="109" customWidth="1"/>
    <col min="5131" max="5131" width="7" style="109" bestFit="1" customWidth="1"/>
    <col min="5132" max="5132" width="6.42578125" style="109" customWidth="1"/>
    <col min="5133" max="5133" width="20.42578125" style="109" customWidth="1"/>
    <col min="5134" max="5134" width="6.42578125" style="109" bestFit="1" customWidth="1"/>
    <col min="5135" max="5136" width="8.42578125" style="109"/>
    <col min="5137" max="5137" width="3.42578125" style="109" customWidth="1"/>
    <col min="5138" max="5376" width="8.42578125" style="109"/>
    <col min="5377" max="5377" width="10" style="109" bestFit="1" customWidth="1"/>
    <col min="5378" max="5378" width="44.42578125" style="109" bestFit="1" customWidth="1"/>
    <col min="5379" max="5379" width="10.42578125" style="109" bestFit="1" customWidth="1"/>
    <col min="5380" max="5380" width="10.42578125" style="109" customWidth="1"/>
    <col min="5381" max="5383" width="9.5703125" style="109" bestFit="1" customWidth="1"/>
    <col min="5384" max="5384" width="10.42578125" style="109" bestFit="1" customWidth="1"/>
    <col min="5385" max="5385" width="4.5703125" style="109" customWidth="1"/>
    <col min="5386" max="5386" width="1.85546875" style="109" customWidth="1"/>
    <col min="5387" max="5387" width="7" style="109" bestFit="1" customWidth="1"/>
    <col min="5388" max="5388" width="6.42578125" style="109" customWidth="1"/>
    <col min="5389" max="5389" width="20.42578125" style="109" customWidth="1"/>
    <col min="5390" max="5390" width="6.42578125" style="109" bestFit="1" customWidth="1"/>
    <col min="5391" max="5392" width="8.42578125" style="109"/>
    <col min="5393" max="5393" width="3.42578125" style="109" customWidth="1"/>
    <col min="5394" max="5632" width="8.42578125" style="109"/>
    <col min="5633" max="5633" width="10" style="109" bestFit="1" customWidth="1"/>
    <col min="5634" max="5634" width="44.42578125" style="109" bestFit="1" customWidth="1"/>
    <col min="5635" max="5635" width="10.42578125" style="109" bestFit="1" customWidth="1"/>
    <col min="5636" max="5636" width="10.42578125" style="109" customWidth="1"/>
    <col min="5637" max="5639" width="9.5703125" style="109" bestFit="1" customWidth="1"/>
    <col min="5640" max="5640" width="10.42578125" style="109" bestFit="1" customWidth="1"/>
    <col min="5641" max="5641" width="4.5703125" style="109" customWidth="1"/>
    <col min="5642" max="5642" width="1.85546875" style="109" customWidth="1"/>
    <col min="5643" max="5643" width="7" style="109" bestFit="1" customWidth="1"/>
    <col min="5644" max="5644" width="6.42578125" style="109" customWidth="1"/>
    <col min="5645" max="5645" width="20.42578125" style="109" customWidth="1"/>
    <col min="5646" max="5646" width="6.42578125" style="109" bestFit="1" customWidth="1"/>
    <col min="5647" max="5648" width="8.42578125" style="109"/>
    <col min="5649" max="5649" width="3.42578125" style="109" customWidth="1"/>
    <col min="5650" max="5888" width="8.42578125" style="109"/>
    <col min="5889" max="5889" width="10" style="109" bestFit="1" customWidth="1"/>
    <col min="5890" max="5890" width="44.42578125" style="109" bestFit="1" customWidth="1"/>
    <col min="5891" max="5891" width="10.42578125" style="109" bestFit="1" customWidth="1"/>
    <col min="5892" max="5892" width="10.42578125" style="109" customWidth="1"/>
    <col min="5893" max="5895" width="9.5703125" style="109" bestFit="1" customWidth="1"/>
    <col min="5896" max="5896" width="10.42578125" style="109" bestFit="1" customWidth="1"/>
    <col min="5897" max="5897" width="4.5703125" style="109" customWidth="1"/>
    <col min="5898" max="5898" width="1.85546875" style="109" customWidth="1"/>
    <col min="5899" max="5899" width="7" style="109" bestFit="1" customWidth="1"/>
    <col min="5900" max="5900" width="6.42578125" style="109" customWidth="1"/>
    <col min="5901" max="5901" width="20.42578125" style="109" customWidth="1"/>
    <col min="5902" max="5902" width="6.42578125" style="109" bestFit="1" customWidth="1"/>
    <col min="5903" max="5904" width="8.42578125" style="109"/>
    <col min="5905" max="5905" width="3.42578125" style="109" customWidth="1"/>
    <col min="5906" max="6144" width="8.42578125" style="109"/>
    <col min="6145" max="6145" width="10" style="109" bestFit="1" customWidth="1"/>
    <col min="6146" max="6146" width="44.42578125" style="109" bestFit="1" customWidth="1"/>
    <col min="6147" max="6147" width="10.42578125" style="109" bestFit="1" customWidth="1"/>
    <col min="6148" max="6148" width="10.42578125" style="109" customWidth="1"/>
    <col min="6149" max="6151" width="9.5703125" style="109" bestFit="1" customWidth="1"/>
    <col min="6152" max="6152" width="10.42578125" style="109" bestFit="1" customWidth="1"/>
    <col min="6153" max="6153" width="4.5703125" style="109" customWidth="1"/>
    <col min="6154" max="6154" width="1.85546875" style="109" customWidth="1"/>
    <col min="6155" max="6155" width="7" style="109" bestFit="1" customWidth="1"/>
    <col min="6156" max="6156" width="6.42578125" style="109" customWidth="1"/>
    <col min="6157" max="6157" width="20.42578125" style="109" customWidth="1"/>
    <col min="6158" max="6158" width="6.42578125" style="109" bestFit="1" customWidth="1"/>
    <col min="6159" max="6160" width="8.42578125" style="109"/>
    <col min="6161" max="6161" width="3.42578125" style="109" customWidth="1"/>
    <col min="6162" max="6400" width="8.42578125" style="109"/>
    <col min="6401" max="6401" width="10" style="109" bestFit="1" customWidth="1"/>
    <col min="6402" max="6402" width="44.42578125" style="109" bestFit="1" customWidth="1"/>
    <col min="6403" max="6403" width="10.42578125" style="109" bestFit="1" customWidth="1"/>
    <col min="6404" max="6404" width="10.42578125" style="109" customWidth="1"/>
    <col min="6405" max="6407" width="9.5703125" style="109" bestFit="1" customWidth="1"/>
    <col min="6408" max="6408" width="10.42578125" style="109" bestFit="1" customWidth="1"/>
    <col min="6409" max="6409" width="4.5703125" style="109" customWidth="1"/>
    <col min="6410" max="6410" width="1.85546875" style="109" customWidth="1"/>
    <col min="6411" max="6411" width="7" style="109" bestFit="1" customWidth="1"/>
    <col min="6412" max="6412" width="6.42578125" style="109" customWidth="1"/>
    <col min="6413" max="6413" width="20.42578125" style="109" customWidth="1"/>
    <col min="6414" max="6414" width="6.42578125" style="109" bestFit="1" customWidth="1"/>
    <col min="6415" max="6416" width="8.42578125" style="109"/>
    <col min="6417" max="6417" width="3.42578125" style="109" customWidth="1"/>
    <col min="6418" max="6656" width="8.42578125" style="109"/>
    <col min="6657" max="6657" width="10" style="109" bestFit="1" customWidth="1"/>
    <col min="6658" max="6658" width="44.42578125" style="109" bestFit="1" customWidth="1"/>
    <col min="6659" max="6659" width="10.42578125" style="109" bestFit="1" customWidth="1"/>
    <col min="6660" max="6660" width="10.42578125" style="109" customWidth="1"/>
    <col min="6661" max="6663" width="9.5703125" style="109" bestFit="1" customWidth="1"/>
    <col min="6664" max="6664" width="10.42578125" style="109" bestFit="1" customWidth="1"/>
    <col min="6665" max="6665" width="4.5703125" style="109" customWidth="1"/>
    <col min="6666" max="6666" width="1.85546875" style="109" customWidth="1"/>
    <col min="6667" max="6667" width="7" style="109" bestFit="1" customWidth="1"/>
    <col min="6668" max="6668" width="6.42578125" style="109" customWidth="1"/>
    <col min="6669" max="6669" width="20.42578125" style="109" customWidth="1"/>
    <col min="6670" max="6670" width="6.42578125" style="109" bestFit="1" customWidth="1"/>
    <col min="6671" max="6672" width="8.42578125" style="109"/>
    <col min="6673" max="6673" width="3.42578125" style="109" customWidth="1"/>
    <col min="6674" max="6912" width="8.42578125" style="109"/>
    <col min="6913" max="6913" width="10" style="109" bestFit="1" customWidth="1"/>
    <col min="6914" max="6914" width="44.42578125" style="109" bestFit="1" customWidth="1"/>
    <col min="6915" max="6915" width="10.42578125" style="109" bestFit="1" customWidth="1"/>
    <col min="6916" max="6916" width="10.42578125" style="109" customWidth="1"/>
    <col min="6917" max="6919" width="9.5703125" style="109" bestFit="1" customWidth="1"/>
    <col min="6920" max="6920" width="10.42578125" style="109" bestFit="1" customWidth="1"/>
    <col min="6921" max="6921" width="4.5703125" style="109" customWidth="1"/>
    <col min="6922" max="6922" width="1.85546875" style="109" customWidth="1"/>
    <col min="6923" max="6923" width="7" style="109" bestFit="1" customWidth="1"/>
    <col min="6924" max="6924" width="6.42578125" style="109" customWidth="1"/>
    <col min="6925" max="6925" width="20.42578125" style="109" customWidth="1"/>
    <col min="6926" max="6926" width="6.42578125" style="109" bestFit="1" customWidth="1"/>
    <col min="6927" max="6928" width="8.42578125" style="109"/>
    <col min="6929" max="6929" width="3.42578125" style="109" customWidth="1"/>
    <col min="6930" max="7168" width="8.42578125" style="109"/>
    <col min="7169" max="7169" width="10" style="109" bestFit="1" customWidth="1"/>
    <col min="7170" max="7170" width="44.42578125" style="109" bestFit="1" customWidth="1"/>
    <col min="7171" max="7171" width="10.42578125" style="109" bestFit="1" customWidth="1"/>
    <col min="7172" max="7172" width="10.42578125" style="109" customWidth="1"/>
    <col min="7173" max="7175" width="9.5703125" style="109" bestFit="1" customWidth="1"/>
    <col min="7176" max="7176" width="10.42578125" style="109" bestFit="1" customWidth="1"/>
    <col min="7177" max="7177" width="4.5703125" style="109" customWidth="1"/>
    <col min="7178" max="7178" width="1.85546875" style="109" customWidth="1"/>
    <col min="7179" max="7179" width="7" style="109" bestFit="1" customWidth="1"/>
    <col min="7180" max="7180" width="6.42578125" style="109" customWidth="1"/>
    <col min="7181" max="7181" width="20.42578125" style="109" customWidth="1"/>
    <col min="7182" max="7182" width="6.42578125" style="109" bestFit="1" customWidth="1"/>
    <col min="7183" max="7184" width="8.42578125" style="109"/>
    <col min="7185" max="7185" width="3.42578125" style="109" customWidth="1"/>
    <col min="7186" max="7424" width="8.42578125" style="109"/>
    <col min="7425" max="7425" width="10" style="109" bestFit="1" customWidth="1"/>
    <col min="7426" max="7426" width="44.42578125" style="109" bestFit="1" customWidth="1"/>
    <col min="7427" max="7427" width="10.42578125" style="109" bestFit="1" customWidth="1"/>
    <col min="7428" max="7428" width="10.42578125" style="109" customWidth="1"/>
    <col min="7429" max="7431" width="9.5703125" style="109" bestFit="1" customWidth="1"/>
    <col min="7432" max="7432" width="10.42578125" style="109" bestFit="1" customWidth="1"/>
    <col min="7433" max="7433" width="4.5703125" style="109" customWidth="1"/>
    <col min="7434" max="7434" width="1.85546875" style="109" customWidth="1"/>
    <col min="7435" max="7435" width="7" style="109" bestFit="1" customWidth="1"/>
    <col min="7436" max="7436" width="6.42578125" style="109" customWidth="1"/>
    <col min="7437" max="7437" width="20.42578125" style="109" customWidth="1"/>
    <col min="7438" max="7438" width="6.42578125" style="109" bestFit="1" customWidth="1"/>
    <col min="7439" max="7440" width="8.42578125" style="109"/>
    <col min="7441" max="7441" width="3.42578125" style="109" customWidth="1"/>
    <col min="7442" max="7680" width="8.42578125" style="109"/>
    <col min="7681" max="7681" width="10" style="109" bestFit="1" customWidth="1"/>
    <col min="7682" max="7682" width="44.42578125" style="109" bestFit="1" customWidth="1"/>
    <col min="7683" max="7683" width="10.42578125" style="109" bestFit="1" customWidth="1"/>
    <col min="7684" max="7684" width="10.42578125" style="109" customWidth="1"/>
    <col min="7685" max="7687" width="9.5703125" style="109" bestFit="1" customWidth="1"/>
    <col min="7688" max="7688" width="10.42578125" style="109" bestFit="1" customWidth="1"/>
    <col min="7689" max="7689" width="4.5703125" style="109" customWidth="1"/>
    <col min="7690" max="7690" width="1.85546875" style="109" customWidth="1"/>
    <col min="7691" max="7691" width="7" style="109" bestFit="1" customWidth="1"/>
    <col min="7692" max="7692" width="6.42578125" style="109" customWidth="1"/>
    <col min="7693" max="7693" width="20.42578125" style="109" customWidth="1"/>
    <col min="7694" max="7694" width="6.42578125" style="109" bestFit="1" customWidth="1"/>
    <col min="7695" max="7696" width="8.42578125" style="109"/>
    <col min="7697" max="7697" width="3.42578125" style="109" customWidth="1"/>
    <col min="7698" max="7936" width="8.42578125" style="109"/>
    <col min="7937" max="7937" width="10" style="109" bestFit="1" customWidth="1"/>
    <col min="7938" max="7938" width="44.42578125" style="109" bestFit="1" customWidth="1"/>
    <col min="7939" max="7939" width="10.42578125" style="109" bestFit="1" customWidth="1"/>
    <col min="7940" max="7940" width="10.42578125" style="109" customWidth="1"/>
    <col min="7941" max="7943" width="9.5703125" style="109" bestFit="1" customWidth="1"/>
    <col min="7944" max="7944" width="10.42578125" style="109" bestFit="1" customWidth="1"/>
    <col min="7945" max="7945" width="4.5703125" style="109" customWidth="1"/>
    <col min="7946" max="7946" width="1.85546875" style="109" customWidth="1"/>
    <col min="7947" max="7947" width="7" style="109" bestFit="1" customWidth="1"/>
    <col min="7948" max="7948" width="6.42578125" style="109" customWidth="1"/>
    <col min="7949" max="7949" width="20.42578125" style="109" customWidth="1"/>
    <col min="7950" max="7950" width="6.42578125" style="109" bestFit="1" customWidth="1"/>
    <col min="7951" max="7952" width="8.42578125" style="109"/>
    <col min="7953" max="7953" width="3.42578125" style="109" customWidth="1"/>
    <col min="7954" max="8192" width="8.42578125" style="109"/>
    <col min="8193" max="8193" width="10" style="109" bestFit="1" customWidth="1"/>
    <col min="8194" max="8194" width="44.42578125" style="109" bestFit="1" customWidth="1"/>
    <col min="8195" max="8195" width="10.42578125" style="109" bestFit="1" customWidth="1"/>
    <col min="8196" max="8196" width="10.42578125" style="109" customWidth="1"/>
    <col min="8197" max="8199" width="9.5703125" style="109" bestFit="1" customWidth="1"/>
    <col min="8200" max="8200" width="10.42578125" style="109" bestFit="1" customWidth="1"/>
    <col min="8201" max="8201" width="4.5703125" style="109" customWidth="1"/>
    <col min="8202" max="8202" width="1.85546875" style="109" customWidth="1"/>
    <col min="8203" max="8203" width="7" style="109" bestFit="1" customWidth="1"/>
    <col min="8204" max="8204" width="6.42578125" style="109" customWidth="1"/>
    <col min="8205" max="8205" width="20.42578125" style="109" customWidth="1"/>
    <col min="8206" max="8206" width="6.42578125" style="109" bestFit="1" customWidth="1"/>
    <col min="8207" max="8208" width="8.42578125" style="109"/>
    <col min="8209" max="8209" width="3.42578125" style="109" customWidth="1"/>
    <col min="8210" max="8448" width="8.42578125" style="109"/>
    <col min="8449" max="8449" width="10" style="109" bestFit="1" customWidth="1"/>
    <col min="8450" max="8450" width="44.42578125" style="109" bestFit="1" customWidth="1"/>
    <col min="8451" max="8451" width="10.42578125" style="109" bestFit="1" customWidth="1"/>
    <col min="8452" max="8452" width="10.42578125" style="109" customWidth="1"/>
    <col min="8453" max="8455" width="9.5703125" style="109" bestFit="1" customWidth="1"/>
    <col min="8456" max="8456" width="10.42578125" style="109" bestFit="1" customWidth="1"/>
    <col min="8457" max="8457" width="4.5703125" style="109" customWidth="1"/>
    <col min="8458" max="8458" width="1.85546875" style="109" customWidth="1"/>
    <col min="8459" max="8459" width="7" style="109" bestFit="1" customWidth="1"/>
    <col min="8460" max="8460" width="6.42578125" style="109" customWidth="1"/>
    <col min="8461" max="8461" width="20.42578125" style="109" customWidth="1"/>
    <col min="8462" max="8462" width="6.42578125" style="109" bestFit="1" customWidth="1"/>
    <col min="8463" max="8464" width="8.42578125" style="109"/>
    <col min="8465" max="8465" width="3.42578125" style="109" customWidth="1"/>
    <col min="8466" max="8704" width="8.42578125" style="109"/>
    <col min="8705" max="8705" width="10" style="109" bestFit="1" customWidth="1"/>
    <col min="8706" max="8706" width="44.42578125" style="109" bestFit="1" customWidth="1"/>
    <col min="8707" max="8707" width="10.42578125" style="109" bestFit="1" customWidth="1"/>
    <col min="8708" max="8708" width="10.42578125" style="109" customWidth="1"/>
    <col min="8709" max="8711" width="9.5703125" style="109" bestFit="1" customWidth="1"/>
    <col min="8712" max="8712" width="10.42578125" style="109" bestFit="1" customWidth="1"/>
    <col min="8713" max="8713" width="4.5703125" style="109" customWidth="1"/>
    <col min="8714" max="8714" width="1.85546875" style="109" customWidth="1"/>
    <col min="8715" max="8715" width="7" style="109" bestFit="1" customWidth="1"/>
    <col min="8716" max="8716" width="6.42578125" style="109" customWidth="1"/>
    <col min="8717" max="8717" width="20.42578125" style="109" customWidth="1"/>
    <col min="8718" max="8718" width="6.42578125" style="109" bestFit="1" customWidth="1"/>
    <col min="8719" max="8720" width="8.42578125" style="109"/>
    <col min="8721" max="8721" width="3.42578125" style="109" customWidth="1"/>
    <col min="8722" max="8960" width="8.42578125" style="109"/>
    <col min="8961" max="8961" width="10" style="109" bestFit="1" customWidth="1"/>
    <col min="8962" max="8962" width="44.42578125" style="109" bestFit="1" customWidth="1"/>
    <col min="8963" max="8963" width="10.42578125" style="109" bestFit="1" customWidth="1"/>
    <col min="8964" max="8964" width="10.42578125" style="109" customWidth="1"/>
    <col min="8965" max="8967" width="9.5703125" style="109" bestFit="1" customWidth="1"/>
    <col min="8968" max="8968" width="10.42578125" style="109" bestFit="1" customWidth="1"/>
    <col min="8969" max="8969" width="4.5703125" style="109" customWidth="1"/>
    <col min="8970" max="8970" width="1.85546875" style="109" customWidth="1"/>
    <col min="8971" max="8971" width="7" style="109" bestFit="1" customWidth="1"/>
    <col min="8972" max="8972" width="6.42578125" style="109" customWidth="1"/>
    <col min="8973" max="8973" width="20.42578125" style="109" customWidth="1"/>
    <col min="8974" max="8974" width="6.42578125" style="109" bestFit="1" customWidth="1"/>
    <col min="8975" max="8976" width="8.42578125" style="109"/>
    <col min="8977" max="8977" width="3.42578125" style="109" customWidth="1"/>
    <col min="8978" max="9216" width="8.42578125" style="109"/>
    <col min="9217" max="9217" width="10" style="109" bestFit="1" customWidth="1"/>
    <col min="9218" max="9218" width="44.42578125" style="109" bestFit="1" customWidth="1"/>
    <col min="9219" max="9219" width="10.42578125" style="109" bestFit="1" customWidth="1"/>
    <col min="9220" max="9220" width="10.42578125" style="109" customWidth="1"/>
    <col min="9221" max="9223" width="9.5703125" style="109" bestFit="1" customWidth="1"/>
    <col min="9224" max="9224" width="10.42578125" style="109" bestFit="1" customWidth="1"/>
    <col min="9225" max="9225" width="4.5703125" style="109" customWidth="1"/>
    <col min="9226" max="9226" width="1.85546875" style="109" customWidth="1"/>
    <col min="9227" max="9227" width="7" style="109" bestFit="1" customWidth="1"/>
    <col min="9228" max="9228" width="6.42578125" style="109" customWidth="1"/>
    <col min="9229" max="9229" width="20.42578125" style="109" customWidth="1"/>
    <col min="9230" max="9230" width="6.42578125" style="109" bestFit="1" customWidth="1"/>
    <col min="9231" max="9232" width="8.42578125" style="109"/>
    <col min="9233" max="9233" width="3.42578125" style="109" customWidth="1"/>
    <col min="9234" max="9472" width="8.42578125" style="109"/>
    <col min="9473" max="9473" width="10" style="109" bestFit="1" customWidth="1"/>
    <col min="9474" max="9474" width="44.42578125" style="109" bestFit="1" customWidth="1"/>
    <col min="9475" max="9475" width="10.42578125" style="109" bestFit="1" customWidth="1"/>
    <col min="9476" max="9476" width="10.42578125" style="109" customWidth="1"/>
    <col min="9477" max="9479" width="9.5703125" style="109" bestFit="1" customWidth="1"/>
    <col min="9480" max="9480" width="10.42578125" style="109" bestFit="1" customWidth="1"/>
    <col min="9481" max="9481" width="4.5703125" style="109" customWidth="1"/>
    <col min="9482" max="9482" width="1.85546875" style="109" customWidth="1"/>
    <col min="9483" max="9483" width="7" style="109" bestFit="1" customWidth="1"/>
    <col min="9484" max="9484" width="6.42578125" style="109" customWidth="1"/>
    <col min="9485" max="9485" width="20.42578125" style="109" customWidth="1"/>
    <col min="9486" max="9486" width="6.42578125" style="109" bestFit="1" customWidth="1"/>
    <col min="9487" max="9488" width="8.42578125" style="109"/>
    <col min="9489" max="9489" width="3.42578125" style="109" customWidth="1"/>
    <col min="9490" max="9728" width="8.42578125" style="109"/>
    <col min="9729" max="9729" width="10" style="109" bestFit="1" customWidth="1"/>
    <col min="9730" max="9730" width="44.42578125" style="109" bestFit="1" customWidth="1"/>
    <col min="9731" max="9731" width="10.42578125" style="109" bestFit="1" customWidth="1"/>
    <col min="9732" max="9732" width="10.42578125" style="109" customWidth="1"/>
    <col min="9733" max="9735" width="9.5703125" style="109" bestFit="1" customWidth="1"/>
    <col min="9736" max="9736" width="10.42578125" style="109" bestFit="1" customWidth="1"/>
    <col min="9737" max="9737" width="4.5703125" style="109" customWidth="1"/>
    <col min="9738" max="9738" width="1.85546875" style="109" customWidth="1"/>
    <col min="9739" max="9739" width="7" style="109" bestFit="1" customWidth="1"/>
    <col min="9740" max="9740" width="6.42578125" style="109" customWidth="1"/>
    <col min="9741" max="9741" width="20.42578125" style="109" customWidth="1"/>
    <col min="9742" max="9742" width="6.42578125" style="109" bestFit="1" customWidth="1"/>
    <col min="9743" max="9744" width="8.42578125" style="109"/>
    <col min="9745" max="9745" width="3.42578125" style="109" customWidth="1"/>
    <col min="9746" max="9984" width="8.42578125" style="109"/>
    <col min="9985" max="9985" width="10" style="109" bestFit="1" customWidth="1"/>
    <col min="9986" max="9986" width="44.42578125" style="109" bestFit="1" customWidth="1"/>
    <col min="9987" max="9987" width="10.42578125" style="109" bestFit="1" customWidth="1"/>
    <col min="9988" max="9988" width="10.42578125" style="109" customWidth="1"/>
    <col min="9989" max="9991" width="9.5703125" style="109" bestFit="1" customWidth="1"/>
    <col min="9992" max="9992" width="10.42578125" style="109" bestFit="1" customWidth="1"/>
    <col min="9993" max="9993" width="4.5703125" style="109" customWidth="1"/>
    <col min="9994" max="9994" width="1.85546875" style="109" customWidth="1"/>
    <col min="9995" max="9995" width="7" style="109" bestFit="1" customWidth="1"/>
    <col min="9996" max="9996" width="6.42578125" style="109" customWidth="1"/>
    <col min="9997" max="9997" width="20.42578125" style="109" customWidth="1"/>
    <col min="9998" max="9998" width="6.42578125" style="109" bestFit="1" customWidth="1"/>
    <col min="9999" max="10000" width="8.42578125" style="109"/>
    <col min="10001" max="10001" width="3.42578125" style="109" customWidth="1"/>
    <col min="10002" max="10240" width="8.42578125" style="109"/>
    <col min="10241" max="10241" width="10" style="109" bestFit="1" customWidth="1"/>
    <col min="10242" max="10242" width="44.42578125" style="109" bestFit="1" customWidth="1"/>
    <col min="10243" max="10243" width="10.42578125" style="109" bestFit="1" customWidth="1"/>
    <col min="10244" max="10244" width="10.42578125" style="109" customWidth="1"/>
    <col min="10245" max="10247" width="9.5703125" style="109" bestFit="1" customWidth="1"/>
    <col min="10248" max="10248" width="10.42578125" style="109" bestFit="1" customWidth="1"/>
    <col min="10249" max="10249" width="4.5703125" style="109" customWidth="1"/>
    <col min="10250" max="10250" width="1.85546875" style="109" customWidth="1"/>
    <col min="10251" max="10251" width="7" style="109" bestFit="1" customWidth="1"/>
    <col min="10252" max="10252" width="6.42578125" style="109" customWidth="1"/>
    <col min="10253" max="10253" width="20.42578125" style="109" customWidth="1"/>
    <col min="10254" max="10254" width="6.42578125" style="109" bestFit="1" customWidth="1"/>
    <col min="10255" max="10256" width="8.42578125" style="109"/>
    <col min="10257" max="10257" width="3.42578125" style="109" customWidth="1"/>
    <col min="10258" max="10496" width="8.42578125" style="109"/>
    <col min="10497" max="10497" width="10" style="109" bestFit="1" customWidth="1"/>
    <col min="10498" max="10498" width="44.42578125" style="109" bestFit="1" customWidth="1"/>
    <col min="10499" max="10499" width="10.42578125" style="109" bestFit="1" customWidth="1"/>
    <col min="10500" max="10500" width="10.42578125" style="109" customWidth="1"/>
    <col min="10501" max="10503" width="9.5703125" style="109" bestFit="1" customWidth="1"/>
    <col min="10504" max="10504" width="10.42578125" style="109" bestFit="1" customWidth="1"/>
    <col min="10505" max="10505" width="4.5703125" style="109" customWidth="1"/>
    <col min="10506" max="10506" width="1.85546875" style="109" customWidth="1"/>
    <col min="10507" max="10507" width="7" style="109" bestFit="1" customWidth="1"/>
    <col min="10508" max="10508" width="6.42578125" style="109" customWidth="1"/>
    <col min="10509" max="10509" width="20.42578125" style="109" customWidth="1"/>
    <col min="10510" max="10510" width="6.42578125" style="109" bestFit="1" customWidth="1"/>
    <col min="10511" max="10512" width="8.42578125" style="109"/>
    <col min="10513" max="10513" width="3.42578125" style="109" customWidth="1"/>
    <col min="10514" max="10752" width="8.42578125" style="109"/>
    <col min="10753" max="10753" width="10" style="109" bestFit="1" customWidth="1"/>
    <col min="10754" max="10754" width="44.42578125" style="109" bestFit="1" customWidth="1"/>
    <col min="10755" max="10755" width="10.42578125" style="109" bestFit="1" customWidth="1"/>
    <col min="10756" max="10756" width="10.42578125" style="109" customWidth="1"/>
    <col min="10757" max="10759" width="9.5703125" style="109" bestFit="1" customWidth="1"/>
    <col min="10760" max="10760" width="10.42578125" style="109" bestFit="1" customWidth="1"/>
    <col min="10761" max="10761" width="4.5703125" style="109" customWidth="1"/>
    <col min="10762" max="10762" width="1.85546875" style="109" customWidth="1"/>
    <col min="10763" max="10763" width="7" style="109" bestFit="1" customWidth="1"/>
    <col min="10764" max="10764" width="6.42578125" style="109" customWidth="1"/>
    <col min="10765" max="10765" width="20.42578125" style="109" customWidth="1"/>
    <col min="10766" max="10766" width="6.42578125" style="109" bestFit="1" customWidth="1"/>
    <col min="10767" max="10768" width="8.42578125" style="109"/>
    <col min="10769" max="10769" width="3.42578125" style="109" customWidth="1"/>
    <col min="10770" max="11008" width="8.42578125" style="109"/>
    <col min="11009" max="11009" width="10" style="109" bestFit="1" customWidth="1"/>
    <col min="11010" max="11010" width="44.42578125" style="109" bestFit="1" customWidth="1"/>
    <col min="11011" max="11011" width="10.42578125" style="109" bestFit="1" customWidth="1"/>
    <col min="11012" max="11012" width="10.42578125" style="109" customWidth="1"/>
    <col min="11013" max="11015" width="9.5703125" style="109" bestFit="1" customWidth="1"/>
    <col min="11016" max="11016" width="10.42578125" style="109" bestFit="1" customWidth="1"/>
    <col min="11017" max="11017" width="4.5703125" style="109" customWidth="1"/>
    <col min="11018" max="11018" width="1.85546875" style="109" customWidth="1"/>
    <col min="11019" max="11019" width="7" style="109" bestFit="1" customWidth="1"/>
    <col min="11020" max="11020" width="6.42578125" style="109" customWidth="1"/>
    <col min="11021" max="11021" width="20.42578125" style="109" customWidth="1"/>
    <col min="11022" max="11022" width="6.42578125" style="109" bestFit="1" customWidth="1"/>
    <col min="11023" max="11024" width="8.42578125" style="109"/>
    <col min="11025" max="11025" width="3.42578125" style="109" customWidth="1"/>
    <col min="11026" max="11264" width="8.42578125" style="109"/>
    <col min="11265" max="11265" width="10" style="109" bestFit="1" customWidth="1"/>
    <col min="11266" max="11266" width="44.42578125" style="109" bestFit="1" customWidth="1"/>
    <col min="11267" max="11267" width="10.42578125" style="109" bestFit="1" customWidth="1"/>
    <col min="11268" max="11268" width="10.42578125" style="109" customWidth="1"/>
    <col min="11269" max="11271" width="9.5703125" style="109" bestFit="1" customWidth="1"/>
    <col min="11272" max="11272" width="10.42578125" style="109" bestFit="1" customWidth="1"/>
    <col min="11273" max="11273" width="4.5703125" style="109" customWidth="1"/>
    <col min="11274" max="11274" width="1.85546875" style="109" customWidth="1"/>
    <col min="11275" max="11275" width="7" style="109" bestFit="1" customWidth="1"/>
    <col min="11276" max="11276" width="6.42578125" style="109" customWidth="1"/>
    <col min="11277" max="11277" width="20.42578125" style="109" customWidth="1"/>
    <col min="11278" max="11278" width="6.42578125" style="109" bestFit="1" customWidth="1"/>
    <col min="11279" max="11280" width="8.42578125" style="109"/>
    <col min="11281" max="11281" width="3.42578125" style="109" customWidth="1"/>
    <col min="11282" max="11520" width="8.42578125" style="109"/>
    <col min="11521" max="11521" width="10" style="109" bestFit="1" customWidth="1"/>
    <col min="11522" max="11522" width="44.42578125" style="109" bestFit="1" customWidth="1"/>
    <col min="11523" max="11523" width="10.42578125" style="109" bestFit="1" customWidth="1"/>
    <col min="11524" max="11524" width="10.42578125" style="109" customWidth="1"/>
    <col min="11525" max="11527" width="9.5703125" style="109" bestFit="1" customWidth="1"/>
    <col min="11528" max="11528" width="10.42578125" style="109" bestFit="1" customWidth="1"/>
    <col min="11529" max="11529" width="4.5703125" style="109" customWidth="1"/>
    <col min="11530" max="11530" width="1.85546875" style="109" customWidth="1"/>
    <col min="11531" max="11531" width="7" style="109" bestFit="1" customWidth="1"/>
    <col min="11532" max="11532" width="6.42578125" style="109" customWidth="1"/>
    <col min="11533" max="11533" width="20.42578125" style="109" customWidth="1"/>
    <col min="11534" max="11534" width="6.42578125" style="109" bestFit="1" customWidth="1"/>
    <col min="11535" max="11536" width="8.42578125" style="109"/>
    <col min="11537" max="11537" width="3.42578125" style="109" customWidth="1"/>
    <col min="11538" max="11776" width="8.42578125" style="109"/>
    <col min="11777" max="11777" width="10" style="109" bestFit="1" customWidth="1"/>
    <col min="11778" max="11778" width="44.42578125" style="109" bestFit="1" customWidth="1"/>
    <col min="11779" max="11779" width="10.42578125" style="109" bestFit="1" customWidth="1"/>
    <col min="11780" max="11780" width="10.42578125" style="109" customWidth="1"/>
    <col min="11781" max="11783" width="9.5703125" style="109" bestFit="1" customWidth="1"/>
    <col min="11784" max="11784" width="10.42578125" style="109" bestFit="1" customWidth="1"/>
    <col min="11785" max="11785" width="4.5703125" style="109" customWidth="1"/>
    <col min="11786" max="11786" width="1.85546875" style="109" customWidth="1"/>
    <col min="11787" max="11787" width="7" style="109" bestFit="1" customWidth="1"/>
    <col min="11788" max="11788" width="6.42578125" style="109" customWidth="1"/>
    <col min="11789" max="11789" width="20.42578125" style="109" customWidth="1"/>
    <col min="11790" max="11790" width="6.42578125" style="109" bestFit="1" customWidth="1"/>
    <col min="11791" max="11792" width="8.42578125" style="109"/>
    <col min="11793" max="11793" width="3.42578125" style="109" customWidth="1"/>
    <col min="11794" max="12032" width="8.42578125" style="109"/>
    <col min="12033" max="12033" width="10" style="109" bestFit="1" customWidth="1"/>
    <col min="12034" max="12034" width="44.42578125" style="109" bestFit="1" customWidth="1"/>
    <col min="12035" max="12035" width="10.42578125" style="109" bestFit="1" customWidth="1"/>
    <col min="12036" max="12036" width="10.42578125" style="109" customWidth="1"/>
    <col min="12037" max="12039" width="9.5703125" style="109" bestFit="1" customWidth="1"/>
    <col min="12040" max="12040" width="10.42578125" style="109" bestFit="1" customWidth="1"/>
    <col min="12041" max="12041" width="4.5703125" style="109" customWidth="1"/>
    <col min="12042" max="12042" width="1.85546875" style="109" customWidth="1"/>
    <col min="12043" max="12043" width="7" style="109" bestFit="1" customWidth="1"/>
    <col min="12044" max="12044" width="6.42578125" style="109" customWidth="1"/>
    <col min="12045" max="12045" width="20.42578125" style="109" customWidth="1"/>
    <col min="12046" max="12046" width="6.42578125" style="109" bestFit="1" customWidth="1"/>
    <col min="12047" max="12048" width="8.42578125" style="109"/>
    <col min="12049" max="12049" width="3.42578125" style="109" customWidth="1"/>
    <col min="12050" max="12288" width="8.42578125" style="109"/>
    <col min="12289" max="12289" width="10" style="109" bestFit="1" customWidth="1"/>
    <col min="12290" max="12290" width="44.42578125" style="109" bestFit="1" customWidth="1"/>
    <col min="12291" max="12291" width="10.42578125" style="109" bestFit="1" customWidth="1"/>
    <col min="12292" max="12292" width="10.42578125" style="109" customWidth="1"/>
    <col min="12293" max="12295" width="9.5703125" style="109" bestFit="1" customWidth="1"/>
    <col min="12296" max="12296" width="10.42578125" style="109" bestFit="1" customWidth="1"/>
    <col min="12297" max="12297" width="4.5703125" style="109" customWidth="1"/>
    <col min="12298" max="12298" width="1.85546875" style="109" customWidth="1"/>
    <col min="12299" max="12299" width="7" style="109" bestFit="1" customWidth="1"/>
    <col min="12300" max="12300" width="6.42578125" style="109" customWidth="1"/>
    <col min="12301" max="12301" width="20.42578125" style="109" customWidth="1"/>
    <col min="12302" max="12302" width="6.42578125" style="109" bestFit="1" customWidth="1"/>
    <col min="12303" max="12304" width="8.42578125" style="109"/>
    <col min="12305" max="12305" width="3.42578125" style="109" customWidth="1"/>
    <col min="12306" max="12544" width="8.42578125" style="109"/>
    <col min="12545" max="12545" width="10" style="109" bestFit="1" customWidth="1"/>
    <col min="12546" max="12546" width="44.42578125" style="109" bestFit="1" customWidth="1"/>
    <col min="12547" max="12547" width="10.42578125" style="109" bestFit="1" customWidth="1"/>
    <col min="12548" max="12548" width="10.42578125" style="109" customWidth="1"/>
    <col min="12549" max="12551" width="9.5703125" style="109" bestFit="1" customWidth="1"/>
    <col min="12552" max="12552" width="10.42578125" style="109" bestFit="1" customWidth="1"/>
    <col min="12553" max="12553" width="4.5703125" style="109" customWidth="1"/>
    <col min="12554" max="12554" width="1.85546875" style="109" customWidth="1"/>
    <col min="12555" max="12555" width="7" style="109" bestFit="1" customWidth="1"/>
    <col min="12556" max="12556" width="6.42578125" style="109" customWidth="1"/>
    <col min="12557" max="12557" width="20.42578125" style="109" customWidth="1"/>
    <col min="12558" max="12558" width="6.42578125" style="109" bestFit="1" customWidth="1"/>
    <col min="12559" max="12560" width="8.42578125" style="109"/>
    <col min="12561" max="12561" width="3.42578125" style="109" customWidth="1"/>
    <col min="12562" max="12800" width="8.42578125" style="109"/>
    <col min="12801" max="12801" width="10" style="109" bestFit="1" customWidth="1"/>
    <col min="12802" max="12802" width="44.42578125" style="109" bestFit="1" customWidth="1"/>
    <col min="12803" max="12803" width="10.42578125" style="109" bestFit="1" customWidth="1"/>
    <col min="12804" max="12804" width="10.42578125" style="109" customWidth="1"/>
    <col min="12805" max="12807" width="9.5703125" style="109" bestFit="1" customWidth="1"/>
    <col min="12808" max="12808" width="10.42578125" style="109" bestFit="1" customWidth="1"/>
    <col min="12809" max="12809" width="4.5703125" style="109" customWidth="1"/>
    <col min="12810" max="12810" width="1.85546875" style="109" customWidth="1"/>
    <col min="12811" max="12811" width="7" style="109" bestFit="1" customWidth="1"/>
    <col min="12812" max="12812" width="6.42578125" style="109" customWidth="1"/>
    <col min="12813" max="12813" width="20.42578125" style="109" customWidth="1"/>
    <col min="12814" max="12814" width="6.42578125" style="109" bestFit="1" customWidth="1"/>
    <col min="12815" max="12816" width="8.42578125" style="109"/>
    <col min="12817" max="12817" width="3.42578125" style="109" customWidth="1"/>
    <col min="12818" max="13056" width="8.42578125" style="109"/>
    <col min="13057" max="13057" width="10" style="109" bestFit="1" customWidth="1"/>
    <col min="13058" max="13058" width="44.42578125" style="109" bestFit="1" customWidth="1"/>
    <col min="13059" max="13059" width="10.42578125" style="109" bestFit="1" customWidth="1"/>
    <col min="13060" max="13060" width="10.42578125" style="109" customWidth="1"/>
    <col min="13061" max="13063" width="9.5703125" style="109" bestFit="1" customWidth="1"/>
    <col min="13064" max="13064" width="10.42578125" style="109" bestFit="1" customWidth="1"/>
    <col min="13065" max="13065" width="4.5703125" style="109" customWidth="1"/>
    <col min="13066" max="13066" width="1.85546875" style="109" customWidth="1"/>
    <col min="13067" max="13067" width="7" style="109" bestFit="1" customWidth="1"/>
    <col min="13068" max="13068" width="6.42578125" style="109" customWidth="1"/>
    <col min="13069" max="13069" width="20.42578125" style="109" customWidth="1"/>
    <col min="13070" max="13070" width="6.42578125" style="109" bestFit="1" customWidth="1"/>
    <col min="13071" max="13072" width="8.42578125" style="109"/>
    <col min="13073" max="13073" width="3.42578125" style="109" customWidth="1"/>
    <col min="13074" max="13312" width="8.42578125" style="109"/>
    <col min="13313" max="13313" width="10" style="109" bestFit="1" customWidth="1"/>
    <col min="13314" max="13314" width="44.42578125" style="109" bestFit="1" customWidth="1"/>
    <col min="13315" max="13315" width="10.42578125" style="109" bestFit="1" customWidth="1"/>
    <col min="13316" max="13316" width="10.42578125" style="109" customWidth="1"/>
    <col min="13317" max="13319" width="9.5703125" style="109" bestFit="1" customWidth="1"/>
    <col min="13320" max="13320" width="10.42578125" style="109" bestFit="1" customWidth="1"/>
    <col min="13321" max="13321" width="4.5703125" style="109" customWidth="1"/>
    <col min="13322" max="13322" width="1.85546875" style="109" customWidth="1"/>
    <col min="13323" max="13323" width="7" style="109" bestFit="1" customWidth="1"/>
    <col min="13324" max="13324" width="6.42578125" style="109" customWidth="1"/>
    <col min="13325" max="13325" width="20.42578125" style="109" customWidth="1"/>
    <col min="13326" max="13326" width="6.42578125" style="109" bestFit="1" customWidth="1"/>
    <col min="13327" max="13328" width="8.42578125" style="109"/>
    <col min="13329" max="13329" width="3.42578125" style="109" customWidth="1"/>
    <col min="13330" max="13568" width="8.42578125" style="109"/>
    <col min="13569" max="13569" width="10" style="109" bestFit="1" customWidth="1"/>
    <col min="13570" max="13570" width="44.42578125" style="109" bestFit="1" customWidth="1"/>
    <col min="13571" max="13571" width="10.42578125" style="109" bestFit="1" customWidth="1"/>
    <col min="13572" max="13572" width="10.42578125" style="109" customWidth="1"/>
    <col min="13573" max="13575" width="9.5703125" style="109" bestFit="1" customWidth="1"/>
    <col min="13576" max="13576" width="10.42578125" style="109" bestFit="1" customWidth="1"/>
    <col min="13577" max="13577" width="4.5703125" style="109" customWidth="1"/>
    <col min="13578" max="13578" width="1.85546875" style="109" customWidth="1"/>
    <col min="13579" max="13579" width="7" style="109" bestFit="1" customWidth="1"/>
    <col min="13580" max="13580" width="6.42578125" style="109" customWidth="1"/>
    <col min="13581" max="13581" width="20.42578125" style="109" customWidth="1"/>
    <col min="13582" max="13582" width="6.42578125" style="109" bestFit="1" customWidth="1"/>
    <col min="13583" max="13584" width="8.42578125" style="109"/>
    <col min="13585" max="13585" width="3.42578125" style="109" customWidth="1"/>
    <col min="13586" max="13824" width="8.42578125" style="109"/>
    <col min="13825" max="13825" width="10" style="109" bestFit="1" customWidth="1"/>
    <col min="13826" max="13826" width="44.42578125" style="109" bestFit="1" customWidth="1"/>
    <col min="13827" max="13827" width="10.42578125" style="109" bestFit="1" customWidth="1"/>
    <col min="13828" max="13828" width="10.42578125" style="109" customWidth="1"/>
    <col min="13829" max="13831" width="9.5703125" style="109" bestFit="1" customWidth="1"/>
    <col min="13832" max="13832" width="10.42578125" style="109" bestFit="1" customWidth="1"/>
    <col min="13833" max="13833" width="4.5703125" style="109" customWidth="1"/>
    <col min="13834" max="13834" width="1.85546875" style="109" customWidth="1"/>
    <col min="13835" max="13835" width="7" style="109" bestFit="1" customWidth="1"/>
    <col min="13836" max="13836" width="6.42578125" style="109" customWidth="1"/>
    <col min="13837" max="13837" width="20.42578125" style="109" customWidth="1"/>
    <col min="13838" max="13838" width="6.42578125" style="109" bestFit="1" customWidth="1"/>
    <col min="13839" max="13840" width="8.42578125" style="109"/>
    <col min="13841" max="13841" width="3.42578125" style="109" customWidth="1"/>
    <col min="13842" max="14080" width="8.42578125" style="109"/>
    <col min="14081" max="14081" width="10" style="109" bestFit="1" customWidth="1"/>
    <col min="14082" max="14082" width="44.42578125" style="109" bestFit="1" customWidth="1"/>
    <col min="14083" max="14083" width="10.42578125" style="109" bestFit="1" customWidth="1"/>
    <col min="14084" max="14084" width="10.42578125" style="109" customWidth="1"/>
    <col min="14085" max="14087" width="9.5703125" style="109" bestFit="1" customWidth="1"/>
    <col min="14088" max="14088" width="10.42578125" style="109" bestFit="1" customWidth="1"/>
    <col min="14089" max="14089" width="4.5703125" style="109" customWidth="1"/>
    <col min="14090" max="14090" width="1.85546875" style="109" customWidth="1"/>
    <col min="14091" max="14091" width="7" style="109" bestFit="1" customWidth="1"/>
    <col min="14092" max="14092" width="6.42578125" style="109" customWidth="1"/>
    <col min="14093" max="14093" width="20.42578125" style="109" customWidth="1"/>
    <col min="14094" max="14094" width="6.42578125" style="109" bestFit="1" customWidth="1"/>
    <col min="14095" max="14096" width="8.42578125" style="109"/>
    <col min="14097" max="14097" width="3.42578125" style="109" customWidth="1"/>
    <col min="14098" max="14336" width="8.42578125" style="109"/>
    <col min="14337" max="14337" width="10" style="109" bestFit="1" customWidth="1"/>
    <col min="14338" max="14338" width="44.42578125" style="109" bestFit="1" customWidth="1"/>
    <col min="14339" max="14339" width="10.42578125" style="109" bestFit="1" customWidth="1"/>
    <col min="14340" max="14340" width="10.42578125" style="109" customWidth="1"/>
    <col min="14341" max="14343" width="9.5703125" style="109" bestFit="1" customWidth="1"/>
    <col min="14344" max="14344" width="10.42578125" style="109" bestFit="1" customWidth="1"/>
    <col min="14345" max="14345" width="4.5703125" style="109" customWidth="1"/>
    <col min="14346" max="14346" width="1.85546875" style="109" customWidth="1"/>
    <col min="14347" max="14347" width="7" style="109" bestFit="1" customWidth="1"/>
    <col min="14348" max="14348" width="6.42578125" style="109" customWidth="1"/>
    <col min="14349" max="14349" width="20.42578125" style="109" customWidth="1"/>
    <col min="14350" max="14350" width="6.42578125" style="109" bestFit="1" customWidth="1"/>
    <col min="14351" max="14352" width="8.42578125" style="109"/>
    <col min="14353" max="14353" width="3.42578125" style="109" customWidth="1"/>
    <col min="14354" max="14592" width="8.42578125" style="109"/>
    <col min="14593" max="14593" width="10" style="109" bestFit="1" customWidth="1"/>
    <col min="14594" max="14594" width="44.42578125" style="109" bestFit="1" customWidth="1"/>
    <col min="14595" max="14595" width="10.42578125" style="109" bestFit="1" customWidth="1"/>
    <col min="14596" max="14596" width="10.42578125" style="109" customWidth="1"/>
    <col min="14597" max="14599" width="9.5703125" style="109" bestFit="1" customWidth="1"/>
    <col min="14600" max="14600" width="10.42578125" style="109" bestFit="1" customWidth="1"/>
    <col min="14601" max="14601" width="4.5703125" style="109" customWidth="1"/>
    <col min="14602" max="14602" width="1.85546875" style="109" customWidth="1"/>
    <col min="14603" max="14603" width="7" style="109" bestFit="1" customWidth="1"/>
    <col min="14604" max="14604" width="6.42578125" style="109" customWidth="1"/>
    <col min="14605" max="14605" width="20.42578125" style="109" customWidth="1"/>
    <col min="14606" max="14606" width="6.42578125" style="109" bestFit="1" customWidth="1"/>
    <col min="14607" max="14608" width="8.42578125" style="109"/>
    <col min="14609" max="14609" width="3.42578125" style="109" customWidth="1"/>
    <col min="14610" max="14848" width="8.42578125" style="109"/>
    <col min="14849" max="14849" width="10" style="109" bestFit="1" customWidth="1"/>
    <col min="14850" max="14850" width="44.42578125" style="109" bestFit="1" customWidth="1"/>
    <col min="14851" max="14851" width="10.42578125" style="109" bestFit="1" customWidth="1"/>
    <col min="14852" max="14852" width="10.42578125" style="109" customWidth="1"/>
    <col min="14853" max="14855" width="9.5703125" style="109" bestFit="1" customWidth="1"/>
    <col min="14856" max="14856" width="10.42578125" style="109" bestFit="1" customWidth="1"/>
    <col min="14857" max="14857" width="4.5703125" style="109" customWidth="1"/>
    <col min="14858" max="14858" width="1.85546875" style="109" customWidth="1"/>
    <col min="14859" max="14859" width="7" style="109" bestFit="1" customWidth="1"/>
    <col min="14860" max="14860" width="6.42578125" style="109" customWidth="1"/>
    <col min="14861" max="14861" width="20.42578125" style="109" customWidth="1"/>
    <col min="14862" max="14862" width="6.42578125" style="109" bestFit="1" customWidth="1"/>
    <col min="14863" max="14864" width="8.42578125" style="109"/>
    <col min="14865" max="14865" width="3.42578125" style="109" customWidth="1"/>
    <col min="14866" max="15104" width="8.42578125" style="109"/>
    <col min="15105" max="15105" width="10" style="109" bestFit="1" customWidth="1"/>
    <col min="15106" max="15106" width="44.42578125" style="109" bestFit="1" customWidth="1"/>
    <col min="15107" max="15107" width="10.42578125" style="109" bestFit="1" customWidth="1"/>
    <col min="15108" max="15108" width="10.42578125" style="109" customWidth="1"/>
    <col min="15109" max="15111" width="9.5703125" style="109" bestFit="1" customWidth="1"/>
    <col min="15112" max="15112" width="10.42578125" style="109" bestFit="1" customWidth="1"/>
    <col min="15113" max="15113" width="4.5703125" style="109" customWidth="1"/>
    <col min="15114" max="15114" width="1.85546875" style="109" customWidth="1"/>
    <col min="15115" max="15115" width="7" style="109" bestFit="1" customWidth="1"/>
    <col min="15116" max="15116" width="6.42578125" style="109" customWidth="1"/>
    <col min="15117" max="15117" width="20.42578125" style="109" customWidth="1"/>
    <col min="15118" max="15118" width="6.42578125" style="109" bestFit="1" customWidth="1"/>
    <col min="15119" max="15120" width="8.42578125" style="109"/>
    <col min="15121" max="15121" width="3.42578125" style="109" customWidth="1"/>
    <col min="15122" max="15360" width="8.42578125" style="109"/>
    <col min="15361" max="15361" width="10" style="109" bestFit="1" customWidth="1"/>
    <col min="15362" max="15362" width="44.42578125" style="109" bestFit="1" customWidth="1"/>
    <col min="15363" max="15363" width="10.42578125" style="109" bestFit="1" customWidth="1"/>
    <col min="15364" max="15364" width="10.42578125" style="109" customWidth="1"/>
    <col min="15365" max="15367" width="9.5703125" style="109" bestFit="1" customWidth="1"/>
    <col min="15368" max="15368" width="10.42578125" style="109" bestFit="1" customWidth="1"/>
    <col min="15369" max="15369" width="4.5703125" style="109" customWidth="1"/>
    <col min="15370" max="15370" width="1.85546875" style="109" customWidth="1"/>
    <col min="15371" max="15371" width="7" style="109" bestFit="1" customWidth="1"/>
    <col min="15372" max="15372" width="6.42578125" style="109" customWidth="1"/>
    <col min="15373" max="15373" width="20.42578125" style="109" customWidth="1"/>
    <col min="15374" max="15374" width="6.42578125" style="109" bestFit="1" customWidth="1"/>
    <col min="15375" max="15376" width="8.42578125" style="109"/>
    <col min="15377" max="15377" width="3.42578125" style="109" customWidth="1"/>
    <col min="15378" max="15616" width="8.42578125" style="109"/>
    <col min="15617" max="15617" width="10" style="109" bestFit="1" customWidth="1"/>
    <col min="15618" max="15618" width="44.42578125" style="109" bestFit="1" customWidth="1"/>
    <col min="15619" max="15619" width="10.42578125" style="109" bestFit="1" customWidth="1"/>
    <col min="15620" max="15620" width="10.42578125" style="109" customWidth="1"/>
    <col min="15621" max="15623" width="9.5703125" style="109" bestFit="1" customWidth="1"/>
    <col min="15624" max="15624" width="10.42578125" style="109" bestFit="1" customWidth="1"/>
    <col min="15625" max="15625" width="4.5703125" style="109" customWidth="1"/>
    <col min="15626" max="15626" width="1.85546875" style="109" customWidth="1"/>
    <col min="15627" max="15627" width="7" style="109" bestFit="1" customWidth="1"/>
    <col min="15628" max="15628" width="6.42578125" style="109" customWidth="1"/>
    <col min="15629" max="15629" width="20.42578125" style="109" customWidth="1"/>
    <col min="15630" max="15630" width="6.42578125" style="109" bestFit="1" customWidth="1"/>
    <col min="15631" max="15632" width="8.42578125" style="109"/>
    <col min="15633" max="15633" width="3.42578125" style="109" customWidth="1"/>
    <col min="15634" max="15872" width="8.42578125" style="109"/>
    <col min="15873" max="15873" width="10" style="109" bestFit="1" customWidth="1"/>
    <col min="15874" max="15874" width="44.42578125" style="109" bestFit="1" customWidth="1"/>
    <col min="15875" max="15875" width="10.42578125" style="109" bestFit="1" customWidth="1"/>
    <col min="15876" max="15876" width="10.42578125" style="109" customWidth="1"/>
    <col min="15877" max="15879" width="9.5703125" style="109" bestFit="1" customWidth="1"/>
    <col min="15880" max="15880" width="10.42578125" style="109" bestFit="1" customWidth="1"/>
    <col min="15881" max="15881" width="4.5703125" style="109" customWidth="1"/>
    <col min="15882" max="15882" width="1.85546875" style="109" customWidth="1"/>
    <col min="15883" max="15883" width="7" style="109" bestFit="1" customWidth="1"/>
    <col min="15884" max="15884" width="6.42578125" style="109" customWidth="1"/>
    <col min="15885" max="15885" width="20.42578125" style="109" customWidth="1"/>
    <col min="15886" max="15886" width="6.42578125" style="109" bestFit="1" customWidth="1"/>
    <col min="15887" max="15888" width="8.42578125" style="109"/>
    <col min="15889" max="15889" width="3.42578125" style="109" customWidth="1"/>
    <col min="15890" max="16128" width="8.42578125" style="109"/>
    <col min="16129" max="16129" width="10" style="109" bestFit="1" customWidth="1"/>
    <col min="16130" max="16130" width="44.42578125" style="109" bestFit="1" customWidth="1"/>
    <col min="16131" max="16131" width="10.42578125" style="109" bestFit="1" customWidth="1"/>
    <col min="16132" max="16132" width="10.42578125" style="109" customWidth="1"/>
    <col min="16133" max="16135" width="9.5703125" style="109" bestFit="1" customWidth="1"/>
    <col min="16136" max="16136" width="10.42578125" style="109" bestFit="1" customWidth="1"/>
    <col min="16137" max="16137" width="4.5703125" style="109" customWidth="1"/>
    <col min="16138" max="16138" width="1.85546875" style="109" customWidth="1"/>
    <col min="16139" max="16139" width="7" style="109" bestFit="1" customWidth="1"/>
    <col min="16140" max="16140" width="6.42578125" style="109" customWidth="1"/>
    <col min="16141" max="16141" width="20.42578125" style="109" customWidth="1"/>
    <col min="16142" max="16142" width="6.42578125" style="109" bestFit="1" customWidth="1"/>
    <col min="16143" max="16144" width="8.42578125" style="109"/>
    <col min="16145" max="16145" width="3.42578125" style="109" customWidth="1"/>
    <col min="16146" max="16384" width="8.42578125" style="109"/>
  </cols>
  <sheetData>
    <row r="1" spans="1:10" ht="27.75" customHeight="1" x14ac:dyDescent="0.2">
      <c r="A1" s="104"/>
      <c r="B1" s="104"/>
      <c r="C1" s="104"/>
      <c r="D1" s="104"/>
      <c r="E1" s="105" t="s">
        <v>146</v>
      </c>
      <c r="F1" s="106" t="s">
        <v>147</v>
      </c>
      <c r="G1" s="106" t="s">
        <v>148</v>
      </c>
      <c r="H1" s="106" t="s">
        <v>149</v>
      </c>
      <c r="I1" s="107"/>
    </row>
    <row r="2" spans="1:10" ht="30.75" customHeight="1" x14ac:dyDescent="0.2">
      <c r="A2" s="104"/>
      <c r="B2" s="104"/>
      <c r="C2" s="104"/>
      <c r="D2" s="104"/>
      <c r="E2" s="110">
        <f>IFERROR(O63,"")</f>
        <v>2087.549818181818</v>
      </c>
      <c r="F2" s="110">
        <f>IFERROR(H54,"")</f>
        <v>903.39999999999986</v>
      </c>
      <c r="G2" s="110">
        <f>IFERROR(H55,"")</f>
        <v>611.8180000000001</v>
      </c>
      <c r="H2" s="110">
        <f>IFERROR(H57,"")</f>
        <v>312.55</v>
      </c>
      <c r="I2" s="111"/>
    </row>
    <row r="3" spans="1:10" ht="15" customHeight="1" x14ac:dyDescent="0.2">
      <c r="A3" s="104"/>
      <c r="B3" s="104"/>
      <c r="C3" s="104"/>
      <c r="D3" s="104"/>
      <c r="E3" s="104"/>
      <c r="F3" s="112"/>
      <c r="G3" s="112"/>
      <c r="H3" s="112"/>
      <c r="I3" s="112"/>
    </row>
    <row r="4" spans="1:10" ht="24.75" customHeight="1" thickBot="1" x14ac:dyDescent="0.25">
      <c r="A4" s="505"/>
      <c r="B4" s="505"/>
      <c r="C4" s="505"/>
      <c r="D4" s="505"/>
      <c r="E4" s="505"/>
      <c r="F4" s="505"/>
      <c r="G4" s="505"/>
      <c r="H4" s="505"/>
      <c r="I4" s="113"/>
    </row>
    <row r="5" spans="1:10" ht="19.5" customHeight="1" thickBot="1" x14ac:dyDescent="0.25">
      <c r="A5" s="506" t="s">
        <v>150</v>
      </c>
      <c r="B5" s="507"/>
      <c r="C5" s="507"/>
      <c r="D5" s="507"/>
      <c r="E5" s="507"/>
      <c r="F5" s="507"/>
      <c r="G5" s="507"/>
      <c r="H5" s="508"/>
      <c r="I5" s="114"/>
    </row>
    <row r="6" spans="1:10" ht="19.5" thickBot="1" x14ac:dyDescent="0.25">
      <c r="A6" s="114"/>
      <c r="B6" s="114"/>
      <c r="C6" s="114"/>
      <c r="D6" s="114"/>
      <c r="E6" s="114"/>
      <c r="F6" s="509" t="s">
        <v>151</v>
      </c>
      <c r="G6" s="509"/>
      <c r="H6" s="115">
        <f ca="1">TODAY()</f>
        <v>46141</v>
      </c>
      <c r="I6" s="115"/>
    </row>
    <row r="7" spans="1:10" ht="39" thickBot="1" x14ac:dyDescent="0.25">
      <c r="A7" s="116" t="s">
        <v>152</v>
      </c>
      <c r="B7" s="117" t="s">
        <v>153</v>
      </c>
      <c r="C7" s="117" t="s">
        <v>152</v>
      </c>
      <c r="D7" s="118" t="s">
        <v>154</v>
      </c>
      <c r="E7" s="118" t="s">
        <v>155</v>
      </c>
      <c r="F7" s="118" t="s">
        <v>156</v>
      </c>
      <c r="G7" s="118" t="s">
        <v>157</v>
      </c>
      <c r="H7" s="119" t="s">
        <v>158</v>
      </c>
      <c r="I7" s="120"/>
    </row>
    <row r="8" spans="1:10" ht="13.5" x14ac:dyDescent="0.25">
      <c r="A8" s="121">
        <v>5</v>
      </c>
      <c r="B8" s="109" t="s">
        <v>39</v>
      </c>
      <c r="C8" s="122">
        <f>+A8</f>
        <v>5</v>
      </c>
      <c r="D8" s="123" t="s">
        <v>159</v>
      </c>
      <c r="E8" s="123">
        <v>2.56</v>
      </c>
      <c r="F8" s="123">
        <f>IFERROR(C8*E8,"")</f>
        <v>12.8</v>
      </c>
      <c r="G8" s="124">
        <f t="shared" ref="G8:G14" si="0">IFERROR(F8/$F$67,"")</f>
        <v>6.9516631310942469E-3</v>
      </c>
      <c r="H8" s="125" t="s">
        <v>38</v>
      </c>
      <c r="I8" s="125"/>
      <c r="J8" s="126"/>
    </row>
    <row r="9" spans="1:10" ht="13.5" x14ac:dyDescent="0.25">
      <c r="A9" s="121">
        <v>40</v>
      </c>
      <c r="B9" s="109" t="s">
        <v>71</v>
      </c>
      <c r="C9" s="122">
        <f t="shared" ref="C9:C14" si="1">+A9</f>
        <v>40</v>
      </c>
      <c r="D9" s="123" t="s">
        <v>159</v>
      </c>
      <c r="E9" s="123">
        <v>13</v>
      </c>
      <c r="F9" s="123">
        <f t="shared" ref="F9:F14" si="2">IFERROR(C9*E9,"")</f>
        <v>520</v>
      </c>
      <c r="G9" s="124">
        <f t="shared" si="0"/>
        <v>0.2824113147007038</v>
      </c>
      <c r="H9" s="125"/>
      <c r="I9" s="125"/>
      <c r="J9" s="126"/>
    </row>
    <row r="10" spans="1:10" ht="13.5" hidden="1" x14ac:dyDescent="0.25">
      <c r="A10" s="121"/>
      <c r="B10" s="109" t="str">
        <f>IFERROR(VLOOKUP(H10,'[1]Consolidado MP Planta'!$A$2:$M$823,3,0),"")</f>
        <v/>
      </c>
      <c r="C10" s="122">
        <f t="shared" si="1"/>
        <v>0</v>
      </c>
      <c r="D10" s="123" t="str">
        <f>IFERROR(VLOOKUP(H10,'[1]Consolidado MP Planta'!$A$2:$M$823,13,0),"")</f>
        <v/>
      </c>
      <c r="E10" s="123" t="str">
        <f>IFERROR(VLOOKUP(H10,'[1]Consolidado MP Planta'!$A$2:$M$823,12,0),"")</f>
        <v/>
      </c>
      <c r="F10" s="123" t="str">
        <f t="shared" si="2"/>
        <v/>
      </c>
      <c r="G10" s="124" t="str">
        <f t="shared" si="0"/>
        <v/>
      </c>
      <c r="H10" s="125"/>
      <c r="I10" s="125"/>
      <c r="J10" s="126"/>
    </row>
    <row r="11" spans="1:10" ht="13.5" hidden="1" x14ac:dyDescent="0.25">
      <c r="A11" s="121"/>
      <c r="B11" s="109" t="str">
        <f>IFERROR(VLOOKUP(H11,'[1]Consolidado MP Planta'!$A$2:$M$823,3,0),"")</f>
        <v/>
      </c>
      <c r="C11" s="122">
        <f t="shared" si="1"/>
        <v>0</v>
      </c>
      <c r="D11" s="123" t="str">
        <f>IFERROR(VLOOKUP(H11,'[1]Consolidado MP Planta'!$A$2:$M$823,13,0),"")</f>
        <v/>
      </c>
      <c r="E11" s="123" t="str">
        <f>IFERROR(VLOOKUP(H11,'[1]Consolidado MP Planta'!$A$2:$M$823,12,0),"")</f>
        <v/>
      </c>
      <c r="F11" s="123" t="str">
        <f t="shared" si="2"/>
        <v/>
      </c>
      <c r="G11" s="124" t="str">
        <f t="shared" si="0"/>
        <v/>
      </c>
      <c r="H11" s="125"/>
      <c r="I11" s="125"/>
      <c r="J11" s="126"/>
    </row>
    <row r="12" spans="1:10" ht="13.5" hidden="1" x14ac:dyDescent="0.25">
      <c r="A12" s="121"/>
      <c r="B12" s="109" t="str">
        <f>IFERROR(VLOOKUP(H12,'[1]Consolidado MP Planta'!$A$2:$M$823,3,0),"")</f>
        <v/>
      </c>
      <c r="C12" s="122">
        <f t="shared" si="1"/>
        <v>0</v>
      </c>
      <c r="D12" s="123" t="str">
        <f>IFERROR(VLOOKUP(H12,'[1]Consolidado MP Planta'!$A$2:$M$823,13,0),"")</f>
        <v/>
      </c>
      <c r="E12" s="123" t="str">
        <f>IFERROR(VLOOKUP(H12,'[1]Consolidado MP Planta'!$A$2:$M$823,12,0),"")</f>
        <v/>
      </c>
      <c r="F12" s="123" t="str">
        <f t="shared" si="2"/>
        <v/>
      </c>
      <c r="G12" s="124" t="str">
        <f t="shared" si="0"/>
        <v/>
      </c>
      <c r="H12" s="125"/>
      <c r="I12" s="125"/>
      <c r="J12" s="126"/>
    </row>
    <row r="13" spans="1:10" ht="13.5" hidden="1" x14ac:dyDescent="0.25">
      <c r="A13" s="121"/>
      <c r="B13" s="109" t="str">
        <f>IFERROR(VLOOKUP(H13,'[1]Consolidado MP Planta'!$A$2:$M$823,3,0),"")</f>
        <v/>
      </c>
      <c r="C13" s="122">
        <f t="shared" si="1"/>
        <v>0</v>
      </c>
      <c r="D13" s="123" t="str">
        <f>IFERROR(VLOOKUP(H13,'[1]Consolidado MP Planta'!$A$2:$M$823,13,0),"")</f>
        <v/>
      </c>
      <c r="E13" s="123" t="str">
        <f>IFERROR(VLOOKUP(H13,'[1]Consolidado MP Planta'!$A$2:$M$823,12,0),"")</f>
        <v/>
      </c>
      <c r="F13" s="123" t="str">
        <f t="shared" si="2"/>
        <v/>
      </c>
      <c r="G13" s="124" t="str">
        <f t="shared" si="0"/>
        <v/>
      </c>
      <c r="H13" s="125"/>
      <c r="I13" s="125"/>
      <c r="J13" s="126"/>
    </row>
    <row r="14" spans="1:10" ht="13.5" hidden="1" x14ac:dyDescent="0.25">
      <c r="A14" s="121"/>
      <c r="B14" s="109" t="str">
        <f>IFERROR(VLOOKUP(H14,'[1]Consolidado MP Planta'!$A$2:$M$823,3,0),"")</f>
        <v/>
      </c>
      <c r="C14" s="122">
        <f t="shared" si="1"/>
        <v>0</v>
      </c>
      <c r="D14" s="123" t="str">
        <f>IFERROR(VLOOKUP(H14,'[1]Consolidado MP Planta'!$A$2:$M$823,13,0),"")</f>
        <v/>
      </c>
      <c r="E14" s="123" t="str">
        <f>IFERROR(VLOOKUP(H14,'[1]Consolidado MP Planta'!$A$2:$M$823,12,0),"")</f>
        <v/>
      </c>
      <c r="F14" s="123" t="str">
        <f t="shared" si="2"/>
        <v/>
      </c>
      <c r="G14" s="124" t="str">
        <f t="shared" si="0"/>
        <v/>
      </c>
      <c r="H14" s="125"/>
      <c r="I14" s="125"/>
      <c r="J14" s="126"/>
    </row>
    <row r="15" spans="1:10" ht="14.25" thickBot="1" x14ac:dyDescent="0.3">
      <c r="A15" s="121"/>
      <c r="B15" s="109" t="str">
        <f>IFERROR(VLOOKUP(H15,'[2]ARTICULOS MP PLANTA'!$A$2:$G$589,2,0),"")</f>
        <v/>
      </c>
      <c r="C15" s="122"/>
      <c r="D15" s="123"/>
      <c r="E15" s="123"/>
      <c r="F15" s="123"/>
      <c r="G15" s="124"/>
      <c r="H15" s="125"/>
      <c r="I15" s="125"/>
      <c r="J15" s="126"/>
    </row>
    <row r="16" spans="1:10" ht="39" thickBot="1" x14ac:dyDescent="0.25">
      <c r="A16" s="116" t="s">
        <v>152</v>
      </c>
      <c r="B16" s="117" t="s">
        <v>160</v>
      </c>
      <c r="C16" s="117" t="s">
        <v>152</v>
      </c>
      <c r="D16" s="118" t="s">
        <v>154</v>
      </c>
      <c r="E16" s="118" t="s">
        <v>155</v>
      </c>
      <c r="F16" s="118" t="s">
        <v>156</v>
      </c>
      <c r="G16" s="118" t="s">
        <v>157</v>
      </c>
      <c r="H16" s="119" t="s">
        <v>158</v>
      </c>
      <c r="I16" s="120"/>
      <c r="J16" s="126"/>
    </row>
    <row r="17" spans="1:12" ht="13.5" x14ac:dyDescent="0.25">
      <c r="A17" s="121">
        <v>1</v>
      </c>
      <c r="B17" s="109" t="s">
        <v>133</v>
      </c>
      <c r="C17" s="122">
        <f>+A17</f>
        <v>1</v>
      </c>
      <c r="D17" s="122" t="s">
        <v>199</v>
      </c>
      <c r="E17" s="123" t="e">
        <f>+#REF!</f>
        <v>#REF!</v>
      </c>
      <c r="F17" s="123" t="str">
        <f>IFERROR(E17*C17,"")</f>
        <v/>
      </c>
      <c r="G17" s="124" t="str">
        <f t="shared" ref="G17:G24" si="3">IFERROR(F17/$F$67,"")</f>
        <v/>
      </c>
      <c r="H17" s="125" t="s">
        <v>100</v>
      </c>
      <c r="I17" s="125"/>
      <c r="J17" s="126"/>
    </row>
    <row r="18" spans="1:12" ht="13.5" x14ac:dyDescent="0.25">
      <c r="A18" s="121">
        <v>135</v>
      </c>
      <c r="B18" s="109" t="s">
        <v>106</v>
      </c>
      <c r="C18" s="122">
        <f t="shared" ref="C18:C24" si="4">+A18</f>
        <v>135</v>
      </c>
      <c r="D18" s="122" t="s">
        <v>159</v>
      </c>
      <c r="E18" s="123">
        <v>2.2599999999999998</v>
      </c>
      <c r="F18" s="123">
        <f t="shared" ref="F18:F24" si="5">IFERROR(E18*C18,"")</f>
        <v>305.09999999999997</v>
      </c>
      <c r="G18" s="124">
        <f t="shared" si="3"/>
        <v>0.16569940791381677</v>
      </c>
      <c r="H18" s="125" t="s">
        <v>105</v>
      </c>
      <c r="I18" s="125"/>
      <c r="J18" s="126"/>
    </row>
    <row r="19" spans="1:12" ht="13.5" x14ac:dyDescent="0.25">
      <c r="A19" s="121">
        <v>70</v>
      </c>
      <c r="B19" s="109" t="s">
        <v>101</v>
      </c>
      <c r="C19" s="122">
        <f>+A19</f>
        <v>70</v>
      </c>
      <c r="D19" s="122" t="s">
        <v>159</v>
      </c>
      <c r="E19" s="123" t="e">
        <f>+#REF!</f>
        <v>#REF!</v>
      </c>
      <c r="F19" s="123" t="str">
        <f>IFERROR(E19*C19,"")</f>
        <v/>
      </c>
      <c r="G19" s="124" t="str">
        <f t="shared" si="3"/>
        <v/>
      </c>
      <c r="H19" s="125" t="s">
        <v>100</v>
      </c>
      <c r="I19" s="125"/>
      <c r="J19" s="126"/>
    </row>
    <row r="20" spans="1:12" ht="13.5" x14ac:dyDescent="0.25">
      <c r="A20" s="121">
        <v>10</v>
      </c>
      <c r="B20" s="109" t="s">
        <v>108</v>
      </c>
      <c r="C20" s="122">
        <f>+A20</f>
        <v>10</v>
      </c>
      <c r="D20" s="122" t="s">
        <v>159</v>
      </c>
      <c r="E20" s="123">
        <v>1.99</v>
      </c>
      <c r="F20" s="123">
        <f>IFERROR(E20*C20,"")</f>
        <v>19.899999999999999</v>
      </c>
      <c r="G20" s="124">
        <f t="shared" si="3"/>
        <v>1.0807663774123085E-2</v>
      </c>
      <c r="H20" s="125" t="s">
        <v>107</v>
      </c>
      <c r="I20" s="125"/>
      <c r="J20" s="126"/>
    </row>
    <row r="21" spans="1:12" ht="13.5" x14ac:dyDescent="0.25">
      <c r="A21" s="121">
        <v>20</v>
      </c>
      <c r="B21" s="109" t="s">
        <v>144</v>
      </c>
      <c r="C21" s="122">
        <f>+A21</f>
        <v>20</v>
      </c>
      <c r="D21" s="122" t="s">
        <v>159</v>
      </c>
      <c r="E21" s="123">
        <v>2.2799999999999998</v>
      </c>
      <c r="F21" s="123">
        <f>IFERROR(E21*C21,"")</f>
        <v>45.599999999999994</v>
      </c>
      <c r="G21" s="124">
        <f t="shared" si="3"/>
        <v>2.4765299904523252E-2</v>
      </c>
      <c r="H21" s="125" t="s">
        <v>143</v>
      </c>
      <c r="I21" s="125"/>
      <c r="J21" s="126"/>
    </row>
    <row r="22" spans="1:12" ht="13.5" hidden="1" x14ac:dyDescent="0.25">
      <c r="A22" s="121"/>
      <c r="B22" s="109" t="str">
        <f>IFERROR(VLOOKUP(H22,[1]SEMIELABORADOS!$A$2:$M$6000,2,0),"")</f>
        <v/>
      </c>
      <c r="C22" s="122">
        <f t="shared" si="4"/>
        <v>0</v>
      </c>
      <c r="D22" s="122" t="str">
        <f>IFERROR(VLOOKUP(H22,[1]SEMIELABORADOS!$A$2:$M$6000,6,0),"")</f>
        <v/>
      </c>
      <c r="E22" s="123" t="str">
        <f>IFERROR(VLOOKUP(H22,[1]SEMIELABORADOS!$A$2:$H$65536,8,0),"")</f>
        <v/>
      </c>
      <c r="F22" s="123" t="str">
        <f t="shared" si="5"/>
        <v/>
      </c>
      <c r="G22" s="124" t="str">
        <f t="shared" si="3"/>
        <v/>
      </c>
      <c r="H22" s="125"/>
      <c r="I22" s="125"/>
      <c r="J22" s="126"/>
    </row>
    <row r="23" spans="1:12" ht="13.5" hidden="1" x14ac:dyDescent="0.25">
      <c r="A23" s="121"/>
      <c r="B23" s="109" t="str">
        <f>IFERROR(VLOOKUP(H23,[1]SEMIELABORADOS!$A$2:$M$6000,2,0),"")</f>
        <v/>
      </c>
      <c r="C23" s="122">
        <f t="shared" si="4"/>
        <v>0</v>
      </c>
      <c r="D23" s="122" t="str">
        <f>IFERROR(VLOOKUP(H23,[1]SEMIELABORADOS!$A$2:$M$6000,6,0),"")</f>
        <v/>
      </c>
      <c r="E23" s="123" t="str">
        <f>IFERROR(VLOOKUP(H23,[1]SEMIELABORADOS!$A$2:$H$65536,8,0),"")</f>
        <v/>
      </c>
      <c r="F23" s="123" t="str">
        <f t="shared" si="5"/>
        <v/>
      </c>
      <c r="G23" s="124" t="str">
        <f t="shared" si="3"/>
        <v/>
      </c>
      <c r="H23" s="125"/>
      <c r="I23" s="125"/>
      <c r="J23" s="126"/>
    </row>
    <row r="24" spans="1:12" ht="13.5" hidden="1" x14ac:dyDescent="0.25">
      <c r="A24" s="121"/>
      <c r="B24" s="109" t="str">
        <f>IFERROR(VLOOKUP(H24,[1]SEMIELABORADOS!$A$2:$M$6000,2,0),"")</f>
        <v/>
      </c>
      <c r="C24" s="122">
        <f t="shared" si="4"/>
        <v>0</v>
      </c>
      <c r="D24" s="122" t="str">
        <f>IFERROR(VLOOKUP(H24,[1]SEMIELABORADOS!$A$2:$M$6000,6,0),"")</f>
        <v/>
      </c>
      <c r="E24" s="123" t="str">
        <f>IFERROR(VLOOKUP(H24,[1]SEMIELABORADOS!$A$2:$H$65536,8,0),"")</f>
        <v/>
      </c>
      <c r="F24" s="123" t="str">
        <f t="shared" si="5"/>
        <v/>
      </c>
      <c r="G24" s="124" t="str">
        <f t="shared" si="3"/>
        <v/>
      </c>
      <c r="H24" s="125"/>
      <c r="I24" s="125"/>
      <c r="J24" s="126"/>
    </row>
    <row r="25" spans="1:12" ht="14.25" thickBot="1" x14ac:dyDescent="0.3">
      <c r="A25" s="121"/>
      <c r="C25" s="122"/>
      <c r="D25" s="122"/>
      <c r="E25" s="123"/>
      <c r="F25" s="123"/>
      <c r="G25" s="124"/>
      <c r="H25" s="125"/>
      <c r="I25" s="125"/>
      <c r="J25" s="126"/>
    </row>
    <row r="26" spans="1:12" ht="39" thickBot="1" x14ac:dyDescent="0.25">
      <c r="A26" s="116" t="s">
        <v>152</v>
      </c>
      <c r="B26" s="117" t="s">
        <v>77</v>
      </c>
      <c r="C26" s="117" t="s">
        <v>152</v>
      </c>
      <c r="D26" s="118" t="s">
        <v>154</v>
      </c>
      <c r="E26" s="118" t="s">
        <v>155</v>
      </c>
      <c r="F26" s="118" t="s">
        <v>156</v>
      </c>
      <c r="G26" s="118" t="s">
        <v>157</v>
      </c>
      <c r="H26" s="119" t="s">
        <v>158</v>
      </c>
      <c r="I26" s="120"/>
    </row>
    <row r="27" spans="1:12" ht="13.5" x14ac:dyDescent="0.25">
      <c r="A27" s="121">
        <v>1</v>
      </c>
      <c r="B27" s="127" t="str">
        <f>IFERROR(VLOOKUP(H27,'[1]Consolidado MP Planta'!$A$2:$M$823,3,0),"")</f>
        <v>QUEQUERA RED  BASE/DOMO 10 (CAJA:50)</v>
      </c>
      <c r="C27" s="122">
        <f t="shared" ref="C27:C33" si="6">+A27</f>
        <v>1</v>
      </c>
      <c r="D27" s="123" t="str">
        <f>IFERROR(VLOOKUP(H27,'[1]Consolidado MP Planta'!$A$2:$M$823,13,0),"")</f>
        <v>UND</v>
      </c>
      <c r="E27" s="123">
        <v>394.97</v>
      </c>
      <c r="F27" s="123">
        <f t="shared" ref="F27:F33" si="7">IFERROR(C27*E27,"")</f>
        <v>394.97</v>
      </c>
      <c r="G27" s="124">
        <f t="shared" ref="G27:G33" si="8">IFERROR(F27/$F$67,"")</f>
        <v>0.21450768647564802</v>
      </c>
      <c r="H27" s="128" t="s">
        <v>200</v>
      </c>
      <c r="I27" s="128"/>
      <c r="J27" s="126"/>
      <c r="K27" s="504"/>
      <c r="L27" s="504"/>
    </row>
    <row r="28" spans="1:12" ht="13.5" x14ac:dyDescent="0.25">
      <c r="A28" s="121">
        <v>1</v>
      </c>
      <c r="B28" s="127" t="str">
        <f>IFERROR(VLOOKUP(H28,'[1]Consolidado MP Planta'!$A$2:$M$823,3,0),"")</f>
        <v>ORLA CARTON 10" DORADA (UND)</v>
      </c>
      <c r="C28" s="122">
        <f t="shared" si="6"/>
        <v>1</v>
      </c>
      <c r="D28" s="123" t="str">
        <f>IFERROR(VLOOKUP(H28,'[1]Consolidado MP Planta'!$A$2:$M$823,13,0),"")</f>
        <v>Und</v>
      </c>
      <c r="E28" s="123">
        <v>112</v>
      </c>
      <c r="F28" s="123">
        <f t="shared" si="7"/>
        <v>112</v>
      </c>
      <c r="G28" s="124">
        <f t="shared" si="8"/>
        <v>6.0827052397074657E-2</v>
      </c>
      <c r="H28" s="128" t="s">
        <v>81</v>
      </c>
      <c r="I28" s="128"/>
      <c r="J28" s="126"/>
      <c r="K28" s="504"/>
      <c r="L28" s="504"/>
    </row>
    <row r="29" spans="1:12" ht="13.5" x14ac:dyDescent="0.25">
      <c r="A29" s="121">
        <v>1</v>
      </c>
      <c r="B29" s="127" t="str">
        <f>IFERROR(VLOOKUP(H29,'[1]Consolidado MP Planta'!$A$2:$M$823,3,0),"")</f>
        <v>ETIQUETA BLANCA R-153 (UND)</v>
      </c>
      <c r="C29" s="122">
        <f t="shared" ref="C29" si="9">+A29</f>
        <v>1</v>
      </c>
      <c r="D29" s="123" t="str">
        <f>IFERROR(VLOOKUP(H29,'[1]Consolidado MP Planta'!$A$2:$M$823,13,0),"")</f>
        <v>Und</v>
      </c>
      <c r="E29" s="123">
        <f>IFERROR(VLOOKUP(H29,'[1]Consolidado MP Planta'!$A$2:$M$823,12,0),"")</f>
        <v>0.39</v>
      </c>
      <c r="F29" s="123">
        <f t="shared" ref="F29" si="10">IFERROR(C29*E29,"")</f>
        <v>0.39</v>
      </c>
      <c r="G29" s="124">
        <f t="shared" si="8"/>
        <v>2.1180848602552784E-4</v>
      </c>
      <c r="H29" s="128" t="s">
        <v>201</v>
      </c>
      <c r="I29" s="128"/>
      <c r="J29" s="126"/>
      <c r="K29" s="107"/>
      <c r="L29" s="107"/>
    </row>
    <row r="30" spans="1:12" ht="13.5" x14ac:dyDescent="0.25">
      <c r="A30" s="121">
        <v>1</v>
      </c>
      <c r="B30" s="127" t="str">
        <f>IFERROR(VLOOKUP(H30,'[1]Consolidado MP Planta'!$A$2:$M$823,3,0),"")</f>
        <v>ETIQUETA BLANCA 2 5/8X1 15/16 (UND)</v>
      </c>
      <c r="C30" s="122">
        <f t="shared" si="6"/>
        <v>1</v>
      </c>
      <c r="D30" s="123" t="str">
        <f>IFERROR(VLOOKUP(H30,'[1]Consolidado MP Planta'!$A$2:$M$823,13,0),"")</f>
        <v>Und</v>
      </c>
      <c r="E30" s="123">
        <f>IFERROR(VLOOKUP(H30,'[1]Consolidado MP Planta'!$A$2:$M$823,12,0),"")</f>
        <v>2.1280000000000001</v>
      </c>
      <c r="F30" s="123">
        <f t="shared" si="7"/>
        <v>2.1280000000000001</v>
      </c>
      <c r="G30" s="124">
        <f t="shared" si="8"/>
        <v>1.1557139955444187E-3</v>
      </c>
      <c r="H30" s="128" t="s">
        <v>202</v>
      </c>
      <c r="I30" s="128"/>
      <c r="J30" s="126"/>
      <c r="K30" s="504"/>
      <c r="L30" s="504"/>
    </row>
    <row r="31" spans="1:12" ht="13.5" x14ac:dyDescent="0.25">
      <c r="A31" s="121">
        <v>1</v>
      </c>
      <c r="B31" s="127" t="str">
        <f>IFERROR(VLOOKUP(H31,'[1]Consolidado MP Planta'!$A$2:$M$823,3,0),"")</f>
        <v>ETIQ.BLANCA 1 1/4 * 3/4 (UND)</v>
      </c>
      <c r="C31" s="122">
        <f t="shared" si="6"/>
        <v>1</v>
      </c>
      <c r="D31" s="123" t="str">
        <f>IFERROR(VLOOKUP(H31,'[1]Consolidado MP Planta'!$A$2:$M$823,13,0),"")</f>
        <v>Und</v>
      </c>
      <c r="E31" s="123">
        <f>IFERROR(VLOOKUP(H31,'[1]Consolidado MP Planta'!$A$2:$M$823,12,0),"")</f>
        <v>0.57999999999999996</v>
      </c>
      <c r="F31" s="123">
        <f t="shared" si="7"/>
        <v>0.57999999999999996</v>
      </c>
      <c r="G31" s="124">
        <f t="shared" si="8"/>
        <v>3.1499723562770801E-4</v>
      </c>
      <c r="H31" s="128" t="s">
        <v>203</v>
      </c>
      <c r="I31" s="128"/>
      <c r="J31" s="126"/>
      <c r="K31" s="504"/>
      <c r="L31" s="504"/>
    </row>
    <row r="32" spans="1:12" ht="13.5" x14ac:dyDescent="0.25">
      <c r="A32" s="121">
        <v>1</v>
      </c>
      <c r="B32" s="127" t="s">
        <v>136</v>
      </c>
      <c r="C32" s="122">
        <f t="shared" si="6"/>
        <v>1</v>
      </c>
      <c r="D32" s="123" t="s">
        <v>198</v>
      </c>
      <c r="E32" s="123">
        <v>100</v>
      </c>
      <c r="F32" s="123">
        <f t="shared" si="7"/>
        <v>100</v>
      </c>
      <c r="G32" s="124">
        <f t="shared" si="8"/>
        <v>5.4309868211673801E-2</v>
      </c>
      <c r="H32" s="128"/>
      <c r="I32" s="128"/>
      <c r="J32" s="126"/>
      <c r="K32" s="129"/>
      <c r="L32" s="130"/>
    </row>
    <row r="33" spans="1:13" ht="13.5" x14ac:dyDescent="0.25">
      <c r="A33" s="121"/>
      <c r="B33" s="127" t="str">
        <f>IFERROR(VLOOKUP(H33,'[1]Consolidado MP Planta'!$A$2:$M$823,3,0),"")</f>
        <v/>
      </c>
      <c r="C33" s="122">
        <f t="shared" si="6"/>
        <v>0</v>
      </c>
      <c r="D33" s="123" t="str">
        <f>IFERROR(VLOOKUP(H33,'[1]Consolidado MP Planta'!$A$2:$M$823,13,0),"")</f>
        <v/>
      </c>
      <c r="E33" s="123" t="str">
        <f>IFERROR(VLOOKUP(H33,'[1]Consolidado MP Planta'!$A$2:$M$823,12,0),"")</f>
        <v/>
      </c>
      <c r="F33" s="123" t="str">
        <f t="shared" si="7"/>
        <v/>
      </c>
      <c r="G33" s="124" t="str">
        <f t="shared" si="8"/>
        <v/>
      </c>
      <c r="H33" s="128"/>
      <c r="I33" s="128"/>
      <c r="J33" s="126"/>
    </row>
    <row r="34" spans="1:13" ht="14.25" thickBot="1" x14ac:dyDescent="0.3">
      <c r="A34" s="121"/>
      <c r="B34" s="127"/>
      <c r="C34" s="122"/>
      <c r="D34" s="123"/>
      <c r="E34" s="123"/>
      <c r="F34" s="123"/>
      <c r="G34" s="124"/>
      <c r="H34" s="128"/>
      <c r="I34" s="128"/>
      <c r="J34" s="126"/>
    </row>
    <row r="35" spans="1:13" ht="39" thickBot="1" x14ac:dyDescent="0.25">
      <c r="A35" s="116" t="s">
        <v>152</v>
      </c>
      <c r="B35" s="117" t="s">
        <v>161</v>
      </c>
      <c r="C35" s="117" t="s">
        <v>152</v>
      </c>
      <c r="D35" s="118" t="s">
        <v>154</v>
      </c>
      <c r="E35" s="118" t="s">
        <v>155</v>
      </c>
      <c r="F35" s="118" t="s">
        <v>156</v>
      </c>
      <c r="G35" s="118" t="s">
        <v>157</v>
      </c>
      <c r="H35" s="119" t="s">
        <v>158</v>
      </c>
      <c r="I35" s="128"/>
      <c r="J35" s="126"/>
    </row>
    <row r="36" spans="1:13" ht="13.5" x14ac:dyDescent="0.25">
      <c r="A36" s="121">
        <f t="shared" ref="A36:A42" si="11">+A17</f>
        <v>1</v>
      </c>
      <c r="B36" s="109" t="s">
        <v>133</v>
      </c>
      <c r="C36" s="122">
        <f>+A36</f>
        <v>1</v>
      </c>
      <c r="D36" s="123" t="s">
        <v>199</v>
      </c>
      <c r="E36" s="123" t="e">
        <f>+#REF!</f>
        <v>#REF!</v>
      </c>
      <c r="F36" s="123" t="str">
        <f>IFERROR(E36*C36,"")</f>
        <v/>
      </c>
      <c r="G36" s="124" t="str">
        <f t="shared" ref="G36:G42" si="12">IFERROR(F36/$F$67,"")</f>
        <v/>
      </c>
      <c r="H36" s="128" t="s">
        <v>100</v>
      </c>
      <c r="I36" s="128"/>
      <c r="J36" s="126"/>
    </row>
    <row r="37" spans="1:13" ht="13.5" x14ac:dyDescent="0.25">
      <c r="A37" s="121">
        <f t="shared" si="11"/>
        <v>135</v>
      </c>
      <c r="B37" s="127" t="s">
        <v>106</v>
      </c>
      <c r="C37" s="122">
        <f t="shared" ref="C37:C42" si="13">+A37</f>
        <v>135</v>
      </c>
      <c r="D37" s="123" t="s">
        <v>159</v>
      </c>
      <c r="E37" s="123">
        <v>0.01</v>
      </c>
      <c r="F37" s="123">
        <f t="shared" ref="F37:F42" si="14">IFERROR(E37*C37,"")</f>
        <v>1.35</v>
      </c>
      <c r="G37" s="124">
        <f t="shared" si="12"/>
        <v>7.3318322085759642E-4</v>
      </c>
      <c r="H37" s="125" t="s">
        <v>105</v>
      </c>
      <c r="I37" s="128"/>
      <c r="J37" s="126"/>
    </row>
    <row r="38" spans="1:13" ht="13.5" x14ac:dyDescent="0.25">
      <c r="A38" s="121">
        <f t="shared" si="11"/>
        <v>70</v>
      </c>
      <c r="B38" s="109" t="s">
        <v>101</v>
      </c>
      <c r="C38" s="122">
        <f t="shared" si="13"/>
        <v>70</v>
      </c>
      <c r="D38" s="123" t="s">
        <v>159</v>
      </c>
      <c r="E38" s="123" t="e">
        <f>+#REF!</f>
        <v>#REF!</v>
      </c>
      <c r="F38" s="123" t="str">
        <f t="shared" si="14"/>
        <v/>
      </c>
      <c r="G38" s="124" t="str">
        <f t="shared" si="12"/>
        <v/>
      </c>
      <c r="H38" s="125" t="s">
        <v>100</v>
      </c>
      <c r="I38" s="128"/>
      <c r="J38" s="126"/>
    </row>
    <row r="39" spans="1:13" ht="13.5" x14ac:dyDescent="0.25">
      <c r="A39" s="121">
        <f t="shared" si="11"/>
        <v>10</v>
      </c>
      <c r="B39" s="127" t="s">
        <v>108</v>
      </c>
      <c r="C39" s="122">
        <f>+A39</f>
        <v>10</v>
      </c>
      <c r="D39" s="123" t="s">
        <v>159</v>
      </c>
      <c r="E39" s="123">
        <v>0.02</v>
      </c>
      <c r="F39" s="123">
        <f>IFERROR(E39*C39,"")</f>
        <v>0.2</v>
      </c>
      <c r="G39" s="124">
        <f t="shared" si="12"/>
        <v>1.0861973642334761E-4</v>
      </c>
      <c r="H39" s="128"/>
      <c r="I39" s="128"/>
      <c r="J39" s="126"/>
    </row>
    <row r="40" spans="1:13" ht="13.5" x14ac:dyDescent="0.25">
      <c r="A40" s="121">
        <f t="shared" si="11"/>
        <v>20</v>
      </c>
      <c r="B40" s="127" t="s">
        <v>144</v>
      </c>
      <c r="C40" s="122">
        <f>+A40</f>
        <v>20</v>
      </c>
      <c r="D40" s="123" t="s">
        <v>159</v>
      </c>
      <c r="E40" s="123">
        <v>0.01</v>
      </c>
      <c r="F40" s="123">
        <f>IFERROR(E40*C40,"")</f>
        <v>0.2</v>
      </c>
      <c r="G40" s="124">
        <f t="shared" si="12"/>
        <v>1.0861973642334761E-4</v>
      </c>
      <c r="H40" s="128"/>
      <c r="I40" s="128"/>
      <c r="J40" s="126"/>
    </row>
    <row r="41" spans="1:13" ht="13.5" x14ac:dyDescent="0.25">
      <c r="A41" s="121">
        <f t="shared" si="11"/>
        <v>0</v>
      </c>
      <c r="B41" s="127" t="str">
        <f>IFERROR(VLOOKUP(H41,[1]SEMIELABORADOS!$A$2:$M$6000,2,0),"")</f>
        <v/>
      </c>
      <c r="C41" s="122">
        <f t="shared" si="13"/>
        <v>0</v>
      </c>
      <c r="D41" s="123" t="str">
        <f>IFERROR(VLOOKUP(H41,[1]SEMIELABORADOS!$A$2:$M$6000,6,0),"")</f>
        <v/>
      </c>
      <c r="E41" s="123" t="str">
        <f>IFERROR(VLOOKUP(H41,[1]SEMIELABORADOS!$A$2:$M$65536,10,0),"")</f>
        <v/>
      </c>
      <c r="F41" s="123" t="str">
        <f t="shared" si="14"/>
        <v/>
      </c>
      <c r="G41" s="124" t="str">
        <f t="shared" si="12"/>
        <v/>
      </c>
      <c r="H41" s="128"/>
      <c r="I41" s="128"/>
      <c r="J41" s="126"/>
    </row>
    <row r="42" spans="1:13" ht="13.5" x14ac:dyDescent="0.25">
      <c r="A42" s="121">
        <f t="shared" si="11"/>
        <v>0</v>
      </c>
      <c r="B42" s="127" t="str">
        <f>IFERROR(VLOOKUP(H42,[1]SEMIELABORADOS!$A$2:$M$6000,2,0),"")</f>
        <v/>
      </c>
      <c r="C42" s="122">
        <f t="shared" si="13"/>
        <v>0</v>
      </c>
      <c r="D42" s="123" t="str">
        <f>IFERROR(VLOOKUP(H42,[1]SEMIELABORADOS!$A$2:$M$6000,6,0),"")</f>
        <v/>
      </c>
      <c r="E42" s="123" t="str">
        <f>IFERROR(VLOOKUP(H42,[1]SEMIELABORADOS!$A$2:$M$65536,10,0),"")</f>
        <v/>
      </c>
      <c r="F42" s="123" t="str">
        <f t="shared" si="14"/>
        <v/>
      </c>
      <c r="G42" s="124" t="str">
        <f t="shared" si="12"/>
        <v/>
      </c>
      <c r="H42" s="128"/>
      <c r="I42" s="128"/>
      <c r="J42" s="126"/>
    </row>
    <row r="43" spans="1:13" ht="14.25" thickBot="1" x14ac:dyDescent="0.3">
      <c r="A43" s="121"/>
      <c r="B43" s="127"/>
      <c r="C43" s="122"/>
      <c r="D43" s="123"/>
      <c r="E43" s="123"/>
      <c r="F43" s="123"/>
      <c r="G43" s="124"/>
      <c r="H43" s="128"/>
      <c r="I43" s="128"/>
      <c r="J43" s="126"/>
    </row>
    <row r="44" spans="1:13" ht="39" thickBot="1" x14ac:dyDescent="0.25">
      <c r="A44" s="116" t="s">
        <v>152</v>
      </c>
      <c r="B44" s="117" t="s">
        <v>162</v>
      </c>
      <c r="C44" s="117" t="s">
        <v>152</v>
      </c>
      <c r="D44" s="118" t="s">
        <v>154</v>
      </c>
      <c r="E44" s="118" t="s">
        <v>155</v>
      </c>
      <c r="F44" s="118" t="s">
        <v>156</v>
      </c>
      <c r="G44" s="118" t="s">
        <v>157</v>
      </c>
      <c r="H44" s="119" t="s">
        <v>158</v>
      </c>
      <c r="I44" s="120"/>
      <c r="J44" s="126"/>
    </row>
    <row r="45" spans="1:13" ht="13.5" x14ac:dyDescent="0.25">
      <c r="A45" s="121">
        <f>+A36</f>
        <v>1</v>
      </c>
      <c r="B45" s="109" t="s">
        <v>133</v>
      </c>
      <c r="C45" s="122">
        <f>+A45</f>
        <v>1</v>
      </c>
      <c r="D45" s="123" t="s">
        <v>198</v>
      </c>
      <c r="E45" s="123" t="e">
        <f>+#REF!</f>
        <v>#REF!</v>
      </c>
      <c r="F45" s="123" t="str">
        <f>IFERROR(E45*C45,"")</f>
        <v/>
      </c>
      <c r="G45" s="124" t="str">
        <f>IFERROR(F45/$F$67,"")</f>
        <v/>
      </c>
      <c r="H45" s="128" t="s">
        <v>100</v>
      </c>
      <c r="I45" s="120"/>
      <c r="J45" s="126"/>
    </row>
    <row r="46" spans="1:13" ht="13.5" x14ac:dyDescent="0.25">
      <c r="A46" s="121">
        <f t="shared" ref="A46:A51" si="15">+A37</f>
        <v>135</v>
      </c>
      <c r="B46" s="127" t="s">
        <v>106</v>
      </c>
      <c r="C46" s="122">
        <f t="shared" ref="C46:C51" si="16">+A46</f>
        <v>135</v>
      </c>
      <c r="D46" s="123" t="s">
        <v>159</v>
      </c>
      <c r="E46" s="123">
        <v>0.03</v>
      </c>
      <c r="F46" s="123">
        <f t="shared" ref="F46:F51" si="17">IFERROR(E46*C46,"")</f>
        <v>4.05</v>
      </c>
      <c r="G46" s="124">
        <f t="shared" ref="G46:G51" si="18">IFERROR(F46/$F$67,"")</f>
        <v>2.199549662572789E-3</v>
      </c>
      <c r="H46" s="125" t="s">
        <v>105</v>
      </c>
      <c r="I46" s="120"/>
      <c r="J46" s="126"/>
      <c r="M46" s="131"/>
    </row>
    <row r="47" spans="1:13" ht="13.5" x14ac:dyDescent="0.25">
      <c r="A47" s="121">
        <f t="shared" si="15"/>
        <v>70</v>
      </c>
      <c r="B47" s="109" t="s">
        <v>101</v>
      </c>
      <c r="C47" s="122">
        <f t="shared" si="16"/>
        <v>70</v>
      </c>
      <c r="D47" s="123" t="s">
        <v>159</v>
      </c>
      <c r="E47" s="123" t="e">
        <f>+#REF!</f>
        <v>#REF!</v>
      </c>
      <c r="F47" s="123" t="str">
        <f t="shared" si="17"/>
        <v/>
      </c>
      <c r="G47" s="124" t="str">
        <f t="shared" si="18"/>
        <v/>
      </c>
      <c r="H47" s="128" t="s">
        <v>100</v>
      </c>
      <c r="I47" s="120"/>
      <c r="J47" s="126"/>
    </row>
    <row r="48" spans="1:13" ht="13.5" x14ac:dyDescent="0.25">
      <c r="A48" s="121">
        <f t="shared" si="15"/>
        <v>10</v>
      </c>
      <c r="B48" s="127" t="s">
        <v>108</v>
      </c>
      <c r="C48" s="122">
        <f t="shared" si="16"/>
        <v>10</v>
      </c>
      <c r="D48" s="123" t="s">
        <v>159</v>
      </c>
      <c r="E48" s="123">
        <v>0.03</v>
      </c>
      <c r="F48" s="123">
        <f t="shared" si="17"/>
        <v>0.3</v>
      </c>
      <c r="G48" s="124">
        <f t="shared" si="18"/>
        <v>1.6292960463502141E-4</v>
      </c>
      <c r="H48" s="128"/>
      <c r="I48" s="120"/>
      <c r="J48" s="126"/>
    </row>
    <row r="49" spans="1:17" ht="13.5" x14ac:dyDescent="0.25">
      <c r="A49" s="121">
        <f t="shared" si="15"/>
        <v>20</v>
      </c>
      <c r="B49" s="127" t="s">
        <v>144</v>
      </c>
      <c r="C49" s="122">
        <f t="shared" si="16"/>
        <v>20</v>
      </c>
      <c r="D49" s="123" t="s">
        <v>159</v>
      </c>
      <c r="E49" s="123">
        <v>0.01</v>
      </c>
      <c r="F49" s="123">
        <f t="shared" si="17"/>
        <v>0.2</v>
      </c>
      <c r="G49" s="124">
        <f t="shared" si="18"/>
        <v>1.0861973642334761E-4</v>
      </c>
      <c r="H49" s="128"/>
      <c r="I49" s="120"/>
      <c r="J49" s="126"/>
    </row>
    <row r="50" spans="1:17" ht="13.5" hidden="1" x14ac:dyDescent="0.25">
      <c r="A50" s="121">
        <f t="shared" si="15"/>
        <v>0</v>
      </c>
      <c r="B50" s="127" t="str">
        <f>IFERROR(VLOOKUP(H50,[1]SEMIELABORADOS!$A$2:$M$6000,2,0),"")</f>
        <v/>
      </c>
      <c r="C50" s="122">
        <f t="shared" si="16"/>
        <v>0</v>
      </c>
      <c r="D50" s="123" t="str">
        <f>IFERROR(VLOOKUP(H50,[1]SEMIELABORADOS!$A$2:$M$6000,6,0),"")</f>
        <v/>
      </c>
      <c r="E50" s="123" t="str">
        <f>IFERROR(VLOOKUP(H50,[1]SEMIELABORADOS!$A$2:$M$65536,12,0),"")</f>
        <v/>
      </c>
      <c r="F50" s="123" t="str">
        <f t="shared" si="17"/>
        <v/>
      </c>
      <c r="G50" s="124" t="str">
        <f t="shared" si="18"/>
        <v/>
      </c>
      <c r="H50" s="128"/>
      <c r="I50" s="120"/>
      <c r="J50" s="126"/>
    </row>
    <row r="51" spans="1:17" ht="13.5" hidden="1" x14ac:dyDescent="0.25">
      <c r="A51" s="121">
        <f t="shared" si="15"/>
        <v>0</v>
      </c>
      <c r="B51" s="127" t="str">
        <f>IFERROR(VLOOKUP(H51,[1]SEMIELABORADOS!$A$2:$M$6000,2,0),"")</f>
        <v/>
      </c>
      <c r="C51" s="122">
        <f t="shared" si="16"/>
        <v>0</v>
      </c>
      <c r="D51" s="123" t="str">
        <f>IFERROR(VLOOKUP(H51,[1]SEMIELABORADOS!$A$2:$M$6000,6,0),"")</f>
        <v/>
      </c>
      <c r="E51" s="123" t="str">
        <f>IFERROR(VLOOKUP(H51,[1]SEMIELABORADOS!$A$2:$M$65536,12,0),"")</f>
        <v/>
      </c>
      <c r="F51" s="123" t="str">
        <f t="shared" si="17"/>
        <v/>
      </c>
      <c r="G51" s="124" t="str">
        <f t="shared" si="18"/>
        <v/>
      </c>
      <c r="H51" s="127"/>
      <c r="I51" s="120"/>
      <c r="J51" s="126"/>
    </row>
    <row r="52" spans="1:17" ht="13.5" x14ac:dyDescent="0.25">
      <c r="A52" s="121">
        <v>1</v>
      </c>
      <c r="B52" s="127" t="s">
        <v>163</v>
      </c>
      <c r="C52" s="122">
        <f>+A52</f>
        <v>1</v>
      </c>
      <c r="D52" s="122" t="s">
        <v>164</v>
      </c>
      <c r="E52" s="123">
        <f>+F66</f>
        <v>308</v>
      </c>
      <c r="F52" s="123">
        <f>IFERROR(C52*E52,"")</f>
        <v>308</v>
      </c>
      <c r="G52" s="124">
        <f>IFERROR(F52/$F$67,"")</f>
        <v>0.16727439409195533</v>
      </c>
      <c r="H52" s="132"/>
      <c r="I52" s="132"/>
      <c r="J52" s="126"/>
    </row>
    <row r="53" spans="1:17" ht="14.25" thickBot="1" x14ac:dyDescent="0.3">
      <c r="A53" s="121"/>
      <c r="B53" s="127"/>
      <c r="C53" s="122"/>
      <c r="D53" s="122"/>
      <c r="E53" s="123"/>
      <c r="F53" s="123"/>
      <c r="G53" s="124"/>
      <c r="H53" s="132"/>
      <c r="I53" s="132"/>
      <c r="J53" s="126"/>
    </row>
    <row r="54" spans="1:17" ht="13.5" thickBot="1" x14ac:dyDescent="0.25">
      <c r="A54" s="133"/>
      <c r="B54" s="514" t="s">
        <v>165</v>
      </c>
      <c r="C54" s="514"/>
      <c r="D54" s="514"/>
      <c r="E54" s="514"/>
      <c r="F54" s="135">
        <f>SUM(F8:F14,F17:F24)</f>
        <v>903.39999999999986</v>
      </c>
      <c r="G54" s="124">
        <f>+F54/$F$67</f>
        <v>0.49063534942426107</v>
      </c>
      <c r="H54" s="136">
        <f>+F54/$D$61</f>
        <v>903.39999999999986</v>
      </c>
      <c r="I54" s="136"/>
      <c r="J54" s="137"/>
      <c r="K54" s="138"/>
      <c r="L54" s="138"/>
      <c r="M54" s="138"/>
      <c r="N54" s="138"/>
      <c r="O54" s="138"/>
      <c r="P54" s="138"/>
      <c r="Q54" s="139"/>
    </row>
    <row r="55" spans="1:17" x14ac:dyDescent="0.2">
      <c r="A55" s="133"/>
      <c r="B55" s="514" t="s">
        <v>166</v>
      </c>
      <c r="C55" s="514"/>
      <c r="D55" s="514"/>
      <c r="E55" s="514"/>
      <c r="F55" s="135">
        <f>SUM(F27:F33,F36:F42)</f>
        <v>611.8180000000001</v>
      </c>
      <c r="G55" s="124">
        <f>+F55/$F$67</f>
        <v>0.33227754949529847</v>
      </c>
      <c r="H55" s="136">
        <f>+F55/$D$61</f>
        <v>611.8180000000001</v>
      </c>
      <c r="I55" s="136"/>
      <c r="J55" s="140"/>
      <c r="K55" s="515" t="s">
        <v>167</v>
      </c>
      <c r="L55" s="516"/>
      <c r="M55" s="516"/>
      <c r="N55" s="516"/>
      <c r="O55" s="141">
        <f>+F56</f>
        <v>1515.2179999999998</v>
      </c>
      <c r="P55" s="141"/>
      <c r="Q55" s="142"/>
    </row>
    <row r="56" spans="1:17" x14ac:dyDescent="0.2">
      <c r="A56" s="133"/>
      <c r="B56" s="514" t="s">
        <v>168</v>
      </c>
      <c r="C56" s="514"/>
      <c r="D56" s="514"/>
      <c r="E56" s="514"/>
      <c r="F56" s="135">
        <f>+F54+F55</f>
        <v>1515.2179999999998</v>
      </c>
      <c r="G56" s="124">
        <f>+F56/$F$67</f>
        <v>0.82291289891955943</v>
      </c>
      <c r="H56" s="136">
        <f>+F56/$D$61</f>
        <v>1515.2179999999998</v>
      </c>
      <c r="I56" s="136"/>
      <c r="J56" s="143"/>
      <c r="K56" s="144"/>
      <c r="M56" s="145" t="s">
        <v>169</v>
      </c>
      <c r="N56" s="146"/>
      <c r="O56" s="141">
        <f>+H57</f>
        <v>312.55</v>
      </c>
      <c r="P56" s="141"/>
      <c r="Q56" s="142"/>
    </row>
    <row r="57" spans="1:17" ht="13.5" thickBot="1" x14ac:dyDescent="0.25">
      <c r="A57" s="133"/>
      <c r="B57" s="134"/>
      <c r="C57" s="514" t="s">
        <v>170</v>
      </c>
      <c r="D57" s="514"/>
      <c r="E57" s="514"/>
      <c r="F57" s="135">
        <f>SUM(F45:F52)</f>
        <v>312.55</v>
      </c>
      <c r="G57" s="124">
        <f>+F57/$F$67</f>
        <v>0.16974549309558648</v>
      </c>
      <c r="H57" s="136">
        <f>+F57/$D$61</f>
        <v>312.55</v>
      </c>
      <c r="I57" s="136"/>
      <c r="J57" s="143"/>
      <c r="K57" s="144"/>
      <c r="L57" s="144"/>
      <c r="M57" s="144" t="s">
        <v>171</v>
      </c>
      <c r="N57" s="147"/>
      <c r="O57" s="141">
        <f>O55*N57</f>
        <v>0</v>
      </c>
      <c r="P57" s="141"/>
      <c r="Q57" s="142"/>
    </row>
    <row r="58" spans="1:17" ht="13.5" thickBot="1" x14ac:dyDescent="0.25">
      <c r="A58" s="133"/>
      <c r="B58" s="148"/>
      <c r="C58" s="148"/>
      <c r="D58" s="148"/>
      <c r="E58" s="148"/>
      <c r="F58" s="149"/>
      <c r="G58" s="124"/>
      <c r="H58" s="150"/>
      <c r="I58" s="136"/>
      <c r="J58" s="143"/>
      <c r="K58" s="151"/>
      <c r="M58" s="152" t="s">
        <v>172</v>
      </c>
      <c r="N58" s="153"/>
      <c r="O58" s="154">
        <f>SUM(O55:O57)</f>
        <v>1827.7679999999998</v>
      </c>
      <c r="P58" s="155"/>
      <c r="Q58" s="142"/>
    </row>
    <row r="59" spans="1:17" x14ac:dyDescent="0.2">
      <c r="B59" s="517" t="s">
        <v>173</v>
      </c>
      <c r="C59" s="517"/>
      <c r="D59" s="156">
        <v>1400</v>
      </c>
      <c r="E59" s="157"/>
      <c r="G59" s="124"/>
      <c r="H59" s="150">
        <f>+H57/77</f>
        <v>4.0590909090909095</v>
      </c>
      <c r="I59" s="158"/>
      <c r="J59" s="143"/>
      <c r="K59" s="151"/>
      <c r="L59" s="144"/>
      <c r="M59" s="144" t="s">
        <v>174</v>
      </c>
      <c r="N59" s="159"/>
      <c r="O59" s="141">
        <f>+H60</f>
        <v>259.78181818181821</v>
      </c>
      <c r="P59" s="141"/>
      <c r="Q59" s="142"/>
    </row>
    <row r="60" spans="1:17" x14ac:dyDescent="0.2">
      <c r="B60" s="517" t="s">
        <v>175</v>
      </c>
      <c r="C60" s="517"/>
      <c r="D60" s="160">
        <v>1400</v>
      </c>
      <c r="E60" s="157"/>
      <c r="G60" s="124"/>
      <c r="H60" s="150">
        <f>+H59*64</f>
        <v>259.78181818181821</v>
      </c>
      <c r="I60" s="158"/>
      <c r="J60" s="143"/>
      <c r="K60" s="151"/>
      <c r="L60" s="144"/>
      <c r="M60" s="518" t="s">
        <v>172</v>
      </c>
      <c r="N60" s="518"/>
      <c r="O60" s="141">
        <f>SUM(O58:O59)</f>
        <v>2087.549818181818</v>
      </c>
      <c r="P60" s="141"/>
      <c r="Q60" s="142"/>
    </row>
    <row r="61" spans="1:17" ht="13.5" thickBot="1" x14ac:dyDescent="0.25">
      <c r="B61" s="510" t="s">
        <v>176</v>
      </c>
      <c r="C61" s="510"/>
      <c r="D61" s="156">
        <f>+D59/D60</f>
        <v>1</v>
      </c>
      <c r="E61" s="157"/>
      <c r="F61" s="161"/>
      <c r="G61" s="124"/>
      <c r="H61" s="150"/>
      <c r="I61" s="158"/>
      <c r="J61" s="143"/>
      <c r="K61" s="151"/>
      <c r="L61" s="518"/>
      <c r="M61" s="518"/>
      <c r="N61" s="159"/>
      <c r="O61" s="141">
        <f>+O60*N61</f>
        <v>0</v>
      </c>
      <c r="P61" s="141"/>
      <c r="Q61" s="142"/>
    </row>
    <row r="62" spans="1:17" ht="13.5" thickBot="1" x14ac:dyDescent="0.25">
      <c r="B62" s="510" t="s">
        <v>177</v>
      </c>
      <c r="C62" s="510"/>
      <c r="D62" s="162"/>
      <c r="E62" s="157"/>
      <c r="F62" s="161"/>
      <c r="G62" s="124"/>
      <c r="H62" s="150"/>
      <c r="I62" s="158"/>
      <c r="J62" s="143"/>
      <c r="K62" s="511" t="s">
        <v>178</v>
      </c>
      <c r="L62" s="512"/>
      <c r="M62" s="512"/>
      <c r="N62" s="513"/>
      <c r="O62" s="154">
        <f>SUM(O60:O61)</f>
        <v>2087.549818181818</v>
      </c>
      <c r="P62" s="163" t="s">
        <v>179</v>
      </c>
      <c r="Q62" s="142"/>
    </row>
    <row r="63" spans="1:17" ht="13.5" thickBot="1" x14ac:dyDescent="0.25">
      <c r="C63" s="133" t="s">
        <v>180</v>
      </c>
      <c r="D63" s="164"/>
      <c r="E63" s="107" t="s">
        <v>181</v>
      </c>
      <c r="F63" s="165" t="s">
        <v>182</v>
      </c>
      <c r="G63" s="124"/>
      <c r="H63" s="150"/>
      <c r="I63" s="158"/>
      <c r="J63" s="166"/>
      <c r="K63" s="167"/>
      <c r="L63" s="524" t="s">
        <v>183</v>
      </c>
      <c r="M63" s="524"/>
      <c r="N63" s="524"/>
      <c r="O63" s="168">
        <f>+O62/D61</f>
        <v>2087.549818181818</v>
      </c>
      <c r="P63" s="169">
        <f>+O63/D60</f>
        <v>1.4911070129870128</v>
      </c>
      <c r="Q63" s="170"/>
    </row>
    <row r="64" spans="1:17" ht="13.5" thickBot="1" x14ac:dyDescent="0.25">
      <c r="B64" s="525" t="s">
        <v>168</v>
      </c>
      <c r="C64" s="525"/>
      <c r="D64" s="525"/>
      <c r="E64" s="171">
        <f>+F64/F64</f>
        <v>1</v>
      </c>
      <c r="F64" s="172">
        <f>SUM(F56)</f>
        <v>1515.2179999999998</v>
      </c>
      <c r="G64" s="124">
        <f>+F64/$F$67</f>
        <v>0.82291289891955943</v>
      </c>
      <c r="H64" s="150"/>
      <c r="I64" s="158"/>
      <c r="K64" s="526"/>
      <c r="L64" s="527"/>
      <c r="M64" s="527"/>
      <c r="N64" s="527"/>
      <c r="O64" s="173"/>
      <c r="P64" s="174"/>
    </row>
    <row r="65" spans="2:16" ht="13.5" thickBot="1" x14ac:dyDescent="0.25">
      <c r="B65" s="528" t="s">
        <v>184</v>
      </c>
      <c r="C65" s="528"/>
      <c r="D65" s="528"/>
      <c r="E65" s="175">
        <v>0.02</v>
      </c>
      <c r="F65" s="172">
        <f>+F54*E65</f>
        <v>18.067999999999998</v>
      </c>
      <c r="G65" s="124">
        <f>+F65/$F$67</f>
        <v>9.8127069884852217E-3</v>
      </c>
      <c r="H65" s="136"/>
      <c r="I65" s="158"/>
      <c r="J65" s="176"/>
      <c r="N65" s="109">
        <v>2</v>
      </c>
      <c r="O65" s="177">
        <v>6746.64</v>
      </c>
      <c r="P65" s="134"/>
    </row>
    <row r="66" spans="2:16" ht="13.5" thickBot="1" x14ac:dyDescent="0.25">
      <c r="B66" s="529" t="s">
        <v>185</v>
      </c>
      <c r="C66" s="530"/>
      <c r="D66" s="178">
        <v>4</v>
      </c>
      <c r="E66" s="179">
        <v>77</v>
      </c>
      <c r="F66" s="172">
        <f>+E66*D66</f>
        <v>308</v>
      </c>
      <c r="G66" s="124">
        <f>+F66/$F$67</f>
        <v>0.16727439409195533</v>
      </c>
      <c r="H66" s="136"/>
      <c r="I66" s="136"/>
      <c r="J66" s="126"/>
    </row>
    <row r="67" spans="2:16" ht="13.5" thickBot="1" x14ac:dyDescent="0.25">
      <c r="B67" s="531" t="s">
        <v>186</v>
      </c>
      <c r="C67" s="532"/>
      <c r="D67" s="532"/>
      <c r="E67" s="533"/>
      <c r="F67" s="149">
        <f>SUM(F64:F66)</f>
        <v>1841.2859999999998</v>
      </c>
      <c r="G67" s="124">
        <f>+F67/$F$67</f>
        <v>1</v>
      </c>
      <c r="H67" s="534"/>
      <c r="I67" s="136"/>
      <c r="J67" s="126"/>
      <c r="M67" s="109" t="s">
        <v>187</v>
      </c>
    </row>
    <row r="68" spans="2:16" x14ac:dyDescent="0.2">
      <c r="C68" s="131"/>
      <c r="D68" s="131"/>
      <c r="E68" s="181"/>
      <c r="F68" s="172"/>
      <c r="G68" s="124"/>
      <c r="H68" s="534"/>
      <c r="I68" s="180"/>
      <c r="J68" s="109"/>
      <c r="M68" s="109" t="s">
        <v>188</v>
      </c>
    </row>
    <row r="69" spans="2:16" ht="13.5" thickBot="1" x14ac:dyDescent="0.25">
      <c r="B69" s="519" t="s">
        <v>189</v>
      </c>
      <c r="C69" s="519"/>
      <c r="D69" s="519"/>
      <c r="E69" s="519"/>
      <c r="F69" s="519"/>
      <c r="G69" s="124"/>
      <c r="H69" s="183"/>
      <c r="I69" s="180"/>
      <c r="J69" s="109"/>
      <c r="M69" s="109" t="s">
        <v>190</v>
      </c>
    </row>
    <row r="70" spans="2:16" ht="13.5" thickBot="1" x14ac:dyDescent="0.25">
      <c r="B70" s="184" t="s">
        <v>191</v>
      </c>
      <c r="C70" s="185">
        <f>+F54</f>
        <v>903.39999999999986</v>
      </c>
      <c r="D70" s="185">
        <f>+D59</f>
        <v>1400</v>
      </c>
      <c r="E70" s="186">
        <f>+C70/D70</f>
        <v>0.64528571428571424</v>
      </c>
      <c r="F70" s="124"/>
      <c r="G70" s="183"/>
      <c r="H70" s="126"/>
      <c r="I70" s="183"/>
      <c r="J70" s="109"/>
    </row>
    <row r="71" spans="2:16" x14ac:dyDescent="0.2">
      <c r="B71" s="187"/>
      <c r="C71" s="188"/>
      <c r="D71" s="189"/>
      <c r="E71" s="172"/>
      <c r="F71" s="124"/>
      <c r="G71" s="183"/>
      <c r="H71" s="126"/>
      <c r="I71" s="126"/>
      <c r="J71" s="109"/>
    </row>
    <row r="72" spans="2:16" x14ac:dyDescent="0.2">
      <c r="B72" s="184" t="s">
        <v>192</v>
      </c>
      <c r="C72" s="185">
        <f>SUM(F64:F65)</f>
        <v>1533.2859999999998</v>
      </c>
      <c r="D72" s="185">
        <f>+D59</f>
        <v>1400</v>
      </c>
      <c r="E72" s="190">
        <f>+C72/D72</f>
        <v>1.0952042857142856</v>
      </c>
      <c r="F72" s="124"/>
      <c r="G72" s="183"/>
      <c r="H72" s="126"/>
      <c r="I72" s="126"/>
      <c r="J72" s="109"/>
    </row>
    <row r="73" spans="2:16" x14ac:dyDescent="0.2">
      <c r="B73" s="184"/>
      <c r="C73" s="185"/>
      <c r="D73" s="185"/>
      <c r="E73" s="190"/>
      <c r="F73" s="124"/>
      <c r="G73" s="183"/>
      <c r="H73" s="126"/>
      <c r="I73" s="126"/>
      <c r="J73" s="109"/>
    </row>
    <row r="74" spans="2:16" ht="13.5" thickBot="1" x14ac:dyDescent="0.25">
      <c r="B74" s="184" t="s">
        <v>193</v>
      </c>
      <c r="C74" s="185">
        <f>+F66</f>
        <v>308</v>
      </c>
      <c r="D74" s="185">
        <f>+D59</f>
        <v>1400</v>
      </c>
      <c r="E74" s="190">
        <f>+C74/D74</f>
        <v>0.22</v>
      </c>
      <c r="F74" s="124"/>
      <c r="G74" s="183"/>
      <c r="H74" s="126"/>
      <c r="I74" s="126"/>
      <c r="J74" s="109"/>
    </row>
    <row r="75" spans="2:16" ht="13.5" thickBot="1" x14ac:dyDescent="0.25">
      <c r="B75" s="184" t="s">
        <v>194</v>
      </c>
      <c r="C75" s="185">
        <f>+F57</f>
        <v>312.55</v>
      </c>
      <c r="D75" s="185">
        <f>+D74</f>
        <v>1400</v>
      </c>
      <c r="E75" s="186">
        <f>+C75/D75</f>
        <v>0.22325</v>
      </c>
      <c r="F75" s="124"/>
      <c r="G75" s="183"/>
      <c r="H75" s="126"/>
      <c r="I75" s="126"/>
      <c r="J75" s="109"/>
    </row>
    <row r="76" spans="2:16" ht="13.5" thickBot="1" x14ac:dyDescent="0.25">
      <c r="B76" s="148"/>
      <c r="C76" s="149"/>
      <c r="D76" s="149"/>
      <c r="E76" s="190"/>
      <c r="F76" s="124"/>
      <c r="G76" s="183"/>
      <c r="H76" s="126"/>
      <c r="I76" s="126"/>
      <c r="J76" s="109"/>
    </row>
    <row r="77" spans="2:16" ht="13.5" thickBot="1" x14ac:dyDescent="0.25">
      <c r="B77" s="184" t="s">
        <v>195</v>
      </c>
      <c r="C77" s="185">
        <f>+F55</f>
        <v>611.8180000000001</v>
      </c>
      <c r="D77" s="185">
        <f>+D75</f>
        <v>1400</v>
      </c>
      <c r="E77" s="186">
        <f>+C77/D77</f>
        <v>0.4370128571428572</v>
      </c>
      <c r="F77" s="124"/>
      <c r="G77" s="183"/>
      <c r="H77" s="126"/>
      <c r="I77" s="126"/>
      <c r="J77" s="126"/>
    </row>
    <row r="78" spans="2:16" ht="13.5" thickBot="1" x14ac:dyDescent="0.25">
      <c r="B78" s="148"/>
      <c r="C78" s="149"/>
      <c r="D78" s="149"/>
      <c r="E78" s="190"/>
      <c r="F78" s="124"/>
      <c r="G78" s="183"/>
      <c r="H78" s="126"/>
      <c r="I78" s="126"/>
    </row>
    <row r="79" spans="2:16" ht="13.5" thickBot="1" x14ac:dyDescent="0.25">
      <c r="B79" s="520" t="s">
        <v>196</v>
      </c>
      <c r="C79" s="521"/>
      <c r="D79" s="522"/>
      <c r="E79" s="186">
        <f>+E70+E75</f>
        <v>0.86853571428571419</v>
      </c>
      <c r="G79" s="124"/>
      <c r="H79" s="183"/>
      <c r="I79" s="126"/>
      <c r="J79" s="190"/>
    </row>
    <row r="80" spans="2:16" x14ac:dyDescent="0.2">
      <c r="I80" s="183"/>
      <c r="J80" s="109"/>
    </row>
    <row r="81" spans="1:10" ht="13.5" thickBot="1" x14ac:dyDescent="0.25">
      <c r="B81" s="519" t="s">
        <v>197</v>
      </c>
      <c r="C81" s="519"/>
      <c r="D81" s="519"/>
      <c r="E81" s="519"/>
      <c r="F81" s="519"/>
      <c r="G81" s="124"/>
      <c r="H81" s="183"/>
      <c r="J81" s="109"/>
    </row>
    <row r="82" spans="1:10" ht="13.5" thickBot="1" x14ac:dyDescent="0.25">
      <c r="B82" s="184" t="s">
        <v>191</v>
      </c>
      <c r="C82" s="185">
        <f>+C70</f>
        <v>903.39999999999986</v>
      </c>
      <c r="D82" s="185">
        <f>+D61</f>
        <v>1</v>
      </c>
      <c r="E82" s="186">
        <f>+C82/D82</f>
        <v>903.39999999999986</v>
      </c>
      <c r="F82" s="124"/>
      <c r="G82" s="183"/>
      <c r="H82" s="126"/>
      <c r="I82" s="183"/>
      <c r="J82" s="109"/>
    </row>
    <row r="83" spans="1:10" x14ac:dyDescent="0.2">
      <c r="B83" s="187"/>
      <c r="C83" s="188"/>
      <c r="D83" s="189"/>
      <c r="E83" s="172"/>
      <c r="F83" s="124"/>
      <c r="G83" s="183"/>
      <c r="H83" s="126"/>
      <c r="I83" s="126"/>
      <c r="J83" s="109"/>
    </row>
    <row r="84" spans="1:10" x14ac:dyDescent="0.2">
      <c r="B84" s="184" t="s">
        <v>192</v>
      </c>
      <c r="C84" s="185">
        <f>+C72</f>
        <v>1533.2859999999998</v>
      </c>
      <c r="D84" s="185">
        <f>+D61</f>
        <v>1</v>
      </c>
      <c r="E84" s="190">
        <f>+C84/D84</f>
        <v>1533.2859999999998</v>
      </c>
      <c r="F84" s="124"/>
      <c r="G84" s="183"/>
      <c r="H84" s="126"/>
      <c r="I84" s="126"/>
      <c r="J84" s="109"/>
    </row>
    <row r="85" spans="1:10" x14ac:dyDescent="0.2">
      <c r="B85" s="184"/>
      <c r="C85" s="185"/>
      <c r="D85" s="185"/>
      <c r="E85" s="190"/>
      <c r="F85" s="124"/>
      <c r="G85" s="183"/>
      <c r="H85" s="126"/>
      <c r="I85" s="126"/>
      <c r="J85" s="109"/>
    </row>
    <row r="86" spans="1:10" ht="13.5" thickBot="1" x14ac:dyDescent="0.25">
      <c r="B86" s="184" t="s">
        <v>194</v>
      </c>
      <c r="C86" s="185">
        <f>+C74</f>
        <v>308</v>
      </c>
      <c r="D86" s="185">
        <f>+D61</f>
        <v>1</v>
      </c>
      <c r="E86" s="190">
        <f>+C86/D86</f>
        <v>308</v>
      </c>
      <c r="F86" s="192"/>
      <c r="G86" s="182"/>
      <c r="H86" s="108"/>
      <c r="I86" s="126"/>
    </row>
    <row r="87" spans="1:10" ht="13.5" thickBot="1" x14ac:dyDescent="0.25">
      <c r="B87" s="184" t="s">
        <v>194</v>
      </c>
      <c r="C87" s="185">
        <f>+C75</f>
        <v>312.55</v>
      </c>
      <c r="D87" s="185">
        <f>+D86</f>
        <v>1</v>
      </c>
      <c r="E87" s="186">
        <f>+C87/D87</f>
        <v>312.55</v>
      </c>
      <c r="F87" s="191"/>
      <c r="G87" s="182"/>
      <c r="H87" s="108"/>
      <c r="I87" s="108"/>
    </row>
    <row r="88" spans="1:10" x14ac:dyDescent="0.2">
      <c r="I88" s="108"/>
    </row>
    <row r="89" spans="1:10" x14ac:dyDescent="0.2">
      <c r="A89" s="523"/>
      <c r="B89" s="523"/>
      <c r="C89" s="193"/>
      <c r="D89" s="193"/>
      <c r="E89" s="194"/>
      <c r="G89" s="195"/>
    </row>
    <row r="90" spans="1:10" x14ac:dyDescent="0.2">
      <c r="A90" s="127"/>
      <c r="B90" s="196"/>
      <c r="C90" s="197"/>
      <c r="D90" s="197"/>
      <c r="E90" s="198"/>
      <c r="G90" s="195"/>
    </row>
    <row r="91" spans="1:10" x14ac:dyDescent="0.2">
      <c r="A91" s="127"/>
      <c r="B91" s="196"/>
      <c r="C91" s="199"/>
      <c r="D91" s="199"/>
      <c r="E91" s="127"/>
      <c r="G91" s="195"/>
    </row>
    <row r="92" spans="1:10" x14ac:dyDescent="0.2">
      <c r="A92" s="127"/>
      <c r="B92" s="196"/>
      <c r="C92" s="200"/>
      <c r="D92" s="200"/>
      <c r="E92" s="127"/>
      <c r="G92" s="195"/>
    </row>
  </sheetData>
  <mergeCells count="30"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  <mergeCell ref="B62:C62"/>
    <mergeCell ref="K62:N62"/>
    <mergeCell ref="K31:L31"/>
    <mergeCell ref="B54:E54"/>
    <mergeCell ref="B55:E55"/>
    <mergeCell ref="K55:N55"/>
    <mergeCell ref="B56:E56"/>
    <mergeCell ref="C57:E57"/>
    <mergeCell ref="B59:C59"/>
    <mergeCell ref="B60:C60"/>
    <mergeCell ref="M60:N60"/>
    <mergeCell ref="B61:C61"/>
    <mergeCell ref="L61:M61"/>
    <mergeCell ref="K30:L30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805B-E939-46F0-B799-362611CF809B}">
  <sheetPr>
    <pageSetUpPr fitToPage="1"/>
  </sheetPr>
  <dimension ref="A1:N34"/>
  <sheetViews>
    <sheetView topLeftCell="A2" zoomScaleNormal="100" zoomScaleSheetLayoutView="100" workbookViewId="0">
      <selection activeCell="C12" sqref="C12"/>
    </sheetView>
  </sheetViews>
  <sheetFormatPr baseColWidth="10" defaultRowHeight="12.75" x14ac:dyDescent="0.2"/>
  <cols>
    <col min="3" max="3" width="42.42578125" customWidth="1"/>
    <col min="4" max="4" width="14.42578125" customWidth="1"/>
    <col min="8" max="8" width="18.5703125" customWidth="1"/>
    <col min="9" max="9" width="17.42578125" customWidth="1"/>
    <col min="11" max="11" width="47.42578125" customWidth="1"/>
  </cols>
  <sheetData>
    <row r="1" spans="1:14" ht="18" x14ac:dyDescent="0.25">
      <c r="A1" s="587"/>
      <c r="B1" s="588"/>
      <c r="C1" s="593" t="s">
        <v>28</v>
      </c>
      <c r="D1" s="593"/>
      <c r="E1" s="593"/>
      <c r="F1" s="593"/>
      <c r="G1" s="593"/>
      <c r="H1" s="43" t="s">
        <v>27</v>
      </c>
      <c r="I1" s="42"/>
    </row>
    <row r="2" spans="1:14" ht="18" x14ac:dyDescent="0.25">
      <c r="A2" s="589"/>
      <c r="B2" s="590"/>
      <c r="C2" s="594" t="s">
        <v>26</v>
      </c>
      <c r="D2" s="594"/>
      <c r="E2" s="594"/>
      <c r="F2" s="594"/>
      <c r="G2" s="594"/>
      <c r="H2" s="41" t="s">
        <v>25</v>
      </c>
      <c r="I2" s="40"/>
    </row>
    <row r="3" spans="1:14" ht="15" x14ac:dyDescent="0.2">
      <c r="A3" s="589"/>
      <c r="B3" s="590"/>
      <c r="C3" s="595" t="s">
        <v>29</v>
      </c>
      <c r="D3" s="596"/>
      <c r="E3" s="596"/>
      <c r="F3" s="596"/>
      <c r="G3" s="596"/>
      <c r="H3" s="597" t="s">
        <v>24</v>
      </c>
      <c r="I3" s="581"/>
    </row>
    <row r="4" spans="1:14" x14ac:dyDescent="0.2">
      <c r="A4" s="589"/>
      <c r="B4" s="590"/>
      <c r="C4" s="39" t="s">
        <v>23</v>
      </c>
      <c r="D4" s="583" t="s">
        <v>141</v>
      </c>
      <c r="E4" s="584"/>
      <c r="F4" s="584"/>
      <c r="G4" s="584"/>
      <c r="H4" s="597"/>
      <c r="I4" s="582"/>
      <c r="K4" s="94"/>
      <c r="L4" s="94"/>
      <c r="M4" s="94"/>
      <c r="N4" s="94"/>
    </row>
    <row r="5" spans="1:14" ht="13.5" thickBot="1" x14ac:dyDescent="0.25">
      <c r="A5" s="591"/>
      <c r="B5" s="592"/>
      <c r="C5" s="38" t="s">
        <v>22</v>
      </c>
      <c r="D5" s="585" t="s">
        <v>50</v>
      </c>
      <c r="E5" s="586"/>
      <c r="F5" s="586"/>
      <c r="G5" s="586"/>
      <c r="H5" s="598"/>
      <c r="I5" s="762"/>
      <c r="K5" s="94"/>
      <c r="L5" s="94"/>
      <c r="M5" s="94"/>
      <c r="N5" s="94"/>
    </row>
    <row r="6" spans="1:14" ht="18.75" thickBot="1" x14ac:dyDescent="0.3">
      <c r="A6" s="567" t="s">
        <v>21</v>
      </c>
      <c r="B6" s="567"/>
      <c r="C6" s="567"/>
      <c r="D6" s="568" t="s">
        <v>30</v>
      </c>
      <c r="E6" s="568"/>
      <c r="F6" s="568"/>
      <c r="G6" s="569" t="s">
        <v>20</v>
      </c>
      <c r="H6" s="569"/>
      <c r="I6" s="37" t="s">
        <v>31</v>
      </c>
      <c r="K6" s="94"/>
      <c r="L6" s="94"/>
      <c r="M6" s="94"/>
      <c r="N6" s="94"/>
    </row>
    <row r="7" spans="1:14" ht="25.5" x14ac:dyDescent="0.2">
      <c r="A7" s="570" t="s">
        <v>19</v>
      </c>
      <c r="B7" s="570" t="s">
        <v>19</v>
      </c>
      <c r="C7" s="572" t="s">
        <v>18</v>
      </c>
      <c r="D7" s="572" t="s">
        <v>17</v>
      </c>
      <c r="E7" s="572" t="s">
        <v>16</v>
      </c>
      <c r="F7" s="572"/>
      <c r="G7" s="572" t="s">
        <v>15</v>
      </c>
      <c r="H7" s="572"/>
      <c r="I7" s="36" t="s">
        <v>14</v>
      </c>
      <c r="K7" s="95"/>
      <c r="L7" s="94"/>
      <c r="M7" s="94"/>
      <c r="N7" s="94"/>
    </row>
    <row r="8" spans="1:14" ht="26.25" thickBot="1" x14ac:dyDescent="0.25">
      <c r="A8" s="571"/>
      <c r="B8" s="571"/>
      <c r="C8" s="573"/>
      <c r="D8" s="574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  <c r="K8" s="94"/>
      <c r="L8" s="94"/>
      <c r="M8" s="94"/>
      <c r="N8" s="94"/>
    </row>
    <row r="9" spans="1:14" ht="15" x14ac:dyDescent="0.25">
      <c r="A9" s="55" t="s">
        <v>32</v>
      </c>
      <c r="B9" s="55" t="s">
        <v>32</v>
      </c>
      <c r="C9" s="55" t="s">
        <v>33</v>
      </c>
      <c r="D9" s="31" t="s">
        <v>44</v>
      </c>
      <c r="E9" s="26">
        <v>2500</v>
      </c>
      <c r="F9" s="25" t="s">
        <v>2</v>
      </c>
      <c r="G9" s="11"/>
      <c r="H9" s="30"/>
      <c r="I9" s="29"/>
      <c r="K9" s="95"/>
      <c r="L9" s="94"/>
      <c r="M9" s="94"/>
      <c r="N9" s="94"/>
    </row>
    <row r="10" spans="1:14" ht="15" x14ac:dyDescent="0.25">
      <c r="A10" s="55" t="s">
        <v>34</v>
      </c>
      <c r="B10" s="55" t="s">
        <v>34</v>
      </c>
      <c r="C10" s="55" t="s">
        <v>35</v>
      </c>
      <c r="D10" s="31" t="s">
        <v>45</v>
      </c>
      <c r="E10" s="32">
        <v>3750</v>
      </c>
      <c r="F10" s="25" t="s">
        <v>2</v>
      </c>
      <c r="G10" s="11"/>
      <c r="H10" s="30"/>
      <c r="I10" s="29"/>
      <c r="K10" s="94"/>
      <c r="L10" s="94"/>
      <c r="M10" s="94"/>
      <c r="N10" s="94"/>
    </row>
    <row r="11" spans="1:14" ht="15" x14ac:dyDescent="0.25">
      <c r="A11" s="55" t="s">
        <v>36</v>
      </c>
      <c r="B11" s="55" t="s">
        <v>36</v>
      </c>
      <c r="C11" s="55" t="s">
        <v>37</v>
      </c>
      <c r="D11" s="31" t="s">
        <v>46</v>
      </c>
      <c r="E11" s="26">
        <v>6100</v>
      </c>
      <c r="F11" s="25" t="s">
        <v>2</v>
      </c>
      <c r="G11" s="11"/>
      <c r="H11" s="30"/>
      <c r="I11" s="29"/>
      <c r="K11" s="94"/>
      <c r="L11" s="94"/>
      <c r="M11" s="94"/>
      <c r="N11" s="94"/>
    </row>
    <row r="12" spans="1:14" ht="15" x14ac:dyDescent="0.25">
      <c r="A12" s="55" t="s">
        <v>42</v>
      </c>
      <c r="B12" s="55" t="s">
        <v>42</v>
      </c>
      <c r="C12" s="55" t="s">
        <v>43</v>
      </c>
      <c r="D12" s="31" t="s">
        <v>47</v>
      </c>
      <c r="E12" s="26">
        <v>2850</v>
      </c>
      <c r="F12" s="25" t="s">
        <v>2</v>
      </c>
      <c r="G12" s="11"/>
      <c r="H12" s="30"/>
      <c r="I12" s="29"/>
    </row>
    <row r="13" spans="1:14" ht="15" x14ac:dyDescent="0.25">
      <c r="A13" s="55" t="s">
        <v>38</v>
      </c>
      <c r="B13" s="55" t="s">
        <v>38</v>
      </c>
      <c r="C13" s="55" t="s">
        <v>39</v>
      </c>
      <c r="D13" s="31" t="s">
        <v>48</v>
      </c>
      <c r="E13" s="26">
        <v>2500</v>
      </c>
      <c r="F13" s="25" t="s">
        <v>2</v>
      </c>
      <c r="G13" s="11"/>
      <c r="H13" s="30"/>
      <c r="I13" s="29"/>
    </row>
    <row r="14" spans="1:14" ht="15" x14ac:dyDescent="0.25">
      <c r="B14" t="s">
        <v>125</v>
      </c>
      <c r="C14" t="s">
        <v>126</v>
      </c>
      <c r="D14" s="31" t="s">
        <v>49</v>
      </c>
      <c r="E14" s="26">
        <v>25</v>
      </c>
      <c r="F14" s="25" t="s">
        <v>2</v>
      </c>
      <c r="G14" s="11"/>
      <c r="H14" s="30"/>
      <c r="I14" s="29"/>
      <c r="M14" s="89">
        <f>SUM(E9:E15)</f>
        <v>19725</v>
      </c>
    </row>
    <row r="15" spans="1:14" ht="15" x14ac:dyDescent="0.25">
      <c r="A15" s="28"/>
      <c r="B15" s="45"/>
      <c r="C15" s="27" t="s">
        <v>120</v>
      </c>
      <c r="D15" s="31" t="s">
        <v>95</v>
      </c>
      <c r="E15" s="26">
        <v>2000</v>
      </c>
      <c r="F15" s="25" t="s">
        <v>2</v>
      </c>
      <c r="G15" s="11"/>
      <c r="H15" s="30"/>
      <c r="I15" s="29"/>
    </row>
    <row r="16" spans="1:14" ht="13.5" thickBot="1" x14ac:dyDescent="0.25">
      <c r="A16" s="21"/>
      <c r="B16" s="46"/>
      <c r="C16" s="1"/>
      <c r="D16" s="1"/>
      <c r="E16" s="20"/>
      <c r="F16" s="19"/>
      <c r="G16" s="1"/>
      <c r="H16" s="1"/>
      <c r="I16" s="18">
        <f>+H16*2</f>
        <v>0</v>
      </c>
      <c r="J16" s="1"/>
      <c r="K16" s="1"/>
      <c r="L16" s="3"/>
      <c r="M16" s="1"/>
    </row>
    <row r="17" spans="1:13" ht="13.5" thickBot="1" x14ac:dyDescent="0.25">
      <c r="A17" s="17"/>
      <c r="B17" s="47"/>
      <c r="C17" s="13"/>
      <c r="D17" s="16" t="s">
        <v>11</v>
      </c>
      <c r="E17" s="15" t="s">
        <v>10</v>
      </c>
      <c r="F17" s="14"/>
      <c r="G17" s="13"/>
      <c r="H17" s="13"/>
      <c r="I17" s="12"/>
      <c r="J17" s="1"/>
      <c r="K17" s="1"/>
      <c r="L17" s="3"/>
      <c r="M17" s="1"/>
    </row>
    <row r="18" spans="1:13" x14ac:dyDescent="0.2">
      <c r="A18" s="575" t="s">
        <v>9</v>
      </c>
      <c r="B18" s="576"/>
      <c r="C18" s="577"/>
      <c r="D18" s="11">
        <v>12760</v>
      </c>
      <c r="E18" s="10" t="s">
        <v>2</v>
      </c>
      <c r="F18" s="578"/>
      <c r="G18" s="578"/>
      <c r="H18" s="579"/>
      <c r="I18" s="580"/>
      <c r="J18" s="1"/>
      <c r="K18" s="1"/>
      <c r="L18" s="3"/>
      <c r="M18" s="1"/>
    </row>
    <row r="19" spans="1:13" x14ac:dyDescent="0.2">
      <c r="A19" s="550" t="s">
        <v>8</v>
      </c>
      <c r="B19" s="551"/>
      <c r="C19" s="552"/>
      <c r="D19" s="9">
        <v>15</v>
      </c>
      <c r="E19" s="7" t="s">
        <v>7</v>
      </c>
      <c r="F19" s="538"/>
      <c r="G19" s="538"/>
      <c r="H19" s="539"/>
      <c r="I19" s="540"/>
      <c r="J19" s="1"/>
      <c r="K19" s="1"/>
      <c r="L19" s="3"/>
      <c r="M19" s="1"/>
    </row>
    <row r="20" spans="1:13" x14ac:dyDescent="0.2">
      <c r="A20" s="550" t="s">
        <v>6</v>
      </c>
      <c r="B20" s="551"/>
      <c r="C20" s="552"/>
      <c r="D20" s="8">
        <v>1</v>
      </c>
      <c r="E20" s="7" t="s">
        <v>128</v>
      </c>
      <c r="F20" s="538"/>
      <c r="G20" s="538"/>
      <c r="H20" s="539"/>
      <c r="I20" s="540"/>
      <c r="J20" s="1"/>
      <c r="K20" s="1"/>
      <c r="L20" s="3"/>
      <c r="M20" s="1"/>
    </row>
    <row r="21" spans="1:13" x14ac:dyDescent="0.2">
      <c r="A21" s="550" t="s">
        <v>4</v>
      </c>
      <c r="B21" s="551"/>
      <c r="C21" s="552"/>
      <c r="D21" s="8">
        <v>12760</v>
      </c>
      <c r="E21" s="7" t="s">
        <v>2</v>
      </c>
      <c r="F21" s="553"/>
      <c r="G21" s="554"/>
      <c r="H21" s="539"/>
      <c r="I21" s="540"/>
      <c r="J21" s="1"/>
      <c r="K21" s="1"/>
      <c r="L21" s="3"/>
      <c r="M21" s="6"/>
    </row>
    <row r="22" spans="1:13" ht="13.5" thickBot="1" x14ac:dyDescent="0.25">
      <c r="A22" s="555" t="s">
        <v>3</v>
      </c>
      <c r="B22" s="556"/>
      <c r="C22" s="557"/>
      <c r="D22" s="5">
        <f>SUM(E9:E15)-D18</f>
        <v>6965</v>
      </c>
      <c r="E22" s="4" t="s">
        <v>2</v>
      </c>
      <c r="F22" s="558"/>
      <c r="G22" s="558"/>
      <c r="H22" s="559"/>
      <c r="I22" s="560"/>
      <c r="J22" s="1"/>
      <c r="K22" s="1"/>
      <c r="L22" s="3"/>
      <c r="M22" s="1"/>
    </row>
    <row r="23" spans="1:13" ht="13.5" thickBot="1" x14ac:dyDescent="0.25">
      <c r="A23" s="561" t="s">
        <v>1</v>
      </c>
      <c r="B23" s="562"/>
      <c r="C23" s="562"/>
      <c r="D23" s="562"/>
      <c r="E23" s="562"/>
      <c r="F23" s="562"/>
      <c r="G23" s="562"/>
      <c r="H23" s="562"/>
      <c r="I23" s="563"/>
      <c r="J23" s="1"/>
      <c r="K23" s="1"/>
      <c r="L23" s="1"/>
      <c r="M23" s="1"/>
    </row>
    <row r="24" spans="1:13" ht="15" x14ac:dyDescent="0.25">
      <c r="A24" s="535" t="s">
        <v>41</v>
      </c>
      <c r="B24" s="536"/>
      <c r="C24" s="799"/>
      <c r="D24" s="799"/>
      <c r="E24" s="799"/>
      <c r="F24" s="799"/>
      <c r="G24" s="799"/>
      <c r="H24" s="799"/>
      <c r="I24" s="800"/>
    </row>
    <row r="25" spans="1:13" ht="15" x14ac:dyDescent="0.25">
      <c r="A25" s="535" t="s">
        <v>114</v>
      </c>
      <c r="B25" s="536"/>
      <c r="C25" s="799"/>
      <c r="D25" s="799"/>
      <c r="E25" s="799"/>
      <c r="F25" s="799"/>
      <c r="G25" s="799"/>
      <c r="H25" s="799"/>
      <c r="I25" s="800"/>
    </row>
    <row r="26" spans="1:13" ht="15" x14ac:dyDescent="0.25">
      <c r="A26" s="535" t="s">
        <v>115</v>
      </c>
      <c r="B26" s="536"/>
      <c r="C26" s="799"/>
      <c r="D26" s="799"/>
      <c r="E26" s="799"/>
      <c r="F26" s="799"/>
      <c r="G26" s="799"/>
      <c r="H26" s="799"/>
      <c r="I26" s="800"/>
    </row>
    <row r="27" spans="1:13" ht="14.25" x14ac:dyDescent="0.2">
      <c r="A27" s="535" t="s">
        <v>127</v>
      </c>
      <c r="B27" s="536"/>
      <c r="C27" s="536"/>
      <c r="D27" s="536"/>
      <c r="E27" s="536"/>
      <c r="F27" s="536"/>
      <c r="G27" s="536"/>
      <c r="H27" s="536"/>
      <c r="I27" s="537"/>
    </row>
    <row r="28" spans="1:13" ht="15" x14ac:dyDescent="0.25">
      <c r="A28" s="535" t="s">
        <v>111</v>
      </c>
      <c r="B28" s="799"/>
      <c r="C28" s="799"/>
      <c r="D28" s="799"/>
      <c r="E28" s="799"/>
      <c r="F28" s="799"/>
      <c r="G28" s="799"/>
      <c r="H28" s="799"/>
      <c r="I28" s="800"/>
    </row>
    <row r="29" spans="1:13" ht="15" x14ac:dyDescent="0.25">
      <c r="A29" s="801"/>
      <c r="B29" s="799"/>
      <c r="C29" s="799"/>
      <c r="D29" s="799"/>
      <c r="E29" s="799"/>
      <c r="F29" s="799"/>
      <c r="G29" s="799"/>
      <c r="H29" s="799"/>
      <c r="I29" s="800"/>
    </row>
    <row r="30" spans="1:13" ht="14.25" x14ac:dyDescent="0.2">
      <c r="A30" s="547"/>
      <c r="B30" s="548"/>
      <c r="C30" s="548"/>
      <c r="D30" s="548"/>
      <c r="E30" s="548"/>
      <c r="F30" s="548"/>
      <c r="G30" s="548"/>
      <c r="H30" s="548"/>
      <c r="I30" s="549"/>
    </row>
    <row r="31" spans="1:13" ht="15" x14ac:dyDescent="0.25">
      <c r="A31" s="541" t="s">
        <v>0</v>
      </c>
      <c r="B31" s="542"/>
      <c r="C31" s="542"/>
      <c r="D31" s="542"/>
      <c r="E31" s="542"/>
      <c r="F31" s="542"/>
      <c r="G31" s="542"/>
      <c r="H31" s="542"/>
      <c r="I31" s="543"/>
    </row>
    <row r="32" spans="1:13" ht="15" thickBot="1" x14ac:dyDescent="0.25">
      <c r="A32" s="544"/>
      <c r="B32" s="545"/>
      <c r="C32" s="545"/>
      <c r="D32" s="545"/>
      <c r="E32" s="545"/>
      <c r="F32" s="545"/>
      <c r="G32" s="545"/>
      <c r="H32" s="545"/>
      <c r="I32" s="546"/>
    </row>
    <row r="34" spans="1:9" x14ac:dyDescent="0.2">
      <c r="A34" s="2"/>
      <c r="B34" s="2"/>
      <c r="C34" s="2"/>
      <c r="D34" s="1"/>
      <c r="E34" s="1"/>
      <c r="F34" s="1"/>
      <c r="G34" s="1"/>
      <c r="H34" s="1"/>
      <c r="I34" s="1"/>
    </row>
  </sheetData>
  <mergeCells count="42">
    <mergeCell ref="E7:F7"/>
    <mergeCell ref="C1:G1"/>
    <mergeCell ref="C2:G2"/>
    <mergeCell ref="C3:G3"/>
    <mergeCell ref="H3:H5"/>
    <mergeCell ref="G7:H7"/>
    <mergeCell ref="D4:G4"/>
    <mergeCell ref="I3:I5"/>
    <mergeCell ref="D5:G5"/>
    <mergeCell ref="A6:C6"/>
    <mergeCell ref="D6:F6"/>
    <mergeCell ref="A19:C19"/>
    <mergeCell ref="F19:G19"/>
    <mergeCell ref="B7:B8"/>
    <mergeCell ref="A1:B5"/>
    <mergeCell ref="G6:H6"/>
    <mergeCell ref="H19:I19"/>
    <mergeCell ref="A18:C18"/>
    <mergeCell ref="F18:G18"/>
    <mergeCell ref="H18:I18"/>
    <mergeCell ref="A7:A8"/>
    <mergeCell ref="C7:C8"/>
    <mergeCell ref="D7:D8"/>
    <mergeCell ref="H21:I21"/>
    <mergeCell ref="A21:C21"/>
    <mergeCell ref="A20:C20"/>
    <mergeCell ref="F20:G20"/>
    <mergeCell ref="H20:I20"/>
    <mergeCell ref="F21:G21"/>
    <mergeCell ref="A32:I32"/>
    <mergeCell ref="A22:C22"/>
    <mergeCell ref="F22:G22"/>
    <mergeCell ref="H22:I22"/>
    <mergeCell ref="A24:I24"/>
    <mergeCell ref="A30:I30"/>
    <mergeCell ref="A31:I31"/>
    <mergeCell ref="A23:I23"/>
    <mergeCell ref="A29:I29"/>
    <mergeCell ref="A26:I26"/>
    <mergeCell ref="A27:I27"/>
    <mergeCell ref="A28:I28"/>
    <mergeCell ref="A25:I25"/>
  </mergeCells>
  <pageMargins left="0.7" right="0.7" top="0.75" bottom="0.75" header="0.3" footer="0.3"/>
  <pageSetup scale="61" orientation="portrait" r:id="rId1"/>
  <colBreaks count="1" manualBreakCount="1">
    <brk id="9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7E0C-907B-4608-AB74-B29A17286109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BFF1-CB8A-46AA-B515-85CB3CA366AB}">
  <dimension ref="A1:P31"/>
  <sheetViews>
    <sheetView workbookViewId="0">
      <selection activeCell="B11" sqref="B11"/>
    </sheetView>
  </sheetViews>
  <sheetFormatPr baseColWidth="10" defaultRowHeight="12.75" x14ac:dyDescent="0.2"/>
  <cols>
    <col min="2" max="2" width="15.140625" customWidth="1"/>
    <col min="3" max="3" width="42.42578125" customWidth="1"/>
    <col min="4" max="4" width="14.42578125" customWidth="1"/>
    <col min="8" max="8" width="18.5703125" customWidth="1"/>
    <col min="9" max="9" width="17.42578125" customWidth="1"/>
  </cols>
  <sheetData>
    <row r="1" spans="1:16" ht="18" x14ac:dyDescent="0.25">
      <c r="A1" s="587"/>
      <c r="B1" s="588"/>
      <c r="C1" s="593" t="s">
        <v>28</v>
      </c>
      <c r="D1" s="593"/>
      <c r="E1" s="593"/>
      <c r="F1" s="593"/>
      <c r="G1" s="593"/>
      <c r="H1" s="43" t="s">
        <v>27</v>
      </c>
      <c r="I1" s="42"/>
    </row>
    <row r="2" spans="1:16" ht="18" x14ac:dyDescent="0.25">
      <c r="A2" s="589"/>
      <c r="B2" s="590"/>
      <c r="C2" s="594" t="s">
        <v>26</v>
      </c>
      <c r="D2" s="594"/>
      <c r="E2" s="594"/>
      <c r="F2" s="594"/>
      <c r="G2" s="594"/>
      <c r="H2" s="41" t="s">
        <v>25</v>
      </c>
      <c r="I2" s="40"/>
    </row>
    <row r="3" spans="1:16" ht="15" x14ac:dyDescent="0.2">
      <c r="A3" s="589"/>
      <c r="B3" s="590"/>
      <c r="C3" s="595" t="s">
        <v>371</v>
      </c>
      <c r="D3" s="596"/>
      <c r="E3" s="596"/>
      <c r="F3" s="596"/>
      <c r="G3" s="596"/>
      <c r="H3" s="597" t="s">
        <v>24</v>
      </c>
      <c r="I3" s="581"/>
    </row>
    <row r="4" spans="1:16" x14ac:dyDescent="0.2">
      <c r="A4" s="589"/>
      <c r="B4" s="590"/>
      <c r="C4" s="39" t="s">
        <v>23</v>
      </c>
      <c r="D4" s="583" t="s">
        <v>141</v>
      </c>
      <c r="E4" s="584"/>
      <c r="F4" s="584"/>
      <c r="G4" s="584"/>
      <c r="H4" s="597"/>
      <c r="I4" s="582"/>
    </row>
    <row r="5" spans="1:16" ht="13.5" thickBot="1" x14ac:dyDescent="0.25">
      <c r="A5" s="591"/>
      <c r="B5" s="592"/>
      <c r="C5" s="38" t="s">
        <v>22</v>
      </c>
      <c r="D5" s="585" t="s">
        <v>50</v>
      </c>
      <c r="E5" s="586"/>
      <c r="F5" s="586"/>
      <c r="G5" s="586"/>
      <c r="H5" s="598"/>
      <c r="I5" s="762"/>
    </row>
    <row r="6" spans="1:16" ht="18.75" thickBot="1" x14ac:dyDescent="0.3">
      <c r="A6" s="567" t="s">
        <v>21</v>
      </c>
      <c r="B6" s="567"/>
      <c r="C6" s="567"/>
      <c r="D6" s="568" t="s">
        <v>62</v>
      </c>
      <c r="E6" s="568"/>
      <c r="F6" s="568"/>
      <c r="G6" s="569" t="s">
        <v>20</v>
      </c>
      <c r="H6" s="569"/>
      <c r="I6" s="37" t="s">
        <v>62</v>
      </c>
    </row>
    <row r="7" spans="1:16" ht="25.5" x14ac:dyDescent="0.2">
      <c r="A7" s="570" t="s">
        <v>19</v>
      </c>
      <c r="B7" s="570" t="s">
        <v>19</v>
      </c>
      <c r="C7" s="572" t="s">
        <v>18</v>
      </c>
      <c r="D7" s="572" t="s">
        <v>17</v>
      </c>
      <c r="E7" s="572" t="s">
        <v>16</v>
      </c>
      <c r="F7" s="572"/>
      <c r="G7" s="572" t="s">
        <v>15</v>
      </c>
      <c r="H7" s="572"/>
      <c r="I7" s="36" t="s">
        <v>14</v>
      </c>
      <c r="K7" s="94"/>
      <c r="L7" s="94"/>
      <c r="M7" s="94"/>
      <c r="N7" s="94"/>
      <c r="O7" s="94"/>
      <c r="P7" s="94"/>
    </row>
    <row r="8" spans="1:16" ht="26.25" thickBot="1" x14ac:dyDescent="0.25">
      <c r="A8" s="571"/>
      <c r="B8" s="571"/>
      <c r="C8" s="573"/>
      <c r="D8" s="574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  <c r="K8" s="94"/>
      <c r="L8" s="94"/>
      <c r="M8" s="94"/>
      <c r="N8" s="94"/>
      <c r="O8" s="94"/>
      <c r="P8" s="94"/>
    </row>
    <row r="9" spans="1:16" ht="15" x14ac:dyDescent="0.25">
      <c r="A9" s="55"/>
      <c r="B9" s="55" t="s">
        <v>372</v>
      </c>
      <c r="C9" s="55" t="s">
        <v>368</v>
      </c>
      <c r="D9" s="31" t="s">
        <v>65</v>
      </c>
      <c r="E9" s="26">
        <v>1890</v>
      </c>
      <c r="F9" s="25" t="s">
        <v>2</v>
      </c>
      <c r="G9" s="11"/>
      <c r="H9" s="30"/>
      <c r="I9" s="29"/>
      <c r="J9">
        <f>+E9/$D$15</f>
        <v>0.189</v>
      </c>
      <c r="K9" s="94">
        <f>+J9*1000</f>
        <v>189</v>
      </c>
      <c r="L9" s="96"/>
      <c r="M9" s="94"/>
      <c r="N9" s="94"/>
      <c r="O9" s="94"/>
      <c r="P9" s="94"/>
    </row>
    <row r="10" spans="1:16" ht="15" x14ac:dyDescent="0.25">
      <c r="A10" s="55"/>
      <c r="B10" s="55" t="s">
        <v>63</v>
      </c>
      <c r="C10" s="55" t="s">
        <v>64</v>
      </c>
      <c r="D10" s="31" t="s">
        <v>66</v>
      </c>
      <c r="E10" s="32">
        <v>8110</v>
      </c>
      <c r="F10" s="25" t="s">
        <v>2</v>
      </c>
      <c r="G10" s="11"/>
      <c r="H10" s="30"/>
      <c r="I10" s="29"/>
      <c r="J10">
        <f t="shared" ref="J10:J11" si="0">+E10/$D$15</f>
        <v>0.81100000000000005</v>
      </c>
      <c r="K10" s="94">
        <f t="shared" ref="K10:K11" si="1">+J10*1000</f>
        <v>811</v>
      </c>
      <c r="L10" s="94"/>
      <c r="M10" s="94"/>
      <c r="N10" s="94"/>
      <c r="O10" s="94"/>
      <c r="P10" s="94"/>
    </row>
    <row r="11" spans="1:16" ht="15" x14ac:dyDescent="0.25">
      <c r="A11" s="55"/>
      <c r="B11" s="55" t="s">
        <v>68</v>
      </c>
      <c r="C11" s="55" t="s">
        <v>69</v>
      </c>
      <c r="D11" s="31"/>
      <c r="E11" s="26">
        <v>1</v>
      </c>
      <c r="F11" s="25" t="s">
        <v>70</v>
      </c>
      <c r="G11" s="11"/>
      <c r="H11" s="30"/>
      <c r="I11" s="29"/>
      <c r="J11">
        <f t="shared" si="0"/>
        <v>1E-4</v>
      </c>
      <c r="K11" s="94">
        <f t="shared" si="1"/>
        <v>0.1</v>
      </c>
      <c r="L11" s="94"/>
      <c r="M11" s="94"/>
      <c r="N11" s="94"/>
      <c r="O11" s="94"/>
      <c r="P11" s="94"/>
    </row>
    <row r="12" spans="1:16" ht="15" x14ac:dyDescent="0.25">
      <c r="A12" s="55"/>
      <c r="B12" s="55"/>
      <c r="C12" s="55"/>
      <c r="D12" s="31"/>
      <c r="E12" s="26"/>
      <c r="F12" s="25"/>
      <c r="G12" s="11"/>
      <c r="H12" s="44"/>
      <c r="I12" s="29"/>
    </row>
    <row r="13" spans="1:16" ht="13.5" thickBot="1" x14ac:dyDescent="0.25">
      <c r="A13" s="21"/>
      <c r="B13" s="46"/>
      <c r="C13" s="1"/>
      <c r="D13" s="1"/>
      <c r="E13" s="20"/>
      <c r="F13" s="19"/>
      <c r="G13" s="1"/>
      <c r="H13" s="1"/>
      <c r="I13" s="18"/>
      <c r="J13" s="1"/>
      <c r="K13" s="1"/>
      <c r="L13" s="3"/>
      <c r="M13" s="1"/>
    </row>
    <row r="14" spans="1:16" ht="13.5" thickBot="1" x14ac:dyDescent="0.25">
      <c r="A14" s="17"/>
      <c r="B14" s="47"/>
      <c r="C14" s="13"/>
      <c r="D14" s="16" t="s">
        <v>11</v>
      </c>
      <c r="E14" s="15" t="s">
        <v>10</v>
      </c>
      <c r="F14" s="14"/>
      <c r="G14" s="13"/>
      <c r="H14" s="13"/>
      <c r="I14" s="12"/>
      <c r="J14" s="1"/>
      <c r="K14" s="1"/>
      <c r="L14" s="3"/>
      <c r="M14" s="1"/>
    </row>
    <row r="15" spans="1:16" x14ac:dyDescent="0.2">
      <c r="A15" s="575" t="s">
        <v>9</v>
      </c>
      <c r="B15" s="576"/>
      <c r="C15" s="577"/>
      <c r="D15" s="11">
        <v>10000</v>
      </c>
      <c r="E15" s="10" t="s">
        <v>2</v>
      </c>
      <c r="F15" s="578"/>
      <c r="G15" s="578"/>
      <c r="H15" s="579"/>
      <c r="I15" s="580"/>
      <c r="J15" s="1"/>
      <c r="K15" s="1"/>
      <c r="L15" s="3"/>
      <c r="M15" s="1"/>
    </row>
    <row r="16" spans="1:16" x14ac:dyDescent="0.2">
      <c r="A16" s="550" t="s">
        <v>8</v>
      </c>
      <c r="B16" s="551"/>
      <c r="C16" s="552"/>
      <c r="D16" s="9">
        <v>5</v>
      </c>
      <c r="E16" s="7" t="s">
        <v>7</v>
      </c>
      <c r="F16" s="538"/>
      <c r="G16" s="538"/>
      <c r="H16" s="539"/>
      <c r="I16" s="540"/>
      <c r="J16" s="1"/>
      <c r="K16" s="1"/>
      <c r="L16" s="3"/>
      <c r="M16" s="1"/>
    </row>
    <row r="17" spans="1:13" x14ac:dyDescent="0.2">
      <c r="A17" s="550" t="s">
        <v>6</v>
      </c>
      <c r="B17" s="551"/>
      <c r="C17" s="552"/>
      <c r="D17" s="8">
        <f>D15/D18</f>
        <v>55.555555555555557</v>
      </c>
      <c r="E17" s="7" t="s">
        <v>5</v>
      </c>
      <c r="F17" s="538"/>
      <c r="G17" s="538"/>
      <c r="H17" s="539"/>
      <c r="I17" s="540"/>
      <c r="J17" s="1"/>
      <c r="K17" s="1"/>
      <c r="L17" s="3"/>
      <c r="M17" s="1"/>
    </row>
    <row r="18" spans="1:13" x14ac:dyDescent="0.2">
      <c r="A18" s="550" t="s">
        <v>4</v>
      </c>
      <c r="B18" s="551"/>
      <c r="C18" s="552"/>
      <c r="D18" s="8">
        <v>180</v>
      </c>
      <c r="E18" s="7" t="s">
        <v>2</v>
      </c>
      <c r="F18" s="553"/>
      <c r="G18" s="554"/>
      <c r="H18" s="539"/>
      <c r="I18" s="540"/>
      <c r="J18" s="1"/>
      <c r="K18" s="1"/>
      <c r="L18" s="3"/>
      <c r="M18" s="6"/>
    </row>
    <row r="19" spans="1:13" ht="13.5" thickBot="1" x14ac:dyDescent="0.25">
      <c r="A19" s="555" t="s">
        <v>3</v>
      </c>
      <c r="B19" s="556"/>
      <c r="C19" s="557"/>
      <c r="D19" s="5">
        <f>SUM(E9:E10)-D15</f>
        <v>0</v>
      </c>
      <c r="E19" s="4" t="s">
        <v>2</v>
      </c>
      <c r="F19" s="558"/>
      <c r="G19" s="558"/>
      <c r="H19" s="559"/>
      <c r="I19" s="560"/>
      <c r="J19" s="1"/>
      <c r="K19" s="1"/>
      <c r="L19" s="3"/>
      <c r="M19" s="1"/>
    </row>
    <row r="20" spans="1:13" ht="13.5" thickBot="1" x14ac:dyDescent="0.25">
      <c r="A20" s="561" t="s">
        <v>1</v>
      </c>
      <c r="B20" s="562"/>
      <c r="C20" s="562"/>
      <c r="D20" s="562"/>
      <c r="E20" s="562"/>
      <c r="F20" s="562"/>
      <c r="G20" s="562"/>
      <c r="H20" s="562"/>
      <c r="I20" s="563"/>
      <c r="J20" s="1"/>
      <c r="K20" s="1"/>
      <c r="L20" s="1"/>
      <c r="M20" s="1"/>
    </row>
    <row r="21" spans="1:13" ht="15" x14ac:dyDescent="0.25">
      <c r="A21" s="535" t="s">
        <v>67</v>
      </c>
      <c r="B21" s="536"/>
      <c r="C21" s="799"/>
      <c r="D21" s="799"/>
      <c r="E21" s="799"/>
      <c r="F21" s="799"/>
      <c r="G21" s="799"/>
      <c r="H21" s="799"/>
      <c r="I21" s="800"/>
    </row>
    <row r="22" spans="1:13" ht="15" x14ac:dyDescent="0.25">
      <c r="A22" s="535" t="s">
        <v>129</v>
      </c>
      <c r="B22" s="536"/>
      <c r="C22" s="799"/>
      <c r="D22" s="799"/>
      <c r="E22" s="799"/>
      <c r="F22" s="799"/>
      <c r="G22" s="799"/>
      <c r="H22" s="799"/>
      <c r="I22" s="800"/>
    </row>
    <row r="23" spans="1:13" ht="15" x14ac:dyDescent="0.25">
      <c r="A23" s="535"/>
      <c r="B23" s="536"/>
      <c r="C23" s="799"/>
      <c r="D23" s="799"/>
      <c r="E23" s="799"/>
      <c r="F23" s="799"/>
      <c r="G23" s="799"/>
      <c r="H23" s="799"/>
      <c r="I23" s="800"/>
    </row>
    <row r="24" spans="1:13" ht="14.25" x14ac:dyDescent="0.2">
      <c r="A24" s="535"/>
      <c r="B24" s="536"/>
      <c r="C24" s="536"/>
      <c r="D24" s="536"/>
      <c r="E24" s="536"/>
      <c r="F24" s="536"/>
      <c r="G24" s="536"/>
      <c r="H24" s="536"/>
      <c r="I24" s="537"/>
    </row>
    <row r="25" spans="1:13" ht="15" x14ac:dyDescent="0.25">
      <c r="A25" s="801"/>
      <c r="B25" s="799"/>
      <c r="C25" s="799"/>
      <c r="D25" s="799"/>
      <c r="E25" s="799"/>
      <c r="F25" s="799"/>
      <c r="G25" s="799"/>
      <c r="H25" s="799"/>
      <c r="I25" s="800"/>
    </row>
    <row r="26" spans="1:13" ht="15" x14ac:dyDescent="0.25">
      <c r="A26" s="801"/>
      <c r="B26" s="799"/>
      <c r="C26" s="799"/>
      <c r="D26" s="799"/>
      <c r="E26" s="799"/>
      <c r="F26" s="799"/>
      <c r="G26" s="799"/>
      <c r="H26" s="799"/>
      <c r="I26" s="800"/>
    </row>
    <row r="27" spans="1:13" ht="14.25" x14ac:dyDescent="0.2">
      <c r="A27" s="547"/>
      <c r="B27" s="548"/>
      <c r="C27" s="548"/>
      <c r="D27" s="548"/>
      <c r="E27" s="548"/>
      <c r="F27" s="548"/>
      <c r="G27" s="548"/>
      <c r="H27" s="548"/>
      <c r="I27" s="549"/>
    </row>
    <row r="28" spans="1:13" ht="15" x14ac:dyDescent="0.25">
      <c r="A28" s="541" t="s">
        <v>0</v>
      </c>
      <c r="B28" s="542"/>
      <c r="C28" s="542"/>
      <c r="D28" s="542"/>
      <c r="E28" s="542"/>
      <c r="F28" s="542"/>
      <c r="G28" s="542"/>
      <c r="H28" s="542"/>
      <c r="I28" s="543"/>
    </row>
    <row r="29" spans="1:13" ht="15" thickBot="1" x14ac:dyDescent="0.25">
      <c r="A29" s="544"/>
      <c r="B29" s="545"/>
      <c r="C29" s="545"/>
      <c r="D29" s="545"/>
      <c r="E29" s="545"/>
      <c r="F29" s="545"/>
      <c r="G29" s="545"/>
      <c r="H29" s="545"/>
      <c r="I29" s="546"/>
    </row>
    <row r="31" spans="1:13" x14ac:dyDescent="0.2">
      <c r="A31" s="2"/>
      <c r="B31" s="2"/>
      <c r="C31" s="2"/>
      <c r="D31" s="1"/>
      <c r="E31" s="1"/>
      <c r="F31" s="1"/>
      <c r="G31" s="1"/>
      <c r="H31" s="1"/>
      <c r="I31" s="1"/>
    </row>
  </sheetData>
  <mergeCells count="42">
    <mergeCell ref="A29:I29"/>
    <mergeCell ref="A23:I23"/>
    <mergeCell ref="A24:I24"/>
    <mergeCell ref="A25:I25"/>
    <mergeCell ref="A26:I26"/>
    <mergeCell ref="A27:I27"/>
    <mergeCell ref="A28:I28"/>
    <mergeCell ref="A22:I22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I20"/>
    <mergeCell ref="A21:I21"/>
    <mergeCell ref="A15:C15"/>
    <mergeCell ref="F15:G15"/>
    <mergeCell ref="H15:I15"/>
    <mergeCell ref="A16:C16"/>
    <mergeCell ref="F16:G16"/>
    <mergeCell ref="H16:I1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DB79-48E3-460B-933C-4452236E21F4}">
  <dimension ref="A1:M64"/>
  <sheetViews>
    <sheetView workbookViewId="0">
      <selection activeCell="C12" sqref="C12"/>
    </sheetView>
  </sheetViews>
  <sheetFormatPr baseColWidth="10" defaultRowHeight="12.75" x14ac:dyDescent="0.2"/>
  <cols>
    <col min="3" max="3" width="49" customWidth="1"/>
    <col min="4" max="4" width="34.42578125" bestFit="1" customWidth="1"/>
    <col min="8" max="8" width="27" customWidth="1"/>
    <col min="9" max="9" width="17.42578125" bestFit="1" customWidth="1"/>
  </cols>
  <sheetData>
    <row r="1" spans="1:9" ht="15.75" x14ac:dyDescent="0.25">
      <c r="A1" s="693"/>
      <c r="B1" s="694"/>
      <c r="C1" s="682" t="s">
        <v>28</v>
      </c>
      <c r="D1" s="682"/>
      <c r="E1" s="682"/>
      <c r="F1" s="682"/>
      <c r="G1" s="682"/>
      <c r="H1" s="60" t="s">
        <v>27</v>
      </c>
      <c r="I1" s="42" t="s">
        <v>298</v>
      </c>
    </row>
    <row r="2" spans="1:9" ht="16.5" thickBot="1" x14ac:dyDescent="0.3">
      <c r="A2" s="695"/>
      <c r="B2" s="696"/>
      <c r="C2" s="683" t="s">
        <v>26</v>
      </c>
      <c r="D2" s="683"/>
      <c r="E2" s="683"/>
      <c r="F2" s="683"/>
      <c r="G2" s="683"/>
      <c r="H2" s="61" t="s">
        <v>25</v>
      </c>
      <c r="I2" s="40" t="s">
        <v>207</v>
      </c>
    </row>
    <row r="3" spans="1:9" ht="18.75" thickBot="1" x14ac:dyDescent="0.25">
      <c r="A3" s="695"/>
      <c r="B3" s="696"/>
      <c r="C3" s="802" t="s">
        <v>299</v>
      </c>
      <c r="D3" s="803"/>
      <c r="E3" s="803"/>
      <c r="F3" s="803"/>
      <c r="G3" s="804"/>
      <c r="H3" s="686" t="s">
        <v>24</v>
      </c>
      <c r="I3" s="581">
        <v>45608</v>
      </c>
    </row>
    <row r="4" spans="1:9" ht="13.5" x14ac:dyDescent="0.25">
      <c r="A4" s="695"/>
      <c r="B4" s="696"/>
      <c r="C4" s="208" t="s">
        <v>23</v>
      </c>
      <c r="D4" s="645" t="s">
        <v>209</v>
      </c>
      <c r="E4" s="646"/>
      <c r="F4" s="646"/>
      <c r="G4" s="647"/>
      <c r="H4" s="687"/>
      <c r="I4" s="582"/>
    </row>
    <row r="5" spans="1:9" ht="14.25" thickBot="1" x14ac:dyDescent="0.3">
      <c r="A5" s="763"/>
      <c r="B5" s="764"/>
      <c r="C5" s="209" t="s">
        <v>22</v>
      </c>
      <c r="D5" s="648" t="s">
        <v>210</v>
      </c>
      <c r="E5" s="649"/>
      <c r="F5" s="649"/>
      <c r="G5" s="650"/>
      <c r="H5" s="700"/>
      <c r="I5" s="762"/>
    </row>
    <row r="6" spans="1:9" ht="18.75" thickBot="1" x14ac:dyDescent="0.3">
      <c r="A6" s="567" t="s">
        <v>21</v>
      </c>
      <c r="B6" s="567"/>
      <c r="C6" s="567"/>
      <c r="D6" s="568" t="s">
        <v>142</v>
      </c>
      <c r="E6" s="568"/>
      <c r="F6" s="568"/>
      <c r="G6" s="569" t="s">
        <v>20</v>
      </c>
      <c r="H6" s="569"/>
      <c r="I6" s="37" t="s">
        <v>142</v>
      </c>
    </row>
    <row r="7" spans="1:9" ht="25.5" x14ac:dyDescent="0.2">
      <c r="A7" s="688" t="s">
        <v>19</v>
      </c>
      <c r="B7" s="769" t="s">
        <v>211</v>
      </c>
      <c r="C7" s="689" t="s">
        <v>18</v>
      </c>
      <c r="D7" s="689" t="s">
        <v>17</v>
      </c>
      <c r="E7" s="689" t="s">
        <v>16</v>
      </c>
      <c r="F7" s="689"/>
      <c r="G7" s="689" t="s">
        <v>15</v>
      </c>
      <c r="H7" s="689"/>
      <c r="I7" s="72" t="s">
        <v>14</v>
      </c>
    </row>
    <row r="8" spans="1:9" ht="26.25" thickBot="1" x14ac:dyDescent="0.25">
      <c r="A8" s="768"/>
      <c r="B8" s="770"/>
      <c r="C8" s="771"/>
      <c r="D8" s="771"/>
      <c r="E8" s="210" t="s">
        <v>11</v>
      </c>
      <c r="F8" s="211" t="s">
        <v>13</v>
      </c>
      <c r="G8" s="210" t="s">
        <v>11</v>
      </c>
      <c r="H8" s="211" t="s">
        <v>13</v>
      </c>
      <c r="I8" s="212" t="s">
        <v>12</v>
      </c>
    </row>
    <row r="9" spans="1:9" ht="15" x14ac:dyDescent="0.25">
      <c r="A9" s="213"/>
      <c r="B9" s="214"/>
      <c r="C9" s="215" t="s">
        <v>212</v>
      </c>
      <c r="D9" s="216"/>
      <c r="E9" s="217"/>
      <c r="F9" s="218"/>
      <c r="G9" s="217"/>
      <c r="H9" s="218"/>
      <c r="I9" s="219"/>
    </row>
    <row r="10" spans="1:9" ht="15" x14ac:dyDescent="0.25">
      <c r="A10" s="307" t="s">
        <v>250</v>
      </c>
      <c r="B10" s="307"/>
      <c r="C10" s="308" t="s">
        <v>251</v>
      </c>
      <c r="D10" s="309" t="s">
        <v>95</v>
      </c>
      <c r="E10" s="310">
        <v>21400</v>
      </c>
      <c r="F10" s="311" t="s">
        <v>2</v>
      </c>
      <c r="G10" s="312"/>
      <c r="H10" s="218"/>
      <c r="I10" s="219"/>
    </row>
    <row r="11" spans="1:9" ht="15" x14ac:dyDescent="0.25">
      <c r="A11" s="272">
        <v>90100131</v>
      </c>
      <c r="B11" s="272" t="s">
        <v>34</v>
      </c>
      <c r="C11" s="273" t="s">
        <v>300</v>
      </c>
      <c r="D11" s="313" t="s">
        <v>95</v>
      </c>
      <c r="E11" s="314">
        <v>8000</v>
      </c>
      <c r="F11" s="268" t="s">
        <v>2</v>
      </c>
      <c r="G11" s="312"/>
      <c r="H11" s="218"/>
      <c r="I11" s="219"/>
    </row>
    <row r="12" spans="1:9" ht="15" x14ac:dyDescent="0.25">
      <c r="A12" s="272" t="s">
        <v>301</v>
      </c>
      <c r="B12" s="272" t="s">
        <v>302</v>
      </c>
      <c r="C12" s="273" t="s">
        <v>303</v>
      </c>
      <c r="D12" s="313" t="s">
        <v>304</v>
      </c>
      <c r="E12" s="314">
        <v>5</v>
      </c>
      <c r="F12" s="268" t="s">
        <v>2</v>
      </c>
      <c r="G12" s="312"/>
      <c r="H12" s="218"/>
      <c r="I12" s="219"/>
    </row>
    <row r="13" spans="1:9" ht="15" x14ac:dyDescent="0.25">
      <c r="A13" s="272" t="s">
        <v>305</v>
      </c>
      <c r="B13" s="272" t="s">
        <v>306</v>
      </c>
      <c r="C13" s="273" t="s">
        <v>307</v>
      </c>
      <c r="D13" s="313" t="s">
        <v>282</v>
      </c>
      <c r="E13" s="314">
        <v>2000</v>
      </c>
      <c r="F13" s="268" t="s">
        <v>2</v>
      </c>
      <c r="G13" s="312"/>
      <c r="H13" s="218"/>
      <c r="I13" s="219"/>
    </row>
    <row r="14" spans="1:9" ht="15" x14ac:dyDescent="0.25">
      <c r="A14" s="272" t="s">
        <v>308</v>
      </c>
      <c r="B14" s="272" t="s">
        <v>40</v>
      </c>
      <c r="C14" s="273" t="s">
        <v>275</v>
      </c>
      <c r="D14" s="313" t="s">
        <v>276</v>
      </c>
      <c r="E14" s="314">
        <v>66</v>
      </c>
      <c r="F14" s="268" t="s">
        <v>2</v>
      </c>
      <c r="G14" s="312"/>
      <c r="H14" s="218"/>
      <c r="I14" s="219"/>
    </row>
    <row r="15" spans="1:9" ht="15" x14ac:dyDescent="0.25">
      <c r="A15" s="272"/>
      <c r="B15" s="272"/>
      <c r="C15" s="273"/>
      <c r="D15" s="313"/>
      <c r="E15" s="314"/>
      <c r="F15" s="268"/>
      <c r="G15" s="312"/>
      <c r="H15" s="218"/>
      <c r="I15" s="219"/>
    </row>
    <row r="16" spans="1:9" ht="15" x14ac:dyDescent="0.25">
      <c r="A16" s="272"/>
      <c r="B16" s="272"/>
      <c r="C16" s="273"/>
      <c r="D16" s="313"/>
      <c r="E16" s="314"/>
      <c r="F16" s="268"/>
      <c r="G16" s="312"/>
      <c r="H16" s="218"/>
      <c r="I16" s="219"/>
    </row>
    <row r="17" spans="1:9" ht="15" x14ac:dyDescent="0.25">
      <c r="A17" s="49"/>
      <c r="B17" s="49"/>
      <c r="C17" s="55"/>
      <c r="D17" s="313"/>
      <c r="E17" s="314"/>
      <c r="F17" s="268"/>
      <c r="G17" s="312"/>
      <c r="H17" s="218"/>
      <c r="I17" s="219"/>
    </row>
    <row r="18" spans="1:9" ht="15" x14ac:dyDescent="0.25">
      <c r="A18" s="49"/>
      <c r="B18" s="49"/>
      <c r="C18" s="55"/>
      <c r="D18" s="313"/>
      <c r="E18" s="314"/>
      <c r="F18" s="268"/>
      <c r="G18" s="312"/>
      <c r="H18" s="218"/>
      <c r="I18" s="219"/>
    </row>
    <row r="19" spans="1:9" ht="15" x14ac:dyDescent="0.25">
      <c r="A19" s="49"/>
      <c r="B19" s="49"/>
      <c r="C19" s="55"/>
      <c r="D19" s="313"/>
      <c r="E19" s="314"/>
      <c r="F19" s="268"/>
      <c r="G19" s="312"/>
      <c r="H19" s="218"/>
      <c r="I19" s="219"/>
    </row>
    <row r="20" spans="1:9" ht="15" x14ac:dyDescent="0.25">
      <c r="A20" s="49"/>
      <c r="B20" s="49"/>
      <c r="C20" s="55"/>
      <c r="D20" s="313"/>
      <c r="E20" s="314"/>
      <c r="F20" s="268"/>
      <c r="G20" s="312"/>
      <c r="H20" s="218"/>
      <c r="I20" s="219"/>
    </row>
    <row r="21" spans="1:9" ht="15" x14ac:dyDescent="0.25">
      <c r="A21" s="49"/>
      <c r="B21" s="49"/>
      <c r="C21" s="55"/>
      <c r="D21" s="313"/>
      <c r="E21" s="314"/>
      <c r="F21" s="268"/>
      <c r="G21" s="312"/>
      <c r="H21" s="218"/>
      <c r="I21" s="219"/>
    </row>
    <row r="22" spans="1:9" ht="15" x14ac:dyDescent="0.25">
      <c r="A22" s="49"/>
      <c r="B22" s="49"/>
      <c r="C22" s="55"/>
      <c r="D22" s="313"/>
      <c r="E22" s="314"/>
      <c r="F22" s="268"/>
      <c r="G22" s="312"/>
      <c r="H22" s="218"/>
      <c r="I22" s="219"/>
    </row>
    <row r="23" spans="1:9" ht="15" x14ac:dyDescent="0.25">
      <c r="A23" s="272"/>
      <c r="B23" s="272"/>
      <c r="C23" s="273"/>
      <c r="D23" s="315"/>
      <c r="E23" s="314"/>
      <c r="F23" s="316"/>
      <c r="G23" s="312"/>
      <c r="H23" s="218"/>
      <c r="I23" s="219"/>
    </row>
    <row r="24" spans="1:9" ht="15" x14ac:dyDescent="0.25">
      <c r="A24" s="272"/>
      <c r="B24" s="272"/>
      <c r="C24" s="273"/>
      <c r="D24" s="313"/>
      <c r="E24" s="314"/>
      <c r="F24" s="268"/>
      <c r="G24" s="217"/>
      <c r="H24" s="218"/>
      <c r="I24" s="219"/>
    </row>
    <row r="25" spans="1:9" ht="15" x14ac:dyDescent="0.25">
      <c r="A25" s="275"/>
      <c r="B25" s="49"/>
      <c r="C25" s="276"/>
      <c r="D25" s="65"/>
      <c r="E25" s="267"/>
      <c r="F25" s="268"/>
      <c r="G25" s="217"/>
      <c r="H25" s="218"/>
      <c r="I25" s="219"/>
    </row>
    <row r="26" spans="1:9" ht="15" x14ac:dyDescent="0.25">
      <c r="A26" s="275"/>
      <c r="B26" s="49"/>
      <c r="C26" s="276"/>
      <c r="D26" s="65"/>
      <c r="E26" s="267"/>
      <c r="F26" s="268"/>
      <c r="G26" s="217"/>
      <c r="H26" s="218"/>
      <c r="I26" s="219"/>
    </row>
    <row r="27" spans="1:9" ht="15" x14ac:dyDescent="0.25">
      <c r="A27" s="275"/>
      <c r="B27" s="49"/>
      <c r="C27" s="276"/>
      <c r="D27" s="65"/>
      <c r="E27" s="267"/>
      <c r="F27" s="268"/>
      <c r="G27" s="217"/>
      <c r="H27" s="218"/>
      <c r="I27" s="219"/>
    </row>
    <row r="28" spans="1:9" ht="15" x14ac:dyDescent="0.25">
      <c r="A28" s="49"/>
      <c r="B28" s="49"/>
      <c r="C28" s="229"/>
      <c r="D28" s="26"/>
      <c r="E28" s="26"/>
      <c r="F28" s="25"/>
      <c r="G28" s="217"/>
      <c r="H28" s="218"/>
      <c r="I28" s="219"/>
    </row>
    <row r="29" spans="1:9" ht="15.75" x14ac:dyDescent="0.25">
      <c r="A29" s="242"/>
      <c r="B29" s="243"/>
      <c r="C29" s="244" t="s">
        <v>215</v>
      </c>
      <c r="D29" s="239"/>
      <c r="E29" s="245"/>
      <c r="F29" s="25"/>
      <c r="G29" s="217"/>
      <c r="H29" s="218"/>
      <c r="I29" s="219"/>
    </row>
    <row r="30" spans="1:9" ht="15" x14ac:dyDescent="0.25">
      <c r="A30" s="317"/>
      <c r="B30" s="7"/>
      <c r="C30" s="318"/>
      <c r="D30" s="319"/>
      <c r="E30" s="26"/>
      <c r="F30" s="25"/>
      <c r="G30" s="217"/>
      <c r="H30" s="218"/>
      <c r="I30" s="219"/>
    </row>
    <row r="31" spans="1:9" ht="15" x14ac:dyDescent="0.25">
      <c r="A31" s="49"/>
      <c r="B31" s="49"/>
      <c r="C31" s="229"/>
      <c r="D31" s="319"/>
      <c r="E31" s="26"/>
      <c r="F31" s="25"/>
      <c r="G31" s="217"/>
      <c r="H31" s="218"/>
      <c r="I31" s="219"/>
    </row>
    <row r="32" spans="1:9" ht="15" x14ac:dyDescent="0.25">
      <c r="A32" s="320"/>
      <c r="B32" s="320"/>
      <c r="C32" s="318"/>
      <c r="D32" s="319"/>
      <c r="E32" s="26"/>
      <c r="F32" s="25"/>
      <c r="G32" s="217"/>
      <c r="H32" s="218"/>
      <c r="I32" s="219"/>
    </row>
    <row r="33" spans="1:13" ht="15" x14ac:dyDescent="0.25">
      <c r="A33" s="49"/>
      <c r="B33" s="49"/>
      <c r="C33" s="229"/>
      <c r="D33" s="26"/>
      <c r="E33" s="239"/>
      <c r="F33" s="25"/>
      <c r="G33" s="217"/>
      <c r="H33" s="218"/>
      <c r="I33" s="219"/>
    </row>
    <row r="34" spans="1:13" ht="15" x14ac:dyDescent="0.25">
      <c r="A34" s="49"/>
      <c r="B34" s="49"/>
      <c r="C34" s="229"/>
      <c r="D34" s="65"/>
      <c r="E34" s="321"/>
      <c r="F34" s="322"/>
      <c r="G34" s="217"/>
      <c r="H34" s="218"/>
      <c r="I34" s="219"/>
    </row>
    <row r="35" spans="1:13" ht="15.75" x14ac:dyDescent="0.25">
      <c r="A35" s="260"/>
      <c r="B35" s="261"/>
      <c r="C35" s="262" t="s">
        <v>216</v>
      </c>
      <c r="D35" s="263"/>
      <c r="E35" s="217"/>
      <c r="F35" s="218"/>
      <c r="G35" s="217"/>
      <c r="H35" s="218"/>
      <c r="I35" s="219"/>
    </row>
    <row r="36" spans="1:13" ht="15" x14ac:dyDescent="0.25">
      <c r="A36" s="48">
        <v>512000002</v>
      </c>
      <c r="B36" s="49" t="s">
        <v>309</v>
      </c>
      <c r="C36" s="55" t="s">
        <v>310</v>
      </c>
      <c r="D36" s="65" t="s">
        <v>57</v>
      </c>
      <c r="E36" s="50" t="s">
        <v>311</v>
      </c>
      <c r="F36" s="268" t="s">
        <v>312</v>
      </c>
      <c r="G36" s="312"/>
      <c r="H36" s="218"/>
      <c r="I36" s="219"/>
    </row>
    <row r="37" spans="1:13" ht="15" x14ac:dyDescent="0.25">
      <c r="A37" s="49" t="s">
        <v>202</v>
      </c>
      <c r="B37" s="49" t="s">
        <v>68</v>
      </c>
      <c r="C37" s="55" t="s">
        <v>291</v>
      </c>
      <c r="D37" s="65"/>
      <c r="E37" s="267">
        <v>2</v>
      </c>
      <c r="F37" s="268" t="s">
        <v>5</v>
      </c>
      <c r="G37" s="217"/>
      <c r="H37" s="218"/>
      <c r="I37" s="219"/>
    </row>
    <row r="38" spans="1:13" ht="15" x14ac:dyDescent="0.25">
      <c r="A38" s="323"/>
      <c r="B38" s="324"/>
      <c r="C38" s="325"/>
      <c r="D38" s="239"/>
      <c r="E38" s="26"/>
      <c r="F38" s="25"/>
      <c r="G38" s="217"/>
      <c r="H38" s="218"/>
      <c r="I38" s="219"/>
    </row>
    <row r="39" spans="1:13" ht="15" x14ac:dyDescent="0.25">
      <c r="A39" s="326"/>
      <c r="B39" s="326"/>
      <c r="C39" s="229"/>
      <c r="D39" s="239"/>
      <c r="E39" s="26"/>
      <c r="F39" s="25"/>
      <c r="G39" s="217"/>
      <c r="H39" s="218"/>
      <c r="I39" s="219"/>
    </row>
    <row r="40" spans="1:13" ht="15" x14ac:dyDescent="0.25">
      <c r="A40" s="323"/>
      <c r="B40" s="324"/>
      <c r="C40" s="325"/>
      <c r="D40" s="239"/>
      <c r="E40" s="26"/>
      <c r="F40" s="25"/>
      <c r="G40" s="217"/>
      <c r="H40" s="218"/>
      <c r="I40" s="219"/>
    </row>
    <row r="41" spans="1:13" ht="15.75" x14ac:dyDescent="0.25">
      <c r="A41" s="323"/>
      <c r="B41" s="324"/>
      <c r="C41" s="325"/>
      <c r="D41" s="278"/>
      <c r="E41" s="26"/>
      <c r="F41" s="25"/>
      <c r="G41" s="274"/>
      <c r="H41" s="239"/>
      <c r="I41" s="219"/>
    </row>
    <row r="42" spans="1:13" ht="15.75" x14ac:dyDescent="0.25">
      <c r="A42" s="242"/>
      <c r="B42" s="243"/>
      <c r="C42" s="27"/>
      <c r="D42" s="278"/>
      <c r="E42" s="26"/>
      <c r="F42" s="25"/>
      <c r="G42" s="26"/>
      <c r="H42" s="239"/>
      <c r="I42" s="219"/>
    </row>
    <row r="43" spans="1:13" ht="15.75" x14ac:dyDescent="0.25">
      <c r="A43" s="242"/>
      <c r="B43" s="243"/>
      <c r="C43" s="27"/>
      <c r="D43" s="278"/>
      <c r="E43" s="26"/>
      <c r="F43" s="25"/>
      <c r="G43" s="277"/>
      <c r="H43" s="25"/>
      <c r="I43" s="219"/>
    </row>
    <row r="44" spans="1:13" ht="15.75" x14ac:dyDescent="0.25">
      <c r="A44" s="242"/>
      <c r="B44" s="243"/>
      <c r="C44" s="27"/>
      <c r="D44" s="239"/>
      <c r="E44" s="239"/>
      <c r="F44" s="25"/>
      <c r="G44" s="278"/>
      <c r="H44" s="278"/>
      <c r="I44" s="219"/>
    </row>
    <row r="45" spans="1:13" ht="14.25" thickBot="1" x14ac:dyDescent="0.3">
      <c r="A45" s="279"/>
      <c r="B45" s="280"/>
      <c r="C45" s="71"/>
      <c r="D45" s="71"/>
      <c r="E45" s="281"/>
      <c r="F45" s="282"/>
      <c r="G45" s="71"/>
      <c r="H45" s="71"/>
      <c r="I45" s="283"/>
      <c r="J45" s="1"/>
      <c r="K45" s="1"/>
      <c r="L45" s="82"/>
      <c r="M45" s="1"/>
    </row>
    <row r="46" spans="1:13" ht="14.25" thickBot="1" x14ac:dyDescent="0.3">
      <c r="A46" s="74"/>
      <c r="B46" s="75"/>
      <c r="C46" s="76"/>
      <c r="D46" s="77" t="s">
        <v>11</v>
      </c>
      <c r="E46" s="78" t="s">
        <v>10</v>
      </c>
      <c r="F46" s="79"/>
      <c r="G46" s="76"/>
      <c r="H46" s="76"/>
      <c r="I46" s="80"/>
      <c r="J46" s="1"/>
      <c r="K46" s="1"/>
      <c r="L46" s="82"/>
      <c r="M46" s="1"/>
    </row>
    <row r="47" spans="1:13" ht="13.5" x14ac:dyDescent="0.25">
      <c r="A47" s="676" t="s">
        <v>9</v>
      </c>
      <c r="B47" s="677"/>
      <c r="C47" s="678"/>
      <c r="D47" s="327">
        <v>31300</v>
      </c>
      <c r="E47" s="328" t="s">
        <v>2</v>
      </c>
      <c r="F47" s="679" t="s">
        <v>96</v>
      </c>
      <c r="G47" s="679"/>
      <c r="H47" s="680"/>
      <c r="I47" s="681"/>
      <c r="J47" s="1"/>
      <c r="K47" s="1"/>
      <c r="L47" s="82"/>
      <c r="M47" s="1"/>
    </row>
    <row r="48" spans="1:13" ht="13.5" x14ac:dyDescent="0.25">
      <c r="A48" s="661" t="s">
        <v>8</v>
      </c>
      <c r="B48" s="662"/>
      <c r="C48" s="663"/>
      <c r="D48" s="329">
        <v>15</v>
      </c>
      <c r="E48" s="330" t="s">
        <v>7</v>
      </c>
      <c r="F48" s="664" t="s">
        <v>97</v>
      </c>
      <c r="G48" s="664"/>
      <c r="H48" s="665"/>
      <c r="I48" s="666"/>
      <c r="J48" s="1"/>
      <c r="K48" s="1"/>
      <c r="L48" s="82"/>
      <c r="M48" s="1"/>
    </row>
    <row r="49" spans="1:13" ht="13.5" x14ac:dyDescent="0.25">
      <c r="A49" s="661" t="s">
        <v>6</v>
      </c>
      <c r="B49" s="662"/>
      <c r="C49" s="663"/>
      <c r="D49" s="330">
        <v>1</v>
      </c>
      <c r="E49" s="330" t="s">
        <v>313</v>
      </c>
      <c r="F49" s="664" t="s">
        <v>98</v>
      </c>
      <c r="G49" s="664"/>
      <c r="H49" s="665"/>
      <c r="I49" s="666"/>
      <c r="J49" s="1"/>
      <c r="K49" s="1"/>
      <c r="L49" s="82"/>
      <c r="M49" s="1"/>
    </row>
    <row r="50" spans="1:13" ht="13.5" x14ac:dyDescent="0.25">
      <c r="A50" s="661" t="s">
        <v>4</v>
      </c>
      <c r="B50" s="662"/>
      <c r="C50" s="663"/>
      <c r="D50" s="327">
        <v>31300</v>
      </c>
      <c r="E50" s="330" t="s">
        <v>2</v>
      </c>
      <c r="F50" s="667" t="s">
        <v>220</v>
      </c>
      <c r="G50" s="668"/>
      <c r="H50" s="665"/>
      <c r="I50" s="666"/>
      <c r="J50" s="1"/>
      <c r="K50" s="1"/>
      <c r="L50" s="82"/>
      <c r="M50" s="83"/>
    </row>
    <row r="51" spans="1:13" ht="14.25" thickBot="1" x14ac:dyDescent="0.3">
      <c r="A51" s="669" t="s">
        <v>3</v>
      </c>
      <c r="B51" s="670"/>
      <c r="C51" s="671"/>
      <c r="D51" s="331">
        <v>171</v>
      </c>
      <c r="E51" s="332" t="s">
        <v>2</v>
      </c>
      <c r="F51" s="672"/>
      <c r="G51" s="672"/>
      <c r="H51" s="806"/>
      <c r="I51" s="807"/>
      <c r="J51" s="71"/>
      <c r="K51" s="71"/>
      <c r="L51" s="82"/>
      <c r="M51" s="71"/>
    </row>
    <row r="52" spans="1:13" ht="13.5" thickBot="1" x14ac:dyDescent="0.25">
      <c r="A52" s="673" t="s">
        <v>1</v>
      </c>
      <c r="B52" s="674"/>
      <c r="C52" s="674"/>
      <c r="D52" s="674"/>
      <c r="E52" s="674"/>
      <c r="F52" s="674"/>
      <c r="G52" s="674"/>
      <c r="H52" s="674"/>
      <c r="I52" s="675"/>
      <c r="J52" s="1"/>
      <c r="K52" s="1"/>
      <c r="L52" s="1"/>
      <c r="M52" s="1"/>
    </row>
    <row r="53" spans="1:13" ht="18.600000000000001" customHeight="1" x14ac:dyDescent="0.25">
      <c r="A53" s="805" t="s">
        <v>314</v>
      </c>
      <c r="B53" s="805"/>
      <c r="C53" s="805"/>
      <c r="D53" s="805"/>
      <c r="E53" s="805"/>
      <c r="F53" s="805"/>
      <c r="G53" s="805"/>
      <c r="H53" s="805"/>
      <c r="I53" s="805"/>
      <c r="J53" s="1"/>
      <c r="K53" s="1"/>
      <c r="L53" s="1"/>
      <c r="M53" s="1"/>
    </row>
    <row r="54" spans="1:13" ht="15" x14ac:dyDescent="0.25">
      <c r="A54" s="805" t="s">
        <v>315</v>
      </c>
      <c r="B54" s="805"/>
      <c r="C54" s="805"/>
      <c r="D54" s="805"/>
      <c r="E54" s="805"/>
      <c r="F54" s="805"/>
      <c r="G54" s="805"/>
      <c r="H54" s="805"/>
      <c r="I54" s="805"/>
      <c r="J54" s="1"/>
      <c r="K54" s="1"/>
      <c r="L54" s="1"/>
      <c r="M54" s="1"/>
    </row>
    <row r="55" spans="1:13" ht="15" x14ac:dyDescent="0.25">
      <c r="A55" s="811" t="s">
        <v>316</v>
      </c>
      <c r="B55" s="811"/>
      <c r="C55" s="811"/>
      <c r="D55" s="811"/>
      <c r="E55" s="811"/>
      <c r="F55" s="811"/>
      <c r="G55" s="811"/>
      <c r="H55" s="811"/>
      <c r="I55" s="811"/>
      <c r="J55" s="1"/>
      <c r="K55" s="1"/>
      <c r="L55" s="1"/>
      <c r="M55" s="1"/>
    </row>
    <row r="56" spans="1:13" ht="15" x14ac:dyDescent="0.25">
      <c r="A56" s="812"/>
      <c r="B56" s="812"/>
      <c r="C56" s="812"/>
      <c r="D56" s="812"/>
      <c r="E56" s="812"/>
      <c r="F56" s="812"/>
      <c r="G56" s="812"/>
      <c r="H56" s="812"/>
      <c r="I56" s="812"/>
      <c r="J56" s="1"/>
      <c r="K56" s="1"/>
      <c r="L56" s="1"/>
      <c r="M56" s="1"/>
    </row>
    <row r="57" spans="1:13" ht="15" x14ac:dyDescent="0.25">
      <c r="A57" s="812"/>
      <c r="B57" s="812"/>
      <c r="C57" s="812"/>
      <c r="D57" s="812"/>
      <c r="E57" s="812"/>
      <c r="F57" s="812"/>
      <c r="G57" s="812"/>
      <c r="H57" s="812"/>
      <c r="I57" s="812"/>
      <c r="J57" s="1"/>
      <c r="K57" s="1"/>
      <c r="L57" s="1"/>
      <c r="M57" s="1"/>
    </row>
    <row r="58" spans="1:13" x14ac:dyDescent="0.2">
      <c r="A58" s="813"/>
      <c r="B58" s="814"/>
      <c r="C58" s="814"/>
      <c r="D58" s="814"/>
      <c r="E58" s="814"/>
      <c r="F58" s="814"/>
      <c r="G58" s="814"/>
      <c r="H58" s="814"/>
      <c r="I58" s="815"/>
      <c r="J58" s="1"/>
      <c r="K58" s="1"/>
      <c r="L58" s="1"/>
      <c r="M58" s="1"/>
    </row>
    <row r="59" spans="1:13" ht="18" customHeight="1" x14ac:dyDescent="0.2">
      <c r="A59" s="813"/>
      <c r="B59" s="814"/>
      <c r="C59" s="814"/>
      <c r="D59" s="814"/>
      <c r="E59" s="814"/>
      <c r="F59" s="814"/>
      <c r="G59" s="814"/>
      <c r="H59" s="814"/>
      <c r="I59" s="815"/>
      <c r="J59" s="1"/>
      <c r="K59" s="1"/>
      <c r="L59" s="1"/>
      <c r="M59" s="1"/>
    </row>
    <row r="60" spans="1:13" ht="13.5" x14ac:dyDescent="0.25">
      <c r="A60" s="816"/>
      <c r="B60" s="817"/>
      <c r="C60" s="817"/>
      <c r="D60" s="817"/>
      <c r="E60" s="817"/>
      <c r="F60" s="817"/>
      <c r="G60" s="817"/>
      <c r="H60" s="817"/>
      <c r="I60" s="818"/>
      <c r="J60" s="1"/>
      <c r="K60" s="1"/>
      <c r="L60" s="1"/>
      <c r="M60" s="1"/>
    </row>
    <row r="61" spans="1:13" ht="14.25" thickBot="1" x14ac:dyDescent="0.3">
      <c r="A61" s="808"/>
      <c r="B61" s="809"/>
      <c r="C61" s="809"/>
      <c r="D61" s="809"/>
      <c r="E61" s="809"/>
      <c r="F61" s="809"/>
      <c r="G61" s="809"/>
      <c r="H61" s="809"/>
      <c r="I61" s="810"/>
      <c r="J61" s="1"/>
      <c r="K61" s="1"/>
      <c r="L61" s="1"/>
      <c r="M61" s="1"/>
    </row>
    <row r="62" spans="1:13" x14ac:dyDescent="0.2">
      <c r="A62" s="781" t="s">
        <v>0</v>
      </c>
      <c r="B62" s="782"/>
      <c r="C62" s="782"/>
      <c r="D62" s="782"/>
      <c r="E62" s="782"/>
      <c r="F62" s="782"/>
      <c r="G62" s="782"/>
      <c r="H62" s="782"/>
      <c r="I62" s="782"/>
      <c r="J62" s="1"/>
      <c r="K62" s="1"/>
      <c r="L62" s="1"/>
      <c r="M62" s="1"/>
    </row>
    <row r="63" spans="1:13" ht="13.5" x14ac:dyDescent="0.25">
      <c r="A63" s="783"/>
      <c r="B63" s="784"/>
      <c r="C63" s="784"/>
      <c r="D63" s="784"/>
      <c r="E63" s="784"/>
      <c r="F63" s="784"/>
      <c r="G63" s="784"/>
      <c r="H63" s="784"/>
      <c r="I63" s="784"/>
      <c r="J63" s="1"/>
      <c r="K63" s="1"/>
      <c r="L63" s="1"/>
      <c r="M63" s="1"/>
    </row>
    <row r="64" spans="1:13" ht="13.5" x14ac:dyDescent="0.25">
      <c r="A64" s="783"/>
      <c r="B64" s="784"/>
      <c r="C64" s="784"/>
      <c r="D64" s="784"/>
      <c r="E64" s="784"/>
      <c r="F64" s="784"/>
      <c r="G64" s="784"/>
      <c r="H64" s="784"/>
      <c r="I64" s="784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6E81-7CAB-4360-8926-8F1F092D2216}">
  <dimension ref="A1:I57"/>
  <sheetViews>
    <sheetView workbookViewId="0">
      <selection activeCell="F16" sqref="F16"/>
    </sheetView>
  </sheetViews>
  <sheetFormatPr baseColWidth="10" defaultRowHeight="12.75" x14ac:dyDescent="0.2"/>
  <cols>
    <col min="3" max="3" width="49" customWidth="1"/>
    <col min="4" max="4" width="34.425781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93"/>
      <c r="B1" s="694"/>
      <c r="C1" s="682" t="s">
        <v>28</v>
      </c>
      <c r="D1" s="682"/>
      <c r="E1" s="682"/>
      <c r="F1" s="682"/>
      <c r="G1" s="682"/>
      <c r="H1" s="60" t="s">
        <v>27</v>
      </c>
      <c r="I1" s="42" t="s">
        <v>225</v>
      </c>
    </row>
    <row r="2" spans="1:9" ht="18" customHeight="1" thickBot="1" x14ac:dyDescent="0.3">
      <c r="A2" s="695"/>
      <c r="B2" s="696"/>
      <c r="C2" s="765" t="s">
        <v>26</v>
      </c>
      <c r="D2" s="766"/>
      <c r="E2" s="766"/>
      <c r="F2" s="766"/>
      <c r="G2" s="767"/>
      <c r="H2" s="61" t="s">
        <v>25</v>
      </c>
      <c r="I2" s="40" t="s">
        <v>207</v>
      </c>
    </row>
    <row r="3" spans="1:9" ht="31.5" customHeight="1" thickBot="1" x14ac:dyDescent="0.25">
      <c r="A3" s="695"/>
      <c r="B3" s="696"/>
      <c r="C3" s="699" t="s">
        <v>226</v>
      </c>
      <c r="D3" s="684"/>
      <c r="E3" s="684"/>
      <c r="F3" s="684"/>
      <c r="G3" s="685"/>
      <c r="H3" s="686" t="s">
        <v>24</v>
      </c>
      <c r="I3" s="581">
        <v>45619</v>
      </c>
    </row>
    <row r="4" spans="1:9" ht="18" customHeight="1" x14ac:dyDescent="0.25">
      <c r="A4" s="695"/>
      <c r="B4" s="696"/>
      <c r="C4" s="208" t="s">
        <v>23</v>
      </c>
      <c r="D4" s="645" t="s">
        <v>209</v>
      </c>
      <c r="E4" s="646"/>
      <c r="F4" s="646"/>
      <c r="G4" s="647"/>
      <c r="H4" s="687"/>
      <c r="I4" s="582"/>
    </row>
    <row r="5" spans="1:9" ht="14.25" thickBot="1" x14ac:dyDescent="0.3">
      <c r="A5" s="763"/>
      <c r="B5" s="764"/>
      <c r="C5" s="209" t="s">
        <v>22</v>
      </c>
      <c r="D5" s="648" t="s">
        <v>210</v>
      </c>
      <c r="E5" s="649"/>
      <c r="F5" s="649"/>
      <c r="G5" s="650"/>
      <c r="H5" s="700"/>
      <c r="I5" s="762"/>
    </row>
    <row r="6" spans="1:9" ht="18.75" thickBot="1" x14ac:dyDescent="0.3">
      <c r="A6" s="567" t="s">
        <v>21</v>
      </c>
      <c r="B6" s="567"/>
      <c r="C6" s="567"/>
      <c r="D6" s="568" t="s">
        <v>227</v>
      </c>
      <c r="E6" s="568"/>
      <c r="F6" s="568"/>
      <c r="G6" s="569" t="s">
        <v>20</v>
      </c>
      <c r="H6" s="569"/>
      <c r="I6" s="37" t="s">
        <v>227</v>
      </c>
    </row>
    <row r="7" spans="1:9" x14ac:dyDescent="0.2">
      <c r="A7" s="688" t="s">
        <v>19</v>
      </c>
      <c r="B7" s="769" t="s">
        <v>211</v>
      </c>
      <c r="C7" s="689" t="s">
        <v>18</v>
      </c>
      <c r="D7" s="689" t="s">
        <v>17</v>
      </c>
      <c r="E7" s="689" t="s">
        <v>16</v>
      </c>
      <c r="F7" s="689"/>
      <c r="G7" s="689" t="s">
        <v>15</v>
      </c>
      <c r="H7" s="689"/>
      <c r="I7" s="72" t="s">
        <v>14</v>
      </c>
    </row>
    <row r="8" spans="1:9" ht="26.25" thickBot="1" x14ac:dyDescent="0.25">
      <c r="A8" s="768"/>
      <c r="B8" s="770"/>
      <c r="C8" s="771"/>
      <c r="D8" s="771"/>
      <c r="E8" s="210" t="s">
        <v>11</v>
      </c>
      <c r="F8" s="211" t="s">
        <v>13</v>
      </c>
      <c r="G8" s="210" t="s">
        <v>11</v>
      </c>
      <c r="H8" s="211" t="s">
        <v>13</v>
      </c>
      <c r="I8" s="212" t="s">
        <v>12</v>
      </c>
    </row>
    <row r="9" spans="1:9" ht="18.600000000000001" customHeight="1" x14ac:dyDescent="0.25">
      <c r="A9" s="213"/>
      <c r="B9" s="214"/>
      <c r="C9" s="215" t="s">
        <v>212</v>
      </c>
      <c r="D9" s="216"/>
      <c r="E9" s="217"/>
      <c r="F9" s="218"/>
      <c r="G9" s="217"/>
      <c r="H9" s="218"/>
      <c r="I9" s="219"/>
    </row>
    <row r="10" spans="1:9" ht="18" customHeight="1" x14ac:dyDescent="0.25">
      <c r="A10" s="240">
        <v>907000306</v>
      </c>
      <c r="B10" s="49" t="s">
        <v>228</v>
      </c>
      <c r="C10" s="55" t="s">
        <v>229</v>
      </c>
      <c r="D10" s="287" t="s">
        <v>95</v>
      </c>
      <c r="E10" s="288">
        <v>24000</v>
      </c>
      <c r="F10" s="289" t="s">
        <v>2</v>
      </c>
      <c r="G10" s="225"/>
      <c r="H10" s="226"/>
      <c r="I10" s="219"/>
    </row>
    <row r="11" spans="1:9" ht="15" x14ac:dyDescent="0.25">
      <c r="A11" s="287"/>
      <c r="B11" s="287"/>
      <c r="C11" s="290"/>
      <c r="D11" s="287"/>
      <c r="E11" s="288"/>
      <c r="F11" s="289"/>
      <c r="G11" s="225"/>
      <c r="H11" s="226"/>
      <c r="I11" s="219"/>
    </row>
    <row r="12" spans="1:9" ht="15" x14ac:dyDescent="0.25">
      <c r="A12" s="287"/>
      <c r="B12" s="287"/>
      <c r="C12" s="290"/>
      <c r="D12" s="287"/>
      <c r="E12" s="288"/>
      <c r="F12" s="289"/>
      <c r="G12" s="225"/>
      <c r="H12" s="226"/>
      <c r="I12" s="219"/>
    </row>
    <row r="13" spans="1:9" ht="15" x14ac:dyDescent="0.25">
      <c r="A13" s="287"/>
      <c r="B13" s="287"/>
      <c r="C13" s="290"/>
      <c r="D13" s="287"/>
      <c r="E13" s="288"/>
      <c r="F13" s="289"/>
      <c r="G13" s="225"/>
      <c r="H13" s="226"/>
      <c r="I13" s="219"/>
    </row>
    <row r="14" spans="1:9" ht="15" x14ac:dyDescent="0.25">
      <c r="A14" s="287"/>
      <c r="B14" s="287"/>
      <c r="C14" s="290"/>
      <c r="D14" s="287"/>
      <c r="E14" s="288"/>
      <c r="F14" s="289"/>
      <c r="G14" s="225"/>
      <c r="H14" s="226"/>
      <c r="I14" s="219"/>
    </row>
    <row r="15" spans="1:9" ht="15" x14ac:dyDescent="0.25">
      <c r="A15" s="287"/>
      <c r="B15" s="287"/>
      <c r="C15" s="290"/>
      <c r="D15" s="287"/>
      <c r="E15" s="288"/>
      <c r="F15" s="289"/>
      <c r="G15" s="225"/>
      <c r="H15" s="226"/>
      <c r="I15" s="219"/>
    </row>
    <row r="16" spans="1:9" ht="15" x14ac:dyDescent="0.25">
      <c r="A16" s="287"/>
      <c r="B16" s="287"/>
      <c r="C16" s="290"/>
      <c r="D16" s="287"/>
      <c r="E16" s="288"/>
      <c r="F16" s="289"/>
      <c r="G16" s="225"/>
      <c r="H16" s="226"/>
      <c r="I16" s="219"/>
    </row>
    <row r="17" spans="1:9" ht="15" x14ac:dyDescent="0.25">
      <c r="A17" s="287"/>
      <c r="B17" s="287"/>
      <c r="C17" s="290"/>
      <c r="D17" s="287"/>
      <c r="E17" s="288"/>
      <c r="F17" s="289"/>
      <c r="G17" s="225"/>
      <c r="H17" s="226"/>
      <c r="I17" s="219"/>
    </row>
    <row r="18" spans="1:9" ht="15" x14ac:dyDescent="0.25">
      <c r="A18" s="287"/>
      <c r="B18" s="287"/>
      <c r="C18" s="290"/>
      <c r="D18" s="287"/>
      <c r="E18" s="288"/>
      <c r="F18" s="289"/>
      <c r="G18" s="225"/>
      <c r="H18" s="226"/>
      <c r="I18" s="219"/>
    </row>
    <row r="19" spans="1:9" ht="15" x14ac:dyDescent="0.25">
      <c r="A19" s="287"/>
      <c r="B19" s="287"/>
      <c r="C19" s="290"/>
      <c r="D19" s="287"/>
      <c r="E19" s="288"/>
      <c r="F19" s="289"/>
      <c r="G19" s="225"/>
      <c r="H19" s="226"/>
      <c r="I19" s="219"/>
    </row>
    <row r="20" spans="1:9" ht="15.75" x14ac:dyDescent="0.25">
      <c r="A20" s="88"/>
      <c r="B20" s="88"/>
      <c r="C20" s="55"/>
      <c r="D20" s="236"/>
      <c r="E20" s="236"/>
      <c r="F20" s="236"/>
      <c r="G20" s="62"/>
      <c r="H20" s="226"/>
      <c r="I20" s="219"/>
    </row>
    <row r="21" spans="1:9" ht="15.75" x14ac:dyDescent="0.25">
      <c r="A21" s="242"/>
      <c r="B21" s="243"/>
      <c r="C21" s="244" t="s">
        <v>215</v>
      </c>
      <c r="D21" s="236"/>
      <c r="E21" s="236"/>
      <c r="F21" s="236"/>
      <c r="G21" s="62"/>
      <c r="H21" s="226"/>
      <c r="I21" s="219"/>
    </row>
    <row r="22" spans="1:9" ht="15" x14ac:dyDescent="0.25">
      <c r="A22" s="240"/>
      <c r="B22" s="49"/>
      <c r="C22" s="55"/>
      <c r="D22" s="241"/>
      <c r="E22" s="241"/>
      <c r="F22" s="241"/>
      <c r="G22" s="217"/>
      <c r="H22" s="226"/>
      <c r="I22" s="219"/>
    </row>
    <row r="23" spans="1:9" ht="15" x14ac:dyDescent="0.25">
      <c r="A23" s="291"/>
      <c r="B23" s="88"/>
      <c r="C23" s="55"/>
      <c r="D23" s="241"/>
      <c r="E23" s="241"/>
      <c r="F23" s="241"/>
      <c r="G23" s="217"/>
      <c r="H23" s="226"/>
      <c r="I23" s="219"/>
    </row>
    <row r="24" spans="1:9" ht="15" x14ac:dyDescent="0.25">
      <c r="A24" s="291"/>
      <c r="B24" s="88"/>
      <c r="C24" s="55"/>
      <c r="D24" s="241"/>
      <c r="E24" s="241"/>
      <c r="F24" s="241"/>
      <c r="G24" s="217"/>
      <c r="H24" s="226"/>
      <c r="I24" s="219"/>
    </row>
    <row r="25" spans="1:9" ht="15.75" x14ac:dyDescent="0.25">
      <c r="A25" s="242"/>
      <c r="B25" s="243"/>
      <c r="C25" s="244"/>
      <c r="D25" s="239"/>
      <c r="E25" s="245"/>
      <c r="F25" s="25"/>
      <c r="G25" s="217"/>
      <c r="H25" s="226"/>
      <c r="I25" s="219"/>
    </row>
    <row r="26" spans="1:9" ht="15" x14ac:dyDescent="0.25">
      <c r="A26" s="246"/>
      <c r="B26" s="247"/>
      <c r="C26" s="248"/>
      <c r="D26" s="249"/>
      <c r="E26" s="250"/>
      <c r="F26" s="251"/>
      <c r="G26" s="217"/>
      <c r="H26" s="226"/>
      <c r="I26" s="219"/>
    </row>
    <row r="27" spans="1:9" ht="15" x14ac:dyDescent="0.25">
      <c r="A27" s="49"/>
      <c r="B27" s="49"/>
      <c r="C27" s="55"/>
      <c r="D27" s="258"/>
      <c r="E27" s="64"/>
      <c r="F27" s="63"/>
      <c r="G27" s="217"/>
      <c r="H27" s="226"/>
      <c r="I27" s="219"/>
    </row>
    <row r="28" spans="1:9" ht="15.75" x14ac:dyDescent="0.25">
      <c r="A28" s="260"/>
      <c r="B28" s="261"/>
      <c r="C28" s="262" t="s">
        <v>216</v>
      </c>
      <c r="D28" s="263"/>
      <c r="E28" s="264"/>
      <c r="F28" s="218"/>
      <c r="G28" s="217"/>
      <c r="H28" s="226"/>
      <c r="I28" s="219"/>
    </row>
    <row r="29" spans="1:9" ht="15" x14ac:dyDescent="0.25">
      <c r="A29" s="292" t="s">
        <v>230</v>
      </c>
      <c r="B29" s="293"/>
      <c r="C29" s="294" t="s">
        <v>231</v>
      </c>
      <c r="D29" s="266" t="s">
        <v>95</v>
      </c>
      <c r="E29" s="267">
        <v>650</v>
      </c>
      <c r="F29" s="268" t="s">
        <v>2</v>
      </c>
      <c r="G29" s="269"/>
      <c r="H29" s="226"/>
      <c r="I29" s="219"/>
    </row>
    <row r="30" spans="1:9" ht="15" x14ac:dyDescent="0.25">
      <c r="A30" s="292">
        <v>1950928</v>
      </c>
      <c r="B30" s="293" t="s">
        <v>232</v>
      </c>
      <c r="C30" s="294" t="s">
        <v>233</v>
      </c>
      <c r="D30" s="266" t="s">
        <v>218</v>
      </c>
      <c r="E30" s="267">
        <v>6</v>
      </c>
      <c r="F30" s="268" t="s">
        <v>5</v>
      </c>
      <c r="G30" s="269"/>
      <c r="H30" s="226"/>
      <c r="I30" s="219"/>
    </row>
    <row r="31" spans="1:9" ht="15" x14ac:dyDescent="0.25">
      <c r="A31" s="295" t="s">
        <v>234</v>
      </c>
      <c r="B31" s="296" t="s">
        <v>235</v>
      </c>
      <c r="C31" s="297" t="s">
        <v>236</v>
      </c>
      <c r="D31" s="266" t="s">
        <v>91</v>
      </c>
      <c r="E31" s="267">
        <v>6</v>
      </c>
      <c r="F31" s="268" t="s">
        <v>5</v>
      </c>
      <c r="G31" s="269"/>
      <c r="H31" s="226"/>
      <c r="I31" s="219"/>
    </row>
    <row r="32" spans="1:9" ht="15" x14ac:dyDescent="0.25">
      <c r="A32" s="272">
        <v>702069</v>
      </c>
      <c r="B32" s="272" t="s">
        <v>92</v>
      </c>
      <c r="C32" s="273" t="s">
        <v>237</v>
      </c>
      <c r="D32" s="266" t="s">
        <v>89</v>
      </c>
      <c r="E32" s="267">
        <v>6</v>
      </c>
      <c r="F32" s="268" t="s">
        <v>5</v>
      </c>
      <c r="G32" s="217"/>
      <c r="H32" s="226"/>
      <c r="I32" s="219"/>
    </row>
    <row r="33" spans="1:9" ht="15" x14ac:dyDescent="0.25">
      <c r="A33" s="272"/>
      <c r="B33" s="272"/>
      <c r="C33" s="273"/>
      <c r="D33" s="266"/>
      <c r="E33" s="267"/>
      <c r="F33" s="268"/>
      <c r="G33" s="217"/>
      <c r="H33" s="226"/>
      <c r="I33" s="219"/>
    </row>
    <row r="34" spans="1:9" ht="15" x14ac:dyDescent="0.25">
      <c r="A34" s="272"/>
      <c r="B34" s="272"/>
      <c r="C34" s="273"/>
      <c r="D34" s="266"/>
      <c r="E34" s="267"/>
      <c r="F34" s="268"/>
      <c r="G34" s="274"/>
      <c r="H34" s="226"/>
      <c r="I34" s="219"/>
    </row>
    <row r="35" spans="1:9" ht="15.75" x14ac:dyDescent="0.25">
      <c r="A35" s="272"/>
      <c r="B35" s="272"/>
      <c r="C35" s="273"/>
      <c r="D35" s="236"/>
      <c r="E35" s="267"/>
      <c r="F35" s="268"/>
      <c r="G35" s="26"/>
      <c r="H35" s="226"/>
      <c r="I35" s="219"/>
    </row>
    <row r="36" spans="1:9" ht="15" x14ac:dyDescent="0.25">
      <c r="A36" s="275"/>
      <c r="B36" s="275"/>
      <c r="C36" s="276"/>
      <c r="D36" s="266"/>
      <c r="E36" s="63"/>
      <c r="F36" s="63"/>
      <c r="G36" s="26"/>
      <c r="H36" s="218"/>
      <c r="I36" s="219"/>
    </row>
    <row r="37" spans="1:9" ht="14.25" thickBot="1" x14ac:dyDescent="0.3">
      <c r="A37" s="279"/>
      <c r="B37" s="280"/>
      <c r="C37" s="71" t="s">
        <v>238</v>
      </c>
      <c r="D37" s="71"/>
      <c r="E37" s="281"/>
      <c r="F37" s="282"/>
      <c r="G37" s="71"/>
      <c r="H37" s="71"/>
      <c r="I37" s="283"/>
    </row>
    <row r="38" spans="1:9" ht="14.25" thickBot="1" x14ac:dyDescent="0.3">
      <c r="A38" s="74"/>
      <c r="B38" s="75"/>
      <c r="C38" s="76" t="s">
        <v>238</v>
      </c>
      <c r="D38" s="77" t="s">
        <v>11</v>
      </c>
      <c r="E38" s="78" t="s">
        <v>10</v>
      </c>
      <c r="F38" s="79"/>
      <c r="G38" s="76"/>
      <c r="H38" s="76"/>
      <c r="I38" s="80"/>
    </row>
    <row r="39" spans="1:9" ht="13.5" x14ac:dyDescent="0.25">
      <c r="A39" s="676" t="s">
        <v>9</v>
      </c>
      <c r="B39" s="677"/>
      <c r="C39" s="678"/>
      <c r="D39" s="298">
        <v>23400</v>
      </c>
      <c r="E39" s="284" t="s">
        <v>2</v>
      </c>
      <c r="F39" s="679" t="s">
        <v>96</v>
      </c>
      <c r="G39" s="679"/>
      <c r="H39" s="680"/>
      <c r="I39" s="681"/>
    </row>
    <row r="40" spans="1:9" ht="13.5" x14ac:dyDescent="0.25">
      <c r="A40" s="661" t="s">
        <v>8</v>
      </c>
      <c r="B40" s="662"/>
      <c r="C40" s="663"/>
      <c r="D40" s="62">
        <v>14</v>
      </c>
      <c r="E40" s="62" t="s">
        <v>239</v>
      </c>
      <c r="F40" s="664" t="s">
        <v>97</v>
      </c>
      <c r="G40" s="664"/>
      <c r="H40" s="665"/>
      <c r="I40" s="666"/>
    </row>
    <row r="41" spans="1:9" ht="13.5" x14ac:dyDescent="0.25">
      <c r="A41" s="661" t="s">
        <v>6</v>
      </c>
      <c r="B41" s="662"/>
      <c r="C41" s="663"/>
      <c r="D41" s="64">
        <v>65</v>
      </c>
      <c r="E41" s="62" t="s">
        <v>5</v>
      </c>
      <c r="F41" s="664" t="s">
        <v>98</v>
      </c>
      <c r="G41" s="664"/>
      <c r="H41" s="665"/>
      <c r="I41" s="666"/>
    </row>
    <row r="42" spans="1:9" ht="13.5" x14ac:dyDescent="0.25">
      <c r="A42" s="661" t="s">
        <v>4</v>
      </c>
      <c r="B42" s="662"/>
      <c r="C42" s="663"/>
      <c r="D42" s="64">
        <v>360</v>
      </c>
      <c r="E42" s="62" t="s">
        <v>2</v>
      </c>
      <c r="F42" s="667" t="s">
        <v>220</v>
      </c>
      <c r="G42" s="668"/>
      <c r="H42" s="776"/>
      <c r="I42" s="777"/>
    </row>
    <row r="43" spans="1:9" ht="14.25" thickBot="1" x14ac:dyDescent="0.3">
      <c r="A43" s="669" t="s">
        <v>3</v>
      </c>
      <c r="B43" s="670"/>
      <c r="C43" s="671"/>
      <c r="D43" s="285">
        <v>600</v>
      </c>
      <c r="E43" s="286" t="s">
        <v>2</v>
      </c>
      <c r="F43" s="672"/>
      <c r="G43" s="672"/>
      <c r="H43" s="665"/>
      <c r="I43" s="666"/>
    </row>
    <row r="44" spans="1:9" ht="13.5" thickBot="1" x14ac:dyDescent="0.25">
      <c r="A44" s="673" t="s">
        <v>1</v>
      </c>
      <c r="B44" s="674"/>
      <c r="C44" s="674"/>
      <c r="D44" s="674"/>
      <c r="E44" s="674"/>
      <c r="F44" s="674"/>
      <c r="G44" s="674"/>
      <c r="H44" s="674"/>
      <c r="I44" s="675"/>
    </row>
    <row r="45" spans="1:9" ht="14.45" customHeight="1" x14ac:dyDescent="0.25">
      <c r="A45" s="819" t="s">
        <v>240</v>
      </c>
      <c r="B45" s="820"/>
      <c r="C45" s="821"/>
      <c r="D45" s="821"/>
      <c r="E45" s="821"/>
      <c r="F45" s="821"/>
      <c r="G45" s="821"/>
      <c r="H45" s="821"/>
      <c r="I45" s="822"/>
    </row>
    <row r="46" spans="1:9" ht="15.6" customHeight="1" x14ac:dyDescent="0.25">
      <c r="A46" s="823" t="s">
        <v>241</v>
      </c>
      <c r="B46" s="824"/>
      <c r="C46" s="825"/>
      <c r="D46" s="825"/>
      <c r="E46" s="825"/>
      <c r="F46" s="825"/>
      <c r="G46" s="825"/>
      <c r="H46" s="825"/>
      <c r="I46" s="826"/>
    </row>
    <row r="47" spans="1:9" ht="14.45" customHeight="1" x14ac:dyDescent="0.25">
      <c r="A47" s="827" t="s">
        <v>242</v>
      </c>
      <c r="B47" s="828"/>
      <c r="C47" s="828"/>
      <c r="D47" s="828"/>
      <c r="E47" s="828"/>
      <c r="F47" s="828"/>
      <c r="G47" s="828"/>
      <c r="H47" s="828"/>
      <c r="I47" s="829"/>
    </row>
    <row r="48" spans="1:9" ht="15" x14ac:dyDescent="0.25">
      <c r="A48" s="801"/>
      <c r="B48" s="799"/>
      <c r="C48" s="799"/>
      <c r="D48" s="799"/>
      <c r="E48" s="799"/>
      <c r="F48" s="799"/>
      <c r="G48" s="799"/>
      <c r="H48" s="799"/>
      <c r="I48" s="800"/>
    </row>
    <row r="49" spans="1:9" ht="15" x14ac:dyDescent="0.25">
      <c r="A49" s="801"/>
      <c r="B49" s="799"/>
      <c r="C49" s="799"/>
      <c r="D49" s="799"/>
      <c r="E49" s="799"/>
      <c r="F49" s="799"/>
      <c r="G49" s="799"/>
      <c r="H49" s="799"/>
      <c r="I49" s="800"/>
    </row>
    <row r="50" spans="1:9" ht="14.45" customHeight="1" x14ac:dyDescent="0.25">
      <c r="A50" s="772"/>
      <c r="B50" s="773"/>
      <c r="C50" s="774"/>
      <c r="D50" s="774"/>
      <c r="E50" s="774"/>
      <c r="F50" s="774"/>
      <c r="G50" s="774"/>
      <c r="H50" s="774"/>
      <c r="I50" s="775"/>
    </row>
    <row r="51" spans="1:9" ht="14.45" customHeight="1" x14ac:dyDescent="0.25">
      <c r="A51" s="830"/>
      <c r="B51" s="831"/>
      <c r="C51" s="832"/>
      <c r="D51" s="832"/>
      <c r="E51" s="832"/>
      <c r="F51" s="832"/>
      <c r="G51" s="832"/>
      <c r="H51" s="832"/>
      <c r="I51" s="833"/>
    </row>
    <row r="52" spans="1:9" ht="18" customHeight="1" x14ac:dyDescent="0.25">
      <c r="A52" s="772"/>
      <c r="B52" s="773"/>
      <c r="C52" s="774"/>
      <c r="D52" s="774"/>
      <c r="E52" s="774"/>
      <c r="F52" s="774"/>
      <c r="G52" s="774"/>
      <c r="H52" s="774"/>
      <c r="I52" s="775"/>
    </row>
    <row r="53" spans="1:9" ht="14.45" customHeight="1" thickBot="1" x14ac:dyDescent="0.3">
      <c r="A53" s="834"/>
      <c r="B53" s="835"/>
      <c r="C53" s="836"/>
      <c r="D53" s="836"/>
      <c r="E53" s="836"/>
      <c r="F53" s="836"/>
      <c r="G53" s="836"/>
      <c r="H53" s="836"/>
      <c r="I53" s="837"/>
    </row>
    <row r="54" spans="1:9" ht="14.45" customHeight="1" thickBot="1" x14ac:dyDescent="0.3">
      <c r="A54" s="838"/>
      <c r="B54" s="794"/>
      <c r="C54" s="794"/>
      <c r="D54" s="794"/>
      <c r="E54" s="794"/>
      <c r="F54" s="794"/>
      <c r="G54" s="794"/>
      <c r="H54" s="794"/>
      <c r="I54" s="795"/>
    </row>
    <row r="55" spans="1:9" ht="14.45" customHeight="1" x14ac:dyDescent="0.2">
      <c r="A55" s="781" t="s">
        <v>0</v>
      </c>
      <c r="B55" s="782"/>
      <c r="C55" s="782"/>
      <c r="D55" s="782"/>
      <c r="E55" s="782"/>
      <c r="F55" s="782"/>
      <c r="G55" s="782"/>
      <c r="H55" s="782"/>
      <c r="I55" s="782"/>
    </row>
    <row r="56" spans="1:9" ht="13.5" x14ac:dyDescent="0.25">
      <c r="A56" s="783"/>
      <c r="B56" s="784"/>
      <c r="C56" s="784"/>
      <c r="D56" s="784"/>
      <c r="E56" s="784"/>
      <c r="F56" s="784"/>
      <c r="G56" s="784"/>
      <c r="H56" s="784"/>
      <c r="I56" s="784"/>
    </row>
    <row r="57" spans="1:9" ht="13.5" x14ac:dyDescent="0.25">
      <c r="A57" s="783"/>
      <c r="B57" s="784"/>
      <c r="C57" s="784"/>
      <c r="D57" s="784"/>
      <c r="E57" s="784"/>
      <c r="F57" s="784"/>
      <c r="G57" s="784"/>
      <c r="H57" s="784"/>
      <c r="I57" s="78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DBA6-4EA7-4856-B68C-E4DF61EE0A49}">
  <dimension ref="A1:I57"/>
  <sheetViews>
    <sheetView workbookViewId="0">
      <selection activeCell="D12" sqref="D12"/>
    </sheetView>
  </sheetViews>
  <sheetFormatPr baseColWidth="10" defaultRowHeight="12.75" x14ac:dyDescent="0.2"/>
  <cols>
    <col min="3" max="3" width="49" customWidth="1"/>
    <col min="4" max="4" width="34.425781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93"/>
      <c r="B1" s="694"/>
      <c r="C1" s="682" t="s">
        <v>28</v>
      </c>
      <c r="D1" s="682"/>
      <c r="E1" s="682"/>
      <c r="F1" s="682"/>
      <c r="G1" s="682"/>
      <c r="H1" s="60" t="s">
        <v>27</v>
      </c>
      <c r="I1" s="42" t="s">
        <v>243</v>
      </c>
    </row>
    <row r="2" spans="1:9" ht="18" customHeight="1" thickBot="1" x14ac:dyDescent="0.3">
      <c r="A2" s="695"/>
      <c r="B2" s="696"/>
      <c r="C2" s="765" t="s">
        <v>26</v>
      </c>
      <c r="D2" s="766"/>
      <c r="E2" s="766"/>
      <c r="F2" s="766"/>
      <c r="G2" s="767"/>
      <c r="H2" s="61" t="s">
        <v>25</v>
      </c>
      <c r="I2" s="40" t="s">
        <v>207</v>
      </c>
    </row>
    <row r="3" spans="1:9" ht="31.5" customHeight="1" thickBot="1" x14ac:dyDescent="0.25">
      <c r="A3" s="695"/>
      <c r="B3" s="696"/>
      <c r="C3" s="839" t="s">
        <v>244</v>
      </c>
      <c r="D3" s="840"/>
      <c r="E3" s="840"/>
      <c r="F3" s="840"/>
      <c r="G3" s="841"/>
      <c r="H3" s="686" t="s">
        <v>24</v>
      </c>
      <c r="I3" s="581">
        <v>45619</v>
      </c>
    </row>
    <row r="4" spans="1:9" ht="18" customHeight="1" x14ac:dyDescent="0.25">
      <c r="A4" s="695"/>
      <c r="B4" s="696"/>
      <c r="C4" s="208" t="s">
        <v>23</v>
      </c>
      <c r="D4" s="645" t="s">
        <v>209</v>
      </c>
      <c r="E4" s="646"/>
      <c r="F4" s="646"/>
      <c r="G4" s="647"/>
      <c r="H4" s="687"/>
      <c r="I4" s="582"/>
    </row>
    <row r="5" spans="1:9" ht="14.25" thickBot="1" x14ac:dyDescent="0.3">
      <c r="A5" s="763"/>
      <c r="B5" s="764"/>
      <c r="C5" s="209" t="s">
        <v>22</v>
      </c>
      <c r="D5" s="648" t="s">
        <v>210</v>
      </c>
      <c r="E5" s="649"/>
      <c r="F5" s="649"/>
      <c r="G5" s="650"/>
      <c r="H5" s="700"/>
      <c r="I5" s="762"/>
    </row>
    <row r="6" spans="1:9" ht="18.75" thickBot="1" x14ac:dyDescent="0.3">
      <c r="A6" s="567" t="s">
        <v>21</v>
      </c>
      <c r="B6" s="567"/>
      <c r="C6" s="567"/>
      <c r="D6" s="568" t="s">
        <v>227</v>
      </c>
      <c r="E6" s="568"/>
      <c r="F6" s="568"/>
      <c r="G6" s="569" t="s">
        <v>20</v>
      </c>
      <c r="H6" s="569"/>
      <c r="I6" s="37" t="s">
        <v>227</v>
      </c>
    </row>
    <row r="7" spans="1:9" x14ac:dyDescent="0.2">
      <c r="A7" s="688" t="s">
        <v>19</v>
      </c>
      <c r="B7" s="769" t="s">
        <v>211</v>
      </c>
      <c r="C7" s="689" t="s">
        <v>18</v>
      </c>
      <c r="D7" s="689" t="s">
        <v>17</v>
      </c>
      <c r="E7" s="689" t="s">
        <v>16</v>
      </c>
      <c r="F7" s="689"/>
      <c r="G7" s="689" t="s">
        <v>15</v>
      </c>
      <c r="H7" s="689"/>
      <c r="I7" s="72" t="s">
        <v>14</v>
      </c>
    </row>
    <row r="8" spans="1:9" ht="26.25" thickBot="1" x14ac:dyDescent="0.25">
      <c r="A8" s="768"/>
      <c r="B8" s="770"/>
      <c r="C8" s="771"/>
      <c r="D8" s="771"/>
      <c r="E8" s="210" t="s">
        <v>11</v>
      </c>
      <c r="F8" s="211" t="s">
        <v>13</v>
      </c>
      <c r="G8" s="210" t="s">
        <v>11</v>
      </c>
      <c r="H8" s="211" t="s">
        <v>13</v>
      </c>
      <c r="I8" s="212" t="s">
        <v>12</v>
      </c>
    </row>
    <row r="9" spans="1:9" ht="18.600000000000001" customHeight="1" x14ac:dyDescent="0.25">
      <c r="A9" s="213"/>
      <c r="B9" s="214"/>
      <c r="C9" s="215" t="s">
        <v>212</v>
      </c>
      <c r="D9" s="216"/>
      <c r="E9" s="217"/>
      <c r="F9" s="218"/>
      <c r="G9" s="217"/>
      <c r="H9" s="218"/>
      <c r="I9" s="219"/>
    </row>
    <row r="10" spans="1:9" ht="18" customHeight="1" x14ac:dyDescent="0.25">
      <c r="A10" s="240">
        <v>906000138</v>
      </c>
      <c r="B10" s="49" t="s">
        <v>245</v>
      </c>
      <c r="C10" s="55" t="s">
        <v>246</v>
      </c>
      <c r="D10" s="287" t="s">
        <v>95</v>
      </c>
      <c r="E10" s="288">
        <v>14195</v>
      </c>
      <c r="F10" s="289" t="s">
        <v>2</v>
      </c>
      <c r="G10" s="225"/>
      <c r="H10" s="226"/>
      <c r="I10" s="219"/>
    </row>
    <row r="11" spans="1:9" ht="15" x14ac:dyDescent="0.25">
      <c r="A11" s="287">
        <v>1210482</v>
      </c>
      <c r="B11" s="287" t="s">
        <v>247</v>
      </c>
      <c r="C11" s="290" t="s">
        <v>248</v>
      </c>
      <c r="D11" s="287" t="s">
        <v>249</v>
      </c>
      <c r="E11" s="288">
        <v>7700</v>
      </c>
      <c r="F11" s="289" t="s">
        <v>2</v>
      </c>
      <c r="G11" s="225"/>
      <c r="H11" s="226"/>
      <c r="I11" s="219"/>
    </row>
    <row r="12" spans="1:9" ht="15" x14ac:dyDescent="0.25">
      <c r="A12" s="287" t="s">
        <v>250</v>
      </c>
      <c r="B12" s="287"/>
      <c r="C12" s="290" t="s">
        <v>251</v>
      </c>
      <c r="D12" s="287" t="s">
        <v>95</v>
      </c>
      <c r="E12" s="288">
        <v>3090</v>
      </c>
      <c r="F12" s="289" t="s">
        <v>2</v>
      </c>
      <c r="G12" s="225"/>
      <c r="H12" s="226"/>
      <c r="I12" s="219"/>
    </row>
    <row r="13" spans="1:9" ht="15" x14ac:dyDescent="0.25">
      <c r="A13" s="287">
        <v>1212437</v>
      </c>
      <c r="B13" s="287" t="s">
        <v>252</v>
      </c>
      <c r="C13" s="290" t="s">
        <v>253</v>
      </c>
      <c r="D13" s="287" t="s">
        <v>254</v>
      </c>
      <c r="E13" s="288">
        <v>390</v>
      </c>
      <c r="F13" s="289" t="s">
        <v>2</v>
      </c>
      <c r="G13" s="225"/>
      <c r="H13" s="226"/>
      <c r="I13" s="219"/>
    </row>
    <row r="14" spans="1:9" ht="15" x14ac:dyDescent="0.25">
      <c r="A14" s="287"/>
      <c r="B14" s="287"/>
      <c r="C14" s="290"/>
      <c r="D14" s="287"/>
      <c r="E14" s="288"/>
      <c r="F14" s="289"/>
      <c r="G14" s="225"/>
      <c r="H14" s="226"/>
      <c r="I14" s="219"/>
    </row>
    <row r="15" spans="1:9" ht="15" x14ac:dyDescent="0.25">
      <c r="A15" s="287"/>
      <c r="B15" s="287"/>
      <c r="C15" s="290"/>
      <c r="D15" s="287"/>
      <c r="E15" s="288"/>
      <c r="F15" s="289"/>
      <c r="G15" s="225"/>
      <c r="H15" s="226"/>
      <c r="I15" s="219"/>
    </row>
    <row r="16" spans="1:9" ht="15" x14ac:dyDescent="0.25">
      <c r="A16" s="287"/>
      <c r="B16" s="287"/>
      <c r="C16" s="290"/>
      <c r="D16" s="287"/>
      <c r="E16" s="288"/>
      <c r="F16" s="289"/>
      <c r="G16" s="225"/>
      <c r="H16" s="226"/>
      <c r="I16" s="219"/>
    </row>
    <row r="17" spans="1:9" ht="15" x14ac:dyDescent="0.25">
      <c r="A17" s="287"/>
      <c r="B17" s="287"/>
      <c r="C17" s="290"/>
      <c r="D17" s="287"/>
      <c r="E17" s="288"/>
      <c r="F17" s="289"/>
      <c r="G17" s="225"/>
      <c r="H17" s="226"/>
      <c r="I17" s="219"/>
    </row>
    <row r="18" spans="1:9" ht="15" x14ac:dyDescent="0.25">
      <c r="A18" s="287"/>
      <c r="B18" s="287"/>
      <c r="C18" s="290"/>
      <c r="D18" s="287"/>
      <c r="E18" s="288"/>
      <c r="F18" s="289"/>
      <c r="G18" s="225"/>
      <c r="H18" s="226"/>
      <c r="I18" s="219"/>
    </row>
    <row r="19" spans="1:9" ht="15" x14ac:dyDescent="0.25">
      <c r="A19" s="287"/>
      <c r="B19" s="287"/>
      <c r="C19" s="290"/>
      <c r="D19" s="287"/>
      <c r="E19" s="288"/>
      <c r="F19" s="289"/>
      <c r="G19" s="225"/>
      <c r="H19" s="226"/>
      <c r="I19" s="219"/>
    </row>
    <row r="20" spans="1:9" ht="15.75" x14ac:dyDescent="0.25">
      <c r="A20" s="88"/>
      <c r="B20" s="88"/>
      <c r="C20" s="55"/>
      <c r="D20" s="236"/>
      <c r="E20" s="236"/>
      <c r="F20" s="236"/>
      <c r="G20" s="62"/>
      <c r="H20" s="226"/>
      <c r="I20" s="219"/>
    </row>
    <row r="21" spans="1:9" ht="15.75" x14ac:dyDescent="0.25">
      <c r="A21" s="242"/>
      <c r="B21" s="243"/>
      <c r="C21" s="244" t="s">
        <v>215</v>
      </c>
      <c r="D21" s="236"/>
      <c r="E21" s="236"/>
      <c r="F21" s="236"/>
      <c r="G21" s="62"/>
      <c r="H21" s="226"/>
      <c r="I21" s="219"/>
    </row>
    <row r="22" spans="1:9" ht="15" x14ac:dyDescent="0.25">
      <c r="A22" s="240"/>
      <c r="B22" s="49"/>
      <c r="C22" s="55"/>
      <c r="D22" s="241"/>
      <c r="E22" s="241"/>
      <c r="F22" s="241"/>
      <c r="G22" s="217"/>
      <c r="H22" s="226"/>
      <c r="I22" s="219"/>
    </row>
    <row r="23" spans="1:9" ht="15" x14ac:dyDescent="0.25">
      <c r="A23" s="291"/>
      <c r="B23" s="88"/>
      <c r="C23" s="55"/>
      <c r="D23" s="241"/>
      <c r="E23" s="241"/>
      <c r="F23" s="241"/>
      <c r="G23" s="217"/>
      <c r="H23" s="226"/>
      <c r="I23" s="219"/>
    </row>
    <row r="24" spans="1:9" ht="15" x14ac:dyDescent="0.25">
      <c r="A24" s="291"/>
      <c r="B24" s="88"/>
      <c r="C24" s="55"/>
      <c r="D24" s="241"/>
      <c r="E24" s="241"/>
      <c r="F24" s="241"/>
      <c r="G24" s="217"/>
      <c r="H24" s="226"/>
      <c r="I24" s="219"/>
    </row>
    <row r="25" spans="1:9" ht="15.75" x14ac:dyDescent="0.25">
      <c r="A25" s="242"/>
      <c r="B25" s="243"/>
      <c r="C25" s="244"/>
      <c r="D25" s="239"/>
      <c r="E25" s="245"/>
      <c r="F25" s="25"/>
      <c r="G25" s="217"/>
      <c r="H25" s="226"/>
      <c r="I25" s="219"/>
    </row>
    <row r="26" spans="1:9" ht="15" x14ac:dyDescent="0.25">
      <c r="A26" s="246"/>
      <c r="B26" s="247"/>
      <c r="C26" s="248"/>
      <c r="D26" s="249"/>
      <c r="E26" s="250"/>
      <c r="F26" s="251"/>
      <c r="G26" s="217"/>
      <c r="H26" s="226"/>
      <c r="I26" s="219"/>
    </row>
    <row r="27" spans="1:9" ht="15" x14ac:dyDescent="0.25">
      <c r="A27" s="49"/>
      <c r="B27" s="49"/>
      <c r="C27" s="55"/>
      <c r="D27" s="258"/>
      <c r="E27" s="64"/>
      <c r="F27" s="63"/>
      <c r="G27" s="217"/>
      <c r="H27" s="226"/>
      <c r="I27" s="219"/>
    </row>
    <row r="28" spans="1:9" ht="15.75" x14ac:dyDescent="0.25">
      <c r="A28" s="260"/>
      <c r="B28" s="261"/>
      <c r="C28" s="262" t="s">
        <v>216</v>
      </c>
      <c r="D28" s="263"/>
      <c r="E28" s="264"/>
      <c r="F28" s="218"/>
      <c r="G28" s="217"/>
      <c r="H28" s="226"/>
      <c r="I28" s="219"/>
    </row>
    <row r="29" spans="1:9" ht="15" x14ac:dyDescent="0.25">
      <c r="A29" s="292"/>
      <c r="B29" s="293"/>
      <c r="C29" s="294"/>
      <c r="D29" s="266"/>
      <c r="E29" s="267"/>
      <c r="F29" s="268"/>
      <c r="G29" s="269"/>
      <c r="H29" s="226"/>
      <c r="I29" s="219"/>
    </row>
    <row r="30" spans="1:9" ht="15" x14ac:dyDescent="0.25">
      <c r="A30" s="292"/>
      <c r="B30" s="293"/>
      <c r="C30" s="294"/>
      <c r="D30" s="266"/>
      <c r="E30" s="267"/>
      <c r="F30" s="268"/>
      <c r="G30" s="269"/>
      <c r="H30" s="226"/>
      <c r="I30" s="219"/>
    </row>
    <row r="31" spans="1:9" ht="15" x14ac:dyDescent="0.25">
      <c r="A31" s="295"/>
      <c r="B31" s="296"/>
      <c r="C31" s="297"/>
      <c r="D31" s="266"/>
      <c r="E31" s="267"/>
      <c r="F31" s="268"/>
      <c r="G31" s="269"/>
      <c r="H31" s="226"/>
      <c r="I31" s="219"/>
    </row>
    <row r="32" spans="1:9" ht="15" x14ac:dyDescent="0.25">
      <c r="A32" s="272"/>
      <c r="B32" s="272"/>
      <c r="C32" s="273"/>
      <c r="D32" s="266"/>
      <c r="E32" s="267"/>
      <c r="F32" s="268"/>
      <c r="G32" s="217"/>
      <c r="H32" s="226"/>
      <c r="I32" s="219"/>
    </row>
    <row r="33" spans="1:9" ht="15" x14ac:dyDescent="0.25">
      <c r="A33" s="272"/>
      <c r="B33" s="272"/>
      <c r="C33" s="273"/>
      <c r="D33" s="266"/>
      <c r="E33" s="267"/>
      <c r="F33" s="268"/>
      <c r="G33" s="217"/>
      <c r="H33" s="226"/>
      <c r="I33" s="219"/>
    </row>
    <row r="34" spans="1:9" ht="15" x14ac:dyDescent="0.25">
      <c r="A34" s="272"/>
      <c r="B34" s="272"/>
      <c r="C34" s="273"/>
      <c r="D34" s="266"/>
      <c r="E34" s="267"/>
      <c r="F34" s="268"/>
      <c r="G34" s="274"/>
      <c r="H34" s="226"/>
      <c r="I34" s="219"/>
    </row>
    <row r="35" spans="1:9" ht="15.75" x14ac:dyDescent="0.25">
      <c r="A35" s="272"/>
      <c r="B35" s="272"/>
      <c r="C35" s="273"/>
      <c r="D35" s="236"/>
      <c r="E35" s="267"/>
      <c r="F35" s="268"/>
      <c r="G35" s="26"/>
      <c r="H35" s="226"/>
      <c r="I35" s="219"/>
    </row>
    <row r="36" spans="1:9" ht="15" x14ac:dyDescent="0.25">
      <c r="A36" s="275"/>
      <c r="B36" s="275"/>
      <c r="C36" s="276"/>
      <c r="D36" s="266"/>
      <c r="E36" s="63"/>
      <c r="F36" s="63"/>
      <c r="G36" s="26"/>
      <c r="H36" s="218"/>
      <c r="I36" s="219"/>
    </row>
    <row r="37" spans="1:9" ht="14.25" thickBot="1" x14ac:dyDescent="0.3">
      <c r="A37" s="279"/>
      <c r="B37" s="280"/>
      <c r="C37" s="71" t="s">
        <v>238</v>
      </c>
      <c r="D37" s="71"/>
      <c r="E37" s="281"/>
      <c r="F37" s="282"/>
      <c r="G37" s="71"/>
      <c r="H37" s="71"/>
      <c r="I37" s="283"/>
    </row>
    <row r="38" spans="1:9" ht="14.25" thickBot="1" x14ac:dyDescent="0.3">
      <c r="A38" s="74"/>
      <c r="B38" s="75"/>
      <c r="C38" s="76" t="s">
        <v>238</v>
      </c>
      <c r="D38" s="77" t="s">
        <v>11</v>
      </c>
      <c r="E38" s="78" t="s">
        <v>10</v>
      </c>
      <c r="F38" s="79"/>
      <c r="G38" s="76"/>
      <c r="H38" s="76"/>
      <c r="I38" s="80"/>
    </row>
    <row r="39" spans="1:9" ht="13.5" x14ac:dyDescent="0.25">
      <c r="A39" s="676" t="s">
        <v>9</v>
      </c>
      <c r="B39" s="677"/>
      <c r="C39" s="678"/>
      <c r="D39" s="298">
        <v>24000</v>
      </c>
      <c r="E39" s="284" t="s">
        <v>2</v>
      </c>
      <c r="F39" s="679" t="s">
        <v>96</v>
      </c>
      <c r="G39" s="679"/>
      <c r="H39" s="680"/>
      <c r="I39" s="681"/>
    </row>
    <row r="40" spans="1:9" ht="13.5" x14ac:dyDescent="0.25">
      <c r="A40" s="661" t="s">
        <v>8</v>
      </c>
      <c r="B40" s="662"/>
      <c r="C40" s="663"/>
      <c r="D40" s="62">
        <v>10</v>
      </c>
      <c r="E40" s="62" t="s">
        <v>7</v>
      </c>
      <c r="F40" s="664" t="s">
        <v>97</v>
      </c>
      <c r="G40" s="664"/>
      <c r="H40" s="665"/>
      <c r="I40" s="666"/>
    </row>
    <row r="41" spans="1:9" ht="13.5" x14ac:dyDescent="0.25">
      <c r="A41" s="661" t="s">
        <v>6</v>
      </c>
      <c r="B41" s="662"/>
      <c r="C41" s="663"/>
      <c r="D41" s="64">
        <v>1</v>
      </c>
      <c r="E41" s="62" t="s">
        <v>128</v>
      </c>
      <c r="F41" s="664" t="s">
        <v>98</v>
      </c>
      <c r="G41" s="664"/>
      <c r="H41" s="665"/>
      <c r="I41" s="666"/>
    </row>
    <row r="42" spans="1:9" ht="13.5" x14ac:dyDescent="0.25">
      <c r="A42" s="661" t="s">
        <v>4</v>
      </c>
      <c r="B42" s="662"/>
      <c r="C42" s="663"/>
      <c r="D42" s="64">
        <v>24000</v>
      </c>
      <c r="E42" s="62" t="s">
        <v>2</v>
      </c>
      <c r="F42" s="667" t="s">
        <v>220</v>
      </c>
      <c r="G42" s="668"/>
      <c r="H42" s="776"/>
      <c r="I42" s="777"/>
    </row>
    <row r="43" spans="1:9" ht="14.25" thickBot="1" x14ac:dyDescent="0.3">
      <c r="A43" s="669" t="s">
        <v>3</v>
      </c>
      <c r="B43" s="670"/>
      <c r="C43" s="671"/>
      <c r="D43" s="285">
        <v>1375</v>
      </c>
      <c r="E43" s="286" t="s">
        <v>2</v>
      </c>
      <c r="F43" s="672"/>
      <c r="G43" s="672"/>
      <c r="H43" s="665"/>
      <c r="I43" s="666"/>
    </row>
    <row r="44" spans="1:9" ht="13.5" thickBot="1" x14ac:dyDescent="0.25">
      <c r="A44" s="673" t="s">
        <v>1</v>
      </c>
      <c r="B44" s="674"/>
      <c r="C44" s="674"/>
      <c r="D44" s="674"/>
      <c r="E44" s="674"/>
      <c r="F44" s="674"/>
      <c r="G44" s="674"/>
      <c r="H44" s="674"/>
      <c r="I44" s="675"/>
    </row>
    <row r="45" spans="1:9" ht="14.45" customHeight="1" x14ac:dyDescent="0.25">
      <c r="A45" s="801"/>
      <c r="B45" s="799"/>
      <c r="C45" s="799"/>
      <c r="D45" s="799"/>
      <c r="E45" s="799"/>
      <c r="F45" s="799"/>
      <c r="G45" s="799"/>
      <c r="H45" s="799"/>
      <c r="I45" s="800"/>
    </row>
    <row r="46" spans="1:9" ht="15.6" customHeight="1" x14ac:dyDescent="0.25">
      <c r="A46" s="801" t="s">
        <v>255</v>
      </c>
      <c r="B46" s="799"/>
      <c r="C46" s="799"/>
      <c r="D46" s="799"/>
      <c r="E46" s="799"/>
      <c r="F46" s="799"/>
      <c r="G46" s="799"/>
      <c r="H46" s="799"/>
      <c r="I46" s="800"/>
    </row>
    <row r="47" spans="1:9" ht="14.45" customHeight="1" x14ac:dyDescent="0.25">
      <c r="A47" s="801" t="s">
        <v>256</v>
      </c>
      <c r="B47" s="799"/>
      <c r="C47" s="799"/>
      <c r="D47" s="799"/>
      <c r="E47" s="799"/>
      <c r="F47" s="799"/>
      <c r="G47" s="799"/>
      <c r="H47" s="799"/>
      <c r="I47" s="800"/>
    </row>
    <row r="48" spans="1:9" ht="15" x14ac:dyDescent="0.25">
      <c r="A48" s="801" t="s">
        <v>257</v>
      </c>
      <c r="B48" s="799"/>
      <c r="C48" s="799"/>
      <c r="D48" s="799"/>
      <c r="E48" s="799"/>
      <c r="F48" s="799"/>
      <c r="G48" s="799"/>
      <c r="H48" s="799"/>
      <c r="I48" s="800"/>
    </row>
    <row r="49" spans="1:9" ht="15" x14ac:dyDescent="0.25">
      <c r="A49" s="801"/>
      <c r="B49" s="799"/>
      <c r="C49" s="799"/>
      <c r="D49" s="799"/>
      <c r="E49" s="799"/>
      <c r="F49" s="799"/>
      <c r="G49" s="799"/>
      <c r="H49" s="799"/>
      <c r="I49" s="800"/>
    </row>
    <row r="50" spans="1:9" ht="14.45" customHeight="1" x14ac:dyDescent="0.25">
      <c r="A50" s="772"/>
      <c r="B50" s="773"/>
      <c r="C50" s="774"/>
      <c r="D50" s="774"/>
      <c r="E50" s="774"/>
      <c r="F50" s="774"/>
      <c r="G50" s="774"/>
      <c r="H50" s="774"/>
      <c r="I50" s="775"/>
    </row>
    <row r="51" spans="1:9" ht="14.45" customHeight="1" x14ac:dyDescent="0.25">
      <c r="A51" s="830"/>
      <c r="B51" s="831"/>
      <c r="C51" s="832"/>
      <c r="D51" s="832"/>
      <c r="E51" s="832"/>
      <c r="F51" s="832"/>
      <c r="G51" s="832"/>
      <c r="H51" s="832"/>
      <c r="I51" s="833"/>
    </row>
    <row r="52" spans="1:9" ht="18" customHeight="1" x14ac:dyDescent="0.25">
      <c r="A52" s="772"/>
      <c r="B52" s="773"/>
      <c r="C52" s="774"/>
      <c r="D52" s="774"/>
      <c r="E52" s="774"/>
      <c r="F52" s="774"/>
      <c r="G52" s="774"/>
      <c r="H52" s="774"/>
      <c r="I52" s="775"/>
    </row>
    <row r="53" spans="1:9" ht="14.45" customHeight="1" thickBot="1" x14ac:dyDescent="0.3">
      <c r="A53" s="834"/>
      <c r="B53" s="835"/>
      <c r="C53" s="836"/>
      <c r="D53" s="836"/>
      <c r="E53" s="836"/>
      <c r="F53" s="836"/>
      <c r="G53" s="836"/>
      <c r="H53" s="836"/>
      <c r="I53" s="837"/>
    </row>
    <row r="54" spans="1:9" ht="14.45" customHeight="1" thickBot="1" x14ac:dyDescent="0.3">
      <c r="A54" s="838"/>
      <c r="B54" s="794"/>
      <c r="C54" s="794"/>
      <c r="D54" s="794"/>
      <c r="E54" s="794"/>
      <c r="F54" s="794"/>
      <c r="G54" s="794"/>
      <c r="H54" s="794"/>
      <c r="I54" s="795"/>
    </row>
    <row r="55" spans="1:9" ht="14.45" customHeight="1" x14ac:dyDescent="0.2">
      <c r="A55" s="781" t="s">
        <v>0</v>
      </c>
      <c r="B55" s="782"/>
      <c r="C55" s="782"/>
      <c r="D55" s="782"/>
      <c r="E55" s="782"/>
      <c r="F55" s="782"/>
      <c r="G55" s="782"/>
      <c r="H55" s="782"/>
      <c r="I55" s="782"/>
    </row>
    <row r="56" spans="1:9" ht="13.5" x14ac:dyDescent="0.25">
      <c r="A56" s="783"/>
      <c r="B56" s="784"/>
      <c r="C56" s="784"/>
      <c r="D56" s="784"/>
      <c r="E56" s="784"/>
      <c r="F56" s="784"/>
      <c r="G56" s="784"/>
      <c r="H56" s="784"/>
      <c r="I56" s="784"/>
    </row>
    <row r="57" spans="1:9" ht="13.5" x14ac:dyDescent="0.25">
      <c r="A57" s="783"/>
      <c r="B57" s="784"/>
      <c r="C57" s="784"/>
      <c r="D57" s="784"/>
      <c r="E57" s="784"/>
      <c r="F57" s="784"/>
      <c r="G57" s="784"/>
      <c r="H57" s="784"/>
      <c r="I57" s="78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3D8B-E258-47A1-8B93-3B8CBBDAC8E4}">
  <dimension ref="A1:I59"/>
  <sheetViews>
    <sheetView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425781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693"/>
      <c r="B1" s="694"/>
      <c r="C1" s="682" t="s">
        <v>28</v>
      </c>
      <c r="D1" s="682"/>
      <c r="E1" s="682"/>
      <c r="F1" s="682"/>
      <c r="G1" s="682"/>
      <c r="H1" s="60" t="s">
        <v>27</v>
      </c>
      <c r="I1" s="42" t="s">
        <v>258</v>
      </c>
    </row>
    <row r="2" spans="1:9" ht="18" customHeight="1" thickBot="1" x14ac:dyDescent="0.3">
      <c r="A2" s="695"/>
      <c r="B2" s="696"/>
      <c r="C2" s="765" t="s">
        <v>26</v>
      </c>
      <c r="D2" s="766"/>
      <c r="E2" s="766"/>
      <c r="F2" s="766"/>
      <c r="G2" s="767"/>
      <c r="H2" s="61" t="s">
        <v>25</v>
      </c>
      <c r="I2" s="40" t="s">
        <v>207</v>
      </c>
    </row>
    <row r="3" spans="1:9" ht="31.5" customHeight="1" thickBot="1" x14ac:dyDescent="0.25">
      <c r="A3" s="695"/>
      <c r="B3" s="696"/>
      <c r="C3" s="839" t="s">
        <v>259</v>
      </c>
      <c r="D3" s="840"/>
      <c r="E3" s="840"/>
      <c r="F3" s="840"/>
      <c r="G3" s="841"/>
      <c r="H3" s="686" t="s">
        <v>24</v>
      </c>
      <c r="I3" s="581">
        <v>45617</v>
      </c>
    </row>
    <row r="4" spans="1:9" ht="18" customHeight="1" x14ac:dyDescent="0.25">
      <c r="A4" s="695"/>
      <c r="B4" s="696"/>
      <c r="C4" s="208" t="s">
        <v>23</v>
      </c>
      <c r="D4" s="645" t="s">
        <v>209</v>
      </c>
      <c r="E4" s="646"/>
      <c r="F4" s="646"/>
      <c r="G4" s="647"/>
      <c r="H4" s="687"/>
      <c r="I4" s="582"/>
    </row>
    <row r="5" spans="1:9" ht="14.25" thickBot="1" x14ac:dyDescent="0.3">
      <c r="A5" s="763"/>
      <c r="B5" s="764"/>
      <c r="C5" s="209" t="s">
        <v>22</v>
      </c>
      <c r="D5" s="648" t="s">
        <v>210</v>
      </c>
      <c r="E5" s="649"/>
      <c r="F5" s="649"/>
      <c r="G5" s="650"/>
      <c r="H5" s="700"/>
      <c r="I5" s="762"/>
    </row>
    <row r="6" spans="1:9" ht="18.75" thickBot="1" x14ac:dyDescent="0.3">
      <c r="A6" s="567" t="s">
        <v>21</v>
      </c>
      <c r="B6" s="567"/>
      <c r="C6" s="567"/>
      <c r="D6" s="568" t="s">
        <v>260</v>
      </c>
      <c r="E6" s="568"/>
      <c r="F6" s="568"/>
      <c r="G6" s="569" t="s">
        <v>20</v>
      </c>
      <c r="H6" s="569"/>
      <c r="I6" s="37" t="s">
        <v>260</v>
      </c>
    </row>
    <row r="7" spans="1:9" x14ac:dyDescent="0.2">
      <c r="A7" s="688" t="s">
        <v>19</v>
      </c>
      <c r="B7" s="769" t="s">
        <v>211</v>
      </c>
      <c r="C7" s="689" t="s">
        <v>18</v>
      </c>
      <c r="D7" s="689" t="s">
        <v>17</v>
      </c>
      <c r="E7" s="689" t="s">
        <v>16</v>
      </c>
      <c r="F7" s="689"/>
      <c r="G7" s="689" t="s">
        <v>15</v>
      </c>
      <c r="H7" s="689"/>
      <c r="I7" s="72" t="s">
        <v>14</v>
      </c>
    </row>
    <row r="8" spans="1:9" ht="26.25" thickBot="1" x14ac:dyDescent="0.25">
      <c r="A8" s="768"/>
      <c r="B8" s="770"/>
      <c r="C8" s="771"/>
      <c r="D8" s="771"/>
      <c r="E8" s="210" t="s">
        <v>11</v>
      </c>
      <c r="F8" s="211" t="s">
        <v>13</v>
      </c>
      <c r="G8" s="210" t="s">
        <v>11</v>
      </c>
      <c r="H8" s="211" t="s">
        <v>13</v>
      </c>
      <c r="I8" s="212" t="s">
        <v>12</v>
      </c>
    </row>
    <row r="9" spans="1:9" ht="18.600000000000001" customHeight="1" x14ac:dyDescent="0.25">
      <c r="A9" s="213"/>
      <c r="B9" s="214"/>
      <c r="C9" s="215" t="s">
        <v>212</v>
      </c>
      <c r="D9" s="216"/>
      <c r="E9" s="217"/>
      <c r="F9" s="218"/>
      <c r="G9" s="217"/>
      <c r="H9" s="218"/>
      <c r="I9" s="219"/>
    </row>
    <row r="10" spans="1:9" ht="18" customHeight="1" x14ac:dyDescent="0.25">
      <c r="A10" s="299">
        <v>510301</v>
      </c>
      <c r="B10" s="98" t="s">
        <v>261</v>
      </c>
      <c r="C10" s="300" t="s">
        <v>262</v>
      </c>
      <c r="D10" s="301" t="s">
        <v>263</v>
      </c>
      <c r="E10" s="58">
        <v>5820</v>
      </c>
      <c r="F10" s="59" t="s">
        <v>2</v>
      </c>
      <c r="G10" s="225"/>
      <c r="H10" s="226"/>
      <c r="I10" s="219"/>
    </row>
    <row r="11" spans="1:9" ht="15" x14ac:dyDescent="0.25">
      <c r="A11" s="299">
        <v>1210445</v>
      </c>
      <c r="B11" s="49" t="s">
        <v>264</v>
      </c>
      <c r="C11" s="300" t="s">
        <v>265</v>
      </c>
      <c r="D11" s="301"/>
      <c r="E11" s="58">
        <v>350</v>
      </c>
      <c r="F11" s="59" t="s">
        <v>2</v>
      </c>
      <c r="G11" s="225"/>
      <c r="H11" s="226"/>
      <c r="I11" s="219"/>
    </row>
    <row r="12" spans="1:9" ht="15" x14ac:dyDescent="0.25">
      <c r="A12" s="302">
        <v>11200072</v>
      </c>
      <c r="B12" s="303" t="s">
        <v>266</v>
      </c>
      <c r="C12" s="304" t="s">
        <v>267</v>
      </c>
      <c r="D12" s="70" t="s">
        <v>268</v>
      </c>
      <c r="E12" s="58">
        <v>3622</v>
      </c>
      <c r="F12" s="59" t="s">
        <v>2</v>
      </c>
      <c r="G12" s="62"/>
      <c r="H12" s="226"/>
      <c r="I12" s="219"/>
    </row>
    <row r="13" spans="1:9" ht="15.75" x14ac:dyDescent="0.25">
      <c r="A13" s="49">
        <v>11200087</v>
      </c>
      <c r="B13" s="49" t="s">
        <v>269</v>
      </c>
      <c r="C13" s="93" t="s">
        <v>270</v>
      </c>
      <c r="D13" s="236" t="s">
        <v>271</v>
      </c>
      <c r="E13" s="236">
        <v>3492</v>
      </c>
      <c r="F13" s="236" t="s">
        <v>2</v>
      </c>
      <c r="G13" s="62"/>
      <c r="H13" s="226"/>
      <c r="I13" s="219"/>
    </row>
    <row r="14" spans="1:9" ht="15.75" x14ac:dyDescent="0.25">
      <c r="A14" s="305">
        <v>1160001</v>
      </c>
      <c r="B14" s="305" t="s">
        <v>272</v>
      </c>
      <c r="C14" s="306" t="s">
        <v>273</v>
      </c>
      <c r="D14" s="236" t="s">
        <v>274</v>
      </c>
      <c r="E14" s="236">
        <v>60</v>
      </c>
      <c r="F14" s="236" t="s">
        <v>2</v>
      </c>
      <c r="G14" s="62"/>
      <c r="H14" s="226"/>
      <c r="I14" s="219"/>
    </row>
    <row r="15" spans="1:9" ht="15.75" x14ac:dyDescent="0.25">
      <c r="A15" s="305">
        <v>1212410</v>
      </c>
      <c r="B15" s="305" t="s">
        <v>40</v>
      </c>
      <c r="C15" s="306" t="s">
        <v>275</v>
      </c>
      <c r="D15" s="236" t="s">
        <v>276</v>
      </c>
      <c r="E15" s="236">
        <v>38</v>
      </c>
      <c r="F15" s="236" t="s">
        <v>2</v>
      </c>
      <c r="G15" s="62"/>
      <c r="H15" s="226"/>
      <c r="I15" s="219"/>
    </row>
    <row r="16" spans="1:9" ht="15.75" x14ac:dyDescent="0.25">
      <c r="A16" s="305">
        <v>10100337</v>
      </c>
      <c r="B16" s="305" t="s">
        <v>277</v>
      </c>
      <c r="C16" s="306" t="s">
        <v>278</v>
      </c>
      <c r="D16" s="236" t="s">
        <v>279</v>
      </c>
      <c r="E16" s="236">
        <v>30</v>
      </c>
      <c r="F16" s="236" t="s">
        <v>2</v>
      </c>
      <c r="G16" s="62"/>
      <c r="H16" s="226"/>
      <c r="I16" s="219"/>
    </row>
    <row r="17" spans="1:9" ht="15.75" x14ac:dyDescent="0.25">
      <c r="A17" s="305">
        <v>310145</v>
      </c>
      <c r="B17" s="305" t="s">
        <v>280</v>
      </c>
      <c r="C17" s="306" t="s">
        <v>281</v>
      </c>
      <c r="D17" s="236" t="s">
        <v>282</v>
      </c>
      <c r="E17" s="236">
        <v>518</v>
      </c>
      <c r="F17" s="236" t="s">
        <v>2</v>
      </c>
      <c r="G17" s="62"/>
      <c r="H17" s="226"/>
      <c r="I17" s="219"/>
    </row>
    <row r="18" spans="1:9" ht="15.75" x14ac:dyDescent="0.25">
      <c r="A18" s="305">
        <v>503000036</v>
      </c>
      <c r="B18" s="305" t="s">
        <v>283</v>
      </c>
      <c r="C18" s="306" t="s">
        <v>284</v>
      </c>
      <c r="D18" s="236"/>
      <c r="E18" s="236">
        <v>65</v>
      </c>
      <c r="F18" s="236" t="s">
        <v>2</v>
      </c>
      <c r="G18" s="62"/>
      <c r="H18" s="226"/>
      <c r="I18" s="219"/>
    </row>
    <row r="19" spans="1:9" ht="15.75" x14ac:dyDescent="0.25">
      <c r="A19" s="49">
        <v>11300012</v>
      </c>
      <c r="B19" s="49" t="s">
        <v>285</v>
      </c>
      <c r="C19" s="55" t="s">
        <v>286</v>
      </c>
      <c r="D19" s="236" t="s">
        <v>254</v>
      </c>
      <c r="E19" s="236">
        <v>200</v>
      </c>
      <c r="F19" s="236" t="s">
        <v>2</v>
      </c>
      <c r="G19" s="62"/>
      <c r="H19" s="226"/>
      <c r="I19" s="219"/>
    </row>
    <row r="20" spans="1:9" ht="15.75" x14ac:dyDescent="0.25">
      <c r="A20" s="49"/>
      <c r="B20" s="49"/>
      <c r="C20" s="55"/>
      <c r="D20" s="236"/>
      <c r="E20" s="236"/>
      <c r="F20" s="236"/>
      <c r="G20" s="62"/>
      <c r="H20" s="226"/>
      <c r="I20" s="219"/>
    </row>
    <row r="21" spans="1:9" ht="15.75" x14ac:dyDescent="0.25">
      <c r="A21" s="242"/>
      <c r="B21" s="243"/>
      <c r="C21" s="244" t="s">
        <v>215</v>
      </c>
      <c r="D21" s="236"/>
      <c r="E21" s="236"/>
      <c r="F21" s="236"/>
      <c r="G21" s="62"/>
      <c r="H21" s="226"/>
      <c r="I21" s="219"/>
    </row>
    <row r="22" spans="1:9" ht="15" x14ac:dyDescent="0.25">
      <c r="A22" s="240"/>
      <c r="B22" s="49"/>
      <c r="C22" s="55"/>
      <c r="D22" s="241"/>
      <c r="E22" s="241"/>
      <c r="F22" s="241"/>
      <c r="G22" s="217"/>
      <c r="H22" s="226"/>
      <c r="I22" s="219"/>
    </row>
    <row r="23" spans="1:9" ht="15.75" x14ac:dyDescent="0.25">
      <c r="A23" s="242"/>
      <c r="B23" s="243"/>
      <c r="C23" s="244"/>
      <c r="D23" s="239"/>
      <c r="E23" s="245"/>
      <c r="F23" s="25"/>
      <c r="G23" s="217"/>
      <c r="H23" s="226"/>
      <c r="I23" s="219"/>
    </row>
    <row r="24" spans="1:9" ht="15" x14ac:dyDescent="0.25">
      <c r="A24" s="246"/>
      <c r="B24" s="247"/>
      <c r="C24" s="248"/>
      <c r="D24" s="249"/>
      <c r="E24" s="250"/>
      <c r="F24" s="251"/>
      <c r="G24" s="217"/>
      <c r="H24" s="226"/>
      <c r="I24" s="219"/>
    </row>
    <row r="25" spans="1:9" ht="15" x14ac:dyDescent="0.25">
      <c r="A25" s="246"/>
      <c r="B25" s="247"/>
      <c r="C25" s="248"/>
      <c r="D25" s="249"/>
      <c r="E25" s="252"/>
      <c r="F25" s="251"/>
      <c r="G25" s="217"/>
      <c r="H25" s="218"/>
      <c r="I25" s="219"/>
    </row>
    <row r="26" spans="1:9" ht="15" x14ac:dyDescent="0.25">
      <c r="A26" s="246"/>
      <c r="B26" s="247"/>
      <c r="C26" s="248"/>
      <c r="D26" s="249"/>
      <c r="E26" s="250"/>
      <c r="F26" s="251"/>
      <c r="G26" s="217"/>
      <c r="H26" s="218"/>
      <c r="I26" s="219"/>
    </row>
    <row r="27" spans="1:9" ht="15" x14ac:dyDescent="0.25">
      <c r="A27" s="246"/>
      <c r="B27" s="247"/>
      <c r="C27" s="248"/>
      <c r="D27" s="249"/>
      <c r="E27" s="73"/>
      <c r="F27" s="253"/>
      <c r="G27" s="217"/>
      <c r="H27" s="218"/>
      <c r="I27" s="219"/>
    </row>
    <row r="28" spans="1:9" ht="15" x14ac:dyDescent="0.25">
      <c r="A28" s="49"/>
      <c r="B28" s="49"/>
      <c r="C28" s="55"/>
      <c r="D28" s="258"/>
      <c r="E28" s="64"/>
      <c r="F28" s="63"/>
      <c r="G28" s="217"/>
      <c r="H28" s="218"/>
      <c r="I28" s="219"/>
    </row>
    <row r="29" spans="1:9" ht="15.75" x14ac:dyDescent="0.25">
      <c r="A29" s="260"/>
      <c r="B29" s="261"/>
      <c r="C29" s="262" t="s">
        <v>216</v>
      </c>
      <c r="D29" s="263"/>
      <c r="E29" s="264"/>
      <c r="F29" s="218"/>
      <c r="G29" s="217"/>
      <c r="I29" s="219"/>
    </row>
    <row r="30" spans="1:9" ht="15" x14ac:dyDescent="0.25">
      <c r="A30" s="292">
        <v>1950708</v>
      </c>
      <c r="B30" s="293" t="s">
        <v>287</v>
      </c>
      <c r="C30" s="294" t="s">
        <v>288</v>
      </c>
      <c r="D30" s="266"/>
      <c r="E30" s="267">
        <v>2</v>
      </c>
      <c r="F30" s="268" t="s">
        <v>5</v>
      </c>
      <c r="G30" s="269"/>
      <c r="H30" s="218"/>
      <c r="I30" s="219"/>
    </row>
    <row r="31" spans="1:9" ht="15" x14ac:dyDescent="0.25">
      <c r="A31" s="292">
        <v>60100010</v>
      </c>
      <c r="B31" s="293" t="s">
        <v>289</v>
      </c>
      <c r="C31" s="294" t="s">
        <v>290</v>
      </c>
      <c r="D31" s="266"/>
      <c r="E31" s="267">
        <v>2</v>
      </c>
      <c r="F31" s="268" t="s">
        <v>5</v>
      </c>
      <c r="G31" s="269"/>
      <c r="H31" s="218"/>
      <c r="I31" s="219"/>
    </row>
    <row r="32" spans="1:9" ht="15" x14ac:dyDescent="0.25">
      <c r="A32" s="295">
        <v>702123</v>
      </c>
      <c r="B32" s="296" t="s">
        <v>68</v>
      </c>
      <c r="C32" s="297" t="s">
        <v>291</v>
      </c>
      <c r="D32" s="266"/>
      <c r="E32" s="267">
        <v>2</v>
      </c>
      <c r="F32" s="268" t="s">
        <v>5</v>
      </c>
      <c r="G32" s="269"/>
      <c r="H32" s="218"/>
      <c r="I32" s="219"/>
    </row>
    <row r="33" spans="1:9" ht="15" x14ac:dyDescent="0.25">
      <c r="A33" s="272">
        <v>1950705</v>
      </c>
      <c r="B33" s="272" t="s">
        <v>292</v>
      </c>
      <c r="C33" s="273" t="s">
        <v>293</v>
      </c>
      <c r="D33" s="266"/>
      <c r="E33" s="267">
        <v>1</v>
      </c>
      <c r="F33" s="268" t="s">
        <v>5</v>
      </c>
      <c r="G33" s="217"/>
      <c r="H33" s="218"/>
      <c r="I33" s="219"/>
    </row>
    <row r="34" spans="1:9" ht="15" x14ac:dyDescent="0.25">
      <c r="A34" s="272"/>
      <c r="B34" s="272"/>
      <c r="C34" s="273"/>
      <c r="D34" s="266"/>
      <c r="E34" s="267"/>
      <c r="F34" s="268"/>
      <c r="G34" s="217"/>
      <c r="H34" s="218"/>
      <c r="I34" s="219"/>
    </row>
    <row r="35" spans="1:9" ht="15" x14ac:dyDescent="0.25">
      <c r="A35" s="272"/>
      <c r="B35" s="272"/>
      <c r="C35" s="273"/>
      <c r="D35" s="266"/>
      <c r="E35" s="267"/>
      <c r="F35" s="268"/>
      <c r="G35" s="274"/>
      <c r="H35" s="218"/>
      <c r="I35" s="219"/>
    </row>
    <row r="36" spans="1:9" ht="15.75" x14ac:dyDescent="0.25">
      <c r="A36" s="272"/>
      <c r="B36" s="272"/>
      <c r="C36" s="273"/>
      <c r="D36" s="236"/>
      <c r="E36" s="267"/>
      <c r="F36" s="268"/>
      <c r="G36" s="26"/>
      <c r="H36" s="218"/>
      <c r="I36" s="219"/>
    </row>
    <row r="37" spans="1:9" ht="15" x14ac:dyDescent="0.25">
      <c r="A37" s="275"/>
      <c r="B37" s="275"/>
      <c r="C37" s="276"/>
      <c r="D37" s="266"/>
      <c r="E37" s="63"/>
      <c r="F37" s="63"/>
      <c r="G37" s="26"/>
      <c r="H37" s="218"/>
      <c r="I37" s="219"/>
    </row>
    <row r="38" spans="1:9" ht="15" x14ac:dyDescent="0.25">
      <c r="A38" s="50"/>
      <c r="B38" s="49"/>
      <c r="C38" s="265"/>
      <c r="D38" s="65"/>
      <c r="E38" s="64"/>
      <c r="F38" s="62"/>
      <c r="G38" s="26"/>
      <c r="H38" s="218"/>
      <c r="I38" s="219"/>
    </row>
    <row r="39" spans="1:9" ht="15.75" x14ac:dyDescent="0.25">
      <c r="A39" s="272"/>
      <c r="B39" s="272"/>
      <c r="C39" s="273"/>
      <c r="D39" s="266"/>
      <c r="E39" s="64"/>
      <c r="F39" s="62"/>
      <c r="G39" s="277"/>
      <c r="H39" s="218"/>
      <c r="I39" s="219"/>
    </row>
    <row r="40" spans="1:9" ht="15.75" x14ac:dyDescent="0.25">
      <c r="A40" s="242"/>
      <c r="B40" s="243"/>
      <c r="C40" s="27"/>
      <c r="D40" s="239"/>
      <c r="E40" s="239"/>
      <c r="F40" s="25"/>
      <c r="G40" s="278"/>
      <c r="H40" s="278"/>
      <c r="I40" s="219"/>
    </row>
    <row r="41" spans="1:9" ht="14.25" thickBot="1" x14ac:dyDescent="0.3">
      <c r="A41" s="279"/>
      <c r="B41" s="280"/>
      <c r="C41" s="71"/>
      <c r="D41" s="71"/>
      <c r="E41" s="281"/>
      <c r="F41" s="282"/>
      <c r="G41" s="71"/>
      <c r="H41" s="71"/>
      <c r="I41" s="283"/>
    </row>
    <row r="42" spans="1:9" ht="14.25" thickBot="1" x14ac:dyDescent="0.3">
      <c r="A42" s="74"/>
      <c r="B42" s="75"/>
      <c r="C42" s="76"/>
      <c r="D42" s="77" t="s">
        <v>11</v>
      </c>
      <c r="E42" s="78" t="s">
        <v>10</v>
      </c>
      <c r="F42" s="79"/>
      <c r="G42" s="76"/>
      <c r="H42" s="76"/>
      <c r="I42" s="80"/>
    </row>
    <row r="43" spans="1:9" ht="13.5" x14ac:dyDescent="0.25">
      <c r="A43" s="676" t="s">
        <v>9</v>
      </c>
      <c r="B43" s="677"/>
      <c r="C43" s="678"/>
      <c r="D43" s="259">
        <v>14195</v>
      </c>
      <c r="E43" s="284" t="s">
        <v>2</v>
      </c>
      <c r="F43" s="679" t="s">
        <v>96</v>
      </c>
      <c r="G43" s="679"/>
      <c r="H43" s="680"/>
      <c r="I43" s="681"/>
    </row>
    <row r="44" spans="1:9" ht="13.5" x14ac:dyDescent="0.25">
      <c r="A44" s="661" t="s">
        <v>8</v>
      </c>
      <c r="B44" s="662"/>
      <c r="C44" s="663"/>
      <c r="D44" s="64">
        <v>3</v>
      </c>
      <c r="E44" s="62" t="s">
        <v>7</v>
      </c>
      <c r="F44" s="664" t="s">
        <v>97</v>
      </c>
      <c r="G44" s="664"/>
      <c r="H44" s="665"/>
      <c r="I44" s="666"/>
    </row>
    <row r="45" spans="1:9" ht="13.5" x14ac:dyDescent="0.25">
      <c r="A45" s="661" t="s">
        <v>6</v>
      </c>
      <c r="B45" s="662"/>
      <c r="C45" s="663"/>
      <c r="D45" s="64">
        <v>1</v>
      </c>
      <c r="E45" s="62" t="s">
        <v>5</v>
      </c>
      <c r="F45" s="664" t="s">
        <v>98</v>
      </c>
      <c r="G45" s="664"/>
      <c r="H45" s="665"/>
      <c r="I45" s="666"/>
    </row>
    <row r="46" spans="1:9" ht="13.5" x14ac:dyDescent="0.25">
      <c r="A46" s="661" t="s">
        <v>4</v>
      </c>
      <c r="B46" s="662"/>
      <c r="C46" s="663"/>
      <c r="D46" s="64">
        <v>14195</v>
      </c>
      <c r="E46" s="62" t="s">
        <v>2</v>
      </c>
      <c r="F46" s="667" t="s">
        <v>220</v>
      </c>
      <c r="G46" s="668"/>
      <c r="H46" s="776"/>
      <c r="I46" s="777"/>
    </row>
    <row r="47" spans="1:9" ht="14.25" thickBot="1" x14ac:dyDescent="0.3">
      <c r="A47" s="669" t="s">
        <v>3</v>
      </c>
      <c r="B47" s="670"/>
      <c r="C47" s="671"/>
      <c r="D47" s="285">
        <v>0</v>
      </c>
      <c r="E47" s="286" t="s">
        <v>2</v>
      </c>
      <c r="F47" s="672"/>
      <c r="G47" s="672"/>
      <c r="H47" s="665"/>
      <c r="I47" s="666"/>
    </row>
    <row r="48" spans="1:9" ht="13.5" thickBot="1" x14ac:dyDescent="0.25">
      <c r="A48" s="673" t="s">
        <v>1</v>
      </c>
      <c r="B48" s="674"/>
      <c r="C48" s="674"/>
      <c r="D48" s="674"/>
      <c r="E48" s="674"/>
      <c r="F48" s="674"/>
      <c r="G48" s="674"/>
      <c r="H48" s="674"/>
      <c r="I48" s="675"/>
    </row>
    <row r="49" spans="1:9" ht="14.45" customHeight="1" x14ac:dyDescent="0.25">
      <c r="A49" s="801" t="s">
        <v>294</v>
      </c>
      <c r="B49" s="799"/>
      <c r="C49" s="799"/>
      <c r="D49" s="799"/>
      <c r="E49" s="799"/>
      <c r="F49" s="799"/>
      <c r="G49" s="799"/>
      <c r="H49" s="799"/>
      <c r="I49" s="800"/>
    </row>
    <row r="50" spans="1:9" ht="15.6" customHeight="1" x14ac:dyDescent="0.25">
      <c r="A50" s="801" t="s">
        <v>295</v>
      </c>
      <c r="B50" s="799"/>
      <c r="C50" s="799"/>
      <c r="D50" s="799"/>
      <c r="E50" s="799"/>
      <c r="F50" s="799"/>
      <c r="G50" s="799"/>
      <c r="H50" s="799"/>
      <c r="I50" s="800"/>
    </row>
    <row r="51" spans="1:9" ht="14.45" customHeight="1" x14ac:dyDescent="0.25">
      <c r="A51" s="801" t="s">
        <v>296</v>
      </c>
      <c r="B51" s="799"/>
      <c r="C51" s="799"/>
      <c r="D51" s="799"/>
      <c r="E51" s="799"/>
      <c r="F51" s="799"/>
      <c r="G51" s="799"/>
      <c r="H51" s="799"/>
      <c r="I51" s="800"/>
    </row>
    <row r="52" spans="1:9" ht="14.45" customHeight="1" x14ac:dyDescent="0.25">
      <c r="A52" s="801" t="s">
        <v>297</v>
      </c>
      <c r="B52" s="799"/>
      <c r="C52" s="799"/>
      <c r="D52" s="799"/>
      <c r="E52" s="799"/>
      <c r="F52" s="799"/>
      <c r="G52" s="799"/>
      <c r="H52" s="799"/>
      <c r="I52" s="800"/>
    </row>
    <row r="53" spans="1:9" ht="14.45" customHeight="1" x14ac:dyDescent="0.25">
      <c r="A53" s="801"/>
      <c r="B53" s="799"/>
      <c r="C53" s="799"/>
      <c r="D53" s="799"/>
      <c r="E53" s="799"/>
      <c r="F53" s="799"/>
      <c r="G53" s="799"/>
      <c r="H53" s="799"/>
      <c r="I53" s="800"/>
    </row>
    <row r="54" spans="1:9" ht="18" customHeight="1" x14ac:dyDescent="0.25">
      <c r="A54" s="801"/>
      <c r="B54" s="799"/>
      <c r="C54" s="799"/>
      <c r="D54" s="799"/>
      <c r="E54" s="799"/>
      <c r="F54" s="799"/>
      <c r="G54" s="799"/>
      <c r="H54" s="799"/>
      <c r="I54" s="800"/>
    </row>
    <row r="55" spans="1:9" ht="14.25" x14ac:dyDescent="0.2">
      <c r="A55" s="547"/>
      <c r="B55" s="548"/>
      <c r="C55" s="548"/>
      <c r="D55" s="548"/>
      <c r="E55" s="548"/>
      <c r="F55" s="548"/>
      <c r="G55" s="548"/>
      <c r="H55" s="548"/>
      <c r="I55" s="549"/>
    </row>
    <row r="56" spans="1:9" ht="15" thickBot="1" x14ac:dyDescent="0.25">
      <c r="A56" s="547"/>
      <c r="B56" s="548"/>
      <c r="C56" s="548"/>
      <c r="D56" s="548"/>
      <c r="E56" s="548"/>
      <c r="F56" s="548"/>
      <c r="G56" s="548"/>
      <c r="H56" s="548"/>
      <c r="I56" s="549"/>
    </row>
    <row r="57" spans="1:9" x14ac:dyDescent="0.2">
      <c r="A57" s="781" t="s">
        <v>0</v>
      </c>
      <c r="B57" s="782"/>
      <c r="C57" s="782"/>
      <c r="D57" s="782"/>
      <c r="E57" s="782"/>
      <c r="F57" s="782"/>
      <c r="G57" s="782"/>
      <c r="H57" s="782"/>
      <c r="I57" s="782"/>
    </row>
    <row r="58" spans="1:9" ht="13.5" x14ac:dyDescent="0.25">
      <c r="A58" s="783"/>
      <c r="B58" s="784"/>
      <c r="C58" s="784"/>
      <c r="D58" s="784"/>
      <c r="E58" s="784"/>
      <c r="F58" s="784"/>
      <c r="G58" s="784"/>
      <c r="H58" s="784"/>
      <c r="I58" s="784"/>
    </row>
    <row r="59" spans="1:9" ht="13.5" x14ac:dyDescent="0.25">
      <c r="A59" s="783"/>
      <c r="B59" s="784"/>
      <c r="C59" s="784"/>
      <c r="D59" s="784"/>
      <c r="E59" s="784"/>
      <c r="F59" s="784"/>
      <c r="G59" s="784"/>
      <c r="H59" s="784"/>
      <c r="I59" s="784"/>
    </row>
  </sheetData>
  <mergeCells count="44">
    <mergeCell ref="A58:I58"/>
    <mergeCell ref="A59:I59"/>
    <mergeCell ref="A53:I53"/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47:C47"/>
    <mergeCell ref="F47:G47"/>
    <mergeCell ref="H47:I47"/>
    <mergeCell ref="A43:C43"/>
    <mergeCell ref="F43:G43"/>
    <mergeCell ref="H43:I43"/>
    <mergeCell ref="H45:I45"/>
    <mergeCell ref="A46:C46"/>
    <mergeCell ref="F46:G46"/>
    <mergeCell ref="H46:I46"/>
    <mergeCell ref="A44:C44"/>
    <mergeCell ref="F44:G44"/>
    <mergeCell ref="H44:I44"/>
    <mergeCell ref="A45:C45"/>
    <mergeCell ref="F45:G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B91F-296D-4E94-903B-9125F0B5B85D}">
  <sheetPr>
    <pageSetUpPr fitToPage="1"/>
  </sheetPr>
  <dimension ref="A1:M30"/>
  <sheetViews>
    <sheetView tabSelected="1" zoomScale="80" zoomScaleNormal="80" workbookViewId="0">
      <selection activeCell="I1" sqref="I1"/>
    </sheetView>
  </sheetViews>
  <sheetFormatPr baseColWidth="10" defaultRowHeight="12.75" x14ac:dyDescent="0.2"/>
  <cols>
    <col min="1" max="1" width="13.28515625" bestFit="1" customWidth="1"/>
    <col min="2" max="2" width="14.28515625" bestFit="1" customWidth="1"/>
    <col min="3" max="3" width="52.5703125" bestFit="1" customWidth="1"/>
    <col min="4" max="4" width="18.42578125" customWidth="1"/>
    <col min="5" max="5" width="11.5703125" bestFit="1" customWidth="1"/>
    <col min="8" max="8" width="18.5703125" customWidth="1"/>
    <col min="9" max="9" width="17.42578125" customWidth="1"/>
    <col min="11" max="11" width="19.85546875" customWidth="1"/>
  </cols>
  <sheetData>
    <row r="1" spans="1:13" ht="18" x14ac:dyDescent="0.25">
      <c r="A1" s="587"/>
      <c r="B1" s="588"/>
      <c r="C1" s="593" t="s">
        <v>28</v>
      </c>
      <c r="D1" s="593"/>
      <c r="E1" s="593"/>
      <c r="F1" s="593"/>
      <c r="G1" s="593"/>
      <c r="H1" s="43" t="s">
        <v>27</v>
      </c>
      <c r="I1" s="42" t="s">
        <v>471</v>
      </c>
    </row>
    <row r="2" spans="1:13" ht="18" x14ac:dyDescent="0.25">
      <c r="A2" s="589"/>
      <c r="B2" s="590"/>
      <c r="C2" s="594" t="s">
        <v>26</v>
      </c>
      <c r="D2" s="594"/>
      <c r="E2" s="594"/>
      <c r="F2" s="594"/>
      <c r="G2" s="594"/>
      <c r="H2" s="41" t="s">
        <v>25</v>
      </c>
      <c r="I2" s="40" t="s">
        <v>207</v>
      </c>
    </row>
    <row r="3" spans="1:13" ht="23.25" x14ac:dyDescent="0.2">
      <c r="A3" s="589"/>
      <c r="B3" s="590"/>
      <c r="C3" s="854" t="s">
        <v>370</v>
      </c>
      <c r="D3" s="855"/>
      <c r="E3" s="855"/>
      <c r="F3" s="855"/>
      <c r="G3" s="855"/>
      <c r="H3" s="597" t="s">
        <v>24</v>
      </c>
      <c r="I3" s="581">
        <v>46141</v>
      </c>
    </row>
    <row r="4" spans="1:13" x14ac:dyDescent="0.2">
      <c r="A4" s="589"/>
      <c r="B4" s="590"/>
      <c r="C4" s="39" t="s">
        <v>23</v>
      </c>
      <c r="D4" s="583" t="s">
        <v>141</v>
      </c>
      <c r="E4" s="584"/>
      <c r="F4" s="584"/>
      <c r="G4" s="584"/>
      <c r="H4" s="597"/>
      <c r="I4" s="582"/>
    </row>
    <row r="5" spans="1:13" ht="13.5" thickBot="1" x14ac:dyDescent="0.25">
      <c r="A5" s="591"/>
      <c r="B5" s="592"/>
      <c r="C5" s="38" t="s">
        <v>22</v>
      </c>
      <c r="D5" s="585" t="s">
        <v>50</v>
      </c>
      <c r="E5" s="586"/>
      <c r="F5" s="586"/>
      <c r="G5" s="586"/>
      <c r="H5" s="598"/>
      <c r="I5" s="762"/>
    </row>
    <row r="6" spans="1:13" ht="18.75" thickBot="1" x14ac:dyDescent="0.3">
      <c r="A6" s="567" t="s">
        <v>21</v>
      </c>
      <c r="B6" s="567"/>
      <c r="C6" s="567"/>
      <c r="D6" s="856" t="s">
        <v>58</v>
      </c>
      <c r="E6" s="856"/>
      <c r="F6" s="856"/>
      <c r="G6" s="569" t="s">
        <v>20</v>
      </c>
      <c r="H6" s="569"/>
      <c r="I6" s="857" t="s">
        <v>59</v>
      </c>
    </row>
    <row r="7" spans="1:13" ht="25.5" x14ac:dyDescent="0.2">
      <c r="A7" s="570" t="s">
        <v>19</v>
      </c>
      <c r="B7" s="570" t="s">
        <v>19</v>
      </c>
      <c r="C7" s="572" t="s">
        <v>18</v>
      </c>
      <c r="D7" s="572" t="s">
        <v>17</v>
      </c>
      <c r="E7" s="572" t="s">
        <v>16</v>
      </c>
      <c r="F7" s="572"/>
      <c r="G7" s="572" t="s">
        <v>15</v>
      </c>
      <c r="H7" s="572"/>
      <c r="I7" s="36" t="s">
        <v>14</v>
      </c>
    </row>
    <row r="8" spans="1:13" ht="28.5" customHeight="1" thickBot="1" x14ac:dyDescent="0.25">
      <c r="A8" s="571"/>
      <c r="B8" s="571"/>
      <c r="C8" s="573"/>
      <c r="D8" s="574"/>
      <c r="E8" s="35" t="s">
        <v>11</v>
      </c>
      <c r="F8" s="34" t="s">
        <v>13</v>
      </c>
      <c r="G8" s="35" t="s">
        <v>11</v>
      </c>
      <c r="H8" s="34" t="s">
        <v>13</v>
      </c>
      <c r="I8" s="33" t="s">
        <v>12</v>
      </c>
      <c r="K8" s="94"/>
      <c r="L8" s="94"/>
    </row>
    <row r="9" spans="1:13" ht="20.25" x14ac:dyDescent="0.3">
      <c r="A9" s="858"/>
      <c r="B9" s="859" t="s">
        <v>130</v>
      </c>
      <c r="C9" s="926" t="s">
        <v>131</v>
      </c>
      <c r="D9" s="860" t="s">
        <v>95</v>
      </c>
      <c r="E9" s="861">
        <v>1000</v>
      </c>
      <c r="F9" s="862" t="s">
        <v>2</v>
      </c>
      <c r="G9" s="863"/>
      <c r="H9" s="864"/>
      <c r="I9" s="865"/>
      <c r="K9" s="94"/>
      <c r="L9" s="94"/>
    </row>
    <row r="10" spans="1:13" ht="20.25" x14ac:dyDescent="0.3">
      <c r="A10" s="866"/>
      <c r="B10" s="868" t="s">
        <v>60</v>
      </c>
      <c r="C10" s="867" t="s">
        <v>61</v>
      </c>
      <c r="D10" s="860" t="s">
        <v>132</v>
      </c>
      <c r="E10" s="861">
        <v>1000</v>
      </c>
      <c r="F10" s="862" t="s">
        <v>2</v>
      </c>
      <c r="G10" s="863"/>
      <c r="H10" s="864"/>
      <c r="I10" s="865"/>
      <c r="K10" s="95"/>
      <c r="L10" s="94"/>
    </row>
    <row r="11" spans="1:13" ht="20.25" x14ac:dyDescent="0.3">
      <c r="A11" s="858">
        <v>1950702</v>
      </c>
      <c r="B11" s="868" t="s">
        <v>51</v>
      </c>
      <c r="C11" s="869" t="s">
        <v>52</v>
      </c>
      <c r="D11" s="860" t="s">
        <v>53</v>
      </c>
      <c r="E11" s="861">
        <v>1</v>
      </c>
      <c r="F11" s="862" t="s">
        <v>54</v>
      </c>
      <c r="G11" s="863"/>
      <c r="H11" s="864"/>
      <c r="I11" s="865"/>
      <c r="K11" s="95"/>
      <c r="L11" s="94"/>
    </row>
    <row r="12" spans="1:13" ht="20.25" x14ac:dyDescent="0.3">
      <c r="A12" s="858">
        <v>702067</v>
      </c>
      <c r="B12" s="868" t="s">
        <v>55</v>
      </c>
      <c r="C12" s="869" t="s">
        <v>56</v>
      </c>
      <c r="D12" s="870" t="s">
        <v>57</v>
      </c>
      <c r="E12" s="870">
        <v>1</v>
      </c>
      <c r="F12" s="870" t="s">
        <v>54</v>
      </c>
      <c r="G12" s="863"/>
      <c r="H12" s="864"/>
      <c r="I12" s="865"/>
      <c r="K12" s="95"/>
      <c r="L12" s="94"/>
    </row>
    <row r="13" spans="1:13" ht="20.25" x14ac:dyDescent="0.3">
      <c r="A13" s="871"/>
      <c r="B13" s="871"/>
      <c r="C13" s="871"/>
      <c r="D13" s="860"/>
      <c r="E13" s="861"/>
      <c r="F13" s="862" t="s">
        <v>2</v>
      </c>
      <c r="G13" s="863"/>
      <c r="H13" s="864"/>
      <c r="I13" s="865"/>
      <c r="L13" s="89"/>
    </row>
    <row r="14" spans="1:13" ht="21" thickBot="1" x14ac:dyDescent="0.35">
      <c r="A14" s="872"/>
      <c r="B14" s="873"/>
      <c r="C14" s="874"/>
      <c r="D14" s="874"/>
      <c r="E14" s="875"/>
      <c r="F14" s="876"/>
      <c r="G14" s="874"/>
      <c r="H14" s="874"/>
      <c r="I14" s="877"/>
      <c r="J14" s="1"/>
      <c r="K14" s="1"/>
      <c r="L14" s="3"/>
      <c r="M14" s="1"/>
    </row>
    <row r="15" spans="1:13" ht="21" thickBot="1" x14ac:dyDescent="0.35">
      <c r="A15" s="878"/>
      <c r="B15" s="879"/>
      <c r="C15" s="880"/>
      <c r="D15" s="881" t="s">
        <v>11</v>
      </c>
      <c r="E15" s="882" t="s">
        <v>10</v>
      </c>
      <c r="F15" s="883"/>
      <c r="G15" s="880"/>
      <c r="H15" s="880"/>
      <c r="I15" s="884"/>
      <c r="J15" s="1"/>
      <c r="K15" s="1"/>
      <c r="L15" s="3"/>
      <c r="M15" s="1"/>
    </row>
    <row r="16" spans="1:13" ht="20.25" x14ac:dyDescent="0.3">
      <c r="A16" s="885" t="s">
        <v>9</v>
      </c>
      <c r="B16" s="886"/>
      <c r="C16" s="887"/>
      <c r="D16" s="861">
        <v>2000</v>
      </c>
      <c r="E16" s="888" t="s">
        <v>2</v>
      </c>
      <c r="F16" s="889"/>
      <c r="G16" s="889"/>
      <c r="H16" s="890"/>
      <c r="I16" s="891"/>
      <c r="J16" s="1"/>
      <c r="K16" s="1"/>
      <c r="L16" s="3"/>
      <c r="M16" s="1"/>
    </row>
    <row r="17" spans="1:13" ht="20.25" x14ac:dyDescent="0.3">
      <c r="A17" s="892" t="s">
        <v>8</v>
      </c>
      <c r="B17" s="893"/>
      <c r="C17" s="894"/>
      <c r="D17" s="870">
        <v>5</v>
      </c>
      <c r="E17" s="870" t="s">
        <v>7</v>
      </c>
      <c r="F17" s="895"/>
      <c r="G17" s="895"/>
      <c r="H17" s="896"/>
      <c r="I17" s="897"/>
      <c r="J17" s="1"/>
      <c r="K17" s="1"/>
      <c r="L17" s="3"/>
      <c r="M17" s="1"/>
    </row>
    <row r="18" spans="1:13" ht="20.25" x14ac:dyDescent="0.3">
      <c r="A18" s="892" t="s">
        <v>6</v>
      </c>
      <c r="B18" s="893"/>
      <c r="C18" s="894"/>
      <c r="D18" s="861">
        <f>(D16/D19)</f>
        <v>1</v>
      </c>
      <c r="E18" s="870" t="s">
        <v>5</v>
      </c>
      <c r="F18" s="895"/>
      <c r="G18" s="895"/>
      <c r="H18" s="896"/>
      <c r="I18" s="897"/>
      <c r="J18" s="1"/>
      <c r="K18" s="1"/>
      <c r="L18" s="3"/>
      <c r="M18" s="1"/>
    </row>
    <row r="19" spans="1:13" ht="20.25" x14ac:dyDescent="0.3">
      <c r="A19" s="892" t="s">
        <v>4</v>
      </c>
      <c r="B19" s="893"/>
      <c r="C19" s="894"/>
      <c r="D19" s="861">
        <v>2000</v>
      </c>
      <c r="E19" s="870" t="s">
        <v>2</v>
      </c>
      <c r="F19" s="898"/>
      <c r="G19" s="899"/>
      <c r="H19" s="896"/>
      <c r="I19" s="897"/>
      <c r="J19" s="1"/>
      <c r="K19" s="1"/>
      <c r="L19" s="3"/>
      <c r="M19" s="6"/>
    </row>
    <row r="20" spans="1:13" ht="21" thickBot="1" x14ac:dyDescent="0.35">
      <c r="A20" s="900" t="s">
        <v>3</v>
      </c>
      <c r="B20" s="901"/>
      <c r="C20" s="902"/>
      <c r="D20" s="903">
        <f>SUM(E9:E10)-D16</f>
        <v>0</v>
      </c>
      <c r="E20" s="904" t="s">
        <v>2</v>
      </c>
      <c r="F20" s="905"/>
      <c r="G20" s="905"/>
      <c r="H20" s="906"/>
      <c r="I20" s="907"/>
      <c r="J20" s="1"/>
      <c r="K20" s="1"/>
      <c r="L20" s="3"/>
      <c r="M20" s="1"/>
    </row>
    <row r="21" spans="1:13" ht="21" thickBot="1" x14ac:dyDescent="0.35">
      <c r="A21" s="930" t="s">
        <v>470</v>
      </c>
      <c r="B21" s="931"/>
      <c r="C21" s="931"/>
      <c r="D21" s="931"/>
      <c r="E21" s="931"/>
      <c r="F21" s="931"/>
      <c r="G21" s="931"/>
      <c r="H21" s="931"/>
      <c r="I21" s="932"/>
      <c r="J21" s="1"/>
      <c r="K21" s="1"/>
      <c r="L21" s="1"/>
      <c r="M21" s="1"/>
    </row>
    <row r="22" spans="1:13" ht="20.25" x14ac:dyDescent="0.3">
      <c r="A22" s="908" t="s">
        <v>116</v>
      </c>
      <c r="B22" s="909"/>
      <c r="C22" s="910"/>
      <c r="D22" s="910"/>
      <c r="E22" s="910"/>
      <c r="F22" s="910"/>
      <c r="G22" s="910"/>
      <c r="H22" s="910"/>
      <c r="I22" s="911"/>
    </row>
    <row r="23" spans="1:13" ht="20.25" x14ac:dyDescent="0.3">
      <c r="A23" s="912" t="s">
        <v>117</v>
      </c>
      <c r="B23" s="912"/>
      <c r="C23" s="912"/>
      <c r="D23" s="912"/>
      <c r="E23" s="912"/>
      <c r="F23" s="912"/>
      <c r="G23" s="912"/>
      <c r="H23" s="912"/>
      <c r="I23" s="912"/>
    </row>
    <row r="24" spans="1:13" ht="20.25" x14ac:dyDescent="0.3">
      <c r="A24" s="913" t="s">
        <v>118</v>
      </c>
      <c r="B24" s="914"/>
      <c r="C24" s="914"/>
      <c r="D24" s="914"/>
      <c r="E24" s="914"/>
      <c r="F24" s="914"/>
      <c r="G24" s="914"/>
      <c r="H24" s="914"/>
      <c r="I24" s="915"/>
    </row>
    <row r="25" spans="1:13" ht="20.25" x14ac:dyDescent="0.3">
      <c r="A25" s="916" t="s">
        <v>119</v>
      </c>
      <c r="B25" s="917"/>
      <c r="C25" s="918"/>
      <c r="D25" s="918"/>
      <c r="E25" s="918"/>
      <c r="F25" s="918"/>
      <c r="G25" s="918"/>
      <c r="H25" s="918"/>
      <c r="I25" s="919"/>
    </row>
    <row r="26" spans="1:13" ht="20.25" x14ac:dyDescent="0.3">
      <c r="A26" s="920"/>
      <c r="B26" s="921"/>
      <c r="C26" s="921"/>
      <c r="D26" s="921"/>
      <c r="E26" s="921"/>
      <c r="F26" s="921"/>
      <c r="G26" s="921"/>
      <c r="H26" s="921"/>
      <c r="I26" s="922"/>
    </row>
    <row r="27" spans="1:13" ht="20.25" x14ac:dyDescent="0.3">
      <c r="A27" s="927" t="s">
        <v>0</v>
      </c>
      <c r="B27" s="928"/>
      <c r="C27" s="928"/>
      <c r="D27" s="928"/>
      <c r="E27" s="928"/>
      <c r="F27" s="928"/>
      <c r="G27" s="928"/>
      <c r="H27" s="928"/>
      <c r="I27" s="929"/>
    </row>
    <row r="28" spans="1:13" ht="21" thickBot="1" x14ac:dyDescent="0.35">
      <c r="A28" s="923"/>
      <c r="B28" s="924"/>
      <c r="C28" s="924"/>
      <c r="D28" s="924"/>
      <c r="E28" s="924"/>
      <c r="F28" s="924"/>
      <c r="G28" s="924"/>
      <c r="H28" s="924"/>
      <c r="I28" s="925"/>
    </row>
    <row r="30" spans="1:13" x14ac:dyDescent="0.2">
      <c r="A30" s="2"/>
      <c r="B30" s="2"/>
      <c r="C30" s="2"/>
      <c r="D30" s="1"/>
      <c r="E30" s="1"/>
      <c r="F30" s="1"/>
      <c r="G30" s="1"/>
      <c r="H30" s="1"/>
      <c r="I30" s="1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24:I24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I21"/>
    <mergeCell ref="A22:I22"/>
    <mergeCell ref="A28:I28"/>
    <mergeCell ref="A25:I25"/>
    <mergeCell ref="A26:I26"/>
    <mergeCell ref="A27:I27"/>
  </mergeCells>
  <pageMargins left="0.25" right="0.25" top="0.75" bottom="0.75" header="0.3" footer="0.3"/>
  <pageSetup scale="6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3127-E116-4292-8F25-1AFAC1680950}">
  <dimension ref="A1:I60"/>
  <sheetViews>
    <sheetView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425781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693"/>
      <c r="B1" s="694"/>
      <c r="C1" s="682" t="s">
        <v>28</v>
      </c>
      <c r="D1" s="682"/>
      <c r="E1" s="682"/>
      <c r="F1" s="682"/>
      <c r="G1" s="682"/>
      <c r="H1" s="60" t="s">
        <v>27</v>
      </c>
      <c r="I1" s="42" t="s">
        <v>206</v>
      </c>
    </row>
    <row r="2" spans="1:9" ht="18" customHeight="1" thickBot="1" x14ac:dyDescent="0.3">
      <c r="A2" s="695"/>
      <c r="B2" s="696"/>
      <c r="C2" s="765" t="s">
        <v>26</v>
      </c>
      <c r="D2" s="766"/>
      <c r="E2" s="766"/>
      <c r="F2" s="766"/>
      <c r="G2" s="767"/>
      <c r="H2" s="61" t="s">
        <v>25</v>
      </c>
      <c r="I2" s="40" t="s">
        <v>207</v>
      </c>
    </row>
    <row r="3" spans="1:9" ht="31.5" customHeight="1" thickBot="1" x14ac:dyDescent="0.25">
      <c r="A3" s="695"/>
      <c r="B3" s="696"/>
      <c r="C3" s="849" t="s">
        <v>208</v>
      </c>
      <c r="D3" s="850"/>
      <c r="E3" s="850"/>
      <c r="F3" s="850"/>
      <c r="G3" s="851"/>
      <c r="H3" s="686" t="s">
        <v>24</v>
      </c>
      <c r="I3" s="581">
        <v>45615</v>
      </c>
    </row>
    <row r="4" spans="1:9" ht="18" customHeight="1" x14ac:dyDescent="0.25">
      <c r="A4" s="695"/>
      <c r="B4" s="696"/>
      <c r="C4" s="208" t="s">
        <v>23</v>
      </c>
      <c r="D4" s="645" t="s">
        <v>209</v>
      </c>
      <c r="E4" s="646"/>
      <c r="F4" s="646"/>
      <c r="G4" s="647"/>
      <c r="H4" s="687"/>
      <c r="I4" s="582"/>
    </row>
    <row r="5" spans="1:9" ht="14.25" thickBot="1" x14ac:dyDescent="0.3">
      <c r="A5" s="763"/>
      <c r="B5" s="764"/>
      <c r="C5" s="209" t="s">
        <v>22</v>
      </c>
      <c r="D5" s="648" t="s">
        <v>210</v>
      </c>
      <c r="E5" s="649"/>
      <c r="F5" s="649"/>
      <c r="G5" s="650"/>
      <c r="H5" s="700"/>
      <c r="I5" s="762"/>
    </row>
    <row r="6" spans="1:9" ht="18.75" thickBot="1" x14ac:dyDescent="0.3">
      <c r="A6" s="567" t="s">
        <v>21</v>
      </c>
      <c r="B6" s="567"/>
      <c r="C6" s="567"/>
      <c r="D6" s="568" t="s">
        <v>59</v>
      </c>
      <c r="E6" s="568"/>
      <c r="F6" s="568"/>
      <c r="G6" s="569" t="s">
        <v>20</v>
      </c>
      <c r="H6" s="569"/>
      <c r="I6" s="37" t="s">
        <v>59</v>
      </c>
    </row>
    <row r="7" spans="1:9" ht="25.5" x14ac:dyDescent="0.2">
      <c r="A7" s="688" t="s">
        <v>19</v>
      </c>
      <c r="B7" s="769" t="s">
        <v>211</v>
      </c>
      <c r="C7" s="689" t="s">
        <v>18</v>
      </c>
      <c r="D7" s="689" t="s">
        <v>17</v>
      </c>
      <c r="E7" s="689" t="s">
        <v>16</v>
      </c>
      <c r="F7" s="689"/>
      <c r="G7" s="689" t="s">
        <v>15</v>
      </c>
      <c r="H7" s="689"/>
      <c r="I7" s="72" t="s">
        <v>14</v>
      </c>
    </row>
    <row r="8" spans="1:9" ht="26.25" thickBot="1" x14ac:dyDescent="0.25">
      <c r="A8" s="768"/>
      <c r="B8" s="770"/>
      <c r="C8" s="771"/>
      <c r="D8" s="771"/>
      <c r="E8" s="210" t="s">
        <v>11</v>
      </c>
      <c r="F8" s="211" t="s">
        <v>13</v>
      </c>
      <c r="G8" s="210" t="s">
        <v>11</v>
      </c>
      <c r="H8" s="211" t="s">
        <v>13</v>
      </c>
      <c r="I8" s="212" t="s">
        <v>12</v>
      </c>
    </row>
    <row r="9" spans="1:9" ht="18.600000000000001" customHeight="1" x14ac:dyDescent="0.25">
      <c r="A9" s="213"/>
      <c r="B9" s="214"/>
      <c r="C9" s="215" t="s">
        <v>212</v>
      </c>
      <c r="D9" s="216"/>
      <c r="E9" s="217"/>
      <c r="F9" s="218"/>
      <c r="G9" s="217"/>
      <c r="H9" s="218"/>
      <c r="I9" s="219"/>
    </row>
    <row r="10" spans="1:9" ht="18" customHeight="1" x14ac:dyDescent="0.25">
      <c r="A10" s="220">
        <v>510302</v>
      </c>
      <c r="B10" s="220" t="s">
        <v>213</v>
      </c>
      <c r="C10" s="221" t="s">
        <v>214</v>
      </c>
      <c r="D10" s="222" t="s">
        <v>102</v>
      </c>
      <c r="E10" s="223">
        <v>1100</v>
      </c>
      <c r="F10" s="224" t="s">
        <v>2</v>
      </c>
      <c r="G10" s="225"/>
      <c r="H10" s="226"/>
      <c r="I10" s="219"/>
    </row>
    <row r="11" spans="1:9" ht="15.75" x14ac:dyDescent="0.25">
      <c r="A11" s="227"/>
      <c r="B11" s="228"/>
      <c r="C11" s="229"/>
      <c r="D11" s="230"/>
      <c r="E11" s="231"/>
      <c r="F11" s="232"/>
      <c r="G11" s="225"/>
      <c r="H11" s="226"/>
      <c r="I11" s="219"/>
    </row>
    <row r="12" spans="1:9" ht="15.75" x14ac:dyDescent="0.25">
      <c r="A12" s="233"/>
      <c r="B12" s="234"/>
      <c r="C12" s="235"/>
      <c r="D12" s="236"/>
      <c r="E12" s="236"/>
      <c r="F12" s="236"/>
      <c r="G12" s="62"/>
      <c r="H12" s="226"/>
      <c r="I12" s="219"/>
    </row>
    <row r="13" spans="1:9" ht="15.75" x14ac:dyDescent="0.25">
      <c r="A13" s="237"/>
      <c r="B13" s="238"/>
      <c r="C13" s="235"/>
      <c r="D13" s="236"/>
      <c r="E13" s="236"/>
      <c r="F13" s="236"/>
      <c r="G13" s="62"/>
      <c r="H13" s="226"/>
      <c r="I13" s="219"/>
    </row>
    <row r="14" spans="1:9" ht="15" x14ac:dyDescent="0.25">
      <c r="A14" s="49"/>
      <c r="B14" s="49"/>
      <c r="C14" s="229"/>
      <c r="D14" s="26"/>
      <c r="E14" s="239"/>
      <c r="F14" s="25"/>
      <c r="G14" s="62"/>
      <c r="H14" s="226"/>
      <c r="I14" s="219"/>
    </row>
    <row r="15" spans="1:9" ht="15" x14ac:dyDescent="0.25">
      <c r="A15" s="49"/>
      <c r="B15" s="49"/>
      <c r="C15" s="229"/>
      <c r="D15" s="26"/>
      <c r="E15" s="239"/>
      <c r="F15" s="25"/>
      <c r="G15" s="62"/>
      <c r="H15" s="226"/>
      <c r="I15" s="219"/>
    </row>
    <row r="16" spans="1:9" ht="15" x14ac:dyDescent="0.25">
      <c r="A16" s="49"/>
      <c r="B16" s="49"/>
      <c r="C16" s="229"/>
      <c r="D16" s="26"/>
      <c r="E16" s="239"/>
      <c r="F16" s="25"/>
      <c r="G16" s="62"/>
      <c r="H16" s="226"/>
      <c r="I16" s="219"/>
    </row>
    <row r="17" spans="1:9" ht="15" x14ac:dyDescent="0.25">
      <c r="A17" s="49"/>
      <c r="B17" s="49"/>
      <c r="C17" s="229"/>
      <c r="D17" s="26"/>
      <c r="E17" s="239"/>
      <c r="F17" s="25"/>
      <c r="G17" s="62"/>
      <c r="H17" s="226"/>
      <c r="I17" s="219"/>
    </row>
    <row r="18" spans="1:9" ht="15" x14ac:dyDescent="0.25">
      <c r="A18" s="49"/>
      <c r="B18" s="49"/>
      <c r="C18" s="229"/>
      <c r="D18" s="26"/>
      <c r="E18" s="239"/>
      <c r="F18" s="25"/>
      <c r="G18" s="62"/>
      <c r="H18" s="226"/>
      <c r="I18" s="219"/>
    </row>
    <row r="19" spans="1:9" ht="15" x14ac:dyDescent="0.25">
      <c r="A19" s="49"/>
      <c r="B19" s="49"/>
      <c r="C19" s="229"/>
      <c r="D19" s="26"/>
      <c r="E19" s="239"/>
      <c r="F19" s="25"/>
      <c r="G19" s="62"/>
      <c r="H19" s="226"/>
      <c r="I19" s="219"/>
    </row>
    <row r="20" spans="1:9" ht="15" x14ac:dyDescent="0.25">
      <c r="A20" s="240"/>
      <c r="B20" s="49"/>
      <c r="C20" s="55"/>
      <c r="D20" s="241"/>
      <c r="E20" s="241"/>
      <c r="F20" s="241"/>
      <c r="G20" s="217"/>
      <c r="H20" s="226"/>
      <c r="I20" s="219"/>
    </row>
    <row r="21" spans="1:9" ht="15.75" x14ac:dyDescent="0.25">
      <c r="A21" s="242"/>
      <c r="B21" s="243"/>
      <c r="C21" s="244" t="s">
        <v>215</v>
      </c>
      <c r="D21" s="239"/>
      <c r="E21" s="245"/>
      <c r="F21" s="25"/>
      <c r="G21" s="217"/>
      <c r="H21" s="218"/>
      <c r="I21" s="219"/>
    </row>
    <row r="22" spans="1:9" ht="15" x14ac:dyDescent="0.25">
      <c r="A22" s="246"/>
      <c r="B22" s="247"/>
      <c r="C22" s="248"/>
      <c r="D22" s="249"/>
      <c r="E22" s="250"/>
      <c r="F22" s="251"/>
      <c r="G22" s="217"/>
      <c r="H22" s="218"/>
      <c r="I22" s="219"/>
    </row>
    <row r="23" spans="1:9" ht="15" x14ac:dyDescent="0.25">
      <c r="A23" s="246"/>
      <c r="B23" s="247"/>
      <c r="C23" s="248"/>
      <c r="D23" s="249"/>
      <c r="E23" s="252"/>
      <c r="F23" s="251"/>
      <c r="G23" s="217"/>
      <c r="H23" s="218"/>
      <c r="I23" s="219"/>
    </row>
    <row r="24" spans="1:9" ht="15" x14ac:dyDescent="0.25">
      <c r="A24" s="246"/>
      <c r="B24" s="247"/>
      <c r="C24" s="248"/>
      <c r="D24" s="249"/>
      <c r="E24" s="250"/>
      <c r="F24" s="251"/>
      <c r="G24" s="217"/>
      <c r="H24" s="218"/>
      <c r="I24" s="219"/>
    </row>
    <row r="25" spans="1:9" ht="15" x14ac:dyDescent="0.25">
      <c r="A25" s="246"/>
      <c r="B25" s="247"/>
      <c r="C25" s="248"/>
      <c r="D25" s="249"/>
      <c r="E25" s="73"/>
      <c r="F25" s="253"/>
      <c r="G25" s="217"/>
      <c r="H25" s="218"/>
      <c r="I25" s="219"/>
    </row>
    <row r="26" spans="1:9" ht="15" x14ac:dyDescent="0.25">
      <c r="A26" s="246"/>
      <c r="B26" s="247"/>
      <c r="C26" s="248"/>
      <c r="D26" s="249"/>
      <c r="E26" s="254"/>
      <c r="F26" s="253"/>
      <c r="G26" s="217"/>
      <c r="H26" s="218"/>
      <c r="I26" s="219"/>
    </row>
    <row r="27" spans="1:9" ht="15" x14ac:dyDescent="0.25">
      <c r="A27" s="99"/>
      <c r="B27" s="99"/>
      <c r="D27" s="255"/>
      <c r="E27" s="256"/>
      <c r="F27" s="257"/>
      <c r="G27" s="217"/>
      <c r="H27" s="218"/>
      <c r="I27" s="219"/>
    </row>
    <row r="28" spans="1:9" ht="15" x14ac:dyDescent="0.25">
      <c r="A28" s="49"/>
      <c r="B28" s="49"/>
      <c r="C28" s="55"/>
      <c r="D28" s="258"/>
      <c r="E28" s="259"/>
      <c r="F28" s="257"/>
      <c r="G28" s="217"/>
      <c r="H28" s="218"/>
      <c r="I28" s="219"/>
    </row>
    <row r="29" spans="1:9" ht="15" x14ac:dyDescent="0.25">
      <c r="A29" s="49"/>
      <c r="B29" s="49"/>
      <c r="C29" s="55"/>
      <c r="D29" s="258"/>
      <c r="E29" s="64"/>
      <c r="F29" s="63"/>
      <c r="G29" s="217"/>
      <c r="H29" s="218"/>
      <c r="I29" s="219"/>
    </row>
    <row r="30" spans="1:9" ht="15.75" x14ac:dyDescent="0.25">
      <c r="A30" s="260"/>
      <c r="B30" s="261"/>
      <c r="C30" s="262" t="s">
        <v>216</v>
      </c>
      <c r="D30" s="263"/>
      <c r="E30" s="264"/>
      <c r="F30" s="218"/>
      <c r="G30" s="217"/>
      <c r="I30" s="219"/>
    </row>
    <row r="31" spans="1:9" ht="15" x14ac:dyDescent="0.25">
      <c r="A31" s="50">
        <v>1950702</v>
      </c>
      <c r="B31" s="50" t="s">
        <v>51</v>
      </c>
      <c r="C31" s="265" t="s">
        <v>217</v>
      </c>
      <c r="D31" s="266" t="s">
        <v>218</v>
      </c>
      <c r="E31" s="267">
        <v>1</v>
      </c>
      <c r="F31" s="268" t="s">
        <v>54</v>
      </c>
      <c r="G31" s="269"/>
      <c r="H31" s="218"/>
      <c r="I31" s="219"/>
    </row>
    <row r="32" spans="1:9" ht="15" x14ac:dyDescent="0.25">
      <c r="A32" s="270">
        <v>702067</v>
      </c>
      <c r="B32" s="270" t="s">
        <v>55</v>
      </c>
      <c r="C32" s="271" t="s">
        <v>219</v>
      </c>
      <c r="D32" s="266" t="s">
        <v>102</v>
      </c>
      <c r="E32" s="267">
        <v>1</v>
      </c>
      <c r="F32" s="268" t="s">
        <v>54</v>
      </c>
      <c r="G32" s="269"/>
      <c r="H32" s="218"/>
      <c r="I32" s="219"/>
    </row>
    <row r="33" spans="1:9" ht="15" x14ac:dyDescent="0.25">
      <c r="A33" s="49"/>
      <c r="B33" s="49"/>
      <c r="C33" s="55"/>
      <c r="D33" s="65"/>
      <c r="E33" s="64"/>
      <c r="F33" s="62"/>
      <c r="G33" s="269"/>
      <c r="H33" s="218"/>
      <c r="I33" s="219"/>
    </row>
    <row r="34" spans="1:9" ht="15" x14ac:dyDescent="0.25">
      <c r="A34" s="272"/>
      <c r="B34" s="272"/>
      <c r="C34" s="273"/>
      <c r="D34" s="266"/>
      <c r="E34" s="267"/>
      <c r="F34" s="268"/>
      <c r="G34" s="217"/>
      <c r="H34" s="218"/>
      <c r="I34" s="219"/>
    </row>
    <row r="35" spans="1:9" ht="15" x14ac:dyDescent="0.25">
      <c r="A35" s="272"/>
      <c r="B35" s="272"/>
      <c r="C35" s="273"/>
      <c r="D35" s="266"/>
      <c r="E35" s="267"/>
      <c r="F35" s="268"/>
      <c r="G35" s="217"/>
      <c r="H35" s="218"/>
      <c r="I35" s="219"/>
    </row>
    <row r="36" spans="1:9" ht="15" x14ac:dyDescent="0.25">
      <c r="A36" s="272"/>
      <c r="B36" s="272"/>
      <c r="C36" s="273"/>
      <c r="D36" s="266"/>
      <c r="E36" s="267"/>
      <c r="F36" s="268"/>
      <c r="G36" s="274"/>
      <c r="H36" s="218"/>
      <c r="I36" s="219"/>
    </row>
    <row r="37" spans="1:9" ht="15.75" x14ac:dyDescent="0.25">
      <c r="A37" s="272"/>
      <c r="B37" s="272"/>
      <c r="C37" s="273"/>
      <c r="D37" s="236"/>
      <c r="E37" s="267"/>
      <c r="F37" s="268"/>
      <c r="G37" s="26"/>
      <c r="H37" s="218"/>
      <c r="I37" s="219"/>
    </row>
    <row r="38" spans="1:9" ht="15" x14ac:dyDescent="0.25">
      <c r="A38" s="275"/>
      <c r="B38" s="275"/>
      <c r="C38" s="276"/>
      <c r="D38" s="266"/>
      <c r="E38" s="63"/>
      <c r="F38" s="63"/>
      <c r="G38" s="26"/>
      <c r="H38" s="218"/>
      <c r="I38" s="219"/>
    </row>
    <row r="39" spans="1:9" ht="15" x14ac:dyDescent="0.25">
      <c r="A39" s="50"/>
      <c r="B39" s="49"/>
      <c r="C39" s="265"/>
      <c r="D39" s="65"/>
      <c r="E39" s="64"/>
      <c r="F39" s="62"/>
      <c r="G39" s="26"/>
      <c r="H39" s="218"/>
      <c r="I39" s="219"/>
    </row>
    <row r="40" spans="1:9" ht="15.75" x14ac:dyDescent="0.25">
      <c r="A40" s="272"/>
      <c r="B40" s="272"/>
      <c r="C40" s="273"/>
      <c r="D40" s="266"/>
      <c r="E40" s="64"/>
      <c r="F40" s="62"/>
      <c r="G40" s="277"/>
      <c r="H40" s="218"/>
      <c r="I40" s="219"/>
    </row>
    <row r="41" spans="1:9" ht="15.75" x14ac:dyDescent="0.25">
      <c r="A41" s="242"/>
      <c r="B41" s="243"/>
      <c r="C41" s="27"/>
      <c r="D41" s="239"/>
      <c r="E41" s="239"/>
      <c r="F41" s="25"/>
      <c r="G41" s="278"/>
      <c r="H41" s="278"/>
      <c r="I41" s="219"/>
    </row>
    <row r="42" spans="1:9" ht="14.25" thickBot="1" x14ac:dyDescent="0.3">
      <c r="A42" s="279"/>
      <c r="B42" s="280"/>
      <c r="C42" s="71"/>
      <c r="D42" s="71"/>
      <c r="E42" s="281"/>
      <c r="F42" s="282"/>
      <c r="G42" s="71"/>
      <c r="H42" s="71"/>
      <c r="I42" s="283"/>
    </row>
    <row r="43" spans="1:9" ht="14.25" thickBot="1" x14ac:dyDescent="0.3">
      <c r="A43" s="74"/>
      <c r="B43" s="75"/>
      <c r="C43" s="76"/>
      <c r="D43" s="77" t="s">
        <v>11</v>
      </c>
      <c r="E43" s="78" t="s">
        <v>10</v>
      </c>
      <c r="F43" s="79"/>
      <c r="G43" s="76"/>
      <c r="H43" s="76"/>
      <c r="I43" s="80"/>
    </row>
    <row r="44" spans="1:9" ht="13.5" x14ac:dyDescent="0.25">
      <c r="A44" s="676" t="s">
        <v>9</v>
      </c>
      <c r="B44" s="677"/>
      <c r="C44" s="678"/>
      <c r="D44" s="259">
        <v>1000</v>
      </c>
      <c r="E44" s="284" t="s">
        <v>2</v>
      </c>
      <c r="F44" s="679" t="s">
        <v>96</v>
      </c>
      <c r="G44" s="679"/>
      <c r="H44" s="680"/>
      <c r="I44" s="681"/>
    </row>
    <row r="45" spans="1:9" ht="13.5" x14ac:dyDescent="0.25">
      <c r="A45" s="661" t="s">
        <v>8</v>
      </c>
      <c r="B45" s="662"/>
      <c r="C45" s="663"/>
      <c r="D45" s="64">
        <v>6</v>
      </c>
      <c r="E45" s="62" t="s">
        <v>7</v>
      </c>
      <c r="F45" s="664" t="s">
        <v>97</v>
      </c>
      <c r="G45" s="664"/>
      <c r="H45" s="665"/>
      <c r="I45" s="666"/>
    </row>
    <row r="46" spans="1:9" ht="13.5" x14ac:dyDescent="0.25">
      <c r="A46" s="661" t="s">
        <v>6</v>
      </c>
      <c r="B46" s="662"/>
      <c r="C46" s="663"/>
      <c r="D46" s="64">
        <v>1</v>
      </c>
      <c r="E46" s="62" t="s">
        <v>5</v>
      </c>
      <c r="F46" s="664" t="s">
        <v>98</v>
      </c>
      <c r="G46" s="664"/>
      <c r="H46" s="665"/>
      <c r="I46" s="666"/>
    </row>
    <row r="47" spans="1:9" ht="13.5" x14ac:dyDescent="0.25">
      <c r="A47" s="661" t="s">
        <v>4</v>
      </c>
      <c r="B47" s="662"/>
      <c r="C47" s="663"/>
      <c r="D47" s="64">
        <v>1000</v>
      </c>
      <c r="E47" s="62" t="s">
        <v>2</v>
      </c>
      <c r="F47" s="667" t="s">
        <v>220</v>
      </c>
      <c r="G47" s="668"/>
      <c r="H47" s="776"/>
      <c r="I47" s="777"/>
    </row>
    <row r="48" spans="1:9" ht="14.25" thickBot="1" x14ac:dyDescent="0.3">
      <c r="A48" s="669" t="s">
        <v>3</v>
      </c>
      <c r="B48" s="670"/>
      <c r="C48" s="671"/>
      <c r="D48" s="285">
        <v>100</v>
      </c>
      <c r="E48" s="286" t="s">
        <v>2</v>
      </c>
      <c r="F48" s="672"/>
      <c r="G48" s="672"/>
      <c r="H48" s="665"/>
      <c r="I48" s="666"/>
    </row>
    <row r="49" spans="1:9" ht="13.5" thickBot="1" x14ac:dyDescent="0.25">
      <c r="A49" s="673" t="s">
        <v>1</v>
      </c>
      <c r="B49" s="674"/>
      <c r="C49" s="674"/>
      <c r="D49" s="674"/>
      <c r="E49" s="674"/>
      <c r="F49" s="674"/>
      <c r="G49" s="674"/>
      <c r="H49" s="674"/>
      <c r="I49" s="675"/>
    </row>
    <row r="50" spans="1:9" ht="18.600000000000001" customHeight="1" x14ac:dyDescent="0.25">
      <c r="A50" s="845" t="s">
        <v>221</v>
      </c>
      <c r="B50" s="846"/>
      <c r="C50" s="847"/>
      <c r="D50" s="847"/>
      <c r="E50" s="847"/>
      <c r="F50" s="847"/>
      <c r="G50" s="847"/>
      <c r="H50" s="847"/>
      <c r="I50" s="848"/>
    </row>
    <row r="51" spans="1:9" ht="15.6" customHeight="1" x14ac:dyDescent="0.25">
      <c r="A51" s="838" t="s">
        <v>222</v>
      </c>
      <c r="B51" s="794"/>
      <c r="C51" s="794"/>
      <c r="D51" s="794"/>
      <c r="E51" s="794"/>
      <c r="F51" s="794"/>
      <c r="G51" s="794"/>
      <c r="H51" s="794"/>
      <c r="I51" s="795"/>
    </row>
    <row r="52" spans="1:9" ht="14.45" customHeight="1" x14ac:dyDescent="0.25">
      <c r="A52" s="739" t="s">
        <v>223</v>
      </c>
      <c r="B52" s="740"/>
      <c r="C52" s="741"/>
      <c r="D52" s="741"/>
      <c r="E52" s="741"/>
      <c r="F52" s="741"/>
      <c r="G52" s="741"/>
      <c r="H52" s="741"/>
      <c r="I52" s="742"/>
    </row>
    <row r="53" spans="1:9" ht="14.45" customHeight="1" x14ac:dyDescent="0.3">
      <c r="A53" s="842" t="s">
        <v>224</v>
      </c>
      <c r="B53" s="843"/>
      <c r="C53" s="843"/>
      <c r="D53" s="843"/>
      <c r="E53" s="843"/>
      <c r="F53" s="843"/>
      <c r="G53" s="843"/>
      <c r="H53" s="843"/>
      <c r="I53" s="844"/>
    </row>
    <row r="54" spans="1:9" ht="14.45" customHeight="1" x14ac:dyDescent="0.25">
      <c r="A54" s="823"/>
      <c r="B54" s="824"/>
      <c r="C54" s="825"/>
      <c r="D54" s="825"/>
      <c r="E54" s="825"/>
      <c r="F54" s="825"/>
      <c r="G54" s="825"/>
      <c r="H54" s="825"/>
      <c r="I54" s="826"/>
    </row>
    <row r="55" spans="1:9" ht="18" customHeight="1" x14ac:dyDescent="0.25">
      <c r="A55" s="852"/>
      <c r="B55" s="812"/>
      <c r="C55" s="812"/>
      <c r="D55" s="812"/>
      <c r="E55" s="812"/>
      <c r="F55" s="812"/>
      <c r="G55" s="812"/>
      <c r="H55" s="812"/>
      <c r="I55" s="853"/>
    </row>
    <row r="56" spans="1:9" ht="15" x14ac:dyDescent="0.25">
      <c r="A56" s="736"/>
      <c r="B56" s="737"/>
      <c r="C56" s="737"/>
      <c r="D56" s="737"/>
      <c r="E56" s="737"/>
      <c r="F56" s="737"/>
      <c r="G56" s="737"/>
      <c r="H56" s="737"/>
      <c r="I56" s="738"/>
    </row>
    <row r="57" spans="1:9" ht="15" thickBot="1" x14ac:dyDescent="0.25">
      <c r="A57" s="778"/>
      <c r="B57" s="779"/>
      <c r="C57" s="779"/>
      <c r="D57" s="779"/>
      <c r="E57" s="779"/>
      <c r="F57" s="779"/>
      <c r="G57" s="779"/>
      <c r="H57" s="779"/>
      <c r="I57" s="780"/>
    </row>
    <row r="58" spans="1:9" x14ac:dyDescent="0.2">
      <c r="A58" s="781" t="s">
        <v>0</v>
      </c>
      <c r="B58" s="782"/>
      <c r="C58" s="782"/>
      <c r="D58" s="782"/>
      <c r="E58" s="782"/>
      <c r="F58" s="782"/>
      <c r="G58" s="782"/>
      <c r="H58" s="782"/>
      <c r="I58" s="782"/>
    </row>
    <row r="59" spans="1:9" ht="13.5" x14ac:dyDescent="0.25">
      <c r="A59" s="783"/>
      <c r="B59" s="784"/>
      <c r="C59" s="784"/>
      <c r="D59" s="784"/>
      <c r="E59" s="784"/>
      <c r="F59" s="784"/>
      <c r="G59" s="784"/>
      <c r="H59" s="784"/>
      <c r="I59" s="784"/>
    </row>
    <row r="60" spans="1:9" ht="13.5" x14ac:dyDescent="0.25">
      <c r="A60" s="783"/>
      <c r="B60" s="784"/>
      <c r="C60" s="784"/>
      <c r="D60" s="784"/>
      <c r="E60" s="784"/>
      <c r="F60" s="784"/>
      <c r="G60" s="784"/>
      <c r="H60" s="784"/>
      <c r="I60" s="784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EFC4F26-CA6D-43F7-B045-91D92041D636}"/>
</file>

<file path=customXml/itemProps2.xml><?xml version="1.0" encoding="utf-8"?>
<ds:datastoreItem xmlns:ds="http://schemas.openxmlformats.org/officeDocument/2006/customXml" ds:itemID="{984C3E54-CDF2-48BB-A30E-CBCE7A207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CC379A-515C-4EB4-99A7-9F053405EA62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7b4e74ba-38a7-42d4-a9ca-1da0fc041db0"/>
    <ds:schemaRef ds:uri="eae225b5-53a6-4b69-be5f-a92fedf9fd9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2</vt:i4>
      </vt:variant>
    </vt:vector>
  </HeadingPairs>
  <TitlesOfParts>
    <vt:vector size="21" baseType="lpstr">
      <vt:lpstr>Ensamble Torta  Locales</vt:lpstr>
      <vt:lpstr>Ensamble 2 Locales</vt:lpstr>
      <vt:lpstr>Costo Ensamble Netsuite</vt:lpstr>
      <vt:lpstr>Ensamble Torta Industria</vt:lpstr>
      <vt:lpstr>Ensamble Industria 2</vt:lpstr>
      <vt:lpstr>Ensamble Industria 3</vt:lpstr>
      <vt:lpstr>Crema Beidge</vt:lpstr>
      <vt:lpstr>Crema blanca supremo</vt:lpstr>
      <vt:lpstr>Mezcla sirope y majar </vt:lpstr>
      <vt:lpstr>Costo Ensamble Industria </vt:lpstr>
      <vt:lpstr>Salsa de Ron </vt:lpstr>
      <vt:lpstr>Hoja7</vt:lpstr>
      <vt:lpstr>Almibar de Whisky</vt:lpstr>
      <vt:lpstr>Almibar</vt:lpstr>
      <vt:lpstr>Rosquete Vanilla Dawn 360 g</vt:lpstr>
      <vt:lpstr>Batido Nucleo Vainilla Dawn</vt:lpstr>
      <vt:lpstr>Premezcla Batido Vainilla Dawn</vt:lpstr>
      <vt:lpstr>Caramelo con chocolate blanco</vt:lpstr>
      <vt:lpstr>Caramelo Crocante </vt:lpstr>
      <vt:lpstr>'Caramelo con chocolate blanco'!Área_de_impresión</vt:lpstr>
      <vt:lpstr>'Salsa de Ron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2026-04-29T16:32:10Z</cp:lastPrinted>
  <dcterms:created xsi:type="dcterms:W3CDTF">2021-01-11T20:23:35Z</dcterms:created>
  <dcterms:modified xsi:type="dcterms:W3CDTF">2026-04-29T17:14:01Z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100400</vt:r8>
  </property>
  <property fmtid="{D5CDD505-2E9C-101B-9397-08002B2CF9AE}" pid="4" name="MediaServiceImageTags">
    <vt:lpwstr/>
  </property>
</Properties>
</file>
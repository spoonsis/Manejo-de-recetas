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8F7DCD80-DE8B-452E-BA0C-E429DF8EFE7F}" xr6:coauthVersionLast="47" xr6:coauthVersionMax="47" xr10:uidLastSave="{14CDEF6F-6D23-4416-8236-82A290ECFFB0}"/>
  <bookViews>
    <workbookView xWindow="20370" yWindow="-120" windowWidth="24240" windowHeight="13020" firstSheet="1" activeTab="1" xr2:uid="{86A95AF8-34C1-4DB7-AE30-E3F9DEB6557E}"/>
  </bookViews>
  <sheets>
    <sheet name="Costo Empaque " sheetId="19" state="hidden" r:id="rId1"/>
    <sheet name="Relleno Salsa mora " sheetId="17" r:id="rId2"/>
    <sheet name="Costo Relleno Salsa mora " sheetId="18" state="hidden" r:id="rId3"/>
  </sheets>
  <externalReferences>
    <externalReference r:id="rId4"/>
    <externalReference r:id="rId5"/>
  </externalReferences>
  <definedNames>
    <definedName name="_xlnm.Print_Area" localSheetId="1">'Relleno Salsa mora '!$A$1:$I$36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7" l="1"/>
  <c r="J25" i="17"/>
  <c r="J23" i="17"/>
  <c r="C29" i="19"/>
  <c r="F29" i="19" s="1"/>
  <c r="F28" i="19"/>
  <c r="C28" i="19"/>
  <c r="C27" i="19"/>
  <c r="F27" i="19" s="1"/>
  <c r="B12" i="18"/>
  <c r="D81" i="19"/>
  <c r="D73" i="19"/>
  <c r="C73" i="19"/>
  <c r="C85" i="19" s="1"/>
  <c r="D71" i="19"/>
  <c r="D69" i="19"/>
  <c r="F65" i="19"/>
  <c r="D60" i="19"/>
  <c r="D83" i="19" s="1"/>
  <c r="E51" i="19"/>
  <c r="F51" i="19" s="1"/>
  <c r="C51" i="19"/>
  <c r="E50" i="19"/>
  <c r="D50" i="19"/>
  <c r="B50" i="19"/>
  <c r="E49" i="19"/>
  <c r="D49" i="19"/>
  <c r="B49" i="19"/>
  <c r="E48" i="19"/>
  <c r="D48" i="19"/>
  <c r="B48" i="19"/>
  <c r="E47" i="19"/>
  <c r="D47" i="19"/>
  <c r="B47" i="19"/>
  <c r="A47" i="19"/>
  <c r="C47" i="19" s="1"/>
  <c r="E46" i="19"/>
  <c r="D46" i="19"/>
  <c r="B46" i="19"/>
  <c r="A46" i="19"/>
  <c r="C46" i="19" s="1"/>
  <c r="E45" i="19"/>
  <c r="D45" i="19"/>
  <c r="B45" i="19"/>
  <c r="E41" i="19"/>
  <c r="D41" i="19"/>
  <c r="B41" i="19"/>
  <c r="A41" i="19"/>
  <c r="C41" i="19" s="1"/>
  <c r="E40" i="19"/>
  <c r="D40" i="19"/>
  <c r="B40" i="19"/>
  <c r="A40" i="19"/>
  <c r="A49" i="19" s="1"/>
  <c r="C49" i="19" s="1"/>
  <c r="E39" i="19"/>
  <c r="D39" i="19"/>
  <c r="B39" i="19"/>
  <c r="A39" i="19"/>
  <c r="C39" i="19" s="1"/>
  <c r="E38" i="19"/>
  <c r="D38" i="19"/>
  <c r="B38" i="19"/>
  <c r="A38" i="19"/>
  <c r="C38" i="19" s="1"/>
  <c r="E37" i="19"/>
  <c r="D37" i="19"/>
  <c r="B37" i="19"/>
  <c r="A37" i="19"/>
  <c r="C37" i="19" s="1"/>
  <c r="E36" i="19"/>
  <c r="D36" i="19"/>
  <c r="B36" i="19"/>
  <c r="A36" i="19"/>
  <c r="C36" i="19" s="1"/>
  <c r="A35" i="19"/>
  <c r="C35" i="19" s="1"/>
  <c r="E32" i="19"/>
  <c r="F32" i="19" s="1"/>
  <c r="D32" i="19"/>
  <c r="C32" i="19"/>
  <c r="B32" i="19"/>
  <c r="E31" i="19"/>
  <c r="D31" i="19"/>
  <c r="C31" i="19"/>
  <c r="B31" i="19"/>
  <c r="E30" i="19"/>
  <c r="D30" i="19"/>
  <c r="C30" i="19"/>
  <c r="B30" i="19"/>
  <c r="E24" i="19"/>
  <c r="F24" i="19" s="1"/>
  <c r="D24" i="19"/>
  <c r="C24" i="19"/>
  <c r="B24" i="19"/>
  <c r="E23" i="19"/>
  <c r="F23" i="19" s="1"/>
  <c r="D23" i="19"/>
  <c r="C23" i="19"/>
  <c r="B23" i="19"/>
  <c r="E22" i="19"/>
  <c r="F22" i="19" s="1"/>
  <c r="D22" i="19"/>
  <c r="C22" i="19"/>
  <c r="B22" i="19"/>
  <c r="E21" i="19"/>
  <c r="F21" i="19" s="1"/>
  <c r="D21" i="19"/>
  <c r="C21" i="19"/>
  <c r="B21" i="19"/>
  <c r="E20" i="19"/>
  <c r="F20" i="19" s="1"/>
  <c r="D20" i="19"/>
  <c r="C20" i="19"/>
  <c r="B20" i="19"/>
  <c r="E19" i="19"/>
  <c r="F19" i="19" s="1"/>
  <c r="D19" i="19"/>
  <c r="C19" i="19"/>
  <c r="B19" i="19"/>
  <c r="E18" i="19"/>
  <c r="F18" i="19" s="1"/>
  <c r="D18" i="19"/>
  <c r="C18" i="19"/>
  <c r="B18" i="19"/>
  <c r="C17" i="19"/>
  <c r="B15" i="19"/>
  <c r="E14" i="19"/>
  <c r="D14" i="19"/>
  <c r="C14" i="19"/>
  <c r="B14" i="19"/>
  <c r="E13" i="19"/>
  <c r="D13" i="19"/>
  <c r="C13" i="19"/>
  <c r="B13" i="19"/>
  <c r="E12" i="19"/>
  <c r="D12" i="19"/>
  <c r="C12" i="19"/>
  <c r="F12" i="19" s="1"/>
  <c r="B12" i="19"/>
  <c r="E11" i="19"/>
  <c r="D11" i="19"/>
  <c r="C11" i="19"/>
  <c r="B11" i="19"/>
  <c r="E10" i="19"/>
  <c r="D10" i="19"/>
  <c r="C10" i="19"/>
  <c r="B10" i="19"/>
  <c r="E9" i="19"/>
  <c r="D9" i="19"/>
  <c r="C9" i="19"/>
  <c r="B9" i="19"/>
  <c r="E8" i="19"/>
  <c r="D8" i="19"/>
  <c r="C8" i="19"/>
  <c r="B8" i="19"/>
  <c r="H6" i="19"/>
  <c r="D73" i="18"/>
  <c r="D74" i="18" s="1"/>
  <c r="D76" i="18" s="1"/>
  <c r="D71" i="18"/>
  <c r="D69" i="18"/>
  <c r="F65" i="18"/>
  <c r="E51" i="18" s="1"/>
  <c r="D60" i="18"/>
  <c r="D85" i="18" s="1"/>
  <c r="D86" i="18" s="1"/>
  <c r="C51" i="18"/>
  <c r="E50" i="18"/>
  <c r="F50" i="18" s="1"/>
  <c r="D50" i="18"/>
  <c r="B50" i="18"/>
  <c r="E49" i="18"/>
  <c r="D49" i="18"/>
  <c r="B49" i="18"/>
  <c r="E48" i="18"/>
  <c r="D48" i="18"/>
  <c r="B48" i="18"/>
  <c r="E47" i="18"/>
  <c r="D47" i="18"/>
  <c r="B47" i="18"/>
  <c r="E46" i="18"/>
  <c r="D46" i="18"/>
  <c r="B46" i="18"/>
  <c r="A46" i="18"/>
  <c r="C46" i="18" s="1"/>
  <c r="E45" i="18"/>
  <c r="D45" i="18"/>
  <c r="B45" i="18"/>
  <c r="E44" i="18"/>
  <c r="D44" i="18"/>
  <c r="B44" i="18"/>
  <c r="E41" i="18"/>
  <c r="D41" i="18"/>
  <c r="C41" i="18"/>
  <c r="B41" i="18"/>
  <c r="A41" i="18"/>
  <c r="A50" i="18" s="1"/>
  <c r="C50" i="18" s="1"/>
  <c r="E40" i="18"/>
  <c r="D40" i="18"/>
  <c r="B40" i="18"/>
  <c r="A40" i="18"/>
  <c r="C40" i="18" s="1"/>
  <c r="E39" i="18"/>
  <c r="D39" i="18"/>
  <c r="B39" i="18"/>
  <c r="A39" i="18"/>
  <c r="C39" i="18" s="1"/>
  <c r="E38" i="18"/>
  <c r="F38" i="18" s="1"/>
  <c r="D38" i="18"/>
  <c r="B38" i="18"/>
  <c r="A38" i="18"/>
  <c r="C38" i="18" s="1"/>
  <c r="E37" i="18"/>
  <c r="F37" i="18" s="1"/>
  <c r="D37" i="18"/>
  <c r="C37" i="18"/>
  <c r="B37" i="18"/>
  <c r="A37" i="18"/>
  <c r="E36" i="18"/>
  <c r="F36" i="18" s="1"/>
  <c r="D36" i="18"/>
  <c r="C36" i="18"/>
  <c r="B36" i="18"/>
  <c r="A36" i="18"/>
  <c r="A45" i="18" s="1"/>
  <c r="C45" i="18" s="1"/>
  <c r="E35" i="18"/>
  <c r="D35" i="18"/>
  <c r="B35" i="18"/>
  <c r="A35" i="18"/>
  <c r="C35" i="18" s="1"/>
  <c r="E32" i="18"/>
  <c r="F32" i="18" s="1"/>
  <c r="D32" i="18"/>
  <c r="C32" i="18"/>
  <c r="B32" i="18"/>
  <c r="E31" i="18"/>
  <c r="F31" i="18" s="1"/>
  <c r="D31" i="18"/>
  <c r="C31" i="18"/>
  <c r="B31" i="18"/>
  <c r="E30" i="18"/>
  <c r="F30" i="18" s="1"/>
  <c r="D30" i="18"/>
  <c r="C30" i="18"/>
  <c r="B30" i="18"/>
  <c r="E29" i="18"/>
  <c r="F29" i="18" s="1"/>
  <c r="D29" i="18"/>
  <c r="C29" i="18"/>
  <c r="B29" i="18"/>
  <c r="E28" i="18"/>
  <c r="F28" i="18" s="1"/>
  <c r="D28" i="18"/>
  <c r="C28" i="18"/>
  <c r="B28" i="18"/>
  <c r="E27" i="18"/>
  <c r="F27" i="18" s="1"/>
  <c r="D27" i="18"/>
  <c r="C27" i="18"/>
  <c r="B27" i="18"/>
  <c r="E24" i="18"/>
  <c r="F24" i="18" s="1"/>
  <c r="D24" i="18"/>
  <c r="C24" i="18"/>
  <c r="B24" i="18"/>
  <c r="E23" i="18"/>
  <c r="F23" i="18" s="1"/>
  <c r="D23" i="18"/>
  <c r="C23" i="18"/>
  <c r="B23" i="18"/>
  <c r="E22" i="18"/>
  <c r="F22" i="18" s="1"/>
  <c r="D22" i="18"/>
  <c r="C22" i="18"/>
  <c r="B22" i="18"/>
  <c r="E21" i="18"/>
  <c r="F21" i="18" s="1"/>
  <c r="D21" i="18"/>
  <c r="C21" i="18"/>
  <c r="B21" i="18"/>
  <c r="E20" i="18"/>
  <c r="F20" i="18" s="1"/>
  <c r="D20" i="18"/>
  <c r="C20" i="18"/>
  <c r="B20" i="18"/>
  <c r="E19" i="18"/>
  <c r="F19" i="18" s="1"/>
  <c r="D19" i="18"/>
  <c r="C19" i="18"/>
  <c r="B19" i="18"/>
  <c r="E18" i="18"/>
  <c r="F18" i="18" s="1"/>
  <c r="D18" i="18"/>
  <c r="C18" i="18"/>
  <c r="B18" i="18"/>
  <c r="E17" i="18"/>
  <c r="F17" i="18" s="1"/>
  <c r="D17" i="18"/>
  <c r="C17" i="18"/>
  <c r="B17" i="18"/>
  <c r="B15" i="18"/>
  <c r="E14" i="18"/>
  <c r="F14" i="18" s="1"/>
  <c r="D14" i="18"/>
  <c r="C14" i="18"/>
  <c r="B14" i="18"/>
  <c r="E13" i="18"/>
  <c r="D13" i="18"/>
  <c r="C13" i="18"/>
  <c r="B13" i="18"/>
  <c r="E12" i="18"/>
  <c r="F12" i="18" s="1"/>
  <c r="D12" i="18"/>
  <c r="C12" i="18"/>
  <c r="C11" i="18"/>
  <c r="F10" i="18"/>
  <c r="C10" i="18"/>
  <c r="C9" i="18"/>
  <c r="C8" i="18"/>
  <c r="H6" i="18"/>
  <c r="J15" i="17"/>
  <c r="E14" i="17"/>
  <c r="J14" i="17" s="1"/>
  <c r="E13" i="17"/>
  <c r="J13" i="17" s="1"/>
  <c r="E12" i="17"/>
  <c r="J12" i="17" s="1"/>
  <c r="E11" i="17"/>
  <c r="J11" i="17" s="1"/>
  <c r="K11" i="17" s="1"/>
  <c r="E10" i="17"/>
  <c r="F9" i="19" l="1"/>
  <c r="F14" i="19"/>
  <c r="F11" i="19"/>
  <c r="F8" i="19"/>
  <c r="F10" i="19"/>
  <c r="F13" i="19"/>
  <c r="F31" i="19"/>
  <c r="F39" i="18"/>
  <c r="F30" i="19"/>
  <c r="E73" i="19"/>
  <c r="D74" i="19"/>
  <c r="D76" i="19" s="1"/>
  <c r="D85" i="19"/>
  <c r="D86" i="19" s="1"/>
  <c r="F46" i="19"/>
  <c r="F49" i="19"/>
  <c r="F47" i="19"/>
  <c r="F38" i="19"/>
  <c r="F41" i="19"/>
  <c r="F37" i="19"/>
  <c r="F36" i="19"/>
  <c r="F39" i="19"/>
  <c r="A45" i="19"/>
  <c r="C45" i="19" s="1"/>
  <c r="F45" i="19" s="1"/>
  <c r="A50" i="19"/>
  <c r="C50" i="19" s="1"/>
  <c r="F50" i="19" s="1"/>
  <c r="C40" i="19"/>
  <c r="F40" i="19" s="1"/>
  <c r="A48" i="19"/>
  <c r="C48" i="19" s="1"/>
  <c r="F48" i="19" s="1"/>
  <c r="A44" i="19"/>
  <c r="C44" i="19" s="1"/>
  <c r="F51" i="18"/>
  <c r="C73" i="18"/>
  <c r="C85" i="18" s="1"/>
  <c r="E85" i="18"/>
  <c r="F46" i="18"/>
  <c r="F41" i="18"/>
  <c r="F11" i="18"/>
  <c r="F13" i="18"/>
  <c r="F8" i="18"/>
  <c r="F9" i="18"/>
  <c r="F35" i="18"/>
  <c r="F44" i="18"/>
  <c r="F45" i="18"/>
  <c r="F40" i="18"/>
  <c r="D81" i="18"/>
  <c r="A47" i="18"/>
  <c r="C47" i="18" s="1"/>
  <c r="F47" i="18" s="1"/>
  <c r="A49" i="18"/>
  <c r="C49" i="18" s="1"/>
  <c r="F49" i="18" s="1"/>
  <c r="D83" i="18"/>
  <c r="A44" i="18"/>
  <c r="C44" i="18" s="1"/>
  <c r="A48" i="18"/>
  <c r="C48" i="18" s="1"/>
  <c r="F48" i="18" s="1"/>
  <c r="J10" i="17"/>
  <c r="E85" i="19" l="1"/>
  <c r="E73" i="18"/>
  <c r="F53" i="18"/>
  <c r="H53" i="18" s="1"/>
  <c r="F2" i="18" s="1"/>
  <c r="F56" i="18"/>
  <c r="F54" i="18"/>
  <c r="F64" i="18" l="1"/>
  <c r="F55" i="18"/>
  <c r="H55" i="18" s="1"/>
  <c r="C69" i="18"/>
  <c r="E69" i="18" s="1"/>
  <c r="H56" i="18"/>
  <c r="C74" i="18"/>
  <c r="C76" i="18"/>
  <c r="E76" i="18" s="1"/>
  <c r="H54" i="18"/>
  <c r="G2" i="18" s="1"/>
  <c r="E35" i="19" l="1"/>
  <c r="F35" i="19" s="1"/>
  <c r="F54" i="19" s="1"/>
  <c r="E17" i="19"/>
  <c r="F17" i="19" s="1"/>
  <c r="F53" i="19" s="1"/>
  <c r="C81" i="18"/>
  <c r="E81" i="18" s="1"/>
  <c r="F63" i="18"/>
  <c r="E63" i="18" s="1"/>
  <c r="O54" i="18"/>
  <c r="C86" i="18"/>
  <c r="E86" i="18" s="1"/>
  <c r="E74" i="18"/>
  <c r="E78" i="18" s="1"/>
  <c r="O55" i="18"/>
  <c r="H58" i="18"/>
  <c r="H59" i="18" s="1"/>
  <c r="O58" i="18" s="1"/>
  <c r="H2" i="18"/>
  <c r="E44" i="19" l="1"/>
  <c r="F44" i="19" s="1"/>
  <c r="F56" i="19" s="1"/>
  <c r="F64" i="19"/>
  <c r="C69" i="19"/>
  <c r="F55" i="19"/>
  <c r="H53" i="19"/>
  <c r="F2" i="19" s="1"/>
  <c r="C76" i="19"/>
  <c r="E76" i="19" s="1"/>
  <c r="H54" i="19"/>
  <c r="G2" i="19" s="1"/>
  <c r="F66" i="18"/>
  <c r="G63" i="18" s="1"/>
  <c r="O56" i="18"/>
  <c r="O57" i="18" s="1"/>
  <c r="O59" i="18" s="1"/>
  <c r="O60" i="18" s="1"/>
  <c r="C71" i="18"/>
  <c r="C83" i="18" s="1"/>
  <c r="E83" i="18" s="1"/>
  <c r="G44" i="18" l="1"/>
  <c r="G48" i="18"/>
  <c r="H55" i="19"/>
  <c r="F63" i="19"/>
  <c r="O54" i="19"/>
  <c r="C81" i="19"/>
  <c r="E81" i="19" s="1"/>
  <c r="E69" i="19"/>
  <c r="H56" i="19"/>
  <c r="C74" i="19"/>
  <c r="G35" i="18"/>
  <c r="G53" i="18"/>
  <c r="G10" i="18"/>
  <c r="G12" i="18"/>
  <c r="G19" i="18"/>
  <c r="G36" i="18"/>
  <c r="G55" i="18"/>
  <c r="G38" i="18"/>
  <c r="G17" i="18"/>
  <c r="G54" i="18"/>
  <c r="G46" i="18"/>
  <c r="G45" i="18"/>
  <c r="O61" i="18"/>
  <c r="O62" i="18" s="1"/>
  <c r="P62" i="18" s="1"/>
  <c r="G8" i="18"/>
  <c r="G31" i="18"/>
  <c r="G29" i="18"/>
  <c r="G28" i="18"/>
  <c r="G64" i="18"/>
  <c r="G21" i="18"/>
  <c r="G30" i="18"/>
  <c r="G47" i="18"/>
  <c r="G50" i="18"/>
  <c r="G13" i="18"/>
  <c r="G41" i="18"/>
  <c r="G40" i="18"/>
  <c r="G65" i="18"/>
  <c r="G22" i="18"/>
  <c r="G49" i="18"/>
  <c r="G18" i="18"/>
  <c r="G39" i="18"/>
  <c r="G56" i="18"/>
  <c r="G24" i="18"/>
  <c r="G14" i="18"/>
  <c r="G23" i="18"/>
  <c r="E71" i="18"/>
  <c r="G20" i="18"/>
  <c r="G51" i="18"/>
  <c r="G11" i="18"/>
  <c r="G27" i="18"/>
  <c r="G9" i="18"/>
  <c r="G32" i="18"/>
  <c r="G37" i="18"/>
  <c r="G66" i="18"/>
  <c r="H2" i="19" l="1"/>
  <c r="H58" i="19"/>
  <c r="H59" i="19" s="1"/>
  <c r="O58" i="19" s="1"/>
  <c r="O55" i="19"/>
  <c r="O56" i="19"/>
  <c r="E63" i="19"/>
  <c r="F66" i="19"/>
  <c r="G63" i="19" s="1"/>
  <c r="C71" i="19"/>
  <c r="E74" i="19"/>
  <c r="E78" i="19" s="1"/>
  <c r="C86" i="19"/>
  <c r="E86" i="19" s="1"/>
  <c r="E2" i="18"/>
  <c r="O57" i="19" l="1"/>
  <c r="O59" i="19" s="1"/>
  <c r="O60" i="19" s="1"/>
  <c r="O61" i="19" s="1"/>
  <c r="O62" i="19" s="1"/>
  <c r="E2" i="19" s="1"/>
  <c r="C83" i="19"/>
  <c r="E83" i="19" s="1"/>
  <c r="E71" i="19"/>
  <c r="G40" i="19"/>
  <c r="G39" i="19"/>
  <c r="G49" i="19"/>
  <c r="G48" i="19"/>
  <c r="G31" i="19"/>
  <c r="G24" i="19"/>
  <c r="G44" i="19"/>
  <c r="G17" i="19"/>
  <c r="G51" i="19"/>
  <c r="G50" i="19"/>
  <c r="G12" i="19"/>
  <c r="G46" i="19"/>
  <c r="G32" i="19"/>
  <c r="G47" i="19"/>
  <c r="G53" i="19"/>
  <c r="G41" i="19"/>
  <c r="G10" i="19"/>
  <c r="G8" i="19"/>
  <c r="G54" i="19"/>
  <c r="G11" i="19"/>
  <c r="G23" i="19"/>
  <c r="G21" i="19"/>
  <c r="G56" i="19"/>
  <c r="G27" i="19"/>
  <c r="G9" i="19"/>
  <c r="G19" i="19"/>
  <c r="G22" i="19"/>
  <c r="G28" i="19"/>
  <c r="G36" i="19"/>
  <c r="G38" i="19"/>
  <c r="G35" i="19"/>
  <c r="G64" i="19"/>
  <c r="G29" i="19"/>
  <c r="G13" i="19"/>
  <c r="G45" i="19"/>
  <c r="G30" i="19"/>
  <c r="G66" i="19"/>
  <c r="G37" i="19"/>
  <c r="G14" i="19"/>
  <c r="G65" i="19"/>
  <c r="G18" i="19"/>
  <c r="G20" i="19"/>
  <c r="G55" i="19"/>
  <c r="P62" i="19" l="1"/>
</calcChain>
</file>

<file path=xl/sharedStrings.xml><?xml version="1.0" encoding="utf-8"?>
<sst xmlns="http://schemas.openxmlformats.org/spreadsheetml/2006/main" count="276" uniqueCount="122">
  <si>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</si>
  <si>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</si>
  <si>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</si>
  <si>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</si>
  <si>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</si>
  <si>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</si>
  <si>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</si>
  <si>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</si>
  <si>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</si>
  <si>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</si>
  <si>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</si>
  <si>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</si>
  <si>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</si>
  <si>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</si>
  <si>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</si>
  <si>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</si>
  <si>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</si>
  <si>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</si>
  <si>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</si>
  <si>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</si>
  <si>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</si>
  <si>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</si>
  <si>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</si>
  <si>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</si>
  <si>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</si>
  <si>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</si>
  <si>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</si>
  <si>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</si>
  <si>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</si>
  <si>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</si>
  <si>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</si>
  <si>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</si>
  <si>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CONTROL DE CAMBIOS</t>
  </si>
  <si>
    <t>FAS</t>
  </si>
  <si>
    <t>Mariela Barrantes Sánchez, Chef</t>
  </si>
  <si>
    <t>Ensamble</t>
  </si>
  <si>
    <t>Tanda</t>
  </si>
  <si>
    <t>MAYCA</t>
  </si>
  <si>
    <t>Sebastian Diaz, Gte Manufactura</t>
  </si>
  <si>
    <t>Cocina</t>
  </si>
  <si>
    <t xml:space="preserve">Relleno Salsa de Mora </t>
  </si>
  <si>
    <t>EM10037</t>
  </si>
  <si>
    <t>Bolsa 8X12 Transparente</t>
  </si>
  <si>
    <t>EM10002</t>
  </si>
  <si>
    <t>ETIQ.BLANCA 1 1/4 * 3/4 (UND)</t>
  </si>
  <si>
    <t>EM10004</t>
  </si>
  <si>
    <t>ETIQ.FECHA VENCIMIENTO BLANCO (ROLLO)</t>
  </si>
  <si>
    <t>MP10074</t>
  </si>
  <si>
    <t>Azucar Blanco Industrial</t>
  </si>
  <si>
    <t>LAYCA</t>
  </si>
  <si>
    <t>MP10419</t>
  </si>
  <si>
    <t>Mora Congelada</t>
  </si>
  <si>
    <t>MP10026</t>
  </si>
  <si>
    <t>Almidon Modificado</t>
  </si>
  <si>
    <t>ASEAL</t>
  </si>
  <si>
    <t>Agua</t>
  </si>
  <si>
    <t xml:space="preserve">Agua </t>
  </si>
  <si>
    <t xml:space="preserve">Para almidon </t>
  </si>
  <si>
    <t>MP10025</t>
  </si>
  <si>
    <t>PRESERVANTE 1017S (PAQ=5 KILO)</t>
  </si>
  <si>
    <t xml:space="preserve">DECORACIÓN </t>
  </si>
  <si>
    <t>EMPAQUE</t>
  </si>
  <si>
    <t>1, Colocar en una olla todos los ingredientes, excepto el almidon.</t>
  </si>
  <si>
    <t xml:space="preserve">2, Cuando todo este disuelto y empieze a hervir, agregar el almidon y dejar que espese sin dejar de mover. </t>
  </si>
  <si>
    <t xml:space="preserve">3, Dejar enfria y guardar.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</si>
  <si>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</si>
  <si>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</si>
  <si>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</si>
  <si>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</si>
  <si>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</si>
  <si>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</si>
  <si>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</si>
  <si>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</si>
  <si>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</si>
  <si>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</si>
  <si>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</si>
  <si>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</si>
  <si>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</si>
  <si>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</si>
  <si>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</si>
  <si>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</si>
  <si>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</si>
  <si>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</si>
  <si>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</si>
  <si>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</si>
  <si>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</si>
  <si>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</si>
  <si>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</si>
  <si>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</si>
  <si>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</si>
  <si>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</si>
  <si>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</si>
  <si>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</si>
  <si>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</si>
  <si>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</si>
  <si>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</si>
  <si>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</si>
  <si>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</si>
  <si>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</si>
  <si>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</si>
  <si>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</si>
  <si>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</si>
  <si>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</si>
  <si>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</si>
  <si>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</si>
  <si>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</si>
  <si>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</si>
  <si>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</si>
  <si>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</si>
  <si>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</si>
  <si>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</si>
  <si>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</si>
  <si>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</si>
  <si>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</si>
  <si>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</si>
  <si>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</si>
  <si>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</si>
  <si>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UND</t>
  </si>
  <si>
    <t>SE00783 RELLENO DE SALSA DE MORA</t>
  </si>
  <si>
    <t>ESP-RE-COCS-131</t>
  </si>
  <si>
    <t>2, Se actualiza rendimeinto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</si>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</sst>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</numFmts>
  <fonts count="4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sz val="10"/>
      <name val="Times New Roman"/>
      <family val="1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8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271">
    <xf numFmtId="0" fontId="0" fillId="0" borderId="0" xfId="0"/>
    <xf numFmtId="0" fontId="5" fillId="3" borderId="17" xfId="2" applyFont="1" applyFill="1" applyBorder="1" applyAlignment="1">
      <alignment horizontal="right"/>
    </xf>
    <xf numFmtId="0" fontId="7" fillId="3" borderId="16" xfId="2" applyFont="1" applyFill="1" applyBorder="1" applyAlignment="1">
      <alignment horizontal="center"/>
    </xf>
    <xf numFmtId="0" fontId="5" fillId="3" borderId="14" xfId="2" applyFont="1" applyFill="1" applyBorder="1" applyAlignment="1">
      <alignment horizontal="right"/>
    </xf>
    <xf numFmtId="49" fontId="7" fillId="3" borderId="13" xfId="2" applyNumberFormat="1" applyFont="1" applyFill="1" applyBorder="1" applyAlignment="1">
      <alignment horizontal="center"/>
    </xf>
    <xf numFmtId="0" fontId="7" fillId="3" borderId="11" xfId="2" applyFont="1" applyFill="1" applyBorder="1" applyAlignment="1">
      <alignment horizontal="right"/>
    </xf>
    <xf numFmtId="0" fontId="7" fillId="3" borderId="14" xfId="2" applyFont="1" applyFill="1" applyBorder="1" applyAlignment="1">
      <alignment horizontal="right"/>
    </xf>
    <xf numFmtId="14" fontId="9" fillId="3" borderId="0" xfId="2" applyNumberFormat="1" applyFont="1" applyFill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/>
    </xf>
    <xf numFmtId="1" fontId="5" fillId="2" borderId="2" xfId="1" applyNumberFormat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0" fontId="6" fillId="4" borderId="0" xfId="0" applyFont="1" applyFill="1" applyAlignment="1">
      <alignment vertical="center"/>
    </xf>
    <xf numFmtId="0" fontId="10" fillId="7" borderId="14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3" fontId="10" fillId="0" borderId="14" xfId="10" applyFont="1" applyFill="1" applyBorder="1" applyAlignment="1">
      <alignment horizontal="center" vertical="center"/>
    </xf>
    <xf numFmtId="43" fontId="10" fillId="0" borderId="0" xfId="10" applyFont="1" applyFill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0" fontId="10" fillId="8" borderId="45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 wrapText="1"/>
    </xf>
    <xf numFmtId="0" fontId="10" fillId="8" borderId="4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11" applyNumberFormat="1" applyFont="1" applyFill="1" applyAlignment="1">
      <alignment horizontal="center" vertical="center"/>
    </xf>
    <xf numFmtId="4" fontId="10" fillId="0" borderId="0" xfId="11" applyNumberFormat="1" applyFont="1" applyFill="1" applyAlignment="1">
      <alignment horizontal="center" vertical="center"/>
    </xf>
    <xf numFmtId="10" fontId="10" fillId="0" borderId="0" xfId="7" applyNumberFormat="1" applyFont="1" applyFill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1" fillId="0" borderId="0" xfId="7" applyNumberFormat="1" applyFont="1" applyFill="1" applyAlignment="1">
      <alignment vertical="center"/>
    </xf>
    <xf numFmtId="0" fontId="6" fillId="0" borderId="0" xfId="0" applyFont="1"/>
    <xf numFmtId="49" fontId="10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10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10" applyNumberFormat="1" applyFont="1" applyFill="1" applyAlignment="1">
      <alignment vertical="center"/>
    </xf>
    <xf numFmtId="43" fontId="18" fillId="0" borderId="0" xfId="10" applyFont="1" applyFill="1" applyAlignment="1">
      <alignment horizontal="center" vertical="center"/>
    </xf>
    <xf numFmtId="10" fontId="11" fillId="8" borderId="48" xfId="7" applyNumberFormat="1" applyFont="1" applyFill="1" applyBorder="1" applyAlignment="1">
      <alignment vertical="center"/>
    </xf>
    <xf numFmtId="0" fontId="6" fillId="8" borderId="35" xfId="0" applyFont="1" applyFill="1" applyBorder="1" applyAlignment="1">
      <alignment vertical="center"/>
    </xf>
    <xf numFmtId="0" fontId="6" fillId="8" borderId="48" xfId="0" applyFont="1" applyFill="1" applyBorder="1" applyAlignment="1">
      <alignment vertical="center"/>
    </xf>
    <xf numFmtId="43" fontId="18" fillId="8" borderId="49" xfId="10" applyFont="1" applyFill="1" applyBorder="1" applyAlignment="1">
      <alignment horizontal="center" vertical="center"/>
    </xf>
    <xf numFmtId="43" fontId="20" fillId="0" borderId="0" xfId="10" applyFont="1" applyFill="1" applyBorder="1" applyAlignment="1">
      <alignment horizontal="right"/>
    </xf>
    <xf numFmtId="0" fontId="6" fillId="8" borderId="49" xfId="0" applyFont="1" applyFill="1" applyBorder="1" applyAlignment="1">
      <alignment vertical="center"/>
    </xf>
    <xf numFmtId="10" fontId="11" fillId="8" borderId="49" xfId="7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9" fontId="21" fillId="0" borderId="0" xfId="7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10" applyNumberFormat="1" applyFont="1" applyFill="1" applyAlignment="1">
      <alignment vertical="center"/>
    </xf>
    <xf numFmtId="4" fontId="18" fillId="0" borderId="0" xfId="11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19" xfId="0" applyFont="1" applyBorder="1" applyAlignment="1">
      <alignment horizontal="right"/>
    </xf>
    <xf numFmtId="43" fontId="24" fillId="5" borderId="50" xfId="10" applyFont="1" applyFill="1" applyBorder="1" applyAlignment="1">
      <alignment horizontal="right"/>
    </xf>
    <xf numFmtId="43" fontId="24" fillId="0" borderId="0" xfId="10" applyFont="1" applyFill="1" applyBorder="1" applyAlignment="1">
      <alignment horizontal="right"/>
    </xf>
    <xf numFmtId="43" fontId="10" fillId="0" borderId="14" xfId="10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11" applyNumberFormat="1" applyFont="1" applyFill="1" applyAlignment="1">
      <alignment horizontal="center" vertical="center"/>
    </xf>
    <xf numFmtId="10" fontId="26" fillId="0" borderId="0" xfId="7" applyNumberFormat="1" applyFont="1" applyFill="1" applyAlignment="1">
      <alignment horizontal="right"/>
    </xf>
    <xf numFmtId="168" fontId="10" fillId="8" borderId="14" xfId="10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43" fontId="10" fillId="9" borderId="14" xfId="10" applyFont="1" applyFill="1" applyBorder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8" borderId="51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10" applyNumberFormat="1" applyFont="1" applyFill="1" applyBorder="1" applyAlignment="1">
      <alignment horizontal="center"/>
    </xf>
    <xf numFmtId="2" fontId="23" fillId="0" borderId="0" xfId="10" applyNumberFormat="1" applyFont="1" applyFill="1" applyBorder="1" applyAlignment="1">
      <alignment horizontal="center"/>
    </xf>
    <xf numFmtId="0" fontId="6" fillId="8" borderId="51" xfId="0" applyFont="1" applyFill="1" applyBorder="1" applyAlignment="1">
      <alignment vertical="center"/>
    </xf>
    <xf numFmtId="10" fontId="6" fillId="0" borderId="0" xfId="7" applyNumberFormat="1" applyFont="1" applyFill="1" applyAlignment="1">
      <alignment vertical="center"/>
    </xf>
    <xf numFmtId="4" fontId="6" fillId="0" borderId="0" xfId="10" applyNumberFormat="1" applyFont="1" applyFill="1" applyAlignment="1">
      <alignment vertical="center"/>
    </xf>
    <xf numFmtId="43" fontId="24" fillId="8" borderId="35" xfId="10" applyFont="1" applyFill="1" applyBorder="1" applyAlignment="1">
      <alignment horizontal="right"/>
    </xf>
    <xf numFmtId="0" fontId="10" fillId="8" borderId="36" xfId="0" applyFont="1" applyFill="1" applyBorder="1" applyAlignment="1">
      <alignment horizontal="right" vertical="center"/>
    </xf>
    <xf numFmtId="10" fontId="30" fillId="0" borderId="0" xfId="10" applyNumberFormat="1" applyFont="1" applyFill="1" applyAlignment="1">
      <alignment vertical="center"/>
    </xf>
    <xf numFmtId="10" fontId="11" fillId="0" borderId="0" xfId="7" applyNumberFormat="1" applyFont="1" applyFill="1" applyBorder="1" applyAlignment="1">
      <alignment vertical="center"/>
    </xf>
    <xf numFmtId="165" fontId="31" fillId="0" borderId="0" xfId="0" applyNumberFormat="1" applyFont="1" applyAlignment="1">
      <alignment horizontal="center" vertical="center"/>
    </xf>
    <xf numFmtId="0" fontId="6" fillId="4" borderId="50" xfId="0" applyFont="1" applyFill="1" applyBorder="1" applyAlignment="1">
      <alignment horizontal="center" vertical="center"/>
    </xf>
    <xf numFmtId="43" fontId="32" fillId="0" borderId="0" xfId="10" applyFont="1" applyFill="1" applyAlignment="1">
      <alignment vertical="center"/>
    </xf>
    <xf numFmtId="4" fontId="33" fillId="0" borderId="0" xfId="11" applyNumberFormat="1" applyFont="1" applyFill="1" applyAlignment="1">
      <alignment horizontal="center" vertical="center" wrapText="1"/>
    </xf>
    <xf numFmtId="9" fontId="6" fillId="0" borderId="0" xfId="10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10" applyNumberFormat="1" applyFont="1" applyFill="1" applyAlignment="1">
      <alignment vertical="center"/>
    </xf>
    <xf numFmtId="4" fontId="10" fillId="11" borderId="50" xfId="1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10" applyFont="1" applyFill="1" applyAlignment="1">
      <alignment vertical="center"/>
    </xf>
    <xf numFmtId="9" fontId="34" fillId="0" borderId="0" xfId="10" applyNumberFormat="1" applyFont="1" applyFill="1" applyAlignment="1">
      <alignment vertical="center"/>
    </xf>
    <xf numFmtId="4" fontId="10" fillId="0" borderId="0" xfId="10" applyNumberFormat="1" applyFont="1" applyFill="1" applyAlignment="1">
      <alignment horizontal="center" vertical="center"/>
    </xf>
    <xf numFmtId="10" fontId="27" fillId="0" borderId="0" xfId="7" applyNumberFormat="1" applyFont="1" applyFill="1" applyAlignment="1">
      <alignment vertical="center"/>
    </xf>
    <xf numFmtId="43" fontId="27" fillId="0" borderId="0" xfId="10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43" fontId="6" fillId="0" borderId="0" xfId="10" applyFont="1" applyFill="1" applyBorder="1"/>
    <xf numFmtId="10" fontId="27" fillId="0" borderId="0" xfId="7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6" fillId="0" borderId="0" xfId="10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5" fontId="10" fillId="0" borderId="0" xfId="0" applyNumberFormat="1" applyFont="1"/>
    <xf numFmtId="0" fontId="38" fillId="0" borderId="15" xfId="1" applyFont="1" applyBorder="1" applyAlignment="1">
      <alignment horizontal="center" vertical="center"/>
    </xf>
    <xf numFmtId="0" fontId="38" fillId="0" borderId="8" xfId="1" applyFont="1" applyBorder="1" applyAlignment="1">
      <alignment horizontal="center" vertical="center"/>
    </xf>
    <xf numFmtId="0" fontId="40" fillId="0" borderId="14" xfId="1" applyFont="1" applyBorder="1" applyAlignment="1">
      <alignment vertical="center"/>
    </xf>
    <xf numFmtId="0" fontId="38" fillId="0" borderId="14" xfId="1" applyFont="1" applyBorder="1" applyAlignment="1">
      <alignment horizontal="center" vertical="center"/>
    </xf>
    <xf numFmtId="1" fontId="38" fillId="0" borderId="14" xfId="1" applyNumberFormat="1" applyFont="1" applyBorder="1" applyAlignment="1">
      <alignment horizontal="center"/>
    </xf>
    <xf numFmtId="1" fontId="38" fillId="0" borderId="14" xfId="1" applyNumberFormat="1" applyFont="1" applyBorder="1" applyAlignment="1">
      <alignment horizontal="center" wrapText="1"/>
    </xf>
    <xf numFmtId="0" fontId="41" fillId="0" borderId="13" xfId="1" applyFont="1" applyBorder="1" applyAlignment="1">
      <alignment horizontal="center"/>
    </xf>
    <xf numFmtId="49" fontId="41" fillId="0" borderId="14" xfId="0" applyNumberFormat="1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0" fontId="42" fillId="0" borderId="14" xfId="0" applyFont="1" applyBorder="1"/>
    <xf numFmtId="16" fontId="41" fillId="0" borderId="14" xfId="0" applyNumberFormat="1" applyFont="1" applyBorder="1" applyAlignment="1">
      <alignment horizontal="center"/>
    </xf>
    <xf numFmtId="1" fontId="41" fillId="4" borderId="14" xfId="2" applyNumberFormat="1" applyFont="1" applyFill="1" applyBorder="1" applyAlignment="1">
      <alignment horizontal="center" vertical="center" wrapText="1"/>
    </xf>
    <xf numFmtId="0" fontId="41" fillId="4" borderId="14" xfId="2" applyFont="1" applyFill="1" applyBorder="1" applyAlignment="1">
      <alignment horizontal="center" vertical="center" wrapText="1"/>
    </xf>
    <xf numFmtId="0" fontId="41" fillId="4" borderId="8" xfId="2" applyFont="1" applyFill="1" applyBorder="1" applyAlignment="1">
      <alignment vertical="center" wrapText="1"/>
    </xf>
    <xf numFmtId="0" fontId="41" fillId="0" borderId="14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0" xfId="0" applyFont="1"/>
    <xf numFmtId="0" fontId="41" fillId="4" borderId="11" xfId="2" applyFont="1" applyFill="1" applyBorder="1" applyAlignment="1">
      <alignment horizontal="center" vertical="center" wrapText="1"/>
    </xf>
    <xf numFmtId="1" fontId="41" fillId="0" borderId="11" xfId="0" applyNumberFormat="1" applyFont="1" applyBorder="1" applyAlignment="1">
      <alignment horizontal="center"/>
    </xf>
    <xf numFmtId="0" fontId="41" fillId="0" borderId="14" xfId="0" applyFont="1" applyBorder="1" applyAlignment="1">
      <alignment horizontal="center" vertical="center"/>
    </xf>
    <xf numFmtId="0" fontId="41" fillId="0" borderId="11" xfId="0" applyFont="1" applyBorder="1" applyAlignment="1">
      <alignment horizontal="center"/>
    </xf>
    <xf numFmtId="1" fontId="42" fillId="0" borderId="14" xfId="0" applyNumberFormat="1" applyFont="1" applyBorder="1" applyAlignment="1">
      <alignment horizontal="center"/>
    </xf>
    <xf numFmtId="1" fontId="41" fillId="0" borderId="14" xfId="0" applyNumberFormat="1" applyFont="1" applyBorder="1" applyAlignment="1">
      <alignment horizontal="center"/>
    </xf>
    <xf numFmtId="0" fontId="41" fillId="4" borderId="15" xfId="1" applyFont="1" applyFill="1" applyBorder="1" applyAlignment="1">
      <alignment horizontal="right"/>
    </xf>
    <xf numFmtId="0" fontId="41" fillId="4" borderId="8" xfId="1" applyFont="1" applyFill="1" applyBorder="1" applyAlignment="1">
      <alignment horizontal="center"/>
    </xf>
    <xf numFmtId="0" fontId="41" fillId="4" borderId="14" xfId="1" applyFont="1" applyFill="1" applyBorder="1"/>
    <xf numFmtId="0" fontId="41" fillId="4" borderId="11" xfId="1" applyFont="1" applyFill="1" applyBorder="1" applyAlignment="1">
      <alignment horizontal="center"/>
    </xf>
    <xf numFmtId="0" fontId="41" fillId="0" borderId="11" xfId="1" applyFont="1" applyBorder="1" applyAlignment="1">
      <alignment horizontal="center"/>
    </xf>
    <xf numFmtId="0" fontId="42" fillId="0" borderId="9" xfId="0" applyFont="1" applyBorder="1"/>
    <xf numFmtId="49" fontId="41" fillId="4" borderId="14" xfId="0" applyNumberFormat="1" applyFont="1" applyFill="1" applyBorder="1"/>
    <xf numFmtId="1" fontId="41" fillId="4" borderId="14" xfId="0" applyNumberFormat="1" applyFont="1" applyFill="1" applyBorder="1" applyAlignment="1">
      <alignment horizontal="center" vertical="center" wrapText="1"/>
    </xf>
    <xf numFmtId="0" fontId="41" fillId="4" borderId="14" xfId="0" applyFont="1" applyFill="1" applyBorder="1" applyAlignment="1">
      <alignment horizontal="center"/>
    </xf>
    <xf numFmtId="1" fontId="41" fillId="0" borderId="14" xfId="0" applyNumberFormat="1" applyFont="1" applyBorder="1" applyAlignment="1">
      <alignment horizontal="center" wrapText="1"/>
    </xf>
    <xf numFmtId="49" fontId="41" fillId="4" borderId="14" xfId="0" applyNumberFormat="1" applyFont="1" applyFill="1" applyBorder="1" applyAlignment="1">
      <alignment horizontal="center"/>
    </xf>
    <xf numFmtId="49" fontId="41" fillId="4" borderId="9" xfId="0" applyNumberFormat="1" applyFont="1" applyFill="1" applyBorder="1" applyAlignment="1">
      <alignment horizontal="center"/>
    </xf>
    <xf numFmtId="49" fontId="38" fillId="4" borderId="14" xfId="0" applyNumberFormat="1" applyFont="1" applyFill="1" applyBorder="1"/>
    <xf numFmtId="16" fontId="41" fillId="4" borderId="14" xfId="0" applyNumberFormat="1" applyFont="1" applyFill="1" applyBorder="1" applyAlignment="1">
      <alignment horizontal="center"/>
    </xf>
    <xf numFmtId="49" fontId="41" fillId="0" borderId="14" xfId="0" applyNumberFormat="1" applyFont="1" applyBorder="1"/>
    <xf numFmtId="49" fontId="38" fillId="0" borderId="14" xfId="0" applyNumberFormat="1" applyFont="1" applyBorder="1" applyAlignment="1">
      <alignment horizontal="left"/>
    </xf>
    <xf numFmtId="49" fontId="41" fillId="0" borderId="14" xfId="1" applyNumberFormat="1" applyFont="1" applyBorder="1"/>
    <xf numFmtId="0" fontId="41" fillId="0" borderId="14" xfId="1" applyFont="1" applyBorder="1" applyAlignment="1">
      <alignment horizontal="center"/>
    </xf>
    <xf numFmtId="49" fontId="41" fillId="0" borderId="15" xfId="1" applyNumberFormat="1" applyFont="1" applyBorder="1" applyAlignment="1">
      <alignment horizontal="center"/>
    </xf>
    <xf numFmtId="49" fontId="41" fillId="0" borderId="8" xfId="1" applyNumberFormat="1" applyFont="1" applyBorder="1" applyAlignment="1">
      <alignment horizontal="center"/>
    </xf>
    <xf numFmtId="1" fontId="41" fillId="0" borderId="14" xfId="1" applyNumberFormat="1" applyFont="1" applyBorder="1" applyAlignment="1">
      <alignment horizontal="center" wrapText="1"/>
    </xf>
    <xf numFmtId="49" fontId="43" fillId="3" borderId="20" xfId="1" applyNumberFormat="1" applyFont="1" applyFill="1" applyBorder="1" applyAlignment="1">
      <alignment horizontal="center" vertical="center"/>
    </xf>
    <xf numFmtId="49" fontId="43" fillId="3" borderId="0" xfId="1" applyNumberFormat="1" applyFont="1" applyFill="1" applyAlignment="1">
      <alignment horizontal="center" vertical="center"/>
    </xf>
    <xf numFmtId="0" fontId="41" fillId="3" borderId="0" xfId="1" applyFont="1" applyFill="1"/>
    <xf numFmtId="1" fontId="41" fillId="3" borderId="0" xfId="1" applyNumberFormat="1" applyFont="1" applyFill="1" applyAlignment="1">
      <alignment horizontal="center"/>
    </xf>
    <xf numFmtId="164" fontId="41" fillId="3" borderId="0" xfId="1" applyNumberFormat="1" applyFont="1" applyFill="1" applyAlignment="1">
      <alignment horizontal="center" wrapText="1"/>
    </xf>
    <xf numFmtId="0" fontId="41" fillId="3" borderId="19" xfId="1" applyFont="1" applyFill="1" applyBorder="1" applyAlignment="1">
      <alignment horizontal="center"/>
    </xf>
    <xf numFmtId="0" fontId="41" fillId="2" borderId="40" xfId="1" applyFont="1" applyFill="1" applyBorder="1" applyAlignment="1">
      <alignment horizontal="center"/>
    </xf>
    <xf numFmtId="0" fontId="41" fillId="2" borderId="35" xfId="1" applyFont="1" applyFill="1" applyBorder="1" applyAlignment="1">
      <alignment horizontal="center"/>
    </xf>
    <xf numFmtId="0" fontId="41" fillId="2" borderId="35" xfId="1" applyFont="1" applyFill="1" applyBorder="1"/>
    <xf numFmtId="0" fontId="38" fillId="2" borderId="35" xfId="1" applyFont="1" applyFill="1" applyBorder="1" applyAlignment="1">
      <alignment horizontal="center"/>
    </xf>
    <xf numFmtId="1" fontId="38" fillId="2" borderId="35" xfId="1" applyNumberFormat="1" applyFont="1" applyFill="1" applyBorder="1" applyAlignment="1">
      <alignment horizontal="center"/>
    </xf>
    <xf numFmtId="164" fontId="41" fillId="2" borderId="35" xfId="1" applyNumberFormat="1" applyFont="1" applyFill="1" applyBorder="1" applyAlignment="1">
      <alignment horizontal="center" wrapText="1"/>
    </xf>
    <xf numFmtId="0" fontId="41" fillId="2" borderId="36" xfId="1" applyFont="1" applyFill="1" applyBorder="1" applyAlignment="1">
      <alignment horizontal="center"/>
    </xf>
    <xf numFmtId="0" fontId="38" fillId="0" borderId="14" xfId="0" applyFont="1" applyBorder="1" applyAlignment="1">
      <alignment horizontal="center"/>
    </xf>
    <xf numFmtId="0" fontId="41" fillId="0" borderId="25" xfId="0" applyFont="1" applyBorder="1" applyAlignment="1">
      <alignment horizontal="center"/>
    </xf>
    <xf numFmtId="1" fontId="38" fillId="0" borderId="2" xfId="0" applyNumberFormat="1" applyFont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35" fillId="0" borderId="40" xfId="0" applyFont="1" applyBorder="1" applyAlignment="1">
      <alignment horizontal="right" vertical="center"/>
    </xf>
    <xf numFmtId="0" fontId="35" fillId="0" borderId="35" xfId="0" applyFont="1" applyBorder="1" applyAlignment="1">
      <alignment horizontal="right" vertical="center"/>
    </xf>
    <xf numFmtId="0" fontId="35" fillId="0" borderId="36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28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8" borderId="40" xfId="0" applyFont="1" applyFill="1" applyBorder="1" applyAlignment="1">
      <alignment horizontal="right"/>
    </xf>
    <xf numFmtId="0" fontId="24" fillId="8" borderId="35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10" fillId="0" borderId="28" xfId="0" applyFont="1" applyBorder="1" applyAlignment="1">
      <alignment horizontal="right" vertical="center"/>
    </xf>
    <xf numFmtId="0" fontId="10" fillId="0" borderId="52" xfId="0" applyFont="1" applyBorder="1" applyAlignment="1">
      <alignment horizontal="right" vertical="center"/>
    </xf>
    <xf numFmtId="0" fontId="10" fillId="10" borderId="40" xfId="0" applyFont="1" applyFill="1" applyBorder="1" applyAlignment="1">
      <alignment horizontal="right" vertical="center"/>
    </xf>
    <xf numFmtId="0" fontId="10" fillId="10" borderId="35" xfId="0" applyFont="1" applyFill="1" applyBorder="1" applyAlignment="1">
      <alignment horizontal="right" vertical="center"/>
    </xf>
    <xf numFmtId="0" fontId="10" fillId="10" borderId="36" xfId="0" applyFont="1" applyFill="1" applyBorder="1" applyAlignment="1">
      <alignment horizontal="right" vertical="center"/>
    </xf>
    <xf numFmtId="4" fontId="33" fillId="0" borderId="0" xfId="11" applyNumberFormat="1" applyFont="1" applyFill="1" applyAlignment="1">
      <alignment horizontal="center" vertical="center" wrapText="1"/>
    </xf>
    <xf numFmtId="0" fontId="27" fillId="0" borderId="14" xfId="0" applyFont="1" applyBorder="1" applyAlignment="1">
      <alignment horizontal="right" vertical="center"/>
    </xf>
    <xf numFmtId="0" fontId="28" fillId="0" borderId="20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19" xfId="0" applyFont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9" fillId="0" borderId="34" xfId="0" applyFont="1" applyBorder="1" applyAlignment="1">
      <alignment horizontal="right"/>
    </xf>
    <xf numFmtId="0" fontId="19" fillId="0" borderId="33" xfId="0" applyFont="1" applyBorder="1" applyAlignment="1">
      <alignment horizontal="right"/>
    </xf>
    <xf numFmtId="0" fontId="6" fillId="0" borderId="14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3" fillId="0" borderId="28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right" vertical="center" wrapText="1"/>
    </xf>
    <xf numFmtId="0" fontId="41" fillId="0" borderId="43" xfId="0" applyFont="1" applyBorder="1" applyAlignment="1">
      <alignment horizontal="left"/>
    </xf>
    <xf numFmtId="0" fontId="41" fillId="0" borderId="22" xfId="0" applyFont="1" applyBorder="1" applyAlignment="1">
      <alignment horizontal="left"/>
    </xf>
    <xf numFmtId="0" fontId="41" fillId="0" borderId="42" xfId="0" applyFont="1" applyBorder="1" applyAlignment="1">
      <alignment horizontal="left"/>
    </xf>
    <xf numFmtId="0" fontId="41" fillId="3" borderId="14" xfId="2" applyFont="1" applyFill="1" applyBorder="1" applyAlignment="1">
      <alignment horizontal="left"/>
    </xf>
    <xf numFmtId="0" fontId="41" fillId="0" borderId="7" xfId="0" applyFont="1" applyBorder="1" applyAlignment="1">
      <alignment horizontal="left"/>
    </xf>
    <xf numFmtId="0" fontId="41" fillId="0" borderId="6" xfId="0" applyFont="1" applyBorder="1" applyAlignment="1">
      <alignment horizontal="left"/>
    </xf>
    <xf numFmtId="0" fontId="41" fillId="0" borderId="5" xfId="0" applyFont="1" applyBorder="1" applyAlignment="1">
      <alignment horizontal="left"/>
    </xf>
    <xf numFmtId="0" fontId="41" fillId="0" borderId="53" xfId="1" applyFont="1" applyBorder="1" applyAlignment="1">
      <alignment horizontal="left"/>
    </xf>
    <xf numFmtId="0" fontId="41" fillId="0" borderId="54" xfId="1" applyFont="1" applyBorder="1" applyAlignment="1">
      <alignment horizontal="left"/>
    </xf>
    <xf numFmtId="0" fontId="41" fillId="0" borderId="55" xfId="1" applyFont="1" applyBorder="1" applyAlignment="1">
      <alignment horizontal="left"/>
    </xf>
    <xf numFmtId="0" fontId="38" fillId="6" borderId="14" xfId="2" applyFont="1" applyFill="1" applyBorder="1" applyAlignment="1">
      <alignment horizontal="center"/>
    </xf>
    <xf numFmtId="0" fontId="41" fillId="0" borderId="44" xfId="0" applyFont="1" applyBorder="1" applyAlignment="1">
      <alignment horizontal="left"/>
    </xf>
    <xf numFmtId="0" fontId="41" fillId="0" borderId="12" xfId="0" applyFont="1" applyBorder="1" applyAlignment="1">
      <alignment horizontal="left"/>
    </xf>
    <xf numFmtId="0" fontId="41" fillId="0" borderId="11" xfId="0" applyFont="1" applyBorder="1" applyAlignment="1">
      <alignment horizontal="left"/>
    </xf>
    <xf numFmtId="0" fontId="41" fillId="0" borderId="10" xfId="0" applyFont="1" applyBorder="1" applyAlignment="1">
      <alignment horizontal="left"/>
    </xf>
    <xf numFmtId="0" fontId="38" fillId="0" borderId="7" xfId="1" applyFont="1" applyBorder="1" applyAlignment="1">
      <alignment horizontal="right"/>
    </xf>
    <xf numFmtId="0" fontId="38" fillId="0" borderId="6" xfId="1" applyFont="1" applyBorder="1" applyAlignment="1">
      <alignment horizontal="right"/>
    </xf>
    <xf numFmtId="0" fontId="38" fillId="0" borderId="8" xfId="1" applyFont="1" applyBorder="1" applyAlignment="1">
      <alignment horizontal="right"/>
    </xf>
    <xf numFmtId="0" fontId="41" fillId="0" borderId="14" xfId="1" applyFont="1" applyBorder="1" applyAlignment="1">
      <alignment horizontal="right"/>
    </xf>
    <xf numFmtId="164" fontId="41" fillId="0" borderId="9" xfId="1" applyNumberFormat="1" applyFont="1" applyBorder="1" applyAlignment="1">
      <alignment horizontal="center"/>
    </xf>
    <xf numFmtId="164" fontId="41" fillId="0" borderId="5" xfId="1" applyNumberFormat="1" applyFont="1" applyBorder="1" applyAlignment="1">
      <alignment horizontal="center"/>
    </xf>
    <xf numFmtId="164" fontId="41" fillId="0" borderId="9" xfId="1" applyNumberFormat="1" applyFont="1" applyBorder="1" applyAlignment="1">
      <alignment horizontal="right" wrapText="1"/>
    </xf>
    <xf numFmtId="164" fontId="41" fillId="0" borderId="8" xfId="1" applyNumberFormat="1" applyFont="1" applyBorder="1" applyAlignment="1">
      <alignment horizontal="right" wrapText="1"/>
    </xf>
    <xf numFmtId="0" fontId="38" fillId="0" borderId="4" xfId="1" applyFont="1" applyBorder="1" applyAlignment="1">
      <alignment horizontal="right"/>
    </xf>
    <xf numFmtId="0" fontId="38" fillId="0" borderId="3" xfId="1" applyFont="1" applyBorder="1" applyAlignment="1">
      <alignment horizontal="right"/>
    </xf>
    <xf numFmtId="0" fontId="38" fillId="0" borderId="2" xfId="1" applyFont="1" applyBorder="1" applyAlignment="1">
      <alignment horizontal="right"/>
    </xf>
    <xf numFmtId="0" fontId="41" fillId="0" borderId="2" xfId="1" applyFont="1" applyBorder="1" applyAlignment="1">
      <alignment horizontal="right"/>
    </xf>
    <xf numFmtId="164" fontId="41" fillId="0" borderId="21" xfId="1" applyNumberFormat="1" applyFont="1" applyBorder="1" applyAlignment="1">
      <alignment horizontal="center"/>
    </xf>
    <xf numFmtId="164" fontId="41" fillId="0" borderId="42" xfId="1" applyNumberFormat="1" applyFont="1" applyBorder="1" applyAlignment="1">
      <alignment horizontal="center"/>
    </xf>
    <xf numFmtId="0" fontId="38" fillId="2" borderId="40" xfId="1" applyFont="1" applyFill="1" applyBorder="1" applyAlignment="1">
      <alignment horizontal="center"/>
    </xf>
    <xf numFmtId="0" fontId="38" fillId="2" borderId="35" xfId="1" applyFont="1" applyFill="1" applyBorder="1" applyAlignment="1">
      <alignment horizontal="center"/>
    </xf>
    <xf numFmtId="0" fontId="38" fillId="2" borderId="36" xfId="1" applyFont="1" applyFill="1" applyBorder="1" applyAlignment="1">
      <alignment horizontal="center"/>
    </xf>
    <xf numFmtId="0" fontId="38" fillId="0" borderId="37" xfId="1" applyFont="1" applyBorder="1" applyAlignment="1">
      <alignment horizontal="right"/>
    </xf>
    <xf numFmtId="0" fontId="38" fillId="0" borderId="38" xfId="1" applyFont="1" applyBorder="1" applyAlignment="1">
      <alignment horizontal="right"/>
    </xf>
    <xf numFmtId="0" fontId="38" fillId="0" borderId="12" xfId="1" applyFont="1" applyBorder="1" applyAlignment="1">
      <alignment horizontal="right"/>
    </xf>
    <xf numFmtId="164" fontId="41" fillId="0" borderId="11" xfId="1" applyNumberFormat="1" applyFont="1" applyBorder="1" applyAlignment="1">
      <alignment horizontal="right"/>
    </xf>
    <xf numFmtId="0" fontId="41" fillId="3" borderId="25" xfId="1" applyFont="1" applyFill="1" applyBorder="1" applyAlignment="1">
      <alignment horizontal="center"/>
    </xf>
    <xf numFmtId="0" fontId="41" fillId="3" borderId="41" xfId="1" applyFont="1" applyFill="1" applyBorder="1" applyAlignment="1">
      <alignment horizontal="center"/>
    </xf>
    <xf numFmtId="0" fontId="8" fillId="3" borderId="0" xfId="2" applyFont="1" applyFill="1" applyAlignment="1">
      <alignment horizontal="right"/>
    </xf>
    <xf numFmtId="0" fontId="9" fillId="3" borderId="28" xfId="2" applyFont="1" applyFill="1" applyBorder="1" applyAlignment="1">
      <alignment horizontal="center"/>
    </xf>
    <xf numFmtId="0" fontId="8" fillId="3" borderId="0" xfId="2" applyFont="1" applyFill="1"/>
    <xf numFmtId="0" fontId="5" fillId="2" borderId="39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39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14" fontId="7" fillId="3" borderId="31" xfId="2" applyNumberFormat="1" applyFont="1" applyFill="1" applyBorder="1" applyAlignment="1">
      <alignment horizontal="center" vertical="center" wrapText="1"/>
    </xf>
    <xf numFmtId="14" fontId="7" fillId="3" borderId="29" xfId="2" applyNumberFormat="1" applyFont="1" applyFill="1" applyBorder="1" applyAlignment="1">
      <alignment horizontal="center" vertical="center" wrapText="1"/>
    </xf>
    <xf numFmtId="14" fontId="7" fillId="3" borderId="10" xfId="2" applyNumberFormat="1" applyFont="1" applyFill="1" applyBorder="1" applyAlignment="1">
      <alignment horizontal="center" vertical="center" wrapText="1"/>
    </xf>
    <xf numFmtId="0" fontId="7" fillId="3" borderId="23" xfId="2" applyFont="1" applyFill="1" applyBorder="1" applyAlignment="1">
      <alignment horizontal="left"/>
    </xf>
    <xf numFmtId="0" fontId="7" fillId="3" borderId="24" xfId="2" applyFont="1" applyFill="1" applyBorder="1" applyAlignment="1">
      <alignment horizontal="left"/>
    </xf>
    <xf numFmtId="0" fontId="7" fillId="3" borderId="18" xfId="2" applyFont="1" applyFill="1" applyBorder="1" applyAlignment="1">
      <alignment horizontal="left"/>
    </xf>
    <xf numFmtId="0" fontId="4" fillId="3" borderId="9" xfId="2" applyFont="1" applyFill="1" applyBorder="1" applyAlignment="1">
      <alignment horizontal="left"/>
    </xf>
    <xf numFmtId="0" fontId="4" fillId="3" borderId="6" xfId="2" applyFont="1" applyFill="1" applyBorder="1" applyAlignment="1">
      <alignment horizontal="left"/>
    </xf>
    <xf numFmtId="0" fontId="4" fillId="3" borderId="8" xfId="2" applyFont="1" applyFill="1" applyBorder="1" applyAlignment="1">
      <alignment horizontal="left"/>
    </xf>
    <xf numFmtId="0" fontId="7" fillId="3" borderId="34" xfId="2" applyFont="1" applyFill="1" applyBorder="1" applyAlignment="1">
      <alignment horizontal="center"/>
    </xf>
    <xf numFmtId="0" fontId="7" fillId="3" borderId="33" xfId="2" applyFont="1" applyFill="1" applyBorder="1" applyAlignment="1">
      <alignment horizontal="center"/>
    </xf>
    <xf numFmtId="0" fontId="7" fillId="3" borderId="20" xfId="2" applyFont="1" applyFill="1" applyBorder="1" applyAlignment="1">
      <alignment horizontal="center"/>
    </xf>
    <xf numFmtId="0" fontId="7" fillId="3" borderId="0" xfId="2" applyFont="1" applyFill="1" applyAlignment="1">
      <alignment horizontal="center"/>
    </xf>
    <xf numFmtId="0" fontId="7" fillId="3" borderId="37" xfId="2" applyFont="1" applyFill="1" applyBorder="1" applyAlignment="1">
      <alignment horizontal="center"/>
    </xf>
    <xf numFmtId="0" fontId="7" fillId="3" borderId="38" xfId="2" applyFont="1" applyFill="1" applyBorder="1" applyAlignment="1">
      <alignment horizontal="center"/>
    </xf>
    <xf numFmtId="0" fontId="5" fillId="3" borderId="17" xfId="2" applyFont="1" applyFill="1" applyBorder="1" applyAlignment="1">
      <alignment horizontal="center"/>
    </xf>
    <xf numFmtId="0" fontId="5" fillId="3" borderId="26" xfId="2" applyFont="1" applyFill="1" applyBorder="1" applyAlignment="1">
      <alignment horizontal="center"/>
    </xf>
    <xf numFmtId="0" fontId="39" fillId="5" borderId="14" xfId="2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right" vertical="top" wrapText="1"/>
    </xf>
    <xf numFmtId="0" fontId="5" fillId="3" borderId="30" xfId="2" applyFont="1" applyFill="1" applyBorder="1" applyAlignment="1">
      <alignment horizontal="right" vertical="top" wrapText="1"/>
    </xf>
    <xf numFmtId="0" fontId="5" fillId="3" borderId="27" xfId="2" applyFont="1" applyFill="1" applyBorder="1" applyAlignment="1">
      <alignment horizontal="right" vertical="top" wrapText="1"/>
    </xf>
  </cellXfs>
  <cellStyles count="12">
    <cellStyle name="Millares" xfId="10" builtinId="3"/>
    <cellStyle name="Millares [0]" xfId="11" builtinId="6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  <cellStyle name="Porcentaje 2 2" xfId="9" xr:uid="{6C8BD6CB-4328-4E66-BCCA-669C31E66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115253</xdr:rowOff>
    </xdr:from>
    <xdr:to>
      <xdr:col>1</xdr:col>
      <xdr:colOff>1081778</xdr:colOff>
      <xdr:row>4</xdr:row>
      <xdr:rowOff>59532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05F00E7-B52F-478F-B6C6-293AEBDDD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115253"/>
          <a:ext cx="1894261" cy="944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BCDD-1577-48CB-8E81-9D562650F7AF}">
  <dimension ref="A1:Q91"/>
  <sheetViews>
    <sheetView topLeftCell="A2" workbookViewId="0">
      <selection activeCell="E28" sqref="E28"/>
    </sheetView>
  </sheetViews>
  <sheetFormatPr baseColWidth="10" defaultColWidth="8.42578125" defaultRowHeight="12.75" x14ac:dyDescent="0.25"/>
  <cols>
    <col min="1" max="1" width="10" style="19" bestFit="1" customWidth="1"/>
    <col min="2" max="2" width="44.28515625" style="19" bestFit="1" customWidth="1"/>
    <col min="3" max="3" width="10.42578125" style="19" bestFit="1" customWidth="1"/>
    <col min="4" max="4" width="10.42578125" style="19" customWidth="1"/>
    <col min="5" max="5" width="11" style="19" customWidth="1"/>
    <col min="6" max="6" width="9.5703125" style="19" bestFit="1" customWidth="1"/>
    <col min="7" max="7" width="10.85546875" style="101" customWidth="1"/>
    <col min="8" max="8" width="10.42578125" style="92" bestFit="1" customWidth="1"/>
    <col min="9" max="9" width="4.5703125" style="92" customWidth="1"/>
    <col min="10" max="10" width="1.85546875" style="18" customWidth="1"/>
    <col min="11" max="11" width="7" style="19" bestFit="1" customWidth="1"/>
    <col min="12" max="12" width="6.28515625" style="19" customWidth="1"/>
    <col min="13" max="13" width="20.42578125" style="19" customWidth="1"/>
    <col min="14" max="14" width="6.42578125" style="19" bestFit="1" customWidth="1"/>
    <col min="15" max="16" width="8.42578125" style="19"/>
    <col min="17" max="17" width="3.28515625" style="19" customWidth="1"/>
    <col min="18" max="16384" width="8.42578125" style="19"/>
  </cols>
  <sheetData>
    <row r="1" spans="1:10" ht="27.75" customHeight="1" x14ac:dyDescent="0.25">
      <c r="A1" s="14"/>
      <c r="B1" s="14"/>
      <c r="C1" s="14"/>
      <c r="D1" s="14"/>
      <c r="E1" s="15" t="s">
        <v>65</v>
      </c>
      <c r="F1" s="16" t="s">
        <v>66</v>
      </c>
      <c r="G1" s="16" t="s">
        <v>67</v>
      </c>
      <c r="H1" s="16" t="s">
        <v>68</v>
      </c>
      <c r="I1" s="17"/>
    </row>
    <row r="2" spans="1:10" ht="30.75" customHeight="1" x14ac:dyDescent="0.25">
      <c r="A2" s="14"/>
      <c r="B2" s="14"/>
      <c r="C2" s="14"/>
      <c r="D2" s="14"/>
      <c r="E2" s="20">
        <f>IFERROR(O62,"")</f>
        <v>946.21447999999998</v>
      </c>
      <c r="F2" s="20">
        <f>IFERROR(H53,"")</f>
        <v>696.0544799999999</v>
      </c>
      <c r="G2" s="20">
        <f>IFERROR(H54,"")</f>
        <v>13.36</v>
      </c>
      <c r="H2" s="20">
        <f>IFERROR(H56,"")</f>
        <v>113.96000000000001</v>
      </c>
      <c r="I2" s="21"/>
    </row>
    <row r="3" spans="1:10" ht="15" customHeight="1" x14ac:dyDescent="0.25">
      <c r="A3" s="14"/>
      <c r="B3" s="14"/>
      <c r="C3" s="14"/>
      <c r="D3" s="14"/>
      <c r="E3" s="14"/>
      <c r="F3" s="22"/>
      <c r="G3" s="22"/>
      <c r="H3" s="22"/>
      <c r="I3" s="22"/>
    </row>
    <row r="4" spans="1:10" ht="24.75" customHeight="1" thickBot="1" x14ac:dyDescent="0.3">
      <c r="A4" s="198"/>
      <c r="B4" s="198"/>
      <c r="C4" s="198"/>
      <c r="D4" s="198"/>
      <c r="E4" s="198"/>
      <c r="F4" s="198"/>
      <c r="G4" s="198"/>
      <c r="H4" s="198"/>
      <c r="I4" s="23"/>
    </row>
    <row r="5" spans="1:10" ht="19.5" customHeight="1" thickBot="1" x14ac:dyDescent="0.3">
      <c r="A5" s="199" t="s">
        <v>69</v>
      </c>
      <c r="B5" s="200"/>
      <c r="C5" s="200"/>
      <c r="D5" s="200"/>
      <c r="E5" s="200"/>
      <c r="F5" s="200"/>
      <c r="G5" s="200"/>
      <c r="H5" s="201"/>
      <c r="I5" s="24"/>
    </row>
    <row r="6" spans="1:10" ht="19.5" thickBot="1" x14ac:dyDescent="0.3">
      <c r="A6" s="24"/>
      <c r="B6" s="24"/>
      <c r="C6" s="24"/>
      <c r="D6" s="24"/>
      <c r="E6" s="24"/>
      <c r="F6" s="202" t="s">
        <v>70</v>
      </c>
      <c r="G6" s="202"/>
      <c r="H6" s="25">
        <f ca="1">TODAY()</f>
        <v>46083</v>
      </c>
      <c r="I6" s="25"/>
    </row>
    <row r="7" spans="1:10" ht="26.25" hidden="1" thickBot="1" x14ac:dyDescent="0.3">
      <c r="A7" s="26" t="s">
        <v>71</v>
      </c>
      <c r="B7" s="27" t="s">
        <v>72</v>
      </c>
      <c r="C7" s="27" t="s">
        <v>71</v>
      </c>
      <c r="D7" s="28" t="s">
        <v>73</v>
      </c>
      <c r="E7" s="28" t="s">
        <v>74</v>
      </c>
      <c r="F7" s="28" t="s">
        <v>75</v>
      </c>
      <c r="G7" s="28" t="s">
        <v>76</v>
      </c>
      <c r="H7" s="29" t="s">
        <v>77</v>
      </c>
      <c r="I7" s="30"/>
    </row>
    <row r="8" spans="1:10" ht="13.5" hidden="1" x14ac:dyDescent="0.25">
      <c r="A8" s="31"/>
      <c r="B8" s="19" t="str">
        <f>IFERROR(VLOOKUP(H8,'[1]Consolidado MP Planta'!$A$2:$M$823,3,0),"")</f>
        <v/>
      </c>
      <c r="C8" s="32">
        <f>+A8</f>
        <v>0</v>
      </c>
      <c r="D8" s="33" t="str">
        <f>IFERROR(VLOOKUP(H8,'[1]Consolidado MP Planta'!$A$2:$M$823,13,0),"")</f>
        <v/>
      </c>
      <c r="E8" s="33" t="str">
        <f>IFERROR(VLOOKUP(H8,'[1]Consolidado MP Planta'!$A$2:$M$823,12,0),"")</f>
        <v/>
      </c>
      <c r="F8" s="33" t="str">
        <f>IFERROR(C8*E8,"")</f>
        <v/>
      </c>
      <c r="G8" s="34" t="str">
        <f t="shared" ref="G8:G14" si="0">IFERROR(F8/$F$66,"")</f>
        <v/>
      </c>
      <c r="H8" s="35"/>
      <c r="I8" s="35"/>
      <c r="J8" s="36"/>
    </row>
    <row r="9" spans="1:10" ht="13.5" hidden="1" x14ac:dyDescent="0.25">
      <c r="A9" s="31"/>
      <c r="B9" s="19" t="str">
        <f>IFERROR(VLOOKUP(H9,'[1]Consolidado MP Planta'!$A$2:$M$823,3,0),"")</f>
        <v/>
      </c>
      <c r="C9" s="32">
        <f t="shared" ref="C9:C14" si="1">+A9</f>
        <v>0</v>
      </c>
      <c r="D9" s="33" t="str">
        <f>IFERROR(VLOOKUP(H9,'[1]Consolidado MP Planta'!$A$2:$M$823,13,0),"")</f>
        <v/>
      </c>
      <c r="E9" s="33" t="str">
        <f>IFERROR(VLOOKUP(H9,'[1]Consolidado MP Planta'!$A$2:$M$823,12,0),"")</f>
        <v/>
      </c>
      <c r="F9" s="33" t="str">
        <f t="shared" ref="F9:F14" si="2">IFERROR(C9*E9,"")</f>
        <v/>
      </c>
      <c r="G9" s="34" t="str">
        <f t="shared" si="0"/>
        <v/>
      </c>
      <c r="H9" s="35"/>
      <c r="I9" s="35"/>
      <c r="J9" s="36"/>
    </row>
    <row r="10" spans="1:10" ht="13.5" hidden="1" x14ac:dyDescent="0.25">
      <c r="A10" s="31"/>
      <c r="B10" s="19" t="str">
        <f>IFERROR(VLOOKUP(H10,'[1]Consolidado MP Planta'!$A$2:$M$823,3,0),"")</f>
        <v/>
      </c>
      <c r="C10" s="32">
        <f t="shared" si="1"/>
        <v>0</v>
      </c>
      <c r="D10" s="33" t="str">
        <f>IFERROR(VLOOKUP(H10,'[1]Consolidado MP Planta'!$A$2:$M$823,13,0),"")</f>
        <v/>
      </c>
      <c r="E10" s="33" t="str">
        <f>IFERROR(VLOOKUP(H10,'[1]Consolidado MP Planta'!$A$2:$M$823,12,0),"")</f>
        <v/>
      </c>
      <c r="F10" s="33" t="str">
        <f t="shared" si="2"/>
        <v/>
      </c>
      <c r="G10" s="34" t="str">
        <f t="shared" si="0"/>
        <v/>
      </c>
      <c r="H10" s="35"/>
      <c r="I10" s="35"/>
      <c r="J10" s="36"/>
    </row>
    <row r="11" spans="1:10" ht="13.5" hidden="1" x14ac:dyDescent="0.25">
      <c r="A11" s="31"/>
      <c r="B11" s="19" t="str">
        <f>IFERROR(VLOOKUP(H11,'[1]Consolidado MP Planta'!$A$2:$M$823,3,0),"")</f>
        <v/>
      </c>
      <c r="C11" s="32">
        <f t="shared" si="1"/>
        <v>0</v>
      </c>
      <c r="D11" s="33" t="str">
        <f>IFERROR(VLOOKUP(H11,'[1]Consolidado MP Planta'!$A$2:$M$823,13,0),"")</f>
        <v/>
      </c>
      <c r="E11" s="33" t="str">
        <f>IFERROR(VLOOKUP(H11,'[1]Consolidado MP Planta'!$A$2:$M$823,12,0),"")</f>
        <v/>
      </c>
      <c r="F11" s="33" t="str">
        <f t="shared" si="2"/>
        <v/>
      </c>
      <c r="G11" s="34" t="str">
        <f t="shared" si="0"/>
        <v/>
      </c>
      <c r="H11" s="35"/>
      <c r="I11" s="35"/>
      <c r="J11" s="36"/>
    </row>
    <row r="12" spans="1:10" ht="13.5" hidden="1" x14ac:dyDescent="0.25">
      <c r="A12" s="31"/>
      <c r="B12" s="19" t="str">
        <f>IFERROR(VLOOKUP(H12,'[1]Consolidado MP Planta'!$A$2:$M$823,3,0),"")</f>
        <v/>
      </c>
      <c r="C12" s="32">
        <f t="shared" si="1"/>
        <v>0</v>
      </c>
      <c r="D12" s="33" t="str">
        <f>IFERROR(VLOOKUP(H12,'[1]Consolidado MP Planta'!$A$2:$M$823,13,0),"")</f>
        <v/>
      </c>
      <c r="E12" s="33" t="str">
        <f>IFERROR(VLOOKUP(H12,'[1]Consolidado MP Planta'!$A$2:$M$823,12,0),"")</f>
        <v/>
      </c>
      <c r="F12" s="33" t="str">
        <f t="shared" si="2"/>
        <v/>
      </c>
      <c r="G12" s="34" t="str">
        <f t="shared" si="0"/>
        <v/>
      </c>
      <c r="H12" s="35"/>
      <c r="I12" s="35"/>
      <c r="J12" s="36"/>
    </row>
    <row r="13" spans="1:10" ht="13.5" hidden="1" x14ac:dyDescent="0.25">
      <c r="A13" s="31"/>
      <c r="B13" s="19" t="str">
        <f>IFERROR(VLOOKUP(H13,'[1]Consolidado MP Planta'!$A$2:$M$823,3,0),"")</f>
        <v/>
      </c>
      <c r="C13" s="32">
        <f t="shared" si="1"/>
        <v>0</v>
      </c>
      <c r="D13" s="33" t="str">
        <f>IFERROR(VLOOKUP(H13,'[1]Consolidado MP Planta'!$A$2:$M$823,13,0),"")</f>
        <v/>
      </c>
      <c r="E13" s="33" t="str">
        <f>IFERROR(VLOOKUP(H13,'[1]Consolidado MP Planta'!$A$2:$M$823,12,0),"")</f>
        <v/>
      </c>
      <c r="F13" s="33" t="str">
        <f t="shared" si="2"/>
        <v/>
      </c>
      <c r="G13" s="34" t="str">
        <f t="shared" si="0"/>
        <v/>
      </c>
      <c r="H13" s="35"/>
      <c r="I13" s="35"/>
      <c r="J13" s="36"/>
    </row>
    <row r="14" spans="1:10" ht="13.5" hidden="1" x14ac:dyDescent="0.25">
      <c r="A14" s="31"/>
      <c r="B14" s="19" t="str">
        <f>IFERROR(VLOOKUP(H14,'[1]Consolidado MP Planta'!$A$2:$M$823,3,0),"")</f>
        <v/>
      </c>
      <c r="C14" s="32">
        <f t="shared" si="1"/>
        <v>0</v>
      </c>
      <c r="D14" s="33" t="str">
        <f>IFERROR(VLOOKUP(H14,'[1]Consolidado MP Planta'!$A$2:$M$823,13,0),"")</f>
        <v/>
      </c>
      <c r="E14" s="33" t="str">
        <f>IFERROR(VLOOKUP(H14,'[1]Consolidado MP Planta'!$A$2:$M$823,12,0),"")</f>
        <v/>
      </c>
      <c r="F14" s="33" t="str">
        <f t="shared" si="2"/>
        <v/>
      </c>
      <c r="G14" s="34" t="str">
        <f t="shared" si="0"/>
        <v/>
      </c>
      <c r="H14" s="35"/>
      <c r="I14" s="35"/>
      <c r="J14" s="36"/>
    </row>
    <row r="15" spans="1:10" ht="14.25" hidden="1" thickBot="1" x14ac:dyDescent="0.3">
      <c r="A15" s="31"/>
      <c r="B15" s="19" t="str">
        <f>IFERROR(VLOOKUP(H15,[2]Hoja2!$A$2:$G$589,2,0),"")</f>
        <v/>
      </c>
      <c r="C15" s="32"/>
      <c r="D15" s="33"/>
      <c r="E15" s="33"/>
      <c r="F15" s="33"/>
      <c r="G15" s="34"/>
      <c r="H15" s="35"/>
      <c r="I15" s="35"/>
      <c r="J15" s="36"/>
    </row>
    <row r="16" spans="1:10" ht="26.25" thickBot="1" x14ac:dyDescent="0.3">
      <c r="A16" s="26" t="s">
        <v>71</v>
      </c>
      <c r="B16" s="27" t="s">
        <v>78</v>
      </c>
      <c r="C16" s="27" t="s">
        <v>71</v>
      </c>
      <c r="D16" s="28" t="s">
        <v>73</v>
      </c>
      <c r="E16" s="28" t="s">
        <v>74</v>
      </c>
      <c r="F16" s="28" t="s">
        <v>75</v>
      </c>
      <c r="G16" s="28" t="s">
        <v>76</v>
      </c>
      <c r="H16" s="29" t="s">
        <v>77</v>
      </c>
      <c r="I16" s="30"/>
      <c r="J16" s="36"/>
    </row>
    <row r="17" spans="1:12" ht="13.5" x14ac:dyDescent="0.25">
      <c r="A17" s="31">
        <v>240</v>
      </c>
      <c r="B17" s="19" t="s">
        <v>40</v>
      </c>
      <c r="C17" s="32">
        <f>+A17</f>
        <v>240</v>
      </c>
      <c r="D17" s="32" t="s">
        <v>116</v>
      </c>
      <c r="E17" s="33">
        <f>+'Costo Relleno Salsa mora '!E69</f>
        <v>2.9002269999999997</v>
      </c>
      <c r="F17" s="33">
        <f>IFERROR(E17*C17,"")</f>
        <v>696.0544799999999</v>
      </c>
      <c r="G17" s="34">
        <f t="shared" ref="G17:G24" si="3">IFERROR(F17/$F$66,"")</f>
        <v>0.86970329251751399</v>
      </c>
      <c r="H17" s="35"/>
      <c r="I17" s="35"/>
      <c r="J17" s="36"/>
    </row>
    <row r="18" spans="1:12" ht="13.5" hidden="1" x14ac:dyDescent="0.25">
      <c r="A18" s="31"/>
      <c r="B18" s="19" t="str">
        <f>IFERROR(VLOOKUP(H18,[1]SEMIELABORADOS!$A$2:$M$6000,2,0),"")</f>
        <v/>
      </c>
      <c r="C18" s="32">
        <f t="shared" ref="C18:C24" si="4">+A18</f>
        <v>0</v>
      </c>
      <c r="D18" s="32" t="str">
        <f>IFERROR(VLOOKUP(H18,[1]SEMIELABORADOS!$A$2:$M$6000,6,0),"")</f>
        <v/>
      </c>
      <c r="E18" s="33" t="str">
        <f>IFERROR(VLOOKUP(H18,[1]SEMIELABORADOS!$A$2:$H$65536,8,0),"")</f>
        <v/>
      </c>
      <c r="F18" s="33" t="str">
        <f t="shared" ref="F18:F24" si="5">IFERROR(E18*C18,"")</f>
        <v/>
      </c>
      <c r="G18" s="34" t="str">
        <f t="shared" si="3"/>
        <v/>
      </c>
      <c r="H18" s="35"/>
      <c r="I18" s="35"/>
      <c r="J18" s="36"/>
    </row>
    <row r="19" spans="1:12" ht="13.5" hidden="1" x14ac:dyDescent="0.25">
      <c r="A19" s="31"/>
      <c r="B19" s="19" t="str">
        <f>IFERROR(VLOOKUP(H19,[1]SEMIELABORADOS!$A$2:$M$6000,2,0),"")</f>
        <v/>
      </c>
      <c r="C19" s="32">
        <f>+A19</f>
        <v>0</v>
      </c>
      <c r="D19" s="32" t="str">
        <f>IFERROR(VLOOKUP(H19,[1]SEMIELABORADOS!$A$2:$M$6000,6,0),"")</f>
        <v/>
      </c>
      <c r="E19" s="33" t="str">
        <f>IFERROR(VLOOKUP(H19,[1]SEMIELABORADOS!$A$2:$H$65536,8,0),"")</f>
        <v/>
      </c>
      <c r="F19" s="33" t="str">
        <f>IFERROR(E19*C19,"")</f>
        <v/>
      </c>
      <c r="G19" s="34" t="str">
        <f t="shared" si="3"/>
        <v/>
      </c>
      <c r="H19" s="35"/>
      <c r="I19" s="35"/>
      <c r="J19" s="36"/>
    </row>
    <row r="20" spans="1:12" ht="13.5" hidden="1" x14ac:dyDescent="0.25">
      <c r="A20" s="31"/>
      <c r="B20" s="19" t="str">
        <f>IFERROR(VLOOKUP(H20,[1]SEMIELABORADOS!$A$2:$M$6000,2,0),"")</f>
        <v/>
      </c>
      <c r="C20" s="32">
        <f>+A20</f>
        <v>0</v>
      </c>
      <c r="D20" s="32" t="str">
        <f>IFERROR(VLOOKUP(H20,[1]SEMIELABORADOS!$A$2:$M$6000,6,0),"")</f>
        <v/>
      </c>
      <c r="E20" s="33" t="str">
        <f>IFERROR(VLOOKUP(H20,[1]SEMIELABORADOS!$A$2:$H$65536,8,0),"")</f>
        <v/>
      </c>
      <c r="F20" s="33" t="str">
        <f>IFERROR(E20*C20,"")</f>
        <v/>
      </c>
      <c r="G20" s="34" t="str">
        <f t="shared" si="3"/>
        <v/>
      </c>
      <c r="H20" s="35"/>
      <c r="I20" s="35"/>
      <c r="J20" s="36"/>
    </row>
    <row r="21" spans="1:12" ht="13.5" hidden="1" x14ac:dyDescent="0.25">
      <c r="A21" s="31"/>
      <c r="B21" s="19" t="str">
        <f>IFERROR(VLOOKUP(H21,[1]SEMIELABORADOS!$A$2:$M$6000,2,0),"")</f>
        <v/>
      </c>
      <c r="C21" s="32">
        <f>+A21</f>
        <v>0</v>
      </c>
      <c r="D21" s="32" t="str">
        <f>IFERROR(VLOOKUP(H21,[1]SEMIELABORADOS!$A$2:$M$6000,6,0),"")</f>
        <v/>
      </c>
      <c r="E21" s="33" t="str">
        <f>IFERROR(VLOOKUP(H21,[1]SEMIELABORADOS!$A$2:$H$65536,8,0),"")</f>
        <v/>
      </c>
      <c r="F21" s="33" t="str">
        <f>IFERROR(E21*C21,"")</f>
        <v/>
      </c>
      <c r="G21" s="34" t="str">
        <f t="shared" si="3"/>
        <v/>
      </c>
      <c r="H21" s="35"/>
      <c r="I21" s="35"/>
      <c r="J21" s="36"/>
    </row>
    <row r="22" spans="1:12" ht="13.5" hidden="1" x14ac:dyDescent="0.25">
      <c r="A22" s="31"/>
      <c r="B22" s="19" t="str">
        <f>IFERROR(VLOOKUP(H22,[1]SEMIELABORADOS!$A$2:$M$6000,2,0),"")</f>
        <v/>
      </c>
      <c r="C22" s="32">
        <f t="shared" si="4"/>
        <v>0</v>
      </c>
      <c r="D22" s="32" t="str">
        <f>IFERROR(VLOOKUP(H22,[1]SEMIELABORADOS!$A$2:$M$6000,6,0),"")</f>
        <v/>
      </c>
      <c r="E22" s="33" t="str">
        <f>IFERROR(VLOOKUP(H22,[1]SEMIELABORADOS!$A$2:$H$65536,8,0),"")</f>
        <v/>
      </c>
      <c r="F22" s="33" t="str">
        <f t="shared" si="5"/>
        <v/>
      </c>
      <c r="G22" s="34" t="str">
        <f t="shared" si="3"/>
        <v/>
      </c>
      <c r="H22" s="35"/>
      <c r="I22" s="35"/>
      <c r="J22" s="36"/>
    </row>
    <row r="23" spans="1:12" ht="13.5" hidden="1" x14ac:dyDescent="0.25">
      <c r="A23" s="31"/>
      <c r="B23" s="19" t="str">
        <f>IFERROR(VLOOKUP(H23,[1]SEMIELABORADOS!$A$2:$M$6000,2,0),"")</f>
        <v/>
      </c>
      <c r="C23" s="32">
        <f t="shared" si="4"/>
        <v>0</v>
      </c>
      <c r="D23" s="32" t="str">
        <f>IFERROR(VLOOKUP(H23,[1]SEMIELABORADOS!$A$2:$M$6000,6,0),"")</f>
        <v/>
      </c>
      <c r="E23" s="33" t="str">
        <f>IFERROR(VLOOKUP(H23,[1]SEMIELABORADOS!$A$2:$H$65536,8,0),"")</f>
        <v/>
      </c>
      <c r="F23" s="33" t="str">
        <f t="shared" si="5"/>
        <v/>
      </c>
      <c r="G23" s="34" t="str">
        <f t="shared" si="3"/>
        <v/>
      </c>
      <c r="H23" s="35"/>
      <c r="I23" s="35"/>
      <c r="J23" s="36"/>
    </row>
    <row r="24" spans="1:12" ht="13.5" hidden="1" x14ac:dyDescent="0.25">
      <c r="A24" s="31"/>
      <c r="B24" s="19" t="str">
        <f>IFERROR(VLOOKUP(H24,[1]SEMIELABORADOS!$A$2:$M$6000,2,0),"")</f>
        <v/>
      </c>
      <c r="C24" s="32">
        <f t="shared" si="4"/>
        <v>0</v>
      </c>
      <c r="D24" s="32" t="str">
        <f>IFERROR(VLOOKUP(H24,[1]SEMIELABORADOS!$A$2:$M$6000,6,0),"")</f>
        <v/>
      </c>
      <c r="E24" s="33" t="str">
        <f>IFERROR(VLOOKUP(H24,[1]SEMIELABORADOS!$A$2:$H$65536,8,0),"")</f>
        <v/>
      </c>
      <c r="F24" s="33" t="str">
        <f t="shared" si="5"/>
        <v/>
      </c>
      <c r="G24" s="34" t="str">
        <f t="shared" si="3"/>
        <v/>
      </c>
      <c r="H24" s="35"/>
      <c r="I24" s="35"/>
      <c r="J24" s="36"/>
    </row>
    <row r="25" spans="1:12" ht="14.25" thickBot="1" x14ac:dyDescent="0.3">
      <c r="A25" s="31"/>
      <c r="C25" s="32"/>
      <c r="D25" s="32"/>
      <c r="E25" s="33"/>
      <c r="F25" s="33"/>
      <c r="G25" s="34"/>
      <c r="H25" s="35"/>
      <c r="I25" s="35"/>
      <c r="J25" s="36"/>
    </row>
    <row r="26" spans="1:12" ht="26.25" thickBot="1" x14ac:dyDescent="0.3">
      <c r="A26" s="26" t="s">
        <v>71</v>
      </c>
      <c r="B26" s="27" t="s">
        <v>61</v>
      </c>
      <c r="C26" s="27" t="s">
        <v>71</v>
      </c>
      <c r="D26" s="28" t="s">
        <v>73</v>
      </c>
      <c r="E26" s="28" t="s">
        <v>74</v>
      </c>
      <c r="F26" s="28" t="s">
        <v>75</v>
      </c>
      <c r="G26" s="28" t="s">
        <v>76</v>
      </c>
      <c r="H26" s="29" t="s">
        <v>77</v>
      </c>
      <c r="I26" s="30"/>
    </row>
    <row r="27" spans="1:12" ht="13.5" x14ac:dyDescent="0.25">
      <c r="A27" s="31">
        <v>1</v>
      </c>
      <c r="B27" s="37" t="s">
        <v>42</v>
      </c>
      <c r="C27" s="32">
        <f t="shared" ref="C27:C29" si="6">+A27</f>
        <v>1</v>
      </c>
      <c r="D27" s="33" t="s">
        <v>117</v>
      </c>
      <c r="E27" s="33">
        <v>12.5</v>
      </c>
      <c r="F27" s="33">
        <f t="shared" ref="F27:F29" si="7">IFERROR(C27*E27,"")</f>
        <v>12.5</v>
      </c>
      <c r="G27" s="34">
        <f t="shared" ref="G27:G29" si="8">IFERROR(F27/$F$66,"")</f>
        <v>1.5618448654290577E-2</v>
      </c>
      <c r="H27" s="38" t="s">
        <v>41</v>
      </c>
      <c r="I27" s="38"/>
      <c r="J27" s="36"/>
      <c r="K27" s="192"/>
      <c r="L27" s="192"/>
    </row>
    <row r="28" spans="1:12" ht="13.5" x14ac:dyDescent="0.25">
      <c r="A28" s="31">
        <v>1</v>
      </c>
      <c r="B28" s="37" t="s">
        <v>44</v>
      </c>
      <c r="C28" s="32">
        <f t="shared" si="6"/>
        <v>1</v>
      </c>
      <c r="D28" s="33" t="s">
        <v>117</v>
      </c>
      <c r="E28" s="33">
        <v>0.57999999999999996</v>
      </c>
      <c r="F28" s="33">
        <f t="shared" si="7"/>
        <v>0.57999999999999996</v>
      </c>
      <c r="G28" s="34">
        <f t="shared" si="8"/>
        <v>7.246960175590827E-4</v>
      </c>
      <c r="H28" s="38" t="s">
        <v>43</v>
      </c>
      <c r="I28" s="38"/>
      <c r="J28" s="36"/>
      <c r="K28" s="192"/>
      <c r="L28" s="192"/>
    </row>
    <row r="29" spans="1:12" ht="13.5" x14ac:dyDescent="0.25">
      <c r="A29" s="31">
        <v>1</v>
      </c>
      <c r="B29" s="37" t="s">
        <v>46</v>
      </c>
      <c r="C29" s="32">
        <f t="shared" si="6"/>
        <v>1</v>
      </c>
      <c r="D29" s="33" t="s">
        <v>117</v>
      </c>
      <c r="E29" s="33">
        <v>0.28000000000000003</v>
      </c>
      <c r="F29" s="33">
        <f t="shared" si="7"/>
        <v>0.28000000000000003</v>
      </c>
      <c r="G29" s="34">
        <f t="shared" si="8"/>
        <v>3.4985324985610896E-4</v>
      </c>
      <c r="H29" s="38" t="s">
        <v>45</v>
      </c>
      <c r="I29" s="38"/>
      <c r="J29" s="36"/>
      <c r="K29" s="192"/>
      <c r="L29" s="192"/>
    </row>
    <row r="30" spans="1:12" ht="13.5" hidden="1" x14ac:dyDescent="0.25">
      <c r="A30" s="31"/>
      <c r="B30" s="37" t="str">
        <f>IFERROR(VLOOKUP(H30,'[1]Consolidado MP Planta'!$A$2:$M$823,3,0),"")</f>
        <v/>
      </c>
      <c r="C30" s="32">
        <f t="shared" ref="C30:C32" si="9">+A30</f>
        <v>0</v>
      </c>
      <c r="D30" s="33" t="str">
        <f>IFERROR(VLOOKUP(H30,'[1]Consolidado MP Planta'!$A$2:$M$823,13,0),"")</f>
        <v/>
      </c>
      <c r="E30" s="33" t="str">
        <f>IFERROR(VLOOKUP(H30,'[1]Consolidado MP Planta'!$A$2:$M$823,12,0),"")</f>
        <v/>
      </c>
      <c r="F30" s="33" t="str">
        <f t="shared" ref="F30:F32" si="10">IFERROR(C30*E30,"")</f>
        <v/>
      </c>
      <c r="G30" s="34" t="str">
        <f t="shared" ref="G30:G32" si="11">IFERROR(F30/$F$66,"")</f>
        <v/>
      </c>
      <c r="H30" s="38"/>
      <c r="I30" s="38"/>
      <c r="J30" s="36"/>
      <c r="K30" s="192"/>
      <c r="L30" s="192"/>
    </row>
    <row r="31" spans="1:12" ht="13.5" hidden="1" x14ac:dyDescent="0.25">
      <c r="A31" s="31"/>
      <c r="B31" s="37" t="str">
        <f>IFERROR(VLOOKUP(H31,'[1]Consolidado MP Planta'!$A$2:$M$823,3,0),"")</f>
        <v/>
      </c>
      <c r="C31" s="32">
        <f t="shared" si="9"/>
        <v>0</v>
      </c>
      <c r="D31" s="33" t="str">
        <f>IFERROR(VLOOKUP(H31,'[1]Consolidado MP Planta'!$A$2:$M$823,13,0),"")</f>
        <v/>
      </c>
      <c r="E31" s="33" t="str">
        <f>IFERROR(VLOOKUP(H31,'[1]Consolidado MP Planta'!$A$2:$M$823,12,0),"")</f>
        <v/>
      </c>
      <c r="F31" s="33" t="str">
        <f t="shared" si="10"/>
        <v/>
      </c>
      <c r="G31" s="34" t="str">
        <f t="shared" si="11"/>
        <v/>
      </c>
      <c r="H31" s="38"/>
      <c r="I31" s="38"/>
      <c r="J31" s="36"/>
      <c r="K31" s="39"/>
      <c r="L31" s="40"/>
    </row>
    <row r="32" spans="1:12" ht="13.5" hidden="1" x14ac:dyDescent="0.25">
      <c r="A32" s="31"/>
      <c r="B32" s="37" t="str">
        <f>IFERROR(VLOOKUP(H32,'[1]Consolidado MP Planta'!$A$2:$M$823,3,0),"")</f>
        <v/>
      </c>
      <c r="C32" s="32">
        <f t="shared" si="9"/>
        <v>0</v>
      </c>
      <c r="D32" s="33" t="str">
        <f>IFERROR(VLOOKUP(H32,'[1]Consolidado MP Planta'!$A$2:$M$823,13,0),"")</f>
        <v/>
      </c>
      <c r="E32" s="33" t="str">
        <f>IFERROR(VLOOKUP(H32,'[1]Consolidado MP Planta'!$A$2:$M$823,12,0),"")</f>
        <v/>
      </c>
      <c r="F32" s="33" t="str">
        <f t="shared" si="10"/>
        <v/>
      </c>
      <c r="G32" s="34" t="str">
        <f t="shared" si="11"/>
        <v/>
      </c>
      <c r="H32" s="38"/>
      <c r="I32" s="38"/>
      <c r="J32" s="36"/>
    </row>
    <row r="33" spans="1:13" ht="14.25" thickBot="1" x14ac:dyDescent="0.3">
      <c r="A33" s="31"/>
      <c r="B33" s="37"/>
      <c r="C33" s="32"/>
      <c r="D33" s="33"/>
      <c r="E33" s="33"/>
      <c r="F33" s="33"/>
      <c r="G33" s="34"/>
      <c r="H33" s="38"/>
      <c r="I33" s="38"/>
      <c r="J33" s="36"/>
    </row>
    <row r="34" spans="1:13" ht="26.25" thickBot="1" x14ac:dyDescent="0.25">
      <c r="A34" s="26" t="s">
        <v>71</v>
      </c>
      <c r="B34" s="27" t="s">
        <v>79</v>
      </c>
      <c r="C34" s="27" t="s">
        <v>71</v>
      </c>
      <c r="D34" s="28" t="s">
        <v>73</v>
      </c>
      <c r="E34" s="28" t="s">
        <v>74</v>
      </c>
      <c r="F34" s="28" t="s">
        <v>75</v>
      </c>
      <c r="G34" s="28" t="s">
        <v>76</v>
      </c>
      <c r="H34" s="29" t="s">
        <v>77</v>
      </c>
      <c r="I34" s="38"/>
      <c r="J34" s="36"/>
    </row>
    <row r="35" spans="1:13" ht="13.5" x14ac:dyDescent="0.25">
      <c r="A35" s="31">
        <f>+A17</f>
        <v>240</v>
      </c>
      <c r="B35" s="37" t="s">
        <v>40</v>
      </c>
      <c r="C35" s="32">
        <f>+A35</f>
        <v>240</v>
      </c>
      <c r="D35" s="33" t="s">
        <v>116</v>
      </c>
      <c r="E35" s="33">
        <f>+'Costo Relleno Salsa mora '!E76</f>
        <v>0</v>
      </c>
      <c r="F35" s="33">
        <f>IFERROR(E35*C35,"")</f>
        <v>0</v>
      </c>
      <c r="G35" s="34">
        <f t="shared" ref="G35:G41" si="12">IFERROR(F35/$F$66,"")</f>
        <v>0</v>
      </c>
      <c r="H35" s="38"/>
      <c r="I35" s="38"/>
      <c r="J35" s="36"/>
    </row>
    <row r="36" spans="1:13" ht="13.5" hidden="1" x14ac:dyDescent="0.25">
      <c r="A36" s="31">
        <f t="shared" ref="A36:A41" si="13">+A18</f>
        <v>0</v>
      </c>
      <c r="B36" s="37" t="str">
        <f>IFERROR(VLOOKUP(H36,[1]SEMIELABORADOS!$A$2:$M$6000,2,0),"")</f>
        <v/>
      </c>
      <c r="C36" s="32">
        <f t="shared" ref="C36:C41" si="14">+A36</f>
        <v>0</v>
      </c>
      <c r="D36" s="33" t="str">
        <f>IFERROR(VLOOKUP(H36,[1]SEMIELABORADOS!$A$2:$M$6000,6,0),"")</f>
        <v/>
      </c>
      <c r="E36" s="33" t="str">
        <f>IFERROR(VLOOKUP(H36,[1]SEMIELABORADOS!$A$2:$M$65536,10,0),"")</f>
        <v/>
      </c>
      <c r="F36" s="33" t="str">
        <f t="shared" ref="F36:F41" si="15">IFERROR(E36*C36,"")</f>
        <v/>
      </c>
      <c r="G36" s="34" t="str">
        <f t="shared" si="12"/>
        <v/>
      </c>
      <c r="H36" s="38"/>
      <c r="I36" s="38"/>
      <c r="J36" s="36"/>
    </row>
    <row r="37" spans="1:13" ht="13.5" hidden="1" x14ac:dyDescent="0.25">
      <c r="A37" s="31">
        <f t="shared" si="13"/>
        <v>0</v>
      </c>
      <c r="B37" s="37" t="str">
        <f>IFERROR(VLOOKUP(H37,[1]SEMIELABORADOS!$A$2:$M$6000,2,0),"")</f>
        <v/>
      </c>
      <c r="C37" s="32">
        <f t="shared" si="14"/>
        <v>0</v>
      </c>
      <c r="D37" s="33" t="str">
        <f>IFERROR(VLOOKUP(H37,[1]SEMIELABORADOS!$A$2:$M$6000,6,0),"")</f>
        <v/>
      </c>
      <c r="E37" s="33" t="str">
        <f>IFERROR(VLOOKUP(H37,[1]SEMIELABORADOS!$A$2:$M$65536,10,0),"")</f>
        <v/>
      </c>
      <c r="F37" s="33" t="str">
        <f t="shared" si="15"/>
        <v/>
      </c>
      <c r="G37" s="34" t="str">
        <f t="shared" si="12"/>
        <v/>
      </c>
      <c r="H37" s="38"/>
      <c r="I37" s="38"/>
      <c r="J37" s="36"/>
    </row>
    <row r="38" spans="1:13" ht="13.5" hidden="1" x14ac:dyDescent="0.25">
      <c r="A38" s="31">
        <f t="shared" si="13"/>
        <v>0</v>
      </c>
      <c r="B38" s="37" t="str">
        <f>IFERROR(VLOOKUP(H38,[1]SEMIELABORADOS!$A$2:$M$6000,2,0),"")</f>
        <v/>
      </c>
      <c r="C38" s="32">
        <f>+A38</f>
        <v>0</v>
      </c>
      <c r="D38" s="33" t="str">
        <f>IFERROR(VLOOKUP(H38,[1]SEMIELABORADOS!$A$2:$M$6000,6,0),"")</f>
        <v/>
      </c>
      <c r="E38" s="33" t="str">
        <f>IFERROR(VLOOKUP(H38,[1]SEMIELABORADOS!$A$2:$M$65536,10,0),"")</f>
        <v/>
      </c>
      <c r="F38" s="33" t="str">
        <f>IFERROR(E38*C38,"")</f>
        <v/>
      </c>
      <c r="G38" s="34" t="str">
        <f t="shared" si="12"/>
        <v/>
      </c>
      <c r="H38" s="38"/>
      <c r="I38" s="38"/>
      <c r="J38" s="36"/>
    </row>
    <row r="39" spans="1:13" ht="13.5" hidden="1" x14ac:dyDescent="0.25">
      <c r="A39" s="31">
        <f t="shared" si="13"/>
        <v>0</v>
      </c>
      <c r="B39" s="37" t="str">
        <f>IFERROR(VLOOKUP(H39,[1]SEMIELABORADOS!$A$2:$M$6000,2,0),"")</f>
        <v/>
      </c>
      <c r="C39" s="32">
        <f>+A39</f>
        <v>0</v>
      </c>
      <c r="D39" s="33" t="str">
        <f>IFERROR(VLOOKUP(H39,[1]SEMIELABORADOS!$A$2:$M$6000,6,0),"")</f>
        <v/>
      </c>
      <c r="E39" s="33" t="str">
        <f>IFERROR(VLOOKUP(H39,[1]SEMIELABORADOS!$A$2:$M$65536,10,0),"")</f>
        <v/>
      </c>
      <c r="F39" s="33" t="str">
        <f>IFERROR(E39*C39,"")</f>
        <v/>
      </c>
      <c r="G39" s="34" t="str">
        <f t="shared" si="12"/>
        <v/>
      </c>
      <c r="H39" s="38"/>
      <c r="I39" s="38"/>
      <c r="J39" s="36"/>
    </row>
    <row r="40" spans="1:13" ht="13.5" hidden="1" x14ac:dyDescent="0.25">
      <c r="A40" s="31">
        <f t="shared" si="13"/>
        <v>0</v>
      </c>
      <c r="B40" s="37" t="str">
        <f>IFERROR(VLOOKUP(H40,[1]SEMIELABORADOS!$A$2:$M$6000,2,0),"")</f>
        <v/>
      </c>
      <c r="C40" s="32">
        <f t="shared" si="14"/>
        <v>0</v>
      </c>
      <c r="D40" s="33" t="str">
        <f>IFERROR(VLOOKUP(H40,[1]SEMIELABORADOS!$A$2:$M$6000,6,0),"")</f>
        <v/>
      </c>
      <c r="E40" s="33" t="str">
        <f>IFERROR(VLOOKUP(H40,[1]SEMIELABORADOS!$A$2:$M$65536,10,0),"")</f>
        <v/>
      </c>
      <c r="F40" s="33" t="str">
        <f t="shared" si="15"/>
        <v/>
      </c>
      <c r="G40" s="34" t="str">
        <f t="shared" si="12"/>
        <v/>
      </c>
      <c r="H40" s="38"/>
      <c r="I40" s="38"/>
      <c r="J40" s="36"/>
    </row>
    <row r="41" spans="1:13" ht="13.5" hidden="1" x14ac:dyDescent="0.25">
      <c r="A41" s="31">
        <f t="shared" si="13"/>
        <v>0</v>
      </c>
      <c r="B41" s="37" t="str">
        <f>IFERROR(VLOOKUP(H41,[1]SEMIELABORADOS!$A$2:$M$6000,2,0),"")</f>
        <v/>
      </c>
      <c r="C41" s="32">
        <f t="shared" si="14"/>
        <v>0</v>
      </c>
      <c r="D41" s="33" t="str">
        <f>IFERROR(VLOOKUP(H41,[1]SEMIELABORADOS!$A$2:$M$6000,6,0),"")</f>
        <v/>
      </c>
      <c r="E41" s="33" t="str">
        <f>IFERROR(VLOOKUP(H41,[1]SEMIELABORADOS!$A$2:$M$65536,10,0),"")</f>
        <v/>
      </c>
      <c r="F41" s="33" t="str">
        <f t="shared" si="15"/>
        <v/>
      </c>
      <c r="G41" s="34" t="str">
        <f t="shared" si="12"/>
        <v/>
      </c>
      <c r="H41" s="38"/>
      <c r="I41" s="38"/>
      <c r="J41" s="36"/>
    </row>
    <row r="42" spans="1:13" ht="14.25" thickBot="1" x14ac:dyDescent="0.3">
      <c r="A42" s="31"/>
      <c r="B42" s="37"/>
      <c r="C42" s="32"/>
      <c r="D42" s="33"/>
      <c r="E42" s="33"/>
      <c r="F42" s="33"/>
      <c r="G42" s="34"/>
      <c r="H42" s="38"/>
      <c r="I42" s="38"/>
      <c r="J42" s="36"/>
    </row>
    <row r="43" spans="1:13" ht="26.25" thickBot="1" x14ac:dyDescent="0.3">
      <c r="A43" s="26" t="s">
        <v>71</v>
      </c>
      <c r="B43" s="27" t="s">
        <v>80</v>
      </c>
      <c r="C43" s="27" t="s">
        <v>71</v>
      </c>
      <c r="D43" s="28" t="s">
        <v>73</v>
      </c>
      <c r="E43" s="28" t="s">
        <v>74</v>
      </c>
      <c r="F43" s="28" t="s">
        <v>75</v>
      </c>
      <c r="G43" s="28" t="s">
        <v>76</v>
      </c>
      <c r="H43" s="29" t="s">
        <v>77</v>
      </c>
      <c r="I43" s="30"/>
      <c r="J43" s="36"/>
    </row>
    <row r="44" spans="1:13" ht="13.5" x14ac:dyDescent="0.25">
      <c r="A44" s="31">
        <f>+A35</f>
        <v>240</v>
      </c>
      <c r="B44" s="37" t="s">
        <v>40</v>
      </c>
      <c r="C44" s="32">
        <f>+A44</f>
        <v>240</v>
      </c>
      <c r="D44" s="33" t="s">
        <v>116</v>
      </c>
      <c r="E44" s="33">
        <f>+'Costo Relleno Salsa mora '!E74</f>
        <v>0.154</v>
      </c>
      <c r="F44" s="33">
        <f>IFERROR(E44*C44,"")</f>
        <v>36.96</v>
      </c>
      <c r="G44" s="34">
        <f>IFERROR(F44/$F$66,"")</f>
        <v>4.6180628981006375E-2</v>
      </c>
      <c r="H44" s="38"/>
      <c r="I44" s="30"/>
      <c r="J44" s="36"/>
    </row>
    <row r="45" spans="1:13" ht="13.5" hidden="1" x14ac:dyDescent="0.25">
      <c r="A45" s="31">
        <f t="shared" ref="A45:A50" si="16">+A36</f>
        <v>0</v>
      </c>
      <c r="B45" s="37" t="str">
        <f>IFERROR(VLOOKUP(H45,[1]SEMIELABORADOS!$A$2:$M$6000,2,0),"")</f>
        <v/>
      </c>
      <c r="C45" s="32">
        <f t="shared" ref="C45:C50" si="17">+A45</f>
        <v>0</v>
      </c>
      <c r="D45" s="33" t="str">
        <f>IFERROR(VLOOKUP(H45,[1]SEMIELABORADOS!$A$2:$M$6000,6,0),"")</f>
        <v/>
      </c>
      <c r="E45" s="33" t="str">
        <f>IFERROR(VLOOKUP(H45,[1]SEMIELABORADOS!$A$2:$M$65536,12,0),"")</f>
        <v/>
      </c>
      <c r="F45" s="33" t="str">
        <f t="shared" ref="F45:F50" si="18">IFERROR(E45*C45,"")</f>
        <v/>
      </c>
      <c r="G45" s="34" t="str">
        <f t="shared" ref="G45:G50" si="19">IFERROR(F45/$F$66,"")</f>
        <v/>
      </c>
      <c r="H45" s="38"/>
      <c r="I45" s="30"/>
      <c r="J45" s="36"/>
      <c r="M45" s="41"/>
    </row>
    <row r="46" spans="1:13" ht="13.5" hidden="1" x14ac:dyDescent="0.25">
      <c r="A46" s="31">
        <f t="shared" si="16"/>
        <v>0</v>
      </c>
      <c r="B46" s="37" t="str">
        <f>IFERROR(VLOOKUP(H46,[1]SEMIELABORADOS!$A$2:$M$6000,2,0),"")</f>
        <v/>
      </c>
      <c r="C46" s="32">
        <f t="shared" si="17"/>
        <v>0</v>
      </c>
      <c r="D46" s="33" t="str">
        <f>IFERROR(VLOOKUP(H46,[1]SEMIELABORADOS!$A$2:$M$6000,6,0),"")</f>
        <v/>
      </c>
      <c r="E46" s="33" t="str">
        <f>IFERROR(VLOOKUP(H46,[1]SEMIELABORADOS!$A$2:$M$65536,12,0),"")</f>
        <v/>
      </c>
      <c r="F46" s="33" t="str">
        <f t="shared" si="18"/>
        <v/>
      </c>
      <c r="G46" s="34" t="str">
        <f t="shared" si="19"/>
        <v/>
      </c>
      <c r="H46" s="38"/>
      <c r="I46" s="30"/>
      <c r="J46" s="36"/>
    </row>
    <row r="47" spans="1:13" ht="13.5" hidden="1" x14ac:dyDescent="0.25">
      <c r="A47" s="31">
        <f t="shared" si="16"/>
        <v>0</v>
      </c>
      <c r="B47" s="37" t="str">
        <f>IFERROR(VLOOKUP(H47,[1]SEMIELABORADOS!$A$2:$M$6000,2,0),"")</f>
        <v/>
      </c>
      <c r="C47" s="32">
        <f t="shared" si="17"/>
        <v>0</v>
      </c>
      <c r="D47" s="33" t="str">
        <f>IFERROR(VLOOKUP(H47,[1]SEMIELABORADOS!$A$2:$M$6000,6,0),"")</f>
        <v/>
      </c>
      <c r="E47" s="33" t="str">
        <f>IFERROR(VLOOKUP(H47,[1]SEMIELABORADOS!$A$2:$M$65536,12,0),"")</f>
        <v/>
      </c>
      <c r="F47" s="33" t="str">
        <f t="shared" si="18"/>
        <v/>
      </c>
      <c r="G47" s="34" t="str">
        <f t="shared" si="19"/>
        <v/>
      </c>
      <c r="H47" s="38"/>
      <c r="I47" s="30"/>
      <c r="J47" s="36"/>
    </row>
    <row r="48" spans="1:13" ht="13.5" hidden="1" x14ac:dyDescent="0.25">
      <c r="A48" s="31">
        <f t="shared" si="16"/>
        <v>0</v>
      </c>
      <c r="B48" s="37" t="str">
        <f>IFERROR(VLOOKUP(H48,[1]SEMIELABORADOS!$A$2:$M$6000,2,0),"")</f>
        <v/>
      </c>
      <c r="C48" s="32">
        <f t="shared" si="17"/>
        <v>0</v>
      </c>
      <c r="D48" s="33" t="str">
        <f>IFERROR(VLOOKUP(H48,[1]SEMIELABORADOS!$A$2:$M$6000,6,0),"")</f>
        <v/>
      </c>
      <c r="E48" s="33" t="str">
        <f>IFERROR(VLOOKUP(H48,[1]SEMIELABORADOS!$A$2:$M$65536,12,0),"")</f>
        <v/>
      </c>
      <c r="F48" s="33" t="str">
        <f t="shared" si="18"/>
        <v/>
      </c>
      <c r="G48" s="34" t="str">
        <f t="shared" si="19"/>
        <v/>
      </c>
      <c r="H48" s="38"/>
      <c r="I48" s="30"/>
      <c r="J48" s="36"/>
    </row>
    <row r="49" spans="1:17" ht="13.5" hidden="1" x14ac:dyDescent="0.25">
      <c r="A49" s="31">
        <f t="shared" si="16"/>
        <v>0</v>
      </c>
      <c r="B49" s="37" t="str">
        <f>IFERROR(VLOOKUP(H49,[1]SEMIELABORADOS!$A$2:$M$6000,2,0),"")</f>
        <v/>
      </c>
      <c r="C49" s="32">
        <f t="shared" si="17"/>
        <v>0</v>
      </c>
      <c r="D49" s="33" t="str">
        <f>IFERROR(VLOOKUP(H49,[1]SEMIELABORADOS!$A$2:$M$6000,6,0),"")</f>
        <v/>
      </c>
      <c r="E49" s="33" t="str">
        <f>IFERROR(VLOOKUP(H49,[1]SEMIELABORADOS!$A$2:$M$65536,12,0),"")</f>
        <v/>
      </c>
      <c r="F49" s="33" t="str">
        <f t="shared" si="18"/>
        <v/>
      </c>
      <c r="G49" s="34" t="str">
        <f t="shared" si="19"/>
        <v/>
      </c>
      <c r="H49" s="38"/>
      <c r="I49" s="30"/>
      <c r="J49" s="36"/>
    </row>
    <row r="50" spans="1:17" ht="13.5" hidden="1" x14ac:dyDescent="0.25">
      <c r="A50" s="31">
        <f t="shared" si="16"/>
        <v>0</v>
      </c>
      <c r="B50" s="37" t="str">
        <f>IFERROR(VLOOKUP(H50,[1]SEMIELABORADOS!$A$2:$M$6000,2,0),"")</f>
        <v/>
      </c>
      <c r="C50" s="32">
        <f t="shared" si="17"/>
        <v>0</v>
      </c>
      <c r="D50" s="33" t="str">
        <f>IFERROR(VLOOKUP(H50,[1]SEMIELABORADOS!$A$2:$M$6000,6,0),"")</f>
        <v/>
      </c>
      <c r="E50" s="33" t="str">
        <f>IFERROR(VLOOKUP(H50,[1]SEMIELABORADOS!$A$2:$M$65536,12,0),"")</f>
        <v/>
      </c>
      <c r="F50" s="33" t="str">
        <f t="shared" si="18"/>
        <v/>
      </c>
      <c r="G50" s="34" t="str">
        <f t="shared" si="19"/>
        <v/>
      </c>
      <c r="H50" s="37"/>
      <c r="I50" s="30"/>
      <c r="J50" s="36"/>
    </row>
    <row r="51" spans="1:17" ht="13.5" x14ac:dyDescent="0.25">
      <c r="A51" s="31">
        <v>1</v>
      </c>
      <c r="B51" s="37" t="s">
        <v>81</v>
      </c>
      <c r="C51" s="32">
        <f>+A51</f>
        <v>1</v>
      </c>
      <c r="D51" s="32" t="s">
        <v>82</v>
      </c>
      <c r="E51" s="33">
        <f>+F65</f>
        <v>77</v>
      </c>
      <c r="F51" s="33">
        <f>IFERROR(C51*E51,"")</f>
        <v>77</v>
      </c>
      <c r="G51" s="34">
        <f>IFERROR(F51/$F$66,"")</f>
        <v>9.6209643710429948E-2</v>
      </c>
      <c r="H51" s="42"/>
      <c r="I51" s="42"/>
      <c r="J51" s="36"/>
    </row>
    <row r="52" spans="1:17" ht="14.25" thickBot="1" x14ac:dyDescent="0.3">
      <c r="A52" s="31"/>
      <c r="B52" s="37"/>
      <c r="C52" s="32"/>
      <c r="D52" s="32"/>
      <c r="E52" s="33"/>
      <c r="F52" s="33"/>
      <c r="G52" s="34"/>
      <c r="H52" s="42"/>
      <c r="I52" s="42"/>
      <c r="J52" s="36"/>
    </row>
    <row r="53" spans="1:17" ht="13.5" thickBot="1" x14ac:dyDescent="0.3">
      <c r="A53" s="43"/>
      <c r="B53" s="193" t="s">
        <v>83</v>
      </c>
      <c r="C53" s="193"/>
      <c r="D53" s="193"/>
      <c r="E53" s="193"/>
      <c r="F53" s="45">
        <f>SUM(F8:F14,F17:F24)</f>
        <v>696.0544799999999</v>
      </c>
      <c r="G53" s="34">
        <f>+F53/$F$66</f>
        <v>0.86970329251751399</v>
      </c>
      <c r="H53" s="46">
        <f>+F53/$D$60</f>
        <v>696.0544799999999</v>
      </c>
      <c r="I53" s="46"/>
      <c r="J53" s="47"/>
      <c r="K53" s="48"/>
      <c r="L53" s="48"/>
      <c r="M53" s="48"/>
      <c r="N53" s="48"/>
      <c r="O53" s="48"/>
      <c r="P53" s="48"/>
      <c r="Q53" s="49"/>
    </row>
    <row r="54" spans="1:17" x14ac:dyDescent="0.2">
      <c r="A54" s="43"/>
      <c r="B54" s="193" t="s">
        <v>84</v>
      </c>
      <c r="C54" s="193"/>
      <c r="D54" s="193"/>
      <c r="E54" s="193"/>
      <c r="F54" s="45">
        <f>SUM(F27:F32,F35:F41)</f>
        <v>13.36</v>
      </c>
      <c r="G54" s="34">
        <f>+F54/$F$66</f>
        <v>1.6692997921705768E-2</v>
      </c>
      <c r="H54" s="46">
        <f>+F54/$D$60</f>
        <v>13.36</v>
      </c>
      <c r="I54" s="46"/>
      <c r="J54" s="50"/>
      <c r="K54" s="194" t="s">
        <v>85</v>
      </c>
      <c r="L54" s="195"/>
      <c r="M54" s="195"/>
      <c r="N54" s="195"/>
      <c r="O54" s="51">
        <f>+F55</f>
        <v>709.41447999999991</v>
      </c>
      <c r="P54" s="51"/>
      <c r="Q54" s="52"/>
    </row>
    <row r="55" spans="1:17" x14ac:dyDescent="0.2">
      <c r="A55" s="43"/>
      <c r="B55" s="193" t="s">
        <v>86</v>
      </c>
      <c r="C55" s="193"/>
      <c r="D55" s="193"/>
      <c r="E55" s="193"/>
      <c r="F55" s="45">
        <f>+F53+F54</f>
        <v>709.41447999999991</v>
      </c>
      <c r="G55" s="34">
        <f>+F55/$F$66</f>
        <v>0.88639629043921986</v>
      </c>
      <c r="H55" s="46">
        <f>+F55/$D$60</f>
        <v>709.41447999999991</v>
      </c>
      <c r="I55" s="46"/>
      <c r="J55" s="53"/>
      <c r="K55" s="54"/>
      <c r="M55" s="55" t="s">
        <v>87</v>
      </c>
      <c r="N55" s="56"/>
      <c r="O55" s="51">
        <f>+H56</f>
        <v>113.96000000000001</v>
      </c>
      <c r="P55" s="51"/>
      <c r="Q55" s="52"/>
    </row>
    <row r="56" spans="1:17" ht="13.5" thickBot="1" x14ac:dyDescent="0.25">
      <c r="A56" s="43"/>
      <c r="B56" s="44"/>
      <c r="C56" s="193" t="s">
        <v>88</v>
      </c>
      <c r="D56" s="193"/>
      <c r="E56" s="193"/>
      <c r="F56" s="45">
        <f>SUM(F44:F51)</f>
        <v>113.96000000000001</v>
      </c>
      <c r="G56" s="34">
        <f>+F56/$F$66</f>
        <v>0.14239027269143634</v>
      </c>
      <c r="H56" s="46">
        <f>+F56/$D$60</f>
        <v>113.96000000000001</v>
      </c>
      <c r="I56" s="46"/>
      <c r="J56" s="53"/>
      <c r="K56" s="54"/>
      <c r="L56" s="54"/>
      <c r="M56" s="54" t="s">
        <v>89</v>
      </c>
      <c r="N56" s="57"/>
      <c r="O56" s="51">
        <f>O54*N56</f>
        <v>0</v>
      </c>
      <c r="P56" s="51"/>
      <c r="Q56" s="52"/>
    </row>
    <row r="57" spans="1:17" ht="13.5" thickBot="1" x14ac:dyDescent="0.25">
      <c r="A57" s="43"/>
      <c r="B57" s="58"/>
      <c r="C57" s="58"/>
      <c r="D57" s="58"/>
      <c r="E57" s="58"/>
      <c r="F57" s="59"/>
      <c r="G57" s="34"/>
      <c r="H57" s="60"/>
      <c r="I57" s="46"/>
      <c r="J57" s="53"/>
      <c r="K57" s="61"/>
      <c r="M57" s="62" t="s">
        <v>90</v>
      </c>
      <c r="N57" s="63"/>
      <c r="O57" s="64">
        <f>SUM(O54:O56)</f>
        <v>823.37447999999995</v>
      </c>
      <c r="P57" s="65"/>
      <c r="Q57" s="52"/>
    </row>
    <row r="58" spans="1:17" x14ac:dyDescent="0.2">
      <c r="B58" s="196" t="s">
        <v>91</v>
      </c>
      <c r="C58" s="196"/>
      <c r="D58" s="66">
        <v>240</v>
      </c>
      <c r="E58" s="67"/>
      <c r="G58" s="34"/>
      <c r="H58" s="60">
        <f>+H56/77</f>
        <v>1.4800000000000002</v>
      </c>
      <c r="I58" s="68"/>
      <c r="J58" s="53"/>
      <c r="K58" s="61"/>
      <c r="L58" s="54"/>
      <c r="M58" s="54" t="s">
        <v>92</v>
      </c>
      <c r="N58" s="69"/>
      <c r="O58" s="51">
        <f>+H59</f>
        <v>122.84000000000002</v>
      </c>
      <c r="P58" s="51"/>
      <c r="Q58" s="52"/>
    </row>
    <row r="59" spans="1:17" x14ac:dyDescent="0.2">
      <c r="B59" s="196" t="s">
        <v>93</v>
      </c>
      <c r="C59" s="196"/>
      <c r="D59" s="70">
        <v>240</v>
      </c>
      <c r="E59" s="67"/>
      <c r="G59" s="34"/>
      <c r="H59" s="60">
        <f>+H58*83</f>
        <v>122.84000000000002</v>
      </c>
      <c r="I59" s="68"/>
      <c r="J59" s="53"/>
      <c r="K59" s="61"/>
      <c r="L59" s="54"/>
      <c r="M59" s="197" t="s">
        <v>90</v>
      </c>
      <c r="N59" s="197"/>
      <c r="O59" s="51">
        <f>SUM(O57:O58)</f>
        <v>946.21447999999998</v>
      </c>
      <c r="P59" s="51"/>
      <c r="Q59" s="52"/>
    </row>
    <row r="60" spans="1:17" ht="13.5" thickBot="1" x14ac:dyDescent="0.25">
      <c r="B60" s="188" t="s">
        <v>94</v>
      </c>
      <c r="C60" s="188"/>
      <c r="D60" s="66">
        <f>+D58/D59</f>
        <v>1</v>
      </c>
      <c r="E60" s="67"/>
      <c r="F60" s="71"/>
      <c r="G60" s="34"/>
      <c r="H60" s="60"/>
      <c r="I60" s="68"/>
      <c r="J60" s="53"/>
      <c r="K60" s="61"/>
      <c r="L60" s="197"/>
      <c r="M60" s="197"/>
      <c r="N60" s="69"/>
      <c r="O60" s="51">
        <f>+O59*N60</f>
        <v>0</v>
      </c>
      <c r="P60" s="51"/>
      <c r="Q60" s="52"/>
    </row>
    <row r="61" spans="1:17" ht="13.5" thickBot="1" x14ac:dyDescent="0.25">
      <c r="B61" s="188" t="s">
        <v>95</v>
      </c>
      <c r="C61" s="188"/>
      <c r="D61" s="72"/>
      <c r="E61" s="67"/>
      <c r="F61" s="71"/>
      <c r="G61" s="34"/>
      <c r="H61" s="60"/>
      <c r="I61" s="68"/>
      <c r="J61" s="53"/>
      <c r="K61" s="189" t="s">
        <v>96</v>
      </c>
      <c r="L61" s="190"/>
      <c r="M61" s="190"/>
      <c r="N61" s="191"/>
      <c r="O61" s="64">
        <f>SUM(O59:O60)</f>
        <v>946.21447999999998</v>
      </c>
      <c r="P61" s="73" t="s">
        <v>97</v>
      </c>
      <c r="Q61" s="52"/>
    </row>
    <row r="62" spans="1:17" ht="13.5" thickBot="1" x14ac:dyDescent="0.25">
      <c r="C62" s="43" t="s">
        <v>98</v>
      </c>
      <c r="D62" s="74"/>
      <c r="E62" s="17" t="s">
        <v>99</v>
      </c>
      <c r="F62" s="75" t="s">
        <v>100</v>
      </c>
      <c r="G62" s="34"/>
      <c r="H62" s="60"/>
      <c r="I62" s="68"/>
      <c r="J62" s="76"/>
      <c r="K62" s="77"/>
      <c r="L62" s="177" t="s">
        <v>101</v>
      </c>
      <c r="M62" s="177"/>
      <c r="N62" s="177"/>
      <c r="O62" s="78">
        <f>+O61/D60</f>
        <v>946.21447999999998</v>
      </c>
      <c r="P62" s="79">
        <f>+O62/D59</f>
        <v>3.9425603333333332</v>
      </c>
      <c r="Q62" s="80"/>
    </row>
    <row r="63" spans="1:17" ht="13.5" thickBot="1" x14ac:dyDescent="0.25">
      <c r="B63" s="178" t="s">
        <v>86</v>
      </c>
      <c r="C63" s="178"/>
      <c r="D63" s="178"/>
      <c r="E63" s="81">
        <f>+F63/F63</f>
        <v>1</v>
      </c>
      <c r="F63" s="82">
        <f>SUM(F55)</f>
        <v>709.41447999999991</v>
      </c>
      <c r="G63" s="34">
        <f>+F63/$F$66</f>
        <v>0.88639629043921986</v>
      </c>
      <c r="H63" s="60"/>
      <c r="I63" s="68"/>
      <c r="K63" s="179"/>
      <c r="L63" s="180"/>
      <c r="M63" s="180"/>
      <c r="N63" s="180"/>
      <c r="O63" s="83"/>
      <c r="P63" s="84"/>
    </row>
    <row r="64" spans="1:17" ht="13.5" thickBot="1" x14ac:dyDescent="0.3">
      <c r="B64" s="181" t="s">
        <v>102</v>
      </c>
      <c r="C64" s="181"/>
      <c r="D64" s="181"/>
      <c r="E64" s="85">
        <v>0.02</v>
      </c>
      <c r="F64" s="82">
        <f>+F53*E64</f>
        <v>13.921089599999998</v>
      </c>
      <c r="G64" s="34">
        <f>+F64/$F$66</f>
        <v>1.739406585035028E-2</v>
      </c>
      <c r="H64" s="46"/>
      <c r="I64" s="68"/>
      <c r="J64" s="86"/>
      <c r="O64" s="87"/>
      <c r="P64" s="44"/>
    </row>
    <row r="65" spans="2:13" ht="13.5" thickBot="1" x14ac:dyDescent="0.3">
      <c r="B65" s="182" t="s">
        <v>103</v>
      </c>
      <c r="C65" s="183"/>
      <c r="D65" s="88">
        <v>1</v>
      </c>
      <c r="E65" s="89">
        <v>77</v>
      </c>
      <c r="F65" s="82">
        <f>+E65*D65</f>
        <v>77</v>
      </c>
      <c r="G65" s="34">
        <f>+F65/$F$66</f>
        <v>9.6209643710429948E-2</v>
      </c>
      <c r="H65" s="46"/>
      <c r="I65" s="46"/>
      <c r="J65" s="36"/>
    </row>
    <row r="66" spans="2:13" ht="13.5" thickBot="1" x14ac:dyDescent="0.3">
      <c r="B66" s="184" t="s">
        <v>104</v>
      </c>
      <c r="C66" s="185"/>
      <c r="D66" s="185"/>
      <c r="E66" s="186"/>
      <c r="F66" s="59">
        <f>SUM(F63:F65)</f>
        <v>800.33556959999987</v>
      </c>
      <c r="G66" s="34">
        <f>+F66/$F$66</f>
        <v>1</v>
      </c>
      <c r="H66" s="187"/>
      <c r="I66" s="46"/>
      <c r="J66" s="36"/>
      <c r="M66" s="19" t="s">
        <v>105</v>
      </c>
    </row>
    <row r="67" spans="2:13" x14ac:dyDescent="0.25">
      <c r="C67" s="41"/>
      <c r="D67" s="41"/>
      <c r="E67" s="91"/>
      <c r="F67" s="82"/>
      <c r="G67" s="34"/>
      <c r="H67" s="187"/>
      <c r="I67" s="90"/>
      <c r="J67" s="19"/>
      <c r="M67" s="19" t="s">
        <v>106</v>
      </c>
    </row>
    <row r="68" spans="2:13" ht="13.5" thickBot="1" x14ac:dyDescent="0.3">
      <c r="B68" s="172" t="s">
        <v>107</v>
      </c>
      <c r="C68" s="172"/>
      <c r="D68" s="172"/>
      <c r="E68" s="172"/>
      <c r="F68" s="172"/>
      <c r="G68" s="34"/>
      <c r="H68" s="93"/>
      <c r="I68" s="90"/>
      <c r="J68" s="19"/>
      <c r="M68" s="19" t="s">
        <v>108</v>
      </c>
    </row>
    <row r="69" spans="2:13" ht="13.5" thickBot="1" x14ac:dyDescent="0.3">
      <c r="B69" s="94" t="s">
        <v>109</v>
      </c>
      <c r="C69" s="95">
        <f>+F53</f>
        <v>696.0544799999999</v>
      </c>
      <c r="D69" s="95">
        <f>+D58</f>
        <v>240</v>
      </c>
      <c r="E69" s="96">
        <f>+C69/D69</f>
        <v>2.9002269999999997</v>
      </c>
      <c r="F69" s="34"/>
      <c r="G69" s="93"/>
      <c r="H69" s="36"/>
      <c r="I69" s="93"/>
      <c r="J69" s="19"/>
    </row>
    <row r="70" spans="2:13" x14ac:dyDescent="0.25">
      <c r="B70" s="97"/>
      <c r="C70" s="98"/>
      <c r="D70" s="99"/>
      <c r="E70" s="82"/>
      <c r="F70" s="34"/>
      <c r="G70" s="93"/>
      <c r="H70" s="36"/>
      <c r="I70" s="36"/>
      <c r="J70" s="19"/>
    </row>
    <row r="71" spans="2:13" x14ac:dyDescent="0.25">
      <c r="B71" s="94" t="s">
        <v>110</v>
      </c>
      <c r="C71" s="95">
        <f>SUM(F63:F64)</f>
        <v>723.33556959999987</v>
      </c>
      <c r="D71" s="95">
        <f>+D58</f>
        <v>240</v>
      </c>
      <c r="E71" s="100">
        <f>+C71/D71</f>
        <v>3.0138982066666662</v>
      </c>
      <c r="F71" s="34"/>
      <c r="G71" s="93"/>
      <c r="H71" s="36"/>
      <c r="I71" s="36"/>
      <c r="J71" s="19"/>
    </row>
    <row r="72" spans="2:13" x14ac:dyDescent="0.25">
      <c r="B72" s="94"/>
      <c r="C72" s="95"/>
      <c r="D72" s="95"/>
      <c r="E72" s="100"/>
      <c r="F72" s="34"/>
      <c r="G72" s="93"/>
      <c r="H72" s="36"/>
      <c r="I72" s="36"/>
      <c r="J72" s="19"/>
    </row>
    <row r="73" spans="2:13" ht="13.5" thickBot="1" x14ac:dyDescent="0.3">
      <c r="B73" s="94" t="s">
        <v>111</v>
      </c>
      <c r="C73" s="95">
        <f>+F65</f>
        <v>77</v>
      </c>
      <c r="D73" s="95">
        <f>+D58</f>
        <v>240</v>
      </c>
      <c r="E73" s="100">
        <f>+C73/D73</f>
        <v>0.32083333333333336</v>
      </c>
      <c r="F73" s="34"/>
      <c r="G73" s="93"/>
      <c r="H73" s="36"/>
      <c r="I73" s="36"/>
      <c r="J73" s="19"/>
    </row>
    <row r="74" spans="2:13" ht="13.5" thickBot="1" x14ac:dyDescent="0.3">
      <c r="B74" s="94" t="s">
        <v>112</v>
      </c>
      <c r="C74" s="95">
        <f>+F56</f>
        <v>113.96000000000001</v>
      </c>
      <c r="D74" s="95">
        <f>+D73</f>
        <v>240</v>
      </c>
      <c r="E74" s="96">
        <f>+C74/D74</f>
        <v>0.47483333333333338</v>
      </c>
      <c r="F74" s="34"/>
      <c r="G74" s="93"/>
      <c r="H74" s="36"/>
      <c r="I74" s="36"/>
      <c r="J74" s="19"/>
    </row>
    <row r="75" spans="2:13" ht="13.5" thickBot="1" x14ac:dyDescent="0.3">
      <c r="B75" s="58"/>
      <c r="C75" s="59"/>
      <c r="D75" s="59"/>
      <c r="E75" s="100"/>
      <c r="F75" s="34"/>
      <c r="G75" s="93"/>
      <c r="H75" s="36"/>
      <c r="I75" s="36"/>
      <c r="J75" s="19"/>
    </row>
    <row r="76" spans="2:13" ht="13.5" thickBot="1" x14ac:dyDescent="0.3">
      <c r="B76" s="94" t="s">
        <v>113</v>
      </c>
      <c r="C76" s="95">
        <f>+F54</f>
        <v>13.36</v>
      </c>
      <c r="D76" s="95">
        <f>+D74</f>
        <v>240</v>
      </c>
      <c r="E76" s="96">
        <f>+C76/D76</f>
        <v>5.5666666666666663E-2</v>
      </c>
      <c r="F76" s="34"/>
      <c r="G76" s="93"/>
      <c r="H76" s="36"/>
      <c r="I76" s="36"/>
      <c r="J76" s="36"/>
    </row>
    <row r="77" spans="2:13" ht="13.5" thickBot="1" x14ac:dyDescent="0.3">
      <c r="B77" s="58"/>
      <c r="C77" s="59"/>
      <c r="D77" s="59"/>
      <c r="E77" s="100"/>
      <c r="F77" s="34"/>
      <c r="G77" s="93"/>
      <c r="H77" s="36"/>
      <c r="I77" s="36"/>
    </row>
    <row r="78" spans="2:13" ht="13.5" thickBot="1" x14ac:dyDescent="0.3">
      <c r="B78" s="173" t="s">
        <v>114</v>
      </c>
      <c r="C78" s="174"/>
      <c r="D78" s="175"/>
      <c r="E78" s="96">
        <f>+E69+E74</f>
        <v>3.3750603333333329</v>
      </c>
      <c r="G78" s="34"/>
      <c r="H78" s="93"/>
      <c r="I78" s="36"/>
      <c r="J78" s="100"/>
    </row>
    <row r="79" spans="2:13" x14ac:dyDescent="0.25">
      <c r="I79" s="93"/>
      <c r="J79" s="19"/>
    </row>
    <row r="80" spans="2:13" ht="13.5" thickBot="1" x14ac:dyDescent="0.3">
      <c r="B80" s="172" t="s">
        <v>115</v>
      </c>
      <c r="C80" s="172"/>
      <c r="D80" s="172"/>
      <c r="E80" s="172"/>
      <c r="F80" s="172"/>
      <c r="G80" s="34"/>
      <c r="H80" s="93"/>
      <c r="J80" s="19"/>
    </row>
    <row r="81" spans="1:10" ht="13.5" thickBot="1" x14ac:dyDescent="0.3">
      <c r="B81" s="94" t="s">
        <v>109</v>
      </c>
      <c r="C81" s="95">
        <f>+C69</f>
        <v>696.0544799999999</v>
      </c>
      <c r="D81" s="95">
        <f>+D60</f>
        <v>1</v>
      </c>
      <c r="E81" s="96">
        <f>+C81/D81</f>
        <v>696.0544799999999</v>
      </c>
      <c r="F81" s="34"/>
      <c r="G81" s="93"/>
      <c r="H81" s="36"/>
      <c r="I81" s="93"/>
      <c r="J81" s="19"/>
    </row>
    <row r="82" spans="1:10" x14ac:dyDescent="0.25">
      <c r="B82" s="97"/>
      <c r="C82" s="98"/>
      <c r="D82" s="99"/>
      <c r="E82" s="82"/>
      <c r="F82" s="34"/>
      <c r="G82" s="93"/>
      <c r="H82" s="36"/>
      <c r="I82" s="36"/>
      <c r="J82" s="19"/>
    </row>
    <row r="83" spans="1:10" x14ac:dyDescent="0.25">
      <c r="B83" s="94" t="s">
        <v>110</v>
      </c>
      <c r="C83" s="95">
        <f>+C71</f>
        <v>723.33556959999987</v>
      </c>
      <c r="D83" s="95">
        <f>+D60</f>
        <v>1</v>
      </c>
      <c r="E83" s="100">
        <f>+C83/D83</f>
        <v>723.33556959999987</v>
      </c>
      <c r="F83" s="34"/>
      <c r="G83" s="93"/>
      <c r="H83" s="36"/>
      <c r="I83" s="36"/>
      <c r="J83" s="19"/>
    </row>
    <row r="84" spans="1:10" x14ac:dyDescent="0.25">
      <c r="B84" s="94"/>
      <c r="C84" s="95"/>
      <c r="D84" s="95"/>
      <c r="E84" s="100"/>
      <c r="F84" s="34"/>
      <c r="G84" s="93"/>
      <c r="H84" s="36"/>
      <c r="I84" s="36"/>
      <c r="J84" s="19"/>
    </row>
    <row r="85" spans="1:10" ht="13.5" thickBot="1" x14ac:dyDescent="0.3">
      <c r="B85" s="94" t="s">
        <v>112</v>
      </c>
      <c r="C85" s="95">
        <f>+C73</f>
        <v>77</v>
      </c>
      <c r="D85" s="95">
        <f>+D60</f>
        <v>1</v>
      </c>
      <c r="E85" s="100">
        <f>+C85/D85</f>
        <v>77</v>
      </c>
      <c r="F85" s="102"/>
      <c r="G85" s="92"/>
      <c r="H85" s="18"/>
      <c r="I85" s="36"/>
    </row>
    <row r="86" spans="1:10" ht="13.5" thickBot="1" x14ac:dyDescent="0.3">
      <c r="B86" s="94" t="s">
        <v>112</v>
      </c>
      <c r="C86" s="95">
        <f>+C74</f>
        <v>113.96000000000001</v>
      </c>
      <c r="D86" s="95">
        <f>+D85</f>
        <v>1</v>
      </c>
      <c r="E86" s="96">
        <f>+C86/D86</f>
        <v>113.96000000000001</v>
      </c>
      <c r="F86" s="101"/>
      <c r="G86" s="92"/>
      <c r="H86" s="18"/>
      <c r="I86" s="18"/>
    </row>
    <row r="87" spans="1:10" x14ac:dyDescent="0.25">
      <c r="I87" s="18"/>
    </row>
    <row r="88" spans="1:10" x14ac:dyDescent="0.2">
      <c r="A88" s="176"/>
      <c r="B88" s="176"/>
      <c r="C88" s="103"/>
      <c r="D88" s="103"/>
      <c r="E88" s="104"/>
      <c r="G88" s="105"/>
    </row>
    <row r="89" spans="1:10" x14ac:dyDescent="0.2">
      <c r="A89" s="37"/>
      <c r="B89" s="106"/>
      <c r="C89" s="107"/>
      <c r="D89" s="107"/>
      <c r="E89" s="108"/>
      <c r="G89" s="105"/>
    </row>
    <row r="90" spans="1:10" x14ac:dyDescent="0.2">
      <c r="A90" s="37"/>
      <c r="B90" s="106"/>
      <c r="C90" s="109"/>
      <c r="D90" s="109"/>
      <c r="E90" s="37"/>
      <c r="G90" s="105"/>
    </row>
    <row r="91" spans="1:10" x14ac:dyDescent="0.2">
      <c r="A91" s="37"/>
      <c r="B91" s="106"/>
      <c r="C91" s="110"/>
      <c r="D91" s="110"/>
      <c r="E91" s="37"/>
      <c r="G91" s="10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B091-705F-44EF-9490-5A8E68A91DDF}">
  <sheetPr>
    <pageSetUpPr fitToPage="1"/>
  </sheetPr>
  <dimension ref="A1:K36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3.28515625" bestFit="1" customWidth="1"/>
    <col min="2" max="2" width="17.85546875" customWidth="1"/>
    <col min="3" max="3" width="52.5703125" customWidth="1"/>
    <col min="4" max="4" width="17.140625" customWidth="1"/>
    <col min="5" max="5" width="17.28515625" customWidth="1"/>
    <col min="6" max="6" width="13.28515625" customWidth="1"/>
    <col min="7" max="7" width="19.7109375" customWidth="1"/>
    <col min="8" max="8" width="20.42578125" customWidth="1"/>
    <col min="9" max="9" width="21.85546875" customWidth="1"/>
    <col min="10" max="10" width="12" bestFit="1" customWidth="1"/>
  </cols>
  <sheetData>
    <row r="1" spans="1:11" ht="17.25" x14ac:dyDescent="0.3">
      <c r="A1" s="259"/>
      <c r="B1" s="260"/>
      <c r="C1" s="265" t="s">
        <v>30</v>
      </c>
      <c r="D1" s="265"/>
      <c r="E1" s="265"/>
      <c r="F1" s="265"/>
      <c r="G1" s="265"/>
      <c r="H1" s="1" t="s">
        <v>29</v>
      </c>
      <c r="I1" s="2" t="s">
        <v>119</v>
      </c>
    </row>
    <row r="2" spans="1:11" ht="17.25" x14ac:dyDescent="0.3">
      <c r="A2" s="261"/>
      <c r="B2" s="262"/>
      <c r="C2" s="266" t="s">
        <v>28</v>
      </c>
      <c r="D2" s="266"/>
      <c r="E2" s="266"/>
      <c r="F2" s="266"/>
      <c r="G2" s="266"/>
      <c r="H2" s="3" t="s">
        <v>27</v>
      </c>
      <c r="I2" s="4" t="s">
        <v>121</v>
      </c>
    </row>
    <row r="3" spans="1:11" ht="27.75" customHeight="1" thickBot="1" x14ac:dyDescent="0.3">
      <c r="A3" s="261"/>
      <c r="B3" s="262"/>
      <c r="C3" s="267" t="s">
        <v>118</v>
      </c>
      <c r="D3" s="267"/>
      <c r="E3" s="267"/>
      <c r="F3" s="267"/>
      <c r="G3" s="267"/>
      <c r="H3" s="268" t="s">
        <v>26</v>
      </c>
      <c r="I3" s="250">
        <v>46062</v>
      </c>
    </row>
    <row r="4" spans="1:11" ht="17.25" x14ac:dyDescent="0.3">
      <c r="A4" s="261"/>
      <c r="B4" s="262"/>
      <c r="C4" s="5" t="s">
        <v>25</v>
      </c>
      <c r="D4" s="253" t="s">
        <v>34</v>
      </c>
      <c r="E4" s="254"/>
      <c r="F4" s="254"/>
      <c r="G4" s="255"/>
      <c r="H4" s="269"/>
      <c r="I4" s="251"/>
    </row>
    <row r="5" spans="1:11" ht="18" thickBot="1" x14ac:dyDescent="0.35">
      <c r="A5" s="263"/>
      <c r="B5" s="264"/>
      <c r="C5" s="6" t="s">
        <v>24</v>
      </c>
      <c r="D5" s="256" t="s">
        <v>38</v>
      </c>
      <c r="E5" s="257"/>
      <c r="F5" s="257"/>
      <c r="G5" s="258"/>
      <c r="H5" s="270"/>
      <c r="I5" s="252"/>
    </row>
    <row r="6" spans="1:11" ht="20.25" customHeight="1" thickBot="1" x14ac:dyDescent="0.3">
      <c r="A6" s="241" t="s">
        <v>23</v>
      </c>
      <c r="B6" s="241"/>
      <c r="C6" s="241"/>
      <c r="D6" s="242" t="s">
        <v>39</v>
      </c>
      <c r="E6" s="242"/>
      <c r="F6" s="242"/>
      <c r="G6" s="243" t="s">
        <v>22</v>
      </c>
      <c r="H6" s="243"/>
      <c r="I6" s="7" t="s">
        <v>39</v>
      </c>
    </row>
    <row r="7" spans="1:11" ht="41.25" customHeight="1" x14ac:dyDescent="0.25">
      <c r="A7" s="244" t="s">
        <v>21</v>
      </c>
      <c r="B7" s="246" t="s">
        <v>31</v>
      </c>
      <c r="C7" s="248" t="s">
        <v>20</v>
      </c>
      <c r="D7" s="248" t="s">
        <v>19</v>
      </c>
      <c r="E7" s="248" t="s">
        <v>18</v>
      </c>
      <c r="F7" s="248"/>
      <c r="G7" s="248" t="s">
        <v>17</v>
      </c>
      <c r="H7" s="248"/>
      <c r="I7" s="8" t="s">
        <v>16</v>
      </c>
    </row>
    <row r="8" spans="1:11" ht="31.5" thickBot="1" x14ac:dyDescent="0.3">
      <c r="A8" s="245"/>
      <c r="B8" s="247"/>
      <c r="C8" s="249"/>
      <c r="D8" s="249"/>
      <c r="E8" s="9" t="s">
        <v>13</v>
      </c>
      <c r="F8" s="10" t="s">
        <v>15</v>
      </c>
      <c r="G8" s="9" t="s">
        <v>13</v>
      </c>
      <c r="H8" s="10" t="s">
        <v>15</v>
      </c>
      <c r="I8" s="11" t="s">
        <v>14</v>
      </c>
    </row>
    <row r="9" spans="1:11" ht="20.25" x14ac:dyDescent="0.3">
      <c r="A9" s="111"/>
      <c r="B9" s="112"/>
      <c r="C9" s="113" t="s">
        <v>35</v>
      </c>
      <c r="D9" s="114"/>
      <c r="E9" s="115"/>
      <c r="F9" s="116"/>
      <c r="G9" s="115"/>
      <c r="H9" s="116"/>
      <c r="I9" s="117"/>
    </row>
    <row r="10" spans="1:11" ht="20.25" x14ac:dyDescent="0.3">
      <c r="A10" s="118"/>
      <c r="B10" s="119" t="s">
        <v>47</v>
      </c>
      <c r="C10" s="120" t="s">
        <v>48</v>
      </c>
      <c r="D10" s="121" t="s">
        <v>49</v>
      </c>
      <c r="E10" s="122">
        <f>350*4.33</f>
        <v>1515.5</v>
      </c>
      <c r="F10" s="123" t="s">
        <v>1</v>
      </c>
      <c r="G10" s="124"/>
      <c r="H10" s="125"/>
      <c r="I10" s="117"/>
      <c r="J10" s="12">
        <f>E10/10</f>
        <v>151.55000000000001</v>
      </c>
    </row>
    <row r="11" spans="1:11" ht="20.25" x14ac:dyDescent="0.3">
      <c r="A11" s="118"/>
      <c r="B11" s="126" t="s">
        <v>50</v>
      </c>
      <c r="C11" s="127" t="s">
        <v>51</v>
      </c>
      <c r="D11" s="121"/>
      <c r="E11" s="128">
        <f>800*4.33</f>
        <v>3464</v>
      </c>
      <c r="F11" s="123" t="s">
        <v>1</v>
      </c>
      <c r="G11" s="124"/>
      <c r="H11" s="125"/>
      <c r="I11" s="117"/>
      <c r="J11" s="12">
        <f t="shared" ref="J11:J15" si="0">E11/10</f>
        <v>346.4</v>
      </c>
      <c r="K11">
        <f>J11/2</f>
        <v>173.2</v>
      </c>
    </row>
    <row r="12" spans="1:11" ht="20.25" x14ac:dyDescent="0.3">
      <c r="A12" s="118"/>
      <c r="B12" s="119" t="s">
        <v>52</v>
      </c>
      <c r="C12" s="120" t="s">
        <v>53</v>
      </c>
      <c r="D12" s="125" t="s">
        <v>54</v>
      </c>
      <c r="E12" s="129">
        <f>50*4.33</f>
        <v>216.5</v>
      </c>
      <c r="F12" s="123" t="s">
        <v>1</v>
      </c>
      <c r="G12" s="120"/>
      <c r="H12" s="125"/>
      <c r="I12" s="117"/>
      <c r="J12" s="12">
        <f t="shared" si="0"/>
        <v>21.65</v>
      </c>
    </row>
    <row r="13" spans="1:11" ht="20.25" x14ac:dyDescent="0.3">
      <c r="A13" s="120"/>
      <c r="B13" s="119"/>
      <c r="C13" s="120" t="s">
        <v>55</v>
      </c>
      <c r="D13" s="130" t="s">
        <v>33</v>
      </c>
      <c r="E13" s="131">
        <f>100*4.33</f>
        <v>433</v>
      </c>
      <c r="F13" s="123" t="s">
        <v>1</v>
      </c>
      <c r="G13" s="120"/>
      <c r="H13" s="125"/>
      <c r="I13" s="117"/>
      <c r="J13" s="12">
        <f t="shared" si="0"/>
        <v>43.3</v>
      </c>
    </row>
    <row r="14" spans="1:11" ht="20.25" x14ac:dyDescent="0.3">
      <c r="A14" s="120"/>
      <c r="B14" s="120"/>
      <c r="C14" s="120" t="s">
        <v>56</v>
      </c>
      <c r="D14" s="119" t="s">
        <v>33</v>
      </c>
      <c r="E14" s="132">
        <f>90*4.33</f>
        <v>389.7</v>
      </c>
      <c r="F14" s="123" t="s">
        <v>1</v>
      </c>
      <c r="G14" s="119"/>
      <c r="H14" s="133" t="s">
        <v>57</v>
      </c>
      <c r="I14" s="117"/>
      <c r="J14" s="12">
        <f t="shared" si="0"/>
        <v>38.97</v>
      </c>
    </row>
    <row r="15" spans="1:11" ht="20.25" x14ac:dyDescent="0.3">
      <c r="A15" s="134">
        <v>1212412</v>
      </c>
      <c r="B15" s="135" t="s">
        <v>58</v>
      </c>
      <c r="C15" s="136" t="s">
        <v>59</v>
      </c>
      <c r="D15" s="137" t="s">
        <v>37</v>
      </c>
      <c r="E15" s="137">
        <v>10</v>
      </c>
      <c r="F15" s="138" t="s">
        <v>1</v>
      </c>
      <c r="G15" s="120"/>
      <c r="H15" s="133"/>
      <c r="I15" s="117"/>
      <c r="J15" s="12">
        <f t="shared" si="0"/>
        <v>1</v>
      </c>
    </row>
    <row r="16" spans="1:11" ht="20.25" x14ac:dyDescent="0.3">
      <c r="A16" s="120"/>
      <c r="B16" s="139"/>
      <c r="C16" s="140"/>
      <c r="D16" s="141"/>
      <c r="E16" s="142"/>
      <c r="F16" s="143"/>
      <c r="G16" s="120"/>
      <c r="H16" s="133"/>
      <c r="I16" s="117"/>
    </row>
    <row r="17" spans="1:11" ht="20.25" x14ac:dyDescent="0.3">
      <c r="A17" s="144"/>
      <c r="B17" s="145"/>
      <c r="C17" s="146" t="s">
        <v>60</v>
      </c>
      <c r="D17" s="147"/>
      <c r="E17" s="142"/>
      <c r="F17" s="143"/>
      <c r="G17" s="120"/>
      <c r="H17" s="133"/>
      <c r="I17" s="117"/>
    </row>
    <row r="18" spans="1:11" ht="20.25" x14ac:dyDescent="0.3">
      <c r="A18" s="118"/>
      <c r="B18" s="118"/>
      <c r="C18" s="148"/>
      <c r="D18" s="121"/>
      <c r="E18" s="133"/>
      <c r="F18" s="143"/>
      <c r="G18" s="133"/>
      <c r="H18" s="125"/>
      <c r="I18" s="117"/>
    </row>
    <row r="19" spans="1:11" ht="20.25" x14ac:dyDescent="0.3">
      <c r="A19" s="118"/>
      <c r="B19" s="118"/>
      <c r="C19" s="149" t="s">
        <v>61</v>
      </c>
      <c r="D19" s="121"/>
      <c r="E19" s="133"/>
      <c r="F19" s="125"/>
      <c r="G19" s="133"/>
      <c r="H19" s="125"/>
      <c r="I19" s="117"/>
    </row>
    <row r="20" spans="1:11" ht="20.25" x14ac:dyDescent="0.3">
      <c r="A20" s="152"/>
      <c r="B20" s="153"/>
      <c r="C20" s="150"/>
      <c r="D20" s="151"/>
      <c r="E20" s="151"/>
      <c r="F20" s="154"/>
      <c r="G20" s="151"/>
      <c r="H20" s="151"/>
      <c r="I20" s="117"/>
    </row>
    <row r="21" spans="1:11" ht="21" thickBot="1" x14ac:dyDescent="0.35">
      <c r="A21" s="155"/>
      <c r="B21" s="156"/>
      <c r="C21" s="157"/>
      <c r="D21" s="157"/>
      <c r="E21" s="158"/>
      <c r="F21" s="159"/>
      <c r="G21" s="157"/>
      <c r="H21" s="157"/>
      <c r="I21" s="160"/>
    </row>
    <row r="22" spans="1:11" ht="21" thickBot="1" x14ac:dyDescent="0.35">
      <c r="A22" s="161"/>
      <c r="B22" s="162"/>
      <c r="C22" s="163"/>
      <c r="D22" s="164" t="s">
        <v>13</v>
      </c>
      <c r="E22" s="165" t="s">
        <v>12</v>
      </c>
      <c r="F22" s="166"/>
      <c r="G22" s="163"/>
      <c r="H22" s="163"/>
      <c r="I22" s="167"/>
      <c r="K22" s="13"/>
    </row>
    <row r="23" spans="1:11" ht="20.25" x14ac:dyDescent="0.3">
      <c r="A23" s="235" t="s">
        <v>11</v>
      </c>
      <c r="B23" s="236"/>
      <c r="C23" s="237"/>
      <c r="D23" s="168">
        <v>6140</v>
      </c>
      <c r="E23" s="169" t="s">
        <v>1</v>
      </c>
      <c r="F23" s="238" t="s">
        <v>10</v>
      </c>
      <c r="G23" s="238"/>
      <c r="H23" s="239"/>
      <c r="I23" s="240"/>
      <c r="J23">
        <f>D23*0.57</f>
        <v>3499.7999999999997</v>
      </c>
    </row>
    <row r="24" spans="1:11" ht="20.25" x14ac:dyDescent="0.3">
      <c r="A24" s="218" t="s">
        <v>9</v>
      </c>
      <c r="B24" s="219"/>
      <c r="C24" s="220"/>
      <c r="D24" s="168">
        <v>10</v>
      </c>
      <c r="E24" s="125" t="s">
        <v>8</v>
      </c>
      <c r="F24" s="221" t="s">
        <v>7</v>
      </c>
      <c r="G24" s="221"/>
      <c r="H24" s="222"/>
      <c r="I24" s="223"/>
      <c r="J24">
        <f>D23/2850</f>
        <v>2.1543859649122807</v>
      </c>
    </row>
    <row r="25" spans="1:11" ht="20.25" x14ac:dyDescent="0.3">
      <c r="A25" s="218" t="s">
        <v>6</v>
      </c>
      <c r="B25" s="219"/>
      <c r="C25" s="220"/>
      <c r="D25" s="168">
        <v>1</v>
      </c>
      <c r="E25" s="125" t="s">
        <v>36</v>
      </c>
      <c r="F25" s="221" t="s">
        <v>5</v>
      </c>
      <c r="G25" s="221"/>
      <c r="H25" s="222"/>
      <c r="I25" s="223"/>
      <c r="J25">
        <f>D23/1.74</f>
        <v>3528.7356321839079</v>
      </c>
    </row>
    <row r="26" spans="1:11" ht="20.25" x14ac:dyDescent="0.3">
      <c r="A26" s="218" t="s">
        <v>4</v>
      </c>
      <c r="B26" s="219"/>
      <c r="C26" s="220"/>
      <c r="D26" s="168">
        <v>6140</v>
      </c>
      <c r="E26" s="125" t="s">
        <v>1</v>
      </c>
      <c r="F26" s="224" t="s">
        <v>3</v>
      </c>
      <c r="G26" s="225"/>
      <c r="H26" s="222"/>
      <c r="I26" s="223"/>
    </row>
    <row r="27" spans="1:11" ht="21" thickBot="1" x14ac:dyDescent="0.35">
      <c r="A27" s="226" t="s">
        <v>2</v>
      </c>
      <c r="B27" s="227"/>
      <c r="C27" s="228"/>
      <c r="D27" s="170">
        <v>0</v>
      </c>
      <c r="E27" s="171" t="s">
        <v>1</v>
      </c>
      <c r="F27" s="229"/>
      <c r="G27" s="229"/>
      <c r="H27" s="230"/>
      <c r="I27" s="231"/>
    </row>
    <row r="28" spans="1:11" ht="21" thickBot="1" x14ac:dyDescent="0.35">
      <c r="A28" s="232" t="s">
        <v>0</v>
      </c>
      <c r="B28" s="233"/>
      <c r="C28" s="233"/>
      <c r="D28" s="233"/>
      <c r="E28" s="233"/>
      <c r="F28" s="233"/>
      <c r="G28" s="233"/>
      <c r="H28" s="233"/>
      <c r="I28" s="234"/>
    </row>
    <row r="29" spans="1:11" ht="20.25" x14ac:dyDescent="0.3">
      <c r="A29" s="214" t="s">
        <v>62</v>
      </c>
      <c r="B29" s="215"/>
      <c r="C29" s="216"/>
      <c r="D29" s="216"/>
      <c r="E29" s="216"/>
      <c r="F29" s="216"/>
      <c r="G29" s="216"/>
      <c r="H29" s="216"/>
      <c r="I29" s="217"/>
    </row>
    <row r="30" spans="1:11" ht="20.25" x14ac:dyDescent="0.3">
      <c r="A30" s="214" t="s">
        <v>63</v>
      </c>
      <c r="B30" s="215"/>
      <c r="C30" s="216"/>
      <c r="D30" s="216"/>
      <c r="E30" s="216"/>
      <c r="F30" s="216"/>
      <c r="G30" s="216"/>
      <c r="H30" s="216"/>
      <c r="I30" s="217"/>
    </row>
    <row r="31" spans="1:11" ht="21" thickBot="1" x14ac:dyDescent="0.35">
      <c r="A31" s="203" t="s">
        <v>64</v>
      </c>
      <c r="B31" s="204"/>
      <c r="C31" s="204"/>
      <c r="D31" s="204"/>
      <c r="E31" s="204"/>
      <c r="F31" s="204"/>
      <c r="G31" s="204"/>
      <c r="H31" s="204"/>
      <c r="I31" s="205"/>
    </row>
    <row r="32" spans="1:11" ht="20.25" x14ac:dyDescent="0.3">
      <c r="A32" s="207"/>
      <c r="B32" s="208"/>
      <c r="C32" s="208"/>
      <c r="D32" s="208"/>
      <c r="E32" s="208"/>
      <c r="F32" s="208"/>
      <c r="G32" s="208"/>
      <c r="H32" s="208"/>
      <c r="I32" s="209"/>
    </row>
    <row r="33" spans="1:9" ht="20.25" x14ac:dyDescent="0.3">
      <c r="A33" s="210"/>
      <c r="B33" s="211"/>
      <c r="C33" s="211"/>
      <c r="D33" s="211"/>
      <c r="E33" s="211"/>
      <c r="F33" s="211"/>
      <c r="G33" s="211"/>
      <c r="H33" s="211"/>
      <c r="I33" s="212"/>
    </row>
    <row r="34" spans="1:9" ht="20.25" x14ac:dyDescent="0.3">
      <c r="A34" s="213" t="s">
        <v>32</v>
      </c>
      <c r="B34" s="213"/>
      <c r="C34" s="213"/>
      <c r="D34" s="213"/>
      <c r="E34" s="213"/>
      <c r="F34" s="213"/>
      <c r="G34" s="213"/>
      <c r="H34" s="213"/>
      <c r="I34" s="213"/>
    </row>
    <row r="35" spans="1:9" ht="20.25" x14ac:dyDescent="0.3">
      <c r="A35" s="206" t="s">
        <v>120</v>
      </c>
      <c r="B35" s="206"/>
      <c r="C35" s="206"/>
      <c r="D35" s="206"/>
      <c r="E35" s="206"/>
      <c r="F35" s="206"/>
      <c r="G35" s="206"/>
      <c r="H35" s="206"/>
      <c r="I35" s="206"/>
    </row>
    <row r="36" spans="1:9" ht="20.25" x14ac:dyDescent="0.3">
      <c r="A36" s="206"/>
      <c r="B36" s="206"/>
      <c r="C36" s="206"/>
      <c r="D36" s="206"/>
      <c r="E36" s="206"/>
      <c r="F36" s="206"/>
      <c r="G36" s="206"/>
      <c r="H36" s="206"/>
      <c r="I36" s="206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24:C24"/>
    <mergeCell ref="F24:G24"/>
    <mergeCell ref="H24:I24"/>
    <mergeCell ref="A30:I30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31:I31"/>
    <mergeCell ref="A35:I35"/>
    <mergeCell ref="A36:I36"/>
    <mergeCell ref="A32:I32"/>
    <mergeCell ref="A33:I33"/>
    <mergeCell ref="A34:I34"/>
  </mergeCells>
  <pageMargins left="0.25" right="0.25" top="0.75" bottom="0.75" header="0.3" footer="0.3"/>
  <pageSetup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DDEA-5C89-465F-8B51-7E2AF10A6A69}">
  <dimension ref="A1:Q91"/>
  <sheetViews>
    <sheetView topLeftCell="A56" workbookViewId="0">
      <selection activeCell="B66" sqref="B66:E66"/>
    </sheetView>
  </sheetViews>
  <sheetFormatPr baseColWidth="10" defaultColWidth="8.42578125" defaultRowHeight="12.75" x14ac:dyDescent="0.25"/>
  <cols>
    <col min="1" max="1" width="10" style="19" bestFit="1" customWidth="1"/>
    <col min="2" max="2" width="44.28515625" style="19" bestFit="1" customWidth="1"/>
    <col min="3" max="3" width="10.42578125" style="19" bestFit="1" customWidth="1"/>
    <col min="4" max="4" width="10.42578125" style="19" customWidth="1"/>
    <col min="5" max="5" width="11" style="19" customWidth="1"/>
    <col min="6" max="6" width="9.5703125" style="19" bestFit="1" customWidth="1"/>
    <col min="7" max="7" width="10.85546875" style="101" customWidth="1"/>
    <col min="8" max="8" width="10.42578125" style="92" bestFit="1" customWidth="1"/>
    <col min="9" max="9" width="4.5703125" style="92" customWidth="1"/>
    <col min="10" max="10" width="1.85546875" style="18" customWidth="1"/>
    <col min="11" max="11" width="7" style="19" bestFit="1" customWidth="1"/>
    <col min="12" max="12" width="6.28515625" style="19" customWidth="1"/>
    <col min="13" max="13" width="20.42578125" style="19" customWidth="1"/>
    <col min="14" max="14" width="6.42578125" style="19" bestFit="1" customWidth="1"/>
    <col min="15" max="16" width="8.42578125" style="19"/>
    <col min="17" max="17" width="3.28515625" style="19" customWidth="1"/>
    <col min="18" max="16384" width="8.42578125" style="19"/>
  </cols>
  <sheetData>
    <row r="1" spans="1:10" ht="27.75" customHeight="1" x14ac:dyDescent="0.25">
      <c r="A1" s="14"/>
      <c r="B1" s="14"/>
      <c r="C1" s="14"/>
      <c r="D1" s="14"/>
      <c r="E1" s="15" t="s">
        <v>65</v>
      </c>
      <c r="F1" s="16" t="s">
        <v>66</v>
      </c>
      <c r="G1" s="16" t="s">
        <v>67</v>
      </c>
      <c r="H1" s="16" t="s">
        <v>68</v>
      </c>
      <c r="I1" s="17"/>
    </row>
    <row r="2" spans="1:10" ht="30.75" customHeight="1" x14ac:dyDescent="0.25">
      <c r="A2" s="14"/>
      <c r="B2" s="14"/>
      <c r="C2" s="14"/>
      <c r="D2" s="14"/>
      <c r="E2" s="20">
        <f>IFERROR(O62,"")</f>
        <v>16101.134999999998</v>
      </c>
      <c r="F2" s="20">
        <f>IFERROR(H53,"")</f>
        <v>14501.134999999998</v>
      </c>
      <c r="G2" s="20">
        <f>IFERROR(H54,"")</f>
        <v>0</v>
      </c>
      <c r="H2" s="20">
        <f>IFERROR(H56,"")</f>
        <v>770</v>
      </c>
      <c r="I2" s="21"/>
    </row>
    <row r="3" spans="1:10" ht="15" customHeight="1" x14ac:dyDescent="0.25">
      <c r="A3" s="14"/>
      <c r="B3" s="14"/>
      <c r="C3" s="14"/>
      <c r="D3" s="14"/>
      <c r="E3" s="14"/>
      <c r="F3" s="22"/>
      <c r="G3" s="22"/>
      <c r="H3" s="22"/>
      <c r="I3" s="22"/>
    </row>
    <row r="4" spans="1:10" ht="24.75" customHeight="1" thickBot="1" x14ac:dyDescent="0.3">
      <c r="A4" s="198"/>
      <c r="B4" s="198"/>
      <c r="C4" s="198"/>
      <c r="D4" s="198"/>
      <c r="E4" s="198"/>
      <c r="F4" s="198"/>
      <c r="G4" s="198"/>
      <c r="H4" s="198"/>
      <c r="I4" s="23"/>
    </row>
    <row r="5" spans="1:10" ht="19.5" customHeight="1" thickBot="1" x14ac:dyDescent="0.3">
      <c r="A5" s="199" t="s">
        <v>69</v>
      </c>
      <c r="B5" s="200"/>
      <c r="C5" s="200"/>
      <c r="D5" s="200"/>
      <c r="E5" s="200"/>
      <c r="F5" s="200"/>
      <c r="G5" s="200"/>
      <c r="H5" s="201"/>
      <c r="I5" s="24"/>
    </row>
    <row r="6" spans="1:10" ht="19.5" thickBot="1" x14ac:dyDescent="0.3">
      <c r="A6" s="24"/>
      <c r="B6" s="24"/>
      <c r="C6" s="24"/>
      <c r="D6" s="24"/>
      <c r="E6" s="24"/>
      <c r="F6" s="202" t="s">
        <v>70</v>
      </c>
      <c r="G6" s="202"/>
      <c r="H6" s="25">
        <f ca="1">TODAY()</f>
        <v>46083</v>
      </c>
      <c r="I6" s="25"/>
    </row>
    <row r="7" spans="1:10" ht="26.25" thickBot="1" x14ac:dyDescent="0.3">
      <c r="A7" s="26" t="s">
        <v>71</v>
      </c>
      <c r="B7" s="27" t="s">
        <v>72</v>
      </c>
      <c r="C7" s="27" t="s">
        <v>71</v>
      </c>
      <c r="D7" s="28" t="s">
        <v>73</v>
      </c>
      <c r="E7" s="28" t="s">
        <v>74</v>
      </c>
      <c r="F7" s="28" t="s">
        <v>75</v>
      </c>
      <c r="G7" s="28" t="s">
        <v>76</v>
      </c>
      <c r="H7" s="29" t="s">
        <v>77</v>
      </c>
      <c r="I7" s="30"/>
    </row>
    <row r="8" spans="1:10" ht="13.5" x14ac:dyDescent="0.25">
      <c r="A8" s="31">
        <v>1515.5</v>
      </c>
      <c r="B8" s="19" t="s">
        <v>48</v>
      </c>
      <c r="C8" s="32">
        <f>+A8</f>
        <v>1515.5</v>
      </c>
      <c r="D8" s="33" t="s">
        <v>116</v>
      </c>
      <c r="E8" s="33">
        <v>0.43</v>
      </c>
      <c r="F8" s="33">
        <f>IFERROR(C8*E8,"")</f>
        <v>651.66499999999996</v>
      </c>
      <c r="G8" s="34">
        <f t="shared" ref="G8:G14" si="0">IFERROR(F8/$F$66,"")</f>
        <v>4.1877668266288443E-2</v>
      </c>
      <c r="H8" s="35" t="s">
        <v>47</v>
      </c>
      <c r="I8" s="35"/>
      <c r="J8" s="36"/>
    </row>
    <row r="9" spans="1:10" ht="13.5" x14ac:dyDescent="0.25">
      <c r="A9" s="31">
        <v>3464</v>
      </c>
      <c r="B9" s="19" t="s">
        <v>51</v>
      </c>
      <c r="C9" s="32">
        <f t="shared" ref="C9:C14" si="1">+A9</f>
        <v>3464</v>
      </c>
      <c r="D9" s="33" t="s">
        <v>116</v>
      </c>
      <c r="E9" s="33">
        <v>3.85</v>
      </c>
      <c r="F9" s="33">
        <f t="shared" ref="F9:F14" si="2">IFERROR(C9*E9,"")</f>
        <v>13336.4</v>
      </c>
      <c r="G9" s="34">
        <f t="shared" si="0"/>
        <v>0.85703135056590307</v>
      </c>
      <c r="H9" s="35" t="s">
        <v>50</v>
      </c>
      <c r="I9" s="35"/>
      <c r="J9" s="36"/>
    </row>
    <row r="10" spans="1:10" ht="13.5" x14ac:dyDescent="0.25">
      <c r="A10" s="31">
        <v>216.5</v>
      </c>
      <c r="B10" s="19" t="s">
        <v>53</v>
      </c>
      <c r="C10" s="32">
        <f t="shared" si="1"/>
        <v>216.5</v>
      </c>
      <c r="D10" s="33" t="s">
        <v>116</v>
      </c>
      <c r="E10" s="33">
        <v>1.98</v>
      </c>
      <c r="F10" s="33">
        <f t="shared" si="2"/>
        <v>428.67</v>
      </c>
      <c r="G10" s="34">
        <f t="shared" si="0"/>
        <v>2.7547436268189743E-2</v>
      </c>
      <c r="H10" s="35" t="s">
        <v>52</v>
      </c>
      <c r="I10" s="35"/>
      <c r="J10" s="36"/>
    </row>
    <row r="11" spans="1:10" ht="13.5" x14ac:dyDescent="0.25">
      <c r="A11" s="31">
        <v>10</v>
      </c>
      <c r="B11" s="19" t="s">
        <v>59</v>
      </c>
      <c r="C11" s="32">
        <f t="shared" si="1"/>
        <v>10</v>
      </c>
      <c r="D11" s="33" t="s">
        <v>116</v>
      </c>
      <c r="E11" s="33">
        <v>8.44</v>
      </c>
      <c r="F11" s="33">
        <f t="shared" si="2"/>
        <v>84.399999999999991</v>
      </c>
      <c r="G11" s="34">
        <f t="shared" si="0"/>
        <v>5.423760984055833E-3</v>
      </c>
      <c r="H11" s="35" t="s">
        <v>58</v>
      </c>
      <c r="I11" s="35"/>
      <c r="J11" s="36"/>
    </row>
    <row r="12" spans="1:10" ht="13.5" hidden="1" x14ac:dyDescent="0.25">
      <c r="A12" s="31"/>
      <c r="B12" s="19" t="str">
        <f>IFERROR(VLOOKUP(H12,'[1]Consolidado MP Planta'!$A$2:$M$823,3,0),"")</f>
        <v/>
      </c>
      <c r="C12" s="32">
        <f t="shared" si="1"/>
        <v>0</v>
      </c>
      <c r="D12" s="33" t="str">
        <f>IFERROR(VLOOKUP(H12,'[1]Consolidado MP Planta'!$A$2:$M$823,13,0),"")</f>
        <v/>
      </c>
      <c r="E12" s="33" t="str">
        <f>IFERROR(VLOOKUP(H12,'[1]Consolidado MP Planta'!$A$2:$M$823,12,0),"")</f>
        <v/>
      </c>
      <c r="F12" s="33" t="str">
        <f t="shared" si="2"/>
        <v/>
      </c>
      <c r="G12" s="34" t="str">
        <f t="shared" si="0"/>
        <v/>
      </c>
      <c r="H12" s="35"/>
      <c r="I12" s="35"/>
      <c r="J12" s="36"/>
    </row>
    <row r="13" spans="1:10" ht="13.5" hidden="1" x14ac:dyDescent="0.25">
      <c r="A13" s="31"/>
      <c r="B13" s="19" t="str">
        <f>IFERROR(VLOOKUP(H13,'[1]Consolidado MP Planta'!$A$2:$M$823,3,0),"")</f>
        <v/>
      </c>
      <c r="C13" s="32">
        <f t="shared" si="1"/>
        <v>0</v>
      </c>
      <c r="D13" s="33" t="str">
        <f>IFERROR(VLOOKUP(H13,'[1]Consolidado MP Planta'!$A$2:$M$823,13,0),"")</f>
        <v/>
      </c>
      <c r="E13" s="33" t="str">
        <f>IFERROR(VLOOKUP(H13,'[1]Consolidado MP Planta'!$A$2:$M$823,12,0),"")</f>
        <v/>
      </c>
      <c r="F13" s="33" t="str">
        <f t="shared" si="2"/>
        <v/>
      </c>
      <c r="G13" s="34" t="str">
        <f t="shared" si="0"/>
        <v/>
      </c>
      <c r="H13" s="35"/>
      <c r="I13" s="35"/>
      <c r="J13" s="36"/>
    </row>
    <row r="14" spans="1:10" ht="13.5" hidden="1" x14ac:dyDescent="0.25">
      <c r="A14" s="31"/>
      <c r="B14" s="19" t="str">
        <f>IFERROR(VLOOKUP(H14,'[1]Consolidado MP Planta'!$A$2:$M$823,3,0),"")</f>
        <v/>
      </c>
      <c r="C14" s="32">
        <f t="shared" si="1"/>
        <v>0</v>
      </c>
      <c r="D14" s="33" t="str">
        <f>IFERROR(VLOOKUP(H14,'[1]Consolidado MP Planta'!$A$2:$M$823,13,0),"")</f>
        <v/>
      </c>
      <c r="E14" s="33" t="str">
        <f>IFERROR(VLOOKUP(H14,'[1]Consolidado MP Planta'!$A$2:$M$823,12,0),"")</f>
        <v/>
      </c>
      <c r="F14" s="33" t="str">
        <f t="shared" si="2"/>
        <v/>
      </c>
      <c r="G14" s="34" t="str">
        <f t="shared" si="0"/>
        <v/>
      </c>
      <c r="H14" s="35"/>
      <c r="I14" s="35"/>
      <c r="J14" s="36"/>
    </row>
    <row r="15" spans="1:10" ht="14.25" thickBot="1" x14ac:dyDescent="0.3">
      <c r="A15" s="31"/>
      <c r="B15" s="19" t="str">
        <f>IFERROR(VLOOKUP(H15,[2]Hoja2!$A$2:$G$589,2,0),"")</f>
        <v/>
      </c>
      <c r="C15" s="32"/>
      <c r="D15" s="33"/>
      <c r="E15" s="33"/>
      <c r="F15" s="33"/>
      <c r="G15" s="34"/>
      <c r="H15" s="35"/>
      <c r="I15" s="35"/>
      <c r="J15" s="36"/>
    </row>
    <row r="16" spans="1:10" ht="26.25" hidden="1" thickBot="1" x14ac:dyDescent="0.3">
      <c r="A16" s="26" t="s">
        <v>71</v>
      </c>
      <c r="B16" s="27" t="s">
        <v>78</v>
      </c>
      <c r="C16" s="27" t="s">
        <v>71</v>
      </c>
      <c r="D16" s="28" t="s">
        <v>73</v>
      </c>
      <c r="E16" s="28" t="s">
        <v>74</v>
      </c>
      <c r="F16" s="28" t="s">
        <v>75</v>
      </c>
      <c r="G16" s="28" t="s">
        <v>76</v>
      </c>
      <c r="H16" s="29" t="s">
        <v>77</v>
      </c>
      <c r="I16" s="30"/>
      <c r="J16" s="36"/>
    </row>
    <row r="17" spans="1:12" ht="13.5" hidden="1" x14ac:dyDescent="0.25">
      <c r="A17" s="31"/>
      <c r="B17" s="19" t="str">
        <f>IFERROR(VLOOKUP(H17,[1]SEMIELABORADOS!$A$2:$M$6000,2,0),"")</f>
        <v/>
      </c>
      <c r="C17" s="32">
        <f>+A17</f>
        <v>0</v>
      </c>
      <c r="D17" s="32" t="str">
        <f>IFERROR(VLOOKUP(H17,[1]SEMIELABORADOS!$A$2:$M$6000,6,0),"")</f>
        <v/>
      </c>
      <c r="E17" s="33" t="str">
        <f>IFERROR(VLOOKUP(H17,[1]SEMIELABORADOS!$A$2:$H$65536,8,0),"")</f>
        <v/>
      </c>
      <c r="F17" s="33" t="str">
        <f>IFERROR(E17*C17,"")</f>
        <v/>
      </c>
      <c r="G17" s="34" t="str">
        <f t="shared" ref="G17:G24" si="3">IFERROR(F17/$F$66,"")</f>
        <v/>
      </c>
      <c r="H17" s="35"/>
      <c r="I17" s="35"/>
      <c r="J17" s="36"/>
    </row>
    <row r="18" spans="1:12" ht="13.5" hidden="1" x14ac:dyDescent="0.25">
      <c r="A18" s="31"/>
      <c r="B18" s="19" t="str">
        <f>IFERROR(VLOOKUP(H18,[1]SEMIELABORADOS!$A$2:$M$6000,2,0),"")</f>
        <v/>
      </c>
      <c r="C18" s="32">
        <f t="shared" ref="C18:C24" si="4">+A18</f>
        <v>0</v>
      </c>
      <c r="D18" s="32" t="str">
        <f>IFERROR(VLOOKUP(H18,[1]SEMIELABORADOS!$A$2:$M$6000,6,0),"")</f>
        <v/>
      </c>
      <c r="E18" s="33" t="str">
        <f>IFERROR(VLOOKUP(H18,[1]SEMIELABORADOS!$A$2:$H$65536,8,0),"")</f>
        <v/>
      </c>
      <c r="F18" s="33" t="str">
        <f t="shared" ref="F18:F24" si="5">IFERROR(E18*C18,"")</f>
        <v/>
      </c>
      <c r="G18" s="34" t="str">
        <f t="shared" si="3"/>
        <v/>
      </c>
      <c r="H18" s="35"/>
      <c r="I18" s="35"/>
      <c r="J18" s="36"/>
    </row>
    <row r="19" spans="1:12" ht="13.5" hidden="1" x14ac:dyDescent="0.25">
      <c r="A19" s="31"/>
      <c r="B19" s="19" t="str">
        <f>IFERROR(VLOOKUP(H19,[1]SEMIELABORADOS!$A$2:$M$6000,2,0),"")</f>
        <v/>
      </c>
      <c r="C19" s="32">
        <f>+A19</f>
        <v>0</v>
      </c>
      <c r="D19" s="32" t="str">
        <f>IFERROR(VLOOKUP(H19,[1]SEMIELABORADOS!$A$2:$M$6000,6,0),"")</f>
        <v/>
      </c>
      <c r="E19" s="33" t="str">
        <f>IFERROR(VLOOKUP(H19,[1]SEMIELABORADOS!$A$2:$H$65536,8,0),"")</f>
        <v/>
      </c>
      <c r="F19" s="33" t="str">
        <f>IFERROR(E19*C19,"")</f>
        <v/>
      </c>
      <c r="G19" s="34" t="str">
        <f t="shared" si="3"/>
        <v/>
      </c>
      <c r="H19" s="35"/>
      <c r="I19" s="35"/>
      <c r="J19" s="36"/>
    </row>
    <row r="20" spans="1:12" ht="13.5" hidden="1" x14ac:dyDescent="0.25">
      <c r="A20" s="31"/>
      <c r="B20" s="19" t="str">
        <f>IFERROR(VLOOKUP(H20,[1]SEMIELABORADOS!$A$2:$M$6000,2,0),"")</f>
        <v/>
      </c>
      <c r="C20" s="32">
        <f>+A20</f>
        <v>0</v>
      </c>
      <c r="D20" s="32" t="str">
        <f>IFERROR(VLOOKUP(H20,[1]SEMIELABORADOS!$A$2:$M$6000,6,0),"")</f>
        <v/>
      </c>
      <c r="E20" s="33" t="str">
        <f>IFERROR(VLOOKUP(H20,[1]SEMIELABORADOS!$A$2:$H$65536,8,0),"")</f>
        <v/>
      </c>
      <c r="F20" s="33" t="str">
        <f>IFERROR(E20*C20,"")</f>
        <v/>
      </c>
      <c r="G20" s="34" t="str">
        <f t="shared" si="3"/>
        <v/>
      </c>
      <c r="H20" s="35"/>
      <c r="I20" s="35"/>
      <c r="J20" s="36"/>
    </row>
    <row r="21" spans="1:12" ht="13.5" hidden="1" x14ac:dyDescent="0.25">
      <c r="A21" s="31"/>
      <c r="B21" s="19" t="str">
        <f>IFERROR(VLOOKUP(H21,[1]SEMIELABORADOS!$A$2:$M$6000,2,0),"")</f>
        <v/>
      </c>
      <c r="C21" s="32">
        <f>+A21</f>
        <v>0</v>
      </c>
      <c r="D21" s="32" t="str">
        <f>IFERROR(VLOOKUP(H21,[1]SEMIELABORADOS!$A$2:$M$6000,6,0),"")</f>
        <v/>
      </c>
      <c r="E21" s="33" t="str">
        <f>IFERROR(VLOOKUP(H21,[1]SEMIELABORADOS!$A$2:$H$65536,8,0),"")</f>
        <v/>
      </c>
      <c r="F21" s="33" t="str">
        <f>IFERROR(E21*C21,"")</f>
        <v/>
      </c>
      <c r="G21" s="34" t="str">
        <f t="shared" si="3"/>
        <v/>
      </c>
      <c r="H21" s="35"/>
      <c r="I21" s="35"/>
      <c r="J21" s="36"/>
    </row>
    <row r="22" spans="1:12" ht="13.5" hidden="1" x14ac:dyDescent="0.25">
      <c r="A22" s="31"/>
      <c r="B22" s="19" t="str">
        <f>IFERROR(VLOOKUP(H22,[1]SEMIELABORADOS!$A$2:$M$6000,2,0),"")</f>
        <v/>
      </c>
      <c r="C22" s="32">
        <f t="shared" si="4"/>
        <v>0</v>
      </c>
      <c r="D22" s="32" t="str">
        <f>IFERROR(VLOOKUP(H22,[1]SEMIELABORADOS!$A$2:$M$6000,6,0),"")</f>
        <v/>
      </c>
      <c r="E22" s="33" t="str">
        <f>IFERROR(VLOOKUP(H22,[1]SEMIELABORADOS!$A$2:$H$65536,8,0),"")</f>
        <v/>
      </c>
      <c r="F22" s="33" t="str">
        <f t="shared" si="5"/>
        <v/>
      </c>
      <c r="G22" s="34" t="str">
        <f t="shared" si="3"/>
        <v/>
      </c>
      <c r="H22" s="35"/>
      <c r="I22" s="35"/>
      <c r="J22" s="36"/>
    </row>
    <row r="23" spans="1:12" ht="13.5" hidden="1" x14ac:dyDescent="0.25">
      <c r="A23" s="31"/>
      <c r="B23" s="19" t="str">
        <f>IFERROR(VLOOKUP(H23,[1]SEMIELABORADOS!$A$2:$M$6000,2,0),"")</f>
        <v/>
      </c>
      <c r="C23" s="32">
        <f t="shared" si="4"/>
        <v>0</v>
      </c>
      <c r="D23" s="32" t="str">
        <f>IFERROR(VLOOKUP(H23,[1]SEMIELABORADOS!$A$2:$M$6000,6,0),"")</f>
        <v/>
      </c>
      <c r="E23" s="33" t="str">
        <f>IFERROR(VLOOKUP(H23,[1]SEMIELABORADOS!$A$2:$H$65536,8,0),"")</f>
        <v/>
      </c>
      <c r="F23" s="33" t="str">
        <f t="shared" si="5"/>
        <v/>
      </c>
      <c r="G23" s="34" t="str">
        <f t="shared" si="3"/>
        <v/>
      </c>
      <c r="H23" s="35"/>
      <c r="I23" s="35"/>
      <c r="J23" s="36"/>
    </row>
    <row r="24" spans="1:12" ht="13.5" hidden="1" x14ac:dyDescent="0.25">
      <c r="A24" s="31"/>
      <c r="B24" s="19" t="str">
        <f>IFERROR(VLOOKUP(H24,[1]SEMIELABORADOS!$A$2:$M$6000,2,0),"")</f>
        <v/>
      </c>
      <c r="C24" s="32">
        <f t="shared" si="4"/>
        <v>0</v>
      </c>
      <c r="D24" s="32" t="str">
        <f>IFERROR(VLOOKUP(H24,[1]SEMIELABORADOS!$A$2:$M$6000,6,0),"")</f>
        <v/>
      </c>
      <c r="E24" s="33" t="str">
        <f>IFERROR(VLOOKUP(H24,[1]SEMIELABORADOS!$A$2:$H$65536,8,0),"")</f>
        <v/>
      </c>
      <c r="F24" s="33" t="str">
        <f t="shared" si="5"/>
        <v/>
      </c>
      <c r="G24" s="34" t="str">
        <f t="shared" si="3"/>
        <v/>
      </c>
      <c r="H24" s="35"/>
      <c r="I24" s="35"/>
      <c r="J24" s="36"/>
    </row>
    <row r="25" spans="1:12" ht="14.25" hidden="1" thickBot="1" x14ac:dyDescent="0.3">
      <c r="A25" s="31"/>
      <c r="C25" s="32"/>
      <c r="D25" s="32"/>
      <c r="E25" s="33"/>
      <c r="F25" s="33"/>
      <c r="G25" s="34"/>
      <c r="H25" s="35"/>
      <c r="I25" s="35"/>
      <c r="J25" s="36"/>
    </row>
    <row r="26" spans="1:12" ht="26.25" hidden="1" thickBot="1" x14ac:dyDescent="0.3">
      <c r="A26" s="26" t="s">
        <v>71</v>
      </c>
      <c r="B26" s="27" t="s">
        <v>61</v>
      </c>
      <c r="C26" s="27" t="s">
        <v>71</v>
      </c>
      <c r="D26" s="28" t="s">
        <v>73</v>
      </c>
      <c r="E26" s="28" t="s">
        <v>74</v>
      </c>
      <c r="F26" s="28" t="s">
        <v>75</v>
      </c>
      <c r="G26" s="28" t="s">
        <v>76</v>
      </c>
      <c r="H26" s="29" t="s">
        <v>77</v>
      </c>
      <c r="I26" s="30"/>
    </row>
    <row r="27" spans="1:12" ht="13.5" hidden="1" x14ac:dyDescent="0.25">
      <c r="A27" s="31">
        <v>0</v>
      </c>
      <c r="B27" s="37" t="str">
        <f>IFERROR(VLOOKUP(H27,'[1]Consolidado MP Planta'!$A$2:$M$823,3,0),"")</f>
        <v/>
      </c>
      <c r="C27" s="32">
        <f t="shared" ref="C27:C32" si="6">+A27</f>
        <v>0</v>
      </c>
      <c r="D27" s="33" t="str">
        <f>IFERROR(VLOOKUP(H27,'[1]Consolidado MP Planta'!$A$2:$M$823,13,0),"")</f>
        <v/>
      </c>
      <c r="E27" s="33" t="str">
        <f>IFERROR(VLOOKUP(H27,'[1]Consolidado MP Planta'!$A$2:$M$823,12,0),"")</f>
        <v/>
      </c>
      <c r="F27" s="33" t="str">
        <f t="shared" ref="F27:F32" si="7">IFERROR(C27*E27,"")</f>
        <v/>
      </c>
      <c r="G27" s="34" t="str">
        <f t="shared" ref="G27:G32" si="8">IFERROR(F27/$F$66,"")</f>
        <v/>
      </c>
      <c r="H27" s="38"/>
      <c r="I27" s="38"/>
      <c r="J27" s="36"/>
      <c r="K27" s="192"/>
      <c r="L27" s="192"/>
    </row>
    <row r="28" spans="1:12" ht="13.5" hidden="1" x14ac:dyDescent="0.25">
      <c r="A28" s="31"/>
      <c r="B28" s="37" t="str">
        <f>IFERROR(VLOOKUP(H28,'[1]Consolidado MP Planta'!$A$2:$M$823,3,0),"")</f>
        <v/>
      </c>
      <c r="C28" s="32">
        <f t="shared" si="6"/>
        <v>0</v>
      </c>
      <c r="D28" s="33" t="str">
        <f>IFERROR(VLOOKUP(H28,'[1]Consolidado MP Planta'!$A$2:$M$823,13,0),"")</f>
        <v/>
      </c>
      <c r="E28" s="33" t="str">
        <f>IFERROR(VLOOKUP(H28,'[1]Consolidado MP Planta'!$A$2:$M$823,12,0),"")</f>
        <v/>
      </c>
      <c r="F28" s="33" t="str">
        <f t="shared" si="7"/>
        <v/>
      </c>
      <c r="G28" s="34" t="str">
        <f t="shared" si="8"/>
        <v/>
      </c>
      <c r="H28" s="38"/>
      <c r="I28" s="38"/>
      <c r="J28" s="36"/>
      <c r="K28" s="192"/>
      <c r="L28" s="192"/>
    </row>
    <row r="29" spans="1:12" ht="13.5" hidden="1" x14ac:dyDescent="0.25">
      <c r="A29" s="31"/>
      <c r="B29" s="37" t="str">
        <f>IFERROR(VLOOKUP(H29,'[1]Consolidado MP Planta'!$A$2:$M$823,3,0),"")</f>
        <v/>
      </c>
      <c r="C29" s="32">
        <f t="shared" si="6"/>
        <v>0</v>
      </c>
      <c r="D29" s="33" t="str">
        <f>IFERROR(VLOOKUP(H29,'[1]Consolidado MP Planta'!$A$2:$M$823,13,0),"")</f>
        <v/>
      </c>
      <c r="E29" s="33" t="str">
        <f>IFERROR(VLOOKUP(H29,'[1]Consolidado MP Planta'!$A$2:$M$823,12,0),"")</f>
        <v/>
      </c>
      <c r="F29" s="33" t="str">
        <f t="shared" si="7"/>
        <v/>
      </c>
      <c r="G29" s="34" t="str">
        <f t="shared" si="8"/>
        <v/>
      </c>
      <c r="H29" s="38"/>
      <c r="I29" s="38"/>
      <c r="J29" s="36"/>
      <c r="K29" s="192"/>
      <c r="L29" s="192"/>
    </row>
    <row r="30" spans="1:12" ht="13.5" hidden="1" x14ac:dyDescent="0.25">
      <c r="A30" s="31"/>
      <c r="B30" s="37" t="str">
        <f>IFERROR(VLOOKUP(H30,'[1]Consolidado MP Planta'!$A$2:$M$823,3,0),"")</f>
        <v/>
      </c>
      <c r="C30" s="32">
        <f t="shared" si="6"/>
        <v>0</v>
      </c>
      <c r="D30" s="33" t="str">
        <f>IFERROR(VLOOKUP(H30,'[1]Consolidado MP Planta'!$A$2:$M$823,13,0),"")</f>
        <v/>
      </c>
      <c r="E30" s="33" t="str">
        <f>IFERROR(VLOOKUP(H30,'[1]Consolidado MP Planta'!$A$2:$M$823,12,0),"")</f>
        <v/>
      </c>
      <c r="F30" s="33" t="str">
        <f t="shared" si="7"/>
        <v/>
      </c>
      <c r="G30" s="34" t="str">
        <f t="shared" si="8"/>
        <v/>
      </c>
      <c r="H30" s="38"/>
      <c r="I30" s="38"/>
      <c r="J30" s="36"/>
      <c r="K30" s="192"/>
      <c r="L30" s="192"/>
    </row>
    <row r="31" spans="1:12" ht="13.5" hidden="1" x14ac:dyDescent="0.25">
      <c r="A31" s="31"/>
      <c r="B31" s="37" t="str">
        <f>IFERROR(VLOOKUP(H31,'[1]Consolidado MP Planta'!$A$2:$M$823,3,0),"")</f>
        <v/>
      </c>
      <c r="C31" s="32">
        <f t="shared" si="6"/>
        <v>0</v>
      </c>
      <c r="D31" s="33" t="str">
        <f>IFERROR(VLOOKUP(H31,'[1]Consolidado MP Planta'!$A$2:$M$823,13,0),"")</f>
        <v/>
      </c>
      <c r="E31" s="33" t="str">
        <f>IFERROR(VLOOKUP(H31,'[1]Consolidado MP Planta'!$A$2:$M$823,12,0),"")</f>
        <v/>
      </c>
      <c r="F31" s="33" t="str">
        <f t="shared" si="7"/>
        <v/>
      </c>
      <c r="G31" s="34" t="str">
        <f t="shared" si="8"/>
        <v/>
      </c>
      <c r="H31" s="38"/>
      <c r="I31" s="38"/>
      <c r="J31" s="36"/>
      <c r="K31" s="39"/>
      <c r="L31" s="40"/>
    </row>
    <row r="32" spans="1:12" ht="13.5" hidden="1" x14ac:dyDescent="0.25">
      <c r="A32" s="31"/>
      <c r="B32" s="37" t="str">
        <f>IFERROR(VLOOKUP(H32,'[1]Consolidado MP Planta'!$A$2:$M$823,3,0),"")</f>
        <v/>
      </c>
      <c r="C32" s="32">
        <f t="shared" si="6"/>
        <v>0</v>
      </c>
      <c r="D32" s="33" t="str">
        <f>IFERROR(VLOOKUP(H32,'[1]Consolidado MP Planta'!$A$2:$M$823,13,0),"")</f>
        <v/>
      </c>
      <c r="E32" s="33" t="str">
        <f>IFERROR(VLOOKUP(H32,'[1]Consolidado MP Planta'!$A$2:$M$823,12,0),"")</f>
        <v/>
      </c>
      <c r="F32" s="33" t="str">
        <f t="shared" si="7"/>
        <v/>
      </c>
      <c r="G32" s="34" t="str">
        <f t="shared" si="8"/>
        <v/>
      </c>
      <c r="H32" s="38"/>
      <c r="I32" s="38"/>
      <c r="J32" s="36"/>
    </row>
    <row r="33" spans="1:13" ht="14.25" hidden="1" thickBot="1" x14ac:dyDescent="0.3">
      <c r="A33" s="31"/>
      <c r="B33" s="37"/>
      <c r="C33" s="32"/>
      <c r="D33" s="33"/>
      <c r="E33" s="33"/>
      <c r="F33" s="33"/>
      <c r="G33" s="34"/>
      <c r="H33" s="38"/>
      <c r="I33" s="38"/>
      <c r="J33" s="36"/>
    </row>
    <row r="34" spans="1:13" ht="26.25" hidden="1" thickBot="1" x14ac:dyDescent="0.25">
      <c r="A34" s="26" t="s">
        <v>71</v>
      </c>
      <c r="B34" s="27" t="s">
        <v>79</v>
      </c>
      <c r="C34" s="27" t="s">
        <v>71</v>
      </c>
      <c r="D34" s="28" t="s">
        <v>73</v>
      </c>
      <c r="E34" s="28" t="s">
        <v>74</v>
      </c>
      <c r="F34" s="28" t="s">
        <v>75</v>
      </c>
      <c r="G34" s="28" t="s">
        <v>76</v>
      </c>
      <c r="H34" s="29" t="s">
        <v>77</v>
      </c>
      <c r="I34" s="38"/>
      <c r="J34" s="36"/>
    </row>
    <row r="35" spans="1:13" ht="13.5" hidden="1" x14ac:dyDescent="0.25">
      <c r="A35" s="31">
        <f>+A17</f>
        <v>0</v>
      </c>
      <c r="B35" s="37" t="str">
        <f>IFERROR(VLOOKUP(H35,[1]SEMIELABORADOS!$A$2:$M$6000,2,0),"")</f>
        <v/>
      </c>
      <c r="C35" s="32">
        <f>+A35</f>
        <v>0</v>
      </c>
      <c r="D35" s="33" t="str">
        <f>IFERROR(VLOOKUP(H35,[1]SEMIELABORADOS!$A$2:$M$6000,6,0),"")</f>
        <v/>
      </c>
      <c r="E35" s="33" t="str">
        <f>IFERROR(VLOOKUP(H35,[1]SEMIELABORADOS!$A$2:$M$65536,10,0),"")</f>
        <v/>
      </c>
      <c r="F35" s="33" t="str">
        <f>IFERROR(E35*C35,"")</f>
        <v/>
      </c>
      <c r="G35" s="34" t="str">
        <f t="shared" ref="G35:G41" si="9">IFERROR(F35/$F$66,"")</f>
        <v/>
      </c>
      <c r="H35" s="38"/>
      <c r="I35" s="38"/>
      <c r="J35" s="36"/>
    </row>
    <row r="36" spans="1:13" ht="13.5" hidden="1" x14ac:dyDescent="0.25">
      <c r="A36" s="31">
        <f t="shared" ref="A36:A41" si="10">+A18</f>
        <v>0</v>
      </c>
      <c r="B36" s="37" t="str">
        <f>IFERROR(VLOOKUP(H36,[1]SEMIELABORADOS!$A$2:$M$6000,2,0),"")</f>
        <v/>
      </c>
      <c r="C36" s="32">
        <f t="shared" ref="C36:C41" si="11">+A36</f>
        <v>0</v>
      </c>
      <c r="D36" s="33" t="str">
        <f>IFERROR(VLOOKUP(H36,[1]SEMIELABORADOS!$A$2:$M$6000,6,0),"")</f>
        <v/>
      </c>
      <c r="E36" s="33" t="str">
        <f>IFERROR(VLOOKUP(H36,[1]SEMIELABORADOS!$A$2:$M$65536,10,0),"")</f>
        <v/>
      </c>
      <c r="F36" s="33" t="str">
        <f t="shared" ref="F36:F41" si="12">IFERROR(E36*C36,"")</f>
        <v/>
      </c>
      <c r="G36" s="34" t="str">
        <f t="shared" si="9"/>
        <v/>
      </c>
      <c r="H36" s="38"/>
      <c r="I36" s="38"/>
      <c r="J36" s="36"/>
    </row>
    <row r="37" spans="1:13" ht="13.5" hidden="1" x14ac:dyDescent="0.25">
      <c r="A37" s="31">
        <f t="shared" si="10"/>
        <v>0</v>
      </c>
      <c r="B37" s="37" t="str">
        <f>IFERROR(VLOOKUP(H37,[1]SEMIELABORADOS!$A$2:$M$6000,2,0),"")</f>
        <v/>
      </c>
      <c r="C37" s="32">
        <f t="shared" si="11"/>
        <v>0</v>
      </c>
      <c r="D37" s="33" t="str">
        <f>IFERROR(VLOOKUP(H37,[1]SEMIELABORADOS!$A$2:$M$6000,6,0),"")</f>
        <v/>
      </c>
      <c r="E37" s="33" t="str">
        <f>IFERROR(VLOOKUP(H37,[1]SEMIELABORADOS!$A$2:$M$65536,10,0),"")</f>
        <v/>
      </c>
      <c r="F37" s="33" t="str">
        <f t="shared" si="12"/>
        <v/>
      </c>
      <c r="G37" s="34" t="str">
        <f t="shared" si="9"/>
        <v/>
      </c>
      <c r="H37" s="38"/>
      <c r="I37" s="38"/>
      <c r="J37" s="36"/>
    </row>
    <row r="38" spans="1:13" ht="13.5" hidden="1" x14ac:dyDescent="0.25">
      <c r="A38" s="31">
        <f t="shared" si="10"/>
        <v>0</v>
      </c>
      <c r="B38" s="37" t="str">
        <f>IFERROR(VLOOKUP(H38,[1]SEMIELABORADOS!$A$2:$M$6000,2,0),"")</f>
        <v/>
      </c>
      <c r="C38" s="32">
        <f>+A38</f>
        <v>0</v>
      </c>
      <c r="D38" s="33" t="str">
        <f>IFERROR(VLOOKUP(H38,[1]SEMIELABORADOS!$A$2:$M$6000,6,0),"")</f>
        <v/>
      </c>
      <c r="E38" s="33" t="str">
        <f>IFERROR(VLOOKUP(H38,[1]SEMIELABORADOS!$A$2:$M$65536,10,0),"")</f>
        <v/>
      </c>
      <c r="F38" s="33" t="str">
        <f>IFERROR(E38*C38,"")</f>
        <v/>
      </c>
      <c r="G38" s="34" t="str">
        <f t="shared" si="9"/>
        <v/>
      </c>
      <c r="H38" s="38"/>
      <c r="I38" s="38"/>
      <c r="J38" s="36"/>
    </row>
    <row r="39" spans="1:13" ht="13.5" hidden="1" x14ac:dyDescent="0.25">
      <c r="A39" s="31">
        <f t="shared" si="10"/>
        <v>0</v>
      </c>
      <c r="B39" s="37" t="str">
        <f>IFERROR(VLOOKUP(H39,[1]SEMIELABORADOS!$A$2:$M$6000,2,0),"")</f>
        <v/>
      </c>
      <c r="C39" s="32">
        <f>+A39</f>
        <v>0</v>
      </c>
      <c r="D39" s="33" t="str">
        <f>IFERROR(VLOOKUP(H39,[1]SEMIELABORADOS!$A$2:$M$6000,6,0),"")</f>
        <v/>
      </c>
      <c r="E39" s="33" t="str">
        <f>IFERROR(VLOOKUP(H39,[1]SEMIELABORADOS!$A$2:$M$65536,10,0),"")</f>
        <v/>
      </c>
      <c r="F39" s="33" t="str">
        <f>IFERROR(E39*C39,"")</f>
        <v/>
      </c>
      <c r="G39" s="34" t="str">
        <f t="shared" si="9"/>
        <v/>
      </c>
      <c r="H39" s="38"/>
      <c r="I39" s="38"/>
      <c r="J39" s="36"/>
    </row>
    <row r="40" spans="1:13" ht="13.5" hidden="1" x14ac:dyDescent="0.25">
      <c r="A40" s="31">
        <f t="shared" si="10"/>
        <v>0</v>
      </c>
      <c r="B40" s="37" t="str">
        <f>IFERROR(VLOOKUP(H40,[1]SEMIELABORADOS!$A$2:$M$6000,2,0),"")</f>
        <v/>
      </c>
      <c r="C40" s="32">
        <f t="shared" si="11"/>
        <v>0</v>
      </c>
      <c r="D40" s="33" t="str">
        <f>IFERROR(VLOOKUP(H40,[1]SEMIELABORADOS!$A$2:$M$6000,6,0),"")</f>
        <v/>
      </c>
      <c r="E40" s="33" t="str">
        <f>IFERROR(VLOOKUP(H40,[1]SEMIELABORADOS!$A$2:$M$65536,10,0),"")</f>
        <v/>
      </c>
      <c r="F40" s="33" t="str">
        <f t="shared" si="12"/>
        <v/>
      </c>
      <c r="G40" s="34" t="str">
        <f t="shared" si="9"/>
        <v/>
      </c>
      <c r="H40" s="38"/>
      <c r="I40" s="38"/>
      <c r="J40" s="36"/>
    </row>
    <row r="41" spans="1:13" ht="13.5" hidden="1" x14ac:dyDescent="0.25">
      <c r="A41" s="31">
        <f t="shared" si="10"/>
        <v>0</v>
      </c>
      <c r="B41" s="37" t="str">
        <f>IFERROR(VLOOKUP(H41,[1]SEMIELABORADOS!$A$2:$M$6000,2,0),"")</f>
        <v/>
      </c>
      <c r="C41" s="32">
        <f t="shared" si="11"/>
        <v>0</v>
      </c>
      <c r="D41" s="33" t="str">
        <f>IFERROR(VLOOKUP(H41,[1]SEMIELABORADOS!$A$2:$M$6000,6,0),"")</f>
        <v/>
      </c>
      <c r="E41" s="33" t="str">
        <f>IFERROR(VLOOKUP(H41,[1]SEMIELABORADOS!$A$2:$M$65536,10,0),"")</f>
        <v/>
      </c>
      <c r="F41" s="33" t="str">
        <f t="shared" si="12"/>
        <v/>
      </c>
      <c r="G41" s="34" t="str">
        <f t="shared" si="9"/>
        <v/>
      </c>
      <c r="H41" s="38"/>
      <c r="I41" s="38"/>
      <c r="J41" s="36"/>
    </row>
    <row r="42" spans="1:13" ht="14.25" hidden="1" thickBot="1" x14ac:dyDescent="0.3">
      <c r="A42" s="31"/>
      <c r="B42" s="37"/>
      <c r="C42" s="32"/>
      <c r="D42" s="33"/>
      <c r="E42" s="33"/>
      <c r="F42" s="33"/>
      <c r="G42" s="34"/>
      <c r="H42" s="38"/>
      <c r="I42" s="38"/>
      <c r="J42" s="36"/>
    </row>
    <row r="43" spans="1:13" ht="26.25" thickBot="1" x14ac:dyDescent="0.3">
      <c r="A43" s="26" t="s">
        <v>71</v>
      </c>
      <c r="B43" s="27" t="s">
        <v>80</v>
      </c>
      <c r="C43" s="27" t="s">
        <v>71</v>
      </c>
      <c r="D43" s="28" t="s">
        <v>73</v>
      </c>
      <c r="E43" s="28" t="s">
        <v>74</v>
      </c>
      <c r="F43" s="28" t="s">
        <v>75</v>
      </c>
      <c r="G43" s="28" t="s">
        <v>76</v>
      </c>
      <c r="H43" s="29" t="s">
        <v>77</v>
      </c>
      <c r="I43" s="30"/>
      <c r="J43" s="36"/>
    </row>
    <row r="44" spans="1:13" ht="13.5" hidden="1" x14ac:dyDescent="0.25">
      <c r="A44" s="31">
        <f>+A35</f>
        <v>0</v>
      </c>
      <c r="B44" s="37" t="str">
        <f>IFERROR(VLOOKUP(H44,[1]SEMIELABORADOS!$A$2:$M$6000,2,0),"")</f>
        <v/>
      </c>
      <c r="C44" s="32">
        <f>+A44</f>
        <v>0</v>
      </c>
      <c r="D44" s="33" t="str">
        <f>IFERROR(VLOOKUP(H44,[1]SEMIELABORADOS!$A$2:$M$6000,6,0),"")</f>
        <v/>
      </c>
      <c r="E44" s="33" t="str">
        <f>IFERROR(VLOOKUP(H44,[1]SEMIELABORADOS!$A$2:$M$65536,12,0),"")</f>
        <v/>
      </c>
      <c r="F44" s="33" t="str">
        <f>IFERROR(E44*C44,"")</f>
        <v/>
      </c>
      <c r="G44" s="34" t="str">
        <f>IFERROR(F44/$F$66,"")</f>
        <v/>
      </c>
      <c r="H44" s="38"/>
      <c r="I44" s="30"/>
      <c r="J44" s="36"/>
    </row>
    <row r="45" spans="1:13" ht="13.5" hidden="1" x14ac:dyDescent="0.25">
      <c r="A45" s="31">
        <f t="shared" ref="A45:A50" si="13">+A36</f>
        <v>0</v>
      </c>
      <c r="B45" s="37" t="str">
        <f>IFERROR(VLOOKUP(H45,[1]SEMIELABORADOS!$A$2:$M$6000,2,0),"")</f>
        <v/>
      </c>
      <c r="C45" s="32">
        <f t="shared" ref="C45:C50" si="14">+A45</f>
        <v>0</v>
      </c>
      <c r="D45" s="33" t="str">
        <f>IFERROR(VLOOKUP(H45,[1]SEMIELABORADOS!$A$2:$M$6000,6,0),"")</f>
        <v/>
      </c>
      <c r="E45" s="33" t="str">
        <f>IFERROR(VLOOKUP(H45,[1]SEMIELABORADOS!$A$2:$M$65536,12,0),"")</f>
        <v/>
      </c>
      <c r="F45" s="33" t="str">
        <f t="shared" ref="F45:F50" si="15">IFERROR(E45*C45,"")</f>
        <v/>
      </c>
      <c r="G45" s="34" t="str">
        <f t="shared" ref="G45:G50" si="16">IFERROR(F45/$F$66,"")</f>
        <v/>
      </c>
      <c r="H45" s="38"/>
      <c r="I45" s="30"/>
      <c r="J45" s="36"/>
      <c r="M45" s="41"/>
    </row>
    <row r="46" spans="1:13" ht="13.5" hidden="1" x14ac:dyDescent="0.25">
      <c r="A46" s="31">
        <f t="shared" si="13"/>
        <v>0</v>
      </c>
      <c r="B46" s="37" t="str">
        <f>IFERROR(VLOOKUP(H46,[1]SEMIELABORADOS!$A$2:$M$6000,2,0),"")</f>
        <v/>
      </c>
      <c r="C46" s="32">
        <f t="shared" si="14"/>
        <v>0</v>
      </c>
      <c r="D46" s="33" t="str">
        <f>IFERROR(VLOOKUP(H46,[1]SEMIELABORADOS!$A$2:$M$6000,6,0),"")</f>
        <v/>
      </c>
      <c r="E46" s="33" t="str">
        <f>IFERROR(VLOOKUP(H46,[1]SEMIELABORADOS!$A$2:$M$65536,12,0),"")</f>
        <v/>
      </c>
      <c r="F46" s="33" t="str">
        <f t="shared" si="15"/>
        <v/>
      </c>
      <c r="G46" s="34" t="str">
        <f t="shared" si="16"/>
        <v/>
      </c>
      <c r="H46" s="38"/>
      <c r="I46" s="30"/>
      <c r="J46" s="36"/>
    </row>
    <row r="47" spans="1:13" ht="13.5" hidden="1" x14ac:dyDescent="0.25">
      <c r="A47" s="31">
        <f t="shared" si="13"/>
        <v>0</v>
      </c>
      <c r="B47" s="37" t="str">
        <f>IFERROR(VLOOKUP(H47,[1]SEMIELABORADOS!$A$2:$M$6000,2,0),"")</f>
        <v/>
      </c>
      <c r="C47" s="32">
        <f t="shared" si="14"/>
        <v>0</v>
      </c>
      <c r="D47" s="33" t="str">
        <f>IFERROR(VLOOKUP(H47,[1]SEMIELABORADOS!$A$2:$M$6000,6,0),"")</f>
        <v/>
      </c>
      <c r="E47" s="33" t="str">
        <f>IFERROR(VLOOKUP(H47,[1]SEMIELABORADOS!$A$2:$M$65536,12,0),"")</f>
        <v/>
      </c>
      <c r="F47" s="33" t="str">
        <f t="shared" si="15"/>
        <v/>
      </c>
      <c r="G47" s="34" t="str">
        <f t="shared" si="16"/>
        <v/>
      </c>
      <c r="H47" s="38"/>
      <c r="I47" s="30"/>
      <c r="J47" s="36"/>
    </row>
    <row r="48" spans="1:13" ht="13.5" hidden="1" x14ac:dyDescent="0.25">
      <c r="A48" s="31">
        <f t="shared" si="13"/>
        <v>0</v>
      </c>
      <c r="B48" s="37" t="str">
        <f>IFERROR(VLOOKUP(H48,[1]SEMIELABORADOS!$A$2:$M$6000,2,0),"")</f>
        <v/>
      </c>
      <c r="C48" s="32">
        <f t="shared" si="14"/>
        <v>0</v>
      </c>
      <c r="D48" s="33" t="str">
        <f>IFERROR(VLOOKUP(H48,[1]SEMIELABORADOS!$A$2:$M$6000,6,0),"")</f>
        <v/>
      </c>
      <c r="E48" s="33" t="str">
        <f>IFERROR(VLOOKUP(H48,[1]SEMIELABORADOS!$A$2:$M$65536,12,0),"")</f>
        <v/>
      </c>
      <c r="F48" s="33" t="str">
        <f t="shared" si="15"/>
        <v/>
      </c>
      <c r="G48" s="34" t="str">
        <f t="shared" si="16"/>
        <v/>
      </c>
      <c r="H48" s="38"/>
      <c r="I48" s="30"/>
      <c r="J48" s="36"/>
    </row>
    <row r="49" spans="1:17" ht="13.5" hidden="1" x14ac:dyDescent="0.25">
      <c r="A49" s="31">
        <f t="shared" si="13"/>
        <v>0</v>
      </c>
      <c r="B49" s="37" t="str">
        <f>IFERROR(VLOOKUP(H49,[1]SEMIELABORADOS!$A$2:$M$6000,2,0),"")</f>
        <v/>
      </c>
      <c r="C49" s="32">
        <f t="shared" si="14"/>
        <v>0</v>
      </c>
      <c r="D49" s="33" t="str">
        <f>IFERROR(VLOOKUP(H49,[1]SEMIELABORADOS!$A$2:$M$6000,6,0),"")</f>
        <v/>
      </c>
      <c r="E49" s="33" t="str">
        <f>IFERROR(VLOOKUP(H49,[1]SEMIELABORADOS!$A$2:$M$65536,12,0),"")</f>
        <v/>
      </c>
      <c r="F49" s="33" t="str">
        <f t="shared" si="15"/>
        <v/>
      </c>
      <c r="G49" s="34" t="str">
        <f t="shared" si="16"/>
        <v/>
      </c>
      <c r="H49" s="38"/>
      <c r="I49" s="30"/>
      <c r="J49" s="36"/>
    </row>
    <row r="50" spans="1:17" ht="13.5" hidden="1" x14ac:dyDescent="0.25">
      <c r="A50" s="31">
        <f t="shared" si="13"/>
        <v>0</v>
      </c>
      <c r="B50" s="37" t="str">
        <f>IFERROR(VLOOKUP(H50,[1]SEMIELABORADOS!$A$2:$M$6000,2,0),"")</f>
        <v/>
      </c>
      <c r="C50" s="32">
        <f t="shared" si="14"/>
        <v>0</v>
      </c>
      <c r="D50" s="33" t="str">
        <f>IFERROR(VLOOKUP(H50,[1]SEMIELABORADOS!$A$2:$M$6000,6,0),"")</f>
        <v/>
      </c>
      <c r="E50" s="33" t="str">
        <f>IFERROR(VLOOKUP(H50,[1]SEMIELABORADOS!$A$2:$M$65536,12,0),"")</f>
        <v/>
      </c>
      <c r="F50" s="33" t="str">
        <f t="shared" si="15"/>
        <v/>
      </c>
      <c r="G50" s="34" t="str">
        <f t="shared" si="16"/>
        <v/>
      </c>
      <c r="H50" s="37"/>
      <c r="I50" s="30"/>
      <c r="J50" s="36"/>
    </row>
    <row r="51" spans="1:17" ht="13.5" x14ac:dyDescent="0.25">
      <c r="A51" s="31">
        <v>1</v>
      </c>
      <c r="B51" s="37" t="s">
        <v>81</v>
      </c>
      <c r="C51" s="32">
        <f>+A51</f>
        <v>1</v>
      </c>
      <c r="D51" s="32" t="s">
        <v>82</v>
      </c>
      <c r="E51" s="33">
        <f>+F65</f>
        <v>770</v>
      </c>
      <c r="F51" s="33">
        <f>IFERROR(C51*E51,"")</f>
        <v>770</v>
      </c>
      <c r="G51" s="34">
        <f>IFERROR(F51/$F$66,"")</f>
        <v>4.9482179593874312E-2</v>
      </c>
      <c r="H51" s="42"/>
      <c r="I51" s="42"/>
      <c r="J51" s="36"/>
    </row>
    <row r="52" spans="1:17" ht="14.25" thickBot="1" x14ac:dyDescent="0.3">
      <c r="A52" s="31"/>
      <c r="B52" s="37"/>
      <c r="C52" s="32"/>
      <c r="D52" s="32"/>
      <c r="E52" s="33"/>
      <c r="F52" s="33"/>
      <c r="G52" s="34"/>
      <c r="H52" s="42"/>
      <c r="I52" s="42"/>
      <c r="J52" s="36"/>
    </row>
    <row r="53" spans="1:17" ht="13.5" thickBot="1" x14ac:dyDescent="0.3">
      <c r="A53" s="43"/>
      <c r="B53" s="193" t="s">
        <v>83</v>
      </c>
      <c r="C53" s="193"/>
      <c r="D53" s="193"/>
      <c r="E53" s="193"/>
      <c r="F53" s="45">
        <f>SUM(F8:F14,F17:F24)</f>
        <v>14501.134999999998</v>
      </c>
      <c r="G53" s="34">
        <f>+F53/$F$66</f>
        <v>0.93188021608443694</v>
      </c>
      <c r="H53" s="46">
        <f>+F53/$D$60</f>
        <v>14501.134999999998</v>
      </c>
      <c r="I53" s="46"/>
      <c r="J53" s="47"/>
      <c r="K53" s="48"/>
      <c r="L53" s="48"/>
      <c r="M53" s="48"/>
      <c r="N53" s="48"/>
      <c r="O53" s="48"/>
      <c r="P53" s="48"/>
      <c r="Q53" s="49"/>
    </row>
    <row r="54" spans="1:17" x14ac:dyDescent="0.2">
      <c r="A54" s="43"/>
      <c r="B54" s="193" t="s">
        <v>84</v>
      </c>
      <c r="C54" s="193"/>
      <c r="D54" s="193"/>
      <c r="E54" s="193"/>
      <c r="F54" s="45">
        <f>SUM(F27:F32,F35:F41)</f>
        <v>0</v>
      </c>
      <c r="G54" s="34">
        <f>+F54/$F$66</f>
        <v>0</v>
      </c>
      <c r="H54" s="46">
        <f>+F54/$D$60</f>
        <v>0</v>
      </c>
      <c r="I54" s="46"/>
      <c r="J54" s="50"/>
      <c r="K54" s="194" t="s">
        <v>85</v>
      </c>
      <c r="L54" s="195"/>
      <c r="M54" s="195"/>
      <c r="N54" s="195"/>
      <c r="O54" s="51">
        <f>+F55</f>
        <v>14501.134999999998</v>
      </c>
      <c r="P54" s="51"/>
      <c r="Q54" s="52"/>
    </row>
    <row r="55" spans="1:17" x14ac:dyDescent="0.2">
      <c r="A55" s="43"/>
      <c r="B55" s="193" t="s">
        <v>86</v>
      </c>
      <c r="C55" s="193"/>
      <c r="D55" s="193"/>
      <c r="E55" s="193"/>
      <c r="F55" s="45">
        <f>+F53+F54</f>
        <v>14501.134999999998</v>
      </c>
      <c r="G55" s="34">
        <f>+F55/$F$66</f>
        <v>0.93188021608443694</v>
      </c>
      <c r="H55" s="46">
        <f>+F55/$D$60</f>
        <v>14501.134999999998</v>
      </c>
      <c r="I55" s="46"/>
      <c r="J55" s="53"/>
      <c r="K55" s="54"/>
      <c r="M55" s="55" t="s">
        <v>87</v>
      </c>
      <c r="N55" s="56"/>
      <c r="O55" s="51">
        <f>+H56</f>
        <v>770</v>
      </c>
      <c r="P55" s="51"/>
      <c r="Q55" s="52"/>
    </row>
    <row r="56" spans="1:17" ht="13.5" thickBot="1" x14ac:dyDescent="0.25">
      <c r="A56" s="43"/>
      <c r="B56" s="44"/>
      <c r="C56" s="193" t="s">
        <v>88</v>
      </c>
      <c r="D56" s="193"/>
      <c r="E56" s="193"/>
      <c r="F56" s="45">
        <f>SUM(F44:F51)</f>
        <v>770</v>
      </c>
      <c r="G56" s="34">
        <f>+F56/$F$66</f>
        <v>4.9482179593874312E-2</v>
      </c>
      <c r="H56" s="46">
        <f>+F56/$D$60</f>
        <v>770</v>
      </c>
      <c r="I56" s="46"/>
      <c r="J56" s="53"/>
      <c r="K56" s="54"/>
      <c r="L56" s="54"/>
      <c r="M56" s="54" t="s">
        <v>89</v>
      </c>
      <c r="N56" s="57"/>
      <c r="O56" s="51">
        <f>O54*N56</f>
        <v>0</v>
      </c>
      <c r="P56" s="51"/>
      <c r="Q56" s="52"/>
    </row>
    <row r="57" spans="1:17" ht="13.5" thickBot="1" x14ac:dyDescent="0.25">
      <c r="A57" s="43"/>
      <c r="B57" s="58"/>
      <c r="C57" s="58"/>
      <c r="D57" s="58"/>
      <c r="E57" s="58"/>
      <c r="F57" s="59"/>
      <c r="G57" s="34"/>
      <c r="H57" s="60"/>
      <c r="I57" s="46"/>
      <c r="J57" s="53"/>
      <c r="K57" s="61"/>
      <c r="M57" s="62" t="s">
        <v>90</v>
      </c>
      <c r="N57" s="63"/>
      <c r="O57" s="64">
        <f>SUM(O54:O56)</f>
        <v>15271.134999999998</v>
      </c>
      <c r="P57" s="65"/>
      <c r="Q57" s="52"/>
    </row>
    <row r="58" spans="1:17" x14ac:dyDescent="0.2">
      <c r="B58" s="196" t="s">
        <v>91</v>
      </c>
      <c r="C58" s="196"/>
      <c r="D58" s="66">
        <v>5000</v>
      </c>
      <c r="E58" s="67"/>
      <c r="G58" s="34"/>
      <c r="H58" s="60">
        <f>+H56/77</f>
        <v>10</v>
      </c>
      <c r="I58" s="68"/>
      <c r="J58" s="53"/>
      <c r="K58" s="61"/>
      <c r="L58" s="54"/>
      <c r="M58" s="54" t="s">
        <v>92</v>
      </c>
      <c r="N58" s="69"/>
      <c r="O58" s="51">
        <f>+H59</f>
        <v>830</v>
      </c>
      <c r="P58" s="51"/>
      <c r="Q58" s="52"/>
    </row>
    <row r="59" spans="1:17" x14ac:dyDescent="0.2">
      <c r="B59" s="196" t="s">
        <v>93</v>
      </c>
      <c r="C59" s="196"/>
      <c r="D59" s="70">
        <v>5000</v>
      </c>
      <c r="E59" s="67"/>
      <c r="G59" s="34"/>
      <c r="H59" s="60">
        <f>+H58*83</f>
        <v>830</v>
      </c>
      <c r="I59" s="68"/>
      <c r="J59" s="53"/>
      <c r="K59" s="61"/>
      <c r="L59" s="54"/>
      <c r="M59" s="197" t="s">
        <v>90</v>
      </c>
      <c r="N59" s="197"/>
      <c r="O59" s="51">
        <f>SUM(O57:O58)</f>
        <v>16101.134999999998</v>
      </c>
      <c r="P59" s="51"/>
      <c r="Q59" s="52"/>
    </row>
    <row r="60" spans="1:17" ht="13.5" thickBot="1" x14ac:dyDescent="0.25">
      <c r="B60" s="188" t="s">
        <v>94</v>
      </c>
      <c r="C60" s="188"/>
      <c r="D60" s="66">
        <f>+D58/D59</f>
        <v>1</v>
      </c>
      <c r="E60" s="67"/>
      <c r="F60" s="71"/>
      <c r="G60" s="34"/>
      <c r="H60" s="60"/>
      <c r="I60" s="68"/>
      <c r="J60" s="53"/>
      <c r="K60" s="61"/>
      <c r="L60" s="197"/>
      <c r="M60" s="197"/>
      <c r="N60" s="69"/>
      <c r="O60" s="51">
        <f>+O59*N60</f>
        <v>0</v>
      </c>
      <c r="P60" s="51"/>
      <c r="Q60" s="52"/>
    </row>
    <row r="61" spans="1:17" ht="13.5" thickBot="1" x14ac:dyDescent="0.25">
      <c r="B61" s="188" t="s">
        <v>95</v>
      </c>
      <c r="C61" s="188"/>
      <c r="D61" s="72"/>
      <c r="E61" s="67"/>
      <c r="F61" s="71"/>
      <c r="G61" s="34"/>
      <c r="H61" s="60"/>
      <c r="I61" s="68"/>
      <c r="J61" s="53"/>
      <c r="K61" s="189" t="s">
        <v>96</v>
      </c>
      <c r="L61" s="190"/>
      <c r="M61" s="190"/>
      <c r="N61" s="191"/>
      <c r="O61" s="64">
        <f>SUM(O59:O60)</f>
        <v>16101.134999999998</v>
      </c>
      <c r="P61" s="73" t="s">
        <v>97</v>
      </c>
      <c r="Q61" s="52"/>
    </row>
    <row r="62" spans="1:17" ht="13.5" thickBot="1" x14ac:dyDescent="0.25">
      <c r="C62" s="43" t="s">
        <v>98</v>
      </c>
      <c r="D62" s="74"/>
      <c r="E62" s="17" t="s">
        <v>99</v>
      </c>
      <c r="F62" s="75" t="s">
        <v>100</v>
      </c>
      <c r="G62" s="34"/>
      <c r="H62" s="60"/>
      <c r="I62" s="68"/>
      <c r="J62" s="76"/>
      <c r="K62" s="77"/>
      <c r="L62" s="177" t="s">
        <v>101</v>
      </c>
      <c r="M62" s="177"/>
      <c r="N62" s="177"/>
      <c r="O62" s="78">
        <f>+O61/D60</f>
        <v>16101.134999999998</v>
      </c>
      <c r="P62" s="79">
        <f>+O62/D59</f>
        <v>3.2202269999999995</v>
      </c>
      <c r="Q62" s="80"/>
    </row>
    <row r="63" spans="1:17" ht="13.5" thickBot="1" x14ac:dyDescent="0.25">
      <c r="B63" s="178" t="s">
        <v>86</v>
      </c>
      <c r="C63" s="178"/>
      <c r="D63" s="178"/>
      <c r="E63" s="81">
        <f>+F63/F63</f>
        <v>1</v>
      </c>
      <c r="F63" s="82">
        <f>SUM(F55)</f>
        <v>14501.134999999998</v>
      </c>
      <c r="G63" s="34">
        <f>+F63/$F$66</f>
        <v>0.93188021608443694</v>
      </c>
      <c r="H63" s="60"/>
      <c r="I63" s="68"/>
      <c r="K63" s="179"/>
      <c r="L63" s="180"/>
      <c r="M63" s="180"/>
      <c r="N63" s="180"/>
      <c r="O63" s="83"/>
      <c r="P63" s="84"/>
    </row>
    <row r="64" spans="1:17" ht="13.5" thickBot="1" x14ac:dyDescent="0.3">
      <c r="B64" s="181" t="s">
        <v>102</v>
      </c>
      <c r="C64" s="181"/>
      <c r="D64" s="181"/>
      <c r="E64" s="85">
        <v>0.02</v>
      </c>
      <c r="F64" s="82">
        <f>+F53*E64</f>
        <v>290.02269999999999</v>
      </c>
      <c r="G64" s="34">
        <f>+F64/$F$66</f>
        <v>1.863760432168874E-2</v>
      </c>
      <c r="H64" s="46"/>
      <c r="I64" s="68"/>
      <c r="J64" s="86"/>
      <c r="O64" s="87"/>
      <c r="P64" s="44"/>
    </row>
    <row r="65" spans="2:13" ht="13.5" thickBot="1" x14ac:dyDescent="0.3">
      <c r="B65" s="182" t="s">
        <v>103</v>
      </c>
      <c r="C65" s="183"/>
      <c r="D65" s="88">
        <v>10</v>
      </c>
      <c r="E65" s="89">
        <v>77</v>
      </c>
      <c r="F65" s="82">
        <f>+E65*D65</f>
        <v>770</v>
      </c>
      <c r="G65" s="34">
        <f>+F65/$F$66</f>
        <v>4.9482179593874312E-2</v>
      </c>
      <c r="H65" s="46"/>
      <c r="I65" s="46"/>
      <c r="J65" s="36"/>
    </row>
    <row r="66" spans="2:13" ht="13.5" thickBot="1" x14ac:dyDescent="0.3">
      <c r="B66" s="184" t="s">
        <v>104</v>
      </c>
      <c r="C66" s="185"/>
      <c r="D66" s="185"/>
      <c r="E66" s="186"/>
      <c r="F66" s="59">
        <f>SUM(F63:F65)</f>
        <v>15561.157699999998</v>
      </c>
      <c r="G66" s="34">
        <f>+F66/$F$66</f>
        <v>1</v>
      </c>
      <c r="H66" s="187"/>
      <c r="I66" s="46"/>
      <c r="J66" s="36"/>
      <c r="M66" s="19" t="s">
        <v>105</v>
      </c>
    </row>
    <row r="67" spans="2:13" x14ac:dyDescent="0.25">
      <c r="C67" s="41"/>
      <c r="D67" s="41"/>
      <c r="E67" s="91"/>
      <c r="F67" s="82"/>
      <c r="G67" s="34"/>
      <c r="H67" s="187"/>
      <c r="I67" s="90"/>
      <c r="J67" s="19"/>
      <c r="M67" s="19" t="s">
        <v>106</v>
      </c>
    </row>
    <row r="68" spans="2:13" ht="13.5" thickBot="1" x14ac:dyDescent="0.3">
      <c r="B68" s="172" t="s">
        <v>107</v>
      </c>
      <c r="C68" s="172"/>
      <c r="D68" s="172"/>
      <c r="E68" s="172"/>
      <c r="F68" s="172"/>
      <c r="G68" s="34"/>
      <c r="H68" s="93"/>
      <c r="I68" s="90"/>
      <c r="J68" s="19"/>
      <c r="M68" s="19" t="s">
        <v>108</v>
      </c>
    </row>
    <row r="69" spans="2:13" ht="13.5" thickBot="1" x14ac:dyDescent="0.3">
      <c r="B69" s="94" t="s">
        <v>109</v>
      </c>
      <c r="C69" s="95">
        <f>+F53</f>
        <v>14501.134999999998</v>
      </c>
      <c r="D69" s="95">
        <f>+D58</f>
        <v>5000</v>
      </c>
      <c r="E69" s="96">
        <f>+C69/D69</f>
        <v>2.9002269999999997</v>
      </c>
      <c r="F69" s="34"/>
      <c r="G69" s="93"/>
      <c r="H69" s="36"/>
      <c r="I69" s="93"/>
      <c r="J69" s="19"/>
    </row>
    <row r="70" spans="2:13" x14ac:dyDescent="0.25">
      <c r="B70" s="97"/>
      <c r="C70" s="98"/>
      <c r="D70" s="99"/>
      <c r="E70" s="82"/>
      <c r="F70" s="34"/>
      <c r="G70" s="93"/>
      <c r="H70" s="36"/>
      <c r="I70" s="36"/>
      <c r="J70" s="19"/>
    </row>
    <row r="71" spans="2:13" x14ac:dyDescent="0.25">
      <c r="B71" s="94" t="s">
        <v>110</v>
      </c>
      <c r="C71" s="95">
        <f>SUM(F63:F64)</f>
        <v>14791.157699999998</v>
      </c>
      <c r="D71" s="95">
        <f>+D58</f>
        <v>5000</v>
      </c>
      <c r="E71" s="100">
        <f>+C71/D71</f>
        <v>2.9582315399999994</v>
      </c>
      <c r="F71" s="34"/>
      <c r="G71" s="93"/>
      <c r="H71" s="36"/>
      <c r="I71" s="36"/>
      <c r="J71" s="19"/>
    </row>
    <row r="72" spans="2:13" x14ac:dyDescent="0.25">
      <c r="B72" s="94"/>
      <c r="C72" s="95"/>
      <c r="D72" s="95"/>
      <c r="E72" s="100"/>
      <c r="F72" s="34"/>
      <c r="G72" s="93"/>
      <c r="H72" s="36"/>
      <c r="I72" s="36"/>
      <c r="J72" s="19"/>
    </row>
    <row r="73" spans="2:13" ht="13.5" thickBot="1" x14ac:dyDescent="0.3">
      <c r="B73" s="94" t="s">
        <v>111</v>
      </c>
      <c r="C73" s="95">
        <f>+F65</f>
        <v>770</v>
      </c>
      <c r="D73" s="95">
        <f>+D58</f>
        <v>5000</v>
      </c>
      <c r="E73" s="100">
        <f>+C73/D73</f>
        <v>0.154</v>
      </c>
      <c r="F73" s="34"/>
      <c r="G73" s="93"/>
      <c r="H73" s="36"/>
      <c r="I73" s="36"/>
      <c r="J73" s="19"/>
    </row>
    <row r="74" spans="2:13" ht="13.5" thickBot="1" x14ac:dyDescent="0.3">
      <c r="B74" s="94" t="s">
        <v>112</v>
      </c>
      <c r="C74" s="95">
        <f>+F56</f>
        <v>770</v>
      </c>
      <c r="D74" s="95">
        <f>+D73</f>
        <v>5000</v>
      </c>
      <c r="E74" s="96">
        <f>+C74/D74</f>
        <v>0.154</v>
      </c>
      <c r="F74" s="34"/>
      <c r="G74" s="93"/>
      <c r="H74" s="36"/>
      <c r="I74" s="36"/>
      <c r="J74" s="19"/>
    </row>
    <row r="75" spans="2:13" ht="13.5" thickBot="1" x14ac:dyDescent="0.3">
      <c r="B75" s="58"/>
      <c r="C75" s="59"/>
      <c r="D75" s="59"/>
      <c r="E75" s="100"/>
      <c r="F75" s="34"/>
      <c r="G75" s="93"/>
      <c r="H75" s="36"/>
      <c r="I75" s="36"/>
      <c r="J75" s="19"/>
    </row>
    <row r="76" spans="2:13" ht="13.5" thickBot="1" x14ac:dyDescent="0.3">
      <c r="B76" s="94" t="s">
        <v>113</v>
      </c>
      <c r="C76" s="95">
        <f>+F54</f>
        <v>0</v>
      </c>
      <c r="D76" s="95">
        <f>+D74</f>
        <v>5000</v>
      </c>
      <c r="E76" s="96">
        <f>+C76/D76</f>
        <v>0</v>
      </c>
      <c r="F76" s="34"/>
      <c r="G76" s="93"/>
      <c r="H76" s="36"/>
      <c r="I76" s="36"/>
      <c r="J76" s="36"/>
    </row>
    <row r="77" spans="2:13" ht="13.5" thickBot="1" x14ac:dyDescent="0.3">
      <c r="B77" s="58"/>
      <c r="C77" s="59"/>
      <c r="D77" s="59"/>
      <c r="E77" s="100"/>
      <c r="F77" s="34"/>
      <c r="G77" s="93"/>
      <c r="H77" s="36"/>
      <c r="I77" s="36"/>
    </row>
    <row r="78" spans="2:13" ht="13.5" thickBot="1" x14ac:dyDescent="0.3">
      <c r="B78" s="173" t="s">
        <v>114</v>
      </c>
      <c r="C78" s="174"/>
      <c r="D78" s="175"/>
      <c r="E78" s="96">
        <f>+E69+E74</f>
        <v>3.0542269999999996</v>
      </c>
      <c r="G78" s="34"/>
      <c r="H78" s="93"/>
      <c r="I78" s="36"/>
      <c r="J78" s="100"/>
    </row>
    <row r="79" spans="2:13" x14ac:dyDescent="0.25">
      <c r="I79" s="93"/>
      <c r="J79" s="19"/>
    </row>
    <row r="80" spans="2:13" ht="13.5" thickBot="1" x14ac:dyDescent="0.3">
      <c r="B80" s="172" t="s">
        <v>115</v>
      </c>
      <c r="C80" s="172"/>
      <c r="D80" s="172"/>
      <c r="E80" s="172"/>
      <c r="F80" s="172"/>
      <c r="G80" s="34"/>
      <c r="H80" s="93"/>
      <c r="J80" s="19"/>
    </row>
    <row r="81" spans="1:10" ht="13.5" thickBot="1" x14ac:dyDescent="0.3">
      <c r="B81" s="94" t="s">
        <v>109</v>
      </c>
      <c r="C81" s="95">
        <f>+C69</f>
        <v>14501.134999999998</v>
      </c>
      <c r="D81" s="95">
        <f>+D60</f>
        <v>1</v>
      </c>
      <c r="E81" s="96">
        <f>+C81/D81</f>
        <v>14501.134999999998</v>
      </c>
      <c r="F81" s="34"/>
      <c r="G81" s="93"/>
      <c r="H81" s="36"/>
      <c r="I81" s="93"/>
      <c r="J81" s="19"/>
    </row>
    <row r="82" spans="1:10" x14ac:dyDescent="0.25">
      <c r="B82" s="97"/>
      <c r="C82" s="98"/>
      <c r="D82" s="99"/>
      <c r="E82" s="82"/>
      <c r="F82" s="34"/>
      <c r="G82" s="93"/>
      <c r="H82" s="36"/>
      <c r="I82" s="36"/>
      <c r="J82" s="19"/>
    </row>
    <row r="83" spans="1:10" x14ac:dyDescent="0.25">
      <c r="B83" s="94" t="s">
        <v>110</v>
      </c>
      <c r="C83" s="95">
        <f>+C71</f>
        <v>14791.157699999998</v>
      </c>
      <c r="D83" s="95">
        <f>+D60</f>
        <v>1</v>
      </c>
      <c r="E83" s="100">
        <f>+C83/D83</f>
        <v>14791.157699999998</v>
      </c>
      <c r="F83" s="34"/>
      <c r="G83" s="93"/>
      <c r="H83" s="36"/>
      <c r="I83" s="36"/>
      <c r="J83" s="19"/>
    </row>
    <row r="84" spans="1:10" x14ac:dyDescent="0.25">
      <c r="B84" s="94"/>
      <c r="C84" s="95"/>
      <c r="D84" s="95"/>
      <c r="E84" s="100"/>
      <c r="F84" s="34"/>
      <c r="G84" s="93"/>
      <c r="H84" s="36"/>
      <c r="I84" s="36"/>
      <c r="J84" s="19"/>
    </row>
    <row r="85" spans="1:10" ht="13.5" thickBot="1" x14ac:dyDescent="0.3">
      <c r="B85" s="94" t="s">
        <v>112</v>
      </c>
      <c r="C85" s="95">
        <f>+C73</f>
        <v>770</v>
      </c>
      <c r="D85" s="95">
        <f>+D60</f>
        <v>1</v>
      </c>
      <c r="E85" s="100">
        <f>+C85/D85</f>
        <v>770</v>
      </c>
      <c r="F85" s="102"/>
      <c r="G85" s="92"/>
      <c r="H85" s="18"/>
      <c r="I85" s="36"/>
    </row>
    <row r="86" spans="1:10" ht="13.5" thickBot="1" x14ac:dyDescent="0.3">
      <c r="B86" s="94" t="s">
        <v>112</v>
      </c>
      <c r="C86" s="95">
        <f>+C74</f>
        <v>770</v>
      </c>
      <c r="D86" s="95">
        <f>+D85</f>
        <v>1</v>
      </c>
      <c r="E86" s="96">
        <f>+C86/D86</f>
        <v>770</v>
      </c>
      <c r="F86" s="101"/>
      <c r="G86" s="92"/>
      <c r="H86" s="18"/>
      <c r="I86" s="18"/>
    </row>
    <row r="87" spans="1:10" x14ac:dyDescent="0.25">
      <c r="I87" s="18"/>
    </row>
    <row r="88" spans="1:10" x14ac:dyDescent="0.2">
      <c r="A88" s="176"/>
      <c r="B88" s="176"/>
      <c r="C88" s="103"/>
      <c r="D88" s="103"/>
      <c r="E88" s="104"/>
      <c r="G88" s="105"/>
    </row>
    <row r="89" spans="1:10" x14ac:dyDescent="0.2">
      <c r="A89" s="37"/>
      <c r="B89" s="106"/>
      <c r="C89" s="107"/>
      <c r="D89" s="107"/>
      <c r="E89" s="108"/>
      <c r="G89" s="105"/>
    </row>
    <row r="90" spans="1:10" x14ac:dyDescent="0.2">
      <c r="A90" s="37"/>
      <c r="B90" s="106"/>
      <c r="C90" s="109"/>
      <c r="D90" s="109"/>
      <c r="E90" s="37"/>
      <c r="G90" s="105"/>
    </row>
    <row r="91" spans="1:10" x14ac:dyDescent="0.2">
      <c r="A91" s="37"/>
      <c r="B91" s="106"/>
      <c r="C91" s="110"/>
      <c r="D91" s="110"/>
      <c r="E91" s="37"/>
      <c r="G91" s="10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9227095-6B7A-45D6-B0BA-CB5ECB4F64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Costo Empaque </vt:lpstr>
      <vt:lpstr>Relleno Salsa mora </vt:lpstr>
      <vt:lpstr>Costo Relleno Salsa mora </vt:lpstr>
      <vt:lpstr>'Relleno Salsa mora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2026-03-02T20:43:15Z</cp:lastPrinted>
  <dcterms:created xsi:type="dcterms:W3CDTF">2025-01-06T20:55:42Z</dcterms:created>
  <dcterms:modified xsi:type="dcterms:W3CDTF">2026-03-02T20:43:15Z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
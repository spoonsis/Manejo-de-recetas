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CEF965D6-85AE-4BFB-8933-83E9574AAD45}" xr6:coauthVersionLast="47" xr6:coauthVersionMax="47" xr10:uidLastSave="{FA7A0A9D-D56F-472C-9BCA-C3B03F1FD911}"/>
  <bookViews>
    <workbookView xWindow="-108" yWindow="-108" windowWidth="23256" windowHeight="12456" xr2:uid="{79899CB9-B64C-430D-BD9B-68856AFE859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</calcChain>
</file>

<file path=xl/sharedStrings.xml><?xml version="1.0" encoding="utf-8"?>
<sst xmlns="http://schemas.openxmlformats.org/spreadsheetml/2006/main" count="123" uniqueCount="93">
  <si>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</si>
  <si>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</si>
  <si>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</si>
  <si>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</si>
  <si>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</si>
  <si>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</si>
  <si>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</si>
  <si>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</si>
  <si>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</si>
  <si>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</si>
  <si>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</si>
  <si>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</si>
  <si>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</si>
  <si>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</si>
  <si>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</si>
  <si>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</si>
  <si>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</si>
  <si>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</si>
  <si>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ACEITE CAPULLO RBD (UND:17 L)</t>
  </si>
  <si>
    <t>g</t>
  </si>
  <si>
    <t>TURRON DE CHOCOLATE Y PECANAS</t>
  </si>
  <si>
    <t>FAS</t>
  </si>
  <si>
    <t>Unidad</t>
  </si>
  <si>
    <t>CHEESE CAKE DE DULCE DE LECHE</t>
  </si>
  <si>
    <t>SUSPIRO LIMEÑO</t>
  </si>
  <si>
    <t>0510262</t>
  </si>
  <si>
    <t>PECANA ENTERA (CAJA:13.6 K)</t>
  </si>
  <si>
    <t>CREMA DE VINO TINTO</t>
  </si>
  <si>
    <t>CANELA EN POLVO BADIA (UND: 1.82 K)</t>
  </si>
  <si>
    <t>BADIA</t>
  </si>
  <si>
    <t>ORLA CARTON 9" DORADA (UND )</t>
  </si>
  <si>
    <t>ud</t>
  </si>
  <si>
    <t>QUEQUERA RED C/BASE ALTA 9" (CAJA:100 U)</t>
  </si>
  <si>
    <t>ETIQUETA BLANCA 2 5/8X1 15/16 (UND)</t>
  </si>
  <si>
    <t>701096</t>
  </si>
  <si>
    <t>ETIQUETA BLANCA R-153 (UND)</t>
  </si>
  <si>
    <t>0702007</t>
  </si>
  <si>
    <t>ETIQ.FECHA VENCIMIENTO BLANCO (ROLLO)</t>
  </si>
  <si>
    <t>703020</t>
  </si>
  <si>
    <t>CINTA ADHESIVA TRANSPARENTE 2*100 MTS</t>
  </si>
  <si>
    <t>cm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</si>
  <si>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</si>
  <si>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</si>
  <si>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</si>
  <si>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</si>
  <si>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</si>
  <si>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</si>
  <si>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</si>
  <si>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Engrasar el  molde y colocar en el molde el turron, sobre este verter la mezcla de cheesecake.</t>
  </si>
  <si>
    <t xml:space="preserve">4.- Empacar y etiquetar. </t>
  </si>
  <si>
    <t>CONTROL DE CAMBIOS</t>
  </si>
  <si>
    <t># Código Netsuite</t>
  </si>
  <si>
    <t>MP10002</t>
  </si>
  <si>
    <t>SE00473</t>
  </si>
  <si>
    <t>SE00474</t>
  </si>
  <si>
    <t>SE00475</t>
  </si>
  <si>
    <t>MP10562</t>
  </si>
  <si>
    <t>SE00476</t>
  </si>
  <si>
    <t>MP10096</t>
  </si>
  <si>
    <t>EM10020</t>
  </si>
  <si>
    <t>EM10021</t>
  </si>
  <si>
    <t>EM10011</t>
  </si>
  <si>
    <t>EM10124</t>
  </si>
  <si>
    <t>EM10004</t>
  </si>
  <si>
    <t>EM10248</t>
  </si>
  <si>
    <t>EM10002</t>
  </si>
  <si>
    <t>Postres</t>
  </si>
  <si>
    <t>EM10368</t>
  </si>
  <si>
    <t>Javier Tong, Chef</t>
  </si>
  <si>
    <t>ETIQUETA SPOON SUSPIRO LIMEÑO</t>
  </si>
  <si>
    <t>Esteban Cartin, Gte Manufactura</t>
  </si>
  <si>
    <t>Ensamble</t>
  </si>
  <si>
    <t>CAPULLO</t>
  </si>
  <si>
    <t>NUECES IND</t>
  </si>
  <si>
    <t>Decoración</t>
  </si>
  <si>
    <t>Empaque</t>
  </si>
  <si>
    <t>MAYCA</t>
  </si>
  <si>
    <t>EXP PMT</t>
  </si>
  <si>
    <t>ETIQ.BLANCA 1 1/4 * 3/4</t>
  </si>
  <si>
    <t>Tiempo de Horneo:</t>
  </si>
  <si>
    <t>Horno:</t>
  </si>
  <si>
    <t>Temperatura de Horneo:</t>
  </si>
  <si>
    <t>Otros</t>
  </si>
  <si>
    <t>ESP-RE-POS-049</t>
  </si>
  <si>
    <t>2.- Luego con la taza de medida (1/2 taza) colocar el suspiro limeño y la pecana picada gruesa, refrigerar minimo por 4 horas.</t>
  </si>
  <si>
    <t xml:space="preserve">2, Se quita stiker suspiro limeño y etiqueta spoon mediana, se actualiza procedimiento y se actualiza pesos finales y merma </t>
  </si>
  <si>
    <t>Topping de Suspiro Limeño</t>
  </si>
  <si>
    <t xml:space="preserve">3, Se actualiza a topping de Suspiro Limeño. </t>
  </si>
  <si>
    <t>SE00735</t>
  </si>
  <si>
    <t>PTI00152  Postre Suspiro Limeño INDUSTRIA</t>
  </si>
  <si>
    <t>3.- Desmoldar, pegar la base con un poco de manjar, decorar con crema de vino tinto en el borde primero haciendo un circulo y luego colocho, en el centro colocar suspiro y alizar, sobre este las pecanas picadas gruesas y sobre el colocho y por ultimo la canela en polvo.</t>
  </si>
  <si>
    <t>Revision #4: Actualizacion de procedimiento por colocho de crema.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</si>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</sst>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2"/>
      <color theme="1"/>
      <name val="Aptos Narrow"/>
      <family val="2"/>
      <scheme val="minor"/>
    </font>
    <font>
      <b/>
      <i/>
      <sz val="18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151">
    <xf numFmtId="0" fontId="0" fillId="0" borderId="0" xfId="0"/>
    <xf numFmtId="0" fontId="6" fillId="2" borderId="2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right"/>
    </xf>
    <xf numFmtId="49" fontId="5" fillId="2" borderId="6" xfId="1" applyNumberFormat="1" applyFont="1" applyFill="1" applyBorder="1" applyAlignment="1">
      <alignment horizontal="center"/>
    </xf>
    <xf numFmtId="0" fontId="5" fillId="2" borderId="13" xfId="1" applyFont="1" applyFill="1" applyBorder="1" applyAlignment="1">
      <alignment horizontal="right"/>
    </xf>
    <xf numFmtId="0" fontId="5" fillId="2" borderId="5" xfId="1" applyFont="1" applyFill="1" applyBorder="1" applyAlignment="1">
      <alignment horizontal="right"/>
    </xf>
    <xf numFmtId="14" fontId="7" fillId="2" borderId="0" xfId="1" applyNumberFormat="1" applyFont="1" applyFill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1" fontId="6" fillId="4" borderId="8" xfId="2" applyNumberFormat="1" applyFont="1" applyFill="1" applyBorder="1" applyAlignment="1">
      <alignment horizontal="center"/>
    </xf>
    <xf numFmtId="1" fontId="6" fillId="4" borderId="8" xfId="2" applyNumberFormat="1" applyFont="1" applyFill="1" applyBorder="1" applyAlignment="1">
      <alignment horizontal="center" wrapText="1"/>
    </xf>
    <xf numFmtId="0" fontId="6" fillId="4" borderId="9" xfId="2" applyFont="1" applyFill="1" applyBorder="1" applyAlignment="1">
      <alignment horizontal="center"/>
    </xf>
    <xf numFmtId="0" fontId="8" fillId="0" borderId="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8" fillId="0" borderId="5" xfId="2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0" fontId="10" fillId="0" borderId="6" xfId="2" applyFont="1" applyBorder="1" applyAlignment="1">
      <alignment horizontal="center"/>
    </xf>
    <xf numFmtId="0" fontId="11" fillId="0" borderId="0" xfId="0" applyFont="1"/>
    <xf numFmtId="1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13" xfId="0" applyFont="1" applyBorder="1" applyAlignment="1">
      <alignment horizontal="center" wrapText="1"/>
    </xf>
    <xf numFmtId="12" fontId="14" fillId="0" borderId="13" xfId="0" applyNumberFormat="1" applyFont="1" applyBorder="1" applyAlignment="1">
      <alignment horizontal="center"/>
    </xf>
    <xf numFmtId="0" fontId="14" fillId="0" borderId="6" xfId="2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/>
    <xf numFmtId="0" fontId="13" fillId="5" borderId="5" xfId="0" applyFont="1" applyFill="1" applyBorder="1"/>
    <xf numFmtId="1" fontId="14" fillId="0" borderId="5" xfId="2" applyNumberFormat="1" applyFont="1" applyBorder="1" applyAlignment="1">
      <alignment horizontal="center"/>
    </xf>
    <xf numFmtId="0" fontId="14" fillId="0" borderId="5" xfId="2" applyFont="1" applyBorder="1" applyAlignment="1">
      <alignment horizontal="center"/>
    </xf>
    <xf numFmtId="1" fontId="14" fillId="0" borderId="5" xfId="2" applyNumberFormat="1" applyFont="1" applyBorder="1" applyAlignment="1">
      <alignment horizontal="center" wrapText="1"/>
    </xf>
    <xf numFmtId="1" fontId="13" fillId="0" borderId="5" xfId="0" applyNumberFormat="1" applyFont="1" applyBorder="1"/>
    <xf numFmtId="0" fontId="14" fillId="5" borderId="5" xfId="2" applyFont="1" applyFill="1" applyBorder="1" applyAlignment="1">
      <alignment horizontal="center"/>
    </xf>
    <xf numFmtId="1" fontId="16" fillId="0" borderId="5" xfId="2" applyNumberFormat="1" applyFont="1" applyBorder="1" applyAlignment="1">
      <alignment horizontal="center"/>
    </xf>
    <xf numFmtId="49" fontId="14" fillId="0" borderId="5" xfId="2" applyNumberFormat="1" applyFont="1" applyBorder="1" applyAlignment="1">
      <alignment horizontal="center"/>
    </xf>
    <xf numFmtId="0" fontId="16" fillId="5" borderId="5" xfId="2" applyFont="1" applyFill="1" applyBorder="1" applyAlignment="1">
      <alignment horizontal="left"/>
    </xf>
    <xf numFmtId="165" fontId="14" fillId="0" borderId="5" xfId="2" applyNumberFormat="1" applyFont="1" applyBorder="1" applyAlignment="1">
      <alignment horizontal="center"/>
    </xf>
    <xf numFmtId="1" fontId="16" fillId="0" borderId="5" xfId="2" applyNumberFormat="1" applyFont="1" applyBorder="1" applyAlignment="1">
      <alignment horizontal="center" wrapText="1"/>
    </xf>
    <xf numFmtId="0" fontId="13" fillId="5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1" fontId="14" fillId="5" borderId="13" xfId="0" applyNumberFormat="1" applyFont="1" applyFill="1" applyBorder="1" applyAlignment="1">
      <alignment horizontal="center"/>
    </xf>
    <xf numFmtId="1" fontId="14" fillId="5" borderId="13" xfId="0" applyNumberFormat="1" applyFont="1" applyFill="1" applyBorder="1" applyAlignment="1">
      <alignment horizontal="center" wrapText="1"/>
    </xf>
    <xf numFmtId="49" fontId="14" fillId="5" borderId="13" xfId="0" applyNumberFormat="1" applyFont="1" applyFill="1" applyBorder="1" applyAlignment="1">
      <alignment horizontal="center"/>
    </xf>
    <xf numFmtId="1" fontId="14" fillId="5" borderId="5" xfId="2" applyNumberFormat="1" applyFont="1" applyFill="1" applyBorder="1" applyAlignment="1">
      <alignment horizontal="center"/>
    </xf>
    <xf numFmtId="1" fontId="14" fillId="5" borderId="5" xfId="2" applyNumberFormat="1" applyFont="1" applyFill="1" applyBorder="1" applyAlignment="1">
      <alignment horizontal="center" wrapText="1"/>
    </xf>
    <xf numFmtId="16" fontId="14" fillId="0" borderId="5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 wrapText="1"/>
    </xf>
    <xf numFmtId="49" fontId="16" fillId="0" borderId="5" xfId="2" applyNumberFormat="1" applyFont="1" applyBorder="1" applyAlignment="1">
      <alignment horizontal="center"/>
    </xf>
    <xf numFmtId="0" fontId="17" fillId="5" borderId="5" xfId="2" applyFont="1" applyFill="1" applyBorder="1" applyAlignment="1">
      <alignment vertical="center"/>
    </xf>
    <xf numFmtId="0" fontId="16" fillId="0" borderId="5" xfId="2" applyFont="1" applyBorder="1" applyAlignment="1">
      <alignment horizontal="center"/>
    </xf>
    <xf numFmtId="165" fontId="16" fillId="0" borderId="5" xfId="2" applyNumberFormat="1" applyFont="1" applyBorder="1" applyAlignment="1">
      <alignment horizontal="center"/>
    </xf>
    <xf numFmtId="0" fontId="13" fillId="0" borderId="0" xfId="0" applyFont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Border="1"/>
    <xf numFmtId="166" fontId="16" fillId="5" borderId="5" xfId="5" applyNumberFormat="1" applyFont="1" applyFill="1" applyBorder="1" applyAlignment="1">
      <alignment horizontal="center"/>
    </xf>
    <xf numFmtId="0" fontId="13" fillId="0" borderId="5" xfId="6" applyFont="1" applyBorder="1" applyAlignment="1">
      <alignment horizontal="center"/>
    </xf>
    <xf numFmtId="0" fontId="13" fillId="0" borderId="5" xfId="6" applyFont="1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12" fontId="14" fillId="0" borderId="5" xfId="2" applyNumberFormat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4" fillId="0" borderId="5" xfId="0" quotePrefix="1" applyFont="1" applyBorder="1"/>
    <xf numFmtId="49" fontId="14" fillId="0" borderId="5" xfId="2" applyNumberFormat="1" applyFont="1" applyBorder="1"/>
    <xf numFmtId="49" fontId="15" fillId="2" borderId="10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4" fillId="2" borderId="0" xfId="2" applyFont="1" applyFill="1"/>
    <xf numFmtId="1" fontId="14" fillId="2" borderId="0" xfId="2" applyNumberFormat="1" applyFont="1" applyFill="1" applyAlignment="1">
      <alignment horizontal="center"/>
    </xf>
    <xf numFmtId="164" fontId="14" fillId="2" borderId="0" xfId="2" applyNumberFormat="1" applyFont="1" applyFill="1" applyAlignment="1">
      <alignment horizontal="center" wrapText="1"/>
    </xf>
    <xf numFmtId="0" fontId="14" fillId="2" borderId="11" xfId="2" applyFont="1" applyFill="1" applyBorder="1" applyAlignment="1">
      <alignment horizontal="center"/>
    </xf>
    <xf numFmtId="0" fontId="14" fillId="4" borderId="16" xfId="2" applyFont="1" applyFill="1" applyBorder="1" applyAlignment="1">
      <alignment horizontal="center"/>
    </xf>
    <xf numFmtId="0" fontId="14" fillId="4" borderId="17" xfId="2" applyFont="1" applyFill="1" applyBorder="1" applyAlignment="1">
      <alignment horizontal="center"/>
    </xf>
    <xf numFmtId="0" fontId="14" fillId="4" borderId="17" xfId="2" applyFont="1" applyFill="1" applyBorder="1"/>
    <xf numFmtId="0" fontId="16" fillId="4" borderId="17" xfId="2" applyFont="1" applyFill="1" applyBorder="1" applyAlignment="1">
      <alignment horizontal="center"/>
    </xf>
    <xf numFmtId="1" fontId="16" fillId="4" borderId="17" xfId="2" applyNumberFormat="1" applyFont="1" applyFill="1" applyBorder="1" applyAlignment="1">
      <alignment horizontal="center"/>
    </xf>
    <xf numFmtId="164" fontId="14" fillId="4" borderId="17" xfId="2" applyNumberFormat="1" applyFont="1" applyFill="1" applyBorder="1" applyAlignment="1">
      <alignment horizontal="center" wrapText="1"/>
    </xf>
    <xf numFmtId="0" fontId="14" fillId="4" borderId="18" xfId="2" applyFont="1" applyFill="1" applyBorder="1" applyAlignment="1">
      <alignment horizontal="center"/>
    </xf>
    <xf numFmtId="0" fontId="14" fillId="0" borderId="21" xfId="0" applyFont="1" applyBorder="1" applyAlignment="1">
      <alignment horizontal="center"/>
    </xf>
    <xf numFmtId="1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3" fillId="0" borderId="42" xfId="0" applyFont="1" applyBorder="1" applyAlignment="1">
      <alignment horizontal="left"/>
    </xf>
    <xf numFmtId="0" fontId="16" fillId="6" borderId="41" xfId="1" applyFont="1" applyFill="1" applyBorder="1" applyAlignment="1">
      <alignment horizontal="center"/>
    </xf>
    <xf numFmtId="0" fontId="16" fillId="6" borderId="33" xfId="1" applyFont="1" applyFill="1" applyBorder="1" applyAlignment="1">
      <alignment horizontal="center"/>
    </xf>
    <xf numFmtId="0" fontId="14" fillId="2" borderId="24" xfId="1" applyFont="1" applyFill="1" applyBorder="1" applyAlignment="1">
      <alignment horizontal="left"/>
    </xf>
    <xf numFmtId="0" fontId="14" fillId="2" borderId="29" xfId="1" applyFont="1" applyFill="1" applyBorder="1" applyAlignment="1">
      <alignment horizontal="left"/>
    </xf>
    <xf numFmtId="0" fontId="14" fillId="2" borderId="15" xfId="1" applyFont="1" applyFill="1" applyBorder="1" applyAlignment="1">
      <alignment horizontal="left"/>
    </xf>
    <xf numFmtId="0" fontId="14" fillId="2" borderId="5" xfId="1" applyFont="1" applyFill="1" applyBorder="1" applyAlignment="1">
      <alignment horizontal="left"/>
    </xf>
    <xf numFmtId="0" fontId="16" fillId="0" borderId="19" xfId="2" applyFont="1" applyBorder="1" applyAlignment="1">
      <alignment horizontal="left" wrapText="1"/>
    </xf>
    <xf numFmtId="0" fontId="16" fillId="0" borderId="27" xfId="2" applyFont="1" applyBorder="1" applyAlignment="1">
      <alignment horizontal="left" wrapText="1"/>
    </xf>
    <xf numFmtId="0" fontId="16" fillId="0" borderId="22" xfId="2" applyFont="1" applyBorder="1" applyAlignment="1">
      <alignment horizontal="left" wrapText="1"/>
    </xf>
    <xf numFmtId="0" fontId="14" fillId="0" borderId="19" xfId="2" applyFont="1" applyBorder="1" applyAlignment="1">
      <alignment horizontal="left"/>
    </xf>
    <xf numFmtId="0" fontId="14" fillId="0" borderId="27" xfId="2" applyFont="1" applyBorder="1" applyAlignment="1">
      <alignment horizontal="left"/>
    </xf>
    <xf numFmtId="0" fontId="14" fillId="0" borderId="22" xfId="2" applyFont="1" applyBorder="1" applyAlignment="1">
      <alignment horizontal="left"/>
    </xf>
    <xf numFmtId="0" fontId="16" fillId="0" borderId="23" xfId="2" applyFont="1" applyBorder="1" applyAlignment="1">
      <alignment horizontal="right"/>
    </xf>
    <xf numFmtId="0" fontId="16" fillId="0" borderId="29" xfId="2" applyFont="1" applyBorder="1" applyAlignment="1">
      <alignment horizontal="right"/>
    </xf>
    <xf numFmtId="0" fontId="16" fillId="0" borderId="15" xfId="2" applyFont="1" applyBorder="1" applyAlignment="1">
      <alignment horizontal="right"/>
    </xf>
    <xf numFmtId="0" fontId="14" fillId="0" borderId="5" xfId="2" applyFont="1" applyBorder="1" applyAlignment="1">
      <alignment horizontal="right"/>
    </xf>
    <xf numFmtId="164" fontId="14" fillId="0" borderId="24" xfId="2" applyNumberFormat="1" applyFont="1" applyBorder="1" applyAlignment="1">
      <alignment horizontal="center"/>
    </xf>
    <xf numFmtId="164" fontId="14" fillId="0" borderId="25" xfId="2" applyNumberFormat="1" applyFont="1" applyBorder="1" applyAlignment="1">
      <alignment horizontal="center"/>
    </xf>
    <xf numFmtId="164" fontId="14" fillId="0" borderId="24" xfId="2" applyNumberFormat="1" applyFont="1" applyBorder="1" applyAlignment="1">
      <alignment horizontal="right" wrapText="1"/>
    </xf>
    <xf numFmtId="164" fontId="14" fillId="0" borderId="15" xfId="2" applyNumberFormat="1" applyFont="1" applyBorder="1" applyAlignment="1">
      <alignment horizontal="right" wrapText="1"/>
    </xf>
    <xf numFmtId="164" fontId="14" fillId="0" borderId="24" xfId="0" applyNumberFormat="1" applyFont="1" applyBorder="1" applyAlignment="1">
      <alignment horizontal="center" wrapText="1"/>
    </xf>
    <xf numFmtId="164" fontId="14" fillId="0" borderId="25" xfId="0" applyNumberFormat="1" applyFont="1" applyBorder="1" applyAlignment="1">
      <alignment horizontal="center" wrapText="1"/>
    </xf>
    <xf numFmtId="0" fontId="16" fillId="0" borderId="7" xfId="2" applyFont="1" applyBorder="1" applyAlignment="1">
      <alignment horizontal="right"/>
    </xf>
    <xf numFmtId="0" fontId="16" fillId="0" borderId="28" xfId="2" applyFont="1" applyBorder="1" applyAlignment="1">
      <alignment horizontal="right"/>
    </xf>
    <xf numFmtId="0" fontId="16" fillId="0" borderId="8" xfId="2" applyFont="1" applyBorder="1" applyAlignment="1">
      <alignment horizontal="right"/>
    </xf>
    <xf numFmtId="0" fontId="14" fillId="0" borderId="8" xfId="2" applyFont="1" applyBorder="1" applyAlignment="1">
      <alignment horizontal="right"/>
    </xf>
    <xf numFmtId="0" fontId="16" fillId="4" borderId="16" xfId="2" applyFont="1" applyFill="1" applyBorder="1" applyAlignment="1">
      <alignment horizontal="center"/>
    </xf>
    <xf numFmtId="0" fontId="16" fillId="4" borderId="17" xfId="2" applyFont="1" applyFill="1" applyBorder="1" applyAlignment="1">
      <alignment horizontal="center"/>
    </xf>
    <xf numFmtId="0" fontId="16" fillId="4" borderId="18" xfId="2" applyFont="1" applyFill="1" applyBorder="1" applyAlignment="1">
      <alignment horizontal="center"/>
    </xf>
    <xf numFmtId="0" fontId="16" fillId="0" borderId="19" xfId="2" applyFont="1" applyBorder="1" applyAlignment="1">
      <alignment horizontal="right"/>
    </xf>
    <xf numFmtId="0" fontId="16" fillId="0" borderId="27" xfId="2" applyFont="1" applyBorder="1" applyAlignment="1">
      <alignment horizontal="right"/>
    </xf>
    <xf numFmtId="0" fontId="16" fillId="0" borderId="20" xfId="2" applyFont="1" applyBorder="1" applyAlignment="1">
      <alignment horizontal="right"/>
    </xf>
    <xf numFmtId="164" fontId="14" fillId="0" borderId="13" xfId="2" applyNumberFormat="1" applyFont="1" applyBorder="1" applyAlignment="1">
      <alignment horizontal="right"/>
    </xf>
    <xf numFmtId="0" fontId="14" fillId="2" borderId="21" xfId="2" applyFont="1" applyFill="1" applyBorder="1" applyAlignment="1">
      <alignment horizontal="center"/>
    </xf>
    <xf numFmtId="0" fontId="14" fillId="2" borderId="22" xfId="2" applyFon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7" fillId="2" borderId="12" xfId="1" applyFont="1" applyFill="1" applyBorder="1" applyAlignment="1">
      <alignment horizontal="center"/>
    </xf>
    <xf numFmtId="0" fontId="3" fillId="2" borderId="0" xfId="1" applyFont="1" applyFill="1"/>
    <xf numFmtId="0" fontId="6" fillId="4" borderId="1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 wrapText="1"/>
    </xf>
    <xf numFmtId="0" fontId="6" fillId="4" borderId="7" xfId="2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14" fontId="5" fillId="2" borderId="31" xfId="1" applyNumberFormat="1" applyFont="1" applyFill="1" applyBorder="1" applyAlignment="1">
      <alignment horizontal="center" vertical="center" wrapText="1"/>
    </xf>
    <xf numFmtId="14" fontId="5" fillId="2" borderId="40" xfId="1" applyNumberFormat="1" applyFont="1" applyFill="1" applyBorder="1" applyAlignment="1">
      <alignment horizontal="center" vertical="center" wrapText="1"/>
    </xf>
    <xf numFmtId="14" fontId="5" fillId="2" borderId="14" xfId="1" applyNumberFormat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left"/>
    </xf>
    <xf numFmtId="0" fontId="5" fillId="2" borderId="38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5" fillId="2" borderId="15" xfId="1" applyFont="1" applyFill="1" applyBorder="1" applyAlignment="1">
      <alignment horizontal="left"/>
    </xf>
    <xf numFmtId="0" fontId="5" fillId="2" borderId="3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9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26" xfId="1" applyFont="1" applyFill="1" applyBorder="1" applyAlignment="1">
      <alignment horizontal="center"/>
    </xf>
    <xf numFmtId="0" fontId="6" fillId="2" borderId="36" xfId="1" applyFont="1" applyFill="1" applyBorder="1" applyAlignment="1">
      <alignment horizontal="center"/>
    </xf>
    <xf numFmtId="0" fontId="6" fillId="2" borderId="28" xfId="1" applyFont="1" applyFill="1" applyBorder="1" applyAlignment="1">
      <alignment horizontal="center"/>
    </xf>
    <xf numFmtId="0" fontId="12" fillId="3" borderId="5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right" vertical="top" wrapText="1"/>
    </xf>
    <xf numFmtId="0" fontId="6" fillId="2" borderId="34" xfId="1" applyFont="1" applyFill="1" applyBorder="1" applyAlignment="1">
      <alignment horizontal="right" vertical="top" wrapText="1"/>
    </xf>
    <xf numFmtId="0" fontId="6" fillId="2" borderId="35" xfId="1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2" xr:uid="{48DDFB0D-1AED-4BE1-BF3D-51161D2430C7}"/>
    <cellStyle name="Normal 3" xfId="6" xr:uid="{8BFD6EAE-1528-42DA-B0C5-CA1B83A793E1}"/>
    <cellStyle name="Normal 3 2" xfId="3" xr:uid="{E3F1CF44-B69F-4088-9F07-32FEEE566D1B}"/>
    <cellStyle name="Normal_CRITERIOS DE EVALUACION PT DE GB 2" xfId="1" xr:uid="{2BB1D2D7-9A4A-492A-A6E5-AF135D219571}"/>
    <cellStyle name="Porcentaje 2" xfId="4" xr:uid="{19C1861E-10D1-4F0F-9F5E-E889182BB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198438</xdr:colOff>
      <xdr:row>1</xdr:row>
      <xdr:rowOff>160</xdr:rowOff>
    </xdr:from>
    <xdr:to>
      <xdr:col>1</xdr:col>
      <xdr:colOff>783908</xdr:colOff>
      <xdr:row>3</xdr:row>
      <xdr:rowOff>202407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692348C-2572-4311-8CEF-A2581F1C0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38" y="226379"/>
          <a:ext cx="1704658" cy="833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6257-642E-428D-9355-E616C9A08C38}">
  <sheetPr>
    <pageSetUpPr fitToPage="1"/>
  </sheetPr>
  <dimension ref="A1:I49"/>
  <sheetViews>
    <sheetView tabSelected="1" topLeftCell="A12" zoomScale="80" zoomScaleNormal="80" zoomScaleSheetLayoutView="70" workbookViewId="0">
      <selection activeCell="C29" sqref="C29"/>
    </sheetView>
  </sheetViews>
  <sheetFormatPr baseColWidth="10" defaultRowHeight="14.4" x14ac:dyDescent="0.3"/>
  <cols>
    <col min="1" max="1" width="16.88671875" bestFit="1" customWidth="1"/>
    <col min="2" max="2" width="15.6640625" customWidth="1"/>
    <col min="3" max="3" width="67" customWidth="1"/>
    <col min="4" max="4" width="21.44140625" customWidth="1"/>
    <col min="5" max="5" width="11.6640625" bestFit="1" customWidth="1"/>
    <col min="7" max="7" width="21.109375" customWidth="1"/>
    <col min="8" max="8" width="20.5546875" customWidth="1"/>
    <col min="9" max="9" width="21.5546875" bestFit="1" customWidth="1"/>
  </cols>
  <sheetData>
    <row r="1" spans="1:9" ht="17.399999999999999" x14ac:dyDescent="0.3">
      <c r="A1" s="137"/>
      <c r="B1" s="138"/>
      <c r="C1" s="143" t="s">
        <v>0</v>
      </c>
      <c r="D1" s="143"/>
      <c r="E1" s="143"/>
      <c r="F1" s="143"/>
      <c r="G1" s="143"/>
      <c r="H1" s="1" t="s">
        <v>1</v>
      </c>
      <c r="I1" s="2" t="s">
        <v>83</v>
      </c>
    </row>
    <row r="2" spans="1:9" ht="18" customHeight="1" thickBot="1" x14ac:dyDescent="0.35">
      <c r="A2" s="139"/>
      <c r="B2" s="140"/>
      <c r="C2" s="144" t="s">
        <v>2</v>
      </c>
      <c r="D2" s="145"/>
      <c r="E2" s="145"/>
      <c r="F2" s="145"/>
      <c r="G2" s="146"/>
      <c r="H2" s="3" t="s">
        <v>3</v>
      </c>
      <c r="I2" s="4" t="s">
        <v>92</v>
      </c>
    </row>
    <row r="3" spans="1:9" ht="31.5" customHeight="1" thickBot="1" x14ac:dyDescent="0.35">
      <c r="A3" s="139"/>
      <c r="B3" s="140"/>
      <c r="C3" s="147" t="s">
        <v>89</v>
      </c>
      <c r="D3" s="147"/>
      <c r="E3" s="147"/>
      <c r="F3" s="147"/>
      <c r="G3" s="147"/>
      <c r="H3" s="148" t="s">
        <v>4</v>
      </c>
      <c r="I3" s="128">
        <v>45616</v>
      </c>
    </row>
    <row r="4" spans="1:9" ht="18" customHeight="1" x14ac:dyDescent="0.3">
      <c r="A4" s="139"/>
      <c r="B4" s="140"/>
      <c r="C4" s="5" t="s">
        <v>5</v>
      </c>
      <c r="D4" s="131" t="s">
        <v>68</v>
      </c>
      <c r="E4" s="132"/>
      <c r="F4" s="132"/>
      <c r="G4" s="133"/>
      <c r="H4" s="149"/>
      <c r="I4" s="129"/>
    </row>
    <row r="5" spans="1:9" ht="18" thickBot="1" x14ac:dyDescent="0.35">
      <c r="A5" s="141"/>
      <c r="B5" s="142"/>
      <c r="C5" s="6" t="s">
        <v>6</v>
      </c>
      <c r="D5" s="134" t="s">
        <v>70</v>
      </c>
      <c r="E5" s="135"/>
      <c r="F5" s="135"/>
      <c r="G5" s="136"/>
      <c r="H5" s="150"/>
      <c r="I5" s="130"/>
    </row>
    <row r="6" spans="1:9" ht="18" thickBot="1" x14ac:dyDescent="0.35">
      <c r="A6" s="119" t="s">
        <v>7</v>
      </c>
      <c r="B6" s="119"/>
      <c r="C6" s="119"/>
      <c r="D6" s="120" t="s">
        <v>66</v>
      </c>
      <c r="E6" s="120"/>
      <c r="F6" s="120"/>
      <c r="G6" s="121" t="s">
        <v>8</v>
      </c>
      <c r="H6" s="121"/>
      <c r="I6" s="7" t="s">
        <v>66</v>
      </c>
    </row>
    <row r="7" spans="1:9" ht="34.799999999999997" x14ac:dyDescent="0.3">
      <c r="A7" s="122" t="s">
        <v>9</v>
      </c>
      <c r="B7" s="124" t="s">
        <v>51</v>
      </c>
      <c r="C7" s="126" t="s">
        <v>10</v>
      </c>
      <c r="D7" s="126" t="s">
        <v>11</v>
      </c>
      <c r="E7" s="126" t="s">
        <v>12</v>
      </c>
      <c r="F7" s="126"/>
      <c r="G7" s="126" t="s">
        <v>13</v>
      </c>
      <c r="H7" s="126"/>
      <c r="I7" s="8" t="s">
        <v>14</v>
      </c>
    </row>
    <row r="8" spans="1:9" ht="35.4" thickBot="1" x14ac:dyDescent="0.35">
      <c r="A8" s="123"/>
      <c r="B8" s="125"/>
      <c r="C8" s="127"/>
      <c r="D8" s="127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18" x14ac:dyDescent="0.35">
      <c r="A9" s="12"/>
      <c r="B9" s="13"/>
      <c r="C9" s="14" t="s">
        <v>71</v>
      </c>
      <c r="D9" s="15"/>
      <c r="E9" s="16"/>
      <c r="F9" s="17"/>
      <c r="G9" s="16"/>
      <c r="H9" s="17"/>
      <c r="I9" s="18"/>
    </row>
    <row r="10" spans="1:9" ht="20.399999999999999" x14ac:dyDescent="0.35">
      <c r="A10" s="20">
        <v>10100050</v>
      </c>
      <c r="B10" s="21" t="s">
        <v>52</v>
      </c>
      <c r="C10" s="22" t="s">
        <v>18</v>
      </c>
      <c r="D10" s="23" t="s">
        <v>72</v>
      </c>
      <c r="E10" s="23">
        <v>10</v>
      </c>
      <c r="F10" s="23" t="s">
        <v>19</v>
      </c>
      <c r="G10" s="24"/>
      <c r="H10" s="25"/>
      <c r="I10" s="26"/>
    </row>
    <row r="11" spans="1:9" ht="20.399999999999999" x14ac:dyDescent="0.35">
      <c r="A11" s="21">
        <v>907000322</v>
      </c>
      <c r="B11" s="21" t="s">
        <v>53</v>
      </c>
      <c r="C11" s="22" t="s">
        <v>20</v>
      </c>
      <c r="D11" s="23" t="s">
        <v>21</v>
      </c>
      <c r="E11" s="23">
        <v>240</v>
      </c>
      <c r="F11" s="23" t="s">
        <v>19</v>
      </c>
      <c r="G11" s="24"/>
      <c r="H11" s="25"/>
      <c r="I11" s="26"/>
    </row>
    <row r="12" spans="1:9" ht="21" x14ac:dyDescent="0.4">
      <c r="A12" s="27">
        <v>902000169</v>
      </c>
      <c r="B12" s="27" t="s">
        <v>54</v>
      </c>
      <c r="C12" s="28" t="s">
        <v>23</v>
      </c>
      <c r="D12" s="23" t="s">
        <v>21</v>
      </c>
      <c r="E12" s="23">
        <v>500</v>
      </c>
      <c r="F12" s="23" t="s">
        <v>19</v>
      </c>
      <c r="G12" s="23"/>
      <c r="H12" s="25"/>
      <c r="I12" s="26"/>
    </row>
    <row r="13" spans="1:9" ht="20.399999999999999" x14ac:dyDescent="0.35">
      <c r="A13" s="21">
        <v>902000170</v>
      </c>
      <c r="B13" s="21" t="s">
        <v>55</v>
      </c>
      <c r="C13" s="22" t="s">
        <v>24</v>
      </c>
      <c r="D13" s="23" t="s">
        <v>21</v>
      </c>
      <c r="E13" s="23">
        <v>120</v>
      </c>
      <c r="F13" s="23" t="s">
        <v>19</v>
      </c>
      <c r="G13" s="23"/>
      <c r="H13" s="25"/>
      <c r="I13" s="26"/>
    </row>
    <row r="14" spans="1:9" ht="21" x14ac:dyDescent="0.4">
      <c r="A14" s="27" t="s">
        <v>25</v>
      </c>
      <c r="B14" s="27" t="s">
        <v>56</v>
      </c>
      <c r="C14" s="28" t="s">
        <v>26</v>
      </c>
      <c r="D14" s="23" t="s">
        <v>73</v>
      </c>
      <c r="E14" s="23">
        <v>30</v>
      </c>
      <c r="F14" s="23" t="s">
        <v>19</v>
      </c>
      <c r="G14" s="23"/>
      <c r="H14" s="25"/>
      <c r="I14" s="26"/>
    </row>
    <row r="15" spans="1:9" ht="21" x14ac:dyDescent="0.4">
      <c r="A15" s="33"/>
      <c r="B15" s="21"/>
      <c r="C15" s="22"/>
      <c r="D15" s="34"/>
      <c r="E15" s="34"/>
      <c r="F15" s="34"/>
      <c r="G15" s="35"/>
      <c r="H15" s="25"/>
      <c r="I15" s="26"/>
    </row>
    <row r="16" spans="1:9" ht="21" x14ac:dyDescent="0.4">
      <c r="A16" s="36"/>
      <c r="B16" s="36"/>
      <c r="C16" s="37" t="s">
        <v>74</v>
      </c>
      <c r="D16" s="31"/>
      <c r="E16" s="38"/>
      <c r="F16" s="32"/>
      <c r="G16" s="35"/>
      <c r="H16" s="39"/>
      <c r="I16" s="26"/>
    </row>
    <row r="17" spans="1:9" ht="21" x14ac:dyDescent="0.4">
      <c r="A17" s="40"/>
      <c r="B17" s="40" t="s">
        <v>88</v>
      </c>
      <c r="C17" s="29" t="s">
        <v>86</v>
      </c>
      <c r="D17" s="41" t="s">
        <v>21</v>
      </c>
      <c r="E17" s="42">
        <v>120</v>
      </c>
      <c r="F17" s="43" t="s">
        <v>19</v>
      </c>
      <c r="G17" s="35"/>
      <c r="H17" s="39"/>
      <c r="I17" s="26"/>
    </row>
    <row r="18" spans="1:9" ht="21" x14ac:dyDescent="0.4">
      <c r="A18" s="40" t="s">
        <v>25</v>
      </c>
      <c r="B18" s="40" t="s">
        <v>56</v>
      </c>
      <c r="C18" s="29" t="s">
        <v>26</v>
      </c>
      <c r="D18" s="41" t="s">
        <v>73</v>
      </c>
      <c r="E18" s="44">
        <v>30</v>
      </c>
      <c r="F18" s="43" t="s">
        <v>19</v>
      </c>
      <c r="G18" s="35"/>
      <c r="H18" s="39"/>
      <c r="I18" s="26"/>
    </row>
    <row r="19" spans="1:9" ht="21" x14ac:dyDescent="0.4">
      <c r="A19" s="40">
        <v>902000171</v>
      </c>
      <c r="B19" s="40" t="s">
        <v>57</v>
      </c>
      <c r="C19" s="29" t="s">
        <v>27</v>
      </c>
      <c r="D19" s="41" t="s">
        <v>21</v>
      </c>
      <c r="E19" s="42">
        <v>70</v>
      </c>
      <c r="F19" s="43" t="s">
        <v>19</v>
      </c>
      <c r="G19" s="35"/>
      <c r="H19" s="39"/>
      <c r="I19" s="26"/>
    </row>
    <row r="20" spans="1:9" ht="21" x14ac:dyDescent="0.4">
      <c r="A20" s="40">
        <v>10100122</v>
      </c>
      <c r="B20" s="40" t="s">
        <v>58</v>
      </c>
      <c r="C20" s="29" t="s">
        <v>28</v>
      </c>
      <c r="D20" s="41" t="s">
        <v>29</v>
      </c>
      <c r="E20" s="45">
        <v>1</v>
      </c>
      <c r="F20" s="46" t="s">
        <v>19</v>
      </c>
      <c r="G20" s="35"/>
      <c r="H20" s="39"/>
      <c r="I20" s="26"/>
    </row>
    <row r="21" spans="1:9" ht="21" x14ac:dyDescent="0.4">
      <c r="A21" s="21"/>
      <c r="B21" s="21"/>
      <c r="C21" s="22"/>
      <c r="D21" s="47"/>
      <c r="E21" s="49"/>
      <c r="F21" s="50"/>
      <c r="G21" s="35"/>
      <c r="H21" s="39"/>
      <c r="I21" s="26"/>
    </row>
    <row r="22" spans="1:9" ht="21" x14ac:dyDescent="0.4">
      <c r="A22" s="51"/>
      <c r="B22" s="51"/>
      <c r="C22" s="52" t="s">
        <v>75</v>
      </c>
      <c r="D22" s="53"/>
      <c r="E22" s="54"/>
      <c r="F22" s="39"/>
      <c r="G22" s="35"/>
      <c r="H22" s="55"/>
      <c r="I22" s="26"/>
    </row>
    <row r="23" spans="1:9" ht="21" x14ac:dyDescent="0.4">
      <c r="A23" s="56">
        <v>1950693</v>
      </c>
      <c r="B23" s="56" t="s">
        <v>59</v>
      </c>
      <c r="C23" s="57" t="s">
        <v>30</v>
      </c>
      <c r="D23" s="23" t="s">
        <v>76</v>
      </c>
      <c r="E23" s="49">
        <v>1</v>
      </c>
      <c r="F23" s="50" t="s">
        <v>31</v>
      </c>
      <c r="G23" s="58"/>
      <c r="H23" s="39"/>
      <c r="I23" s="26"/>
    </row>
    <row r="24" spans="1:9" ht="21" x14ac:dyDescent="0.4">
      <c r="A24" s="59">
        <v>51400021</v>
      </c>
      <c r="B24" s="59" t="s">
        <v>60</v>
      </c>
      <c r="C24" s="60" t="s">
        <v>32</v>
      </c>
      <c r="D24" s="23" t="s">
        <v>77</v>
      </c>
      <c r="E24" s="49">
        <v>1</v>
      </c>
      <c r="F24" s="50" t="s">
        <v>31</v>
      </c>
      <c r="G24" s="58"/>
      <c r="H24" s="39"/>
      <c r="I24" s="26"/>
    </row>
    <row r="25" spans="1:9" ht="21" x14ac:dyDescent="0.4">
      <c r="A25" s="21">
        <v>702123</v>
      </c>
      <c r="B25" s="21" t="s">
        <v>61</v>
      </c>
      <c r="C25" s="22" t="s">
        <v>33</v>
      </c>
      <c r="D25" s="47"/>
      <c r="E25" s="49">
        <v>1</v>
      </c>
      <c r="F25" s="23" t="s">
        <v>31</v>
      </c>
      <c r="G25" s="58"/>
      <c r="H25" s="39"/>
      <c r="I25" s="26"/>
    </row>
    <row r="26" spans="1:9" ht="21" x14ac:dyDescent="0.4">
      <c r="A26" s="61" t="s">
        <v>34</v>
      </c>
      <c r="B26" s="61" t="s">
        <v>62</v>
      </c>
      <c r="C26" s="62" t="s">
        <v>35</v>
      </c>
      <c r="D26" s="23"/>
      <c r="E26" s="49">
        <v>1</v>
      </c>
      <c r="F26" s="50" t="s">
        <v>31</v>
      </c>
      <c r="G26" s="35"/>
      <c r="H26" s="39"/>
      <c r="I26" s="26"/>
    </row>
    <row r="27" spans="1:9" ht="21" x14ac:dyDescent="0.4">
      <c r="A27" s="61" t="s">
        <v>36</v>
      </c>
      <c r="B27" s="61" t="s">
        <v>63</v>
      </c>
      <c r="C27" s="62" t="s">
        <v>37</v>
      </c>
      <c r="D27" s="23"/>
      <c r="E27" s="49">
        <v>1</v>
      </c>
      <c r="F27" s="50" t="s">
        <v>31</v>
      </c>
      <c r="G27" s="35"/>
      <c r="H27" s="39"/>
      <c r="I27" s="26"/>
    </row>
    <row r="28" spans="1:9" ht="21" x14ac:dyDescent="0.4">
      <c r="A28" s="61" t="s">
        <v>38</v>
      </c>
      <c r="B28" s="61" t="s">
        <v>64</v>
      </c>
      <c r="C28" s="62" t="s">
        <v>39</v>
      </c>
      <c r="D28" s="23"/>
      <c r="E28" s="49">
        <v>60</v>
      </c>
      <c r="F28" s="50" t="s">
        <v>40</v>
      </c>
      <c r="G28" s="63"/>
      <c r="H28" s="39"/>
      <c r="I28" s="26"/>
    </row>
    <row r="29" spans="1:9" ht="21" x14ac:dyDescent="0.4">
      <c r="A29" s="64"/>
      <c r="B29" s="64" t="s">
        <v>67</v>
      </c>
      <c r="C29" s="65" t="s">
        <v>69</v>
      </c>
      <c r="D29" s="23"/>
      <c r="E29" s="50">
        <v>1</v>
      </c>
      <c r="F29" s="50" t="s">
        <v>22</v>
      </c>
      <c r="G29" s="30"/>
      <c r="H29" s="39"/>
      <c r="I29" s="26"/>
    </row>
    <row r="30" spans="1:9" ht="21" x14ac:dyDescent="0.4">
      <c r="A30" s="61">
        <v>702069</v>
      </c>
      <c r="B30" s="61" t="s">
        <v>65</v>
      </c>
      <c r="C30" s="62" t="s">
        <v>78</v>
      </c>
      <c r="D30" s="23"/>
      <c r="E30" s="49">
        <v>1</v>
      </c>
      <c r="F30" s="23" t="s">
        <v>22</v>
      </c>
      <c r="G30" s="30"/>
      <c r="H30" s="39"/>
      <c r="I30" s="26"/>
    </row>
    <row r="31" spans="1:9" ht="20.399999999999999" x14ac:dyDescent="0.35">
      <c r="A31" s="36"/>
      <c r="B31" s="36"/>
      <c r="C31" s="66"/>
      <c r="D31" s="31"/>
      <c r="E31" s="31"/>
      <c r="F31" s="32"/>
      <c r="G31" s="31"/>
      <c r="H31" s="31"/>
      <c r="I31" s="26"/>
    </row>
    <row r="32" spans="1:9" ht="21" thickBot="1" x14ac:dyDescent="0.4">
      <c r="A32" s="67"/>
      <c r="B32" s="68"/>
      <c r="C32" s="69"/>
      <c r="D32" s="69"/>
      <c r="E32" s="70"/>
      <c r="F32" s="71"/>
      <c r="G32" s="69"/>
      <c r="H32" s="69"/>
      <c r="I32" s="72"/>
    </row>
    <row r="33" spans="1:9" ht="21.6" thickBot="1" x14ac:dyDescent="0.45">
      <c r="A33" s="73"/>
      <c r="B33" s="74"/>
      <c r="C33" s="75"/>
      <c r="D33" s="76" t="s">
        <v>15</v>
      </c>
      <c r="E33" s="77" t="s">
        <v>22</v>
      </c>
      <c r="F33" s="78"/>
      <c r="G33" s="75"/>
      <c r="H33" s="75"/>
      <c r="I33" s="79"/>
    </row>
    <row r="34" spans="1:9" ht="21" x14ac:dyDescent="0.4">
      <c r="A34" s="113" t="s">
        <v>41</v>
      </c>
      <c r="B34" s="114"/>
      <c r="C34" s="115"/>
      <c r="D34" s="48">
        <v>1070</v>
      </c>
      <c r="E34" s="80" t="s">
        <v>19</v>
      </c>
      <c r="F34" s="116" t="s">
        <v>79</v>
      </c>
      <c r="G34" s="116"/>
      <c r="H34" s="117"/>
      <c r="I34" s="118"/>
    </row>
    <row r="35" spans="1:9" ht="21" x14ac:dyDescent="0.4">
      <c r="A35" s="96" t="s">
        <v>42</v>
      </c>
      <c r="B35" s="97"/>
      <c r="C35" s="98"/>
      <c r="D35" s="49">
        <v>7</v>
      </c>
      <c r="E35" s="23" t="s">
        <v>43</v>
      </c>
      <c r="F35" s="99" t="s">
        <v>80</v>
      </c>
      <c r="G35" s="99"/>
      <c r="H35" s="100"/>
      <c r="I35" s="101"/>
    </row>
    <row r="36" spans="1:9" ht="21" x14ac:dyDescent="0.4">
      <c r="A36" s="96" t="s">
        <v>44</v>
      </c>
      <c r="B36" s="97"/>
      <c r="C36" s="98"/>
      <c r="D36" s="49">
        <v>1</v>
      </c>
      <c r="E36" s="23" t="s">
        <v>31</v>
      </c>
      <c r="F36" s="99" t="s">
        <v>81</v>
      </c>
      <c r="G36" s="99"/>
      <c r="H36" s="100"/>
      <c r="I36" s="101"/>
    </row>
    <row r="37" spans="1:9" ht="21" x14ac:dyDescent="0.4">
      <c r="A37" s="96" t="s">
        <v>45</v>
      </c>
      <c r="B37" s="97"/>
      <c r="C37" s="98"/>
      <c r="D37" s="49">
        <v>1070</v>
      </c>
      <c r="E37" s="23" t="s">
        <v>19</v>
      </c>
      <c r="F37" s="102" t="s">
        <v>82</v>
      </c>
      <c r="G37" s="103"/>
      <c r="H37" s="104"/>
      <c r="I37" s="105"/>
    </row>
    <row r="38" spans="1:9" ht="21.6" thickBot="1" x14ac:dyDescent="0.45">
      <c r="A38" s="106" t="s">
        <v>46</v>
      </c>
      <c r="B38" s="107"/>
      <c r="C38" s="108"/>
      <c r="D38" s="81">
        <f>SUM(E10:E20)-D34</f>
        <v>51</v>
      </c>
      <c r="E38" s="82" t="s">
        <v>19</v>
      </c>
      <c r="F38" s="109"/>
      <c r="G38" s="109"/>
      <c r="H38" s="100"/>
      <c r="I38" s="101"/>
    </row>
    <row r="39" spans="1:9" ht="21.6" thickBot="1" x14ac:dyDescent="0.45">
      <c r="A39" s="110" t="s">
        <v>47</v>
      </c>
      <c r="B39" s="111"/>
      <c r="C39" s="111"/>
      <c r="D39" s="111"/>
      <c r="E39" s="111"/>
      <c r="F39" s="111"/>
      <c r="G39" s="111"/>
      <c r="H39" s="111"/>
      <c r="I39" s="112"/>
    </row>
    <row r="40" spans="1:9" ht="21" x14ac:dyDescent="0.4">
      <c r="A40" s="90" t="s">
        <v>48</v>
      </c>
      <c r="B40" s="91"/>
      <c r="C40" s="91"/>
      <c r="D40" s="91"/>
      <c r="E40" s="91"/>
      <c r="F40" s="91"/>
      <c r="G40" s="91"/>
      <c r="H40" s="91"/>
      <c r="I40" s="92"/>
    </row>
    <row r="41" spans="1:9" ht="21" x14ac:dyDescent="0.4">
      <c r="A41" s="90" t="s">
        <v>84</v>
      </c>
      <c r="B41" s="91"/>
      <c r="C41" s="91"/>
      <c r="D41" s="91"/>
      <c r="E41" s="91"/>
      <c r="F41" s="91"/>
      <c r="G41" s="91"/>
      <c r="H41" s="91"/>
      <c r="I41" s="92"/>
    </row>
    <row r="42" spans="1:9" ht="42.75" customHeight="1" x14ac:dyDescent="0.4">
      <c r="A42" s="90" t="s">
        <v>90</v>
      </c>
      <c r="B42" s="91"/>
      <c r="C42" s="91"/>
      <c r="D42" s="91"/>
      <c r="E42" s="91"/>
      <c r="F42" s="91"/>
      <c r="G42" s="91"/>
      <c r="H42" s="91"/>
      <c r="I42" s="92"/>
    </row>
    <row r="43" spans="1:9" ht="21" x14ac:dyDescent="0.4">
      <c r="A43" s="90" t="s">
        <v>49</v>
      </c>
      <c r="B43" s="91"/>
      <c r="C43" s="91"/>
      <c r="D43" s="91"/>
      <c r="E43" s="91"/>
      <c r="F43" s="91"/>
      <c r="G43" s="91"/>
      <c r="H43" s="91"/>
      <c r="I43" s="92"/>
    </row>
    <row r="44" spans="1:9" ht="21" x14ac:dyDescent="0.4">
      <c r="A44" s="90"/>
      <c r="B44" s="91"/>
      <c r="C44" s="91"/>
      <c r="D44" s="91"/>
      <c r="E44" s="91"/>
      <c r="F44" s="91"/>
      <c r="G44" s="91"/>
      <c r="H44" s="91"/>
      <c r="I44" s="92"/>
    </row>
    <row r="45" spans="1:9" ht="21" thickBot="1" x14ac:dyDescent="0.4">
      <c r="A45" s="93"/>
      <c r="B45" s="94"/>
      <c r="C45" s="94"/>
      <c r="D45" s="94"/>
      <c r="E45" s="94"/>
      <c r="F45" s="94"/>
      <c r="G45" s="94"/>
      <c r="H45" s="94"/>
      <c r="I45" s="95"/>
    </row>
    <row r="46" spans="1:9" ht="21" x14ac:dyDescent="0.4">
      <c r="A46" s="84" t="s">
        <v>50</v>
      </c>
      <c r="B46" s="85"/>
      <c r="C46" s="85"/>
      <c r="D46" s="85"/>
      <c r="E46" s="85"/>
      <c r="F46" s="85"/>
      <c r="G46" s="85"/>
      <c r="H46" s="85"/>
      <c r="I46" s="85"/>
    </row>
    <row r="47" spans="1:9" ht="20.399999999999999" x14ac:dyDescent="0.35">
      <c r="A47" s="86" t="s">
        <v>85</v>
      </c>
      <c r="B47" s="87"/>
      <c r="C47" s="87"/>
      <c r="D47" s="87"/>
      <c r="E47" s="87"/>
      <c r="F47" s="87"/>
      <c r="G47" s="87"/>
      <c r="H47" s="87"/>
      <c r="I47" s="88"/>
    </row>
    <row r="48" spans="1:9" s="19" customFormat="1" ht="20.399999999999999" x14ac:dyDescent="0.35">
      <c r="A48" s="89" t="s">
        <v>87</v>
      </c>
      <c r="B48" s="89"/>
      <c r="C48" s="89"/>
      <c r="D48" s="89"/>
      <c r="E48" s="89"/>
      <c r="F48" s="89"/>
      <c r="G48" s="89"/>
      <c r="H48" s="89"/>
      <c r="I48" s="89"/>
    </row>
    <row r="49" spans="1:9" ht="20.399999999999999" x14ac:dyDescent="0.35">
      <c r="A49" s="83" t="s">
        <v>91</v>
      </c>
      <c r="B49" s="83"/>
      <c r="C49" s="83"/>
      <c r="D49" s="83"/>
      <c r="E49" s="83"/>
      <c r="F49" s="83"/>
      <c r="G49" s="83"/>
      <c r="H49" s="83"/>
      <c r="I49" s="83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9:I49"/>
    <mergeCell ref="A46:I46"/>
    <mergeCell ref="A47:I47"/>
    <mergeCell ref="A48:I48"/>
    <mergeCell ref="A42:I42"/>
    <mergeCell ref="A43:I43"/>
    <mergeCell ref="A44:I44"/>
    <mergeCell ref="A45:I45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B5AE20-B98C-471E-96DB-92C30D259A9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CEB1B9B-AED4-4865-B933-6741F840BD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4BCF5-15D8-4031-B066-2465BA447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2026-04-07T17:15:00Z</cp:lastPrinted>
  <dcterms:created xsi:type="dcterms:W3CDTF">2024-02-15T15:46:24Z</dcterms:created>
  <dcterms:modified xsi:type="dcterms:W3CDTF">2026-05-13T17:35:02Z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
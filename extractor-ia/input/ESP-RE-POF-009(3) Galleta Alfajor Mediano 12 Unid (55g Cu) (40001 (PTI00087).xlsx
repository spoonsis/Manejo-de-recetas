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8BF7ABB6-6A61-4E58-8EB0-C830AE86EB21}" xr6:coauthVersionLast="47" xr6:coauthVersionMax="47" xr10:uidLastSave="{0A91DFB6-650E-484D-8E77-F3ED8A279791}"/>
  <bookViews>
    <workbookView xWindow="-120" yWindow="-120" windowWidth="20730" windowHeight="11040" firstSheet="1" activeTab="1" xr2:uid="{007E0D60-ED9A-4BC4-B1B9-4E5A2B16A504}"/>
  </bookViews>
  <sheets>
    <sheet name="40001 REC ENSAMBLE" sheetId="5" state="hidden" r:id="rId1"/>
    <sheet name="Hoja1" sheetId="9" r:id="rId2"/>
    <sheet name="Costeo Galleta" sheetId="6" state="hidden" r:id="rId3"/>
    <sheet name="Precio" sheetId="7" state="hidden" r:id="rId4"/>
  </sheets>
  <externalReferences>
    <externalReference r:id="rId5"/>
  </externalReferences>
  <definedNames>
    <definedName name="_xlnm.Print_Area" localSheetId="0">'40001 REC ENSAMBLE'!$A$1:$I$30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D6" i="7"/>
  <c r="B39" i="6"/>
  <c r="B32" i="6"/>
  <c r="D66" i="6"/>
  <c r="D67" i="6"/>
  <c r="D69" i="6"/>
  <c r="D64" i="6"/>
  <c r="D62" i="6"/>
  <c r="F58" i="6"/>
  <c r="C66" i="6"/>
  <c r="D53" i="6"/>
  <c r="C44" i="6"/>
  <c r="F44" i="6"/>
  <c r="E43" i="6"/>
  <c r="A43" i="6"/>
  <c r="C43" i="6"/>
  <c r="F43" i="6"/>
  <c r="E42" i="6"/>
  <c r="A42" i="6"/>
  <c r="C42" i="6"/>
  <c r="F42" i="6"/>
  <c r="E41" i="6"/>
  <c r="A41" i="6"/>
  <c r="C41" i="6"/>
  <c r="E40" i="6"/>
  <c r="A40" i="6"/>
  <c r="C40" i="6"/>
  <c r="F40" i="6"/>
  <c r="E39" i="6"/>
  <c r="A39" i="6"/>
  <c r="C39" i="6"/>
  <c r="F39" i="6"/>
  <c r="E36" i="6"/>
  <c r="A36" i="6"/>
  <c r="C36" i="6"/>
  <c r="F36" i="6"/>
  <c r="G36" i="6"/>
  <c r="E35" i="6"/>
  <c r="A35" i="6"/>
  <c r="C35" i="6"/>
  <c r="F35" i="6"/>
  <c r="G35" i="6"/>
  <c r="E34" i="6"/>
  <c r="A34" i="6"/>
  <c r="C34" i="6"/>
  <c r="F34" i="6"/>
  <c r="G34" i="6"/>
  <c r="E33" i="6"/>
  <c r="A33" i="6"/>
  <c r="C33" i="6"/>
  <c r="F33" i="6"/>
  <c r="G33" i="6"/>
  <c r="E32" i="6"/>
  <c r="A32" i="6"/>
  <c r="C32" i="6"/>
  <c r="E29" i="6"/>
  <c r="F29" i="6"/>
  <c r="D29" i="6"/>
  <c r="C29" i="6"/>
  <c r="B29" i="6"/>
  <c r="E28" i="6"/>
  <c r="D28" i="6"/>
  <c r="C28" i="6"/>
  <c r="B28" i="6"/>
  <c r="C27" i="6"/>
  <c r="F27" i="6"/>
  <c r="E26" i="6"/>
  <c r="F26" i="6"/>
  <c r="D26" i="6"/>
  <c r="C26" i="6"/>
  <c r="B26" i="6"/>
  <c r="E25" i="6"/>
  <c r="F25" i="6"/>
  <c r="D25" i="6"/>
  <c r="C25" i="6"/>
  <c r="B25" i="6"/>
  <c r="E24" i="6"/>
  <c r="D24" i="6"/>
  <c r="C24" i="6"/>
  <c r="F24" i="6"/>
  <c r="B24" i="6"/>
  <c r="E21" i="6"/>
  <c r="F21" i="6"/>
  <c r="D21" i="6"/>
  <c r="C21" i="6"/>
  <c r="B21" i="6"/>
  <c r="E20" i="6"/>
  <c r="F20" i="6"/>
  <c r="D20" i="6"/>
  <c r="C20" i="6"/>
  <c r="B20" i="6"/>
  <c r="E19" i="6"/>
  <c r="F19" i="6"/>
  <c r="D19" i="6"/>
  <c r="C19" i="6"/>
  <c r="B19" i="6"/>
  <c r="E18" i="6"/>
  <c r="D18" i="6"/>
  <c r="C18" i="6"/>
  <c r="F18" i="6"/>
  <c r="B18" i="6"/>
  <c r="E17" i="6"/>
  <c r="F17" i="6"/>
  <c r="D17" i="6"/>
  <c r="C17" i="6"/>
  <c r="B17" i="6"/>
  <c r="E14" i="6"/>
  <c r="F14" i="6"/>
  <c r="D14" i="6"/>
  <c r="C14" i="6"/>
  <c r="B14" i="6"/>
  <c r="E13" i="6"/>
  <c r="D13" i="6"/>
  <c r="C13" i="6"/>
  <c r="B13" i="6"/>
  <c r="E12" i="6"/>
  <c r="D12" i="6"/>
  <c r="C12" i="6"/>
  <c r="F12" i="6"/>
  <c r="B12" i="6"/>
  <c r="E11" i="6"/>
  <c r="D11" i="6"/>
  <c r="C11" i="6"/>
  <c r="B11" i="6"/>
  <c r="E10" i="6"/>
  <c r="D10" i="6"/>
  <c r="C10" i="6"/>
  <c r="F10" i="6"/>
  <c r="B10" i="6"/>
  <c r="E9" i="6"/>
  <c r="F9" i="6"/>
  <c r="D9" i="6"/>
  <c r="C9" i="6"/>
  <c r="B9" i="6"/>
  <c r="E8" i="6"/>
  <c r="F8" i="6"/>
  <c r="D8" i="6"/>
  <c r="C8" i="6"/>
  <c r="B8" i="6"/>
  <c r="H6" i="6"/>
  <c r="E10" i="5"/>
  <c r="E9" i="5"/>
  <c r="D20" i="5"/>
  <c r="G8" i="5"/>
  <c r="E8" i="5"/>
  <c r="D74" i="6"/>
  <c r="D76" i="6"/>
  <c r="D78" i="6"/>
  <c r="D79" i="6"/>
  <c r="E44" i="6"/>
  <c r="F11" i="6"/>
  <c r="F13" i="6"/>
  <c r="F32" i="6"/>
  <c r="G32" i="6"/>
  <c r="F41" i="6"/>
  <c r="F28" i="6"/>
  <c r="E66" i="6"/>
  <c r="C78" i="6"/>
  <c r="E78" i="6"/>
  <c r="F46" i="6"/>
  <c r="F47" i="6"/>
  <c r="F49" i="6"/>
  <c r="H49" i="6"/>
  <c r="C67" i="6"/>
  <c r="O48" i="6"/>
  <c r="E9" i="7"/>
  <c r="F9" i="7"/>
  <c r="C69" i="6"/>
  <c r="E69" i="6"/>
  <c r="H47" i="6"/>
  <c r="G2" i="6"/>
  <c r="C62" i="6"/>
  <c r="H46" i="6"/>
  <c r="F2" i="6"/>
  <c r="F57" i="6"/>
  <c r="E6" i="7"/>
  <c r="F6" i="7"/>
  <c r="F48" i="6"/>
  <c r="E67" i="6"/>
  <c r="C79" i="6"/>
  <c r="E79" i="6"/>
  <c r="F11" i="7"/>
  <c r="H48" i="6"/>
  <c r="O47" i="6"/>
  <c r="F56" i="6"/>
  <c r="E62" i="6"/>
  <c r="E71" i="6"/>
  <c r="C74" i="6"/>
  <c r="E74" i="6"/>
  <c r="F12" i="7"/>
  <c r="F16" i="7"/>
  <c r="H2" i="6"/>
  <c r="O49" i="6"/>
  <c r="O50" i="6"/>
  <c r="E56" i="6"/>
  <c r="C64" i="6"/>
  <c r="F59" i="6"/>
  <c r="F18" i="7"/>
  <c r="F13" i="7"/>
  <c r="O51" i="6"/>
  <c r="O52" i="6"/>
  <c r="G59" i="6"/>
  <c r="G17" i="6"/>
  <c r="G21" i="6"/>
  <c r="G41" i="6"/>
  <c r="G9" i="6"/>
  <c r="G58" i="6"/>
  <c r="G27" i="6"/>
  <c r="G11" i="6"/>
  <c r="G28" i="6"/>
  <c r="G42" i="6"/>
  <c r="G10" i="6"/>
  <c r="G13" i="6"/>
  <c r="G24" i="6"/>
  <c r="G44" i="6"/>
  <c r="G20" i="6"/>
  <c r="G40" i="6"/>
  <c r="G18" i="6"/>
  <c r="G43" i="6"/>
  <c r="G19" i="6"/>
  <c r="G26" i="6"/>
  <c r="G12" i="6"/>
  <c r="G8" i="6"/>
  <c r="G39" i="6"/>
  <c r="G29" i="6"/>
  <c r="G25" i="6"/>
  <c r="G14" i="6"/>
  <c r="G46" i="6"/>
  <c r="G49" i="6"/>
  <c r="G47" i="6"/>
  <c r="G57" i="6"/>
  <c r="G48" i="6"/>
  <c r="F15" i="7"/>
  <c r="G56" i="6"/>
  <c r="C76" i="6"/>
  <c r="E76" i="6"/>
  <c r="E64" i="6"/>
  <c r="O54" i="6"/>
  <c r="O55" i="6"/>
  <c r="O53" i="6"/>
  <c r="F17" i="7"/>
  <c r="F19" i="7"/>
  <c r="F20" i="7"/>
  <c r="F21" i="7"/>
  <c r="P55" i="6"/>
  <c r="E2" i="6"/>
  <c r="F22" i="7"/>
  <c r="G19" i="7"/>
  <c r="F23" i="7"/>
  <c r="G23" i="7"/>
  <c r="F27" i="7"/>
  <c r="G9" i="7"/>
  <c r="G6" i="7"/>
  <c r="G16" i="7"/>
  <c r="G11" i="7"/>
  <c r="G12" i="7"/>
  <c r="G13" i="7"/>
  <c r="G18" i="7"/>
  <c r="G15" i="7"/>
  <c r="G17" i="7"/>
  <c r="G20" i="7"/>
  <c r="G21" i="7"/>
  <c r="G22" i="7"/>
  <c r="F28" i="7"/>
  <c r="F29" i="7"/>
  <c r="F30" i="7"/>
  <c r="F31" i="7"/>
  <c r="F34" i="7"/>
  <c r="F35" i="7"/>
  <c r="F32" i="7"/>
  <c r="H29" i="7"/>
  <c r="G29" i="7"/>
</calcChain>
</file>

<file path=xl/sharedStrings.xml><?xml version="1.0" encoding="utf-8"?>
<sst xmlns="http://schemas.openxmlformats.org/spreadsheetml/2006/main" count="328" uniqueCount="196">
  <si>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</si>
  <si>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</si>
  <si>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</si>
  <si>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</si>
  <si>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</si>
  <si>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</si>
  <si>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</si>
  <si>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</si>
  <si>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</si>
  <si>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</si>
  <si>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</si>
  <si>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</si>
  <si>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</si>
  <si>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</si>
  <si>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</si>
  <si>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</si>
  <si>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</si>
  <si>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</si>
  <si>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de Horneo</t>
  </si>
  <si>
    <t>TIEMPO TOTAL DE PREPARACION</t>
  </si>
  <si>
    <t>Horno:</t>
  </si>
  <si>
    <t>CANTIDAD DE PORCIONES OBTENIDAS</t>
  </si>
  <si>
    <t>Temperatura de Horneo</t>
  </si>
  <si>
    <t>PESO DE CADA PORCIÓN</t>
  </si>
  <si>
    <t>Otros</t>
  </si>
  <si>
    <t>MERMA</t>
  </si>
  <si>
    <t>PROCEDIMIENTO DE PREPARACION DE LA  RECETA</t>
  </si>
  <si>
    <t>EMPAQUE</t>
  </si>
  <si>
    <t>Min.</t>
  </si>
  <si>
    <t>Und.</t>
  </si>
  <si>
    <t>SERVICIOS DE PASTELERIA S.A.</t>
  </si>
  <si>
    <t>TAPAS DE ALFAJOR</t>
  </si>
  <si>
    <t>Spoon</t>
  </si>
  <si>
    <t>Tapas</t>
  </si>
  <si>
    <t>1112431</t>
  </si>
  <si>
    <t>MANJAR DE LECHE CONDENSADA ( 4.5 KG )</t>
  </si>
  <si>
    <t>Nestle</t>
  </si>
  <si>
    <t>0510155</t>
  </si>
  <si>
    <t>AZUCAR EN POLVO</t>
  </si>
  <si>
    <t>La Ciabatta</t>
  </si>
  <si>
    <t>0702012</t>
  </si>
  <si>
    <t>0702066</t>
  </si>
  <si>
    <t>ETIQ.BLANCA</t>
  </si>
  <si>
    <t>1950736</t>
  </si>
  <si>
    <t>CAPSULA # 5 BLANCA (100 * PAQ)</t>
  </si>
  <si>
    <t>1950729</t>
  </si>
  <si>
    <t>CAJA BLANCA  MEDIANAS (100 X PAQ)</t>
  </si>
  <si>
    <t>ETIQ.FECHA VENCIMIENTE</t>
  </si>
  <si>
    <t xml:space="preserve">1.- Rellenar las tapas de alfajor, con 25g cada uno. Tapar. </t>
  </si>
  <si>
    <t>2.- Espolvorear con azúcar en polvo.</t>
  </si>
  <si>
    <t>4.- Etiquetar con fecha de vencimiento y nombre del producto.</t>
  </si>
  <si>
    <t>Jorge Montero Gerente de Manufactura</t>
  </si>
  <si>
    <t>Marta Beeche M Chef Ej</t>
  </si>
  <si>
    <t>95803</t>
  </si>
  <si>
    <t>Etiplast</t>
  </si>
  <si>
    <t>Cemusa</t>
  </si>
  <si>
    <t>Estuardo</t>
  </si>
  <si>
    <t>Unids</t>
  </si>
  <si>
    <t>Unid</t>
  </si>
  <si>
    <t>Gosaca</t>
  </si>
  <si>
    <t>ESP-RE-POF-025</t>
  </si>
  <si>
    <t>12 alfajores</t>
  </si>
  <si>
    <t>3.- Colocar en capsulas e introducir 12 unidades en una caja. Tapar con otra caja.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</si>
  <si>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</si>
  <si>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</si>
  <si>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</si>
  <si>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</si>
  <si>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</si>
  <si>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</si>
  <si>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</si>
  <si>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</si>
  <si>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</si>
  <si>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</si>
  <si>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</si>
  <si>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</si>
  <si>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</si>
  <si>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</si>
  <si>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</si>
  <si>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</si>
  <si>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</si>
  <si>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</si>
  <si>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</si>
  <si>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</si>
  <si>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</si>
  <si>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</si>
  <si>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</si>
  <si>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</si>
  <si>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</si>
  <si>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</si>
  <si>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</si>
  <si>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</si>
  <si>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</si>
  <si>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</si>
  <si>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</si>
  <si>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</si>
  <si>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</si>
  <si>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</si>
  <si>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</si>
  <si>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</si>
  <si>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</si>
  <si>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</si>
  <si>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</si>
  <si>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</si>
  <si>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</si>
  <si>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</si>
  <si>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</si>
  <si>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</si>
  <si>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</si>
  <si>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</si>
  <si>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</si>
  <si>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</si>
  <si>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</si>
  <si>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GALLETA ALFAJOR MEDIANO 12 UNID</t>
  </si>
  <si>
    <t>ETIQ.BLANCA PREIMP. 2 5/8 * 1 15/16</t>
  </si>
  <si>
    <t>UND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</si>
  <si>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</si>
  <si>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</si>
  <si>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</si>
  <si>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</si>
  <si>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</si>
  <si>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</si>
  <si>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</si>
  <si>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</si>
  <si>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</si>
  <si>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</si>
  <si>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</si>
  <si>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</si>
  <si>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</si>
  <si>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</si>
  <si>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</si>
  <si>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</si>
  <si>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</si>
  <si>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</si>
  <si>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</si>
  <si>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</si>
  <si>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</si>
  <si>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</si>
  <si>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</si>
  <si>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</si>
  <si>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>Alejandro Rodriguez S. / Costos</t>
  </si>
  <si>
    <t>ALFAJOR MEDIANO 12 UND</t>
  </si>
  <si>
    <t>ALFAJOR</t>
  </si>
  <si>
    <t>ud</t>
  </si>
  <si>
    <t>0702123</t>
  </si>
  <si>
    <t>ETIQUETA BLANCA 2 5/8X1 15/16</t>
  </si>
  <si>
    <t>2.- Colocar en capsulas e introducir 12 unidades en una caja. Tapar con otra caja.</t>
  </si>
  <si>
    <t>3.- Etiquetar con fecha de vencimiento y nombre del producto, ingredientes y codigo de barras</t>
  </si>
  <si>
    <t>min</t>
  </si>
  <si>
    <t>ETIQUETA BLANCA R-153 (UND)</t>
  </si>
  <si>
    <t>906000012</t>
  </si>
  <si>
    <t>50600003</t>
  </si>
  <si>
    <t>ETIQ.FECHA VENCIMIENTO BLANCO (ROLLO)</t>
  </si>
  <si>
    <t xml:space="preserve">1.- Darle a las tapas de alfajor, Rellenar las tapas de alfajor, con 25g cada uno. Tapar. </t>
  </si>
  <si>
    <t>11400066</t>
  </si>
  <si>
    <t>Galleta Alfajor Mediano 12 Unid (55g C/u) Spoon 40001(PTI00087)</t>
  </si>
  <si>
    <t># Codigo Netsuite</t>
  </si>
  <si>
    <t>NetSuiteCode</t>
  </si>
  <si>
    <t>EM10017</t>
  </si>
  <si>
    <t>Galleta Alfajor Mediano 12 Unid (55g C/u) (40001 (PTI00087)</t>
  </si>
  <si>
    <t># Código Netsuite</t>
  </si>
  <si>
    <t>SE00303</t>
  </si>
  <si>
    <t>MP10007</t>
  </si>
  <si>
    <t>MANJAR DE LECHE CONDENSADA</t>
  </si>
  <si>
    <t>CAJA BLANCA  MEDIANAS</t>
  </si>
  <si>
    <t xml:space="preserve">CAPSULA # 5 BLANCA </t>
  </si>
  <si>
    <t>EM10069</t>
  </si>
  <si>
    <t>EM10124</t>
  </si>
  <si>
    <t>EM10011</t>
  </si>
  <si>
    <t>EM10004</t>
  </si>
  <si>
    <t>Javier Tong, Chef</t>
  </si>
  <si>
    <t>Esteban Cartin, Gte Manufactura</t>
  </si>
  <si>
    <t>AREA QUE PRODUCE:</t>
  </si>
  <si>
    <t>Postres</t>
  </si>
  <si>
    <t xml:space="preserve">AREA QUE EMPACA: </t>
  </si>
  <si>
    <t>Ensamble</t>
  </si>
  <si>
    <t>FAS</t>
  </si>
  <si>
    <t>360 GRAMOS</t>
  </si>
  <si>
    <t>NESTLE</t>
  </si>
  <si>
    <t>25 GRAMOS C/U</t>
  </si>
  <si>
    <t>Decoración</t>
  </si>
  <si>
    <t>Empaque</t>
  </si>
  <si>
    <t>ESTUARDO</t>
  </si>
  <si>
    <t>GOSACA</t>
  </si>
  <si>
    <t>ETIPLAST</t>
  </si>
  <si>
    <t>CEMUSA</t>
  </si>
  <si>
    <t>Tiempo de Horneo:</t>
  </si>
  <si>
    <t>Temperatura de Horneo:</t>
  </si>
  <si>
    <t>CONTROL DE CAMBIOS</t>
  </si>
  <si>
    <t>ESP-RE-POF-009</t>
  </si>
  <si>
    <t>EM10002</t>
  </si>
  <si>
    <t>Etiq.Blanca 1 1/4 * 3/4</t>
  </si>
  <si>
    <t>2, Se agrega etiqueta 11/4*3/4</t>
  </si>
  <si>
    <t>EM10135</t>
  </si>
  <si>
    <t>Etiqueta Sello Seguridad</t>
  </si>
  <si>
    <t>Revision #3: Se agrega etiqueta sello de seguridad.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</si>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</sst>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6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2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2" fillId="0" borderId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" fillId="0" borderId="0"/>
    <xf numFmtId="0" fontId="51" fillId="0" borderId="0"/>
  </cellStyleXfs>
  <cellXfs count="437">
    <xf numFmtId="0" fontId="0" fillId="0" borderId="0" xfId="0"/>
    <xf numFmtId="0" fontId="5" fillId="2" borderId="1" xfId="4" applyFont="1" applyFill="1" applyBorder="1" applyAlignment="1">
      <alignment horizontal="right"/>
    </xf>
    <xf numFmtId="0" fontId="5" fillId="2" borderId="2" xfId="4" applyFont="1" applyFill="1" applyBorder="1" applyAlignment="1">
      <alignment horizontal="right"/>
    </xf>
    <xf numFmtId="0" fontId="4" fillId="2" borderId="3" xfId="4" applyFont="1" applyFill="1" applyBorder="1" applyAlignment="1">
      <alignment horizontal="right"/>
    </xf>
    <xf numFmtId="0" fontId="4" fillId="2" borderId="2" xfId="4" applyFont="1" applyFill="1" applyBorder="1" applyAlignment="1">
      <alignment horizontal="right"/>
    </xf>
    <xf numFmtId="0" fontId="4" fillId="2" borderId="0" xfId="3" applyFont="1" applyFill="1"/>
    <xf numFmtId="0" fontId="6" fillId="2" borderId="0" xfId="3" applyFont="1" applyFill="1" applyAlignment="1">
      <alignment vertical="center"/>
    </xf>
    <xf numFmtId="0" fontId="4" fillId="2" borderId="0" xfId="3" applyFont="1" applyFill="1" applyAlignment="1">
      <alignment horizontal="left" indent="1"/>
    </xf>
    <xf numFmtId="0" fontId="4" fillId="0" borderId="4" xfId="3" applyFont="1" applyBorder="1" applyAlignment="1">
      <alignment horizontal="center"/>
    </xf>
    <xf numFmtId="9" fontId="4" fillId="2" borderId="0" xfId="6" applyFont="1" applyFill="1"/>
    <xf numFmtId="0" fontId="4" fillId="0" borderId="2" xfId="3" applyFont="1" applyBorder="1" applyAlignment="1">
      <alignment horizontal="center"/>
    </xf>
    <xf numFmtId="0" fontId="4" fillId="0" borderId="5" xfId="3" applyFont="1" applyBorder="1" applyAlignment="1">
      <alignment horizontal="center"/>
    </xf>
    <xf numFmtId="1" fontId="4" fillId="0" borderId="3" xfId="3" applyNumberFormat="1" applyFont="1" applyBorder="1" applyAlignment="1">
      <alignment horizontal="center"/>
    </xf>
    <xf numFmtId="0" fontId="4" fillId="3" borderId="6" xfId="3" applyFont="1" applyFill="1" applyBorder="1" applyAlignment="1">
      <alignment horizontal="center"/>
    </xf>
    <xf numFmtId="0" fontId="4" fillId="3" borderId="7" xfId="3" applyFont="1" applyFill="1" applyBorder="1"/>
    <xf numFmtId="167" fontId="4" fillId="3" borderId="7" xfId="3" applyNumberFormat="1" applyFont="1" applyFill="1" applyBorder="1" applyAlignment="1">
      <alignment horizontal="center" wrapText="1"/>
    </xf>
    <xf numFmtId="1" fontId="5" fillId="3" borderId="7" xfId="3" applyNumberFormat="1" applyFont="1" applyFill="1" applyBorder="1" applyAlignment="1">
      <alignment horizontal="center"/>
    </xf>
    <xf numFmtId="0" fontId="5" fillId="3" borderId="7" xfId="3" applyFont="1" applyFill="1" applyBorder="1" applyAlignment="1">
      <alignment horizontal="center"/>
    </xf>
    <xf numFmtId="0" fontId="4" fillId="3" borderId="8" xfId="3" applyFont="1" applyFill="1" applyBorder="1" applyAlignment="1">
      <alignment horizontal="center"/>
    </xf>
    <xf numFmtId="0" fontId="4" fillId="2" borderId="9" xfId="3" applyFont="1" applyFill="1" applyBorder="1" applyAlignment="1">
      <alignment horizontal="center"/>
    </xf>
    <xf numFmtId="167" fontId="4" fillId="2" borderId="0" xfId="3" applyNumberFormat="1" applyFont="1" applyFill="1" applyAlignment="1">
      <alignment horizontal="center" wrapText="1"/>
    </xf>
    <xf numFmtId="1" fontId="4" fillId="2" borderId="0" xfId="3" applyNumberFormat="1" applyFont="1" applyFill="1" applyAlignment="1">
      <alignment horizontal="center"/>
    </xf>
    <xf numFmtId="49" fontId="6" fillId="2" borderId="10" xfId="3" applyNumberFormat="1" applyFont="1" applyFill="1" applyBorder="1" applyAlignment="1">
      <alignment horizontal="center" vertical="center"/>
    </xf>
    <xf numFmtId="0" fontId="4" fillId="0" borderId="11" xfId="3" applyFont="1" applyBorder="1" applyAlignment="1">
      <alignment horizontal="center"/>
    </xf>
    <xf numFmtId="1" fontId="4" fillId="0" borderId="2" xfId="3" applyNumberFormat="1" applyFont="1" applyBorder="1" applyAlignment="1">
      <alignment horizontal="center" wrapText="1"/>
    </xf>
    <xf numFmtId="0" fontId="4" fillId="0" borderId="2" xfId="3" applyFont="1" applyBorder="1"/>
    <xf numFmtId="0" fontId="4" fillId="0" borderId="2" xfId="3" quotePrefix="1" applyFont="1" applyBorder="1"/>
    <xf numFmtId="0" fontId="4" fillId="0" borderId="12" xfId="3" quotePrefix="1" applyFont="1" applyBorder="1" applyAlignment="1">
      <alignment horizontal="center"/>
    </xf>
    <xf numFmtId="1" fontId="4" fillId="0" borderId="2" xfId="3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16" fontId="4" fillId="0" borderId="2" xfId="3" applyNumberFormat="1" applyFont="1" applyBorder="1" applyAlignment="1">
      <alignment horizontal="center"/>
    </xf>
    <xf numFmtId="0" fontId="11" fillId="0" borderId="2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49" fontId="9" fillId="0" borderId="2" xfId="3" applyNumberFormat="1" applyFont="1" applyBorder="1"/>
    <xf numFmtId="49" fontId="8" fillId="0" borderId="2" xfId="3" applyNumberFormat="1" applyFont="1" applyBorder="1" applyAlignment="1">
      <alignment horizontal="center"/>
    </xf>
    <xf numFmtId="16" fontId="4" fillId="0" borderId="13" xfId="3" applyNumberFormat="1" applyFont="1" applyBorder="1" applyAlignment="1">
      <alignment horizontal="center"/>
    </xf>
    <xf numFmtId="49" fontId="5" fillId="0" borderId="14" xfId="3" applyNumberFormat="1" applyFont="1" applyBorder="1" applyAlignment="1">
      <alignment horizontal="center"/>
    </xf>
    <xf numFmtId="49" fontId="4" fillId="0" borderId="15" xfId="3" applyNumberFormat="1" applyFont="1" applyBorder="1" applyAlignment="1">
      <alignment horizontal="center"/>
    </xf>
    <xf numFmtId="1" fontId="4" fillId="0" borderId="3" xfId="3" applyNumberFormat="1" applyFont="1" applyBorder="1" applyAlignment="1">
      <alignment horizontal="center" wrapText="1"/>
    </xf>
    <xf numFmtId="49" fontId="9" fillId="0" borderId="0" xfId="3" applyNumberFormat="1" applyFont="1"/>
    <xf numFmtId="49" fontId="8" fillId="0" borderId="15" xfId="3" applyNumberFormat="1" applyFont="1" applyBorder="1" applyAlignment="1">
      <alignment horizontal="center"/>
    </xf>
    <xf numFmtId="0" fontId="4" fillId="0" borderId="16" xfId="3" applyFont="1" applyBorder="1" applyAlignment="1">
      <alignment horizontal="center"/>
    </xf>
    <xf numFmtId="16" fontId="4" fillId="0" borderId="3" xfId="3" applyNumberFormat="1" applyFont="1" applyBorder="1" applyAlignment="1">
      <alignment horizontal="center"/>
    </xf>
    <xf numFmtId="0" fontId="5" fillId="3" borderId="17" xfId="3" applyFont="1" applyFill="1" applyBorder="1" applyAlignment="1">
      <alignment horizontal="center"/>
    </xf>
    <xf numFmtId="1" fontId="5" fillId="3" borderId="4" xfId="3" applyNumberFormat="1" applyFont="1" applyFill="1" applyBorder="1" applyAlignment="1">
      <alignment horizontal="center" wrapText="1"/>
    </xf>
    <xf numFmtId="1" fontId="5" fillId="3" borderId="4" xfId="3" applyNumberFormat="1" applyFont="1" applyFill="1" applyBorder="1" applyAlignment="1">
      <alignment horizontal="center"/>
    </xf>
    <xf numFmtId="0" fontId="5" fillId="3" borderId="18" xfId="3" applyFont="1" applyFill="1" applyBorder="1" applyAlignment="1">
      <alignment horizontal="center" vertical="center" wrapText="1"/>
    </xf>
    <xf numFmtId="49" fontId="12" fillId="2" borderId="11" xfId="4" applyNumberFormat="1" applyFont="1" applyFill="1" applyBorder="1" applyAlignment="1">
      <alignment horizontal="center"/>
    </xf>
    <xf numFmtId="0" fontId="12" fillId="0" borderId="2" xfId="4" applyFont="1" applyBorder="1" applyAlignment="1">
      <alignment horizontal="center" vertical="center"/>
    </xf>
    <xf numFmtId="2" fontId="4" fillId="0" borderId="3" xfId="3" applyNumberFormat="1" applyFont="1" applyBorder="1" applyAlignment="1">
      <alignment horizontal="center"/>
    </xf>
    <xf numFmtId="0" fontId="9" fillId="9" borderId="0" xfId="0" applyFont="1" applyFill="1" applyAlignment="1">
      <alignment vertical="center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6" fontId="13" fillId="0" borderId="2" xfId="1" applyFont="1" applyFill="1" applyBorder="1" applyAlignment="1">
      <alignment horizontal="center" vertical="center"/>
    </xf>
    <xf numFmtId="166" fontId="13" fillId="0" borderId="0" xfId="1" applyFont="1" applyFill="1" applyBorder="1" applyAlignment="1">
      <alignment horizontal="center" vertical="center"/>
    </xf>
    <xf numFmtId="166" fontId="15" fillId="0" borderId="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8" fontId="18" fillId="0" borderId="0" xfId="0" applyNumberFormat="1" applyFont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/>
    </xf>
    <xf numFmtId="4" fontId="19" fillId="0" borderId="0" xfId="2" applyNumberFormat="1" applyFont="1" applyFill="1" applyAlignment="1">
      <alignment horizontal="center" vertical="center"/>
    </xf>
    <xf numFmtId="4" fontId="13" fillId="0" borderId="0" xfId="2" applyNumberFormat="1" applyFont="1" applyFill="1" applyAlignment="1">
      <alignment horizontal="center" vertical="center"/>
    </xf>
    <xf numFmtId="10" fontId="13" fillId="0" borderId="0" xfId="5" applyNumberFormat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0" fontId="14" fillId="0" borderId="0" xfId="5" applyNumberFormat="1" applyFont="1" applyFill="1" applyAlignment="1">
      <alignment vertical="center"/>
    </xf>
    <xf numFmtId="0" fontId="9" fillId="0" borderId="0" xfId="0" applyFont="1"/>
    <xf numFmtId="49" fontId="13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/>
    <xf numFmtId="49" fontId="2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4" fontId="13" fillId="0" borderId="0" xfId="1" applyNumberFormat="1" applyFont="1" applyFill="1" applyAlignment="1">
      <alignment vertical="center"/>
    </xf>
    <xf numFmtId="166" fontId="21" fillId="0" borderId="0" xfId="1" applyFont="1" applyFill="1" applyAlignment="1">
      <alignment horizontal="center" vertical="center"/>
    </xf>
    <xf numFmtId="10" fontId="14" fillId="4" borderId="22" xfId="5" applyNumberFormat="1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9" fillId="4" borderId="22" xfId="0" applyFont="1" applyFill="1" applyBorder="1" applyAlignment="1">
      <alignment vertical="center"/>
    </xf>
    <xf numFmtId="166" fontId="21" fillId="4" borderId="23" xfId="1" applyFont="1" applyFill="1" applyBorder="1" applyAlignment="1">
      <alignment horizontal="center" vertical="center"/>
    </xf>
    <xf numFmtId="166" fontId="23" fillId="0" borderId="0" xfId="1" applyFont="1" applyFill="1" applyBorder="1" applyAlignment="1">
      <alignment horizontal="right"/>
    </xf>
    <xf numFmtId="0" fontId="9" fillId="4" borderId="23" xfId="0" applyFont="1" applyFill="1" applyBorder="1" applyAlignment="1">
      <alignment vertical="center"/>
    </xf>
    <xf numFmtId="10" fontId="14" fillId="4" borderId="23" xfId="5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9" fontId="52" fillId="0" borderId="0" xfId="5" applyFont="1" applyFill="1" applyAlignment="1">
      <alignment horizontal="center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21" fillId="0" borderId="0" xfId="2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9" xfId="0" applyFont="1" applyBorder="1" applyAlignment="1">
      <alignment horizontal="right"/>
    </xf>
    <xf numFmtId="166" fontId="26" fillId="5" borderId="14" xfId="1" applyFont="1" applyFill="1" applyBorder="1" applyAlignment="1">
      <alignment horizontal="right"/>
    </xf>
    <xf numFmtId="166" fontId="26" fillId="0" borderId="0" xfId="1" applyFont="1" applyFill="1" applyBorder="1" applyAlignment="1">
      <alignment horizontal="right"/>
    </xf>
    <xf numFmtId="166" fontId="13" fillId="0" borderId="2" xfId="1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1" fillId="0" borderId="0" xfId="2" applyNumberFormat="1" applyFont="1" applyFill="1" applyAlignment="1">
      <alignment horizontal="center" vertical="center"/>
    </xf>
    <xf numFmtId="10" fontId="28" fillId="0" borderId="0" xfId="5" applyNumberFormat="1" applyFont="1" applyFill="1" applyAlignment="1">
      <alignment horizontal="right"/>
    </xf>
    <xf numFmtId="169" fontId="13" fillId="4" borderId="2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166" fontId="13" fillId="6" borderId="2" xfId="1" applyFont="1" applyFill="1" applyBorder="1" applyAlignment="1">
      <alignment vertical="center"/>
    </xf>
    <xf numFmtId="166" fontId="29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4" fillId="4" borderId="24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1" applyNumberFormat="1" applyFont="1" applyFill="1" applyBorder="1" applyAlignment="1">
      <alignment horizontal="center"/>
    </xf>
    <xf numFmtId="2" fontId="25" fillId="0" borderId="0" xfId="1" applyNumberFormat="1" applyFont="1" applyFill="1" applyBorder="1" applyAlignment="1">
      <alignment horizontal="center"/>
    </xf>
    <xf numFmtId="0" fontId="9" fillId="4" borderId="24" xfId="0" applyFont="1" applyFill="1" applyBorder="1" applyAlignment="1">
      <alignment vertical="center"/>
    </xf>
    <xf numFmtId="10" fontId="9" fillId="0" borderId="0" xfId="5" applyNumberFormat="1" applyFont="1" applyFill="1" applyAlignment="1">
      <alignment vertical="center"/>
    </xf>
    <xf numFmtId="4" fontId="9" fillId="0" borderId="0" xfId="1" applyNumberFormat="1" applyFont="1" applyFill="1" applyAlignment="1">
      <alignment vertical="center"/>
    </xf>
    <xf numFmtId="166" fontId="26" fillId="4" borderId="7" xfId="1" applyFont="1" applyFill="1" applyBorder="1" applyAlignment="1">
      <alignment horizontal="right"/>
    </xf>
    <xf numFmtId="0" fontId="13" fillId="4" borderId="6" xfId="0" applyFont="1" applyFill="1" applyBorder="1" applyAlignment="1">
      <alignment horizontal="right" vertical="center"/>
    </xf>
    <xf numFmtId="10" fontId="32" fillId="0" borderId="0" xfId="1" applyNumberFormat="1" applyFont="1" applyFill="1" applyAlignment="1">
      <alignment vertical="center"/>
    </xf>
    <xf numFmtId="10" fontId="14" fillId="0" borderId="0" xfId="5" applyNumberFormat="1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166" fontId="34" fillId="0" borderId="0" xfId="1" applyFont="1" applyFill="1" applyAlignment="1">
      <alignment vertical="center"/>
    </xf>
    <xf numFmtId="4" fontId="35" fillId="0" borderId="0" xfId="2" applyNumberFormat="1" applyFont="1" applyFill="1" applyAlignment="1">
      <alignment horizontal="center" vertical="center" wrapText="1"/>
    </xf>
    <xf numFmtId="166" fontId="9" fillId="0" borderId="0" xfId="1" applyFont="1" applyFill="1" applyAlignment="1">
      <alignment vertical="center"/>
    </xf>
    <xf numFmtId="9" fontId="9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13" fillId="7" borderId="14" xfId="1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66" fontId="36" fillId="0" borderId="0" xfId="1" applyFont="1" applyFill="1" applyAlignment="1">
      <alignment vertical="center"/>
    </xf>
    <xf numFmtId="9" fontId="36" fillId="0" borderId="0" xfId="1" applyNumberFormat="1" applyFont="1" applyFill="1" applyAlignment="1">
      <alignment vertical="center"/>
    </xf>
    <xf numFmtId="4" fontId="13" fillId="0" borderId="0" xfId="1" applyNumberFormat="1" applyFont="1" applyFill="1" applyAlignment="1">
      <alignment horizontal="center" vertical="center"/>
    </xf>
    <xf numFmtId="10" fontId="29" fillId="0" borderId="0" xfId="5" applyNumberFormat="1" applyFont="1" applyFill="1" applyAlignment="1">
      <alignment vertical="center"/>
    </xf>
    <xf numFmtId="166" fontId="29" fillId="0" borderId="0" xfId="1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166" fontId="9" fillId="0" borderId="0" xfId="1" applyFont="1" applyFill="1" applyBorder="1"/>
    <xf numFmtId="10" fontId="29" fillId="0" borderId="0" xfId="5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166" fontId="9" fillId="0" borderId="0" xfId="1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6" fontId="13" fillId="0" borderId="0" xfId="0" applyNumberFormat="1" applyFont="1"/>
    <xf numFmtId="0" fontId="27" fillId="0" borderId="0" xfId="0" applyFont="1"/>
    <xf numFmtId="0" fontId="41" fillId="0" borderId="25" xfId="0" applyFont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/>
    </xf>
    <xf numFmtId="0" fontId="42" fillId="5" borderId="2" xfId="0" applyFont="1" applyFill="1" applyBorder="1" applyAlignment="1">
      <alignment horizontal="center" wrapText="1"/>
    </xf>
    <xf numFmtId="0" fontId="26" fillId="0" borderId="0" xfId="0" applyFont="1"/>
    <xf numFmtId="0" fontId="26" fillId="0" borderId="0" xfId="0" applyFont="1" applyAlignment="1">
      <alignment horizontal="center"/>
    </xf>
    <xf numFmtId="166" fontId="26" fillId="0" borderId="0" xfId="1" applyFont="1"/>
    <xf numFmtId="4" fontId="26" fillId="0" borderId="0" xfId="1" applyNumberFormat="1" applyFont="1" applyAlignment="1">
      <alignment horizontal="right"/>
    </xf>
    <xf numFmtId="9" fontId="26" fillId="0" borderId="0" xfId="5" applyFont="1" applyAlignment="1">
      <alignment horizontal="right"/>
    </xf>
    <xf numFmtId="49" fontId="26" fillId="0" borderId="0" xfId="2" applyNumberFormat="1" applyFont="1" applyAlignment="1">
      <alignment horizontal="center"/>
    </xf>
    <xf numFmtId="0" fontId="23" fillId="0" borderId="0" xfId="0" applyFont="1"/>
    <xf numFmtId="166" fontId="43" fillId="0" borderId="0" xfId="1" applyFont="1" applyFill="1" applyBorder="1" applyAlignment="1">
      <alignment horizontal="center"/>
    </xf>
    <xf numFmtId="0" fontId="43" fillId="0" borderId="0" xfId="0" applyFont="1"/>
    <xf numFmtId="4" fontId="43" fillId="0" borderId="0" xfId="2" applyNumberFormat="1" applyFont="1" applyFill="1" applyBorder="1"/>
    <xf numFmtId="4" fontId="43" fillId="0" borderId="0" xfId="2" applyNumberFormat="1" applyFont="1" applyFill="1" applyBorder="1" applyAlignment="1">
      <alignment horizontal="right"/>
    </xf>
    <xf numFmtId="9" fontId="24" fillId="0" borderId="0" xfId="5" applyFont="1" applyFill="1"/>
    <xf numFmtId="49" fontId="43" fillId="0" borderId="0" xfId="2" applyNumberFormat="1" applyFont="1" applyFill="1" applyBorder="1" applyAlignment="1">
      <alignment horizontal="center"/>
    </xf>
    <xf numFmtId="9" fontId="26" fillId="0" borderId="0" xfId="5" applyFont="1" applyFill="1" applyAlignment="1">
      <alignment vertical="center"/>
    </xf>
    <xf numFmtId="166" fontId="23" fillId="0" borderId="26" xfId="1" applyFont="1" applyFill="1" applyBorder="1" applyAlignment="1">
      <alignment horizontal="right"/>
    </xf>
    <xf numFmtId="9" fontId="24" fillId="0" borderId="0" xfId="1" applyNumberFormat="1" applyFont="1" applyFill="1" applyBorder="1"/>
    <xf numFmtId="4" fontId="24" fillId="0" borderId="0" xfId="1" applyNumberFormat="1" applyFont="1" applyFill="1" applyBorder="1" applyAlignment="1">
      <alignment horizontal="right"/>
    </xf>
    <xf numFmtId="10" fontId="23" fillId="0" borderId="0" xfId="5" applyNumberFormat="1" applyFont="1" applyFill="1" applyAlignment="1">
      <alignment horizontal="right"/>
    </xf>
    <xf numFmtId="0" fontId="24" fillId="0" borderId="0" xfId="0" applyFont="1" applyAlignment="1">
      <alignment horizontal="center"/>
    </xf>
    <xf numFmtId="10" fontId="26" fillId="0" borderId="0" xfId="5" applyNumberFormat="1" applyFont="1" applyFill="1" applyBorder="1" applyAlignment="1">
      <alignment horizontal="right"/>
    </xf>
    <xf numFmtId="170" fontId="28" fillId="0" borderId="0" xfId="1" applyNumberFormat="1" applyFont="1" applyFill="1"/>
    <xf numFmtId="0" fontId="26" fillId="0" borderId="0" xfId="5" applyNumberFormat="1" applyFont="1" applyFill="1" applyAlignment="1">
      <alignment vertical="center"/>
    </xf>
    <xf numFmtId="2" fontId="24" fillId="0" borderId="0" xfId="0" applyNumberFormat="1" applyFont="1" applyAlignment="1">
      <alignment horizontal="center"/>
    </xf>
    <xf numFmtId="0" fontId="44" fillId="0" borderId="0" xfId="0" applyFont="1" applyAlignment="1">
      <alignment horizontal="right"/>
    </xf>
    <xf numFmtId="10" fontId="26" fillId="0" borderId="0" xfId="5" applyNumberFormat="1" applyFont="1" applyFill="1"/>
    <xf numFmtId="0" fontId="23" fillId="4" borderId="7" xfId="0" applyFont="1" applyFill="1" applyBorder="1"/>
    <xf numFmtId="0" fontId="23" fillId="0" borderId="27" xfId="0" applyFont="1" applyBorder="1" applyAlignment="1">
      <alignment horizontal="right"/>
    </xf>
    <xf numFmtId="10" fontId="25" fillId="0" borderId="0" xfId="5" applyNumberFormat="1" applyFont="1" applyFill="1" applyBorder="1"/>
    <xf numFmtId="166" fontId="26" fillId="9" borderId="0" xfId="1" applyFont="1" applyFill="1" applyBorder="1" applyAlignment="1">
      <alignment horizontal="right"/>
    </xf>
    <xf numFmtId="10" fontId="26" fillId="0" borderId="0" xfId="5" applyNumberFormat="1" applyFont="1" applyFill="1" applyAlignment="1">
      <alignment vertical="center"/>
    </xf>
    <xf numFmtId="9" fontId="24" fillId="0" borderId="0" xfId="5" applyFont="1" applyFill="1" applyAlignment="1">
      <alignment horizontal="center"/>
    </xf>
    <xf numFmtId="2" fontId="46" fillId="0" borderId="0" xfId="0" applyNumberFormat="1" applyFont="1" applyAlignment="1">
      <alignment horizontal="center"/>
    </xf>
    <xf numFmtId="10" fontId="47" fillId="0" borderId="0" xfId="5" applyNumberFormat="1" applyFont="1" applyFill="1" applyAlignment="1">
      <alignment horizontal="right"/>
    </xf>
    <xf numFmtId="10" fontId="48" fillId="0" borderId="0" xfId="5" applyNumberFormat="1" applyFont="1" applyFill="1" applyAlignment="1">
      <alignment horizontal="right"/>
    </xf>
    <xf numFmtId="3" fontId="26" fillId="3" borderId="14" xfId="0" applyNumberFormat="1" applyFont="1" applyFill="1" applyBorder="1" applyAlignment="1">
      <alignment horizontal="center"/>
    </xf>
    <xf numFmtId="10" fontId="25" fillId="0" borderId="0" xfId="5" applyNumberFormat="1" applyFont="1" applyFill="1" applyAlignment="1">
      <alignment horizontal="right"/>
    </xf>
    <xf numFmtId="1" fontId="25" fillId="0" borderId="0" xfId="0" applyNumberFormat="1" applyFont="1" applyAlignment="1">
      <alignment horizontal="center"/>
    </xf>
    <xf numFmtId="166" fontId="28" fillId="0" borderId="0" xfId="0" applyNumberFormat="1" applyFont="1" applyAlignment="1">
      <alignment horizontal="right"/>
    </xf>
    <xf numFmtId="10" fontId="25" fillId="0" borderId="0" xfId="5" applyNumberFormat="1" applyFont="1" applyFill="1"/>
    <xf numFmtId="0" fontId="23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10" fontId="49" fillId="0" borderId="0" xfId="5" applyNumberFormat="1" applyFont="1" applyFill="1"/>
    <xf numFmtId="0" fontId="50" fillId="0" borderId="0" xfId="0" applyFont="1" applyAlignment="1">
      <alignment horizontal="center"/>
    </xf>
    <xf numFmtId="0" fontId="4" fillId="2" borderId="10" xfId="4" applyFont="1" applyFill="1" applyBorder="1" applyAlignment="1">
      <alignment horizontal="center"/>
    </xf>
    <xf numFmtId="0" fontId="4" fillId="2" borderId="29" xfId="4" applyFont="1" applyFill="1" applyBorder="1" applyAlignment="1">
      <alignment horizontal="center"/>
    </xf>
    <xf numFmtId="0" fontId="4" fillId="2" borderId="28" xfId="4" applyFont="1" applyFill="1" applyBorder="1" applyAlignment="1">
      <alignment horizontal="center"/>
    </xf>
    <xf numFmtId="49" fontId="8" fillId="0" borderId="0" xfId="3" applyNumberFormat="1" applyFont="1" applyAlignment="1">
      <alignment horizontal="center"/>
    </xf>
    <xf numFmtId="49" fontId="4" fillId="0" borderId="0" xfId="3" applyNumberFormat="1" applyFont="1" applyAlignment="1">
      <alignment horizontal="center"/>
    </xf>
    <xf numFmtId="0" fontId="4" fillId="0" borderId="13" xfId="3" quotePrefix="1" applyFont="1" applyBorder="1" applyAlignment="1">
      <alignment horizontal="center"/>
    </xf>
    <xf numFmtId="49" fontId="6" fillId="2" borderId="0" xfId="3" applyNumberFormat="1" applyFont="1" applyFill="1" applyAlignment="1">
      <alignment horizontal="center" vertical="center"/>
    </xf>
    <xf numFmtId="0" fontId="4" fillId="3" borderId="7" xfId="3" applyFont="1" applyFill="1" applyBorder="1" applyAlignment="1">
      <alignment horizontal="center"/>
    </xf>
    <xf numFmtId="0" fontId="4" fillId="2" borderId="18" xfId="4" applyFont="1" applyFill="1" applyBorder="1" applyAlignment="1">
      <alignment horizontal="center"/>
    </xf>
    <xf numFmtId="49" fontId="4" fillId="2" borderId="11" xfId="4" applyNumberFormat="1" applyFont="1" applyFill="1" applyBorder="1" applyAlignment="1">
      <alignment horizontal="center"/>
    </xf>
    <xf numFmtId="14" fontId="55" fillId="2" borderId="0" xfId="7" applyNumberFormat="1" applyFont="1" applyFill="1" applyAlignment="1">
      <alignment horizontal="center" vertical="center" wrapText="1"/>
    </xf>
    <xf numFmtId="0" fontId="4" fillId="0" borderId="53" xfId="3" applyFont="1" applyBorder="1" applyAlignment="1">
      <alignment horizontal="left"/>
    </xf>
    <xf numFmtId="0" fontId="4" fillId="0" borderId="42" xfId="3" applyFont="1" applyBorder="1" applyAlignment="1">
      <alignment horizontal="left"/>
    </xf>
    <xf numFmtId="0" fontId="4" fillId="0" borderId="3" xfId="3" applyFont="1" applyBorder="1" applyAlignment="1">
      <alignment horizontal="left"/>
    </xf>
    <xf numFmtId="0" fontId="4" fillId="0" borderId="16" xfId="3" applyFont="1" applyBorder="1" applyAlignment="1">
      <alignment horizontal="left"/>
    </xf>
    <xf numFmtId="0" fontId="4" fillId="0" borderId="48" xfId="3" applyFont="1" applyBorder="1" applyAlignment="1">
      <alignment horizontal="left"/>
    </xf>
    <xf numFmtId="0" fontId="4" fillId="0" borderId="37" xfId="3" applyFont="1" applyBorder="1" applyAlignment="1">
      <alignment horizontal="left"/>
    </xf>
    <xf numFmtId="0" fontId="4" fillId="0" borderId="49" xfId="3" applyFont="1" applyBorder="1" applyAlignment="1">
      <alignment horizontal="left"/>
    </xf>
    <xf numFmtId="0" fontId="4" fillId="0" borderId="45" xfId="3" applyFont="1" applyBorder="1" applyAlignment="1">
      <alignment horizontal="left"/>
    </xf>
    <xf numFmtId="0" fontId="4" fillId="0" borderId="50" xfId="3" applyFont="1" applyBorder="1" applyAlignment="1">
      <alignment horizontal="left"/>
    </xf>
    <xf numFmtId="0" fontId="4" fillId="0" borderId="4" xfId="3" applyFont="1" applyBorder="1" applyAlignment="1">
      <alignment horizontal="left"/>
    </xf>
    <xf numFmtId="0" fontId="4" fillId="0" borderId="17" xfId="3" applyFont="1" applyBorder="1" applyAlignment="1">
      <alignment horizontal="left"/>
    </xf>
    <xf numFmtId="0" fontId="5" fillId="3" borderId="8" xfId="3" applyFont="1" applyFill="1" applyBorder="1" applyAlignment="1">
      <alignment horizontal="left"/>
    </xf>
    <xf numFmtId="0" fontId="5" fillId="3" borderId="7" xfId="3" applyFont="1" applyFill="1" applyBorder="1" applyAlignment="1">
      <alignment horizontal="left"/>
    </xf>
    <xf numFmtId="0" fontId="5" fillId="3" borderId="6" xfId="3" applyFont="1" applyFill="1" applyBorder="1" applyAlignment="1">
      <alignment horizontal="left"/>
    </xf>
    <xf numFmtId="0" fontId="5" fillId="0" borderId="48" xfId="3" applyFont="1" applyBorder="1" applyAlignment="1">
      <alignment horizontal="right"/>
    </xf>
    <xf numFmtId="0" fontId="5" fillId="0" borderId="37" xfId="3" applyFont="1" applyBorder="1" applyAlignment="1">
      <alignment horizontal="right"/>
    </xf>
    <xf numFmtId="0" fontId="5" fillId="0" borderId="13" xfId="3" applyFont="1" applyBorder="1" applyAlignment="1">
      <alignment horizontal="right"/>
    </xf>
    <xf numFmtId="167" fontId="4" fillId="0" borderId="15" xfId="3" applyNumberFormat="1" applyFont="1" applyBorder="1" applyAlignment="1">
      <alignment horizontal="right" wrapText="1"/>
    </xf>
    <xf numFmtId="167" fontId="4" fillId="0" borderId="13" xfId="3" applyNumberFormat="1" applyFont="1" applyBorder="1" applyAlignment="1">
      <alignment horizontal="right" wrapText="1"/>
    </xf>
    <xf numFmtId="167" fontId="4" fillId="0" borderId="15" xfId="3" applyNumberFormat="1" applyFont="1" applyBorder="1" applyAlignment="1">
      <alignment horizontal="center"/>
    </xf>
    <xf numFmtId="167" fontId="4" fillId="0" borderId="49" xfId="3" applyNumberFormat="1" applyFont="1" applyBorder="1" applyAlignment="1">
      <alignment horizontal="center"/>
    </xf>
    <xf numFmtId="0" fontId="5" fillId="0" borderId="45" xfId="3" applyFont="1" applyBorder="1" applyAlignment="1">
      <alignment horizontal="right"/>
    </xf>
    <xf numFmtId="0" fontId="5" fillId="0" borderId="50" xfId="3" applyFont="1" applyBorder="1" applyAlignment="1">
      <alignment horizontal="right"/>
    </xf>
    <xf numFmtId="0" fontId="5" fillId="0" borderId="4" xfId="3" applyFont="1" applyBorder="1" applyAlignment="1">
      <alignment horizontal="right"/>
    </xf>
    <xf numFmtId="0" fontId="4" fillId="0" borderId="4" xfId="3" applyFont="1" applyBorder="1" applyAlignment="1">
      <alignment horizontal="right"/>
    </xf>
    <xf numFmtId="167" fontId="4" fillId="0" borderId="51" xfId="3" applyNumberFormat="1" applyFont="1" applyBorder="1" applyAlignment="1">
      <alignment horizontal="center"/>
    </xf>
    <xf numFmtId="167" fontId="4" fillId="0" borderId="52" xfId="3" applyNumberFormat="1" applyFont="1" applyBorder="1" applyAlignment="1">
      <alignment horizontal="center"/>
    </xf>
    <xf numFmtId="0" fontId="4" fillId="0" borderId="2" xfId="3" applyFont="1" applyBorder="1" applyAlignment="1">
      <alignment horizontal="right"/>
    </xf>
    <xf numFmtId="0" fontId="5" fillId="3" borderId="1" xfId="3" applyFont="1" applyFill="1" applyBorder="1" applyAlignment="1">
      <alignment horizontal="center" vertical="center"/>
    </xf>
    <xf numFmtId="0" fontId="5" fillId="0" borderId="41" xfId="3" applyFont="1" applyBorder="1" applyAlignment="1">
      <alignment horizontal="right"/>
    </xf>
    <xf numFmtId="0" fontId="5" fillId="0" borderId="25" xfId="3" applyFont="1" applyBorder="1" applyAlignment="1">
      <alignment horizontal="right"/>
    </xf>
    <xf numFmtId="0" fontId="5" fillId="0" borderId="42" xfId="3" applyFont="1" applyBorder="1" applyAlignment="1">
      <alignment horizontal="right"/>
    </xf>
    <xf numFmtId="167" fontId="4" fillId="0" borderId="3" xfId="3" applyNumberFormat="1" applyFont="1" applyBorder="1" applyAlignment="1">
      <alignment horizontal="right"/>
    </xf>
    <xf numFmtId="0" fontId="4" fillId="2" borderId="5" xfId="3" applyFont="1" applyFill="1" applyBorder="1" applyAlignment="1">
      <alignment horizontal="center"/>
    </xf>
    <xf numFmtId="0" fontId="4" fillId="2" borderId="43" xfId="3" applyFont="1" applyFill="1" applyBorder="1" applyAlignment="1">
      <alignment horizontal="center"/>
    </xf>
    <xf numFmtId="0" fontId="5" fillId="3" borderId="44" xfId="3" applyFont="1" applyFill="1" applyBorder="1" applyAlignment="1">
      <alignment horizontal="center" vertical="center"/>
    </xf>
    <xf numFmtId="0" fontId="5" fillId="3" borderId="45" xfId="3" applyFont="1" applyFill="1" applyBorder="1" applyAlignment="1">
      <alignment horizontal="center" vertical="center"/>
    </xf>
    <xf numFmtId="0" fontId="5" fillId="3" borderId="4" xfId="3" applyFont="1" applyFill="1" applyBorder="1" applyAlignment="1">
      <alignment horizontal="center" vertical="center"/>
    </xf>
    <xf numFmtId="0" fontId="5" fillId="3" borderId="46" xfId="3" applyFont="1" applyFill="1" applyBorder="1" applyAlignment="1">
      <alignment horizontal="center" vertical="center"/>
    </xf>
    <xf numFmtId="0" fontId="5" fillId="3" borderId="47" xfId="3" applyFont="1" applyFill="1" applyBorder="1" applyAlignment="1">
      <alignment horizontal="center" vertical="center"/>
    </xf>
    <xf numFmtId="0" fontId="5" fillId="2" borderId="30" xfId="4" applyFont="1" applyFill="1" applyBorder="1" applyAlignment="1">
      <alignment horizontal="right" vertical="top" wrapText="1"/>
    </xf>
    <xf numFmtId="0" fontId="5" fillId="2" borderId="28" xfId="4" applyFont="1" applyFill="1" applyBorder="1" applyAlignment="1">
      <alignment horizontal="right" vertical="top" wrapText="1"/>
    </xf>
    <xf numFmtId="0" fontId="5" fillId="2" borderId="31" xfId="4" applyFont="1" applyFill="1" applyBorder="1" applyAlignment="1">
      <alignment horizontal="right" vertical="top" wrapText="1"/>
    </xf>
    <xf numFmtId="14" fontId="12" fillId="2" borderId="32" xfId="4" applyNumberFormat="1" applyFont="1" applyFill="1" applyBorder="1" applyAlignment="1">
      <alignment horizontal="center" vertical="center" wrapText="1"/>
    </xf>
    <xf numFmtId="14" fontId="4" fillId="2" borderId="33" xfId="4" applyNumberFormat="1" applyFont="1" applyFill="1" applyBorder="1" applyAlignment="1">
      <alignment horizontal="center" vertical="center" wrapText="1"/>
    </xf>
    <xf numFmtId="0" fontId="4" fillId="2" borderId="34" xfId="4" applyFont="1" applyFill="1" applyBorder="1" applyAlignment="1">
      <alignment horizontal="left"/>
    </xf>
    <xf numFmtId="0" fontId="4" fillId="2" borderId="35" xfId="4" applyFont="1" applyFill="1" applyBorder="1" applyAlignment="1">
      <alignment horizontal="left"/>
    </xf>
    <xf numFmtId="0" fontId="4" fillId="2" borderId="36" xfId="4" applyFont="1" applyFill="1" applyBorder="1" applyAlignment="1">
      <alignment horizontal="left"/>
    </xf>
    <xf numFmtId="0" fontId="4" fillId="2" borderId="15" xfId="4" applyFont="1" applyFill="1" applyBorder="1" applyAlignment="1">
      <alignment horizontal="left"/>
    </xf>
    <xf numFmtId="0" fontId="4" fillId="2" borderId="37" xfId="4" applyFont="1" applyFill="1" applyBorder="1" applyAlignment="1">
      <alignment horizontal="left"/>
    </xf>
    <xf numFmtId="0" fontId="4" fillId="2" borderId="13" xfId="4" applyFont="1" applyFill="1" applyBorder="1" applyAlignment="1">
      <alignment horizontal="left"/>
    </xf>
    <xf numFmtId="0" fontId="4" fillId="2" borderId="38" xfId="4" applyFont="1" applyFill="1" applyBorder="1" applyAlignment="1">
      <alignment horizontal="center"/>
    </xf>
    <xf numFmtId="0" fontId="4" fillId="2" borderId="39" xfId="4" applyFont="1" applyFill="1" applyBorder="1" applyAlignment="1">
      <alignment horizontal="center"/>
    </xf>
    <xf numFmtId="0" fontId="4" fillId="2" borderId="10" xfId="4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3" fillId="2" borderId="40" xfId="4" applyFont="1" applyFill="1" applyBorder="1" applyAlignment="1">
      <alignment horizontal="center"/>
    </xf>
    <xf numFmtId="0" fontId="7" fillId="5" borderId="8" xfId="4" applyFont="1" applyFill="1" applyBorder="1" applyAlignment="1">
      <alignment horizontal="center" vertical="center" wrapText="1"/>
    </xf>
    <xf numFmtId="0" fontId="7" fillId="5" borderId="7" xfId="4" applyFont="1" applyFill="1" applyBorder="1" applyAlignment="1">
      <alignment horizontal="center" vertical="center" wrapText="1"/>
    </xf>
    <xf numFmtId="0" fontId="7" fillId="5" borderId="6" xfId="4" applyFont="1" applyFill="1" applyBorder="1" applyAlignment="1">
      <alignment horizontal="center" vertical="center" wrapText="1"/>
    </xf>
    <xf numFmtId="14" fontId="4" fillId="2" borderId="32" xfId="4" applyNumberFormat="1" applyFont="1" applyFill="1" applyBorder="1" applyAlignment="1">
      <alignment horizontal="center" vertical="center" wrapText="1"/>
    </xf>
    <xf numFmtId="14" fontId="4" fillId="2" borderId="16" xfId="4" applyNumberFormat="1" applyFont="1" applyFill="1" applyBorder="1" applyAlignment="1">
      <alignment horizontal="center" vertical="center" wrapText="1"/>
    </xf>
    <xf numFmtId="0" fontId="4" fillId="2" borderId="55" xfId="4" applyFont="1" applyFill="1" applyBorder="1" applyAlignment="1">
      <alignment horizontal="center"/>
    </xf>
    <xf numFmtId="0" fontId="4" fillId="2" borderId="56" xfId="4" applyFont="1" applyFill="1" applyBorder="1" applyAlignment="1">
      <alignment horizontal="center"/>
    </xf>
    <xf numFmtId="0" fontId="4" fillId="2" borderId="0" xfId="4" applyFont="1" applyFill="1" applyAlignment="1">
      <alignment horizontal="center"/>
    </xf>
    <xf numFmtId="0" fontId="4" fillId="2" borderId="41" xfId="4" applyFont="1" applyFill="1" applyBorder="1" applyAlignment="1">
      <alignment horizontal="center"/>
    </xf>
    <xf numFmtId="0" fontId="4" fillId="2" borderId="25" xfId="4" applyFont="1" applyFill="1" applyBorder="1" applyAlignment="1">
      <alignment horizontal="center"/>
    </xf>
    <xf numFmtId="0" fontId="3" fillId="2" borderId="51" xfId="4" applyFont="1" applyFill="1" applyBorder="1" applyAlignment="1">
      <alignment horizontal="center"/>
    </xf>
    <xf numFmtId="0" fontId="3" fillId="2" borderId="59" xfId="4" applyFont="1" applyFill="1" applyBorder="1" applyAlignment="1">
      <alignment horizontal="center"/>
    </xf>
    <xf numFmtId="0" fontId="3" fillId="2" borderId="50" xfId="4" applyFont="1" applyFill="1" applyBorder="1" applyAlignment="1">
      <alignment horizontal="center"/>
    </xf>
    <xf numFmtId="0" fontId="54" fillId="2" borderId="0" xfId="7" applyFont="1" applyFill="1" applyAlignment="1">
      <alignment horizontal="right"/>
    </xf>
    <xf numFmtId="0" fontId="55" fillId="2" borderId="27" xfId="7" applyFont="1" applyFill="1" applyBorder="1" applyAlignment="1">
      <alignment horizontal="center"/>
    </xf>
    <xf numFmtId="0" fontId="54" fillId="2" borderId="0" xfId="7" applyFont="1" applyFill="1"/>
    <xf numFmtId="0" fontId="5" fillId="3" borderId="44" xfId="3" applyFont="1" applyFill="1" applyBorder="1" applyAlignment="1">
      <alignment horizontal="center" vertical="center" wrapText="1"/>
    </xf>
    <xf numFmtId="0" fontId="5" fillId="3" borderId="45" xfId="3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22" fillId="0" borderId="55" xfId="0" applyFont="1" applyBorder="1" applyAlignment="1">
      <alignment horizontal="right"/>
    </xf>
    <xf numFmtId="0" fontId="22" fillId="0" borderId="56" xfId="0" applyFont="1" applyBorder="1" applyAlignment="1">
      <alignment horizontal="right"/>
    </xf>
    <xf numFmtId="0" fontId="22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30" fillId="0" borderId="10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9" xfId="0" applyFont="1" applyBorder="1" applyAlignment="1">
      <alignment horizontal="right"/>
    </xf>
    <xf numFmtId="0" fontId="28" fillId="0" borderId="27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6" fillId="4" borderId="8" xfId="0" applyFont="1" applyFill="1" applyBorder="1" applyAlignment="1">
      <alignment horizontal="right"/>
    </xf>
    <xf numFmtId="0" fontId="26" fillId="4" borderId="7" xfId="0" applyFont="1" applyFill="1" applyBorder="1" applyAlignment="1">
      <alignment horizontal="right"/>
    </xf>
    <xf numFmtId="0" fontId="38" fillId="0" borderId="0" xfId="0" applyFont="1" applyAlignment="1">
      <alignment horizontal="right"/>
    </xf>
    <xf numFmtId="0" fontId="13" fillId="0" borderId="27" xfId="0" applyFont="1" applyBorder="1" applyAlignment="1">
      <alignment horizontal="right" vertical="center"/>
    </xf>
    <xf numFmtId="0" fontId="13" fillId="0" borderId="54" xfId="0" applyFont="1" applyBorder="1" applyAlignment="1">
      <alignment horizontal="right" vertical="center"/>
    </xf>
    <xf numFmtId="0" fontId="13" fillId="8" borderId="8" xfId="0" applyFont="1" applyFill="1" applyBorder="1" applyAlignment="1">
      <alignment horizontal="right" vertical="center"/>
    </xf>
    <xf numFmtId="0" fontId="13" fillId="8" borderId="7" xfId="0" applyFont="1" applyFill="1" applyBorder="1" applyAlignment="1">
      <alignment horizontal="right" vertical="center"/>
    </xf>
    <xf numFmtId="0" fontId="13" fillId="8" borderId="6" xfId="0" applyFont="1" applyFill="1" applyBorder="1" applyAlignment="1">
      <alignment horizontal="right" vertical="center"/>
    </xf>
    <xf numFmtId="4" fontId="35" fillId="0" borderId="0" xfId="2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right" vertical="center"/>
    </xf>
    <xf numFmtId="0" fontId="37" fillId="0" borderId="7" xfId="0" applyFont="1" applyBorder="1" applyAlignment="1">
      <alignment horizontal="right" vertical="center"/>
    </xf>
    <xf numFmtId="0" fontId="37" fillId="0" borderId="6" xfId="0" applyFont="1" applyBorder="1" applyAlignment="1">
      <alignment horizontal="right" vertical="center"/>
    </xf>
    <xf numFmtId="0" fontId="40" fillId="0" borderId="8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40" fillId="0" borderId="5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right" vertical="center" wrapText="1"/>
    </xf>
    <xf numFmtId="0" fontId="25" fillId="0" borderId="0" xfId="0" applyFont="1" applyAlignment="1">
      <alignment horizontal="right"/>
    </xf>
    <xf numFmtId="0" fontId="25" fillId="0" borderId="9" xfId="0" applyFont="1" applyBorder="1" applyAlignment="1">
      <alignment horizontal="right"/>
    </xf>
    <xf numFmtId="0" fontId="23" fillId="4" borderId="8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45" fillId="0" borderId="56" xfId="0" applyFont="1" applyBorder="1" applyAlignment="1">
      <alignment horizontal="right"/>
    </xf>
    <xf numFmtId="0" fontId="45" fillId="0" borderId="0" xfId="0" applyFont="1" applyAlignment="1">
      <alignment horizontal="right"/>
    </xf>
    <xf numFmtId="0" fontId="41" fillId="4" borderId="8" xfId="0" applyFont="1" applyFill="1" applyBorder="1" applyAlignment="1">
      <alignment horizontal="right"/>
    </xf>
    <xf numFmtId="0" fontId="41" fillId="4" borderId="7" xfId="0" applyFont="1" applyFill="1" applyBorder="1" applyAlignment="1">
      <alignment horizontal="right"/>
    </xf>
    <xf numFmtId="0" fontId="53" fillId="0" borderId="0" xfId="0" applyFont="1" applyAlignment="1">
      <alignment horizontal="right"/>
    </xf>
    <xf numFmtId="0" fontId="45" fillId="0" borderId="27" xfId="0" applyFont="1" applyBorder="1" applyAlignment="1">
      <alignment horizontal="right"/>
    </xf>
    <xf numFmtId="0" fontId="56" fillId="5" borderId="19" xfId="4" applyFont="1" applyFill="1" applyBorder="1" applyAlignment="1">
      <alignment horizontal="center"/>
    </xf>
    <xf numFmtId="0" fontId="56" fillId="5" borderId="20" xfId="4" applyFont="1" applyFill="1" applyBorder="1" applyAlignment="1">
      <alignment horizontal="center"/>
    </xf>
    <xf numFmtId="0" fontId="56" fillId="5" borderId="21" xfId="4" applyFont="1" applyFill="1" applyBorder="1" applyAlignment="1">
      <alignment horizontal="center"/>
    </xf>
    <xf numFmtId="0" fontId="57" fillId="0" borderId="12" xfId="3" applyFont="1" applyBorder="1" applyAlignment="1">
      <alignment horizontal="center" vertical="center"/>
    </xf>
    <xf numFmtId="0" fontId="57" fillId="0" borderId="13" xfId="3" applyFont="1" applyBorder="1" applyAlignment="1">
      <alignment horizontal="center" vertical="center"/>
    </xf>
    <xf numFmtId="0" fontId="58" fillId="0" borderId="2" xfId="3" applyFont="1" applyBorder="1" applyAlignment="1">
      <alignment vertical="center"/>
    </xf>
    <xf numFmtId="0" fontId="57" fillId="0" borderId="2" xfId="3" applyFont="1" applyBorder="1" applyAlignment="1">
      <alignment horizontal="center" vertical="center"/>
    </xf>
    <xf numFmtId="1" fontId="57" fillId="0" borderId="2" xfId="3" applyNumberFormat="1" applyFont="1" applyBorder="1" applyAlignment="1">
      <alignment horizontal="center"/>
    </xf>
    <xf numFmtId="1" fontId="57" fillId="0" borderId="2" xfId="3" applyNumberFormat="1" applyFont="1" applyBorder="1" applyAlignment="1">
      <alignment horizontal="center" wrapText="1"/>
    </xf>
    <xf numFmtId="0" fontId="59" fillId="0" borderId="11" xfId="3" applyFont="1" applyBorder="1" applyAlignment="1">
      <alignment horizontal="center"/>
    </xf>
    <xf numFmtId="49" fontId="59" fillId="0" borderId="2" xfId="3" applyNumberFormat="1" applyFont="1" applyBorder="1" applyAlignment="1">
      <alignment horizontal="center"/>
    </xf>
    <xf numFmtId="0" fontId="59" fillId="0" borderId="2" xfId="3" applyFont="1" applyBorder="1" applyAlignment="1">
      <alignment horizontal="left"/>
    </xf>
    <xf numFmtId="0" fontId="59" fillId="0" borderId="2" xfId="3" applyFont="1" applyBorder="1" applyAlignment="1">
      <alignment horizontal="center"/>
    </xf>
    <xf numFmtId="1" fontId="59" fillId="0" borderId="2" xfId="3" applyNumberFormat="1" applyFont="1" applyBorder="1" applyAlignment="1">
      <alignment horizontal="center" wrapText="1"/>
    </xf>
    <xf numFmtId="0" fontId="59" fillId="0" borderId="3" xfId="0" applyFont="1" applyBorder="1" applyAlignment="1">
      <alignment horizontal="center" wrapText="1"/>
    </xf>
    <xf numFmtId="12" fontId="59" fillId="0" borderId="3" xfId="0" applyNumberFormat="1" applyFont="1" applyBorder="1" applyAlignment="1">
      <alignment horizontal="center"/>
    </xf>
    <xf numFmtId="0" fontId="59" fillId="0" borderId="2" xfId="0" applyFont="1" applyBorder="1" applyAlignment="1">
      <alignment horizontal="center"/>
    </xf>
    <xf numFmtId="0" fontId="59" fillId="9" borderId="2" xfId="0" applyFont="1" applyFill="1" applyBorder="1"/>
    <xf numFmtId="1" fontId="59" fillId="0" borderId="2" xfId="3" applyNumberFormat="1" applyFont="1" applyBorder="1" applyAlignment="1">
      <alignment horizontal="center"/>
    </xf>
    <xf numFmtId="0" fontId="59" fillId="9" borderId="2" xfId="3" applyFont="1" applyFill="1" applyBorder="1" applyAlignment="1">
      <alignment horizontal="left"/>
    </xf>
    <xf numFmtId="49" fontId="59" fillId="0" borderId="12" xfId="3" applyNumberFormat="1" applyFont="1" applyBorder="1" applyAlignment="1">
      <alignment horizontal="center"/>
    </xf>
    <xf numFmtId="49" fontId="59" fillId="0" borderId="13" xfId="3" applyNumberFormat="1" applyFont="1" applyBorder="1" applyAlignment="1">
      <alignment horizontal="center"/>
    </xf>
    <xf numFmtId="0" fontId="57" fillId="9" borderId="2" xfId="3" applyFont="1" applyFill="1" applyBorder="1" applyAlignment="1">
      <alignment horizontal="left"/>
    </xf>
    <xf numFmtId="171" fontId="59" fillId="0" borderId="2" xfId="3" applyNumberFormat="1" applyFont="1" applyBorder="1" applyAlignment="1">
      <alignment horizontal="center"/>
    </xf>
    <xf numFmtId="0" fontId="60" fillId="9" borderId="12" xfId="0" applyFont="1" applyFill="1" applyBorder="1" applyAlignment="1">
      <alignment horizontal="center"/>
    </xf>
    <xf numFmtId="0" fontId="60" fillId="9" borderId="42" xfId="0" applyFont="1" applyFill="1" applyBorder="1" applyAlignment="1">
      <alignment horizontal="center"/>
    </xf>
    <xf numFmtId="0" fontId="60" fillId="9" borderId="3" xfId="0" applyFont="1" applyFill="1" applyBorder="1"/>
    <xf numFmtId="0" fontId="59" fillId="9" borderId="13" xfId="0" applyFont="1" applyFill="1" applyBorder="1" applyAlignment="1">
      <alignment horizontal="center"/>
    </xf>
    <xf numFmtId="1" fontId="59" fillId="9" borderId="3" xfId="0" applyNumberFormat="1" applyFont="1" applyFill="1" applyBorder="1" applyAlignment="1">
      <alignment horizontal="center"/>
    </xf>
    <xf numFmtId="1" fontId="59" fillId="9" borderId="3" xfId="0" applyNumberFormat="1" applyFont="1" applyFill="1" applyBorder="1" applyAlignment="1">
      <alignment horizontal="center" wrapText="1"/>
    </xf>
    <xf numFmtId="0" fontId="59" fillId="0" borderId="2" xfId="0" applyFont="1" applyBorder="1"/>
    <xf numFmtId="16" fontId="59" fillId="0" borderId="2" xfId="0" applyNumberFormat="1" applyFont="1" applyBorder="1" applyAlignment="1">
      <alignment horizontal="center"/>
    </xf>
    <xf numFmtId="1" fontId="59" fillId="0" borderId="2" xfId="0" applyNumberFormat="1" applyFont="1" applyBorder="1" applyAlignment="1">
      <alignment horizontal="center"/>
    </xf>
    <xf numFmtId="1" fontId="59" fillId="0" borderId="2" xfId="0" applyNumberFormat="1" applyFont="1" applyBorder="1" applyAlignment="1">
      <alignment horizontal="center" wrapText="1"/>
    </xf>
    <xf numFmtId="49" fontId="57" fillId="0" borderId="48" xfId="3" applyNumberFormat="1" applyFont="1" applyBorder="1" applyAlignment="1">
      <alignment horizontal="center"/>
    </xf>
    <xf numFmtId="49" fontId="57" fillId="0" borderId="37" xfId="3" applyNumberFormat="1" applyFont="1" applyBorder="1" applyAlignment="1">
      <alignment horizontal="center"/>
    </xf>
    <xf numFmtId="0" fontId="58" fillId="9" borderId="2" xfId="3" applyFont="1" applyFill="1" applyBorder="1" applyAlignment="1">
      <alignment vertical="center"/>
    </xf>
    <xf numFmtId="0" fontId="57" fillId="0" borderId="13" xfId="3" applyFont="1" applyBorder="1" applyAlignment="1">
      <alignment horizontal="center"/>
    </xf>
    <xf numFmtId="171" fontId="57" fillId="0" borderId="2" xfId="3" applyNumberFormat="1" applyFont="1" applyBorder="1" applyAlignment="1">
      <alignment horizontal="center"/>
    </xf>
    <xf numFmtId="0" fontId="59" fillId="0" borderId="0" xfId="0" applyFont="1"/>
    <xf numFmtId="49" fontId="59" fillId="0" borderId="2" xfId="0" applyNumberFormat="1" applyFont="1" applyBorder="1" applyAlignment="1">
      <alignment horizontal="center"/>
    </xf>
    <xf numFmtId="49" fontId="59" fillId="0" borderId="2" xfId="0" applyNumberFormat="1" applyFont="1" applyBorder="1"/>
    <xf numFmtId="172" fontId="57" fillId="9" borderId="2" xfId="1" applyNumberFormat="1" applyFont="1" applyFill="1" applyBorder="1" applyAlignment="1">
      <alignment horizontal="center"/>
    </xf>
    <xf numFmtId="0" fontId="60" fillId="0" borderId="2" xfId="8" applyFont="1" applyBorder="1" applyAlignment="1">
      <alignment horizontal="center"/>
    </xf>
    <xf numFmtId="0" fontId="60" fillId="0" borderId="2" xfId="8" applyFont="1" applyBorder="1" applyAlignment="1">
      <alignment horizontal="left"/>
    </xf>
    <xf numFmtId="0" fontId="59" fillId="0" borderId="2" xfId="0" applyFont="1" applyBorder="1" applyAlignment="1">
      <alignment horizontal="center" vertical="center"/>
    </xf>
    <xf numFmtId="0" fontId="59" fillId="0" borderId="2" xfId="0" applyFont="1" applyBorder="1" applyAlignment="1">
      <alignment horizontal="left" vertical="center"/>
    </xf>
    <xf numFmtId="0" fontId="59" fillId="0" borderId="13" xfId="0" applyFont="1" applyBorder="1"/>
    <xf numFmtId="12" fontId="59" fillId="0" borderId="2" xfId="3" applyNumberFormat="1" applyFont="1" applyBorder="1" applyAlignment="1">
      <alignment horizontal="center"/>
    </xf>
    <xf numFmtId="0" fontId="59" fillId="0" borderId="2" xfId="0" quotePrefix="1" applyFont="1" applyBorder="1" applyAlignment="1">
      <alignment horizontal="center"/>
    </xf>
    <xf numFmtId="0" fontId="59" fillId="0" borderId="2" xfId="0" quotePrefix="1" applyFont="1" applyBorder="1"/>
    <xf numFmtId="49" fontId="59" fillId="0" borderId="2" xfId="3" applyNumberFormat="1" applyFont="1" applyBorder="1"/>
    <xf numFmtId="49" fontId="61" fillId="2" borderId="10" xfId="3" applyNumberFormat="1" applyFont="1" applyFill="1" applyBorder="1" applyAlignment="1">
      <alignment horizontal="center" vertical="center"/>
    </xf>
    <xf numFmtId="49" fontId="61" fillId="2" borderId="0" xfId="3" applyNumberFormat="1" applyFont="1" applyFill="1" applyAlignment="1">
      <alignment horizontal="center" vertical="center"/>
    </xf>
    <xf numFmtId="0" fontId="59" fillId="2" borderId="0" xfId="3" applyFont="1" applyFill="1"/>
    <xf numFmtId="1" fontId="59" fillId="2" borderId="0" xfId="3" applyNumberFormat="1" applyFont="1" applyFill="1" applyAlignment="1">
      <alignment horizontal="center"/>
    </xf>
    <xf numFmtId="167" fontId="59" fillId="2" borderId="0" xfId="3" applyNumberFormat="1" applyFont="1" applyFill="1" applyAlignment="1">
      <alignment horizontal="center" wrapText="1"/>
    </xf>
    <xf numFmtId="0" fontId="59" fillId="2" borderId="9" xfId="3" applyFont="1" applyFill="1" applyBorder="1" applyAlignment="1">
      <alignment horizontal="center"/>
    </xf>
    <xf numFmtId="0" fontId="59" fillId="3" borderId="8" xfId="3" applyFont="1" applyFill="1" applyBorder="1" applyAlignment="1">
      <alignment horizontal="center"/>
    </xf>
    <xf numFmtId="0" fontId="59" fillId="3" borderId="7" xfId="3" applyFont="1" applyFill="1" applyBorder="1" applyAlignment="1">
      <alignment horizontal="center"/>
    </xf>
    <xf numFmtId="0" fontId="59" fillId="3" borderId="7" xfId="3" applyFont="1" applyFill="1" applyBorder="1"/>
    <xf numFmtId="0" fontId="57" fillId="3" borderId="7" xfId="3" applyFont="1" applyFill="1" applyBorder="1" applyAlignment="1">
      <alignment horizontal="center"/>
    </xf>
    <xf numFmtId="1" fontId="57" fillId="3" borderId="7" xfId="3" applyNumberFormat="1" applyFont="1" applyFill="1" applyBorder="1" applyAlignment="1">
      <alignment horizontal="center"/>
    </xf>
    <xf numFmtId="167" fontId="59" fillId="3" borderId="7" xfId="3" applyNumberFormat="1" applyFont="1" applyFill="1" applyBorder="1" applyAlignment="1">
      <alignment horizontal="center" wrapText="1"/>
    </xf>
    <xf numFmtId="0" fontId="59" fillId="3" borderId="6" xfId="3" applyFont="1" applyFill="1" applyBorder="1" applyAlignment="1">
      <alignment horizontal="center"/>
    </xf>
    <xf numFmtId="0" fontId="57" fillId="0" borderId="41" xfId="3" applyFont="1" applyBorder="1" applyAlignment="1">
      <alignment horizontal="right"/>
    </xf>
    <xf numFmtId="0" fontId="57" fillId="0" borderId="25" xfId="3" applyFont="1" applyBorder="1" applyAlignment="1">
      <alignment horizontal="right"/>
    </xf>
    <xf numFmtId="0" fontId="57" fillId="0" borderId="42" xfId="3" applyFont="1" applyBorder="1" applyAlignment="1">
      <alignment horizontal="right"/>
    </xf>
    <xf numFmtId="1" fontId="59" fillId="0" borderId="3" xfId="0" applyNumberFormat="1" applyFont="1" applyBorder="1" applyAlignment="1">
      <alignment horizontal="center"/>
    </xf>
    <xf numFmtId="0" fontId="59" fillId="0" borderId="5" xfId="0" applyFont="1" applyBorder="1" applyAlignment="1">
      <alignment horizontal="center"/>
    </xf>
    <xf numFmtId="167" fontId="59" fillId="0" borderId="3" xfId="3" applyNumberFormat="1" applyFont="1" applyBorder="1" applyAlignment="1">
      <alignment horizontal="right"/>
    </xf>
    <xf numFmtId="0" fontId="59" fillId="2" borderId="5" xfId="3" applyFont="1" applyFill="1" applyBorder="1" applyAlignment="1">
      <alignment horizontal="center"/>
    </xf>
    <xf numFmtId="0" fontId="59" fillId="2" borderId="43" xfId="3" applyFont="1" applyFill="1" applyBorder="1" applyAlignment="1">
      <alignment horizontal="center"/>
    </xf>
    <xf numFmtId="0" fontId="57" fillId="0" borderId="48" xfId="3" applyFont="1" applyBorder="1" applyAlignment="1">
      <alignment horizontal="right"/>
    </xf>
    <xf numFmtId="0" fontId="57" fillId="0" borderId="37" xfId="3" applyFont="1" applyBorder="1" applyAlignment="1">
      <alignment horizontal="right"/>
    </xf>
    <xf numFmtId="0" fontId="57" fillId="0" borderId="13" xfId="3" applyFont="1" applyBorder="1" applyAlignment="1">
      <alignment horizontal="right"/>
    </xf>
    <xf numFmtId="0" fontId="59" fillId="0" borderId="2" xfId="3" applyFont="1" applyBorder="1" applyAlignment="1">
      <alignment horizontal="right"/>
    </xf>
    <xf numFmtId="167" fontId="59" fillId="0" borderId="15" xfId="3" applyNumberFormat="1" applyFont="1" applyBorder="1" applyAlignment="1">
      <alignment horizontal="center"/>
    </xf>
    <xf numFmtId="167" fontId="59" fillId="0" borderId="49" xfId="3" applyNumberFormat="1" applyFont="1" applyBorder="1" applyAlignment="1">
      <alignment horizontal="center"/>
    </xf>
    <xf numFmtId="167" fontId="59" fillId="0" borderId="15" xfId="3" applyNumberFormat="1" applyFont="1" applyBorder="1" applyAlignment="1">
      <alignment horizontal="right" wrapText="1"/>
    </xf>
    <xf numFmtId="167" fontId="59" fillId="0" borderId="13" xfId="3" applyNumberFormat="1" applyFont="1" applyBorder="1" applyAlignment="1">
      <alignment horizontal="right" wrapText="1"/>
    </xf>
    <xf numFmtId="167" fontId="59" fillId="0" borderId="15" xfId="0" applyNumberFormat="1" applyFont="1" applyBorder="1" applyAlignment="1">
      <alignment horizontal="center" wrapText="1"/>
    </xf>
    <xf numFmtId="167" fontId="59" fillId="0" borderId="49" xfId="0" applyNumberFormat="1" applyFont="1" applyBorder="1" applyAlignment="1">
      <alignment horizontal="center" wrapText="1"/>
    </xf>
    <xf numFmtId="0" fontId="57" fillId="0" borderId="45" xfId="3" applyFont="1" applyBorder="1" applyAlignment="1">
      <alignment horizontal="right"/>
    </xf>
    <xf numFmtId="0" fontId="57" fillId="0" borderId="50" xfId="3" applyFont="1" applyBorder="1" applyAlignment="1">
      <alignment horizontal="right"/>
    </xf>
    <xf numFmtId="0" fontId="57" fillId="0" borderId="4" xfId="3" applyFont="1" applyBorder="1" applyAlignment="1">
      <alignment horizontal="right"/>
    </xf>
    <xf numFmtId="1" fontId="59" fillId="0" borderId="4" xfId="0" applyNumberFormat="1" applyFont="1" applyBorder="1" applyAlignment="1">
      <alignment horizontal="center"/>
    </xf>
    <xf numFmtId="0" fontId="59" fillId="0" borderId="4" xfId="0" applyFont="1" applyBorder="1" applyAlignment="1">
      <alignment horizontal="center"/>
    </xf>
    <xf numFmtId="0" fontId="59" fillId="0" borderId="4" xfId="3" applyFont="1" applyBorder="1" applyAlignment="1">
      <alignment horizontal="right"/>
    </xf>
    <xf numFmtId="0" fontId="59" fillId="0" borderId="53" xfId="3" applyFont="1" applyBorder="1" applyAlignment="1">
      <alignment horizontal="left"/>
    </xf>
    <xf numFmtId="0" fontId="59" fillId="0" borderId="42" xfId="3" applyFont="1" applyBorder="1" applyAlignment="1">
      <alignment horizontal="left"/>
    </xf>
    <xf numFmtId="0" fontId="59" fillId="0" borderId="3" xfId="3" applyFont="1" applyBorder="1" applyAlignment="1">
      <alignment horizontal="left"/>
    </xf>
    <xf numFmtId="0" fontId="59" fillId="0" borderId="16" xfId="3" applyFont="1" applyBorder="1" applyAlignment="1">
      <alignment horizontal="left"/>
    </xf>
    <xf numFmtId="0" fontId="59" fillId="0" borderId="48" xfId="0" applyFont="1" applyBorder="1" applyAlignment="1">
      <alignment horizontal="left"/>
    </xf>
    <xf numFmtId="0" fontId="59" fillId="0" borderId="37" xfId="0" applyFont="1" applyBorder="1" applyAlignment="1">
      <alignment horizontal="left"/>
    </xf>
    <xf numFmtId="0" fontId="59" fillId="0" borderId="49" xfId="0" applyFont="1" applyBorder="1" applyAlignment="1">
      <alignment horizontal="left"/>
    </xf>
    <xf numFmtId="0" fontId="59" fillId="0" borderId="48" xfId="0" applyFont="1" applyBorder="1" applyAlignment="1">
      <alignment horizontal="left" wrapText="1"/>
    </xf>
    <xf numFmtId="0" fontId="59" fillId="0" borderId="37" xfId="0" applyFont="1" applyBorder="1" applyAlignment="1">
      <alignment horizontal="left" wrapText="1"/>
    </xf>
    <xf numFmtId="0" fontId="59" fillId="0" borderId="49" xfId="0" applyFont="1" applyBorder="1" applyAlignment="1">
      <alignment horizontal="left" wrapText="1"/>
    </xf>
    <xf numFmtId="0" fontId="57" fillId="0" borderId="41" xfId="3" applyFont="1" applyBorder="1" applyAlignment="1">
      <alignment horizontal="left" wrapText="1"/>
    </xf>
    <xf numFmtId="0" fontId="57" fillId="0" borderId="25" xfId="3" applyFont="1" applyBorder="1" applyAlignment="1">
      <alignment horizontal="left" wrapText="1"/>
    </xf>
    <xf numFmtId="0" fontId="57" fillId="0" borderId="43" xfId="3" applyFont="1" applyBorder="1" applyAlignment="1">
      <alignment horizontal="left" wrapText="1"/>
    </xf>
    <xf numFmtId="0" fontId="57" fillId="0" borderId="48" xfId="0" applyFont="1" applyBorder="1" applyAlignment="1">
      <alignment horizontal="left"/>
    </xf>
    <xf numFmtId="0" fontId="57" fillId="0" borderId="37" xfId="0" applyFont="1" applyBorder="1" applyAlignment="1">
      <alignment horizontal="left"/>
    </xf>
    <xf numFmtId="0" fontId="57" fillId="0" borderId="49" xfId="0" applyFont="1" applyBorder="1" applyAlignment="1">
      <alignment horizontal="left"/>
    </xf>
    <xf numFmtId="0" fontId="57" fillId="11" borderId="60" xfId="4" applyFont="1" applyFill="1" applyBorder="1" applyAlignment="1">
      <alignment horizontal="center"/>
    </xf>
    <xf numFmtId="0" fontId="57" fillId="11" borderId="56" xfId="4" applyFont="1" applyFill="1" applyBorder="1" applyAlignment="1">
      <alignment horizontal="center"/>
    </xf>
    <xf numFmtId="0" fontId="59" fillId="0" borderId="0" xfId="0" applyFont="1" applyAlignment="1">
      <alignment horizontal="center"/>
    </xf>
    <xf numFmtId="0" fontId="57" fillId="3" borderId="8" xfId="3" applyFont="1" applyFill="1" applyBorder="1" applyAlignment="1">
      <alignment horizontal="center"/>
    </xf>
    <xf numFmtId="0" fontId="57" fillId="3" borderId="7" xfId="3" applyFont="1" applyFill="1" applyBorder="1" applyAlignment="1">
      <alignment horizontal="center"/>
    </xf>
    <xf numFmtId="0" fontId="57" fillId="3" borderId="6" xfId="3" applyFont="1" applyFill="1" applyBorder="1" applyAlignment="1">
      <alignment horizontal="center"/>
    </xf>
    <xf numFmtId="0" fontId="59" fillId="2" borderId="2" xfId="4" applyFont="1" applyFill="1" applyBorder="1" applyAlignment="1">
      <alignment horizontal="left"/>
    </xf>
  </cellXfs>
  <cellStyles count="9">
    <cellStyle name="Millares" xfId="1" builtinId="3"/>
    <cellStyle name="Millares [0]" xfId="2" builtinId="6"/>
    <cellStyle name="Normal" xfId="0" builtinId="0"/>
    <cellStyle name="Normal 2" xfId="3" xr:uid="{11D76048-B184-414B-AAFB-145876C81EEE}"/>
    <cellStyle name="Normal 3" xfId="8" xr:uid="{4671D2DD-C307-47BB-BBF4-6FD13DBB3A0E}"/>
    <cellStyle name="Normal_CRITERIOS DE EVALUACION PT DE GB" xfId="4" xr:uid="{10BE6D06-23A0-4ADF-AB36-6E3154358AE9}"/>
    <cellStyle name="Normal_CRITERIOS DE EVALUACION PT DE GB 2" xfId="7" xr:uid="{C0F8018C-F552-4C78-9744-78DE45DA64D0}"/>
    <cellStyle name="Porcentaje" xfId="5" builtinId="5"/>
    <cellStyle name="Porcentaje 2" xfId="6" xr:uid="{06600A1F-DF01-410E-B2B4-9AA09DBFA5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1</xdr:row>
      <xdr:rowOff>6350</xdr:rowOff>
    </xdr:from>
    <xdr:to>
      <xdr:col>0</xdr:col>
      <xdr:colOff>996950</xdr:colOff>
      <xdr:row>2</xdr:row>
      <xdr:rowOff>571500</xdr:rowOff>
    </xdr:to>
    <xdr:pic>
      <xdr:nvPicPr>
        <xdr:cNvPr id="4150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2B97050B-261D-D77E-3C5E-6CE642579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31750" y="196850"/>
          <a:ext cx="9652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163285</xdr:colOff>
      <xdr:row>0</xdr:row>
      <xdr:rowOff>54429</xdr:rowOff>
    </xdr:from>
    <xdr:to>
      <xdr:col>1</xdr:col>
      <xdr:colOff>1020535</xdr:colOff>
      <xdr:row>4</xdr:row>
      <xdr:rowOff>83729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0DC64255-11DB-4068-8FAC-87C7B413E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5" y="54429"/>
          <a:ext cx="1986643" cy="10906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1F85-FCB2-4707-84E9-DA533B3734BF}">
  <dimension ref="A1:M33"/>
  <sheetViews>
    <sheetView topLeftCell="A4" zoomScaleNormal="100" workbookViewId="0">
      <selection activeCell="C10" sqref="C10"/>
    </sheetView>
  </sheetViews>
  <sheetFormatPr baseColWidth="10" defaultColWidth="9.28515625" defaultRowHeight="13.5" x14ac:dyDescent="0.25"/>
  <cols>
    <col min="1" max="1" width="14.7109375" style="5" customWidth="1"/>
    <col min="2" max="2" width="24.7109375" style="5" customWidth="1"/>
    <col min="3" max="3" width="38.28515625" style="5" customWidth="1"/>
    <col min="4" max="4" width="14.28515625" style="5" customWidth="1"/>
    <col min="5" max="7" width="9.28515625" style="5" customWidth="1"/>
    <col min="8" max="8" width="14.28515625" style="5" customWidth="1"/>
    <col min="9" max="9" width="16" style="5" customWidth="1"/>
    <col min="10" max="16384" width="9.28515625" style="5"/>
  </cols>
  <sheetData>
    <row r="1" spans="1:9" ht="15.75" x14ac:dyDescent="0.25">
      <c r="A1" s="255"/>
      <c r="B1" s="194"/>
      <c r="C1" s="258" t="s">
        <v>30</v>
      </c>
      <c r="D1" s="258"/>
      <c r="E1" s="258"/>
      <c r="F1" s="258"/>
      <c r="G1" s="258"/>
      <c r="H1" s="1" t="s">
        <v>0</v>
      </c>
      <c r="I1" s="48" t="s">
        <v>60</v>
      </c>
    </row>
    <row r="2" spans="1:9" ht="16.5" thickBot="1" x14ac:dyDescent="0.3">
      <c r="A2" s="256"/>
      <c r="B2" s="195"/>
      <c r="C2" s="259" t="s">
        <v>1</v>
      </c>
      <c r="D2" s="259"/>
      <c r="E2" s="259"/>
      <c r="F2" s="259"/>
      <c r="G2" s="259"/>
      <c r="H2" s="2" t="s">
        <v>2</v>
      </c>
      <c r="I2" s="47"/>
    </row>
    <row r="3" spans="1:9" ht="49.9" customHeight="1" thickBot="1" x14ac:dyDescent="0.3">
      <c r="A3" s="257"/>
      <c r="B3" s="193"/>
      <c r="C3" s="260" t="s">
        <v>154</v>
      </c>
      <c r="D3" s="261"/>
      <c r="E3" s="261"/>
      <c r="F3" s="261"/>
      <c r="G3" s="262"/>
      <c r="H3" s="244" t="s">
        <v>3</v>
      </c>
      <c r="I3" s="247"/>
    </row>
    <row r="4" spans="1:9" x14ac:dyDescent="0.25">
      <c r="A4" s="256"/>
      <c r="B4" s="195"/>
      <c r="C4" s="3" t="s">
        <v>4</v>
      </c>
      <c r="D4" s="249" t="s">
        <v>52</v>
      </c>
      <c r="E4" s="250"/>
      <c r="F4" s="250"/>
      <c r="G4" s="251"/>
      <c r="H4" s="245"/>
      <c r="I4" s="248"/>
    </row>
    <row r="5" spans="1:9" ht="15" customHeight="1" thickBot="1" x14ac:dyDescent="0.3">
      <c r="A5" s="256"/>
      <c r="B5" s="195"/>
      <c r="C5" s="4" t="s">
        <v>5</v>
      </c>
      <c r="D5" s="252" t="s">
        <v>51</v>
      </c>
      <c r="E5" s="253"/>
      <c r="F5" s="253"/>
      <c r="G5" s="254"/>
      <c r="H5" s="246"/>
      <c r="I5" s="248"/>
    </row>
    <row r="6" spans="1:9" ht="25.5" x14ac:dyDescent="0.25">
      <c r="A6" s="239" t="s">
        <v>6</v>
      </c>
      <c r="B6" s="242" t="s">
        <v>155</v>
      </c>
      <c r="C6" s="232" t="s">
        <v>7</v>
      </c>
      <c r="D6" s="232" t="s">
        <v>8</v>
      </c>
      <c r="E6" s="232" t="s">
        <v>9</v>
      </c>
      <c r="F6" s="232"/>
      <c r="G6" s="232" t="s">
        <v>10</v>
      </c>
      <c r="H6" s="232"/>
      <c r="I6" s="46" t="s">
        <v>11</v>
      </c>
    </row>
    <row r="7" spans="1:9" ht="27" thickBot="1" x14ac:dyDescent="0.3">
      <c r="A7" s="240"/>
      <c r="B7" s="243"/>
      <c r="C7" s="241"/>
      <c r="D7" s="241"/>
      <c r="E7" s="45" t="s">
        <v>12</v>
      </c>
      <c r="F7" s="44" t="s">
        <v>13</v>
      </c>
      <c r="G7" s="45" t="s">
        <v>12</v>
      </c>
      <c r="H7" s="44" t="s">
        <v>13</v>
      </c>
      <c r="I7" s="43" t="s">
        <v>14</v>
      </c>
    </row>
    <row r="8" spans="1:9" ht="15" x14ac:dyDescent="0.25">
      <c r="A8" s="34" t="s">
        <v>53</v>
      </c>
      <c r="B8" s="34" t="s">
        <v>156</v>
      </c>
      <c r="C8" s="33" t="s">
        <v>31</v>
      </c>
      <c r="D8" s="42" t="s">
        <v>32</v>
      </c>
      <c r="E8" s="12">
        <f>24</f>
        <v>24</v>
      </c>
      <c r="F8" s="38" t="s">
        <v>33</v>
      </c>
      <c r="G8" s="12">
        <f>15*24</f>
        <v>360</v>
      </c>
      <c r="H8" s="29" t="s">
        <v>15</v>
      </c>
      <c r="I8" s="41"/>
    </row>
    <row r="9" spans="1:9" ht="15" x14ac:dyDescent="0.25">
      <c r="A9" s="34" t="s">
        <v>34</v>
      </c>
      <c r="B9" s="34" t="s">
        <v>156</v>
      </c>
      <c r="C9" s="33" t="s">
        <v>35</v>
      </c>
      <c r="D9" s="30" t="s">
        <v>36</v>
      </c>
      <c r="E9" s="29">
        <f>25*12</f>
        <v>300</v>
      </c>
      <c r="F9" s="38" t="s">
        <v>15</v>
      </c>
      <c r="G9" s="28"/>
      <c r="H9" s="10"/>
      <c r="I9" s="23"/>
    </row>
    <row r="10" spans="1:9" ht="15" x14ac:dyDescent="0.25">
      <c r="A10" s="34" t="s">
        <v>37</v>
      </c>
      <c r="B10" s="34" t="s">
        <v>156</v>
      </c>
      <c r="C10" s="33" t="s">
        <v>38</v>
      </c>
      <c r="D10" s="30" t="s">
        <v>39</v>
      </c>
      <c r="E10" s="12">
        <f>1.5*12</f>
        <v>18</v>
      </c>
      <c r="F10" s="38" t="s">
        <v>15</v>
      </c>
      <c r="G10" s="49"/>
      <c r="H10" s="29"/>
      <c r="I10" s="23"/>
    </row>
    <row r="11" spans="1:9" ht="15.75" thickBot="1" x14ac:dyDescent="0.3">
      <c r="A11" s="40"/>
      <c r="B11" s="196"/>
      <c r="C11" s="39"/>
      <c r="D11" s="35"/>
      <c r="E11" s="12"/>
      <c r="F11" s="38"/>
      <c r="G11" s="12"/>
      <c r="H11" s="29"/>
      <c r="I11" s="23"/>
    </row>
    <row r="12" spans="1:9" ht="14.25" thickBot="1" x14ac:dyDescent="0.3">
      <c r="A12" s="37"/>
      <c r="B12" s="197"/>
      <c r="C12" s="36" t="s">
        <v>27</v>
      </c>
      <c r="D12" s="35"/>
      <c r="E12" s="12"/>
      <c r="F12" s="29"/>
      <c r="G12" s="28"/>
      <c r="H12" s="10"/>
      <c r="I12" s="23"/>
    </row>
    <row r="13" spans="1:9" ht="15" x14ac:dyDescent="0.25">
      <c r="A13" s="34" t="s">
        <v>43</v>
      </c>
      <c r="B13" s="34" t="s">
        <v>156</v>
      </c>
      <c r="C13" s="33" t="s">
        <v>44</v>
      </c>
      <c r="D13" s="30" t="s">
        <v>56</v>
      </c>
      <c r="E13" s="12">
        <v>12</v>
      </c>
      <c r="F13" s="29" t="s">
        <v>57</v>
      </c>
      <c r="G13" s="28"/>
      <c r="H13" s="10"/>
      <c r="I13" s="23"/>
    </row>
    <row r="14" spans="1:9" ht="15" x14ac:dyDescent="0.25">
      <c r="A14" s="34" t="s">
        <v>45</v>
      </c>
      <c r="B14" s="34" t="s">
        <v>157</v>
      </c>
      <c r="C14" s="33" t="s">
        <v>46</v>
      </c>
      <c r="D14" s="30" t="s">
        <v>59</v>
      </c>
      <c r="E14" s="12">
        <v>2</v>
      </c>
      <c r="F14" s="29" t="s">
        <v>57</v>
      </c>
      <c r="G14" s="28"/>
      <c r="H14" s="28"/>
      <c r="I14" s="23"/>
    </row>
    <row r="15" spans="1:9" ht="15" x14ac:dyDescent="0.25">
      <c r="A15" s="34" t="s">
        <v>40</v>
      </c>
      <c r="B15" s="34" t="s">
        <v>156</v>
      </c>
      <c r="C15" s="33" t="s">
        <v>47</v>
      </c>
      <c r="D15" s="30" t="s">
        <v>54</v>
      </c>
      <c r="E15" s="12">
        <v>1</v>
      </c>
      <c r="F15" s="29" t="s">
        <v>58</v>
      </c>
      <c r="G15" s="28"/>
      <c r="H15" s="28"/>
      <c r="I15" s="23"/>
    </row>
    <row r="16" spans="1:9" ht="15" x14ac:dyDescent="0.25">
      <c r="A16" s="32" t="s">
        <v>41</v>
      </c>
      <c r="B16" s="32" t="s">
        <v>156</v>
      </c>
      <c r="C16" s="31" t="s">
        <v>42</v>
      </c>
      <c r="D16" s="30" t="s">
        <v>55</v>
      </c>
      <c r="E16" s="12">
        <v>1</v>
      </c>
      <c r="F16" s="29" t="s">
        <v>58</v>
      </c>
      <c r="G16" s="28"/>
      <c r="H16" s="28"/>
      <c r="I16" s="23"/>
    </row>
    <row r="17" spans="1:13" x14ac:dyDescent="0.25">
      <c r="A17" s="27"/>
      <c r="B17" s="198"/>
      <c r="C17" s="26"/>
      <c r="D17" s="25"/>
      <c r="E17" s="24"/>
      <c r="F17" s="24"/>
      <c r="G17" s="24"/>
      <c r="H17" s="24"/>
      <c r="I17" s="23"/>
    </row>
    <row r="18" spans="1:13" ht="14.25" thickBot="1" x14ac:dyDescent="0.3">
      <c r="A18" s="22"/>
      <c r="B18" s="199"/>
      <c r="E18" s="21"/>
      <c r="F18" s="20"/>
      <c r="I18" s="19"/>
      <c r="L18" s="7"/>
    </row>
    <row r="19" spans="1:13" ht="14.25" thickBot="1" x14ac:dyDescent="0.3">
      <c r="A19" s="18"/>
      <c r="B19" s="200"/>
      <c r="C19" s="14"/>
      <c r="D19" s="17" t="s">
        <v>12</v>
      </c>
      <c r="E19" s="16" t="s">
        <v>16</v>
      </c>
      <c r="F19" s="15"/>
      <c r="G19" s="14"/>
      <c r="H19" s="14"/>
      <c r="I19" s="13"/>
      <c r="L19" s="7"/>
    </row>
    <row r="20" spans="1:13" x14ac:dyDescent="0.25">
      <c r="A20" s="233" t="s">
        <v>17</v>
      </c>
      <c r="B20" s="234"/>
      <c r="C20" s="235"/>
      <c r="D20" s="12">
        <f>+G8+E9+E10</f>
        <v>678</v>
      </c>
      <c r="E20" s="11" t="s">
        <v>15</v>
      </c>
      <c r="F20" s="236" t="s">
        <v>18</v>
      </c>
      <c r="G20" s="236"/>
      <c r="H20" s="237"/>
      <c r="I20" s="238"/>
      <c r="L20" s="7"/>
    </row>
    <row r="21" spans="1:13" x14ac:dyDescent="0.25">
      <c r="A21" s="218" t="s">
        <v>19</v>
      </c>
      <c r="B21" s="219"/>
      <c r="C21" s="220"/>
      <c r="D21" s="10">
        <v>5</v>
      </c>
      <c r="E21" s="10" t="s">
        <v>28</v>
      </c>
      <c r="F21" s="231" t="s">
        <v>20</v>
      </c>
      <c r="G21" s="231"/>
      <c r="H21" s="223"/>
      <c r="I21" s="224"/>
      <c r="L21" s="7"/>
    </row>
    <row r="22" spans="1:13" x14ac:dyDescent="0.25">
      <c r="A22" s="218" t="s">
        <v>21</v>
      </c>
      <c r="B22" s="219"/>
      <c r="C22" s="220"/>
      <c r="D22" s="10" t="s">
        <v>61</v>
      </c>
      <c r="E22" s="10" t="s">
        <v>29</v>
      </c>
      <c r="F22" s="231" t="s">
        <v>22</v>
      </c>
      <c r="G22" s="231"/>
      <c r="H22" s="223"/>
      <c r="I22" s="224"/>
      <c r="L22" s="7"/>
    </row>
    <row r="23" spans="1:13" x14ac:dyDescent="0.25">
      <c r="A23" s="218" t="s">
        <v>23</v>
      </c>
      <c r="B23" s="219"/>
      <c r="C23" s="220"/>
      <c r="D23" s="10">
        <v>55</v>
      </c>
      <c r="E23" s="10" t="s">
        <v>15</v>
      </c>
      <c r="F23" s="221" t="s">
        <v>24</v>
      </c>
      <c r="G23" s="222"/>
      <c r="H23" s="223"/>
      <c r="I23" s="224"/>
      <c r="L23" s="7"/>
      <c r="M23" s="9"/>
    </row>
    <row r="24" spans="1:13" ht="14.25" thickBot="1" x14ac:dyDescent="0.3">
      <c r="A24" s="225" t="s">
        <v>25</v>
      </c>
      <c r="B24" s="226"/>
      <c r="C24" s="227"/>
      <c r="D24" s="8">
        <v>0</v>
      </c>
      <c r="E24" s="8" t="s">
        <v>15</v>
      </c>
      <c r="F24" s="228"/>
      <c r="G24" s="228"/>
      <c r="H24" s="229"/>
      <c r="I24" s="230"/>
      <c r="L24" s="7"/>
    </row>
    <row r="25" spans="1:13" ht="14.25" thickBot="1" x14ac:dyDescent="0.3">
      <c r="A25" s="215" t="s">
        <v>26</v>
      </c>
      <c r="B25" s="216"/>
      <c r="C25" s="216"/>
      <c r="D25" s="216"/>
      <c r="E25" s="216"/>
      <c r="F25" s="216"/>
      <c r="G25" s="216"/>
      <c r="H25" s="216"/>
      <c r="I25" s="217"/>
    </row>
    <row r="26" spans="1:13" ht="16.5" customHeight="1" x14ac:dyDescent="0.25">
      <c r="A26" s="204" t="s">
        <v>48</v>
      </c>
      <c r="B26" s="205"/>
      <c r="C26" s="206"/>
      <c r="D26" s="206"/>
      <c r="E26" s="206"/>
      <c r="F26" s="206"/>
      <c r="G26" s="206"/>
      <c r="H26" s="206"/>
      <c r="I26" s="207"/>
    </row>
    <row r="27" spans="1:13" x14ac:dyDescent="0.25">
      <c r="A27" s="204" t="s">
        <v>49</v>
      </c>
      <c r="B27" s="205"/>
      <c r="C27" s="206"/>
      <c r="D27" s="206"/>
      <c r="E27" s="206"/>
      <c r="F27" s="206"/>
      <c r="G27" s="206"/>
      <c r="H27" s="206"/>
      <c r="I27" s="207"/>
    </row>
    <row r="28" spans="1:13" x14ac:dyDescent="0.25">
      <c r="A28" s="204" t="s">
        <v>62</v>
      </c>
      <c r="B28" s="205"/>
      <c r="C28" s="206"/>
      <c r="D28" s="206"/>
      <c r="E28" s="206"/>
      <c r="F28" s="206"/>
      <c r="G28" s="206"/>
      <c r="H28" s="206"/>
      <c r="I28" s="207"/>
    </row>
    <row r="29" spans="1:13" x14ac:dyDescent="0.25">
      <c r="A29" s="204" t="s">
        <v>50</v>
      </c>
      <c r="B29" s="205"/>
      <c r="C29" s="206"/>
      <c r="D29" s="206"/>
      <c r="E29" s="206"/>
      <c r="F29" s="206"/>
      <c r="G29" s="206"/>
      <c r="H29" s="206"/>
      <c r="I29" s="207"/>
    </row>
    <row r="30" spans="1:13" x14ac:dyDescent="0.25">
      <c r="A30" s="208"/>
      <c r="B30" s="209"/>
      <c r="C30" s="209"/>
      <c r="D30" s="209"/>
      <c r="E30" s="209"/>
      <c r="F30" s="209"/>
      <c r="G30" s="209"/>
      <c r="H30" s="209"/>
      <c r="I30" s="210"/>
    </row>
    <row r="31" spans="1:13" ht="14.25" thickBot="1" x14ac:dyDescent="0.3">
      <c r="A31" s="211"/>
      <c r="B31" s="212"/>
      <c r="C31" s="213"/>
      <c r="D31" s="213"/>
      <c r="E31" s="213"/>
      <c r="F31" s="213"/>
      <c r="G31" s="213"/>
      <c r="H31" s="213"/>
      <c r="I31" s="214"/>
    </row>
    <row r="33" spans="1:3" x14ac:dyDescent="0.25">
      <c r="A33" s="6"/>
      <c r="B33" s="6"/>
      <c r="C33" s="6"/>
    </row>
  </sheetData>
  <mergeCells count="36">
    <mergeCell ref="H3:H5"/>
    <mergeCell ref="I3:I5"/>
    <mergeCell ref="D4:G4"/>
    <mergeCell ref="D5:G5"/>
    <mergeCell ref="A1:A5"/>
    <mergeCell ref="C1:G1"/>
    <mergeCell ref="C2:G2"/>
    <mergeCell ref="C3:G3"/>
    <mergeCell ref="G6:H6"/>
    <mergeCell ref="A20:C20"/>
    <mergeCell ref="F20:G20"/>
    <mergeCell ref="H20:I20"/>
    <mergeCell ref="A6:A7"/>
    <mergeCell ref="C6:C7"/>
    <mergeCell ref="D6:D7"/>
    <mergeCell ref="E6:F6"/>
    <mergeCell ref="B6:B7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9:I29"/>
    <mergeCell ref="A30:I30"/>
    <mergeCell ref="A31:I31"/>
    <mergeCell ref="A25:I25"/>
    <mergeCell ref="A26:I26"/>
    <mergeCell ref="A27:I27"/>
    <mergeCell ref="A28:I28"/>
  </mergeCells>
  <printOptions horizontalCentered="1"/>
  <pageMargins left="0" right="0" top="0.59055118110236227" bottom="0.98425196850393704" header="0" footer="0"/>
  <pageSetup paperSize="9" scale="7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3167-F08E-4703-A08B-BE992307E152}">
  <dimension ref="A1:I47"/>
  <sheetViews>
    <sheetView tabSelected="1" zoomScale="70" zoomScaleNormal="70" zoomScaleSheetLayoutView="7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5703125" customWidth="1"/>
    <col min="3" max="3" width="66" customWidth="1"/>
    <col min="4" max="4" width="21.42578125" customWidth="1"/>
    <col min="5" max="6" width="14.140625" customWidth="1"/>
    <col min="7" max="7" width="20" customWidth="1"/>
    <col min="8" max="8" width="18.42578125" customWidth="1"/>
    <col min="9" max="9" width="17.42578125" bestFit="1" customWidth="1"/>
  </cols>
  <sheetData>
    <row r="1" spans="1:9" ht="15.75" x14ac:dyDescent="0.25">
      <c r="A1" s="265"/>
      <c r="B1" s="266"/>
      <c r="C1" s="258" t="s">
        <v>30</v>
      </c>
      <c r="D1" s="258"/>
      <c r="E1" s="258"/>
      <c r="F1" s="258"/>
      <c r="G1" s="258"/>
      <c r="H1" s="1" t="s">
        <v>0</v>
      </c>
      <c r="I1" s="201" t="s">
        <v>188</v>
      </c>
    </row>
    <row r="2" spans="1:9" ht="18" customHeight="1" thickBot="1" x14ac:dyDescent="0.3">
      <c r="A2" s="257"/>
      <c r="B2" s="267"/>
      <c r="C2" s="270" t="s">
        <v>1</v>
      </c>
      <c r="D2" s="271"/>
      <c r="E2" s="271"/>
      <c r="F2" s="271"/>
      <c r="G2" s="272"/>
      <c r="H2" s="2" t="s">
        <v>2</v>
      </c>
      <c r="I2" s="202" t="s">
        <v>195</v>
      </c>
    </row>
    <row r="3" spans="1:9" ht="31.5" customHeight="1" thickBot="1" x14ac:dyDescent="0.4">
      <c r="A3" s="257"/>
      <c r="B3" s="267"/>
      <c r="C3" s="325" t="s">
        <v>158</v>
      </c>
      <c r="D3" s="326"/>
      <c r="E3" s="326"/>
      <c r="F3" s="326"/>
      <c r="G3" s="327"/>
      <c r="H3" s="244" t="s">
        <v>3</v>
      </c>
      <c r="I3" s="263">
        <v>45613</v>
      </c>
    </row>
    <row r="4" spans="1:9" ht="18" customHeight="1" x14ac:dyDescent="0.25">
      <c r="A4" s="257"/>
      <c r="B4" s="267"/>
      <c r="C4" s="3" t="s">
        <v>4</v>
      </c>
      <c r="D4" s="249" t="s">
        <v>169</v>
      </c>
      <c r="E4" s="250"/>
      <c r="F4" s="250"/>
      <c r="G4" s="251"/>
      <c r="H4" s="245"/>
      <c r="I4" s="248"/>
    </row>
    <row r="5" spans="1:9" ht="14.25" thickBot="1" x14ac:dyDescent="0.3">
      <c r="A5" s="268"/>
      <c r="B5" s="269"/>
      <c r="C5" s="4" t="s">
        <v>5</v>
      </c>
      <c r="D5" s="252" t="s">
        <v>170</v>
      </c>
      <c r="E5" s="253"/>
      <c r="F5" s="253"/>
      <c r="G5" s="254"/>
      <c r="H5" s="246"/>
      <c r="I5" s="264"/>
    </row>
    <row r="6" spans="1:9" ht="18.75" thickBot="1" x14ac:dyDescent="0.3">
      <c r="A6" s="273" t="s">
        <v>171</v>
      </c>
      <c r="B6" s="273"/>
      <c r="C6" s="273"/>
      <c r="D6" s="274" t="s">
        <v>172</v>
      </c>
      <c r="E6" s="274"/>
      <c r="F6" s="274"/>
      <c r="G6" s="275" t="s">
        <v>173</v>
      </c>
      <c r="H6" s="275"/>
      <c r="I6" s="203" t="s">
        <v>172</v>
      </c>
    </row>
    <row r="7" spans="1:9" ht="25.5" x14ac:dyDescent="0.2">
      <c r="A7" s="239" t="s">
        <v>6</v>
      </c>
      <c r="B7" s="276" t="s">
        <v>159</v>
      </c>
      <c r="C7" s="232" t="s">
        <v>7</v>
      </c>
      <c r="D7" s="232" t="s">
        <v>8</v>
      </c>
      <c r="E7" s="232" t="s">
        <v>9</v>
      </c>
      <c r="F7" s="232"/>
      <c r="G7" s="232" t="s">
        <v>10</v>
      </c>
      <c r="H7" s="232"/>
      <c r="I7" s="46" t="s">
        <v>11</v>
      </c>
    </row>
    <row r="8" spans="1:9" ht="26.25" thickBot="1" x14ac:dyDescent="0.25">
      <c r="A8" s="240"/>
      <c r="B8" s="277"/>
      <c r="C8" s="241"/>
      <c r="D8" s="241"/>
      <c r="E8" s="45" t="s">
        <v>12</v>
      </c>
      <c r="F8" s="44" t="s">
        <v>13</v>
      </c>
      <c r="G8" s="45" t="s">
        <v>12</v>
      </c>
      <c r="H8" s="44" t="s">
        <v>13</v>
      </c>
      <c r="I8" s="43" t="s">
        <v>14</v>
      </c>
    </row>
    <row r="9" spans="1:9" ht="18.399999999999999" customHeight="1" x14ac:dyDescent="0.3">
      <c r="A9" s="328"/>
      <c r="B9" s="329"/>
      <c r="C9" s="330" t="s">
        <v>174</v>
      </c>
      <c r="D9" s="331"/>
      <c r="E9" s="332"/>
      <c r="F9" s="333"/>
      <c r="G9" s="332"/>
      <c r="H9" s="333"/>
      <c r="I9" s="334"/>
    </row>
    <row r="10" spans="1:9" ht="20.25" x14ac:dyDescent="0.3">
      <c r="A10" s="335" t="s">
        <v>149</v>
      </c>
      <c r="B10" s="335" t="s">
        <v>160</v>
      </c>
      <c r="C10" s="336" t="s">
        <v>31</v>
      </c>
      <c r="D10" s="337" t="s">
        <v>175</v>
      </c>
      <c r="E10" s="337">
        <v>24</v>
      </c>
      <c r="F10" s="338" t="s">
        <v>142</v>
      </c>
      <c r="G10" s="339"/>
      <c r="H10" s="340" t="s">
        <v>176</v>
      </c>
      <c r="I10" s="334"/>
    </row>
    <row r="11" spans="1:9" ht="20.25" x14ac:dyDescent="0.3">
      <c r="A11" s="341" t="s">
        <v>153</v>
      </c>
      <c r="B11" s="341" t="s">
        <v>161</v>
      </c>
      <c r="C11" s="342" t="s">
        <v>162</v>
      </c>
      <c r="D11" s="337" t="s">
        <v>177</v>
      </c>
      <c r="E11" s="343">
        <v>300</v>
      </c>
      <c r="F11" s="338" t="s">
        <v>15</v>
      </c>
      <c r="G11" s="339"/>
      <c r="H11" s="340" t="s">
        <v>178</v>
      </c>
      <c r="I11" s="334"/>
    </row>
    <row r="12" spans="1:9" ht="20.25" x14ac:dyDescent="0.3">
      <c r="A12" s="337"/>
      <c r="B12" s="337"/>
      <c r="C12" s="344"/>
      <c r="D12" s="337"/>
      <c r="E12" s="343"/>
      <c r="F12" s="338"/>
      <c r="G12" s="341"/>
      <c r="H12" s="340"/>
      <c r="I12" s="334"/>
    </row>
    <row r="13" spans="1:9" ht="20.25" x14ac:dyDescent="0.3">
      <c r="A13" s="345"/>
      <c r="B13" s="346"/>
      <c r="C13" s="347" t="s">
        <v>179</v>
      </c>
      <c r="D13" s="337"/>
      <c r="E13" s="348"/>
      <c r="F13" s="338"/>
      <c r="G13" s="332"/>
      <c r="H13" s="333"/>
      <c r="I13" s="334"/>
    </row>
    <row r="14" spans="1:9" ht="20.25" x14ac:dyDescent="0.3">
      <c r="A14" s="349"/>
      <c r="B14" s="350"/>
      <c r="C14" s="351"/>
      <c r="D14" s="352"/>
      <c r="E14" s="353"/>
      <c r="F14" s="354"/>
      <c r="G14" s="332"/>
      <c r="H14" s="333"/>
      <c r="I14" s="334"/>
    </row>
    <row r="15" spans="1:9" ht="20.25" x14ac:dyDescent="0.3">
      <c r="A15" s="341"/>
      <c r="B15" s="341"/>
      <c r="C15" s="355"/>
      <c r="D15" s="356"/>
      <c r="E15" s="357"/>
      <c r="F15" s="358"/>
      <c r="G15" s="332"/>
      <c r="H15" s="333"/>
      <c r="I15" s="334"/>
    </row>
    <row r="16" spans="1:9" ht="20.25" x14ac:dyDescent="0.3">
      <c r="A16" s="359"/>
      <c r="B16" s="360"/>
      <c r="C16" s="361" t="s">
        <v>180</v>
      </c>
      <c r="D16" s="362"/>
      <c r="E16" s="363"/>
      <c r="F16" s="333"/>
      <c r="G16" s="332"/>
      <c r="H16" s="364"/>
      <c r="I16" s="334"/>
    </row>
    <row r="17" spans="1:9" ht="20.25" x14ac:dyDescent="0.3">
      <c r="A17" s="365" t="s">
        <v>150</v>
      </c>
      <c r="B17" s="365" t="s">
        <v>165</v>
      </c>
      <c r="C17" s="366" t="s">
        <v>164</v>
      </c>
      <c r="D17" s="341" t="s">
        <v>181</v>
      </c>
      <c r="E17" s="357">
        <v>12</v>
      </c>
      <c r="F17" s="358" t="s">
        <v>142</v>
      </c>
      <c r="G17" s="367"/>
      <c r="H17" s="333"/>
      <c r="I17" s="334"/>
    </row>
    <row r="18" spans="1:9" ht="20.25" x14ac:dyDescent="0.3">
      <c r="A18" s="368" t="s">
        <v>45</v>
      </c>
      <c r="B18" s="368" t="s">
        <v>157</v>
      </c>
      <c r="C18" s="369" t="s">
        <v>163</v>
      </c>
      <c r="D18" s="341" t="s">
        <v>182</v>
      </c>
      <c r="E18" s="357">
        <v>2</v>
      </c>
      <c r="F18" s="358" t="s">
        <v>142</v>
      </c>
      <c r="G18" s="367"/>
      <c r="H18" s="333"/>
      <c r="I18" s="334"/>
    </row>
    <row r="19" spans="1:9" ht="20.25" x14ac:dyDescent="0.3">
      <c r="A19" s="341">
        <v>701096</v>
      </c>
      <c r="B19" s="341" t="s">
        <v>166</v>
      </c>
      <c r="C19" s="355" t="s">
        <v>148</v>
      </c>
      <c r="D19" s="356" t="s">
        <v>183</v>
      </c>
      <c r="E19" s="357">
        <v>1</v>
      </c>
      <c r="F19" s="341" t="s">
        <v>142</v>
      </c>
      <c r="G19" s="367"/>
      <c r="H19" s="333"/>
      <c r="I19" s="334"/>
    </row>
    <row r="20" spans="1:9" ht="20.25" x14ac:dyDescent="0.3">
      <c r="A20" s="370">
        <v>702123</v>
      </c>
      <c r="B20" s="370" t="s">
        <v>167</v>
      </c>
      <c r="C20" s="371" t="s">
        <v>144</v>
      </c>
      <c r="D20" s="341" t="s">
        <v>184</v>
      </c>
      <c r="E20" s="357">
        <v>1</v>
      </c>
      <c r="F20" s="358" t="s">
        <v>142</v>
      </c>
      <c r="G20" s="332"/>
      <c r="H20" s="333"/>
      <c r="I20" s="334"/>
    </row>
    <row r="21" spans="1:9" ht="20.25" x14ac:dyDescent="0.3">
      <c r="A21" s="370">
        <v>702007</v>
      </c>
      <c r="B21" s="370" t="s">
        <v>168</v>
      </c>
      <c r="C21" s="371" t="s">
        <v>151</v>
      </c>
      <c r="D21" s="341"/>
      <c r="E21" s="357">
        <v>1</v>
      </c>
      <c r="F21" s="358" t="s">
        <v>142</v>
      </c>
      <c r="G21" s="332"/>
      <c r="H21" s="333"/>
      <c r="I21" s="334"/>
    </row>
    <row r="22" spans="1:9" ht="20.25" x14ac:dyDescent="0.3">
      <c r="A22" s="370"/>
      <c r="B22" s="341" t="s">
        <v>189</v>
      </c>
      <c r="C22" s="372" t="s">
        <v>190</v>
      </c>
      <c r="D22" s="341"/>
      <c r="E22" s="357">
        <v>1</v>
      </c>
      <c r="F22" s="358" t="s">
        <v>142</v>
      </c>
      <c r="G22" s="373"/>
      <c r="H22" s="333"/>
      <c r="I22" s="334"/>
    </row>
    <row r="23" spans="1:9" ht="20.25" x14ac:dyDescent="0.3">
      <c r="A23" s="370"/>
      <c r="B23" s="432" t="s">
        <v>192</v>
      </c>
      <c r="C23" s="364" t="s">
        <v>193</v>
      </c>
      <c r="D23" s="341"/>
      <c r="E23" s="357">
        <v>1</v>
      </c>
      <c r="F23" s="358" t="s">
        <v>142</v>
      </c>
      <c r="G23" s="343"/>
      <c r="H23" s="333"/>
      <c r="I23" s="334"/>
    </row>
    <row r="24" spans="1:9" ht="20.25" x14ac:dyDescent="0.3">
      <c r="A24" s="374"/>
      <c r="B24" s="374"/>
      <c r="C24" s="375"/>
      <c r="D24" s="341"/>
      <c r="E24" s="358"/>
      <c r="F24" s="358"/>
      <c r="G24" s="343"/>
      <c r="H24" s="333"/>
      <c r="I24" s="334"/>
    </row>
    <row r="25" spans="1:9" ht="20.25" x14ac:dyDescent="0.3">
      <c r="A25" s="365"/>
      <c r="B25" s="341"/>
      <c r="C25" s="366"/>
      <c r="D25" s="356"/>
      <c r="E25" s="357"/>
      <c r="F25" s="341"/>
      <c r="G25" s="343"/>
      <c r="H25" s="333"/>
      <c r="I25" s="334"/>
    </row>
    <row r="26" spans="1:9" ht="20.25" x14ac:dyDescent="0.3">
      <c r="A26" s="370"/>
      <c r="B26" s="370"/>
      <c r="C26" s="371"/>
      <c r="D26" s="341"/>
      <c r="E26" s="357"/>
      <c r="F26" s="341"/>
      <c r="G26" s="343"/>
      <c r="H26" s="333"/>
      <c r="I26" s="334"/>
    </row>
    <row r="27" spans="1:9" ht="20.25" x14ac:dyDescent="0.3">
      <c r="A27" s="345"/>
      <c r="B27" s="346"/>
      <c r="C27" s="376"/>
      <c r="D27" s="337"/>
      <c r="E27" s="337"/>
      <c r="F27" s="338"/>
      <c r="G27" s="337"/>
      <c r="H27" s="337"/>
      <c r="I27" s="334"/>
    </row>
    <row r="28" spans="1:9" ht="21" thickBot="1" x14ac:dyDescent="0.35">
      <c r="A28" s="377"/>
      <c r="B28" s="378"/>
      <c r="C28" s="379"/>
      <c r="D28" s="379"/>
      <c r="E28" s="380"/>
      <c r="F28" s="381"/>
      <c r="G28" s="379"/>
      <c r="H28" s="379"/>
      <c r="I28" s="382"/>
    </row>
    <row r="29" spans="1:9" ht="21" thickBot="1" x14ac:dyDescent="0.35">
      <c r="A29" s="383"/>
      <c r="B29" s="384"/>
      <c r="C29" s="385"/>
      <c r="D29" s="386" t="s">
        <v>12</v>
      </c>
      <c r="E29" s="387" t="s">
        <v>16</v>
      </c>
      <c r="F29" s="388"/>
      <c r="G29" s="385"/>
      <c r="H29" s="385"/>
      <c r="I29" s="389"/>
    </row>
    <row r="30" spans="1:9" ht="20.25" x14ac:dyDescent="0.3">
      <c r="A30" s="390" t="s">
        <v>17</v>
      </c>
      <c r="B30" s="391"/>
      <c r="C30" s="392"/>
      <c r="D30" s="393">
        <v>660</v>
      </c>
      <c r="E30" s="394" t="s">
        <v>15</v>
      </c>
      <c r="F30" s="395" t="s">
        <v>185</v>
      </c>
      <c r="G30" s="395"/>
      <c r="H30" s="396"/>
      <c r="I30" s="397"/>
    </row>
    <row r="31" spans="1:9" ht="20.25" x14ac:dyDescent="0.3">
      <c r="A31" s="398" t="s">
        <v>19</v>
      </c>
      <c r="B31" s="399"/>
      <c r="C31" s="400"/>
      <c r="D31" s="357">
        <v>5</v>
      </c>
      <c r="E31" s="341" t="s">
        <v>147</v>
      </c>
      <c r="F31" s="401" t="s">
        <v>20</v>
      </c>
      <c r="G31" s="401"/>
      <c r="H31" s="402"/>
      <c r="I31" s="403"/>
    </row>
    <row r="32" spans="1:9" ht="20.25" x14ac:dyDescent="0.3">
      <c r="A32" s="398" t="s">
        <v>21</v>
      </c>
      <c r="B32" s="399"/>
      <c r="C32" s="400"/>
      <c r="D32" s="341">
        <v>12</v>
      </c>
      <c r="E32" s="341" t="s">
        <v>142</v>
      </c>
      <c r="F32" s="401" t="s">
        <v>186</v>
      </c>
      <c r="G32" s="401"/>
      <c r="H32" s="402"/>
      <c r="I32" s="403"/>
    </row>
    <row r="33" spans="1:9" ht="20.25" x14ac:dyDescent="0.3">
      <c r="A33" s="398" t="s">
        <v>23</v>
      </c>
      <c r="B33" s="399"/>
      <c r="C33" s="400"/>
      <c r="D33" s="357">
        <v>55</v>
      </c>
      <c r="E33" s="341" t="s">
        <v>15</v>
      </c>
      <c r="F33" s="404" t="s">
        <v>24</v>
      </c>
      <c r="G33" s="405"/>
      <c r="H33" s="406"/>
      <c r="I33" s="407"/>
    </row>
    <row r="34" spans="1:9" ht="21" thickBot="1" x14ac:dyDescent="0.35">
      <c r="A34" s="408" t="s">
        <v>25</v>
      </c>
      <c r="B34" s="409"/>
      <c r="C34" s="410"/>
      <c r="D34" s="411">
        <v>0</v>
      </c>
      <c r="E34" s="412" t="s">
        <v>15</v>
      </c>
      <c r="F34" s="413"/>
      <c r="G34" s="413"/>
      <c r="H34" s="402"/>
      <c r="I34" s="403"/>
    </row>
    <row r="35" spans="1:9" ht="21" thickBot="1" x14ac:dyDescent="0.35">
      <c r="A35" s="433" t="s">
        <v>26</v>
      </c>
      <c r="B35" s="434"/>
      <c r="C35" s="434"/>
      <c r="D35" s="434"/>
      <c r="E35" s="434"/>
      <c r="F35" s="434"/>
      <c r="G35" s="434"/>
      <c r="H35" s="434"/>
      <c r="I35" s="435"/>
    </row>
    <row r="36" spans="1:9" ht="20.25" x14ac:dyDescent="0.3">
      <c r="A36" s="414" t="s">
        <v>152</v>
      </c>
      <c r="B36" s="415"/>
      <c r="C36" s="416"/>
      <c r="D36" s="416"/>
      <c r="E36" s="416"/>
      <c r="F36" s="416"/>
      <c r="G36" s="416"/>
      <c r="H36" s="416"/>
      <c r="I36" s="417"/>
    </row>
    <row r="37" spans="1:9" ht="20.25" x14ac:dyDescent="0.3">
      <c r="A37" s="414" t="s">
        <v>145</v>
      </c>
      <c r="B37" s="415"/>
      <c r="C37" s="416"/>
      <c r="D37" s="416"/>
      <c r="E37" s="416"/>
      <c r="F37" s="416"/>
      <c r="G37" s="416"/>
      <c r="H37" s="416"/>
      <c r="I37" s="417"/>
    </row>
    <row r="38" spans="1:9" ht="20.25" x14ac:dyDescent="0.3">
      <c r="A38" s="414" t="s">
        <v>146</v>
      </c>
      <c r="B38" s="415"/>
      <c r="C38" s="416"/>
      <c r="D38" s="416"/>
      <c r="E38" s="416"/>
      <c r="F38" s="416"/>
      <c r="G38" s="416"/>
      <c r="H38" s="416"/>
      <c r="I38" s="417"/>
    </row>
    <row r="39" spans="1:9" ht="14.65" customHeight="1" x14ac:dyDescent="0.3">
      <c r="A39" s="418"/>
      <c r="B39" s="419"/>
      <c r="C39" s="419"/>
      <c r="D39" s="419"/>
      <c r="E39" s="419"/>
      <c r="F39" s="419"/>
      <c r="G39" s="419"/>
      <c r="H39" s="419"/>
      <c r="I39" s="420"/>
    </row>
    <row r="40" spans="1:9" ht="14.65" customHeight="1" x14ac:dyDescent="0.3">
      <c r="A40" s="418"/>
      <c r="B40" s="419"/>
      <c r="C40" s="419"/>
      <c r="D40" s="419"/>
      <c r="E40" s="419"/>
      <c r="F40" s="419"/>
      <c r="G40" s="419"/>
      <c r="H40" s="419"/>
      <c r="I40" s="420"/>
    </row>
    <row r="41" spans="1:9" ht="14.65" customHeight="1" x14ac:dyDescent="0.3">
      <c r="A41" s="421"/>
      <c r="B41" s="422"/>
      <c r="C41" s="422"/>
      <c r="D41" s="422"/>
      <c r="E41" s="422"/>
      <c r="F41" s="422"/>
      <c r="G41" s="422"/>
      <c r="H41" s="422"/>
      <c r="I41" s="423"/>
    </row>
    <row r="42" spans="1:9" ht="18" customHeight="1" x14ac:dyDescent="0.3">
      <c r="A42" s="424"/>
      <c r="B42" s="425"/>
      <c r="C42" s="425"/>
      <c r="D42" s="425"/>
      <c r="E42" s="425"/>
      <c r="F42" s="425"/>
      <c r="G42" s="425"/>
      <c r="H42" s="425"/>
      <c r="I42" s="426"/>
    </row>
    <row r="43" spans="1:9" ht="20.25" x14ac:dyDescent="0.3">
      <c r="A43" s="424"/>
      <c r="B43" s="425"/>
      <c r="C43" s="425"/>
      <c r="D43" s="425"/>
      <c r="E43" s="425"/>
      <c r="F43" s="425"/>
      <c r="G43" s="425"/>
      <c r="H43" s="425"/>
      <c r="I43" s="426"/>
    </row>
    <row r="44" spans="1:9" ht="21" thickBot="1" x14ac:dyDescent="0.35">
      <c r="A44" s="427"/>
      <c r="B44" s="428"/>
      <c r="C44" s="428"/>
      <c r="D44" s="428"/>
      <c r="E44" s="428"/>
      <c r="F44" s="428"/>
      <c r="G44" s="428"/>
      <c r="H44" s="428"/>
      <c r="I44" s="429"/>
    </row>
    <row r="45" spans="1:9" ht="20.25" x14ac:dyDescent="0.3">
      <c r="A45" s="430" t="s">
        <v>187</v>
      </c>
      <c r="B45" s="431"/>
      <c r="C45" s="431"/>
      <c r="D45" s="431"/>
      <c r="E45" s="431"/>
      <c r="F45" s="431"/>
      <c r="G45" s="431"/>
      <c r="H45" s="431"/>
      <c r="I45" s="431"/>
    </row>
    <row r="46" spans="1:9" ht="20.25" x14ac:dyDescent="0.3">
      <c r="A46" s="436" t="s">
        <v>191</v>
      </c>
      <c r="B46" s="436"/>
      <c r="C46" s="436"/>
      <c r="D46" s="436"/>
      <c r="E46" s="436"/>
      <c r="F46" s="436"/>
      <c r="G46" s="436"/>
      <c r="H46" s="436"/>
      <c r="I46" s="436"/>
    </row>
    <row r="47" spans="1:9" ht="20.25" x14ac:dyDescent="0.3">
      <c r="A47" s="436" t="s">
        <v>194</v>
      </c>
      <c r="B47" s="436"/>
      <c r="C47" s="436"/>
      <c r="D47" s="436"/>
      <c r="E47" s="436"/>
      <c r="F47" s="436"/>
      <c r="G47" s="436"/>
      <c r="H47" s="436"/>
      <c r="I47" s="436"/>
    </row>
  </sheetData>
  <mergeCells count="45">
    <mergeCell ref="A44:I44"/>
    <mergeCell ref="A45:I45"/>
    <mergeCell ref="A46:I46"/>
    <mergeCell ref="A47:I47"/>
    <mergeCell ref="A38:I38"/>
    <mergeCell ref="A39:I39"/>
    <mergeCell ref="A40:I40"/>
    <mergeCell ref="A41:I41"/>
    <mergeCell ref="A42:I42"/>
    <mergeCell ref="A43:I43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30:C30"/>
    <mergeCell ref="F30:G30"/>
    <mergeCell ref="H30:I30"/>
    <mergeCell ref="A31:C31"/>
    <mergeCell ref="F31:G31"/>
    <mergeCell ref="H31:I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CE2C-88B7-43F9-B934-2C140760271B}">
  <dimension ref="A1:Q84"/>
  <sheetViews>
    <sheetView topLeftCell="A15" workbookViewId="0">
      <selection activeCell="A28" sqref="A28"/>
    </sheetView>
  </sheetViews>
  <sheetFormatPr baseColWidth="10" defaultColWidth="8.42578125" defaultRowHeight="12.75" x14ac:dyDescent="0.2"/>
  <cols>
    <col min="1" max="1" width="10" style="55" bestFit="1" customWidth="1"/>
    <col min="2" max="2" width="44.28515625" style="55" bestFit="1" customWidth="1"/>
    <col min="3" max="3" width="10.42578125" style="55" bestFit="1" customWidth="1"/>
    <col min="4" max="4" width="10.42578125" style="55" customWidth="1"/>
    <col min="5" max="5" width="9.7109375" style="55" bestFit="1" customWidth="1"/>
    <col min="6" max="6" width="9.5703125" style="55" bestFit="1" customWidth="1"/>
    <col min="7" max="7" width="9.5703125" style="136" bestFit="1" customWidth="1"/>
    <col min="8" max="8" width="10.42578125" style="127" bestFit="1" customWidth="1"/>
    <col min="9" max="9" width="4.5703125" style="127" customWidth="1"/>
    <col min="10" max="10" width="1.7109375" style="54" customWidth="1"/>
    <col min="11" max="11" width="7" style="55" bestFit="1" customWidth="1"/>
    <col min="12" max="12" width="6.28515625" style="55" customWidth="1"/>
    <col min="13" max="13" width="20.42578125" style="55" customWidth="1"/>
    <col min="14" max="14" width="6.42578125" style="55" bestFit="1" customWidth="1"/>
    <col min="15" max="16" width="8.42578125" style="55"/>
    <col min="17" max="17" width="3.28515625" style="55" customWidth="1"/>
    <col min="18" max="16384" width="8.42578125" style="55"/>
  </cols>
  <sheetData>
    <row r="1" spans="1:10" ht="27.75" customHeight="1" x14ac:dyDescent="0.2">
      <c r="A1" s="50"/>
      <c r="B1" s="50"/>
      <c r="C1" s="50"/>
      <c r="D1" s="50"/>
      <c r="E1" s="51" t="s">
        <v>63</v>
      </c>
      <c r="F1" s="52" t="s">
        <v>64</v>
      </c>
      <c r="G1" s="52" t="s">
        <v>65</v>
      </c>
      <c r="H1" s="52" t="s">
        <v>66</v>
      </c>
      <c r="I1" s="53"/>
    </row>
    <row r="2" spans="1:10" ht="30.75" customHeight="1" x14ac:dyDescent="0.2">
      <c r="A2" s="50"/>
      <c r="B2" s="50"/>
      <c r="C2" s="50"/>
      <c r="D2" s="50"/>
      <c r="E2" s="56">
        <f>IFERROR(O55,"")</f>
        <v>181.93506001058762</v>
      </c>
      <c r="F2" s="56">
        <f>IFERROR(H46,"")</f>
        <v>78.755267674146651</v>
      </c>
      <c r="G2" s="56">
        <f>IFERROR(H47,"")</f>
        <v>3.8952972618880386</v>
      </c>
      <c r="H2" s="56">
        <f>IFERROR(H49,"")</f>
        <v>55.140117994100294</v>
      </c>
      <c r="I2" s="57"/>
    </row>
    <row r="3" spans="1:10" ht="15" customHeight="1" x14ac:dyDescent="0.2">
      <c r="A3" s="50"/>
      <c r="B3" s="50"/>
      <c r="C3" s="50"/>
      <c r="D3" s="50"/>
      <c r="E3" s="50"/>
      <c r="F3" s="58"/>
      <c r="G3" s="58"/>
      <c r="H3" s="58"/>
      <c r="I3" s="58"/>
    </row>
    <row r="4" spans="1:10" ht="24.75" customHeight="1" thickBot="1" x14ac:dyDescent="0.25">
      <c r="A4" s="279" t="s">
        <v>112</v>
      </c>
      <c r="B4" s="279"/>
      <c r="C4" s="279"/>
      <c r="D4" s="279"/>
      <c r="E4" s="279"/>
      <c r="F4" s="279"/>
      <c r="G4" s="279"/>
      <c r="H4" s="279"/>
      <c r="I4" s="59"/>
    </row>
    <row r="5" spans="1:10" ht="19.5" customHeight="1" thickBot="1" x14ac:dyDescent="0.25">
      <c r="A5" s="280" t="s">
        <v>67</v>
      </c>
      <c r="B5" s="281"/>
      <c r="C5" s="281"/>
      <c r="D5" s="281"/>
      <c r="E5" s="281"/>
      <c r="F5" s="281"/>
      <c r="G5" s="281"/>
      <c r="H5" s="282"/>
      <c r="I5" s="60"/>
    </row>
    <row r="6" spans="1:10" ht="19.5" thickBot="1" x14ac:dyDescent="0.25">
      <c r="A6" s="60"/>
      <c r="B6" s="60"/>
      <c r="C6" s="60"/>
      <c r="D6" s="60"/>
      <c r="E6" s="60"/>
      <c r="F6" s="283" t="s">
        <v>68</v>
      </c>
      <c r="G6" s="283"/>
      <c r="H6" s="61">
        <f ca="1">TODAY()</f>
        <v>45927</v>
      </c>
      <c r="I6" s="61"/>
    </row>
    <row r="7" spans="1:10" ht="26.25" thickBot="1" x14ac:dyDescent="0.25">
      <c r="A7" s="62" t="s">
        <v>69</v>
      </c>
      <c r="B7" s="63" t="s">
        <v>70</v>
      </c>
      <c r="C7" s="63" t="s">
        <v>69</v>
      </c>
      <c r="D7" s="64" t="s">
        <v>71</v>
      </c>
      <c r="E7" s="64" t="s">
        <v>72</v>
      </c>
      <c r="F7" s="64" t="s">
        <v>73</v>
      </c>
      <c r="G7" s="64" t="s">
        <v>74</v>
      </c>
      <c r="H7" s="65" t="s">
        <v>75</v>
      </c>
      <c r="I7" s="66"/>
    </row>
    <row r="8" spans="1:10" ht="13.5" x14ac:dyDescent="0.25">
      <c r="A8" s="67">
        <v>300</v>
      </c>
      <c r="B8" s="55" t="str">
        <f>IFERROR(VLOOKUP($H8,'[1]MP PLANTA'!$A$2:$F$500,2,0),"")</f>
        <v>MANJAR DE LECHE CONDENSADA ( 4.5 KG )</v>
      </c>
      <c r="C8" s="68">
        <f>+A8</f>
        <v>300</v>
      </c>
      <c r="D8" s="69" t="str">
        <f>IFERROR(VLOOKUP($H8,'[1]MP PLANTA'!$A$2:$F$500,5,0),"")</f>
        <v>Gramo</v>
      </c>
      <c r="E8" s="69">
        <f>IFERROR(VLOOKUP($H8,'[1]MP PLANTA'!$A$2:$F$500,6,0),"")</f>
        <v>1.978960853</v>
      </c>
      <c r="F8" s="69">
        <f>IFERROR(C8*E8,"")</f>
        <v>593.68825590000006</v>
      </c>
      <c r="G8" s="70">
        <f>IFERROR(F8/$F$59,"")</f>
        <v>0.45206772892086067</v>
      </c>
      <c r="H8" s="71" t="s">
        <v>34</v>
      </c>
      <c r="I8" s="71"/>
      <c r="J8" s="72"/>
    </row>
    <row r="9" spans="1:10" ht="13.5" x14ac:dyDescent="0.25">
      <c r="A9" s="67">
        <v>18</v>
      </c>
      <c r="B9" s="55" t="str">
        <f>IFERROR(VLOOKUP($H9,'[1]MP PLANTA'!$A$2:$F$500,2,0),"")</f>
        <v>AZUCAR GLASS MOLIDA ( 4 KG )</v>
      </c>
      <c r="C9" s="68">
        <f t="shared" ref="C9:C14" si="0">+A9</f>
        <v>18</v>
      </c>
      <c r="D9" s="69" t="str">
        <f>IFERROR(VLOOKUP($H9,'[1]MP PLANTA'!$A$2:$F$500,5,0),"")</f>
        <v>Gramo</v>
      </c>
      <c r="E9" s="69">
        <f>IFERROR(VLOOKUP($H9,'[1]MP PLANTA'!$A$2:$F$500,6,0),"")</f>
        <v>1.4291700000000001</v>
      </c>
      <c r="F9" s="69">
        <f t="shared" ref="F9:F14" si="1">IFERROR(C9*E9,"")</f>
        <v>25.725059999999999</v>
      </c>
      <c r="G9" s="70">
        <f t="shared" ref="G9:G14" si="2">IFERROR(F9/$F$59,"")</f>
        <v>1.9588511874676071E-2</v>
      </c>
      <c r="H9" s="71" t="s">
        <v>37</v>
      </c>
      <c r="I9" s="71"/>
      <c r="J9" s="72"/>
    </row>
    <row r="10" spans="1:10" ht="13.5" hidden="1" x14ac:dyDescent="0.25">
      <c r="A10" s="67"/>
      <c r="B10" s="55" t="str">
        <f>IFERROR(VLOOKUP($H10,'[1]MP PLANTA'!$A$2:$F$500,2,0),"")</f>
        <v/>
      </c>
      <c r="C10" s="68">
        <f t="shared" si="0"/>
        <v>0</v>
      </c>
      <c r="D10" s="69" t="str">
        <f>IFERROR(VLOOKUP($H10,'[1]MP PLANTA'!$A$2:$F$500,5,0),"")</f>
        <v/>
      </c>
      <c r="E10" s="69" t="str">
        <f>IFERROR(VLOOKUP($H10,'[1]MP PLANTA'!$A$2:$F$500,6,0),"")</f>
        <v/>
      </c>
      <c r="F10" s="69" t="str">
        <f t="shared" si="1"/>
        <v/>
      </c>
      <c r="G10" s="70" t="str">
        <f t="shared" si="2"/>
        <v/>
      </c>
      <c r="H10" s="71"/>
      <c r="I10" s="71"/>
      <c r="J10" s="72"/>
    </row>
    <row r="11" spans="1:10" ht="13.5" hidden="1" x14ac:dyDescent="0.25">
      <c r="A11" s="67"/>
      <c r="B11" s="55" t="str">
        <f>IFERROR(VLOOKUP($H11,'[1]MP PLANTA'!$A$2:$F$500,2,0),"")</f>
        <v/>
      </c>
      <c r="C11" s="68">
        <f t="shared" si="0"/>
        <v>0</v>
      </c>
      <c r="D11" s="69" t="str">
        <f>IFERROR(VLOOKUP($H11,'[1]MP PLANTA'!$A$2:$F$500,5,0),"")</f>
        <v/>
      </c>
      <c r="E11" s="69" t="str">
        <f>IFERROR(VLOOKUP($H11,'[1]MP PLANTA'!$A$2:$F$500,6,0),"")</f>
        <v/>
      </c>
      <c r="F11" s="69" t="str">
        <f t="shared" si="1"/>
        <v/>
      </c>
      <c r="G11" s="70" t="str">
        <f t="shared" si="2"/>
        <v/>
      </c>
      <c r="H11" s="71"/>
      <c r="I11" s="71"/>
      <c r="J11" s="72"/>
    </row>
    <row r="12" spans="1:10" ht="13.5" hidden="1" x14ac:dyDescent="0.25">
      <c r="A12" s="67"/>
      <c r="B12" s="55" t="str">
        <f>IFERROR(VLOOKUP($H12,'[1]MP PLANTA'!$A$2:$F$500,2,0),"")</f>
        <v/>
      </c>
      <c r="C12" s="68">
        <f t="shared" si="0"/>
        <v>0</v>
      </c>
      <c r="D12" s="69" t="str">
        <f>IFERROR(VLOOKUP($H12,'[1]MP PLANTA'!$A$2:$F$500,5,0),"")</f>
        <v/>
      </c>
      <c r="E12" s="69" t="str">
        <f>IFERROR(VLOOKUP($H12,'[1]MP PLANTA'!$A$2:$F$500,6,0),"")</f>
        <v/>
      </c>
      <c r="F12" s="69" t="str">
        <f t="shared" si="1"/>
        <v/>
      </c>
      <c r="G12" s="70" t="str">
        <f t="shared" si="2"/>
        <v/>
      </c>
      <c r="H12" s="71"/>
      <c r="I12" s="71"/>
      <c r="J12" s="72"/>
    </row>
    <row r="13" spans="1:10" ht="13.5" hidden="1" x14ac:dyDescent="0.25">
      <c r="A13" s="67"/>
      <c r="B13" s="55" t="str">
        <f>IFERROR(VLOOKUP($H13,'[1]MP PLANTA'!$A$2:$F$500,2,0),"")</f>
        <v/>
      </c>
      <c r="C13" s="68">
        <f t="shared" si="0"/>
        <v>0</v>
      </c>
      <c r="D13" s="69" t="str">
        <f>IFERROR(VLOOKUP($H13,'[1]MP PLANTA'!$A$2:$F$500,5,0),"")</f>
        <v/>
      </c>
      <c r="E13" s="69" t="str">
        <f>IFERROR(VLOOKUP($H13,'[1]MP PLANTA'!$A$2:$F$500,6,0),"")</f>
        <v/>
      </c>
      <c r="F13" s="69" t="str">
        <f t="shared" si="1"/>
        <v/>
      </c>
      <c r="G13" s="70" t="str">
        <f t="shared" si="2"/>
        <v/>
      </c>
      <c r="H13" s="71"/>
      <c r="I13" s="71"/>
      <c r="J13" s="72"/>
    </row>
    <row r="14" spans="1:10" ht="13.5" hidden="1" x14ac:dyDescent="0.25">
      <c r="A14" s="67"/>
      <c r="B14" s="55" t="str">
        <f>IFERROR(VLOOKUP($H14,'[1]MP PLANTA'!$A$2:$F$500,2,0),"")</f>
        <v/>
      </c>
      <c r="C14" s="68">
        <f t="shared" si="0"/>
        <v>0</v>
      </c>
      <c r="D14" s="69" t="str">
        <f>IFERROR(VLOOKUP($H14,'[1]MP PLANTA'!$A$2:$F$500,5,0),"")</f>
        <v/>
      </c>
      <c r="E14" s="69" t="str">
        <f>IFERROR(VLOOKUP($H14,'[1]MP PLANTA'!$A$2:$F$500,6,0),"")</f>
        <v/>
      </c>
      <c r="F14" s="69" t="str">
        <f t="shared" si="1"/>
        <v/>
      </c>
      <c r="G14" s="70" t="str">
        <f t="shared" si="2"/>
        <v/>
      </c>
      <c r="H14" s="71"/>
      <c r="I14" s="71"/>
      <c r="J14" s="72"/>
    </row>
    <row r="15" spans="1:10" ht="14.25" thickBot="1" x14ac:dyDescent="0.3">
      <c r="A15" s="67"/>
      <c r="C15" s="68"/>
      <c r="D15" s="69"/>
      <c r="E15" s="69"/>
      <c r="F15" s="69"/>
      <c r="G15" s="70"/>
      <c r="H15" s="71"/>
      <c r="I15" s="71"/>
      <c r="J15" s="72"/>
    </row>
    <row r="16" spans="1:10" ht="26.25" thickBot="1" x14ac:dyDescent="0.25">
      <c r="A16" s="62" t="s">
        <v>69</v>
      </c>
      <c r="B16" s="63" t="s">
        <v>76</v>
      </c>
      <c r="C16" s="63" t="s">
        <v>69</v>
      </c>
      <c r="D16" s="64" t="s">
        <v>71</v>
      </c>
      <c r="E16" s="64" t="s">
        <v>72</v>
      </c>
      <c r="F16" s="64" t="s">
        <v>73</v>
      </c>
      <c r="G16" s="64" t="s">
        <v>74</v>
      </c>
      <c r="H16" s="65" t="s">
        <v>75</v>
      </c>
      <c r="I16" s="66"/>
      <c r="J16" s="72"/>
    </row>
    <row r="17" spans="1:12" ht="13.5" x14ac:dyDescent="0.25">
      <c r="A17" s="67">
        <v>24</v>
      </c>
      <c r="B17" s="55" t="str">
        <f>IFERROR(VLOOKUP($H17,[1]SEMIELABORADOS!$A$1:$J$999,2,0),"")</f>
        <v>GALLETA P/ALFAJOR MEDIANO (UND)</v>
      </c>
      <c r="C17" s="68">
        <f>+A17</f>
        <v>24</v>
      </c>
      <c r="D17" s="68" t="str">
        <f>IFERROR(VLOOKUP($H17,[1]SEMIELABORADOS!$A$1:$J$999,4,0),"")</f>
        <v>UND</v>
      </c>
      <c r="E17" s="69">
        <f>IFERROR(VLOOKUP($H17,[1]SEMIELABORADOS!$A$1:$J$999,6,0),"")</f>
        <v>14.642681142857146</v>
      </c>
      <c r="F17" s="69">
        <f>IFERROR(E17*C17,"")</f>
        <v>351.42434742857154</v>
      </c>
      <c r="G17" s="70">
        <f>IFERROR(F17/$F$59,"")</f>
        <v>0.26759432252655047</v>
      </c>
      <c r="H17" s="71" t="s">
        <v>53</v>
      </c>
      <c r="I17" s="71"/>
      <c r="J17" s="72"/>
    </row>
    <row r="18" spans="1:12" ht="13.5" hidden="1" x14ac:dyDescent="0.25">
      <c r="A18" s="67"/>
      <c r="B18" s="55" t="str">
        <f>IFERROR(VLOOKUP($H18,[1]SEMIELABORADOS!$A$1:$J$999,2,0),"")</f>
        <v/>
      </c>
      <c r="C18" s="68">
        <f>+A18</f>
        <v>0</v>
      </c>
      <c r="D18" s="68" t="str">
        <f>IFERROR(VLOOKUP($H18,[1]SEMIELABORADOS!$A$1:$J$999,4,0),"")</f>
        <v/>
      </c>
      <c r="E18" s="69" t="str">
        <f>IFERROR(VLOOKUP($H18,[1]SEMIELABORADOS!$A$1:$J$999,6,0),"")</f>
        <v/>
      </c>
      <c r="F18" s="69" t="str">
        <f>IFERROR(E18*C18,"")</f>
        <v/>
      </c>
      <c r="G18" s="70" t="str">
        <f>IFERROR(F18/$F$59,"")</f>
        <v/>
      </c>
      <c r="H18" s="71"/>
      <c r="I18" s="71"/>
      <c r="J18" s="72"/>
    </row>
    <row r="19" spans="1:12" ht="13.5" hidden="1" x14ac:dyDescent="0.25">
      <c r="A19" s="67"/>
      <c r="B19" s="55" t="str">
        <f>IFERROR(VLOOKUP($H19,[1]SEMIELABORADOS!$A$1:$J$999,2,0),"")</f>
        <v/>
      </c>
      <c r="C19" s="68">
        <f>+A19</f>
        <v>0</v>
      </c>
      <c r="D19" s="68" t="str">
        <f>IFERROR(VLOOKUP($H19,[1]SEMIELABORADOS!$A$1:$J$999,4,0),"")</f>
        <v/>
      </c>
      <c r="E19" s="69" t="str">
        <f>IFERROR(VLOOKUP($H19,[1]SEMIELABORADOS!$A$1:$J$999,6,0),"")</f>
        <v/>
      </c>
      <c r="F19" s="69" t="str">
        <f>IFERROR(E19*C19,"")</f>
        <v/>
      </c>
      <c r="G19" s="70" t="str">
        <f>IFERROR(F19/$F$59,"")</f>
        <v/>
      </c>
      <c r="H19" s="71"/>
      <c r="I19" s="71"/>
      <c r="J19" s="72"/>
    </row>
    <row r="20" spans="1:12" ht="13.5" hidden="1" x14ac:dyDescent="0.25">
      <c r="A20" s="67"/>
      <c r="B20" s="55" t="str">
        <f>IFERROR(VLOOKUP($H20,[1]SEMIELABORADOS!$A$1:$J$999,2,0),"")</f>
        <v/>
      </c>
      <c r="C20" s="68">
        <f>+A20</f>
        <v>0</v>
      </c>
      <c r="D20" s="68" t="str">
        <f>IFERROR(VLOOKUP($H20,[1]SEMIELABORADOS!$A$1:$J$999,4,0),"")</f>
        <v/>
      </c>
      <c r="E20" s="69" t="str">
        <f>IFERROR(VLOOKUP($H20,[1]SEMIELABORADOS!$A$1:$J$999,6,0),"")</f>
        <v/>
      </c>
      <c r="F20" s="69" t="str">
        <f>IFERROR(E20*C20,"")</f>
        <v/>
      </c>
      <c r="G20" s="70" t="str">
        <f>IFERROR(F20/$F$59,"")</f>
        <v/>
      </c>
      <c r="H20" s="71"/>
      <c r="I20" s="71"/>
      <c r="J20" s="72"/>
    </row>
    <row r="21" spans="1:12" ht="13.5" hidden="1" x14ac:dyDescent="0.25">
      <c r="A21" s="67"/>
      <c r="B21" s="55" t="str">
        <f>IFERROR(VLOOKUP($H21,[1]SEMIELABORADOS!$A$1:$J$999,2,0),"")</f>
        <v/>
      </c>
      <c r="C21" s="68">
        <f>+A21</f>
        <v>0</v>
      </c>
      <c r="D21" s="68" t="str">
        <f>IFERROR(VLOOKUP($H21,[1]SEMIELABORADOS!$A$1:$J$999,4,0),"")</f>
        <v/>
      </c>
      <c r="E21" s="69" t="str">
        <f>IFERROR(VLOOKUP($H21,[1]SEMIELABORADOS!$A$1:$J$999,6,0),"")</f>
        <v/>
      </c>
      <c r="F21" s="69" t="str">
        <f>IFERROR(E21*C21,"")</f>
        <v/>
      </c>
      <c r="G21" s="70" t="str">
        <f>IFERROR(F21/$F$59,"")</f>
        <v/>
      </c>
      <c r="H21" s="71"/>
      <c r="I21" s="71"/>
      <c r="J21" s="72"/>
    </row>
    <row r="22" spans="1:12" ht="14.25" thickBot="1" x14ac:dyDescent="0.3">
      <c r="A22" s="67"/>
      <c r="C22" s="68"/>
      <c r="D22" s="68"/>
      <c r="E22" s="69"/>
      <c r="F22" s="69"/>
      <c r="G22" s="70"/>
      <c r="H22" s="71"/>
      <c r="I22" s="71"/>
      <c r="J22" s="72"/>
    </row>
    <row r="23" spans="1:12" ht="26.25" thickBot="1" x14ac:dyDescent="0.25">
      <c r="A23" s="62" t="s">
        <v>69</v>
      </c>
      <c r="B23" s="63" t="s">
        <v>27</v>
      </c>
      <c r="C23" s="63" t="s">
        <v>69</v>
      </c>
      <c r="D23" s="64" t="s">
        <v>71</v>
      </c>
      <c r="E23" s="64" t="s">
        <v>72</v>
      </c>
      <c r="F23" s="64" t="s">
        <v>73</v>
      </c>
      <c r="G23" s="64" t="s">
        <v>74</v>
      </c>
      <c r="H23" s="65" t="s">
        <v>75</v>
      </c>
      <c r="I23" s="66"/>
    </row>
    <row r="24" spans="1:12" ht="13.5" x14ac:dyDescent="0.25">
      <c r="A24" s="67">
        <v>1</v>
      </c>
      <c r="B24" s="73" t="str">
        <f>IFERROR(VLOOKUP($H24,'[1]EMP PLANTA'!$A$2:$F$500,2,0),"")</f>
        <v>CAPSULA # 5 BLANCA (100 * PAQ)</v>
      </c>
      <c r="C24" s="68">
        <f t="shared" ref="C24:C29" si="3">+A24</f>
        <v>1</v>
      </c>
      <c r="D24" s="69" t="str">
        <f>IFERROR(VLOOKUP($H24,'[1]EMP PLANTA'!$A$2:$F$500,5,0),"")</f>
        <v>UND</v>
      </c>
      <c r="E24" s="69">
        <f>IFERROR(VLOOKUP($H24,'[1]EMP PLANTA'!$A$2:$F$500,6,0),"")</f>
        <v>7.75</v>
      </c>
      <c r="F24" s="69">
        <f t="shared" ref="F24:F29" si="4">IFERROR(E24*C24,"")</f>
        <v>7.75</v>
      </c>
      <c r="G24" s="70">
        <f t="shared" ref="G24:G29" si="5">IFERROR(F24/$F$59,"")</f>
        <v>5.9012871895629997E-3</v>
      </c>
      <c r="H24" s="74" t="s">
        <v>43</v>
      </c>
      <c r="I24" s="74"/>
      <c r="J24" s="72"/>
      <c r="K24" s="278"/>
      <c r="L24" s="278"/>
    </row>
    <row r="25" spans="1:12" ht="13.5" x14ac:dyDescent="0.25">
      <c r="A25" s="67">
        <v>1</v>
      </c>
      <c r="B25" s="73" t="str">
        <f>IFERROR(VLOOKUP($H25,'[1]EMP PLANTA'!$A$2:$F$500,2,0),"")</f>
        <v>CAJA BLANCA  MEDIANAS (100 X PAQ)</v>
      </c>
      <c r="C25" s="68">
        <f t="shared" si="3"/>
        <v>1</v>
      </c>
      <c r="D25" s="69" t="str">
        <f>IFERROR(VLOOKUP($H25,'[1]EMP PLANTA'!$A$2:$F$500,5,0),"")</f>
        <v>UND</v>
      </c>
      <c r="E25" s="69">
        <f>IFERROR(VLOOKUP($H25,'[1]EMP PLANTA'!$A$2:$F$500,6,0),"")</f>
        <v>36</v>
      </c>
      <c r="F25" s="69">
        <f t="shared" si="4"/>
        <v>36</v>
      </c>
      <c r="G25" s="70">
        <f t="shared" si="5"/>
        <v>2.7412430816034578E-2</v>
      </c>
      <c r="H25" s="74" t="s">
        <v>45</v>
      </c>
      <c r="I25" s="74"/>
      <c r="J25" s="72"/>
      <c r="K25" s="278"/>
      <c r="L25" s="278"/>
    </row>
    <row r="26" spans="1:12" ht="13.5" x14ac:dyDescent="0.25">
      <c r="A26" s="67">
        <v>1</v>
      </c>
      <c r="B26" s="73" t="str">
        <f>IFERROR(VLOOKUP($H26,'[1]EMP PLANTA'!$A$2:$F$500,2,0),"")</f>
        <v>ETIQ.FECHA VENCIMIENTO VERDE</v>
      </c>
      <c r="C26" s="68">
        <f t="shared" si="3"/>
        <v>1</v>
      </c>
      <c r="D26" s="69" t="str">
        <f>IFERROR(VLOOKUP($H26,'[1]EMP PLANTA'!$A$2:$F$500,5,0),"")</f>
        <v>UND</v>
      </c>
      <c r="E26" s="69">
        <f>IFERROR(VLOOKUP($H26,'[1]EMP PLANTA'!$A$2:$F$500,6,0),"")</f>
        <v>0.21185444444444446</v>
      </c>
      <c r="F26" s="69">
        <f t="shared" si="4"/>
        <v>0.21185444444444446</v>
      </c>
      <c r="G26" s="70">
        <f t="shared" si="5"/>
        <v>1.6131792503896596E-4</v>
      </c>
      <c r="H26" s="74" t="s">
        <v>40</v>
      </c>
      <c r="I26" s="74"/>
      <c r="J26" s="72"/>
      <c r="K26" s="278"/>
      <c r="L26" s="278"/>
    </row>
    <row r="27" spans="1:12" ht="13.5" x14ac:dyDescent="0.25">
      <c r="A27" s="67">
        <v>0</v>
      </c>
      <c r="B27" s="73" t="s">
        <v>113</v>
      </c>
      <c r="C27" s="68">
        <f t="shared" si="3"/>
        <v>0</v>
      </c>
      <c r="D27" s="69" t="s">
        <v>114</v>
      </c>
      <c r="E27" s="69">
        <v>4.08</v>
      </c>
      <c r="F27" s="69">
        <f t="shared" si="4"/>
        <v>0</v>
      </c>
      <c r="G27" s="70">
        <f t="shared" si="5"/>
        <v>0</v>
      </c>
      <c r="H27" s="74" t="s">
        <v>41</v>
      </c>
      <c r="I27" s="74"/>
      <c r="J27" s="72"/>
      <c r="K27" s="278"/>
      <c r="L27" s="278"/>
    </row>
    <row r="28" spans="1:12" ht="13.5" x14ac:dyDescent="0.25">
      <c r="A28" s="67">
        <v>1</v>
      </c>
      <c r="B28" s="73" t="str">
        <f>IFERROR(VLOOKUP($H28,'[1]EMP PLANTA'!$A$2:$F$500,2,0),"")</f>
        <v>ETIQUETA BLANCA 2 5/8X1 15/16 PRE BLANCA</v>
      </c>
      <c r="C28" s="68">
        <f t="shared" si="3"/>
        <v>1</v>
      </c>
      <c r="D28" s="69" t="str">
        <f>IFERROR(VLOOKUP($H28,'[1]EMP PLANTA'!$A$2:$F$500,5,0),"")</f>
        <v>UND</v>
      </c>
      <c r="E28" s="69">
        <f>IFERROR(VLOOKUP($H28,'[1]EMP PLANTA'!$A$2:$F$500,6,0),"")</f>
        <v>2.2759999999999998</v>
      </c>
      <c r="F28" s="69">
        <f t="shared" si="4"/>
        <v>2.2759999999999998</v>
      </c>
      <c r="G28" s="70">
        <f t="shared" si="5"/>
        <v>1.7330747927026306E-3</v>
      </c>
      <c r="H28" s="74" t="s">
        <v>143</v>
      </c>
      <c r="I28" s="74"/>
      <c r="J28" s="72"/>
      <c r="K28" s="75"/>
      <c r="L28" s="76"/>
    </row>
    <row r="29" spans="1:12" ht="13.5" x14ac:dyDescent="0.25">
      <c r="A29" s="67"/>
      <c r="B29" s="73" t="str">
        <f>IFERROR(VLOOKUP($H29,'[1]EMP PLANTA'!$A$2:$F$500,2,0),"")</f>
        <v/>
      </c>
      <c r="C29" s="68">
        <f t="shared" si="3"/>
        <v>0</v>
      </c>
      <c r="D29" s="69" t="str">
        <f>IFERROR(VLOOKUP($H29,'[1]EMP PLANTA'!$A$2:$F$500,5,0),"")</f>
        <v/>
      </c>
      <c r="E29" s="69" t="str">
        <f>IFERROR(VLOOKUP($H29,'[1]EMP PLANTA'!$A$2:$F$500,6,0),"")</f>
        <v/>
      </c>
      <c r="F29" s="69" t="str">
        <f t="shared" si="4"/>
        <v/>
      </c>
      <c r="G29" s="70" t="str">
        <f t="shared" si="5"/>
        <v/>
      </c>
      <c r="H29" s="74"/>
      <c r="I29" s="74"/>
      <c r="J29" s="72"/>
    </row>
    <row r="30" spans="1:12" ht="14.25" thickBot="1" x14ac:dyDescent="0.3">
      <c r="A30" s="67"/>
      <c r="B30" s="73"/>
      <c r="C30" s="68"/>
      <c r="D30" s="69"/>
      <c r="E30" s="69"/>
      <c r="F30" s="69"/>
      <c r="G30" s="70"/>
      <c r="H30" s="74"/>
      <c r="I30" s="74"/>
      <c r="J30" s="72"/>
    </row>
    <row r="31" spans="1:12" ht="26.25" thickBot="1" x14ac:dyDescent="0.25">
      <c r="A31" s="62" t="s">
        <v>69</v>
      </c>
      <c r="B31" s="63" t="s">
        <v>77</v>
      </c>
      <c r="C31" s="63" t="s">
        <v>69</v>
      </c>
      <c r="D31" s="64" t="s">
        <v>71</v>
      </c>
      <c r="E31" s="64" t="s">
        <v>72</v>
      </c>
      <c r="F31" s="64" t="s">
        <v>73</v>
      </c>
      <c r="G31" s="64" t="s">
        <v>74</v>
      </c>
      <c r="H31" s="65" t="s">
        <v>75</v>
      </c>
      <c r="I31" s="66"/>
      <c r="J31" s="72"/>
    </row>
    <row r="32" spans="1:12" ht="13.5" x14ac:dyDescent="0.25">
      <c r="A32" s="67">
        <f>+A17</f>
        <v>24</v>
      </c>
      <c r="B32" s="55" t="str">
        <f>IFERROR(VLOOKUP($H32,[1]SEMIELABORADOS!$A$1:$J$999,2,0),"")</f>
        <v>GALLETA P/ALFAJOR MEDIANO (UND)</v>
      </c>
      <c r="C32" s="68">
        <f>+A32</f>
        <v>24</v>
      </c>
      <c r="D32" s="69" t="s">
        <v>78</v>
      </c>
      <c r="E32" s="69">
        <f>IFERROR(VLOOKUP($H32,[1]SEMIELABORADOS!$A$1:$J$999,8,0),"")</f>
        <v>7.4189052360338056E-2</v>
      </c>
      <c r="F32" s="69">
        <f>IFERROR(E32*C32,"")</f>
        <v>1.7805372566481132</v>
      </c>
      <c r="G32" s="70">
        <f>IFERROR(F32/$F$58,"")</f>
        <v>6.4746809332658665E-3</v>
      </c>
      <c r="H32" s="71" t="s">
        <v>53</v>
      </c>
      <c r="I32" s="74"/>
      <c r="J32" s="72"/>
    </row>
    <row r="33" spans="1:17" ht="13.5" hidden="1" x14ac:dyDescent="0.25">
      <c r="A33" s="67">
        <f>+A18</f>
        <v>0</v>
      </c>
      <c r="B33" s="73"/>
      <c r="C33" s="68">
        <f>+A33</f>
        <v>0</v>
      </c>
      <c r="D33" s="69" t="s">
        <v>78</v>
      </c>
      <c r="E33" s="69" t="str">
        <f>IFERROR(VLOOKUP($H33,[1]SEMIELABORADOS!$A$1:$J$999,8,0),"")</f>
        <v/>
      </c>
      <c r="F33" s="69" t="str">
        <f>IFERROR(E33*C33,"")</f>
        <v/>
      </c>
      <c r="G33" s="70" t="str">
        <f>IFERROR(F33/$F$58,"")</f>
        <v/>
      </c>
      <c r="H33" s="74"/>
      <c r="I33" s="74"/>
      <c r="J33" s="72"/>
    </row>
    <row r="34" spans="1:17" ht="13.5" hidden="1" x14ac:dyDescent="0.25">
      <c r="A34" s="67">
        <f>+A19</f>
        <v>0</v>
      </c>
      <c r="B34" s="73"/>
      <c r="C34" s="68">
        <f>+A34</f>
        <v>0</v>
      </c>
      <c r="D34" s="69" t="s">
        <v>78</v>
      </c>
      <c r="E34" s="69" t="str">
        <f>IFERROR(VLOOKUP($H34,[1]SEMIELABORADOS!$A$1:$J$999,8,0),"")</f>
        <v/>
      </c>
      <c r="F34" s="69" t="str">
        <f>IFERROR(E34*C34,"")</f>
        <v/>
      </c>
      <c r="G34" s="70" t="str">
        <f>IFERROR(F34/$F$58,"")</f>
        <v/>
      </c>
      <c r="H34" s="74"/>
      <c r="I34" s="74"/>
      <c r="J34" s="72"/>
    </row>
    <row r="35" spans="1:17" ht="13.5" hidden="1" x14ac:dyDescent="0.25">
      <c r="A35" s="67">
        <f>+A20</f>
        <v>0</v>
      </c>
      <c r="B35" s="73"/>
      <c r="C35" s="68">
        <f>+A35</f>
        <v>0</v>
      </c>
      <c r="D35" s="69" t="s">
        <v>78</v>
      </c>
      <c r="E35" s="69" t="str">
        <f>IFERROR(VLOOKUP($H35,[1]SEMIELABORADOS!$A$1:$J$999,8,0),"")</f>
        <v/>
      </c>
      <c r="F35" s="69" t="str">
        <f>IFERROR(E35*C35,"")</f>
        <v/>
      </c>
      <c r="G35" s="70" t="str">
        <f>IFERROR(F35/$F$58,"")</f>
        <v/>
      </c>
      <c r="H35" s="74"/>
      <c r="I35" s="74"/>
      <c r="J35" s="72"/>
    </row>
    <row r="36" spans="1:17" ht="13.5" hidden="1" x14ac:dyDescent="0.25">
      <c r="A36" s="67">
        <f>+A21</f>
        <v>0</v>
      </c>
      <c r="B36" s="73"/>
      <c r="C36" s="68">
        <f>+A36</f>
        <v>0</v>
      </c>
      <c r="D36" s="69" t="s">
        <v>78</v>
      </c>
      <c r="E36" s="69" t="str">
        <f>IFERROR(VLOOKUP($H36,[1]SEMIELABORADOS!$A$1:$J$999,8,0),"")</f>
        <v/>
      </c>
      <c r="F36" s="69" t="str">
        <f>IFERROR(E36*C36,"")</f>
        <v/>
      </c>
      <c r="G36" s="70" t="str">
        <f>IFERROR(F36/$F$58,"")</f>
        <v/>
      </c>
      <c r="H36" s="74"/>
      <c r="I36" s="74"/>
      <c r="J36" s="72"/>
    </row>
    <row r="37" spans="1:17" ht="14.25" thickBot="1" x14ac:dyDescent="0.3">
      <c r="A37" s="67"/>
      <c r="B37" s="73"/>
      <c r="C37" s="68"/>
      <c r="D37" s="69"/>
      <c r="E37" s="69"/>
      <c r="F37" s="69"/>
      <c r="G37" s="70"/>
      <c r="H37" s="74"/>
      <c r="I37" s="74"/>
      <c r="J37" s="72"/>
    </row>
    <row r="38" spans="1:17" ht="26.25" thickBot="1" x14ac:dyDescent="0.25">
      <c r="A38" s="62" t="s">
        <v>69</v>
      </c>
      <c r="B38" s="63" t="s">
        <v>79</v>
      </c>
      <c r="C38" s="63" t="s">
        <v>69</v>
      </c>
      <c r="D38" s="63"/>
      <c r="E38" s="64" t="s">
        <v>72</v>
      </c>
      <c r="F38" s="64" t="s">
        <v>73</v>
      </c>
      <c r="G38" s="64" t="s">
        <v>74</v>
      </c>
      <c r="H38" s="65" t="s">
        <v>75</v>
      </c>
      <c r="I38" s="66"/>
      <c r="J38" s="72"/>
    </row>
    <row r="39" spans="1:17" ht="13.5" x14ac:dyDescent="0.25">
      <c r="A39" s="67">
        <f>+A17</f>
        <v>24</v>
      </c>
      <c r="B39" s="55" t="str">
        <f>IFERROR(VLOOKUP($H39,[1]SEMIELABORADOS!$A$1:$J$999,2,0),"")</f>
        <v>GALLETA P/ALFAJOR MEDIANO (UND)</v>
      </c>
      <c r="C39" s="68">
        <f t="shared" ref="C39:C44" si="6">+A39</f>
        <v>24</v>
      </c>
      <c r="D39" s="68" t="s">
        <v>78</v>
      </c>
      <c r="E39" s="69">
        <f>IFERROR(VLOOKUP($H39,[1]SEMIELABORADOS!$A$1:$J$999,10,0),"")</f>
        <v>16.863636363636363</v>
      </c>
      <c r="F39" s="69">
        <f t="shared" ref="F39:F44" si="7">IFERROR(C39*E39,"")</f>
        <v>404.72727272727275</v>
      </c>
      <c r="G39" s="70">
        <f t="shared" ref="G39:G44" si="8">IFERROR(F39/$F$59,"")</f>
        <v>0.30818217674996451</v>
      </c>
      <c r="H39" s="78" t="s">
        <v>53</v>
      </c>
      <c r="I39" s="78"/>
      <c r="J39" s="72"/>
    </row>
    <row r="40" spans="1:17" ht="13.5" hidden="1" x14ac:dyDescent="0.25">
      <c r="A40" s="67">
        <f>+A18</f>
        <v>0</v>
      </c>
      <c r="B40" s="77"/>
      <c r="C40" s="68">
        <f t="shared" si="6"/>
        <v>0</v>
      </c>
      <c r="D40" s="68" t="s">
        <v>78</v>
      </c>
      <c r="E40" s="69" t="str">
        <f>IFERROR(VLOOKUP($H40,[1]SEMIELABORADOS!$A$1:$J$999,10,0),"")</f>
        <v/>
      </c>
      <c r="F40" s="69" t="str">
        <f t="shared" si="7"/>
        <v/>
      </c>
      <c r="G40" s="70" t="str">
        <f t="shared" si="8"/>
        <v/>
      </c>
      <c r="H40" s="78"/>
      <c r="I40" s="78"/>
      <c r="J40" s="72"/>
    </row>
    <row r="41" spans="1:17" ht="13.5" hidden="1" x14ac:dyDescent="0.25">
      <c r="A41" s="67">
        <f>+A19</f>
        <v>0</v>
      </c>
      <c r="B41" s="77"/>
      <c r="C41" s="68">
        <f t="shared" si="6"/>
        <v>0</v>
      </c>
      <c r="D41" s="68" t="s">
        <v>78</v>
      </c>
      <c r="E41" s="69" t="str">
        <f>IFERROR(VLOOKUP($H41,[1]SEMIELABORADOS!$A$1:$J$999,10,0),"")</f>
        <v/>
      </c>
      <c r="F41" s="69" t="str">
        <f t="shared" si="7"/>
        <v/>
      </c>
      <c r="G41" s="70" t="str">
        <f t="shared" si="8"/>
        <v/>
      </c>
      <c r="H41" s="78"/>
      <c r="I41" s="78"/>
      <c r="J41" s="72"/>
    </row>
    <row r="42" spans="1:17" ht="13.5" hidden="1" x14ac:dyDescent="0.25">
      <c r="A42" s="67">
        <f>+A20</f>
        <v>0</v>
      </c>
      <c r="B42" s="77"/>
      <c r="C42" s="68">
        <f t="shared" si="6"/>
        <v>0</v>
      </c>
      <c r="D42" s="68" t="s">
        <v>78</v>
      </c>
      <c r="E42" s="69" t="str">
        <f>IFERROR(VLOOKUP($H42,[1]SEMIELABORADOS!$A$1:$J$999,10,0),"")</f>
        <v/>
      </c>
      <c r="F42" s="69" t="str">
        <f t="shared" si="7"/>
        <v/>
      </c>
      <c r="G42" s="70" t="str">
        <f t="shared" si="8"/>
        <v/>
      </c>
      <c r="H42" s="78"/>
      <c r="I42" s="78"/>
      <c r="J42" s="72"/>
    </row>
    <row r="43" spans="1:17" ht="13.5" hidden="1" x14ac:dyDescent="0.25">
      <c r="A43" s="67">
        <f>+A21</f>
        <v>0</v>
      </c>
      <c r="B43" s="77"/>
      <c r="C43" s="68">
        <f t="shared" si="6"/>
        <v>0</v>
      </c>
      <c r="D43" s="68" t="s">
        <v>78</v>
      </c>
      <c r="E43" s="69" t="str">
        <f>IFERROR(VLOOKUP($H43,[1]SEMIELABORADOS!$A$1:$J$999,10,0),"")</f>
        <v/>
      </c>
      <c r="F43" s="69" t="str">
        <f t="shared" si="7"/>
        <v/>
      </c>
      <c r="G43" s="70" t="str">
        <f t="shared" si="8"/>
        <v/>
      </c>
      <c r="H43" s="78"/>
      <c r="I43" s="78"/>
      <c r="J43" s="72"/>
    </row>
    <row r="44" spans="1:17" ht="13.5" x14ac:dyDescent="0.25">
      <c r="A44" s="67">
        <v>1</v>
      </c>
      <c r="B44" s="73" t="s">
        <v>80</v>
      </c>
      <c r="C44" s="68">
        <f t="shared" si="6"/>
        <v>1</v>
      </c>
      <c r="D44" s="68" t="s">
        <v>78</v>
      </c>
      <c r="E44" s="69">
        <f>+F58</f>
        <v>275</v>
      </c>
      <c r="F44" s="69">
        <f t="shared" si="7"/>
        <v>275</v>
      </c>
      <c r="G44" s="70">
        <f t="shared" si="8"/>
        <v>0.20940051317804192</v>
      </c>
      <c r="H44" s="78"/>
      <c r="I44" s="78"/>
      <c r="J44" s="72"/>
    </row>
    <row r="45" spans="1:17" ht="14.25" thickBot="1" x14ac:dyDescent="0.3">
      <c r="A45" s="67"/>
      <c r="B45" s="73"/>
      <c r="C45" s="68"/>
      <c r="D45" s="68"/>
      <c r="E45" s="69"/>
      <c r="F45" s="69"/>
      <c r="G45" s="70"/>
      <c r="H45" s="78"/>
      <c r="I45" s="78"/>
      <c r="J45" s="72"/>
    </row>
    <row r="46" spans="1:17" ht="13.5" thickBot="1" x14ac:dyDescent="0.25">
      <c r="A46" s="79"/>
      <c r="B46" s="284" t="s">
        <v>81</v>
      </c>
      <c r="C46" s="284"/>
      <c r="D46" s="284"/>
      <c r="E46" s="284"/>
      <c r="F46" s="81">
        <f>SUM(F8:F14,F17:F21)</f>
        <v>970.83766332857158</v>
      </c>
      <c r="G46" s="70">
        <f>+F46/$F$59</f>
        <v>0.73925056332208716</v>
      </c>
      <c r="H46" s="82">
        <f>+F46/$D$53</f>
        <v>78.755267674146651</v>
      </c>
      <c r="I46" s="82"/>
      <c r="J46" s="83"/>
      <c r="K46" s="84"/>
      <c r="L46" s="84"/>
      <c r="M46" s="84"/>
      <c r="N46" s="84"/>
      <c r="O46" s="84"/>
      <c r="P46" s="84"/>
      <c r="Q46" s="85"/>
    </row>
    <row r="47" spans="1:17" x14ac:dyDescent="0.2">
      <c r="A47" s="79"/>
      <c r="B47" s="284" t="s">
        <v>82</v>
      </c>
      <c r="C47" s="284"/>
      <c r="D47" s="284"/>
      <c r="E47" s="284"/>
      <c r="F47" s="81">
        <f>SUM(F24:F29,F32:F36)</f>
        <v>48.018391701092554</v>
      </c>
      <c r="G47" s="70">
        <f>+F47/$F$59</f>
        <v>3.6563912233429127E-2</v>
      </c>
      <c r="H47" s="82">
        <f>+F47/$D$53</f>
        <v>3.8952972618880386</v>
      </c>
      <c r="I47" s="82"/>
      <c r="J47" s="86"/>
      <c r="K47" s="285" t="s">
        <v>83</v>
      </c>
      <c r="L47" s="286"/>
      <c r="M47" s="286"/>
      <c r="N47" s="286"/>
      <c r="O47" s="87">
        <f>+F48</f>
        <v>1018.8560550296642</v>
      </c>
      <c r="P47" s="87"/>
      <c r="Q47" s="88"/>
    </row>
    <row r="48" spans="1:17" x14ac:dyDescent="0.2">
      <c r="A48" s="79"/>
      <c r="B48" s="284" t="s">
        <v>84</v>
      </c>
      <c r="C48" s="284"/>
      <c r="D48" s="284"/>
      <c r="E48" s="284"/>
      <c r="F48" s="81">
        <f>+F46+F47</f>
        <v>1018.8560550296642</v>
      </c>
      <c r="G48" s="70">
        <f>+F48/$F$59</f>
        <v>0.77581447555551641</v>
      </c>
      <c r="H48" s="82">
        <f>+F48/$D$53</f>
        <v>82.650564936034698</v>
      </c>
      <c r="I48" s="82"/>
      <c r="J48" s="89"/>
      <c r="K48" s="90"/>
      <c r="L48" s="287" t="s">
        <v>85</v>
      </c>
      <c r="M48" s="287"/>
      <c r="N48" s="287"/>
      <c r="O48" s="87">
        <f>+F49</f>
        <v>679.72727272727275</v>
      </c>
      <c r="P48" s="87"/>
      <c r="Q48" s="88"/>
    </row>
    <row r="49" spans="1:17" ht="13.5" thickBot="1" x14ac:dyDescent="0.25">
      <c r="A49" s="79"/>
      <c r="B49" s="80"/>
      <c r="C49" s="284" t="s">
        <v>86</v>
      </c>
      <c r="D49" s="284"/>
      <c r="E49" s="284"/>
      <c r="F49" s="81">
        <f>SUM(F39:F44)</f>
        <v>679.72727272727275</v>
      </c>
      <c r="G49" s="70">
        <f>+F49/$F$59</f>
        <v>0.51758268992800649</v>
      </c>
      <c r="H49" s="82">
        <f>+F49/$D$53</f>
        <v>55.140117994100294</v>
      </c>
      <c r="I49" s="82"/>
      <c r="J49" s="89"/>
      <c r="K49" s="90"/>
      <c r="L49" s="90"/>
      <c r="M49" s="90" t="s">
        <v>87</v>
      </c>
      <c r="N49" s="91">
        <v>0.01</v>
      </c>
      <c r="O49" s="87">
        <f>O47*N49</f>
        <v>10.188560550296641</v>
      </c>
      <c r="P49" s="87"/>
      <c r="Q49" s="88"/>
    </row>
    <row r="50" spans="1:17" ht="13.5" thickBot="1" x14ac:dyDescent="0.25">
      <c r="A50" s="79"/>
      <c r="B50" s="92"/>
      <c r="C50" s="92"/>
      <c r="D50" s="92"/>
      <c r="E50" s="92"/>
      <c r="F50" s="93"/>
      <c r="G50" s="70"/>
      <c r="H50" s="94"/>
      <c r="I50" s="82"/>
      <c r="J50" s="89"/>
      <c r="K50" s="95"/>
      <c r="M50" s="96" t="s">
        <v>88</v>
      </c>
      <c r="N50" s="97"/>
      <c r="O50" s="98">
        <f>SUM(O47:O49)</f>
        <v>1708.7718883072334</v>
      </c>
      <c r="P50" s="99"/>
      <c r="Q50" s="88"/>
    </row>
    <row r="51" spans="1:17" x14ac:dyDescent="0.2">
      <c r="B51" s="289" t="s">
        <v>89</v>
      </c>
      <c r="C51" s="289"/>
      <c r="D51" s="100">
        <v>678</v>
      </c>
      <c r="E51" s="101"/>
      <c r="G51" s="70"/>
      <c r="H51" s="94"/>
      <c r="I51" s="102"/>
      <c r="J51" s="89"/>
      <c r="K51" s="95"/>
      <c r="L51" s="90"/>
      <c r="M51" s="90" t="s">
        <v>90</v>
      </c>
      <c r="N51" s="103">
        <v>0.25</v>
      </c>
      <c r="O51" s="87">
        <f>+O50*N51</f>
        <v>427.19297207680836</v>
      </c>
      <c r="P51" s="87"/>
      <c r="Q51" s="88"/>
    </row>
    <row r="52" spans="1:17" x14ac:dyDescent="0.2">
      <c r="B52" s="289" t="s">
        <v>91</v>
      </c>
      <c r="C52" s="289"/>
      <c r="D52" s="104">
        <v>55</v>
      </c>
      <c r="E52" s="101"/>
      <c r="G52" s="70"/>
      <c r="H52" s="94"/>
      <c r="I52" s="102"/>
      <c r="J52" s="89"/>
      <c r="K52" s="95"/>
      <c r="L52" s="90"/>
      <c r="M52" s="287" t="s">
        <v>88</v>
      </c>
      <c r="N52" s="287"/>
      <c r="O52" s="87">
        <f>SUM(O50:O51)</f>
        <v>2135.9648603840419</v>
      </c>
      <c r="P52" s="87"/>
      <c r="Q52" s="88"/>
    </row>
    <row r="53" spans="1:17" ht="13.5" thickBot="1" x14ac:dyDescent="0.25">
      <c r="B53" s="290" t="s">
        <v>92</v>
      </c>
      <c r="C53" s="290"/>
      <c r="D53" s="100">
        <f>+D51/D52</f>
        <v>12.327272727272728</v>
      </c>
      <c r="E53" s="101"/>
      <c r="F53" s="105"/>
      <c r="G53" s="70"/>
      <c r="H53" s="94"/>
      <c r="I53" s="102"/>
      <c r="J53" s="89"/>
      <c r="K53" s="95"/>
      <c r="L53" s="287" t="s">
        <v>93</v>
      </c>
      <c r="M53" s="287"/>
      <c r="N53" s="103">
        <v>0.05</v>
      </c>
      <c r="O53" s="87">
        <f>+O52*N53</f>
        <v>106.7982430192021</v>
      </c>
      <c r="P53" s="87"/>
      <c r="Q53" s="88"/>
    </row>
    <row r="54" spans="1:17" ht="13.5" thickBot="1" x14ac:dyDescent="0.25">
      <c r="B54" s="290" t="s">
        <v>94</v>
      </c>
      <c r="C54" s="290"/>
      <c r="D54" s="106"/>
      <c r="E54" s="101"/>
      <c r="F54" s="105"/>
      <c r="G54" s="70"/>
      <c r="H54" s="94"/>
      <c r="I54" s="102"/>
      <c r="J54" s="89"/>
      <c r="K54" s="291" t="s">
        <v>95</v>
      </c>
      <c r="L54" s="292"/>
      <c r="M54" s="292"/>
      <c r="N54" s="293"/>
      <c r="O54" s="98">
        <f>SUM(O52:O53)</f>
        <v>2242.7631034032438</v>
      </c>
      <c r="P54" s="107" t="s">
        <v>96</v>
      </c>
      <c r="Q54" s="88"/>
    </row>
    <row r="55" spans="1:17" ht="13.5" thickBot="1" x14ac:dyDescent="0.25">
      <c r="C55" s="79" t="s">
        <v>97</v>
      </c>
      <c r="D55" s="108"/>
      <c r="E55" s="53" t="s">
        <v>98</v>
      </c>
      <c r="F55" s="109" t="s">
        <v>99</v>
      </c>
      <c r="G55" s="70"/>
      <c r="H55" s="94"/>
      <c r="I55" s="102"/>
      <c r="J55" s="110"/>
      <c r="K55" s="111"/>
      <c r="L55" s="294" t="s">
        <v>100</v>
      </c>
      <c r="M55" s="294"/>
      <c r="N55" s="294"/>
      <c r="O55" s="112">
        <f>+O54/D53</f>
        <v>181.93506001058762</v>
      </c>
      <c r="P55" s="113">
        <f>+O55/D52</f>
        <v>3.307910182010684</v>
      </c>
      <c r="Q55" s="114"/>
    </row>
    <row r="56" spans="1:17" ht="13.5" thickBot="1" x14ac:dyDescent="0.25">
      <c r="B56" s="295" t="s">
        <v>84</v>
      </c>
      <c r="C56" s="295"/>
      <c r="D56" s="295"/>
      <c r="E56" s="115">
        <f>+F56/F56</f>
        <v>1</v>
      </c>
      <c r="F56" s="116">
        <f>SUM(F48)</f>
        <v>1018.8560550296642</v>
      </c>
      <c r="G56" s="70">
        <f>+F56/$F$59</f>
        <v>0.77581447555551641</v>
      </c>
      <c r="H56" s="94"/>
      <c r="I56" s="102"/>
      <c r="K56" s="296"/>
      <c r="L56" s="297"/>
      <c r="M56" s="297"/>
      <c r="N56" s="297"/>
      <c r="O56" s="117"/>
      <c r="P56" s="118"/>
    </row>
    <row r="57" spans="1:17" ht="13.5" thickBot="1" x14ac:dyDescent="0.25">
      <c r="B57" s="288" t="s">
        <v>101</v>
      </c>
      <c r="C57" s="288"/>
      <c r="D57" s="288"/>
      <c r="E57" s="119">
        <v>0.02</v>
      </c>
      <c r="F57" s="116">
        <f>+F46*E57</f>
        <v>19.416753266571433</v>
      </c>
      <c r="G57" s="70">
        <f>+F57/$F$59</f>
        <v>1.4785011266441746E-2</v>
      </c>
      <c r="H57" s="82"/>
      <c r="I57" s="102"/>
      <c r="J57" s="120"/>
      <c r="O57" s="121"/>
      <c r="P57" s="80"/>
    </row>
    <row r="58" spans="1:17" ht="13.5" thickBot="1" x14ac:dyDescent="0.25">
      <c r="B58" s="299" t="s">
        <v>102</v>
      </c>
      <c r="C58" s="300"/>
      <c r="D58" s="122">
        <v>5</v>
      </c>
      <c r="E58" s="123">
        <v>55</v>
      </c>
      <c r="F58" s="116">
        <f>+E58*D58</f>
        <v>275</v>
      </c>
      <c r="G58" s="70">
        <f>+F58/$F$59</f>
        <v>0.20940051317804192</v>
      </c>
      <c r="H58" s="82"/>
      <c r="I58" s="82"/>
      <c r="J58" s="72"/>
    </row>
    <row r="59" spans="1:17" ht="13.5" thickBot="1" x14ac:dyDescent="0.25">
      <c r="B59" s="301" t="s">
        <v>103</v>
      </c>
      <c r="C59" s="302"/>
      <c r="D59" s="302"/>
      <c r="E59" s="303"/>
      <c r="F59" s="93">
        <f>SUM(F56:F58)</f>
        <v>1313.2728082962356</v>
      </c>
      <c r="G59" s="70">
        <f>+F59/$F$59</f>
        <v>1</v>
      </c>
      <c r="H59" s="304"/>
      <c r="I59" s="82"/>
      <c r="J59" s="72"/>
    </row>
    <row r="60" spans="1:17" x14ac:dyDescent="0.2">
      <c r="C60" s="125"/>
      <c r="D60" s="125"/>
      <c r="E60" s="126"/>
      <c r="F60" s="116"/>
      <c r="G60" s="70"/>
      <c r="H60" s="304"/>
      <c r="I60" s="124"/>
      <c r="J60" s="55"/>
    </row>
    <row r="61" spans="1:17" ht="13.5" thickBot="1" x14ac:dyDescent="0.25">
      <c r="B61" s="305" t="s">
        <v>104</v>
      </c>
      <c r="C61" s="305"/>
      <c r="D61" s="305"/>
      <c r="E61" s="305"/>
      <c r="F61" s="305"/>
      <c r="G61" s="70"/>
      <c r="H61" s="128"/>
      <c r="I61" s="124"/>
      <c r="J61" s="55"/>
    </row>
    <row r="62" spans="1:17" ht="13.5" thickBot="1" x14ac:dyDescent="0.25">
      <c r="B62" s="129" t="s">
        <v>105</v>
      </c>
      <c r="C62" s="130">
        <f>+F46</f>
        <v>970.83766332857158</v>
      </c>
      <c r="D62" s="130">
        <f>+D51</f>
        <v>678</v>
      </c>
      <c r="E62" s="131">
        <f>+C62/D62</f>
        <v>1.4319139577117574</v>
      </c>
      <c r="F62" s="70"/>
      <c r="G62" s="128"/>
      <c r="H62" s="72"/>
      <c r="I62" s="128"/>
      <c r="J62" s="55"/>
    </row>
    <row r="63" spans="1:17" x14ac:dyDescent="0.2">
      <c r="B63" s="132"/>
      <c r="C63" s="133"/>
      <c r="D63" s="134"/>
      <c r="E63" s="116"/>
      <c r="F63" s="70"/>
      <c r="G63" s="128"/>
      <c r="H63" s="72"/>
      <c r="I63" s="72"/>
      <c r="J63" s="55"/>
    </row>
    <row r="64" spans="1:17" x14ac:dyDescent="0.2">
      <c r="B64" s="129" t="s">
        <v>106</v>
      </c>
      <c r="C64" s="130">
        <f>SUM(F56:F57)</f>
        <v>1038.2728082962356</v>
      </c>
      <c r="D64" s="130">
        <f>+D51</f>
        <v>678</v>
      </c>
      <c r="E64" s="135">
        <f>+C64/D64</f>
        <v>1.5313758234457751</v>
      </c>
      <c r="F64" s="70"/>
      <c r="G64" s="128"/>
      <c r="H64" s="72"/>
      <c r="I64" s="72"/>
      <c r="J64" s="55"/>
    </row>
    <row r="65" spans="2:10" x14ac:dyDescent="0.2">
      <c r="B65" s="129"/>
      <c r="C65" s="130"/>
      <c r="D65" s="130"/>
      <c r="E65" s="135"/>
      <c r="F65" s="70"/>
      <c r="G65" s="128"/>
      <c r="H65" s="72"/>
      <c r="I65" s="72"/>
      <c r="J65" s="55"/>
    </row>
    <row r="66" spans="2:10" ht="13.5" thickBot="1" x14ac:dyDescent="0.25">
      <c r="B66" s="129" t="s">
        <v>107</v>
      </c>
      <c r="C66" s="130">
        <f>+F58</f>
        <v>275</v>
      </c>
      <c r="D66" s="130">
        <f>+D51</f>
        <v>678</v>
      </c>
      <c r="E66" s="135">
        <f>+C66/D66</f>
        <v>0.4056047197640118</v>
      </c>
      <c r="F66" s="70"/>
      <c r="G66" s="128"/>
      <c r="H66" s="72"/>
      <c r="I66" s="72"/>
      <c r="J66" s="55"/>
    </row>
    <row r="67" spans="2:10" ht="13.5" thickBot="1" x14ac:dyDescent="0.25">
      <c r="B67" s="129" t="s">
        <v>108</v>
      </c>
      <c r="C67" s="130">
        <f>+F49</f>
        <v>679.72727272727275</v>
      </c>
      <c r="D67" s="130">
        <f>+D66</f>
        <v>678</v>
      </c>
      <c r="E67" s="131">
        <f>+C67/D67</f>
        <v>1.0025475998927327</v>
      </c>
      <c r="F67" s="70"/>
      <c r="G67" s="128"/>
      <c r="H67" s="72"/>
      <c r="I67" s="72"/>
      <c r="J67" s="55"/>
    </row>
    <row r="68" spans="2:10" ht="13.5" thickBot="1" x14ac:dyDescent="0.25">
      <c r="B68" s="92"/>
      <c r="C68" s="93"/>
      <c r="D68" s="93"/>
      <c r="E68" s="135"/>
      <c r="F68" s="70"/>
      <c r="G68" s="128"/>
      <c r="H68" s="72"/>
      <c r="I68" s="72"/>
      <c r="J68" s="55"/>
    </row>
    <row r="69" spans="2:10" ht="13.5" thickBot="1" x14ac:dyDescent="0.25">
      <c r="B69" s="129" t="s">
        <v>109</v>
      </c>
      <c r="C69" s="130">
        <f>+F47</f>
        <v>48.018391701092554</v>
      </c>
      <c r="D69" s="130">
        <f>+D67</f>
        <v>678</v>
      </c>
      <c r="E69" s="131">
        <f>+C69/D69</f>
        <v>7.0823586579782521E-2</v>
      </c>
      <c r="F69" s="70"/>
      <c r="G69" s="128"/>
      <c r="H69" s="72"/>
      <c r="I69" s="72"/>
      <c r="J69" s="72"/>
    </row>
    <row r="70" spans="2:10" ht="13.5" thickBot="1" x14ac:dyDescent="0.25">
      <c r="B70" s="92"/>
      <c r="C70" s="93"/>
      <c r="D70" s="93"/>
      <c r="E70" s="135"/>
      <c r="F70" s="70"/>
      <c r="G70" s="128"/>
      <c r="H70" s="72"/>
      <c r="I70" s="72"/>
    </row>
    <row r="71" spans="2:10" ht="13.5" thickBot="1" x14ac:dyDescent="0.25">
      <c r="B71" s="306" t="s">
        <v>110</v>
      </c>
      <c r="C71" s="307"/>
      <c r="D71" s="308"/>
      <c r="E71" s="131">
        <f>+E62+E67</f>
        <v>2.4344615576044903</v>
      </c>
      <c r="G71" s="70"/>
      <c r="H71" s="128"/>
      <c r="I71" s="72"/>
      <c r="J71" s="135"/>
    </row>
    <row r="72" spans="2:10" x14ac:dyDescent="0.2">
      <c r="I72" s="128"/>
      <c r="J72" s="55"/>
    </row>
    <row r="73" spans="2:10" ht="13.5" thickBot="1" x14ac:dyDescent="0.25">
      <c r="B73" s="305" t="s">
        <v>111</v>
      </c>
      <c r="C73" s="305"/>
      <c r="D73" s="305"/>
      <c r="E73" s="305"/>
      <c r="F73" s="305"/>
      <c r="G73" s="70"/>
      <c r="H73" s="128"/>
      <c r="J73" s="55"/>
    </row>
    <row r="74" spans="2:10" ht="13.5" thickBot="1" x14ac:dyDescent="0.25">
      <c r="B74" s="129" t="s">
        <v>105</v>
      </c>
      <c r="C74" s="130">
        <f>+C62</f>
        <v>970.83766332857158</v>
      </c>
      <c r="D74" s="130">
        <f>+D53</f>
        <v>12.327272727272728</v>
      </c>
      <c r="E74" s="131">
        <f>+C74/D74</f>
        <v>78.755267674146651</v>
      </c>
      <c r="F74" s="70"/>
      <c r="G74" s="128"/>
      <c r="H74" s="72"/>
      <c r="I74" s="128"/>
      <c r="J74" s="55"/>
    </row>
    <row r="75" spans="2:10" x14ac:dyDescent="0.2">
      <c r="B75" s="132"/>
      <c r="C75" s="133"/>
      <c r="D75" s="134"/>
      <c r="E75" s="116"/>
      <c r="F75" s="70"/>
      <c r="G75" s="128"/>
      <c r="H75" s="72"/>
      <c r="I75" s="72"/>
      <c r="J75" s="55"/>
    </row>
    <row r="76" spans="2:10" x14ac:dyDescent="0.2">
      <c r="B76" s="129" t="s">
        <v>106</v>
      </c>
      <c r="C76" s="130">
        <f>+C64</f>
        <v>1038.2728082962356</v>
      </c>
      <c r="D76" s="130">
        <f>+D53</f>
        <v>12.327272727272728</v>
      </c>
      <c r="E76" s="135">
        <f>+C76/D76</f>
        <v>84.225670289517623</v>
      </c>
      <c r="F76" s="70"/>
      <c r="G76" s="128"/>
      <c r="H76" s="72"/>
      <c r="I76" s="72"/>
      <c r="J76" s="55"/>
    </row>
    <row r="77" spans="2:10" x14ac:dyDescent="0.2">
      <c r="B77" s="129"/>
      <c r="C77" s="130"/>
      <c r="D77" s="130"/>
      <c r="E77" s="135"/>
      <c r="F77" s="70"/>
      <c r="G77" s="128"/>
      <c r="H77" s="72"/>
      <c r="I77" s="72"/>
      <c r="J77" s="55"/>
    </row>
    <row r="78" spans="2:10" ht="13.5" thickBot="1" x14ac:dyDescent="0.25">
      <c r="B78" s="129" t="s">
        <v>108</v>
      </c>
      <c r="C78" s="130">
        <f>+C66</f>
        <v>275</v>
      </c>
      <c r="D78" s="130">
        <f>+D53</f>
        <v>12.327272727272728</v>
      </c>
      <c r="E78" s="135">
        <f>+C78/D78</f>
        <v>22.308259587020647</v>
      </c>
      <c r="F78" s="137"/>
      <c r="G78" s="127"/>
      <c r="H78" s="54"/>
      <c r="I78" s="72"/>
    </row>
    <row r="79" spans="2:10" ht="13.5" thickBot="1" x14ac:dyDescent="0.25">
      <c r="B79" s="129" t="s">
        <v>108</v>
      </c>
      <c r="C79" s="130">
        <f>+C67</f>
        <v>679.72727272727275</v>
      </c>
      <c r="D79" s="130">
        <f>+D78</f>
        <v>12.327272727272728</v>
      </c>
      <c r="E79" s="131">
        <f>+C79/D79</f>
        <v>55.140117994100294</v>
      </c>
      <c r="F79" s="136"/>
      <c r="G79" s="127"/>
      <c r="H79" s="54"/>
      <c r="I79" s="54"/>
    </row>
    <row r="80" spans="2:10" x14ac:dyDescent="0.2">
      <c r="I80" s="54"/>
    </row>
    <row r="81" spans="1:7" x14ac:dyDescent="0.2">
      <c r="A81" s="298"/>
      <c r="B81" s="298"/>
      <c r="C81" s="138"/>
      <c r="D81" s="138"/>
      <c r="E81" s="139"/>
      <c r="G81" s="140"/>
    </row>
    <row r="82" spans="1:7" x14ac:dyDescent="0.2">
      <c r="A82" s="73"/>
      <c r="B82" s="141"/>
      <c r="C82" s="142"/>
      <c r="D82" s="142"/>
      <c r="E82" s="143"/>
      <c r="G82" s="140"/>
    </row>
    <row r="83" spans="1:7" x14ac:dyDescent="0.2">
      <c r="A83" s="73"/>
      <c r="B83" s="141"/>
      <c r="C83" s="144"/>
      <c r="D83" s="144"/>
      <c r="E83" s="73"/>
      <c r="G83" s="140"/>
    </row>
    <row r="84" spans="1:7" x14ac:dyDescent="0.2">
      <c r="A84" s="73"/>
      <c r="B84" s="141"/>
      <c r="C84" s="145"/>
      <c r="D84" s="145"/>
      <c r="E84" s="73"/>
      <c r="G84" s="140"/>
    </row>
  </sheetData>
  <mergeCells count="31">
    <mergeCell ref="A81:B81"/>
    <mergeCell ref="B58:C58"/>
    <mergeCell ref="B59:E59"/>
    <mergeCell ref="H59:H60"/>
    <mergeCell ref="B61:F61"/>
    <mergeCell ref="B71:D71"/>
    <mergeCell ref="B73:F73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K27:L27"/>
    <mergeCell ref="B46:E46"/>
    <mergeCell ref="B47:E47"/>
    <mergeCell ref="K47:N47"/>
    <mergeCell ref="B48:E48"/>
    <mergeCell ref="L48:N48"/>
    <mergeCell ref="K26:L26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5F52-2F87-47DD-8019-1AA0FB3725C8}">
  <dimension ref="A1:AK43"/>
  <sheetViews>
    <sheetView topLeftCell="A13" workbookViewId="0">
      <selection activeCell="K5" sqref="K5"/>
    </sheetView>
  </sheetViews>
  <sheetFormatPr baseColWidth="10" defaultColWidth="8.42578125" defaultRowHeight="11.25" x14ac:dyDescent="0.2"/>
  <cols>
    <col min="1" max="1" width="7.5703125" style="146" customWidth="1"/>
    <col min="2" max="2" width="7.7109375" style="146" bestFit="1" customWidth="1"/>
    <col min="3" max="3" width="39.28515625" style="146" customWidth="1"/>
    <col min="4" max="4" width="10" style="146" bestFit="1" customWidth="1"/>
    <col min="5" max="5" width="9.42578125" style="146" bestFit="1" customWidth="1"/>
    <col min="6" max="6" width="11.7109375" style="190" customWidth="1"/>
    <col min="7" max="7" width="8.7109375" style="191" bestFit="1" customWidth="1"/>
    <col min="8" max="8" width="10.28515625" style="192" bestFit="1" customWidth="1"/>
    <col min="9" max="16384" width="8.42578125" style="146"/>
  </cols>
  <sheetData>
    <row r="1" spans="2:8" ht="36" customHeight="1" thickBot="1" x14ac:dyDescent="0.35">
      <c r="B1" s="309" t="s">
        <v>140</v>
      </c>
      <c r="C1" s="310"/>
      <c r="D1" s="310"/>
      <c r="E1" s="310"/>
      <c r="F1" s="310"/>
      <c r="G1" s="310"/>
      <c r="H1" s="311"/>
    </row>
    <row r="2" spans="2:8" ht="19.5" customHeight="1" thickBot="1" x14ac:dyDescent="0.25">
      <c r="B2" s="312" t="s">
        <v>115</v>
      </c>
      <c r="C2" s="312"/>
      <c r="D2" s="312"/>
      <c r="E2" s="312"/>
      <c r="F2" s="312"/>
      <c r="G2" s="312"/>
      <c r="H2" s="312"/>
    </row>
    <row r="3" spans="2:8" ht="19.5" customHeight="1" thickTop="1" x14ac:dyDescent="0.2">
      <c r="B3" s="313" t="s">
        <v>116</v>
      </c>
      <c r="C3" s="313"/>
      <c r="D3" s="313"/>
      <c r="E3" s="313"/>
      <c r="F3" s="313"/>
      <c r="G3" s="313"/>
      <c r="H3" s="313"/>
    </row>
    <row r="4" spans="2:8" ht="19.5" customHeight="1" x14ac:dyDescent="0.2">
      <c r="B4" s="147"/>
      <c r="C4" s="147"/>
      <c r="D4" s="147"/>
      <c r="E4" s="147"/>
      <c r="F4" s="314" t="s">
        <v>68</v>
      </c>
      <c r="G4" s="314"/>
      <c r="H4" s="61"/>
    </row>
    <row r="5" spans="2:8" ht="30" customHeight="1" x14ac:dyDescent="0.2">
      <c r="B5" s="148" t="s">
        <v>100</v>
      </c>
      <c r="C5" s="148" t="s">
        <v>70</v>
      </c>
      <c r="D5" s="148" t="s">
        <v>100</v>
      </c>
      <c r="E5" s="149" t="s">
        <v>117</v>
      </c>
      <c r="F5" s="149" t="s">
        <v>118</v>
      </c>
      <c r="G5" s="149" t="s">
        <v>119</v>
      </c>
      <c r="H5" s="149" t="s">
        <v>120</v>
      </c>
    </row>
    <row r="6" spans="2:8" s="150" customFormat="1" ht="20.100000000000001" customHeight="1" x14ac:dyDescent="0.2">
      <c r="B6" s="151">
        <v>1</v>
      </c>
      <c r="C6" s="150" t="s">
        <v>141</v>
      </c>
      <c r="D6" s="152">
        <f>+B6</f>
        <v>1</v>
      </c>
      <c r="E6" s="152">
        <f>+'Costeo Galleta'!F46</f>
        <v>970.83766332857158</v>
      </c>
      <c r="F6" s="153">
        <f>+D6*E6</f>
        <v>970.83766332857158</v>
      </c>
      <c r="G6" s="154">
        <f>+F6/$F$23</f>
        <v>0.705521095676646</v>
      </c>
      <c r="H6" s="155" t="s">
        <v>121</v>
      </c>
    </row>
    <row r="7" spans="2:8" s="150" customFormat="1" ht="20.100000000000001" customHeight="1" x14ac:dyDescent="0.2">
      <c r="B7" s="151"/>
      <c r="D7" s="152"/>
      <c r="E7" s="152"/>
      <c r="F7" s="153"/>
      <c r="G7" s="154"/>
      <c r="H7" s="155"/>
    </row>
    <row r="8" spans="2:8" ht="30" customHeight="1" x14ac:dyDescent="0.2">
      <c r="B8" s="148" t="s">
        <v>100</v>
      </c>
      <c r="C8" s="148" t="s">
        <v>27</v>
      </c>
      <c r="D8" s="148" t="s">
        <v>100</v>
      </c>
      <c r="E8" s="149" t="s">
        <v>117</v>
      </c>
      <c r="F8" s="149" t="s">
        <v>118</v>
      </c>
      <c r="G8" s="149" t="s">
        <v>119</v>
      </c>
      <c r="H8" s="149" t="s">
        <v>120</v>
      </c>
    </row>
    <row r="9" spans="2:8" s="150" customFormat="1" ht="20.100000000000001" customHeight="1" x14ac:dyDescent="0.2">
      <c r="B9" s="151">
        <v>1</v>
      </c>
      <c r="C9" s="150" t="s">
        <v>122</v>
      </c>
      <c r="D9" s="152">
        <f>+B9</f>
        <v>1</v>
      </c>
      <c r="E9" s="152">
        <f>+'Costeo Galleta'!F47</f>
        <v>48.018391701092554</v>
      </c>
      <c r="F9" s="153">
        <f>+D9*E9</f>
        <v>48.018391701092554</v>
      </c>
      <c r="G9" s="154">
        <f>+F9/$F$23</f>
        <v>3.4895626328950401E-2</v>
      </c>
      <c r="H9" s="155" t="s">
        <v>123</v>
      </c>
    </row>
    <row r="10" spans="2:8" s="156" customFormat="1" ht="17.25" customHeight="1" x14ac:dyDescent="0.2">
      <c r="B10" s="157"/>
      <c r="C10" s="158"/>
      <c r="D10" s="159"/>
      <c r="E10" s="159"/>
      <c r="F10" s="160"/>
      <c r="G10" s="161"/>
      <c r="H10" s="162"/>
    </row>
    <row r="11" spans="2:8" s="156" customFormat="1" ht="12" x14ac:dyDescent="0.2">
      <c r="B11" s="151"/>
      <c r="C11" s="287" t="s">
        <v>124</v>
      </c>
      <c r="D11" s="287"/>
      <c r="E11" s="152"/>
      <c r="F11" s="87">
        <f>SUM(F6)</f>
        <v>970.83766332857158</v>
      </c>
      <c r="G11" s="163">
        <f>+F11/$F$23</f>
        <v>0.705521095676646</v>
      </c>
      <c r="H11" s="155"/>
    </row>
    <row r="12" spans="2:8" s="156" customFormat="1" ht="12.75" thickBot="1" x14ac:dyDescent="0.25">
      <c r="B12" s="151"/>
      <c r="C12" s="287" t="s">
        <v>125</v>
      </c>
      <c r="D12" s="287"/>
      <c r="E12" s="152"/>
      <c r="F12" s="164">
        <f>SUM(F9)</f>
        <v>48.018391701092554</v>
      </c>
      <c r="G12" s="163">
        <f>+F12/$F$23</f>
        <v>3.4895626328950401E-2</v>
      </c>
      <c r="H12" s="155"/>
    </row>
    <row r="13" spans="2:8" s="156" customFormat="1" ht="12.75" thickTop="1" x14ac:dyDescent="0.2">
      <c r="B13" s="151"/>
      <c r="C13" s="292" t="s">
        <v>83</v>
      </c>
      <c r="D13" s="292"/>
      <c r="E13" s="292"/>
      <c r="F13" s="99">
        <f>SUM(F11:F12)</f>
        <v>1018.8560550296642</v>
      </c>
      <c r="G13" s="163">
        <f>+F13/$F$23</f>
        <v>0.74041672200559649</v>
      </c>
      <c r="H13" s="155"/>
    </row>
    <row r="14" spans="2:8" s="156" customFormat="1" ht="12" x14ac:dyDescent="0.2">
      <c r="C14" s="95"/>
      <c r="D14" s="95"/>
      <c r="E14" s="165"/>
      <c r="F14" s="166"/>
      <c r="G14" s="163"/>
    </row>
    <row r="15" spans="2:8" s="156" customFormat="1" ht="12" x14ac:dyDescent="0.2">
      <c r="B15" s="287" t="s">
        <v>83</v>
      </c>
      <c r="C15" s="287"/>
      <c r="D15" s="287"/>
      <c r="E15" s="167" t="s">
        <v>126</v>
      </c>
      <c r="F15" s="87">
        <f>+F13</f>
        <v>1018.8560550296642</v>
      </c>
      <c r="G15" s="163">
        <f t="shared" ref="G15:G23" si="0">+F15/$F$23</f>
        <v>0.74041672200559649</v>
      </c>
      <c r="H15" s="168"/>
    </row>
    <row r="16" spans="2:8" s="156" customFormat="1" ht="12.75" customHeight="1" thickBot="1" x14ac:dyDescent="0.25">
      <c r="B16" s="90"/>
      <c r="C16" s="287" t="s">
        <v>85</v>
      </c>
      <c r="D16" s="287"/>
      <c r="E16" s="169"/>
      <c r="F16" s="87">
        <f>+'Costeo Galleta'!H49</f>
        <v>55.140117994100294</v>
      </c>
      <c r="G16" s="163">
        <f t="shared" si="0"/>
        <v>4.0071082872452347E-2</v>
      </c>
      <c r="H16" s="168"/>
    </row>
    <row r="17" spans="1:37" s="156" customFormat="1" ht="12.75" hidden="1" customHeight="1" x14ac:dyDescent="0.2">
      <c r="B17" s="90"/>
      <c r="C17" s="287" t="s">
        <v>127</v>
      </c>
      <c r="D17" s="287"/>
      <c r="E17" s="170">
        <v>0</v>
      </c>
      <c r="F17" s="87">
        <f>+(F15+F16)*E17</f>
        <v>0</v>
      </c>
      <c r="G17" s="163">
        <f t="shared" si="0"/>
        <v>0</v>
      </c>
      <c r="H17" s="168"/>
    </row>
    <row r="18" spans="1:37" s="156" customFormat="1" ht="12.75" hidden="1" thickBot="1" x14ac:dyDescent="0.25">
      <c r="B18" s="90"/>
      <c r="C18" s="287" t="s">
        <v>128</v>
      </c>
      <c r="D18" s="287"/>
      <c r="E18" s="170">
        <v>0</v>
      </c>
      <c r="F18" s="87">
        <f>+F16*E18</f>
        <v>0</v>
      </c>
      <c r="G18" s="163">
        <f t="shared" si="0"/>
        <v>0</v>
      </c>
      <c r="H18" s="168"/>
    </row>
    <row r="19" spans="1:37" s="156" customFormat="1" ht="12.75" thickBot="1" x14ac:dyDescent="0.25">
      <c r="B19" s="95"/>
      <c r="C19" s="315"/>
      <c r="D19" s="315"/>
      <c r="E19" s="316"/>
      <c r="F19" s="98">
        <f>SUM(F15:F18)</f>
        <v>1073.9961730237644</v>
      </c>
      <c r="G19" s="171">
        <f>+F19/$F$21</f>
        <v>0.79999999999999993</v>
      </c>
      <c r="H19" s="168"/>
    </row>
    <row r="20" spans="1:37" s="156" customFormat="1" ht="12" x14ac:dyDescent="0.2">
      <c r="B20" s="95"/>
      <c r="C20" s="287" t="s">
        <v>90</v>
      </c>
      <c r="D20" s="287"/>
      <c r="E20" s="103">
        <v>0.25</v>
      </c>
      <c r="F20" s="87">
        <f>+F19*E20</f>
        <v>268.4990432559411</v>
      </c>
      <c r="G20" s="163">
        <f t="shared" si="0"/>
        <v>0.1951219512195122</v>
      </c>
      <c r="H20" s="168"/>
    </row>
    <row r="21" spans="1:37" s="156" customFormat="1" ht="12" x14ac:dyDescent="0.2">
      <c r="B21" s="95"/>
      <c r="C21" s="287" t="s">
        <v>88</v>
      </c>
      <c r="D21" s="287"/>
      <c r="E21" s="287"/>
      <c r="F21" s="87">
        <f>SUM(F19:F20)</f>
        <v>1342.4952162797056</v>
      </c>
      <c r="G21" s="163">
        <f t="shared" si="0"/>
        <v>0.97560975609756106</v>
      </c>
      <c r="H21" s="168"/>
    </row>
    <row r="22" spans="1:37" s="156" customFormat="1" ht="12.75" thickBot="1" x14ac:dyDescent="0.25">
      <c r="B22" s="95"/>
      <c r="C22" s="287" t="s">
        <v>93</v>
      </c>
      <c r="D22" s="287"/>
      <c r="E22" s="103">
        <v>2.5000000000000001E-2</v>
      </c>
      <c r="F22" s="87">
        <f>+F21*E22</f>
        <v>33.562380406992638</v>
      </c>
      <c r="G22" s="163">
        <f t="shared" si="0"/>
        <v>2.4390243902439025E-2</v>
      </c>
      <c r="H22" s="168"/>
    </row>
    <row r="23" spans="1:37" s="156" customFormat="1" ht="12.75" thickBot="1" x14ac:dyDescent="0.25">
      <c r="B23" s="95"/>
      <c r="C23" s="292" t="s">
        <v>95</v>
      </c>
      <c r="D23" s="292"/>
      <c r="E23" s="293"/>
      <c r="F23" s="98">
        <f>SUM(F21:F22)</f>
        <v>1376.0575966866982</v>
      </c>
      <c r="G23" s="163">
        <f t="shared" si="0"/>
        <v>1</v>
      </c>
      <c r="H23" s="172"/>
    </row>
    <row r="24" spans="1:37" s="156" customFormat="1" ht="12.75" thickBot="1" x14ac:dyDescent="0.25">
      <c r="B24" s="95"/>
      <c r="C24" s="173"/>
      <c r="D24" s="173"/>
      <c r="E24" s="173"/>
      <c r="F24" s="99"/>
      <c r="G24" s="174"/>
      <c r="H24" s="172"/>
    </row>
    <row r="25" spans="1:37" s="175" customFormat="1" ht="19.5" customHeight="1" thickBot="1" x14ac:dyDescent="0.25">
      <c r="A25" s="317"/>
      <c r="B25" s="318"/>
      <c r="C25" s="318"/>
      <c r="D25" s="318"/>
      <c r="E25" s="318"/>
      <c r="F25" s="318"/>
      <c r="G25" s="318"/>
      <c r="H25" s="318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</row>
    <row r="26" spans="1:37" s="156" customFormat="1" ht="19.5" customHeight="1" thickBot="1" x14ac:dyDescent="0.25">
      <c r="F26" s="176"/>
      <c r="G26" s="177"/>
      <c r="H26" s="168"/>
    </row>
    <row r="27" spans="1:37" s="156" customFormat="1" ht="13.5" customHeight="1" thickBot="1" x14ac:dyDescent="0.25">
      <c r="B27" s="95"/>
      <c r="C27" s="292" t="s">
        <v>95</v>
      </c>
      <c r="D27" s="292"/>
      <c r="E27" s="293"/>
      <c r="F27" s="98">
        <f>+F23</f>
        <v>1376.0575966866982</v>
      </c>
      <c r="H27" s="168"/>
    </row>
    <row r="28" spans="1:37" s="156" customFormat="1" ht="13.5" customHeight="1" x14ac:dyDescent="0.2">
      <c r="B28" s="95"/>
      <c r="C28" s="320" t="s">
        <v>129</v>
      </c>
      <c r="D28" s="320" t="s">
        <v>130</v>
      </c>
      <c r="E28" s="103">
        <v>0.1</v>
      </c>
      <c r="F28" s="178">
        <f>+F27*E28</f>
        <v>137.60575966866983</v>
      </c>
      <c r="G28" s="179" t="s">
        <v>131</v>
      </c>
      <c r="H28" s="168" t="s">
        <v>132</v>
      </c>
    </row>
    <row r="29" spans="1:37" s="156" customFormat="1" ht="13.5" customHeight="1" x14ac:dyDescent="0.2">
      <c r="B29" s="95"/>
      <c r="C29" s="323" t="s">
        <v>133</v>
      </c>
      <c r="D29" s="323"/>
      <c r="E29" s="323"/>
      <c r="F29" s="178">
        <f>SUM(F27:F28)</f>
        <v>1513.663356355368</v>
      </c>
      <c r="G29" s="179">
        <f>+F29/$F$31</f>
        <v>0.68965517241379315</v>
      </c>
      <c r="H29" s="180">
        <f>1-(F29/F31)</f>
        <v>0.31034482758620685</v>
      </c>
    </row>
    <row r="30" spans="1:37" s="156" customFormat="1" ht="12" x14ac:dyDescent="0.2">
      <c r="B30" s="158"/>
      <c r="C30" s="320" t="s">
        <v>134</v>
      </c>
      <c r="D30" s="320"/>
      <c r="E30" s="103">
        <v>0.45</v>
      </c>
      <c r="F30" s="87">
        <f>+F29*E30</f>
        <v>681.14851035991558</v>
      </c>
      <c r="G30" s="174"/>
      <c r="H30" s="181"/>
    </row>
    <row r="31" spans="1:37" s="156" customFormat="1" ht="12.75" thickBot="1" x14ac:dyDescent="0.25">
      <c r="B31" s="158"/>
      <c r="C31" s="320" t="s">
        <v>135</v>
      </c>
      <c r="D31" s="320"/>
      <c r="E31" s="182"/>
      <c r="F31" s="87">
        <f>SUM(F29:F30)</f>
        <v>2194.8118667152835</v>
      </c>
      <c r="G31" s="174"/>
      <c r="H31" s="172"/>
    </row>
    <row r="32" spans="1:37" s="156" customFormat="1" ht="12.75" thickBot="1" x14ac:dyDescent="0.25">
      <c r="B32" s="158"/>
      <c r="C32" s="324" t="s">
        <v>136</v>
      </c>
      <c r="D32" s="324"/>
      <c r="E32" s="183">
        <v>0.13</v>
      </c>
      <c r="F32" s="184">
        <f>+F31*(1+E32)</f>
        <v>2480.13740938827</v>
      </c>
      <c r="G32" s="174"/>
      <c r="H32" s="172"/>
    </row>
    <row r="33" spans="1:37" s="156" customFormat="1" ht="12.75" thickBot="1" x14ac:dyDescent="0.25">
      <c r="A33" s="317"/>
      <c r="B33" s="318"/>
      <c r="C33" s="318"/>
      <c r="D33" s="318"/>
      <c r="E33" s="318"/>
      <c r="F33" s="318"/>
      <c r="G33" s="318"/>
      <c r="H33" s="318"/>
    </row>
    <row r="34" spans="1:37" s="156" customFormat="1" ht="12" x14ac:dyDescent="0.2">
      <c r="B34" s="158"/>
      <c r="C34" s="319" t="s">
        <v>137</v>
      </c>
      <c r="D34" s="319"/>
      <c r="E34" s="185">
        <v>0.65</v>
      </c>
      <c r="F34" s="186">
        <f>+F31/0.65</f>
        <v>3376.6336411004359</v>
      </c>
      <c r="G34" s="174"/>
      <c r="H34" s="172"/>
    </row>
    <row r="35" spans="1:37" s="156" customFormat="1" ht="12" x14ac:dyDescent="0.2">
      <c r="B35" s="158"/>
      <c r="C35" s="320" t="s">
        <v>138</v>
      </c>
      <c r="D35" s="320"/>
      <c r="E35" s="185">
        <v>0.13</v>
      </c>
      <c r="F35" s="186">
        <f>+F34*1.13</f>
        <v>3815.5960144434921</v>
      </c>
      <c r="G35" s="174"/>
      <c r="H35" s="172"/>
    </row>
    <row r="36" spans="1:37" s="156" customFormat="1" ht="12.75" thickBot="1" x14ac:dyDescent="0.25">
      <c r="C36" s="294"/>
      <c r="D36" s="294"/>
      <c r="F36" s="187"/>
      <c r="G36" s="188"/>
      <c r="H36" s="168"/>
    </row>
    <row r="37" spans="1:37" s="175" customFormat="1" ht="19.5" customHeight="1" thickBot="1" x14ac:dyDescent="0.3">
      <c r="A37" s="321" t="s">
        <v>139</v>
      </c>
      <c r="B37" s="322"/>
      <c r="C37" s="322"/>
      <c r="D37" s="322"/>
      <c r="E37" s="322"/>
      <c r="F37" s="322"/>
      <c r="G37" s="322"/>
      <c r="H37" s="322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</row>
    <row r="38" spans="1:37" s="156" customFormat="1" ht="12" x14ac:dyDescent="0.2">
      <c r="F38" s="189"/>
      <c r="G38" s="188"/>
      <c r="H38" s="168"/>
    </row>
    <row r="43" spans="1:37" ht="12" x14ac:dyDescent="0.2">
      <c r="H43" s="160"/>
    </row>
  </sheetData>
  <mergeCells count="28"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12:D12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77A673-6263-419D-A5A4-E82918455E9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FD2CAB3-360E-4BE2-8DC8-36665E7EF7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F98A36-4541-41F7-9B6E-BA712DC773AA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E9E1740-6CD3-47CF-9C07-273748AC07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40001 REC ENSAMBLE</vt:lpstr>
      <vt:lpstr>Hoja1</vt:lpstr>
      <vt:lpstr>Costeo Galleta</vt:lpstr>
      <vt:lpstr>Precio</vt:lpstr>
      <vt:lpstr>'40001 REC ENSAMBLE'!Área_de_impresión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2025-09-27T13:47:32Z</cp:lastPrinted>
  <dcterms:created xsi:type="dcterms:W3CDTF">2012-05-10T22:32:20Z</dcterms:created>
  <dcterms:modified xsi:type="dcterms:W3CDTF">2025-09-27T13:52:56Z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
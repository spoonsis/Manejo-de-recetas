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2" documentId="8_{9A1EB042-084D-4AD1-9DA7-91900863053E}" xr6:coauthVersionLast="47" xr6:coauthVersionMax="47" xr10:uidLastSave="{DB2ADDC5-1E4E-4F03-8232-1BCDF31C7699}"/>
  <bookViews>
    <workbookView xWindow="-120" yWindow="-120" windowWidth="20730" windowHeight="11040" tabRatio="824" firstSheet="20" activeTab="20" xr2:uid="{C65495A1-A065-410C-BF9C-8DF07523DC1D}"/>
  </bookViews>
  <sheets>
    <sheet name="Ensamble Industria" sheetId="1" state="hidden" r:id="rId1"/>
    <sheet name="Ensamble 2 Industria " sheetId="15" state="hidden" r:id="rId2"/>
    <sheet name="Ensamble Industria 3" sheetId="27" state="hidden" r:id="rId3"/>
    <sheet name="ENSAMBLE INDUSTRIA 4" sheetId="28" state="hidden" r:id="rId4"/>
    <sheet name="Costo Ensamble Industria" sheetId="14" state="hidden" r:id="rId5"/>
    <sheet name="Ensamble Local" sheetId="2" state="hidden" r:id="rId6"/>
    <sheet name="Ensamble local 2" sheetId="18" state="hidden" r:id="rId7"/>
    <sheet name="Ensamble Local 3" sheetId="26" state="hidden" r:id="rId8"/>
    <sheet name="Ensamble Local 4" sheetId="29" state="hidden" r:id="rId9"/>
    <sheet name="Base de Galleta Cheese cake " sheetId="19" state="hidden" r:id="rId10"/>
    <sheet name="Costo ensamble local" sheetId="13" state="hidden" r:id="rId11"/>
    <sheet name="Corte Galleta Chilena " sheetId="20" state="hidden" r:id="rId12"/>
    <sheet name="Pasta Torta Chilena " sheetId="21" state="hidden" r:id="rId13"/>
    <sheet name="Premezcla pasta Chilena " sheetId="22" state="hidden" r:id="rId14"/>
    <sheet name="Crema Dulce Leche" sheetId="23" state="hidden" r:id="rId15"/>
    <sheet name="Topping caramelo pecana" sheetId="5" state="hidden" r:id="rId16"/>
    <sheet name="Costo Topping caramelo pecana " sheetId="12" state="hidden" r:id="rId17"/>
    <sheet name="Salsa caramelo" sheetId="7" state="hidden" r:id="rId18"/>
    <sheet name="Costo Salsa Caramelo" sheetId="11" state="hidden" r:id="rId19"/>
    <sheet name="Costo Pecana Tostada" sheetId="10" state="hidden" r:id="rId20"/>
    <sheet name="RELLENO PIE PECANAS" sheetId="3" r:id="rId21"/>
    <sheet name="Costo relleno pie pecanas" sheetId="9" state="hidden" r:id="rId22"/>
    <sheet name="RELLENO CK Y MANJAR" sheetId="4" state="hidden" r:id="rId23"/>
    <sheet name="Costo relleno CK y Manjar " sheetId="8" state="hidden" r:id="rId24"/>
    <sheet name="Costo Relleno CK Premium" sheetId="17" state="hidden" r:id="rId25"/>
  </sheets>
  <externalReferences>
    <externalReference r:id="rId26"/>
    <externalReference r:id="rId27"/>
  </externalReferences>
  <definedNames>
    <definedName name="_xlnm.Print_Area" localSheetId="0">'Ensamble Industria'!$A$1:$I$47</definedName>
    <definedName name="_xlnm.Print_Area" localSheetId="22">'RELLENO CK Y MANJAR'!$A$1:$I$38</definedName>
    <definedName name="_xlnm.Print_Area" localSheetId="20">'RELLENO PIE PECANAS'!$A$1:$I$38</definedName>
    <definedName name="_xlnm.Print_Area" localSheetId="17">'Salsa caramelo'!$A$1:$I$35</definedName>
    <definedName name="_xlnm.Print_Area" localSheetId="15">'Topping caramelo pecana'!$A$1:$I$36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5" i="3" l="1"/>
  <c r="O71" i="13"/>
  <c r="O16" i="13"/>
  <c r="O8" i="13"/>
  <c r="D22" i="19"/>
  <c r="H20" i="19"/>
  <c r="D20" i="19"/>
  <c r="D74" i="13"/>
  <c r="D75" i="13" s="1"/>
  <c r="D77" i="13" s="1"/>
  <c r="C74" i="13"/>
  <c r="C86" i="13" s="1"/>
  <c r="D72" i="13"/>
  <c r="D70" i="13"/>
  <c r="F66" i="13"/>
  <c r="D61" i="13"/>
  <c r="D82" i="13" s="1"/>
  <c r="F52" i="13"/>
  <c r="E52" i="13"/>
  <c r="C52" i="13"/>
  <c r="E51" i="13"/>
  <c r="F51" i="13" s="1"/>
  <c r="D51" i="13"/>
  <c r="B51" i="13"/>
  <c r="E50" i="13"/>
  <c r="D50" i="13"/>
  <c r="B50" i="13"/>
  <c r="E49" i="13"/>
  <c r="D49" i="13"/>
  <c r="B49" i="13"/>
  <c r="E45" i="13"/>
  <c r="D45" i="13"/>
  <c r="B45" i="13"/>
  <c r="E42" i="13"/>
  <c r="D42" i="13"/>
  <c r="B42" i="13"/>
  <c r="A42" i="13"/>
  <c r="A51" i="13" s="1"/>
  <c r="C51" i="13" s="1"/>
  <c r="E41" i="13"/>
  <c r="D41" i="13"/>
  <c r="B41" i="13"/>
  <c r="A41" i="13"/>
  <c r="C41" i="13" s="1"/>
  <c r="E40" i="13"/>
  <c r="D40" i="13"/>
  <c r="B40" i="13"/>
  <c r="A40" i="13"/>
  <c r="A49" i="13" s="1"/>
  <c r="C49" i="13" s="1"/>
  <c r="C39" i="13"/>
  <c r="A39" i="13"/>
  <c r="A48" i="13" s="1"/>
  <c r="C48" i="13" s="1"/>
  <c r="C38" i="13"/>
  <c r="A38" i="13"/>
  <c r="A47" i="13" s="1"/>
  <c r="C47" i="13" s="1"/>
  <c r="C37" i="13"/>
  <c r="A37" i="13"/>
  <c r="A46" i="13" s="1"/>
  <c r="C46" i="13" s="1"/>
  <c r="E36" i="13"/>
  <c r="D36" i="13"/>
  <c r="B36" i="13"/>
  <c r="A36" i="13"/>
  <c r="A45" i="13" s="1"/>
  <c r="C45" i="13" s="1"/>
  <c r="F33" i="13"/>
  <c r="D33" i="13"/>
  <c r="C33" i="13"/>
  <c r="B33" i="13"/>
  <c r="D32" i="13"/>
  <c r="C32" i="13"/>
  <c r="F32" i="13" s="1"/>
  <c r="B32" i="13"/>
  <c r="D31" i="13"/>
  <c r="C31" i="13"/>
  <c r="F31" i="13" s="1"/>
  <c r="B31" i="13"/>
  <c r="F30" i="13"/>
  <c r="D30" i="13"/>
  <c r="C30" i="13"/>
  <c r="B30" i="13"/>
  <c r="F29" i="13"/>
  <c r="D29" i="13"/>
  <c r="C29" i="13"/>
  <c r="B29" i="13"/>
  <c r="F28" i="13"/>
  <c r="D28" i="13"/>
  <c r="C28" i="13"/>
  <c r="B28" i="13"/>
  <c r="D27" i="13"/>
  <c r="C27" i="13"/>
  <c r="F27" i="13" s="1"/>
  <c r="B27" i="13"/>
  <c r="E24" i="13"/>
  <c r="F24" i="13" s="1"/>
  <c r="D24" i="13"/>
  <c r="C24" i="13"/>
  <c r="B24" i="13"/>
  <c r="E23" i="13"/>
  <c r="F23" i="13" s="1"/>
  <c r="D23" i="13"/>
  <c r="C23" i="13"/>
  <c r="B23" i="13"/>
  <c r="E22" i="13"/>
  <c r="F22" i="13" s="1"/>
  <c r="D22" i="13"/>
  <c r="C22" i="13"/>
  <c r="B22" i="13"/>
  <c r="E21" i="13"/>
  <c r="F21" i="13" s="1"/>
  <c r="D21" i="13"/>
  <c r="C21" i="13"/>
  <c r="B21" i="13"/>
  <c r="C20" i="13"/>
  <c r="C19" i="13"/>
  <c r="C18" i="13"/>
  <c r="D17" i="13"/>
  <c r="C17" i="13"/>
  <c r="F17" i="13" s="1"/>
  <c r="B17" i="13"/>
  <c r="B15" i="13"/>
  <c r="E14" i="13"/>
  <c r="D14" i="13"/>
  <c r="C14" i="13"/>
  <c r="B14" i="13"/>
  <c r="E13" i="13"/>
  <c r="D13" i="13"/>
  <c r="C13" i="13"/>
  <c r="B13" i="13"/>
  <c r="E12" i="13"/>
  <c r="D12" i="13"/>
  <c r="C12" i="13"/>
  <c r="B12" i="13"/>
  <c r="E11" i="13"/>
  <c r="D11" i="13"/>
  <c r="C11" i="13"/>
  <c r="B11" i="13"/>
  <c r="C10" i="13"/>
  <c r="C9" i="13"/>
  <c r="F9" i="13" s="1"/>
  <c r="C8" i="13"/>
  <c r="F8" i="13" s="1"/>
  <c r="H6" i="13"/>
  <c r="D79" i="17"/>
  <c r="D80" i="17" s="1"/>
  <c r="D82" i="17" s="1"/>
  <c r="D77" i="17"/>
  <c r="D75" i="17"/>
  <c r="F71" i="17"/>
  <c r="D66" i="17"/>
  <c r="D91" i="17" s="1"/>
  <c r="D92" i="17" s="1"/>
  <c r="E57" i="17"/>
  <c r="F57" i="17" s="1"/>
  <c r="C57" i="17"/>
  <c r="E56" i="17"/>
  <c r="D56" i="17"/>
  <c r="B56" i="17"/>
  <c r="E55" i="17"/>
  <c r="F55" i="17" s="1"/>
  <c r="D55" i="17"/>
  <c r="B55" i="17"/>
  <c r="A55" i="17"/>
  <c r="C55" i="17" s="1"/>
  <c r="E54" i="17"/>
  <c r="D54" i="17"/>
  <c r="B54" i="17"/>
  <c r="E53" i="17"/>
  <c r="D53" i="17"/>
  <c r="B53" i="17"/>
  <c r="E52" i="17"/>
  <c r="D52" i="17"/>
  <c r="B52" i="17"/>
  <c r="A52" i="17"/>
  <c r="C52" i="17" s="1"/>
  <c r="E51" i="17"/>
  <c r="F51" i="17" s="1"/>
  <c r="D51" i="17"/>
  <c r="B51" i="17"/>
  <c r="E50" i="17"/>
  <c r="D50" i="17"/>
  <c r="B50" i="17"/>
  <c r="E47" i="17"/>
  <c r="F47" i="17" s="1"/>
  <c r="D47" i="17"/>
  <c r="C47" i="17"/>
  <c r="B47" i="17"/>
  <c r="A47" i="17"/>
  <c r="A56" i="17" s="1"/>
  <c r="C56" i="17" s="1"/>
  <c r="E46" i="17"/>
  <c r="F46" i="17" s="1"/>
  <c r="D46" i="17"/>
  <c r="B46" i="17"/>
  <c r="A46" i="17"/>
  <c r="C46" i="17" s="1"/>
  <c r="E45" i="17"/>
  <c r="D45" i="17"/>
  <c r="B45" i="17"/>
  <c r="A45" i="17"/>
  <c r="C45" i="17" s="1"/>
  <c r="E44" i="17"/>
  <c r="F44" i="17" s="1"/>
  <c r="D44" i="17"/>
  <c r="C44" i="17"/>
  <c r="B44" i="17"/>
  <c r="A44" i="17"/>
  <c r="A53" i="17" s="1"/>
  <c r="C53" i="17" s="1"/>
  <c r="E43" i="17"/>
  <c r="F43" i="17" s="1"/>
  <c r="D43" i="17"/>
  <c r="C43" i="17"/>
  <c r="B43" i="17"/>
  <c r="A43" i="17"/>
  <c r="E42" i="17"/>
  <c r="F42" i="17" s="1"/>
  <c r="D42" i="17"/>
  <c r="C42" i="17"/>
  <c r="B42" i="17"/>
  <c r="A42" i="17"/>
  <c r="A51" i="17" s="1"/>
  <c r="C51" i="17" s="1"/>
  <c r="E41" i="17"/>
  <c r="F41" i="17" s="1"/>
  <c r="D41" i="17"/>
  <c r="B41" i="17"/>
  <c r="A41" i="17"/>
  <c r="C41" i="17" s="1"/>
  <c r="E38" i="17"/>
  <c r="F38" i="17" s="1"/>
  <c r="D38" i="17"/>
  <c r="C38" i="17"/>
  <c r="B38" i="17"/>
  <c r="E37" i="17"/>
  <c r="D37" i="17"/>
  <c r="C37" i="17"/>
  <c r="B37" i="17"/>
  <c r="E36" i="17"/>
  <c r="F36" i="17" s="1"/>
  <c r="D36" i="17"/>
  <c r="C36" i="17"/>
  <c r="B36" i="17"/>
  <c r="E35" i="17"/>
  <c r="D35" i="17"/>
  <c r="C35" i="17"/>
  <c r="B35" i="17"/>
  <c r="E34" i="17"/>
  <c r="F34" i="17" s="1"/>
  <c r="D34" i="17"/>
  <c r="C34" i="17"/>
  <c r="B34" i="17"/>
  <c r="F33" i="17"/>
  <c r="D33" i="17"/>
  <c r="C33" i="17"/>
  <c r="B33" i="17"/>
  <c r="E30" i="17"/>
  <c r="F30" i="17" s="1"/>
  <c r="D30" i="17"/>
  <c r="C30" i="17"/>
  <c r="B30" i="17"/>
  <c r="E29" i="17"/>
  <c r="F29" i="17" s="1"/>
  <c r="D29" i="17"/>
  <c r="C29" i="17"/>
  <c r="B29" i="17"/>
  <c r="E28" i="17"/>
  <c r="F28" i="17" s="1"/>
  <c r="D28" i="17"/>
  <c r="C28" i="17"/>
  <c r="B28" i="17"/>
  <c r="E27" i="17"/>
  <c r="F27" i="17" s="1"/>
  <c r="D27" i="17"/>
  <c r="C27" i="17"/>
  <c r="B27" i="17"/>
  <c r="E26" i="17"/>
  <c r="F26" i="17" s="1"/>
  <c r="D26" i="17"/>
  <c r="C26" i="17"/>
  <c r="B26" i="17"/>
  <c r="E25" i="17"/>
  <c r="F25" i="17" s="1"/>
  <c r="D25" i="17"/>
  <c r="C25" i="17"/>
  <c r="B25" i="17"/>
  <c r="E24" i="17"/>
  <c r="F24" i="17" s="1"/>
  <c r="D24" i="17"/>
  <c r="C24" i="17"/>
  <c r="B24" i="17"/>
  <c r="E23" i="17"/>
  <c r="F23" i="17" s="1"/>
  <c r="D23" i="17"/>
  <c r="C23" i="17"/>
  <c r="B23" i="17"/>
  <c r="B21" i="17"/>
  <c r="E20" i="17"/>
  <c r="F20" i="17" s="1"/>
  <c r="D20" i="17"/>
  <c r="C20" i="17"/>
  <c r="B20" i="17"/>
  <c r="E19" i="17"/>
  <c r="F19" i="17" s="1"/>
  <c r="D19" i="17"/>
  <c r="C19" i="17"/>
  <c r="B19" i="17"/>
  <c r="E18" i="17"/>
  <c r="F18" i="17" s="1"/>
  <c r="D18" i="17"/>
  <c r="C18" i="17"/>
  <c r="B18" i="17"/>
  <c r="E17" i="17"/>
  <c r="F17" i="17" s="1"/>
  <c r="D17" i="17"/>
  <c r="C17" i="17"/>
  <c r="B17" i="17"/>
  <c r="E16" i="17"/>
  <c r="F16" i="17" s="1"/>
  <c r="D16" i="17"/>
  <c r="C16" i="17"/>
  <c r="B16" i="17"/>
  <c r="E15" i="17"/>
  <c r="F15" i="17" s="1"/>
  <c r="D15" i="17"/>
  <c r="C15" i="17"/>
  <c r="B15" i="17"/>
  <c r="E14" i="17"/>
  <c r="F14" i="17" s="1"/>
  <c r="D14" i="17"/>
  <c r="C14" i="17"/>
  <c r="B14" i="17"/>
  <c r="F13" i="17"/>
  <c r="D13" i="17"/>
  <c r="C13" i="17"/>
  <c r="B13" i="17"/>
  <c r="C12" i="17"/>
  <c r="F12" i="17" s="1"/>
  <c r="F11" i="17"/>
  <c r="D11" i="17"/>
  <c r="C11" i="17"/>
  <c r="B11" i="17"/>
  <c r="F10" i="17"/>
  <c r="D10" i="17"/>
  <c r="C10" i="17"/>
  <c r="B10" i="17"/>
  <c r="C9" i="17"/>
  <c r="F9" i="17" s="1"/>
  <c r="D8" i="17"/>
  <c r="C8" i="17"/>
  <c r="F8" i="17" s="1"/>
  <c r="B8" i="17"/>
  <c r="H6" i="17"/>
  <c r="D32" i="14"/>
  <c r="C32" i="14"/>
  <c r="B32" i="14"/>
  <c r="D74" i="14"/>
  <c r="D75" i="14" s="1"/>
  <c r="D77" i="14" s="1"/>
  <c r="D72" i="14"/>
  <c r="D70" i="14"/>
  <c r="F66" i="14"/>
  <c r="C74" i="14" s="1"/>
  <c r="D61" i="14"/>
  <c r="D86" i="14" s="1"/>
  <c r="D87" i="14" s="1"/>
  <c r="E52" i="14"/>
  <c r="C52" i="14"/>
  <c r="F52" i="14" s="1"/>
  <c r="E51" i="14"/>
  <c r="D51" i="14"/>
  <c r="B51" i="14"/>
  <c r="E50" i="14"/>
  <c r="D50" i="14"/>
  <c r="B50" i="14"/>
  <c r="E49" i="14"/>
  <c r="D49" i="14"/>
  <c r="B49" i="14"/>
  <c r="E45" i="14"/>
  <c r="D45" i="14"/>
  <c r="B45" i="14"/>
  <c r="E42" i="14"/>
  <c r="D42" i="14"/>
  <c r="B42" i="14"/>
  <c r="A42" i="14"/>
  <c r="A51" i="14" s="1"/>
  <c r="C51" i="14" s="1"/>
  <c r="E41" i="14"/>
  <c r="D41" i="14"/>
  <c r="B41" i="14"/>
  <c r="A41" i="14"/>
  <c r="C41" i="14" s="1"/>
  <c r="E40" i="14"/>
  <c r="D40" i="14"/>
  <c r="B40" i="14"/>
  <c r="A40" i="14"/>
  <c r="A49" i="14" s="1"/>
  <c r="C49" i="14" s="1"/>
  <c r="A39" i="14"/>
  <c r="C39" i="14" s="1"/>
  <c r="C38" i="14"/>
  <c r="A38" i="14"/>
  <c r="A47" i="14" s="1"/>
  <c r="C47" i="14" s="1"/>
  <c r="A37" i="14"/>
  <c r="A46" i="14" s="1"/>
  <c r="C46" i="14" s="1"/>
  <c r="E36" i="14"/>
  <c r="D36" i="14"/>
  <c r="B36" i="14"/>
  <c r="A36" i="14"/>
  <c r="A45" i="14" s="1"/>
  <c r="C45" i="14" s="1"/>
  <c r="D33" i="14"/>
  <c r="C33" i="14"/>
  <c r="B33" i="14"/>
  <c r="D31" i="14"/>
  <c r="C31" i="14"/>
  <c r="F31" i="14" s="1"/>
  <c r="B31" i="14"/>
  <c r="D30" i="14"/>
  <c r="C30" i="14"/>
  <c r="B30" i="14"/>
  <c r="D29" i="14"/>
  <c r="C29" i="14"/>
  <c r="F29" i="14" s="1"/>
  <c r="B29" i="14"/>
  <c r="D28" i="14"/>
  <c r="C28" i="14"/>
  <c r="B28" i="14"/>
  <c r="D27" i="14"/>
  <c r="C27" i="14"/>
  <c r="F27" i="14" s="1"/>
  <c r="B27" i="14"/>
  <c r="E24" i="14"/>
  <c r="F24" i="14" s="1"/>
  <c r="D24" i="14"/>
  <c r="C24" i="14"/>
  <c r="B24" i="14"/>
  <c r="E23" i="14"/>
  <c r="F23" i="14" s="1"/>
  <c r="D23" i="14"/>
  <c r="C23" i="14"/>
  <c r="B23" i="14"/>
  <c r="E22" i="14"/>
  <c r="F22" i="14" s="1"/>
  <c r="D22" i="14"/>
  <c r="C22" i="14"/>
  <c r="B22" i="14"/>
  <c r="E21" i="14"/>
  <c r="F21" i="14" s="1"/>
  <c r="D21" i="14"/>
  <c r="C21" i="14"/>
  <c r="B21" i="14"/>
  <c r="C20" i="14"/>
  <c r="C19" i="14"/>
  <c r="C18" i="14"/>
  <c r="D17" i="14"/>
  <c r="C17" i="14"/>
  <c r="F17" i="14" s="1"/>
  <c r="B17" i="14"/>
  <c r="B15" i="14"/>
  <c r="E14" i="14"/>
  <c r="D14" i="14"/>
  <c r="C14" i="14"/>
  <c r="B14" i="14"/>
  <c r="E13" i="14"/>
  <c r="D13" i="14"/>
  <c r="C13" i="14"/>
  <c r="B13" i="14"/>
  <c r="E12" i="14"/>
  <c r="D12" i="14"/>
  <c r="C12" i="14"/>
  <c r="B12" i="14"/>
  <c r="E11" i="14"/>
  <c r="D11" i="14"/>
  <c r="C11" i="14"/>
  <c r="B11" i="14"/>
  <c r="C10" i="14"/>
  <c r="C9" i="14"/>
  <c r="F9" i="14" s="1"/>
  <c r="C8" i="14"/>
  <c r="F8" i="14" s="1"/>
  <c r="H6" i="14"/>
  <c r="D73" i="12"/>
  <c r="D74" i="12" s="1"/>
  <c r="D76" i="12" s="1"/>
  <c r="D71" i="12"/>
  <c r="D69" i="12"/>
  <c r="F65" i="12"/>
  <c r="E51" i="12" s="1"/>
  <c r="F51" i="12" s="1"/>
  <c r="D60" i="12"/>
  <c r="D85" i="12" s="1"/>
  <c r="D86" i="12" s="1"/>
  <c r="C51" i="12"/>
  <c r="E50" i="12"/>
  <c r="D50" i="12"/>
  <c r="B50" i="12"/>
  <c r="E49" i="12"/>
  <c r="D49" i="12"/>
  <c r="B49" i="12"/>
  <c r="E48" i="12"/>
  <c r="D48" i="12"/>
  <c r="B48" i="12"/>
  <c r="E47" i="12"/>
  <c r="D47" i="12"/>
  <c r="B47" i="12"/>
  <c r="E46" i="12"/>
  <c r="D46" i="12"/>
  <c r="B46" i="12"/>
  <c r="E41" i="12"/>
  <c r="D41" i="12"/>
  <c r="B41" i="12"/>
  <c r="A41" i="12"/>
  <c r="A50" i="12" s="1"/>
  <c r="C50" i="12" s="1"/>
  <c r="E40" i="12"/>
  <c r="D40" i="12"/>
  <c r="C40" i="12"/>
  <c r="B40" i="12"/>
  <c r="A40" i="12"/>
  <c r="A49" i="12" s="1"/>
  <c r="C49" i="12" s="1"/>
  <c r="E39" i="12"/>
  <c r="D39" i="12"/>
  <c r="B39" i="12"/>
  <c r="A39" i="12"/>
  <c r="C39" i="12" s="1"/>
  <c r="E38" i="12"/>
  <c r="D38" i="12"/>
  <c r="B38" i="12"/>
  <c r="A38" i="12"/>
  <c r="C38" i="12" s="1"/>
  <c r="E37" i="12"/>
  <c r="D37" i="12"/>
  <c r="B37" i="12"/>
  <c r="A37" i="12"/>
  <c r="A46" i="12" s="1"/>
  <c r="C46" i="12" s="1"/>
  <c r="A36" i="12"/>
  <c r="A45" i="12" s="1"/>
  <c r="C45" i="12" s="1"/>
  <c r="A35" i="12"/>
  <c r="C35" i="12" s="1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4" i="12"/>
  <c r="F24" i="12" s="1"/>
  <c r="D24" i="12"/>
  <c r="C24" i="12"/>
  <c r="B24" i="12"/>
  <c r="E23" i="12"/>
  <c r="F23" i="12" s="1"/>
  <c r="D23" i="12"/>
  <c r="C23" i="12"/>
  <c r="B23" i="12"/>
  <c r="E22" i="12"/>
  <c r="F22" i="12" s="1"/>
  <c r="D22" i="12"/>
  <c r="C22" i="12"/>
  <c r="B22" i="12"/>
  <c r="E21" i="12"/>
  <c r="F21" i="12" s="1"/>
  <c r="D21" i="12"/>
  <c r="C21" i="12"/>
  <c r="B21" i="12"/>
  <c r="E20" i="12"/>
  <c r="F20" i="12" s="1"/>
  <c r="D20" i="12"/>
  <c r="C20" i="12"/>
  <c r="B20" i="12"/>
  <c r="E19" i="12"/>
  <c r="F19" i="12" s="1"/>
  <c r="D19" i="12"/>
  <c r="C19" i="12"/>
  <c r="B19" i="12"/>
  <c r="C18" i="12"/>
  <c r="C17" i="12"/>
  <c r="B15" i="12"/>
  <c r="E14" i="12"/>
  <c r="F14" i="12" s="1"/>
  <c r="D14" i="12"/>
  <c r="C14" i="12"/>
  <c r="B14" i="12"/>
  <c r="E13" i="12"/>
  <c r="F13" i="12" s="1"/>
  <c r="D13" i="12"/>
  <c r="C13" i="12"/>
  <c r="B13" i="12"/>
  <c r="E12" i="12"/>
  <c r="F12" i="12" s="1"/>
  <c r="D12" i="12"/>
  <c r="C12" i="12"/>
  <c r="B12" i="12"/>
  <c r="E11" i="12"/>
  <c r="F11" i="12" s="1"/>
  <c r="D11" i="12"/>
  <c r="C11" i="12"/>
  <c r="B11" i="12"/>
  <c r="E10" i="12"/>
  <c r="F10" i="12" s="1"/>
  <c r="D10" i="12"/>
  <c r="C10" i="12"/>
  <c r="B10" i="12"/>
  <c r="E9" i="12"/>
  <c r="D9" i="12"/>
  <c r="C9" i="12"/>
  <c r="B9" i="12"/>
  <c r="D8" i="12"/>
  <c r="C8" i="12"/>
  <c r="F8" i="12" s="1"/>
  <c r="B8" i="12"/>
  <c r="H6" i="12"/>
  <c r="D73" i="11"/>
  <c r="D74" i="11" s="1"/>
  <c r="D76" i="11" s="1"/>
  <c r="D71" i="11"/>
  <c r="D69" i="11"/>
  <c r="F65" i="11"/>
  <c r="E51" i="11" s="1"/>
  <c r="D60" i="11"/>
  <c r="D85" i="11" s="1"/>
  <c r="D86" i="11" s="1"/>
  <c r="C51" i="11"/>
  <c r="E50" i="11"/>
  <c r="D50" i="11"/>
  <c r="B50" i="11"/>
  <c r="E49" i="11"/>
  <c r="D49" i="11"/>
  <c r="B49" i="11"/>
  <c r="E48" i="11"/>
  <c r="D48" i="11"/>
  <c r="B48" i="11"/>
  <c r="E47" i="11"/>
  <c r="D47" i="11"/>
  <c r="B47" i="11"/>
  <c r="E46" i="11"/>
  <c r="D46" i="11"/>
  <c r="B46" i="11"/>
  <c r="E45" i="11"/>
  <c r="D45" i="11"/>
  <c r="B45" i="11"/>
  <c r="D44" i="11"/>
  <c r="B44" i="11"/>
  <c r="E41" i="11"/>
  <c r="D41" i="11"/>
  <c r="C41" i="11"/>
  <c r="B41" i="11"/>
  <c r="A41" i="11"/>
  <c r="A50" i="11" s="1"/>
  <c r="C50" i="11" s="1"/>
  <c r="E40" i="11"/>
  <c r="D40" i="11"/>
  <c r="B40" i="11"/>
  <c r="A40" i="11"/>
  <c r="A49" i="11" s="1"/>
  <c r="C49" i="11" s="1"/>
  <c r="E39" i="11"/>
  <c r="D39" i="11"/>
  <c r="B39" i="11"/>
  <c r="A39" i="11"/>
  <c r="C39" i="11" s="1"/>
  <c r="E38" i="11"/>
  <c r="F38" i="11" s="1"/>
  <c r="D38" i="11"/>
  <c r="B38" i="11"/>
  <c r="A38" i="11"/>
  <c r="C38" i="11" s="1"/>
  <c r="E37" i="11"/>
  <c r="D37" i="11"/>
  <c r="B37" i="11"/>
  <c r="A37" i="11"/>
  <c r="A46" i="11" s="1"/>
  <c r="C46" i="11" s="1"/>
  <c r="E36" i="11"/>
  <c r="D36" i="11"/>
  <c r="C36" i="11"/>
  <c r="B36" i="11"/>
  <c r="A36" i="11"/>
  <c r="A45" i="11" s="1"/>
  <c r="C45" i="11" s="1"/>
  <c r="D35" i="11"/>
  <c r="B35" i="11"/>
  <c r="A35" i="11"/>
  <c r="C35" i="11" s="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C27" i="11"/>
  <c r="E24" i="11"/>
  <c r="F24" i="11" s="1"/>
  <c r="D24" i="11"/>
  <c r="C24" i="11"/>
  <c r="B24" i="11"/>
  <c r="E23" i="11"/>
  <c r="D23" i="11"/>
  <c r="C23" i="11"/>
  <c r="B23" i="11"/>
  <c r="E22" i="11"/>
  <c r="F22" i="11" s="1"/>
  <c r="D22" i="11"/>
  <c r="C22" i="11"/>
  <c r="B22" i="11"/>
  <c r="E21" i="11"/>
  <c r="D21" i="11"/>
  <c r="C21" i="11"/>
  <c r="B21" i="11"/>
  <c r="E20" i="11"/>
  <c r="F20" i="11" s="1"/>
  <c r="D20" i="11"/>
  <c r="C20" i="11"/>
  <c r="B20" i="11"/>
  <c r="E19" i="11"/>
  <c r="F19" i="11" s="1"/>
  <c r="D19" i="11"/>
  <c r="C19" i="11"/>
  <c r="B19" i="11"/>
  <c r="E18" i="11"/>
  <c r="F18" i="11" s="1"/>
  <c r="D18" i="11"/>
  <c r="C18" i="11"/>
  <c r="B18" i="11"/>
  <c r="D17" i="11"/>
  <c r="C17" i="11"/>
  <c r="B17" i="11"/>
  <c r="B15" i="11"/>
  <c r="E14" i="11"/>
  <c r="F14" i="11" s="1"/>
  <c r="D14" i="11"/>
  <c r="C14" i="11"/>
  <c r="B14" i="11"/>
  <c r="E13" i="11"/>
  <c r="D13" i="11"/>
  <c r="C13" i="11"/>
  <c r="B13" i="11"/>
  <c r="E12" i="11"/>
  <c r="F12" i="11" s="1"/>
  <c r="D12" i="11"/>
  <c r="C12" i="11"/>
  <c r="B12" i="11"/>
  <c r="D11" i="11"/>
  <c r="C11" i="11"/>
  <c r="F11" i="11" s="1"/>
  <c r="B11" i="11"/>
  <c r="D10" i="11"/>
  <c r="C10" i="11"/>
  <c r="B10" i="11"/>
  <c r="C9" i="11"/>
  <c r="F8" i="11"/>
  <c r="D8" i="11"/>
  <c r="C8" i="11"/>
  <c r="B8" i="11"/>
  <c r="H6" i="11"/>
  <c r="D73" i="10"/>
  <c r="D74" i="10" s="1"/>
  <c r="D76" i="10" s="1"/>
  <c r="D71" i="10"/>
  <c r="D69" i="10"/>
  <c r="F65" i="10"/>
  <c r="E51" i="10" s="1"/>
  <c r="D60" i="10"/>
  <c r="D85" i="10" s="1"/>
  <c r="D86" i="10" s="1"/>
  <c r="C51" i="10"/>
  <c r="F51" i="10" s="1"/>
  <c r="E50" i="10"/>
  <c r="D50" i="10"/>
  <c r="B50" i="10"/>
  <c r="A50" i="10"/>
  <c r="C50" i="10" s="1"/>
  <c r="E49" i="10"/>
  <c r="D49" i="10"/>
  <c r="B49" i="10"/>
  <c r="E48" i="10"/>
  <c r="D48" i="10"/>
  <c r="B48" i="10"/>
  <c r="E47" i="10"/>
  <c r="D47" i="10"/>
  <c r="B47" i="10"/>
  <c r="E46" i="10"/>
  <c r="D46" i="10"/>
  <c r="B46" i="10"/>
  <c r="E45" i="10"/>
  <c r="D45" i="10"/>
  <c r="B45" i="10"/>
  <c r="E44" i="10"/>
  <c r="D44" i="10"/>
  <c r="B44" i="10"/>
  <c r="E41" i="10"/>
  <c r="D41" i="10"/>
  <c r="B41" i="10"/>
  <c r="A41" i="10"/>
  <c r="C41" i="10" s="1"/>
  <c r="E40" i="10"/>
  <c r="F40" i="10" s="1"/>
  <c r="D40" i="10"/>
  <c r="B40" i="10"/>
  <c r="A40" i="10"/>
  <c r="C40" i="10" s="1"/>
  <c r="E39" i="10"/>
  <c r="D39" i="10"/>
  <c r="B39" i="10"/>
  <c r="A39" i="10"/>
  <c r="A48" i="10" s="1"/>
  <c r="C48" i="10" s="1"/>
  <c r="E38" i="10"/>
  <c r="D38" i="10"/>
  <c r="C38" i="10"/>
  <c r="B38" i="10"/>
  <c r="A38" i="10"/>
  <c r="A47" i="10" s="1"/>
  <c r="C47" i="10" s="1"/>
  <c r="E37" i="10"/>
  <c r="D37" i="10"/>
  <c r="B37" i="10"/>
  <c r="A37" i="10"/>
  <c r="C37" i="10" s="1"/>
  <c r="E36" i="10"/>
  <c r="D36" i="10"/>
  <c r="B36" i="10"/>
  <c r="A36" i="10"/>
  <c r="C36" i="10" s="1"/>
  <c r="E35" i="10"/>
  <c r="D35" i="10"/>
  <c r="C35" i="10"/>
  <c r="B35" i="10"/>
  <c r="A35" i="10"/>
  <c r="A44" i="10" s="1"/>
  <c r="C44" i="10" s="1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F28" i="10" s="1"/>
  <c r="D28" i="10"/>
  <c r="C28" i="10"/>
  <c r="B28" i="10"/>
  <c r="E27" i="10"/>
  <c r="F27" i="10" s="1"/>
  <c r="D27" i="10"/>
  <c r="C27" i="10"/>
  <c r="B27" i="10"/>
  <c r="E24" i="10"/>
  <c r="F24" i="10" s="1"/>
  <c r="D24" i="10"/>
  <c r="C24" i="10"/>
  <c r="B24" i="10"/>
  <c r="E23" i="10"/>
  <c r="F23" i="10" s="1"/>
  <c r="D23" i="10"/>
  <c r="C23" i="10"/>
  <c r="B23" i="10"/>
  <c r="E22" i="10"/>
  <c r="F22" i="10" s="1"/>
  <c r="D22" i="10"/>
  <c r="C22" i="10"/>
  <c r="B22" i="10"/>
  <c r="E21" i="10"/>
  <c r="F21" i="10" s="1"/>
  <c r="D21" i="10"/>
  <c r="C21" i="10"/>
  <c r="B21" i="10"/>
  <c r="E20" i="10"/>
  <c r="D20" i="10"/>
  <c r="C20" i="10"/>
  <c r="B20" i="10"/>
  <c r="E19" i="10"/>
  <c r="D19" i="10"/>
  <c r="C19" i="10"/>
  <c r="B19" i="10"/>
  <c r="E18" i="10"/>
  <c r="F18" i="10" s="1"/>
  <c r="D18" i="10"/>
  <c r="C18" i="10"/>
  <c r="B18" i="10"/>
  <c r="E17" i="10"/>
  <c r="F17" i="10" s="1"/>
  <c r="D17" i="10"/>
  <c r="C17" i="10"/>
  <c r="B17" i="10"/>
  <c r="B15" i="10"/>
  <c r="E14" i="10"/>
  <c r="D14" i="10"/>
  <c r="C14" i="10"/>
  <c r="B14" i="10"/>
  <c r="E13" i="10"/>
  <c r="F13" i="10" s="1"/>
  <c r="D13" i="10"/>
  <c r="C13" i="10"/>
  <c r="B13" i="10"/>
  <c r="E12" i="10"/>
  <c r="D12" i="10"/>
  <c r="C12" i="10"/>
  <c r="B12" i="10"/>
  <c r="E11" i="10"/>
  <c r="F11" i="10" s="1"/>
  <c r="D11" i="10"/>
  <c r="C11" i="10"/>
  <c r="B11" i="10"/>
  <c r="E10" i="10"/>
  <c r="D10" i="10"/>
  <c r="C10" i="10"/>
  <c r="B10" i="10"/>
  <c r="E9" i="10"/>
  <c r="F9" i="10" s="1"/>
  <c r="D9" i="10"/>
  <c r="C9" i="10"/>
  <c r="B9" i="10"/>
  <c r="C8" i="10"/>
  <c r="H6" i="10"/>
  <c r="F32" i="10" l="1"/>
  <c r="F47" i="10"/>
  <c r="F30" i="10"/>
  <c r="D84" i="13"/>
  <c r="D86" i="13"/>
  <c r="D87" i="13" s="1"/>
  <c r="C36" i="13"/>
  <c r="F36" i="13"/>
  <c r="F14" i="14"/>
  <c r="F11" i="14"/>
  <c r="F12" i="14"/>
  <c r="F45" i="17"/>
  <c r="F35" i="17"/>
  <c r="F20" i="10"/>
  <c r="F10" i="14"/>
  <c r="F13" i="14"/>
  <c r="F30" i="11"/>
  <c r="F53" i="17"/>
  <c r="F12" i="13"/>
  <c r="F37" i="17"/>
  <c r="F31" i="11"/>
  <c r="F10" i="13"/>
  <c r="F13" i="13"/>
  <c r="F29" i="11"/>
  <c r="F32" i="11"/>
  <c r="F56" i="17"/>
  <c r="F11" i="13"/>
  <c r="F14" i="13"/>
  <c r="F42" i="13"/>
  <c r="F41" i="13"/>
  <c r="F45" i="13"/>
  <c r="F49" i="13"/>
  <c r="C40" i="13"/>
  <c r="F40" i="13" s="1"/>
  <c r="A50" i="13"/>
  <c r="C50" i="13" s="1"/>
  <c r="F50" i="13" s="1"/>
  <c r="E74" i="13"/>
  <c r="C42" i="13"/>
  <c r="F52" i="17"/>
  <c r="F59" i="17"/>
  <c r="D87" i="17"/>
  <c r="C79" i="17"/>
  <c r="D89" i="17"/>
  <c r="A50" i="17"/>
  <c r="C50" i="17" s="1"/>
  <c r="F50" i="17" s="1"/>
  <c r="A54" i="17"/>
  <c r="C54" i="17" s="1"/>
  <c r="F54" i="17" s="1"/>
  <c r="F32" i="14"/>
  <c r="C37" i="14"/>
  <c r="C40" i="14"/>
  <c r="F28" i="14"/>
  <c r="F30" i="14"/>
  <c r="F33" i="14"/>
  <c r="F40" i="14"/>
  <c r="D82" i="14"/>
  <c r="F49" i="14"/>
  <c r="F45" i="14"/>
  <c r="F41" i="14"/>
  <c r="F51" i="14"/>
  <c r="C86" i="14"/>
  <c r="E86" i="14" s="1"/>
  <c r="E74" i="14"/>
  <c r="A48" i="14"/>
  <c r="C48" i="14" s="1"/>
  <c r="A50" i="14"/>
  <c r="C50" i="14" s="1"/>
  <c r="F50" i="14" s="1"/>
  <c r="D84" i="14"/>
  <c r="C36" i="14"/>
  <c r="F36" i="14" s="1"/>
  <c r="C42" i="14"/>
  <c r="F42" i="14" s="1"/>
  <c r="F49" i="12"/>
  <c r="F27" i="12"/>
  <c r="F28" i="12"/>
  <c r="F29" i="12"/>
  <c r="F30" i="12"/>
  <c r="F31" i="12"/>
  <c r="F32" i="12"/>
  <c r="F39" i="12"/>
  <c r="A48" i="12"/>
  <c r="C48" i="12" s="1"/>
  <c r="F48" i="12" s="1"/>
  <c r="F40" i="12"/>
  <c r="F9" i="12"/>
  <c r="D81" i="12"/>
  <c r="D83" i="12"/>
  <c r="C36" i="12"/>
  <c r="A44" i="12"/>
  <c r="C44" i="12" s="1"/>
  <c r="F46" i="12"/>
  <c r="F38" i="12"/>
  <c r="F50" i="12"/>
  <c r="C37" i="12"/>
  <c r="F37" i="12" s="1"/>
  <c r="C41" i="12"/>
  <c r="F41" i="12" s="1"/>
  <c r="A47" i="12"/>
  <c r="C47" i="12" s="1"/>
  <c r="F47" i="12" s="1"/>
  <c r="C73" i="12"/>
  <c r="D81" i="11"/>
  <c r="D83" i="11"/>
  <c r="F45" i="11"/>
  <c r="F36" i="11"/>
  <c r="F39" i="11"/>
  <c r="C37" i="11"/>
  <c r="F37" i="11" s="1"/>
  <c r="F41" i="11"/>
  <c r="A48" i="11"/>
  <c r="C48" i="11" s="1"/>
  <c r="F21" i="11"/>
  <c r="F23" i="11"/>
  <c r="C40" i="11"/>
  <c r="F40" i="11" s="1"/>
  <c r="F50" i="11"/>
  <c r="F13" i="11"/>
  <c r="F27" i="11"/>
  <c r="F28" i="11"/>
  <c r="F10" i="11"/>
  <c r="F9" i="11"/>
  <c r="F35" i="11"/>
  <c r="A44" i="11"/>
  <c r="C44" i="11" s="1"/>
  <c r="F44" i="11"/>
  <c r="F17" i="11"/>
  <c r="F51" i="11"/>
  <c r="F46" i="11"/>
  <c r="F49" i="11"/>
  <c r="F48" i="11"/>
  <c r="A47" i="11"/>
  <c r="C47" i="11" s="1"/>
  <c r="F47" i="11" s="1"/>
  <c r="C73" i="11"/>
  <c r="C73" i="10"/>
  <c r="C85" i="10" s="1"/>
  <c r="E85" i="10" s="1"/>
  <c r="F37" i="10"/>
  <c r="F29" i="10"/>
  <c r="F41" i="10"/>
  <c r="F31" i="10"/>
  <c r="F38" i="10"/>
  <c r="F19" i="10"/>
  <c r="F35" i="10"/>
  <c r="C39" i="10"/>
  <c r="F39" i="10" s="1"/>
  <c r="A46" i="10"/>
  <c r="C46" i="10" s="1"/>
  <c r="F10" i="10"/>
  <c r="F12" i="10"/>
  <c r="F14" i="10"/>
  <c r="F8" i="10"/>
  <c r="F48" i="10"/>
  <c r="F36" i="10"/>
  <c r="F46" i="10"/>
  <c r="F44" i="10"/>
  <c r="F50" i="10"/>
  <c r="A45" i="10"/>
  <c r="C45" i="10" s="1"/>
  <c r="F45" i="10" s="1"/>
  <c r="A49" i="10"/>
  <c r="C49" i="10" s="1"/>
  <c r="F49" i="10" s="1"/>
  <c r="D83" i="10"/>
  <c r="D81" i="10"/>
  <c r="E16" i="9"/>
  <c r="D16" i="9"/>
  <c r="C16" i="9"/>
  <c r="B16" i="9"/>
  <c r="E15" i="9"/>
  <c r="D15" i="9"/>
  <c r="C15" i="9"/>
  <c r="B15" i="9"/>
  <c r="E14" i="9"/>
  <c r="F14" i="9" s="1"/>
  <c r="D14" i="9"/>
  <c r="C14" i="9"/>
  <c r="B14" i="9"/>
  <c r="E13" i="9"/>
  <c r="F13" i="9" s="1"/>
  <c r="D13" i="9"/>
  <c r="C13" i="9"/>
  <c r="B13" i="9"/>
  <c r="D12" i="9"/>
  <c r="C12" i="9"/>
  <c r="B12" i="9"/>
  <c r="D11" i="9"/>
  <c r="C11" i="9"/>
  <c r="B11" i="9"/>
  <c r="D79" i="9"/>
  <c r="D80" i="9" s="1"/>
  <c r="D82" i="9" s="1"/>
  <c r="D77" i="9"/>
  <c r="D75" i="9"/>
  <c r="F71" i="9"/>
  <c r="C79" i="9" s="1"/>
  <c r="D66" i="9"/>
  <c r="D91" i="9" s="1"/>
  <c r="D92" i="9" s="1"/>
  <c r="C57" i="9"/>
  <c r="E56" i="9"/>
  <c r="D56" i="9"/>
  <c r="B56" i="9"/>
  <c r="E55" i="9"/>
  <c r="D55" i="9"/>
  <c r="B55" i="9"/>
  <c r="E54" i="9"/>
  <c r="D54" i="9"/>
  <c r="B54" i="9"/>
  <c r="E53" i="9"/>
  <c r="D53" i="9"/>
  <c r="B53" i="9"/>
  <c r="D52" i="9"/>
  <c r="B52" i="9"/>
  <c r="D51" i="9"/>
  <c r="B51" i="9"/>
  <c r="D50" i="9"/>
  <c r="B50" i="9"/>
  <c r="E47" i="9"/>
  <c r="D47" i="9"/>
  <c r="B47" i="9"/>
  <c r="A47" i="9"/>
  <c r="A56" i="9" s="1"/>
  <c r="C56" i="9" s="1"/>
  <c r="E46" i="9"/>
  <c r="D46" i="9"/>
  <c r="B46" i="9"/>
  <c r="A46" i="9"/>
  <c r="C46" i="9" s="1"/>
  <c r="E45" i="9"/>
  <c r="F45" i="9" s="1"/>
  <c r="D45" i="9"/>
  <c r="B45" i="9"/>
  <c r="A45" i="9"/>
  <c r="C45" i="9" s="1"/>
  <c r="E44" i="9"/>
  <c r="F44" i="9" s="1"/>
  <c r="D44" i="9"/>
  <c r="B44" i="9"/>
  <c r="A44" i="9"/>
  <c r="C44" i="9" s="1"/>
  <c r="D43" i="9"/>
  <c r="B43" i="9"/>
  <c r="A43" i="9"/>
  <c r="A52" i="9" s="1"/>
  <c r="C52" i="9" s="1"/>
  <c r="D42" i="9"/>
  <c r="B42" i="9"/>
  <c r="A42" i="9"/>
  <c r="C42" i="9" s="1"/>
  <c r="D41" i="9"/>
  <c r="B41" i="9"/>
  <c r="A41" i="9"/>
  <c r="C41" i="9" s="1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F33" i="9" s="1"/>
  <c r="D33" i="9"/>
  <c r="C33" i="9"/>
  <c r="B33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F27" i="9" s="1"/>
  <c r="D27" i="9"/>
  <c r="C27" i="9"/>
  <c r="B27" i="9"/>
  <c r="E26" i="9"/>
  <c r="F26" i="9" s="1"/>
  <c r="D26" i="9"/>
  <c r="C26" i="9"/>
  <c r="B26" i="9"/>
  <c r="D25" i="9"/>
  <c r="C25" i="9"/>
  <c r="B25" i="9"/>
  <c r="F24" i="9"/>
  <c r="D24" i="9"/>
  <c r="C24" i="9"/>
  <c r="B24" i="9"/>
  <c r="D23" i="9"/>
  <c r="C23" i="9"/>
  <c r="B23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D10" i="9"/>
  <c r="C10" i="9"/>
  <c r="B10" i="9"/>
  <c r="D9" i="9"/>
  <c r="C9" i="9"/>
  <c r="B9" i="9"/>
  <c r="D8" i="9"/>
  <c r="C8" i="9"/>
  <c r="B8" i="9"/>
  <c r="H6" i="9"/>
  <c r="E16" i="8"/>
  <c r="D16" i="8"/>
  <c r="C16" i="8"/>
  <c r="B16" i="8"/>
  <c r="E15" i="8"/>
  <c r="D15" i="8"/>
  <c r="C15" i="8"/>
  <c r="B15" i="8"/>
  <c r="E14" i="8"/>
  <c r="D14" i="8"/>
  <c r="C14" i="8"/>
  <c r="B14" i="8"/>
  <c r="D13" i="8"/>
  <c r="C13" i="8"/>
  <c r="B13" i="8"/>
  <c r="F12" i="8"/>
  <c r="C12" i="8"/>
  <c r="D11" i="8"/>
  <c r="C11" i="8"/>
  <c r="B11" i="8"/>
  <c r="D79" i="8"/>
  <c r="D80" i="8" s="1"/>
  <c r="D82" i="8" s="1"/>
  <c r="D77" i="8"/>
  <c r="D75" i="8"/>
  <c r="F71" i="8"/>
  <c r="C79" i="8" s="1"/>
  <c r="D66" i="8"/>
  <c r="D91" i="8" s="1"/>
  <c r="D92" i="8" s="1"/>
  <c r="C57" i="8"/>
  <c r="E56" i="8"/>
  <c r="D56" i="8"/>
  <c r="B56" i="8"/>
  <c r="E55" i="8"/>
  <c r="D55" i="8"/>
  <c r="B55" i="8"/>
  <c r="E54" i="8"/>
  <c r="D54" i="8"/>
  <c r="B54" i="8"/>
  <c r="E53" i="8"/>
  <c r="D53" i="8"/>
  <c r="B53" i="8"/>
  <c r="E52" i="8"/>
  <c r="D52" i="8"/>
  <c r="B52" i="8"/>
  <c r="E51" i="8"/>
  <c r="D51" i="8"/>
  <c r="B51" i="8"/>
  <c r="E50" i="8"/>
  <c r="D50" i="8"/>
  <c r="B50" i="8"/>
  <c r="E47" i="8"/>
  <c r="D47" i="8"/>
  <c r="B47" i="8"/>
  <c r="A47" i="8"/>
  <c r="A56" i="8" s="1"/>
  <c r="C56" i="8" s="1"/>
  <c r="E46" i="8"/>
  <c r="D46" i="8"/>
  <c r="B46" i="8"/>
  <c r="A46" i="8"/>
  <c r="C46" i="8" s="1"/>
  <c r="E45" i="8"/>
  <c r="D45" i="8"/>
  <c r="B45" i="8"/>
  <c r="A45" i="8"/>
  <c r="C45" i="8" s="1"/>
  <c r="E44" i="8"/>
  <c r="D44" i="8"/>
  <c r="B44" i="8"/>
  <c r="A44" i="8"/>
  <c r="A53" i="8" s="1"/>
  <c r="C53" i="8" s="1"/>
  <c r="E43" i="8"/>
  <c r="D43" i="8"/>
  <c r="B43" i="8"/>
  <c r="A43" i="8"/>
  <c r="A52" i="8" s="1"/>
  <c r="C52" i="8" s="1"/>
  <c r="E42" i="8"/>
  <c r="D42" i="8"/>
  <c r="B42" i="8"/>
  <c r="A42" i="8"/>
  <c r="C42" i="8" s="1"/>
  <c r="E41" i="8"/>
  <c r="F41" i="8" s="1"/>
  <c r="D41" i="8"/>
  <c r="B41" i="8"/>
  <c r="A41" i="8"/>
  <c r="C41" i="8" s="1"/>
  <c r="E38" i="8"/>
  <c r="D38" i="8"/>
  <c r="C38" i="8"/>
  <c r="B38" i="8"/>
  <c r="E37" i="8"/>
  <c r="D37" i="8"/>
  <c r="C37" i="8"/>
  <c r="B37" i="8"/>
  <c r="E36" i="8"/>
  <c r="F36" i="8" s="1"/>
  <c r="D36" i="8"/>
  <c r="C36" i="8"/>
  <c r="B36" i="8"/>
  <c r="E35" i="8"/>
  <c r="F35" i="8" s="1"/>
  <c r="D35" i="8"/>
  <c r="C35" i="8"/>
  <c r="B35" i="8"/>
  <c r="E34" i="8"/>
  <c r="D34" i="8"/>
  <c r="C34" i="8"/>
  <c r="B34" i="8"/>
  <c r="D33" i="8"/>
  <c r="C33" i="8"/>
  <c r="B33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F24" i="8" s="1"/>
  <c r="D24" i="8"/>
  <c r="C24" i="8"/>
  <c r="B24" i="8"/>
  <c r="E23" i="8"/>
  <c r="F23" i="8" s="1"/>
  <c r="D23" i="8"/>
  <c r="C23" i="8"/>
  <c r="B23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D10" i="8"/>
  <c r="C10" i="8"/>
  <c r="B10" i="8"/>
  <c r="C9" i="8"/>
  <c r="D8" i="8"/>
  <c r="C8" i="8"/>
  <c r="B8" i="8"/>
  <c r="H6" i="8"/>
  <c r="K11" i="1"/>
  <c r="K10" i="4"/>
  <c r="J12" i="7"/>
  <c r="K11" i="5"/>
  <c r="D23" i="7"/>
  <c r="D22" i="7"/>
  <c r="D23" i="5"/>
  <c r="D22" i="5"/>
  <c r="D27" i="4"/>
  <c r="D26" i="4"/>
  <c r="D29" i="3"/>
  <c r="D28" i="3"/>
  <c r="D34" i="2"/>
  <c r="D33" i="2"/>
  <c r="D33" i="1"/>
  <c r="D34" i="1"/>
  <c r="E86" i="13" l="1"/>
  <c r="E73" i="10"/>
  <c r="F60" i="17"/>
  <c r="H60" i="17" s="1"/>
  <c r="G2" i="17" s="1"/>
  <c r="F16" i="8"/>
  <c r="F16" i="9"/>
  <c r="F53" i="10"/>
  <c r="F64" i="10" s="1"/>
  <c r="F15" i="8"/>
  <c r="F15" i="9"/>
  <c r="F62" i="17"/>
  <c r="C75" i="17"/>
  <c r="F70" i="17"/>
  <c r="H59" i="17"/>
  <c r="F2" i="17" s="1"/>
  <c r="C91" i="17"/>
  <c r="E91" i="17" s="1"/>
  <c r="E79" i="17"/>
  <c r="C85" i="12"/>
  <c r="E85" i="12" s="1"/>
  <c r="E73" i="12"/>
  <c r="F53" i="11"/>
  <c r="C69" i="11" s="1"/>
  <c r="F54" i="11"/>
  <c r="C76" i="11" s="1"/>
  <c r="E76" i="11" s="1"/>
  <c r="E35" i="12" s="1"/>
  <c r="F35" i="12" s="1"/>
  <c r="F56" i="11"/>
  <c r="C85" i="11"/>
  <c r="E85" i="11" s="1"/>
  <c r="E73" i="11"/>
  <c r="F54" i="10"/>
  <c r="F56" i="10"/>
  <c r="F34" i="9"/>
  <c r="F12" i="9"/>
  <c r="F52" i="9"/>
  <c r="F25" i="9"/>
  <c r="F11" i="9"/>
  <c r="F23" i="9"/>
  <c r="F29" i="9"/>
  <c r="F42" i="9"/>
  <c r="F35" i="9"/>
  <c r="F36" i="9"/>
  <c r="F37" i="9"/>
  <c r="F30" i="9"/>
  <c r="F56" i="9"/>
  <c r="F38" i="9"/>
  <c r="F46" i="9"/>
  <c r="A51" i="9"/>
  <c r="C51" i="9" s="1"/>
  <c r="F51" i="9" s="1"/>
  <c r="F10" i="9"/>
  <c r="F17" i="9"/>
  <c r="F18" i="9"/>
  <c r="F19" i="9"/>
  <c r="F20" i="9"/>
  <c r="F28" i="9"/>
  <c r="C43" i="9"/>
  <c r="F43" i="9" s="1"/>
  <c r="A55" i="9"/>
  <c r="C55" i="9" s="1"/>
  <c r="F55" i="9" s="1"/>
  <c r="E57" i="9"/>
  <c r="F57" i="9" s="1"/>
  <c r="C47" i="9"/>
  <c r="F47" i="9" s="1"/>
  <c r="F8" i="9"/>
  <c r="F9" i="9"/>
  <c r="C91" i="9"/>
  <c r="E91" i="9" s="1"/>
  <c r="E79" i="9"/>
  <c r="F41" i="9"/>
  <c r="D89" i="9"/>
  <c r="A50" i="9"/>
  <c r="C50" i="9" s="1"/>
  <c r="F50" i="9" s="1"/>
  <c r="A54" i="9"/>
  <c r="C54" i="9" s="1"/>
  <c r="F54" i="9" s="1"/>
  <c r="D87" i="9"/>
  <c r="A53" i="9"/>
  <c r="C53" i="9" s="1"/>
  <c r="F53" i="9" s="1"/>
  <c r="F14" i="8"/>
  <c r="F13" i="8"/>
  <c r="F11" i="8"/>
  <c r="F33" i="8"/>
  <c r="F34" i="8"/>
  <c r="F9" i="8"/>
  <c r="F17" i="8"/>
  <c r="F19" i="8"/>
  <c r="F25" i="8"/>
  <c r="F26" i="8"/>
  <c r="F27" i="8"/>
  <c r="F28" i="8"/>
  <c r="F29" i="8"/>
  <c r="F30" i="8"/>
  <c r="C44" i="8"/>
  <c r="F56" i="8"/>
  <c r="C47" i="8"/>
  <c r="F42" i="8"/>
  <c r="F52" i="8"/>
  <c r="F37" i="8"/>
  <c r="F38" i="8"/>
  <c r="E57" i="8"/>
  <c r="F57" i="8" s="1"/>
  <c r="F44" i="8"/>
  <c r="F10" i="8"/>
  <c r="F18" i="8"/>
  <c r="F20" i="8"/>
  <c r="C43" i="8"/>
  <c r="F43" i="8" s="1"/>
  <c r="F46" i="8"/>
  <c r="F47" i="8"/>
  <c r="F8" i="8"/>
  <c r="C91" i="8"/>
  <c r="E91" i="8" s="1"/>
  <c r="E79" i="8"/>
  <c r="F45" i="8"/>
  <c r="F53" i="8"/>
  <c r="A51" i="8"/>
  <c r="C51" i="8" s="1"/>
  <c r="F51" i="8" s="1"/>
  <c r="A55" i="8"/>
  <c r="C55" i="8" s="1"/>
  <c r="F55" i="8" s="1"/>
  <c r="D89" i="8"/>
  <c r="A50" i="8"/>
  <c r="C50" i="8" s="1"/>
  <c r="F50" i="8" s="1"/>
  <c r="A54" i="8"/>
  <c r="C54" i="8" s="1"/>
  <c r="F54" i="8" s="1"/>
  <c r="D87" i="8"/>
  <c r="C82" i="17" l="1"/>
  <c r="E82" i="17" s="1"/>
  <c r="E38" i="14" s="1"/>
  <c r="F38" i="14" s="1"/>
  <c r="F61" i="17"/>
  <c r="F69" i="17" s="1"/>
  <c r="F55" i="10"/>
  <c r="F63" i="10" s="1"/>
  <c r="H53" i="10"/>
  <c r="F2" i="10" s="1"/>
  <c r="C69" i="10"/>
  <c r="E69" i="10" s="1"/>
  <c r="E18" i="12" s="1"/>
  <c r="F18" i="12" s="1"/>
  <c r="C76" i="10"/>
  <c r="E76" i="10" s="1"/>
  <c r="E36" i="12" s="1"/>
  <c r="F36" i="12" s="1"/>
  <c r="F54" i="12" s="1"/>
  <c r="C76" i="12" s="1"/>
  <c r="E76" i="12" s="1"/>
  <c r="H54" i="10"/>
  <c r="G2" i="10" s="1"/>
  <c r="F64" i="11"/>
  <c r="H53" i="11"/>
  <c r="F2" i="11" s="1"/>
  <c r="H62" i="17"/>
  <c r="C80" i="17"/>
  <c r="E75" i="17"/>
  <c r="C87" i="17"/>
  <c r="E87" i="17" s="1"/>
  <c r="H54" i="11"/>
  <c r="G2" i="11" s="1"/>
  <c r="F55" i="11"/>
  <c r="H55" i="11" s="1"/>
  <c r="E69" i="11"/>
  <c r="E17" i="12" s="1"/>
  <c r="F17" i="12" s="1"/>
  <c r="C81" i="11"/>
  <c r="E81" i="11" s="1"/>
  <c r="H56" i="11"/>
  <c r="C74" i="11"/>
  <c r="H56" i="10"/>
  <c r="C74" i="10"/>
  <c r="F59" i="9"/>
  <c r="F70" i="9" s="1"/>
  <c r="F62" i="9"/>
  <c r="F60" i="9"/>
  <c r="F59" i="8"/>
  <c r="F60" i="8"/>
  <c r="H60" i="8" s="1"/>
  <c r="G2" i="8" s="1"/>
  <c r="F62" i="8"/>
  <c r="O60" i="17" l="1"/>
  <c r="O62" i="17" s="1"/>
  <c r="F63" i="11"/>
  <c r="C71" i="11" s="1"/>
  <c r="H55" i="10"/>
  <c r="O54" i="10"/>
  <c r="O56" i="10" s="1"/>
  <c r="H61" i="17"/>
  <c r="E38" i="13"/>
  <c r="F38" i="13" s="1"/>
  <c r="C81" i="10"/>
  <c r="E81" i="10" s="1"/>
  <c r="O54" i="11"/>
  <c r="O56" i="11" s="1"/>
  <c r="H54" i="12"/>
  <c r="G2" i="12" s="1"/>
  <c r="E18" i="13"/>
  <c r="F18" i="13" s="1"/>
  <c r="E18" i="14"/>
  <c r="F18" i="14" s="1"/>
  <c r="F53" i="12"/>
  <c r="F55" i="12" s="1"/>
  <c r="E39" i="13"/>
  <c r="F39" i="13" s="1"/>
  <c r="E39" i="14"/>
  <c r="F39" i="14" s="1"/>
  <c r="O61" i="17"/>
  <c r="H2" i="17"/>
  <c r="H64" i="17"/>
  <c r="H65" i="17" s="1"/>
  <c r="O64" i="17" s="1"/>
  <c r="C92" i="17"/>
  <c r="E92" i="17" s="1"/>
  <c r="E80" i="17"/>
  <c r="C77" i="17"/>
  <c r="E69" i="17"/>
  <c r="F72" i="17"/>
  <c r="G69" i="17" s="1"/>
  <c r="H2" i="11"/>
  <c r="H58" i="11"/>
  <c r="H59" i="11" s="1"/>
  <c r="O58" i="11" s="1"/>
  <c r="O55" i="11"/>
  <c r="E74" i="11"/>
  <c r="C86" i="11"/>
  <c r="E86" i="11" s="1"/>
  <c r="C71" i="10"/>
  <c r="E63" i="10"/>
  <c r="F66" i="10"/>
  <c r="G63" i="10" s="1"/>
  <c r="H2" i="10"/>
  <c r="H58" i="10"/>
  <c r="H59" i="10" s="1"/>
  <c r="O58" i="10" s="1"/>
  <c r="O55" i="10"/>
  <c r="E74" i="10"/>
  <c r="E45" i="12" s="1"/>
  <c r="F45" i="12" s="1"/>
  <c r="C86" i="10"/>
  <c r="E86" i="10" s="1"/>
  <c r="H59" i="9"/>
  <c r="F2" i="9" s="1"/>
  <c r="C75" i="9"/>
  <c r="E75" i="9" s="1"/>
  <c r="F61" i="9"/>
  <c r="O60" i="9" s="1"/>
  <c r="H60" i="9"/>
  <c r="G2" i="9" s="1"/>
  <c r="C82" i="9"/>
  <c r="E82" i="9" s="1"/>
  <c r="H62" i="9"/>
  <c r="C80" i="9"/>
  <c r="F61" i="8"/>
  <c r="F69" i="8" s="1"/>
  <c r="C82" i="8"/>
  <c r="E82" i="8" s="1"/>
  <c r="H59" i="8"/>
  <c r="F2" i="8" s="1"/>
  <c r="F70" i="8"/>
  <c r="C75" i="8"/>
  <c r="E75" i="8" s="1"/>
  <c r="H62" i="8"/>
  <c r="C80" i="8"/>
  <c r="F66" i="11" l="1"/>
  <c r="G63" i="11" s="1"/>
  <c r="E63" i="11"/>
  <c r="E78" i="10"/>
  <c r="O57" i="11"/>
  <c r="O59" i="11" s="1"/>
  <c r="O60" i="11" s="1"/>
  <c r="O57" i="10"/>
  <c r="O59" i="10" s="1"/>
  <c r="O60" i="10" s="1"/>
  <c r="O61" i="10" s="1"/>
  <c r="O62" i="10" s="1"/>
  <c r="E84" i="17"/>
  <c r="E47" i="14"/>
  <c r="F47" i="14" s="1"/>
  <c r="E47" i="13"/>
  <c r="F47" i="13" s="1"/>
  <c r="E78" i="11"/>
  <c r="E44" i="12"/>
  <c r="F44" i="12" s="1"/>
  <c r="F56" i="12" s="1"/>
  <c r="E37" i="13"/>
  <c r="F37" i="13" s="1"/>
  <c r="F55" i="13" s="1"/>
  <c r="E37" i="14"/>
  <c r="F37" i="14" s="1"/>
  <c r="F55" i="14" s="1"/>
  <c r="F63" i="12"/>
  <c r="H55" i="12"/>
  <c r="O54" i="12"/>
  <c r="O56" i="12" s="1"/>
  <c r="H61" i="8"/>
  <c r="E19" i="13"/>
  <c r="F19" i="13" s="1"/>
  <c r="E19" i="14"/>
  <c r="F19" i="14" s="1"/>
  <c r="F64" i="12"/>
  <c r="C69" i="12"/>
  <c r="H53" i="12"/>
  <c r="F2" i="12" s="1"/>
  <c r="O63" i="17"/>
  <c r="O65" i="17" s="1"/>
  <c r="O66" i="17" s="1"/>
  <c r="O67" i="17" s="1"/>
  <c r="O68" i="17" s="1"/>
  <c r="G47" i="17"/>
  <c r="G38" i="17"/>
  <c r="G36" i="17"/>
  <c r="G34" i="17"/>
  <c r="G11" i="17"/>
  <c r="G72" i="17"/>
  <c r="G8" i="17"/>
  <c r="G23" i="17"/>
  <c r="G55" i="17"/>
  <c r="G42" i="17"/>
  <c r="G19" i="17"/>
  <c r="G44" i="17"/>
  <c r="G13" i="17"/>
  <c r="G45" i="17"/>
  <c r="G30" i="17"/>
  <c r="G51" i="17"/>
  <c r="G16" i="17"/>
  <c r="G17" i="17"/>
  <c r="G43" i="17"/>
  <c r="G46" i="17"/>
  <c r="G10" i="17"/>
  <c r="G57" i="17"/>
  <c r="G9" i="17"/>
  <c r="G12" i="17"/>
  <c r="G18" i="17"/>
  <c r="G20" i="17"/>
  <c r="G53" i="17"/>
  <c r="G35" i="17"/>
  <c r="G71" i="17"/>
  <c r="G41" i="17"/>
  <c r="G37" i="17"/>
  <c r="G56" i="17"/>
  <c r="G14" i="17"/>
  <c r="G15" i="17"/>
  <c r="G26" i="17"/>
  <c r="G24" i="17"/>
  <c r="G25" i="17"/>
  <c r="G33" i="17"/>
  <c r="G29" i="17"/>
  <c r="G27" i="17"/>
  <c r="G28" i="17"/>
  <c r="G59" i="17"/>
  <c r="G50" i="17"/>
  <c r="G52" i="17"/>
  <c r="G54" i="17"/>
  <c r="G60" i="17"/>
  <c r="G70" i="17"/>
  <c r="G61" i="17"/>
  <c r="G62" i="17"/>
  <c r="C89" i="17"/>
  <c r="E89" i="17" s="1"/>
  <c r="E77" i="17"/>
  <c r="C83" i="11"/>
  <c r="E83" i="11" s="1"/>
  <c r="E71" i="11"/>
  <c r="G41" i="11"/>
  <c r="G8" i="11"/>
  <c r="G30" i="11"/>
  <c r="G38" i="11"/>
  <c r="G13" i="11"/>
  <c r="G44" i="11"/>
  <c r="G35" i="11"/>
  <c r="G12" i="11"/>
  <c r="G22" i="11"/>
  <c r="G10" i="11"/>
  <c r="G45" i="11"/>
  <c r="G50" i="11"/>
  <c r="G49" i="11"/>
  <c r="G55" i="11"/>
  <c r="G64" i="11"/>
  <c r="G66" i="10"/>
  <c r="G65" i="10"/>
  <c r="G14" i="10"/>
  <c r="G51" i="10"/>
  <c r="G31" i="10"/>
  <c r="G18" i="10"/>
  <c r="G20" i="10"/>
  <c r="G38" i="10"/>
  <c r="G8" i="10"/>
  <c r="G9" i="10"/>
  <c r="G35" i="10"/>
  <c r="G12" i="10"/>
  <c r="G17" i="10"/>
  <c r="G32" i="10"/>
  <c r="G28" i="10"/>
  <c r="G21" i="10"/>
  <c r="G41" i="10"/>
  <c r="G10" i="10"/>
  <c r="G13" i="10"/>
  <c r="G19" i="10"/>
  <c r="G24" i="10"/>
  <c r="G37" i="10"/>
  <c r="G40" i="10"/>
  <c r="G30" i="10"/>
  <c r="G29" i="10"/>
  <c r="G22" i="10"/>
  <c r="G39" i="10"/>
  <c r="G47" i="10"/>
  <c r="G23" i="10"/>
  <c r="G11" i="10"/>
  <c r="G27" i="10"/>
  <c r="G49" i="10"/>
  <c r="G46" i="10"/>
  <c r="G50" i="10"/>
  <c r="G45" i="10"/>
  <c r="G36" i="10"/>
  <c r="G54" i="10"/>
  <c r="G48" i="10"/>
  <c r="G44" i="10"/>
  <c r="G53" i="10"/>
  <c r="G64" i="10"/>
  <c r="G55" i="10"/>
  <c r="G56" i="10"/>
  <c r="C83" i="10"/>
  <c r="E83" i="10" s="1"/>
  <c r="E71" i="10"/>
  <c r="C87" i="9"/>
  <c r="E87" i="9" s="1"/>
  <c r="F69" i="9"/>
  <c r="E69" i="9" s="1"/>
  <c r="H61" i="9"/>
  <c r="O62" i="9"/>
  <c r="E80" i="9"/>
  <c r="C92" i="9"/>
  <c r="E92" i="9" s="1"/>
  <c r="H2" i="9"/>
  <c r="H64" i="9"/>
  <c r="H65" i="9" s="1"/>
  <c r="O64" i="9" s="1"/>
  <c r="O61" i="9"/>
  <c r="O60" i="8"/>
  <c r="O62" i="8" s="1"/>
  <c r="C87" i="8"/>
  <c r="E87" i="8" s="1"/>
  <c r="H64" i="8"/>
  <c r="H65" i="8" s="1"/>
  <c r="O64" i="8" s="1"/>
  <c r="H2" i="8"/>
  <c r="O61" i="8"/>
  <c r="E80" i="8"/>
  <c r="E84" i="8" s="1"/>
  <c r="C92" i="8"/>
  <c r="E92" i="8" s="1"/>
  <c r="C77" i="8"/>
  <c r="E69" i="8"/>
  <c r="F72" i="8"/>
  <c r="G56" i="11" l="1"/>
  <c r="G20" i="11"/>
  <c r="G53" i="11"/>
  <c r="G18" i="11"/>
  <c r="G9" i="11"/>
  <c r="G47" i="11"/>
  <c r="G46" i="11"/>
  <c r="G32" i="11"/>
  <c r="G27" i="11"/>
  <c r="G14" i="11"/>
  <c r="G19" i="11"/>
  <c r="G17" i="11"/>
  <c r="G37" i="11"/>
  <c r="G40" i="11"/>
  <c r="G31" i="11"/>
  <c r="G36" i="11"/>
  <c r="G28" i="11"/>
  <c r="G51" i="11"/>
  <c r="G11" i="11"/>
  <c r="G21" i="11"/>
  <c r="G48" i="11"/>
  <c r="G29" i="11"/>
  <c r="G24" i="11"/>
  <c r="G65" i="11"/>
  <c r="G54" i="11"/>
  <c r="G23" i="11"/>
  <c r="G39" i="11"/>
  <c r="G66" i="11"/>
  <c r="O63" i="8"/>
  <c r="O65" i="8" s="1"/>
  <c r="O66" i="8" s="1"/>
  <c r="O67" i="8" s="1"/>
  <c r="O68" i="8" s="1"/>
  <c r="O63" i="9"/>
  <c r="O65" i="9" s="1"/>
  <c r="O66" i="9" s="1"/>
  <c r="O67" i="9" s="1"/>
  <c r="O68" i="9" s="1"/>
  <c r="O61" i="11"/>
  <c r="O62" i="11" s="1"/>
  <c r="E2" i="11" s="1"/>
  <c r="C71" i="12"/>
  <c r="E63" i="12"/>
  <c r="F66" i="12"/>
  <c r="C77" i="14"/>
  <c r="E77" i="14" s="1"/>
  <c r="H55" i="14"/>
  <c r="G2" i="14" s="1"/>
  <c r="C77" i="13"/>
  <c r="E77" i="13" s="1"/>
  <c r="H55" i="13"/>
  <c r="G2" i="13" s="1"/>
  <c r="E84" i="9"/>
  <c r="E46" i="14"/>
  <c r="F46" i="14" s="1"/>
  <c r="E46" i="13"/>
  <c r="F46" i="13" s="1"/>
  <c r="H56" i="12"/>
  <c r="C74" i="12"/>
  <c r="C81" i="12"/>
  <c r="E81" i="12" s="1"/>
  <c r="E69" i="12"/>
  <c r="P68" i="17"/>
  <c r="E2" i="17"/>
  <c r="P62" i="10"/>
  <c r="E2" i="10"/>
  <c r="C77" i="9"/>
  <c r="C89" i="9" s="1"/>
  <c r="E89" i="9" s="1"/>
  <c r="F72" i="9"/>
  <c r="G15" i="9" s="1"/>
  <c r="G12" i="8"/>
  <c r="G16" i="8"/>
  <c r="G14" i="8"/>
  <c r="G13" i="8"/>
  <c r="G11" i="8"/>
  <c r="G15" i="8"/>
  <c r="G72" i="8"/>
  <c r="G57" i="8"/>
  <c r="G29" i="8"/>
  <c r="G37" i="8"/>
  <c r="G56" i="8"/>
  <c r="G28" i="8"/>
  <c r="G20" i="8"/>
  <c r="G46" i="8"/>
  <c r="G35" i="8"/>
  <c r="G19" i="8"/>
  <c r="G42" i="8"/>
  <c r="G38" i="8"/>
  <c r="G9" i="8"/>
  <c r="G30" i="8"/>
  <c r="G8" i="8"/>
  <c r="G23" i="8"/>
  <c r="G47" i="8"/>
  <c r="G71" i="8"/>
  <c r="G36" i="8"/>
  <c r="G18" i="8"/>
  <c r="G43" i="8"/>
  <c r="G41" i="8"/>
  <c r="G25" i="8"/>
  <c r="G44" i="8"/>
  <c r="G24" i="8"/>
  <c r="G17" i="8"/>
  <c r="G52" i="8"/>
  <c r="G10" i="8"/>
  <c r="G34" i="8"/>
  <c r="G33" i="8"/>
  <c r="G27" i="8"/>
  <c r="G26" i="8"/>
  <c r="G59" i="8"/>
  <c r="G60" i="8"/>
  <c r="G55" i="8"/>
  <c r="G51" i="8"/>
  <c r="G53" i="8"/>
  <c r="G54" i="8"/>
  <c r="G50" i="8"/>
  <c r="G45" i="8"/>
  <c r="G62" i="8"/>
  <c r="G70" i="8"/>
  <c r="G61" i="8"/>
  <c r="C89" i="8"/>
  <c r="E89" i="8" s="1"/>
  <c r="E77" i="8"/>
  <c r="G69" i="8"/>
  <c r="P62" i="11" l="1"/>
  <c r="E77" i="9"/>
  <c r="G63" i="12"/>
  <c r="G19" i="12"/>
  <c r="G8" i="12"/>
  <c r="G51" i="12"/>
  <c r="G54" i="12"/>
  <c r="G23" i="12"/>
  <c r="G27" i="12"/>
  <c r="G45" i="12"/>
  <c r="G10" i="12"/>
  <c r="G49" i="12"/>
  <c r="G53" i="12"/>
  <c r="G31" i="12"/>
  <c r="G9" i="12"/>
  <c r="G65" i="12"/>
  <c r="G13" i="12"/>
  <c r="G17" i="12"/>
  <c r="G38" i="12"/>
  <c r="G66" i="12"/>
  <c r="G12" i="12"/>
  <c r="G40" i="12"/>
  <c r="G28" i="12"/>
  <c r="G20" i="12"/>
  <c r="G48" i="12"/>
  <c r="G47" i="12"/>
  <c r="G29" i="12"/>
  <c r="G41" i="12"/>
  <c r="G39" i="12"/>
  <c r="G37" i="12"/>
  <c r="G32" i="12"/>
  <c r="G24" i="12"/>
  <c r="G18" i="12"/>
  <c r="G30" i="12"/>
  <c r="G36" i="12"/>
  <c r="G14" i="12"/>
  <c r="G50" i="12"/>
  <c r="G11" i="12"/>
  <c r="G22" i="12"/>
  <c r="G55" i="12"/>
  <c r="G46" i="12"/>
  <c r="G35" i="12"/>
  <c r="G21" i="12"/>
  <c r="C83" i="12"/>
  <c r="E83" i="12" s="1"/>
  <c r="E71" i="12"/>
  <c r="E20" i="14"/>
  <c r="F20" i="14" s="1"/>
  <c r="E20" i="13"/>
  <c r="F20" i="13" s="1"/>
  <c r="E74" i="12"/>
  <c r="E78" i="12" s="1"/>
  <c r="C86" i="12"/>
  <c r="E86" i="12" s="1"/>
  <c r="G64" i="12"/>
  <c r="G56" i="12"/>
  <c r="H2" i="12"/>
  <c r="H58" i="12"/>
  <c r="H59" i="12" s="1"/>
  <c r="O58" i="12" s="1"/>
  <c r="O55" i="12"/>
  <c r="O57" i="12" s="1"/>
  <c r="G44" i="12"/>
  <c r="G27" i="9"/>
  <c r="G59" i="9"/>
  <c r="G10" i="9"/>
  <c r="G29" i="9"/>
  <c r="G37" i="9"/>
  <c r="G28" i="9"/>
  <c r="G23" i="9"/>
  <c r="G61" i="9"/>
  <c r="G42" i="9"/>
  <c r="G35" i="9"/>
  <c r="G11" i="9"/>
  <c r="G50" i="9"/>
  <c r="G55" i="9"/>
  <c r="G34" i="9"/>
  <c r="G26" i="9"/>
  <c r="G25" i="9"/>
  <c r="G13" i="9"/>
  <c r="G62" i="9"/>
  <c r="G71" i="9"/>
  <c r="G38" i="9"/>
  <c r="G56" i="9"/>
  <c r="G51" i="9"/>
  <c r="G72" i="9"/>
  <c r="G16" i="9"/>
  <c r="G17" i="9"/>
  <c r="G33" i="9"/>
  <c r="G57" i="9"/>
  <c r="G12" i="9"/>
  <c r="G69" i="9"/>
  <c r="G60" i="9"/>
  <c r="G41" i="9"/>
  <c r="G9" i="9"/>
  <c r="G24" i="9"/>
  <c r="G44" i="9"/>
  <c r="G47" i="9"/>
  <c r="G30" i="9"/>
  <c r="G46" i="9"/>
  <c r="G14" i="9"/>
  <c r="G70" i="9"/>
  <c r="G53" i="9"/>
  <c r="G54" i="9"/>
  <c r="G19" i="9"/>
  <c r="G45" i="9"/>
  <c r="G18" i="9"/>
  <c r="G36" i="9"/>
  <c r="G8" i="9"/>
  <c r="G43" i="9"/>
  <c r="G20" i="9"/>
  <c r="G52" i="9"/>
  <c r="P68" i="9"/>
  <c r="E2" i="9"/>
  <c r="P68" i="8"/>
  <c r="E2" i="8"/>
  <c r="F54" i="13" l="1"/>
  <c r="F54" i="14"/>
  <c r="O59" i="12"/>
  <c r="O60" i="12" s="1"/>
  <c r="O61" i="12" s="1"/>
  <c r="O62" i="12" s="1"/>
  <c r="E48" i="14"/>
  <c r="F48" i="14" s="1"/>
  <c r="E48" i="13"/>
  <c r="F48" i="13" s="1"/>
  <c r="F57" i="13" l="1"/>
  <c r="F57" i="14"/>
  <c r="E2" i="12"/>
  <c r="P62" i="12"/>
  <c r="F65" i="14"/>
  <c r="C70" i="14"/>
  <c r="H54" i="14"/>
  <c r="F2" i="14" s="1"/>
  <c r="F56" i="14"/>
  <c r="C70" i="13"/>
  <c r="H54" i="13"/>
  <c r="F2" i="13" s="1"/>
  <c r="F65" i="13"/>
  <c r="F56" i="13"/>
  <c r="E70" i="13" l="1"/>
  <c r="C82" i="13"/>
  <c r="E82" i="13" s="1"/>
  <c r="O55" i="14"/>
  <c r="O57" i="14" s="1"/>
  <c r="H56" i="14"/>
  <c r="F64" i="14"/>
  <c r="E70" i="14"/>
  <c r="C82" i="14"/>
  <c r="E82" i="14" s="1"/>
  <c r="H56" i="13"/>
  <c r="O55" i="13"/>
  <c r="O57" i="13" s="1"/>
  <c r="F64" i="13"/>
  <c r="H57" i="14"/>
  <c r="C75" i="14"/>
  <c r="H57" i="13"/>
  <c r="C75" i="13"/>
  <c r="E64" i="13" l="1"/>
  <c r="F67" i="13"/>
  <c r="G64" i="13" s="1"/>
  <c r="C72" i="13"/>
  <c r="E75" i="13"/>
  <c r="E79" i="13" s="1"/>
  <c r="C87" i="13"/>
  <c r="E87" i="13" s="1"/>
  <c r="O56" i="13"/>
  <c r="O58" i="13" s="1"/>
  <c r="H59" i="13"/>
  <c r="H60" i="13" s="1"/>
  <c r="O59" i="13" s="1"/>
  <c r="H2" i="13"/>
  <c r="E64" i="14"/>
  <c r="F67" i="14"/>
  <c r="G64" i="14" s="1"/>
  <c r="C72" i="14"/>
  <c r="E75" i="14"/>
  <c r="E79" i="14" s="1"/>
  <c r="C87" i="14"/>
  <c r="E87" i="14" s="1"/>
  <c r="H59" i="14"/>
  <c r="H60" i="14" s="1"/>
  <c r="O59" i="14" s="1"/>
  <c r="O56" i="14"/>
  <c r="O58" i="14" s="1"/>
  <c r="H2" i="14"/>
  <c r="O60" i="14" l="1"/>
  <c r="O61" i="14" s="1"/>
  <c r="O62" i="14" s="1"/>
  <c r="O63" i="14" s="1"/>
  <c r="P63" i="14" s="1"/>
  <c r="O60" i="13"/>
  <c r="O61" i="13" s="1"/>
  <c r="O62" i="13" s="1"/>
  <c r="G19" i="13"/>
  <c r="G11" i="13"/>
  <c r="G51" i="13"/>
  <c r="G12" i="13"/>
  <c r="G38" i="13"/>
  <c r="G29" i="13"/>
  <c r="G40" i="13"/>
  <c r="G49" i="13"/>
  <c r="G9" i="13"/>
  <c r="G21" i="13"/>
  <c r="G32" i="13"/>
  <c r="G14" i="13"/>
  <c r="G47" i="13"/>
  <c r="G30" i="13"/>
  <c r="G22" i="13"/>
  <c r="G52" i="13"/>
  <c r="G42" i="13"/>
  <c r="G13" i="13"/>
  <c r="G66" i="13"/>
  <c r="G23" i="13"/>
  <c r="G41" i="13"/>
  <c r="G8" i="13"/>
  <c r="G39" i="13"/>
  <c r="G36" i="13"/>
  <c r="G31" i="13"/>
  <c r="G50" i="13"/>
  <c r="G28" i="13"/>
  <c r="G33" i="13"/>
  <c r="G45" i="13"/>
  <c r="G67" i="13"/>
  <c r="G10" i="13"/>
  <c r="G24" i="13"/>
  <c r="G27" i="13"/>
  <c r="G17" i="13"/>
  <c r="G18" i="13"/>
  <c r="G37" i="13"/>
  <c r="G55" i="13"/>
  <c r="G46" i="13"/>
  <c r="G20" i="13"/>
  <c r="G48" i="13"/>
  <c r="G54" i="13"/>
  <c r="G56" i="13"/>
  <c r="G65" i="13"/>
  <c r="G57" i="13"/>
  <c r="E72" i="13"/>
  <c r="C84" i="13"/>
  <c r="E84" i="13" s="1"/>
  <c r="C84" i="14"/>
  <c r="E84" i="14" s="1"/>
  <c r="E72" i="14"/>
  <c r="G17" i="14"/>
  <c r="G21" i="14"/>
  <c r="G49" i="14"/>
  <c r="G8" i="14"/>
  <c r="G28" i="14"/>
  <c r="G37" i="14"/>
  <c r="G9" i="14"/>
  <c r="G11" i="14"/>
  <c r="G12" i="14"/>
  <c r="G50" i="14"/>
  <c r="G40" i="14"/>
  <c r="G30" i="14"/>
  <c r="G27" i="14"/>
  <c r="G36" i="14"/>
  <c r="G51" i="14"/>
  <c r="G66" i="14"/>
  <c r="G41" i="14"/>
  <c r="G29" i="14"/>
  <c r="G18" i="14"/>
  <c r="G47" i="14"/>
  <c r="G13" i="14"/>
  <c r="G52" i="14"/>
  <c r="G23" i="14"/>
  <c r="G24" i="14"/>
  <c r="G10" i="14"/>
  <c r="G55" i="14"/>
  <c r="G14" i="14"/>
  <c r="G32" i="14"/>
  <c r="G45" i="14"/>
  <c r="G19" i="14"/>
  <c r="G67" i="14"/>
  <c r="G31" i="14"/>
  <c r="G38" i="14"/>
  <c r="G33" i="14"/>
  <c r="G22" i="14"/>
  <c r="G42" i="14"/>
  <c r="G39" i="14"/>
  <c r="G46" i="14"/>
  <c r="G20" i="14"/>
  <c r="G48" i="14"/>
  <c r="G54" i="14"/>
  <c r="G57" i="14"/>
  <c r="G56" i="14"/>
  <c r="G65" i="14"/>
  <c r="O63" i="13" l="1"/>
  <c r="P63" i="13" s="1"/>
  <c r="O69" i="13"/>
  <c r="E2" i="14"/>
  <c r="E2" i="13" l="1"/>
</calcChain>
</file>

<file path=xl/sharedStrings.xml><?xml version="1.0" encoding="utf-8"?>
<sst xmlns="http://schemas.openxmlformats.org/spreadsheetml/2006/main" count="2365" uniqueCount="377">
  <si>
    <r>
      <t xml:space="preserve">1.- </t>
    </r>
    <r>
      <rPr>
        <sz val="11"/>
        <rFont val="Arial"/>
        <family val="2"/>
      </rPr>
      <t>Colocar dentro del molde desarmable redondo 21 cm ,previamente ensagrasado la base de galleta presionar y hornear a 175°C por 7 min en el Argental, a 175°C por 8 min en el Dicte 1 y Dicte 2, a 170°C en el Dicte 3 y a 175°C por 7 min en el Marshal</t>
    </r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</si>
  <si>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</si>
  <si>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</si>
  <si>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</si>
  <si>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</si>
  <si>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</si>
  <si>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</si>
  <si>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</si>
  <si>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</si>
  <si>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</si>
  <si>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</si>
  <si>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</si>
  <si>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CEMUSA</t>
  </si>
  <si>
    <t>ETIQ.FECHA VENCIMIENTO BLANCO (ROLLO)</t>
  </si>
  <si>
    <t>Cemusa</t>
  </si>
  <si>
    <t>ETIQUETA BLANCA R-153 (UND)</t>
  </si>
  <si>
    <t>ETIQUETA BLANCA 2 5/8X1 15/16 (UND)</t>
  </si>
  <si>
    <t>Exp PMT</t>
  </si>
  <si>
    <t>QUEQUERA RED C/BASE ALTA 9" (CAJA:100 U)</t>
  </si>
  <si>
    <t>RAPIBOX</t>
  </si>
  <si>
    <t>ORLA CARTON 9" DORADA (UND )</t>
  </si>
  <si>
    <t>cm</t>
  </si>
  <si>
    <t>ETIPLAST</t>
  </si>
  <si>
    <t>CINTA ADHESIVA TRANSPARENT 2*100 M (UND)</t>
  </si>
  <si>
    <t>EMPAQUE</t>
  </si>
  <si>
    <t>NESTLE</t>
  </si>
  <si>
    <t>FAS</t>
  </si>
  <si>
    <t>DECORACION</t>
  </si>
  <si>
    <t>BASE GALLETA P/CHEESE CAKE (KILO)</t>
  </si>
  <si>
    <t>907000002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</si>
  <si>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</si>
  <si>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</si>
  <si>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</si>
  <si>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</si>
  <si>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</si>
  <si>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</si>
  <si>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</si>
  <si>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</si>
  <si>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Postre</t>
  </si>
  <si>
    <t xml:space="preserve">AREA QUE EMPACA: </t>
  </si>
  <si>
    <t>AREA QUE PRODUCE:</t>
  </si>
  <si>
    <t>Esteban Cartin, Gte Manufactura</t>
  </si>
  <si>
    <t>Aprobado</t>
  </si>
  <si>
    <t>Javier Tong,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</si>
  <si>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</si>
  <si>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</si>
  <si>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</si>
  <si>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</si>
  <si>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</si>
  <si>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</si>
  <si>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ETIQ.BLANCA 1 1/4 * 3/4 (UND)</t>
  </si>
  <si>
    <r>
      <t>5.- T</t>
    </r>
    <r>
      <rPr>
        <sz val="11"/>
        <rFont val="Arial"/>
        <family val="2"/>
      </rPr>
      <t>apar y etiquetar</t>
    </r>
  </si>
  <si>
    <t>Control de cambios</t>
  </si>
  <si>
    <t>ETIQUETA IMPRES SPOON GRANDE V-272 (UND)</t>
  </si>
  <si>
    <t># Codigo Netsuite</t>
  </si>
  <si>
    <t>SE00041</t>
  </si>
  <si>
    <t>MP10007</t>
  </si>
  <si>
    <t>EM10006</t>
  </si>
  <si>
    <t>EM10248</t>
  </si>
  <si>
    <t>EM10020</t>
  </si>
  <si>
    <t>EM10021</t>
  </si>
  <si>
    <t>EM10011</t>
  </si>
  <si>
    <t>EM10124</t>
  </si>
  <si>
    <t>EM10004</t>
  </si>
  <si>
    <t>EM10002</t>
  </si>
  <si>
    <t>Cheesecake Pie de Pecanas</t>
  </si>
  <si>
    <t>Base y borde</t>
  </si>
  <si>
    <t>RELLENO PIE DE PECANAS</t>
  </si>
  <si>
    <t>0310107</t>
  </si>
  <si>
    <t>MP10022</t>
  </si>
  <si>
    <t xml:space="preserve">LACTOCREMA GRANEL </t>
  </si>
  <si>
    <t>Dos Pinos</t>
  </si>
  <si>
    <t>SE00226</t>
  </si>
  <si>
    <t xml:space="preserve">AZUCAR REFINADA (BOLSA:1500g) </t>
  </si>
  <si>
    <t>90100142</t>
  </si>
  <si>
    <t>SE00104</t>
  </si>
  <si>
    <t>EMPAQUE SAL KILO</t>
  </si>
  <si>
    <t>MP10573</t>
  </si>
  <si>
    <t>SIROPE KARO DARK (UND: 3.78 K)</t>
  </si>
  <si>
    <t>Karo</t>
  </si>
  <si>
    <t>1210482</t>
  </si>
  <si>
    <t>MP10005</t>
  </si>
  <si>
    <t>Huevo Liquido Refrigerado</t>
  </si>
  <si>
    <t>Debel</t>
  </si>
  <si>
    <t>90100129</t>
  </si>
  <si>
    <t>SE00014</t>
  </si>
  <si>
    <t>EMPAQUE ALMIDON MODIFICADO KILO</t>
  </si>
  <si>
    <t>Prima</t>
  </si>
  <si>
    <t>1212410</t>
  </si>
  <si>
    <t>MP10008</t>
  </si>
  <si>
    <t>PRESERVANTE 1047S KILO</t>
  </si>
  <si>
    <t>Aseal</t>
  </si>
  <si>
    <t>Nueces Industriales</t>
  </si>
  <si>
    <t>Tiempo de Horneo:</t>
  </si>
  <si>
    <t>Horno:</t>
  </si>
  <si>
    <t>TANDA</t>
  </si>
  <si>
    <t>Temperatura de Horneo:</t>
  </si>
  <si>
    <t>Otros</t>
  </si>
  <si>
    <t xml:space="preserve">1.- Derretir la lactocrema en fuego medio aproximadamente 2 minutos. </t>
  </si>
  <si>
    <t>MP10075</t>
  </si>
  <si>
    <t>10100045</t>
  </si>
  <si>
    <t>Azucar Caramelo</t>
  </si>
  <si>
    <t>Postres</t>
  </si>
  <si>
    <t>Doña María</t>
  </si>
  <si>
    <t>MP10562</t>
  </si>
  <si>
    <t>11900028</t>
  </si>
  <si>
    <t>Pecana Entera</t>
  </si>
  <si>
    <t>1730660</t>
  </si>
  <si>
    <t>MP10046</t>
  </si>
  <si>
    <t>QUESO CREMA PANADERO (CAJA =5 KILOS )</t>
  </si>
  <si>
    <t>DOS PINOS</t>
  </si>
  <si>
    <t>PRESERVANTE 1047S (PAQ=5 KILO)</t>
  </si>
  <si>
    <t>ASEAL</t>
  </si>
  <si>
    <t>EM10259</t>
  </si>
  <si>
    <t>PLAST. AUTOAD 18 * 2000</t>
  </si>
  <si>
    <t>Mayca</t>
  </si>
  <si>
    <t>0702069</t>
  </si>
  <si>
    <t>ETIQ.BLANCA 1 1/4 * 3/4</t>
  </si>
  <si>
    <t>PESO POR PORCION</t>
  </si>
  <si>
    <t>11400066</t>
  </si>
  <si>
    <t>Manjar Leche Condensada</t>
  </si>
  <si>
    <t>RELLENO DE CHEESECAKE Y MANJAR</t>
  </si>
  <si>
    <t>RELLENO CHEESECAKE Y MANJAR</t>
  </si>
  <si>
    <t>MP10239</t>
  </si>
  <si>
    <t>0101132</t>
  </si>
  <si>
    <t>Limon En Polvo</t>
  </si>
  <si>
    <t>MP10043</t>
  </si>
  <si>
    <t>1100022</t>
  </si>
  <si>
    <t>Gelatina Pura</t>
  </si>
  <si>
    <t>AGUA</t>
  </si>
  <si>
    <t>Tanda</t>
  </si>
  <si>
    <t>NIUCO</t>
  </si>
  <si>
    <t>DESINID MAYCA</t>
  </si>
  <si>
    <t>2.- Disolver la gelatina en agua y agregar a la mezcla,  baitr en velocidad 2 por 1 minuto.</t>
  </si>
  <si>
    <t>3.- Limpiar bordes, mezclar 10 segundos y trasvasar. Utilizar de inmediato</t>
  </si>
  <si>
    <t>MP10485</t>
  </si>
  <si>
    <t>0310099</t>
  </si>
  <si>
    <t>Crema Dulce</t>
  </si>
  <si>
    <t>Boquilla Wilton #61</t>
  </si>
  <si>
    <t>TOPPING CARAMELO Y PECANA</t>
  </si>
  <si>
    <t>Topping de caramelo y pecanas</t>
  </si>
  <si>
    <t>MP10089</t>
  </si>
  <si>
    <t>410118</t>
  </si>
  <si>
    <t>Brillo Glit</t>
  </si>
  <si>
    <t>PECANA TOSTADA</t>
  </si>
  <si>
    <t>GLIT</t>
  </si>
  <si>
    <t>1.- Mezclar todos los ingredientes con ayuda de una paleta hasta homogenea en velocidad 1.</t>
  </si>
  <si>
    <r>
      <t xml:space="preserve">2.- </t>
    </r>
    <r>
      <rPr>
        <sz val="11"/>
        <rFont val="Arial"/>
        <family val="2"/>
      </rPr>
      <t>Una vez fria la galleta, agregar el relleno de pecanas y las pecanas sobre el relleno de pecanas. Hornear por 30 min aprox. Enfriar</t>
    </r>
  </si>
  <si>
    <r>
      <t xml:space="preserve">3.- </t>
    </r>
    <r>
      <rPr>
        <sz val="11"/>
        <rFont val="Arial"/>
        <family val="2"/>
      </rPr>
      <t>Agregar la el relleno de cheesecake y manjar, emparejar con ayuda de una espatula. Enfriar por 6 horas como minimo.</t>
    </r>
  </si>
  <si>
    <r>
      <t xml:space="preserve">4.-  </t>
    </r>
    <r>
      <rPr>
        <sz val="11"/>
        <rFont val="Arial"/>
        <family val="2"/>
      </rPr>
      <t>Desmoldar con ayuda de una espatula, Pegar a la orla con manjar, decorar con colocho de crema de manjar en el borde y topping de caramelo y pecanas en el centro.</t>
    </r>
  </si>
  <si>
    <t>SALSA DE CARAMELO PARA PECANAS</t>
  </si>
  <si>
    <t>MP10504</t>
  </si>
  <si>
    <t>102000061</t>
  </si>
  <si>
    <t>Sirope Maple</t>
  </si>
  <si>
    <t>EL ANGEL</t>
  </si>
  <si>
    <t>MP10024</t>
  </si>
  <si>
    <t>1110414</t>
  </si>
  <si>
    <t>Leche Evaporada</t>
  </si>
  <si>
    <t>MP10025</t>
  </si>
  <si>
    <t>1212412</t>
  </si>
  <si>
    <t>Preservante 1017S</t>
  </si>
  <si>
    <t>ASEL</t>
  </si>
  <si>
    <t xml:space="preserve">1.- Derretir el azucar sin dejar de mezclar, agregar la lactocrema en trozos. Hasta derretir. </t>
  </si>
  <si>
    <t xml:space="preserve">2.- Agregar la miel de maple, preservante y la leche evaporada. </t>
  </si>
  <si>
    <t xml:space="preserve">3.- Sacar de la olla ne bolsas termicas de aprox 5 kg. </t>
  </si>
  <si>
    <t>EM10307</t>
  </si>
  <si>
    <t>BOLSA MARMITA 14 x 20 (KILO)</t>
  </si>
  <si>
    <t>Etiplas</t>
  </si>
  <si>
    <t>MP10048</t>
  </si>
  <si>
    <t>Crema Prestige Grand</t>
  </si>
  <si>
    <t>RICHS</t>
  </si>
  <si>
    <t>1.- Colocar en la batidora el queso,  preservante, manjar y limon en polvo. batir a maxima velocidad por 2 a 3 minutos. Hasta que la mezcla quede homogenea. Agregar la crema prestie y batir por 3 min mas hasta homogeneo.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</si>
  <si>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</si>
  <si>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</si>
  <si>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</si>
  <si>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</si>
  <si>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</si>
  <si>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</si>
  <si>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</si>
  <si>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</si>
  <si>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</si>
  <si>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</si>
  <si>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</si>
  <si>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</si>
  <si>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</si>
  <si>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</si>
  <si>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</si>
  <si>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</si>
  <si>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</si>
  <si>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</si>
  <si>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</si>
  <si>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</si>
  <si>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</si>
  <si>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</si>
  <si>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</si>
  <si>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</si>
  <si>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</si>
  <si>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</si>
  <si>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</si>
  <si>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</si>
  <si>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</si>
  <si>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</si>
  <si>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</si>
  <si>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</si>
  <si>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</si>
  <si>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</si>
  <si>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</si>
  <si>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</si>
  <si>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</si>
  <si>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</si>
  <si>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</si>
  <si>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</si>
  <si>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</si>
  <si>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64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</si>
  <si>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</si>
  <si>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</si>
  <si>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</si>
  <si>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</si>
  <si>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</si>
  <si>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</si>
  <si>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</si>
  <si>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</si>
  <si>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</si>
  <si>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</si>
  <si>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>11400031</t>
  </si>
  <si>
    <t>90100132</t>
  </si>
  <si>
    <t>10100048</t>
  </si>
  <si>
    <t>0702123</t>
  </si>
  <si>
    <t>51600050</t>
  </si>
  <si>
    <t>Und</t>
  </si>
  <si>
    <t>NUEVO</t>
  </si>
  <si>
    <t>Gramo</t>
  </si>
  <si>
    <t>310099</t>
  </si>
  <si>
    <t>1950693</t>
  </si>
  <si>
    <t>51400021</t>
  </si>
  <si>
    <t>701096</t>
  </si>
  <si>
    <t>0702007</t>
  </si>
  <si>
    <t>702175</t>
  </si>
  <si>
    <t>RELLENO CHEESECAKE PREMIUM</t>
  </si>
  <si>
    <t>SE00032</t>
  </si>
  <si>
    <t>Crema Dulce Leche</t>
  </si>
  <si>
    <r>
      <t xml:space="preserve">1.- </t>
    </r>
    <r>
      <rPr>
        <sz val="11"/>
        <rFont val="Arial"/>
        <family val="2"/>
      </rPr>
      <t xml:space="preserve">Colocar dentro del molde desarmable redondo 21 cm ,previamente ensagrasado la base de galleta presionar, despues colocar agregar el relleno de pecanas y hornear a 325°F por 25 minutos. </t>
    </r>
  </si>
  <si>
    <r>
      <t xml:space="preserve">2.- </t>
    </r>
    <r>
      <rPr>
        <sz val="11"/>
        <rFont val="Arial"/>
        <family val="2"/>
      </rPr>
      <t>Una vez fria la base, se agregar la el relleno de cheesecake premium, emparejar con ayuda de una espatula. Enfriar por 6 horas como minimo.</t>
    </r>
  </si>
  <si>
    <r>
      <t xml:space="preserve">3.-  </t>
    </r>
    <r>
      <rPr>
        <sz val="11"/>
        <rFont val="Arial"/>
        <family val="2"/>
      </rPr>
      <t>Desmoldar con ayuda de una espatula, Pegar a la orla con manjar, decorar con colocho de crema de manjar en el borde y topping de caramelo y pecanas en el centro.</t>
    </r>
  </si>
  <si>
    <r>
      <t>4.- T</t>
    </r>
    <r>
      <rPr>
        <sz val="11"/>
        <rFont val="Arial"/>
        <family val="2"/>
      </rPr>
      <t>apar y etiquetar</t>
    </r>
  </si>
  <si>
    <t>Leche Condensada</t>
  </si>
  <si>
    <t>11400046</t>
  </si>
  <si>
    <t>ESP-RE-POS-031</t>
  </si>
  <si>
    <t>15</t>
  </si>
  <si>
    <t xml:space="preserve"> Base Galleta Cheesecake  SE00041</t>
  </si>
  <si>
    <t>Medida Costos</t>
  </si>
  <si>
    <t>10100344</t>
  </si>
  <si>
    <t>MP10523</t>
  </si>
  <si>
    <t xml:space="preserve">GALLETA SODA MOLIDA (PAQ:1 KILO) </t>
  </si>
  <si>
    <t>POZUELO</t>
  </si>
  <si>
    <t>10100345</t>
  </si>
  <si>
    <t>MP10555</t>
  </si>
  <si>
    <t>GALLETA YEMITA (KILO)</t>
  </si>
  <si>
    <t>906000002</t>
  </si>
  <si>
    <t>SE00204</t>
  </si>
  <si>
    <t>Corte Galleta Chilena Grande</t>
  </si>
  <si>
    <t>RECORTE DE CHILENA</t>
  </si>
  <si>
    <t>LACTOCREMA GRANEL (CAJA:25 KG)</t>
  </si>
  <si>
    <t>MP10041</t>
  </si>
  <si>
    <t>AZUCAR GLASS MOLIDA (PAQ: 4 K)</t>
  </si>
  <si>
    <t>TIEMPO DE HORNEO</t>
  </si>
  <si>
    <t>HORNO</t>
  </si>
  <si>
    <t>TEMPERATURA HORNEO</t>
  </si>
  <si>
    <t>OTROS</t>
  </si>
  <si>
    <t>1.- Derretir la lactocrema. No hervir.</t>
  </si>
  <si>
    <t>2.- Mezclar todos los ingredientes en un bowl con el azucar en polvo.</t>
  </si>
  <si>
    <t xml:space="preserve">2, Mezclar la galletas procesada con el azucar y la lactocrema, en batidora con paleta, hasta homogeneo. </t>
  </si>
  <si>
    <t>CONTROL DE CAMBIOS</t>
  </si>
  <si>
    <t>Revisión #9: Actualización de codigos</t>
  </si>
  <si>
    <t>Revisión #10: Actualizacion de peso final, y productos de reproceso.</t>
  </si>
  <si>
    <t xml:space="preserve">Revisión #11: Actualizacion completa por cambio de galletas y rendimiento. </t>
  </si>
  <si>
    <t xml:space="preserve">Revision #12: Actualizacion del peso de la lactocrema y el rendimiento. </t>
  </si>
  <si>
    <t>Revision #13: Se elimina galleta Maria y se agrega recorte de galleta chilena Spoon</t>
  </si>
  <si>
    <t>Revision #14: Se le bajo Lactocrema</t>
  </si>
  <si>
    <t>Revisión# 15:Se le aumenta la cantidad de lactocrema a la receta</t>
  </si>
  <si>
    <t>ESP-RE-PAPS-002</t>
  </si>
  <si>
    <t>01</t>
  </si>
  <si>
    <t>Corte Galleta Chilena Grande 143g 906000002(SE00204)</t>
  </si>
  <si>
    <t>Pastas</t>
  </si>
  <si>
    <t># Código Netsuite</t>
  </si>
  <si>
    <t>Ensamble</t>
  </si>
  <si>
    <t>906000035</t>
  </si>
  <si>
    <t>SE00177</t>
  </si>
  <si>
    <t>PASTA TORTA CHILENA SPOON KILO</t>
  </si>
  <si>
    <t>90100137</t>
  </si>
  <si>
    <t>SE00183</t>
  </si>
  <si>
    <t>EMPAQUE HARINA ESTANDAR (KILO)</t>
  </si>
  <si>
    <t>Decoración</t>
  </si>
  <si>
    <t>Empaque</t>
  </si>
  <si>
    <t>Galletas</t>
  </si>
  <si>
    <r>
      <rPr>
        <b/>
        <sz val="12"/>
        <rFont val="Times New Roman"/>
        <family val="1"/>
      </rPr>
      <t>1-.</t>
    </r>
    <r>
      <rPr>
        <sz val="12"/>
        <rFont val="Times New Roman"/>
        <family val="1"/>
      </rPr>
      <t xml:space="preserve"> Laminar la masa hasta 4 mm con ayuda e la maquina, hacer huecos con el zorro. En la laminadora Rondo a 2.8, en la laminadora Kemplex 3.</t>
    </r>
  </si>
  <si>
    <r>
      <rPr>
        <b/>
        <sz val="12"/>
        <rFont val="Times New Roman"/>
        <family val="1"/>
      </rPr>
      <t>2-.</t>
    </r>
    <r>
      <rPr>
        <sz val="12"/>
        <rFont val="Times New Roman"/>
        <family val="1"/>
      </rPr>
      <t xml:space="preserve"> Cortar con cortador redondo de 23 cm diametro y colocar los 7 circulos en la bandeja</t>
    </r>
  </si>
  <si>
    <r>
      <rPr>
        <b/>
        <sz val="12"/>
        <rFont val="Times New Roman"/>
        <family val="1"/>
      </rPr>
      <t>3-.</t>
    </r>
    <r>
      <rPr>
        <sz val="12"/>
        <rFont val="Times New Roman"/>
        <family val="1"/>
      </rPr>
      <t xml:space="preserve"> Llevar al horno en Dicte 1 por 23 min a 170°C o Dicte 2 por 22 a 24 min a 170°C.</t>
    </r>
  </si>
  <si>
    <r>
      <rPr>
        <b/>
        <sz val="12"/>
        <rFont val="Times New Roman"/>
        <family val="1"/>
      </rPr>
      <t>4-.</t>
    </r>
    <r>
      <rPr>
        <sz val="12"/>
        <rFont val="Times New Roman"/>
        <family val="1"/>
      </rPr>
      <t xml:space="preserve"> Enfriar.</t>
    </r>
  </si>
  <si>
    <t>ESP-RE-PAPS-011</t>
  </si>
  <si>
    <t>PASTA TORTA CHILENA SPOON KILO SE00177</t>
  </si>
  <si>
    <t>SE00178</t>
  </si>
  <si>
    <t>PREMEZCLA P/PASTA CHILENA SPOON</t>
  </si>
  <si>
    <t>Spoon</t>
  </si>
  <si>
    <t>60 min</t>
  </si>
  <si>
    <t>Dicte 1,2,3</t>
  </si>
  <si>
    <t>185 C</t>
  </si>
  <si>
    <t>1.- Colocar la margarina, azucar y harina y preservante. Batir en velocidad 1 por 3 minutos, con ayuda de la paleta.</t>
  </si>
  <si>
    <t>2.- Utilizar de inmediato.</t>
  </si>
  <si>
    <t>ESP-RE-PRES-008</t>
  </si>
  <si>
    <t>PREMEZCLA P/PASTA CHILENA SPOON 901000014(SE00178)</t>
  </si>
  <si>
    <t>Premezclas</t>
  </si>
  <si>
    <t>MP10040</t>
  </si>
  <si>
    <t>MARGARINA BAKER TABLETA (CAJA: 25 K)</t>
  </si>
  <si>
    <t>NUMAR</t>
  </si>
  <si>
    <t>MP10049</t>
  </si>
  <si>
    <t>AZUCAR POLVO P.REAL (PAQ:2.5 Kg)</t>
  </si>
  <si>
    <t>PASTELERO REAL</t>
  </si>
  <si>
    <t>Bolsa</t>
  </si>
  <si>
    <t>MP10051</t>
  </si>
  <si>
    <t>HARINA TRIGO NACARINA (SACO: 25 K)</t>
  </si>
  <si>
    <t>NACARINA</t>
  </si>
  <si>
    <t>EM10013</t>
  </si>
  <si>
    <t>BOLSA 17x25 TRANSP</t>
  </si>
  <si>
    <t>PLASTICOS P</t>
  </si>
  <si>
    <t>EM10133</t>
  </si>
  <si>
    <t>ETIQUETA ROJA LETRA ALERJENO (UND)</t>
  </si>
  <si>
    <t>AS00020</t>
  </si>
  <si>
    <t>GUANTE LATEX CORRIENTE (CAJA:100 UND)</t>
  </si>
  <si>
    <t>MAYCA</t>
  </si>
  <si>
    <t>Minutos</t>
  </si>
  <si>
    <t>1.- Colocar en 1  bolsa 17*25 la margarina. Etiquetar con nombre y alerjeno</t>
  </si>
  <si>
    <t>2.- Colocar la harina, preservante en otra bolsa 17*25, enviar 1 bolsa de azucar en polvo entera.</t>
  </si>
  <si>
    <t>3.- Etiquetar ambas bolsas con nombre y alerjeno.</t>
  </si>
  <si>
    <t>ESP-RE-DES-020</t>
  </si>
  <si>
    <t>02</t>
  </si>
  <si>
    <t>Crema de Dulce de Leche(24500g) SE00032</t>
  </si>
  <si>
    <t>Decoracion</t>
  </si>
  <si>
    <t>MP10165</t>
  </si>
  <si>
    <t>CREMA BETTER DULCE LECHE RICH (UND:4 K)</t>
  </si>
  <si>
    <t>4 GALON</t>
  </si>
  <si>
    <t>CREMA PRESTIGE GRAND (UND:4 K)</t>
  </si>
  <si>
    <t>2 GALON</t>
  </si>
  <si>
    <t>10415</t>
  </si>
  <si>
    <t>AGUA POTABLE (PLANTA)</t>
  </si>
  <si>
    <t>1.- Colocar en la top cream, la crema de dulce de leche y la prestige y el agua con el preservante. (Cumpliendo un temperatura de 5° liquida)</t>
  </si>
  <si>
    <t>2.- Batir por 21 minutos.</t>
  </si>
  <si>
    <t xml:space="preserve">3,- Una vez lista a una temperatura de 18° batida, retirar, etiquetar y guardar hasta que sean usadas. </t>
  </si>
  <si>
    <t>2, Actualización tiempo de preparación y procedimiento</t>
  </si>
  <si>
    <t>Cheesecake Pie de Pecanas Local</t>
  </si>
  <si>
    <t>PECANA ENTERA</t>
  </si>
  <si>
    <t>CREMA DULCE</t>
  </si>
  <si>
    <t xml:space="preserve">NUEVO </t>
  </si>
  <si>
    <t>ETIQUETA ESPECIAL DIA DE LA MADRE</t>
  </si>
  <si>
    <t>EM10018</t>
  </si>
  <si>
    <t>Papel Mantequilla</t>
  </si>
  <si>
    <t>0.25</t>
  </si>
  <si>
    <t>1/4 de papel</t>
  </si>
  <si>
    <r>
      <t xml:space="preserve">1.- </t>
    </r>
    <r>
      <rPr>
        <sz val="11"/>
        <rFont val="Arial"/>
        <family val="2"/>
      </rPr>
      <t>Colocar dentro del molde desarmable redondo 21 cm ,previamente ensagrasado, poner 1/4 de papel mantequilla en la base del molde (dejando el sobrante hacia abajo del molde) colocar la galleta y presionar hacia los bordes y en la base, hornear a 175°C por 7 min en el Argental, a 175°C por 8 min en el Dicte 1 y Dicte 2, a 170°C en el Dicte 3 y a 175°C por 7 min en el Marshal</t>
    </r>
  </si>
  <si>
    <r>
      <t xml:space="preserve">2.- </t>
    </r>
    <r>
      <rPr>
        <sz val="11"/>
        <rFont val="Arial"/>
        <family val="2"/>
      </rPr>
      <t>Una vez fria la galleta, agregar el relleno de pecanas. Hornear por 20 min aprox. Enfriar</t>
    </r>
  </si>
  <si>
    <r>
      <t xml:space="preserve">3.- </t>
    </r>
    <r>
      <rPr>
        <sz val="11"/>
        <rFont val="Arial"/>
        <family val="2"/>
      </rPr>
      <t>Agregar la el relleno de cheesecake premium, emparejar con ayuda de una espatula. Enfriar por 6 horas como minimo.</t>
    </r>
  </si>
  <si>
    <r>
      <t xml:space="preserve">4.-  </t>
    </r>
    <r>
      <rPr>
        <sz val="11"/>
        <rFont val="Arial"/>
        <family val="2"/>
      </rPr>
      <t>Desmoldar con ayuda de una espatula, Pegar a la orla con manjar, decorar con colocho de crema dulce en el borde y el topping de caramelo y pecanas en el centro.</t>
    </r>
  </si>
  <si>
    <t>Cheesecake Pie de Pecanas Industria</t>
  </si>
  <si>
    <r>
      <t xml:space="preserve">4.-  </t>
    </r>
    <r>
      <rPr>
        <sz val="11"/>
        <rFont val="Arial"/>
        <family val="2"/>
      </rPr>
      <t>Desmoldar con ayuda de una espatula, Pegar a la orla con manjar, decorar con colocho de crema de dulce en el borde y el topping de caramelo y pecanas en el centro.</t>
    </r>
  </si>
  <si>
    <t xml:space="preserve">CREMA DULCE DE LECHE </t>
  </si>
  <si>
    <t>Manjar de leche condensada</t>
  </si>
  <si>
    <t>CREMA DULCE DE LECHE</t>
  </si>
  <si>
    <t>Crema Dulce LECHE</t>
  </si>
  <si>
    <t>SE00708 RELLENO PIE DE PECANAS</t>
  </si>
  <si>
    <t>ESP-RE-POS-083</t>
  </si>
  <si>
    <t xml:space="preserve">2.- En la batidora agregar la mantequilla recien derretida, agregar el azúcar, el azúcar moreno y mezclar hasta que quede bien incorporado. </t>
  </si>
  <si>
    <t>2, Se actualiza procedimeinto y rendimiento</t>
  </si>
  <si>
    <t>3, Despues agregar el almidon, preservante, huevo, sirope, mezclar por 3 minutos con paleta en velocidad media o hasta que la mezcla este Homogeneo.</t>
  </si>
  <si>
    <t xml:space="preserve">4, Utilizar inmediatamente. </t>
  </si>
  <si>
    <t xml:space="preserve">3, Se actualiza procedimiento </t>
  </si>
  <si>
    <t xml:space="preserve">4, Se actualiza rendimiento 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</si>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</sst>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[$-409]d\-mmm\-yy;@"/>
    <numFmt numFmtId="167" formatCode="&quot;$&quot;#,##0_);[Red]\(&quot;$&quot;#,##0\)"/>
    <numFmt numFmtId="168" formatCode="_-* #,##0.0\ _€_-;\-* #,##0.0\ _€_-;_-* &quot;-&quot;??\ _€_-;_-@_-"/>
    <numFmt numFmtId="169" formatCode="0.0"/>
    <numFmt numFmtId="170" formatCode="_(* #,##0.000_);_(* \(#,##0.000\);_(* &quot;-&quot;??_);_(@_)"/>
    <numFmt numFmtId="171" formatCode="[$-F400]h:mm:ss\ AM/PM"/>
  </numFmts>
  <fonts count="72" x14ac:knownFonts="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b/>
      <sz val="12"/>
      <name val="Arial"/>
      <family val="2"/>
    </font>
    <font>
      <sz val="9.85"/>
      <color indexed="8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9"/>
      <name val="Arial"/>
      <family val="2"/>
    </font>
    <font>
      <b/>
      <sz val="14"/>
      <name val="Century Gothic"/>
      <family val="2"/>
    </font>
    <font>
      <b/>
      <sz val="16"/>
      <name val="Arial"/>
      <family val="2"/>
    </font>
    <font>
      <b/>
      <sz val="16"/>
      <color rgb="FFFF0000"/>
      <name val="Arial"/>
      <family val="2"/>
    </font>
    <font>
      <sz val="11"/>
      <name val="Times New Roman"/>
      <family val="1"/>
    </font>
    <font>
      <b/>
      <i/>
      <sz val="10"/>
      <name val="Century Gothic"/>
      <family val="2"/>
    </font>
    <font>
      <sz val="9"/>
      <color theme="1"/>
      <name val="Calibri"/>
      <family val="2"/>
      <scheme val="minor"/>
    </font>
    <font>
      <sz val="10"/>
      <color indexed="8"/>
      <name val="Century Gothic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9.85"/>
      <color rgb="FF000000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rgb="FF000000"/>
      <name val="Calibri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9.85"/>
      <color indexed="8"/>
      <name val="Times New Roman"/>
      <family val="1"/>
    </font>
    <font>
      <sz val="10"/>
      <color theme="1"/>
      <name val="Century Gothic"/>
      <family val="2"/>
    </font>
    <font>
      <sz val="11"/>
      <color indexed="8"/>
      <name val="Times New Roman"/>
      <family val="1"/>
    </font>
    <font>
      <sz val="12"/>
      <name val="Century Gothic"/>
      <family val="2"/>
    </font>
    <font>
      <b/>
      <sz val="12"/>
      <color rgb="FFFF0000"/>
      <name val="Arial"/>
      <family val="2"/>
    </font>
    <font>
      <sz val="12"/>
      <color theme="1"/>
      <name val="Century Gothic"/>
      <family val="2"/>
    </font>
    <font>
      <sz val="12"/>
      <color rgb="FF000000"/>
      <name val="Century Gothic"/>
      <family val="2"/>
    </font>
    <font>
      <sz val="12"/>
      <color rgb="FF000000"/>
      <name val="Calibri"/>
      <family val="2"/>
      <scheme val="minor"/>
    </font>
    <font>
      <sz val="12"/>
      <color indexed="8"/>
      <name val="Century Gothic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0" tint="-0.14999847407452621"/>
        <bgColor indexed="64"/>
      </patternFill>
    </fill>
  </fills>
  <borders count="7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1042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horizontal="left" indent="1"/>
    </xf>
    <xf numFmtId="0" fontId="1" fillId="0" borderId="15" xfId="0" applyFont="1" applyBorder="1" applyAlignment="1">
      <alignment horizontal="center"/>
    </xf>
    <xf numFmtId="1" fontId="1" fillId="0" borderId="15" xfId="0" applyNumberFormat="1" applyFont="1" applyBorder="1" applyAlignment="1">
      <alignment horizontal="center"/>
    </xf>
    <xf numFmtId="9" fontId="1" fillId="2" borderId="0" xfId="2" applyFont="1" applyFill="1"/>
    <xf numFmtId="0" fontId="1" fillId="0" borderId="20" xfId="0" applyFont="1" applyBorder="1" applyAlignment="1">
      <alignment horizontal="center"/>
    </xf>
    <xf numFmtId="1" fontId="1" fillId="0" borderId="20" xfId="0" applyNumberFormat="1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1" fontId="1" fillId="0" borderId="23" xfId="0" applyNumberFormat="1" applyFont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/>
    <xf numFmtId="164" fontId="1" fillId="3" borderId="11" xfId="0" applyNumberFormat="1" applyFont="1" applyFill="1" applyBorder="1" applyAlignment="1">
      <alignment horizontal="center" wrapText="1"/>
    </xf>
    <xf numFmtId="1" fontId="5" fillId="3" borderId="11" xfId="0" applyNumberFormat="1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0" borderId="25" xfId="1" applyBorder="1" applyAlignment="1">
      <alignment horizontal="center"/>
    </xf>
    <xf numFmtId="1" fontId="1" fillId="0" borderId="15" xfId="1" applyNumberFormat="1" applyBorder="1" applyAlignment="1">
      <alignment horizontal="center" wrapText="1"/>
    </xf>
    <xf numFmtId="0" fontId="3" fillId="0" borderId="15" xfId="1" applyFont="1" applyBorder="1"/>
    <xf numFmtId="0" fontId="1" fillId="0" borderId="15" xfId="1" quotePrefix="1" applyBorder="1"/>
    <xf numFmtId="0" fontId="1" fillId="0" borderId="16" xfId="1" quotePrefix="1" applyBorder="1" applyAlignment="1">
      <alignment horizontal="right"/>
    </xf>
    <xf numFmtId="0" fontId="1" fillId="0" borderId="26" xfId="1" applyBorder="1" applyAlignment="1">
      <alignment horizontal="center"/>
    </xf>
    <xf numFmtId="0" fontId="1" fillId="0" borderId="20" xfId="1" applyBorder="1" applyAlignment="1">
      <alignment horizontal="center"/>
    </xf>
    <xf numFmtId="1" fontId="1" fillId="0" borderId="20" xfId="1" applyNumberFormat="1" applyBorder="1" applyAlignment="1">
      <alignment horizontal="center"/>
    </xf>
    <xf numFmtId="0" fontId="6" fillId="0" borderId="20" xfId="1" applyFont="1" applyBorder="1" applyAlignment="1">
      <alignment horizontal="center"/>
    </xf>
    <xf numFmtId="0" fontId="6" fillId="0" borderId="20" xfId="1" applyFont="1" applyBorder="1"/>
    <xf numFmtId="0" fontId="0" fillId="0" borderId="20" xfId="0" applyBorder="1" applyAlignment="1">
      <alignment horizontal="left" vertical="center"/>
    </xf>
    <xf numFmtId="0" fontId="0" fillId="0" borderId="27" xfId="0" applyBorder="1" applyAlignment="1">
      <alignment horizontal="center" vertical="center"/>
    </xf>
    <xf numFmtId="0" fontId="5" fillId="4" borderId="26" xfId="1" applyFont="1" applyFill="1" applyBorder="1" applyAlignment="1">
      <alignment horizontal="center"/>
    </xf>
    <xf numFmtId="0" fontId="7" fillId="0" borderId="20" xfId="1" applyFont="1" applyBorder="1" applyAlignment="1">
      <alignment horizontal="center"/>
    </xf>
    <xf numFmtId="0" fontId="5" fillId="4" borderId="28" xfId="1" applyFont="1" applyFill="1" applyBorder="1" applyAlignment="1">
      <alignment horizontal="center"/>
    </xf>
    <xf numFmtId="0" fontId="1" fillId="0" borderId="23" xfId="1" applyBorder="1" applyAlignment="1">
      <alignment horizontal="center"/>
    </xf>
    <xf numFmtId="1" fontId="1" fillId="0" borderId="23" xfId="1" applyNumberFormat="1" applyBorder="1" applyAlignment="1">
      <alignment horizontal="center"/>
    </xf>
    <xf numFmtId="0" fontId="8" fillId="2" borderId="20" xfId="1" quotePrefix="1" applyFont="1" applyFill="1" applyBorder="1"/>
    <xf numFmtId="0" fontId="1" fillId="0" borderId="27" xfId="1" quotePrefix="1" applyBorder="1" applyAlignment="1">
      <alignment horizontal="center"/>
    </xf>
    <xf numFmtId="0" fontId="9" fillId="0" borderId="20" xfId="1" applyFont="1" applyBorder="1"/>
    <xf numFmtId="0" fontId="10" fillId="0" borderId="27" xfId="1" applyFont="1" applyBorder="1" applyAlignment="1">
      <alignment horizontal="center" vertical="center"/>
    </xf>
    <xf numFmtId="12" fontId="7" fillId="0" borderId="20" xfId="1" applyNumberFormat="1" applyFont="1" applyBorder="1"/>
    <xf numFmtId="0" fontId="1" fillId="0" borderId="27" xfId="1" applyBorder="1" applyAlignment="1">
      <alignment horizontal="center"/>
    </xf>
    <xf numFmtId="0" fontId="0" fillId="0" borderId="20" xfId="0" applyBorder="1"/>
    <xf numFmtId="0" fontId="0" fillId="0" borderId="27" xfId="0" applyBorder="1" applyAlignment="1">
      <alignment horizontal="center"/>
    </xf>
    <xf numFmtId="0" fontId="6" fillId="0" borderId="23" xfId="1" applyFont="1" applyBorder="1" applyAlignment="1">
      <alignment horizontal="center"/>
    </xf>
    <xf numFmtId="0" fontId="5" fillId="0" borderId="23" xfId="1" applyFont="1" applyBorder="1" applyAlignment="1">
      <alignment horizontal="left"/>
    </xf>
    <xf numFmtId="0" fontId="1" fillId="0" borderId="29" xfId="1" applyBorder="1" applyAlignment="1">
      <alignment horizontal="center"/>
    </xf>
    <xf numFmtId="0" fontId="0" fillId="0" borderId="30" xfId="0" applyBorder="1" applyAlignment="1">
      <alignment horizontal="left" vertical="center"/>
    </xf>
    <xf numFmtId="0" fontId="5" fillId="4" borderId="31" xfId="1" applyFont="1" applyFill="1" applyBorder="1" applyAlignment="1">
      <alignment horizontal="center"/>
    </xf>
    <xf numFmtId="0" fontId="1" fillId="0" borderId="32" xfId="1" applyBorder="1" applyAlignment="1">
      <alignment horizontal="center"/>
    </xf>
    <xf numFmtId="1" fontId="1" fillId="0" borderId="32" xfId="1" applyNumberFormat="1" applyBorder="1" applyAlignment="1">
      <alignment horizontal="center"/>
    </xf>
    <xf numFmtId="0" fontId="7" fillId="0" borderId="32" xfId="1" applyFont="1" applyBorder="1" applyAlignment="1">
      <alignment horizontal="center"/>
    </xf>
    <xf numFmtId="0" fontId="1" fillId="0" borderId="32" xfId="1" applyBorder="1" applyAlignment="1">
      <alignment horizontal="left"/>
    </xf>
    <xf numFmtId="0" fontId="1" fillId="0" borderId="33" xfId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1" fontId="5" fillId="3" borderId="15" xfId="0" applyNumberFormat="1" applyFont="1" applyFill="1" applyBorder="1" applyAlignment="1">
      <alignment horizontal="center" wrapText="1"/>
    </xf>
    <xf numFmtId="1" fontId="5" fillId="3" borderId="15" xfId="0" applyNumberFormat="1" applyFont="1" applyFill="1" applyBorder="1" applyAlignment="1">
      <alignment horizontal="center"/>
    </xf>
    <xf numFmtId="0" fontId="5" fillId="3" borderId="31" xfId="0" applyFont="1" applyFill="1" applyBorder="1" applyAlignment="1">
      <alignment horizontal="center" vertical="center" wrapText="1"/>
    </xf>
    <xf numFmtId="14" fontId="11" fillId="2" borderId="0" xfId="3" applyNumberFormat="1" applyFont="1" applyFill="1" applyAlignment="1">
      <alignment horizontal="center" vertical="center" wrapText="1"/>
    </xf>
    <xf numFmtId="14" fontId="1" fillId="2" borderId="0" xfId="3" applyNumberFormat="1" applyFont="1" applyFill="1" applyAlignment="1">
      <alignment horizontal="center" vertical="center" wrapText="1"/>
    </xf>
    <xf numFmtId="0" fontId="5" fillId="2" borderId="0" xfId="3" applyFont="1" applyFill="1" applyAlignment="1">
      <alignment horizontal="right" vertical="top" wrapText="1"/>
    </xf>
    <xf numFmtId="0" fontId="1" fillId="2" borderId="0" xfId="3" applyFont="1" applyFill="1" applyAlignment="1">
      <alignment horizontal="left"/>
    </xf>
    <xf numFmtId="0" fontId="1" fillId="2" borderId="0" xfId="3" applyFont="1" applyFill="1" applyAlignment="1">
      <alignment horizontal="right"/>
    </xf>
    <xf numFmtId="0" fontId="1" fillId="2" borderId="0" xfId="3" applyFont="1" applyFill="1" applyAlignment="1">
      <alignment horizontal="center"/>
    </xf>
    <xf numFmtId="0" fontId="1" fillId="2" borderId="15" xfId="3" applyFont="1" applyFill="1" applyBorder="1" applyAlignment="1">
      <alignment horizontal="right"/>
    </xf>
    <xf numFmtId="0" fontId="1" fillId="2" borderId="20" xfId="3" applyFont="1" applyFill="1" applyBorder="1" applyAlignment="1">
      <alignment horizontal="right"/>
    </xf>
    <xf numFmtId="0" fontId="5" fillId="2" borderId="20" xfId="3" applyFont="1" applyFill="1" applyBorder="1" applyAlignment="1">
      <alignment horizontal="right"/>
    </xf>
    <xf numFmtId="0" fontId="1" fillId="2" borderId="31" xfId="3" applyFont="1" applyFill="1" applyBorder="1" applyAlignment="1">
      <alignment horizontal="center"/>
    </xf>
    <xf numFmtId="0" fontId="5" fillId="2" borderId="32" xfId="3" applyFont="1" applyFill="1" applyBorder="1" applyAlignment="1">
      <alignment horizontal="right"/>
    </xf>
    <xf numFmtId="0" fontId="6" fillId="0" borderId="34" xfId="1" applyFont="1" applyBorder="1" applyAlignment="1">
      <alignment horizontal="center"/>
    </xf>
    <xf numFmtId="1" fontId="1" fillId="0" borderId="34" xfId="1" applyNumberFormat="1" applyBorder="1" applyAlignment="1">
      <alignment horizontal="center"/>
    </xf>
    <xf numFmtId="0" fontId="1" fillId="0" borderId="34" xfId="1" applyBorder="1" applyAlignment="1">
      <alignment horizontal="center"/>
    </xf>
    <xf numFmtId="0" fontId="1" fillId="0" borderId="35" xfId="1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49" fontId="0" fillId="2" borderId="26" xfId="3" applyNumberFormat="1" applyFont="1" applyFill="1" applyBorder="1" applyAlignment="1">
      <alignment horizontal="center"/>
    </xf>
    <xf numFmtId="0" fontId="0" fillId="2" borderId="0" xfId="0" applyFill="1"/>
    <xf numFmtId="0" fontId="0" fillId="0" borderId="20" xfId="1" applyFont="1" applyBorder="1" applyAlignment="1">
      <alignment horizontal="left"/>
    </xf>
    <xf numFmtId="0" fontId="1" fillId="0" borderId="38" xfId="1" applyBorder="1" applyAlignment="1">
      <alignment horizontal="center"/>
    </xf>
    <xf numFmtId="0" fontId="1" fillId="0" borderId="24" xfId="1" applyBorder="1" applyAlignment="1">
      <alignment horizontal="center"/>
    </xf>
    <xf numFmtId="0" fontId="0" fillId="0" borderId="19" xfId="0" applyBorder="1" applyAlignment="1">
      <alignment horizontal="center"/>
    </xf>
    <xf numFmtId="0" fontId="10" fillId="0" borderId="19" xfId="1" applyFont="1" applyBorder="1" applyAlignment="1">
      <alignment horizontal="center" vertical="center"/>
    </xf>
    <xf numFmtId="0" fontId="1" fillId="0" borderId="19" xfId="1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19" xfId="1" quotePrefix="1" applyBorder="1" applyAlignment="1">
      <alignment horizontal="center"/>
    </xf>
    <xf numFmtId="0" fontId="1" fillId="0" borderId="39" xfId="1" quotePrefix="1" applyBorder="1" applyAlignment="1">
      <alignment horizontal="right"/>
    </xf>
    <xf numFmtId="0" fontId="1" fillId="3" borderId="1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7" fillId="0" borderId="23" xfId="1" applyFont="1" applyBorder="1" applyAlignment="1">
      <alignment horizontal="center"/>
    </xf>
    <xf numFmtId="0" fontId="0" fillId="0" borderId="23" xfId="1" applyFont="1" applyBorder="1" applyAlignment="1">
      <alignment horizontal="left"/>
    </xf>
    <xf numFmtId="0" fontId="16" fillId="2" borderId="32" xfId="3" applyFont="1" applyFill="1" applyBorder="1" applyAlignment="1">
      <alignment horizontal="right"/>
    </xf>
    <xf numFmtId="0" fontId="17" fillId="2" borderId="31" xfId="3" applyFont="1" applyFill="1" applyBorder="1" applyAlignment="1">
      <alignment horizontal="center"/>
    </xf>
    <xf numFmtId="0" fontId="14" fillId="2" borderId="0" xfId="1" applyFont="1" applyFill="1"/>
    <xf numFmtId="0" fontId="14" fillId="2" borderId="44" xfId="3" applyFont="1" applyFill="1" applyBorder="1" applyAlignment="1">
      <alignment horizontal="center"/>
    </xf>
    <xf numFmtId="0" fontId="14" fillId="2" borderId="0" xfId="3" applyFont="1" applyFill="1" applyAlignment="1">
      <alignment horizontal="center"/>
    </xf>
    <xf numFmtId="0" fontId="16" fillId="2" borderId="20" xfId="3" applyFont="1" applyFill="1" applyBorder="1" applyAlignment="1">
      <alignment horizontal="right"/>
    </xf>
    <xf numFmtId="49" fontId="1" fillId="2" borderId="26" xfId="3" applyNumberFormat="1" applyFont="1" applyFill="1" applyBorder="1" applyAlignment="1">
      <alignment horizontal="center"/>
    </xf>
    <xf numFmtId="0" fontId="14" fillId="2" borderId="23" xfId="3" applyFont="1" applyFill="1" applyBorder="1" applyAlignment="1">
      <alignment horizontal="right"/>
    </xf>
    <xf numFmtId="0" fontId="16" fillId="2" borderId="45" xfId="3" applyFont="1" applyFill="1" applyBorder="1" applyAlignment="1">
      <alignment horizontal="right" vertical="top" wrapText="1"/>
    </xf>
    <xf numFmtId="14" fontId="14" fillId="2" borderId="50" xfId="3" applyNumberFormat="1" applyFont="1" applyFill="1" applyBorder="1" applyAlignment="1">
      <alignment horizontal="center" vertical="center" wrapText="1"/>
    </xf>
    <xf numFmtId="0" fontId="14" fillId="2" borderId="20" xfId="3" applyFont="1" applyFill="1" applyBorder="1" applyAlignment="1">
      <alignment horizontal="right"/>
    </xf>
    <xf numFmtId="14" fontId="20" fillId="2" borderId="10" xfId="3" applyNumberFormat="1" applyFont="1" applyFill="1" applyBorder="1" applyAlignment="1">
      <alignment horizontal="center" vertical="center" wrapText="1"/>
    </xf>
    <xf numFmtId="0" fontId="16" fillId="3" borderId="31" xfId="1" applyFont="1" applyFill="1" applyBorder="1" applyAlignment="1">
      <alignment horizontal="center" vertical="center" wrapText="1"/>
    </xf>
    <xf numFmtId="1" fontId="16" fillId="3" borderId="15" xfId="1" applyNumberFormat="1" applyFont="1" applyFill="1" applyBorder="1" applyAlignment="1">
      <alignment horizontal="center"/>
    </xf>
    <xf numFmtId="1" fontId="16" fillId="3" borderId="15" xfId="1" applyNumberFormat="1" applyFont="1" applyFill="1" applyBorder="1" applyAlignment="1">
      <alignment horizontal="center" wrapText="1"/>
    </xf>
    <xf numFmtId="0" fontId="16" fillId="3" borderId="25" xfId="1" applyFont="1" applyFill="1" applyBorder="1" applyAlignment="1">
      <alignment horizontal="center"/>
    </xf>
    <xf numFmtId="49" fontId="21" fillId="0" borderId="20" xfId="1" applyNumberFormat="1" applyFont="1" applyBorder="1" applyAlignment="1">
      <alignment horizontal="center"/>
    </xf>
    <xf numFmtId="49" fontId="8" fillId="0" borderId="20" xfId="1" applyNumberFormat="1" applyFont="1" applyBorder="1"/>
    <xf numFmtId="0" fontId="21" fillId="0" borderId="20" xfId="1" applyFont="1" applyBorder="1" applyAlignment="1">
      <alignment horizontal="center" vertical="center"/>
    </xf>
    <xf numFmtId="0" fontId="14" fillId="0" borderId="28" xfId="1" applyFont="1" applyBorder="1" applyAlignment="1">
      <alignment horizontal="center"/>
    </xf>
    <xf numFmtId="0" fontId="21" fillId="0" borderId="20" xfId="1" applyFont="1" applyBorder="1" applyAlignment="1">
      <alignment horizontal="center"/>
    </xf>
    <xf numFmtId="1" fontId="21" fillId="0" borderId="20" xfId="1" applyNumberFormat="1" applyFont="1" applyBorder="1" applyAlignment="1">
      <alignment horizontal="center"/>
    </xf>
    <xf numFmtId="1" fontId="21" fillId="0" borderId="20" xfId="1" applyNumberFormat="1" applyFont="1" applyBorder="1" applyAlignment="1">
      <alignment horizontal="center" wrapText="1"/>
    </xf>
    <xf numFmtId="2" fontId="21" fillId="0" borderId="20" xfId="1" applyNumberFormat="1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1" fontId="21" fillId="0" borderId="23" xfId="1" applyNumberFormat="1" applyFont="1" applyBorder="1" applyAlignment="1">
      <alignment horizontal="center"/>
    </xf>
    <xf numFmtId="1" fontId="21" fillId="0" borderId="23" xfId="1" applyNumberFormat="1" applyFont="1" applyBorder="1" applyAlignment="1">
      <alignment horizontal="center" wrapText="1"/>
    </xf>
    <xf numFmtId="1" fontId="21" fillId="0" borderId="20" xfId="0" applyNumberFormat="1" applyFont="1" applyBorder="1" applyAlignment="1">
      <alignment horizontal="center"/>
    </xf>
    <xf numFmtId="49" fontId="22" fillId="0" borderId="20" xfId="1" applyNumberFormat="1" applyFont="1" applyBorder="1" applyAlignment="1">
      <alignment horizontal="center"/>
    </xf>
    <xf numFmtId="49" fontId="16" fillId="0" borderId="20" xfId="1" applyNumberFormat="1" applyFont="1" applyBorder="1"/>
    <xf numFmtId="16" fontId="21" fillId="0" borderId="23" xfId="1" applyNumberFormat="1" applyFont="1" applyBorder="1" applyAlignment="1">
      <alignment horizontal="center"/>
    </xf>
    <xf numFmtId="1" fontId="14" fillId="0" borderId="23" xfId="1" applyNumberFormat="1" applyFont="1" applyBorder="1" applyAlignment="1">
      <alignment horizontal="center"/>
    </xf>
    <xf numFmtId="1" fontId="14" fillId="0" borderId="23" xfId="1" applyNumberFormat="1" applyFont="1" applyBorder="1" applyAlignment="1">
      <alignment horizontal="center" wrapText="1"/>
    </xf>
    <xf numFmtId="0" fontId="14" fillId="0" borderId="23" xfId="1" applyFont="1" applyBorder="1" applyAlignment="1">
      <alignment horizontal="center"/>
    </xf>
    <xf numFmtId="0" fontId="23" fillId="0" borderId="20" xfId="0" quotePrefix="1" applyFont="1" applyBorder="1" applyAlignment="1">
      <alignment horizontal="center"/>
    </xf>
    <xf numFmtId="0" fontId="23" fillId="0" borderId="20" xfId="0" quotePrefix="1" applyFont="1" applyBorder="1"/>
    <xf numFmtId="1" fontId="21" fillId="0" borderId="20" xfId="0" applyNumberFormat="1" applyFont="1" applyBorder="1" applyAlignment="1">
      <alignment horizontal="center" wrapText="1"/>
    </xf>
    <xf numFmtId="1" fontId="14" fillId="0" borderId="20" xfId="1" applyNumberFormat="1" applyFont="1" applyBorder="1" applyAlignment="1">
      <alignment horizontal="center" wrapText="1"/>
    </xf>
    <xf numFmtId="0" fontId="14" fillId="0" borderId="26" xfId="1" applyFont="1" applyBorder="1" applyAlignment="1">
      <alignment horizontal="center"/>
    </xf>
    <xf numFmtId="49" fontId="24" fillId="2" borderId="44" xfId="1" applyNumberFormat="1" applyFont="1" applyFill="1" applyBorder="1" applyAlignment="1">
      <alignment horizontal="center" vertical="center"/>
    </xf>
    <xf numFmtId="49" fontId="24" fillId="2" borderId="0" xfId="1" applyNumberFormat="1" applyFont="1" applyFill="1" applyAlignment="1">
      <alignment horizontal="center" vertical="center"/>
    </xf>
    <xf numFmtId="1" fontId="14" fillId="2" borderId="0" xfId="1" applyNumberFormat="1" applyFont="1" applyFill="1" applyAlignment="1">
      <alignment horizontal="center"/>
    </xf>
    <xf numFmtId="164" fontId="14" fillId="2" borderId="0" xfId="1" applyNumberFormat="1" applyFont="1" applyFill="1" applyAlignment="1">
      <alignment horizontal="center" wrapText="1"/>
    </xf>
    <xf numFmtId="0" fontId="14" fillId="0" borderId="0" xfId="1" applyFont="1"/>
    <xf numFmtId="0" fontId="14" fillId="2" borderId="52" xfId="1" applyFont="1" applyFill="1" applyBorder="1" applyAlignment="1">
      <alignment horizontal="center"/>
    </xf>
    <xf numFmtId="0" fontId="14" fillId="2" borderId="0" xfId="1" applyFont="1" applyFill="1" applyAlignment="1">
      <alignment horizontal="left" indent="1"/>
    </xf>
    <xf numFmtId="0" fontId="14" fillId="3" borderId="12" xfId="1" applyFont="1" applyFill="1" applyBorder="1" applyAlignment="1">
      <alignment horizontal="center"/>
    </xf>
    <xf numFmtId="0" fontId="14" fillId="3" borderId="11" xfId="1" applyFont="1" applyFill="1" applyBorder="1" applyAlignment="1">
      <alignment horizontal="center"/>
    </xf>
    <xf numFmtId="0" fontId="14" fillId="3" borderId="11" xfId="1" applyFont="1" applyFill="1" applyBorder="1"/>
    <xf numFmtId="0" fontId="16" fillId="3" borderId="11" xfId="1" applyFont="1" applyFill="1" applyBorder="1" applyAlignment="1">
      <alignment horizontal="center"/>
    </xf>
    <xf numFmtId="1" fontId="16" fillId="3" borderId="11" xfId="1" applyNumberFormat="1" applyFont="1" applyFill="1" applyBorder="1" applyAlignment="1">
      <alignment horizontal="center"/>
    </xf>
    <xf numFmtId="164" fontId="14" fillId="3" borderId="11" xfId="1" applyNumberFormat="1" applyFont="1" applyFill="1" applyBorder="1" applyAlignment="1">
      <alignment horizontal="center" wrapText="1"/>
    </xf>
    <xf numFmtId="0" fontId="14" fillId="3" borderId="10" xfId="1" applyFont="1" applyFill="1" applyBorder="1" applyAlignment="1">
      <alignment horizontal="center"/>
    </xf>
    <xf numFmtId="0" fontId="14" fillId="0" borderId="22" xfId="1" applyFont="1" applyBorder="1" applyAlignment="1">
      <alignment horizontal="center"/>
    </xf>
    <xf numFmtId="0" fontId="14" fillId="0" borderId="20" xfId="1" applyFont="1" applyBorder="1" applyAlignment="1">
      <alignment horizontal="center"/>
    </xf>
    <xf numFmtId="9" fontId="14" fillId="2" borderId="0" xfId="2" applyFont="1" applyFill="1"/>
    <xf numFmtId="1" fontId="14" fillId="0" borderId="15" xfId="1" applyNumberFormat="1" applyFont="1" applyBorder="1" applyAlignment="1">
      <alignment horizontal="center"/>
    </xf>
    <xf numFmtId="0" fontId="14" fillId="0" borderId="15" xfId="1" applyFont="1" applyBorder="1" applyAlignment="1">
      <alignment horizontal="center"/>
    </xf>
    <xf numFmtId="0" fontId="14" fillId="2" borderId="31" xfId="3" applyFont="1" applyFill="1" applyBorder="1" applyAlignment="1">
      <alignment horizontal="center"/>
    </xf>
    <xf numFmtId="0" fontId="14" fillId="2" borderId="0" xfId="0" applyFont="1" applyFill="1"/>
    <xf numFmtId="49" fontId="14" fillId="2" borderId="26" xfId="3" applyNumberFormat="1" applyFont="1" applyFill="1" applyBorder="1" applyAlignment="1">
      <alignment horizontal="center"/>
    </xf>
    <xf numFmtId="0" fontId="16" fillId="3" borderId="31" xfId="0" applyFont="1" applyFill="1" applyBorder="1" applyAlignment="1">
      <alignment horizontal="center" vertical="center" wrapText="1"/>
    </xf>
    <xf numFmtId="1" fontId="16" fillId="3" borderId="15" xfId="0" applyNumberFormat="1" applyFont="1" applyFill="1" applyBorder="1" applyAlignment="1">
      <alignment horizontal="center"/>
    </xf>
    <xf numFmtId="1" fontId="16" fillId="3" borderId="15" xfId="0" applyNumberFormat="1" applyFont="1" applyFill="1" applyBorder="1" applyAlignment="1">
      <alignment horizontal="center" wrapText="1"/>
    </xf>
    <xf numFmtId="0" fontId="16" fillId="3" borderId="25" xfId="0" applyFont="1" applyFill="1" applyBorder="1" applyAlignment="1">
      <alignment horizontal="center"/>
    </xf>
    <xf numFmtId="2" fontId="21" fillId="0" borderId="20" xfId="0" applyNumberFormat="1" applyFont="1" applyBorder="1" applyAlignment="1">
      <alignment horizontal="center"/>
    </xf>
    <xf numFmtId="1" fontId="21" fillId="0" borderId="20" xfId="0" applyNumberFormat="1" applyFont="1" applyBorder="1"/>
    <xf numFmtId="0" fontId="21" fillId="0" borderId="26" xfId="0" applyFont="1" applyBorder="1" applyAlignment="1">
      <alignment horizontal="center"/>
    </xf>
    <xf numFmtId="49" fontId="21" fillId="0" borderId="20" xfId="0" applyNumberFormat="1" applyFont="1" applyBorder="1" applyAlignment="1">
      <alignment horizontal="center"/>
    </xf>
    <xf numFmtId="49" fontId="8" fillId="0" borderId="20" xfId="0" applyNumberFormat="1" applyFont="1" applyBorder="1"/>
    <xf numFmtId="0" fontId="14" fillId="0" borderId="27" xfId="0" quotePrefix="1" applyFont="1" applyBorder="1" applyAlignment="1">
      <alignment horizontal="center"/>
    </xf>
    <xf numFmtId="0" fontId="14" fillId="0" borderId="19" xfId="0" quotePrefix="1" applyFont="1" applyBorder="1" applyAlignment="1">
      <alignment horizontal="center"/>
    </xf>
    <xf numFmtId="0" fontId="14" fillId="0" borderId="20" xfId="0" quotePrefix="1" applyFont="1" applyBorder="1"/>
    <xf numFmtId="0" fontId="21" fillId="0" borderId="20" xfId="0" applyFont="1" applyBorder="1"/>
    <xf numFmtId="1" fontId="14" fillId="0" borderId="20" xfId="0" applyNumberFormat="1" applyFont="1" applyBorder="1" applyAlignment="1">
      <alignment horizontal="center" wrapText="1"/>
    </xf>
    <xf numFmtId="0" fontId="14" fillId="0" borderId="26" xfId="0" applyFont="1" applyBorder="1" applyAlignment="1">
      <alignment horizontal="center"/>
    </xf>
    <xf numFmtId="49" fontId="24" fillId="2" borderId="44" xfId="0" applyNumberFormat="1" applyFont="1" applyFill="1" applyBorder="1" applyAlignment="1">
      <alignment horizontal="center" vertical="center"/>
    </xf>
    <xf numFmtId="49" fontId="24" fillId="2" borderId="0" xfId="0" applyNumberFormat="1" applyFont="1" applyFill="1" applyAlignment="1">
      <alignment horizontal="center" vertical="center"/>
    </xf>
    <xf numFmtId="1" fontId="14" fillId="2" borderId="0" xfId="0" applyNumberFormat="1" applyFont="1" applyFill="1" applyAlignment="1">
      <alignment horizontal="center"/>
    </xf>
    <xf numFmtId="164" fontId="14" fillId="2" borderId="0" xfId="0" applyNumberFormat="1" applyFont="1" applyFill="1" applyAlignment="1">
      <alignment horizontal="center" wrapText="1"/>
    </xf>
    <xf numFmtId="0" fontId="14" fillId="2" borderId="52" xfId="0" applyFont="1" applyFill="1" applyBorder="1" applyAlignment="1">
      <alignment horizontal="center"/>
    </xf>
    <xf numFmtId="0" fontId="14" fillId="2" borderId="0" xfId="0" applyFont="1" applyFill="1" applyAlignment="1">
      <alignment horizontal="left" indent="1"/>
    </xf>
    <xf numFmtId="0" fontId="14" fillId="3" borderId="12" xfId="0" applyFont="1" applyFill="1" applyBorder="1" applyAlignment="1">
      <alignment horizontal="center"/>
    </xf>
    <xf numFmtId="0" fontId="14" fillId="3" borderId="11" xfId="0" applyFont="1" applyFill="1" applyBorder="1" applyAlignment="1">
      <alignment horizontal="center"/>
    </xf>
    <xf numFmtId="0" fontId="14" fillId="3" borderId="11" xfId="0" applyFont="1" applyFill="1" applyBorder="1"/>
    <xf numFmtId="0" fontId="16" fillId="3" borderId="11" xfId="0" applyFont="1" applyFill="1" applyBorder="1" applyAlignment="1">
      <alignment horizontal="center"/>
    </xf>
    <xf numFmtId="1" fontId="16" fillId="3" borderId="11" xfId="0" applyNumberFormat="1" applyFont="1" applyFill="1" applyBorder="1" applyAlignment="1">
      <alignment horizontal="center"/>
    </xf>
    <xf numFmtId="164" fontId="14" fillId="3" borderId="11" xfId="0" applyNumberFormat="1" applyFont="1" applyFill="1" applyBorder="1" applyAlignment="1">
      <alignment horizontal="center" wrapText="1"/>
    </xf>
    <xf numFmtId="0" fontId="14" fillId="3" borderId="10" xfId="0" applyFont="1" applyFill="1" applyBorder="1" applyAlignment="1">
      <alignment horizontal="center"/>
    </xf>
    <xf numFmtId="1" fontId="14" fillId="0" borderId="23" xfId="0" applyNumberFormat="1" applyFont="1" applyBorder="1" applyAlignment="1">
      <alignment horizontal="center"/>
    </xf>
    <xf numFmtId="0" fontId="14" fillId="0" borderId="22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1" fontId="14" fillId="0" borderId="20" xfId="0" applyNumberFormat="1" applyFont="1" applyBorder="1" applyAlignment="1">
      <alignment horizontal="center"/>
    </xf>
    <xf numFmtId="9" fontId="14" fillId="2" borderId="0" xfId="4" applyFont="1" applyFill="1"/>
    <xf numFmtId="1" fontId="14" fillId="0" borderId="15" xfId="0" applyNumberFormat="1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24" fillId="2" borderId="0" xfId="0" applyFont="1" applyFill="1" applyAlignment="1">
      <alignment vertical="center"/>
    </xf>
    <xf numFmtId="0" fontId="14" fillId="2" borderId="22" xfId="3" applyFont="1" applyFill="1" applyBorder="1" applyAlignment="1">
      <alignment horizontal="left"/>
    </xf>
    <xf numFmtId="0" fontId="14" fillId="2" borderId="5" xfId="3" applyFont="1" applyFill="1" applyBorder="1" applyAlignment="1">
      <alignment horizontal="left"/>
    </xf>
    <xf numFmtId="0" fontId="14" fillId="2" borderId="24" xfId="3" applyFont="1" applyFill="1" applyBorder="1" applyAlignment="1">
      <alignment horizontal="left"/>
    </xf>
    <xf numFmtId="1" fontId="1" fillId="0" borderId="20" xfId="1" applyNumberFormat="1" applyBorder="1"/>
    <xf numFmtId="1" fontId="1" fillId="0" borderId="26" xfId="1" applyNumberFormat="1" applyBorder="1"/>
    <xf numFmtId="1" fontId="7" fillId="0" borderId="20" xfId="1" applyNumberFormat="1" applyFont="1" applyBorder="1" applyAlignment="1">
      <alignment horizontal="center"/>
    </xf>
    <xf numFmtId="1" fontId="1" fillId="0" borderId="19" xfId="1" applyNumberFormat="1" applyBorder="1"/>
    <xf numFmtId="1" fontId="5" fillId="3" borderId="34" xfId="0" applyNumberFormat="1" applyFont="1" applyFill="1" applyBorder="1" applyAlignment="1">
      <alignment horizontal="center"/>
    </xf>
    <xf numFmtId="1" fontId="5" fillId="3" borderId="34" xfId="0" applyNumberFormat="1" applyFont="1" applyFill="1" applyBorder="1" applyAlignment="1">
      <alignment horizontal="center" wrapText="1"/>
    </xf>
    <xf numFmtId="0" fontId="14" fillId="0" borderId="23" xfId="0" applyFont="1" applyBorder="1" applyAlignment="1">
      <alignment horizontal="center"/>
    </xf>
    <xf numFmtId="16" fontId="21" fillId="0" borderId="19" xfId="0" applyNumberFormat="1" applyFont="1" applyBorder="1" applyAlignment="1">
      <alignment horizontal="center"/>
    </xf>
    <xf numFmtId="16" fontId="21" fillId="0" borderId="20" xfId="0" applyNumberFormat="1" applyFont="1" applyBorder="1" applyAlignment="1">
      <alignment horizontal="center"/>
    </xf>
    <xf numFmtId="1" fontId="1" fillId="2" borderId="0" xfId="0" applyNumberFormat="1" applyFont="1" applyFill="1"/>
    <xf numFmtId="1" fontId="14" fillId="2" borderId="0" xfId="0" applyNumberFormat="1" applyFont="1" applyFill="1"/>
    <xf numFmtId="0" fontId="8" fillId="4" borderId="0" xfId="0" applyFont="1" applyFill="1" applyAlignment="1">
      <alignment vertical="center"/>
    </xf>
    <xf numFmtId="0" fontId="25" fillId="6" borderId="20" xfId="0" applyFont="1" applyFill="1" applyBorder="1" applyAlignment="1">
      <alignment horizontal="center" vertical="center" wrapText="1"/>
    </xf>
    <xf numFmtId="0" fontId="25" fillId="6" borderId="20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43" fontId="25" fillId="0" borderId="20" xfId="5" applyFont="1" applyFill="1" applyBorder="1" applyAlignment="1">
      <alignment horizontal="center" vertical="center"/>
    </xf>
    <xf numFmtId="43" fontId="25" fillId="0" borderId="0" xfId="5" applyFont="1" applyFill="1" applyBorder="1" applyAlignment="1">
      <alignment horizontal="center" vertical="center"/>
    </xf>
    <xf numFmtId="43" fontId="27" fillId="0" borderId="0" xfId="5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166" fontId="30" fillId="0" borderId="0" xfId="0" applyNumberFormat="1" applyFont="1" applyAlignment="1">
      <alignment horizontal="center" vertical="center" wrapText="1"/>
    </xf>
    <xf numFmtId="0" fontId="25" fillId="7" borderId="54" xfId="0" applyFont="1" applyFill="1" applyBorder="1" applyAlignment="1">
      <alignment horizontal="center" vertical="center"/>
    </xf>
    <xf numFmtId="0" fontId="25" fillId="7" borderId="55" xfId="0" applyFont="1" applyFill="1" applyBorder="1" applyAlignment="1">
      <alignment horizontal="center" vertical="center"/>
    </xf>
    <xf numFmtId="0" fontId="25" fillId="7" borderId="55" xfId="0" applyFont="1" applyFill="1" applyBorder="1" applyAlignment="1">
      <alignment horizontal="center" vertical="center" wrapText="1"/>
    </xf>
    <xf numFmtId="0" fontId="25" fillId="7" borderId="56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2" fontId="31" fillId="0" borderId="0" xfId="0" applyNumberFormat="1" applyFont="1" applyAlignment="1">
      <alignment horizontal="center"/>
    </xf>
    <xf numFmtId="4" fontId="31" fillId="0" borderId="0" xfId="6" applyNumberFormat="1" applyFont="1" applyFill="1" applyAlignment="1">
      <alignment horizontal="center" vertical="center"/>
    </xf>
    <xf numFmtId="4" fontId="25" fillId="0" borderId="0" xfId="6" applyNumberFormat="1" applyFont="1" applyFill="1" applyAlignment="1">
      <alignment horizontal="center" vertical="center"/>
    </xf>
    <xf numFmtId="10" fontId="25" fillId="0" borderId="0" xfId="4" applyNumberFormat="1" applyFont="1" applyFill="1" applyAlignment="1">
      <alignment vertical="center"/>
    </xf>
    <xf numFmtId="49" fontId="25" fillId="0" borderId="0" xfId="0" applyNumberFormat="1" applyFont="1" applyAlignment="1">
      <alignment horizontal="center" vertical="center"/>
    </xf>
    <xf numFmtId="10" fontId="26" fillId="0" borderId="0" xfId="4" applyNumberFormat="1" applyFont="1" applyFill="1" applyAlignment="1">
      <alignment vertical="center"/>
    </xf>
    <xf numFmtId="0" fontId="8" fillId="0" borderId="0" xfId="0" applyFont="1"/>
    <xf numFmtId="49" fontId="25" fillId="0" borderId="0" xfId="0" applyNumberFormat="1" applyFont="1" applyAlignment="1">
      <alignment horizontal="center"/>
    </xf>
    <xf numFmtId="167" fontId="8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43" fontId="8" fillId="0" borderId="0" xfId="5" applyFont="1" applyFill="1" applyAlignment="1">
      <alignment vertical="center"/>
    </xf>
    <xf numFmtId="49" fontId="32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5" fillId="0" borderId="0" xfId="0" applyFont="1" applyAlignment="1">
      <alignment horizontal="right" vertical="center"/>
    </xf>
    <xf numFmtId="4" fontId="25" fillId="0" borderId="0" xfId="5" applyNumberFormat="1" applyFont="1" applyFill="1" applyAlignment="1">
      <alignment vertical="center"/>
    </xf>
    <xf numFmtId="43" fontId="33" fillId="0" borderId="0" xfId="5" applyFont="1" applyFill="1" applyAlignment="1">
      <alignment horizontal="center" vertical="center"/>
    </xf>
    <xf numFmtId="10" fontId="26" fillId="7" borderId="57" xfId="4" applyNumberFormat="1" applyFont="1" applyFill="1" applyBorder="1" applyAlignment="1">
      <alignment vertical="center"/>
    </xf>
    <xf numFmtId="0" fontId="8" fillId="7" borderId="11" xfId="0" applyFont="1" applyFill="1" applyBorder="1" applyAlignment="1">
      <alignment vertical="center"/>
    </xf>
    <xf numFmtId="0" fontId="8" fillId="7" borderId="57" xfId="0" applyFont="1" applyFill="1" applyBorder="1" applyAlignment="1">
      <alignment vertical="center"/>
    </xf>
    <xf numFmtId="43" fontId="33" fillId="7" borderId="58" xfId="5" applyFont="1" applyFill="1" applyBorder="1" applyAlignment="1">
      <alignment horizontal="center" vertical="center"/>
    </xf>
    <xf numFmtId="43" fontId="35" fillId="0" borderId="0" xfId="5" applyFont="1" applyFill="1" applyBorder="1" applyAlignment="1">
      <alignment horizontal="right"/>
    </xf>
    <xf numFmtId="0" fontId="8" fillId="7" borderId="58" xfId="0" applyFont="1" applyFill="1" applyBorder="1" applyAlignment="1">
      <alignment vertical="center"/>
    </xf>
    <xf numFmtId="10" fontId="26" fillId="7" borderId="58" xfId="4" applyNumberFormat="1" applyFont="1" applyFill="1" applyBorder="1" applyAlignment="1">
      <alignment vertical="center"/>
    </xf>
    <xf numFmtId="0" fontId="34" fillId="0" borderId="0" xfId="0" applyFont="1" applyAlignment="1">
      <alignment horizontal="right"/>
    </xf>
    <xf numFmtId="0" fontId="34" fillId="0" borderId="0" xfId="0" applyFont="1"/>
    <xf numFmtId="9" fontId="34" fillId="0" borderId="0" xfId="0" applyNumberFormat="1" applyFont="1"/>
    <xf numFmtId="9" fontId="36" fillId="0" borderId="0" xfId="4" applyFont="1" applyFill="1" applyAlignment="1">
      <alignment horizontal="center"/>
    </xf>
    <xf numFmtId="0" fontId="33" fillId="0" borderId="0" xfId="0" applyFont="1" applyAlignment="1">
      <alignment horizontal="right" vertical="center"/>
    </xf>
    <xf numFmtId="4" fontId="33" fillId="0" borderId="0" xfId="5" applyNumberFormat="1" applyFont="1" applyFill="1" applyAlignment="1">
      <alignment vertical="center"/>
    </xf>
    <xf numFmtId="4" fontId="33" fillId="0" borderId="0" xfId="6" applyNumberFormat="1" applyFont="1" applyAlignment="1">
      <alignment horizontal="center" vertical="center"/>
    </xf>
    <xf numFmtId="0" fontId="37" fillId="0" borderId="0" xfId="0" applyFont="1" applyAlignment="1">
      <alignment horizontal="right"/>
    </xf>
    <xf numFmtId="0" fontId="38" fillId="0" borderId="0" xfId="0" applyFont="1" applyAlignment="1">
      <alignment horizontal="right"/>
    </xf>
    <xf numFmtId="0" fontId="38" fillId="0" borderId="52" xfId="0" applyFont="1" applyBorder="1" applyAlignment="1">
      <alignment horizontal="right"/>
    </xf>
    <xf numFmtId="43" fontId="39" fillId="5" borderId="59" xfId="5" applyFont="1" applyFill="1" applyBorder="1" applyAlignment="1">
      <alignment horizontal="right"/>
    </xf>
    <xf numFmtId="43" fontId="39" fillId="0" borderId="0" xfId="5" applyFont="1" applyFill="1" applyBorder="1" applyAlignment="1">
      <alignment horizontal="right"/>
    </xf>
    <xf numFmtId="43" fontId="25" fillId="0" borderId="20" xfId="5" applyFont="1" applyFill="1" applyBorder="1" applyAlignment="1">
      <alignment vertical="center"/>
    </xf>
    <xf numFmtId="0" fontId="40" fillId="0" borderId="0" xfId="0" applyFont="1" applyAlignment="1">
      <alignment horizontal="left" vertical="center"/>
    </xf>
    <xf numFmtId="4" fontId="33" fillId="0" borderId="0" xfId="6" applyNumberFormat="1" applyFont="1" applyFill="1" applyAlignment="1">
      <alignment horizontal="center" vertical="center"/>
    </xf>
    <xf numFmtId="10" fontId="41" fillId="0" borderId="0" xfId="4" applyNumberFormat="1" applyFont="1" applyFill="1" applyAlignment="1">
      <alignment horizontal="right"/>
    </xf>
    <xf numFmtId="168" fontId="25" fillId="7" borderId="20" xfId="5" applyNumberFormat="1" applyFont="1" applyFill="1" applyBorder="1" applyAlignment="1">
      <alignment vertical="center"/>
    </xf>
    <xf numFmtId="4" fontId="8" fillId="0" borderId="0" xfId="0" applyNumberFormat="1" applyFont="1" applyAlignment="1">
      <alignment horizontal="center" vertical="center"/>
    </xf>
    <xf numFmtId="43" fontId="25" fillId="8" borderId="20" xfId="5" applyFont="1" applyFill="1" applyBorder="1" applyAlignment="1">
      <alignment vertical="center"/>
    </xf>
    <xf numFmtId="165" fontId="42" fillId="0" borderId="0" xfId="0" applyNumberFormat="1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4" fontId="25" fillId="0" borderId="0" xfId="0" applyNumberFormat="1" applyFont="1" applyAlignment="1">
      <alignment horizontal="center" vertical="center"/>
    </xf>
    <xf numFmtId="0" fontId="26" fillId="7" borderId="60" xfId="0" applyFont="1" applyFill="1" applyBorder="1" applyAlignment="1">
      <alignment vertical="center"/>
    </xf>
    <xf numFmtId="0" fontId="44" fillId="0" borderId="0" xfId="0" applyFont="1" applyAlignment="1">
      <alignment vertical="center"/>
    </xf>
    <xf numFmtId="2" fontId="41" fillId="0" borderId="0" xfId="5" applyNumberFormat="1" applyFont="1" applyFill="1" applyBorder="1" applyAlignment="1">
      <alignment horizontal="center"/>
    </xf>
    <xf numFmtId="2" fontId="38" fillId="0" borderId="0" xfId="5" applyNumberFormat="1" applyFont="1" applyFill="1" applyBorder="1" applyAlignment="1">
      <alignment horizontal="center"/>
    </xf>
    <xf numFmtId="0" fontId="8" fillId="7" borderId="60" xfId="0" applyFont="1" applyFill="1" applyBorder="1" applyAlignment="1">
      <alignment vertical="center"/>
    </xf>
    <xf numFmtId="10" fontId="8" fillId="0" borderId="0" xfId="4" applyNumberFormat="1" applyFont="1" applyFill="1" applyAlignment="1">
      <alignment vertical="center"/>
    </xf>
    <xf numFmtId="4" fontId="8" fillId="0" borderId="0" xfId="5" applyNumberFormat="1" applyFont="1" applyFill="1" applyAlignment="1">
      <alignment vertical="center"/>
    </xf>
    <xf numFmtId="43" fontId="39" fillId="7" borderId="11" xfId="5" applyFont="1" applyFill="1" applyBorder="1" applyAlignment="1">
      <alignment horizontal="right"/>
    </xf>
    <xf numFmtId="0" fontId="25" fillId="7" borderId="10" xfId="0" applyFont="1" applyFill="1" applyBorder="1" applyAlignment="1">
      <alignment horizontal="right" vertical="center"/>
    </xf>
    <xf numFmtId="10" fontId="45" fillId="0" borderId="0" xfId="5" applyNumberFormat="1" applyFont="1" applyFill="1" applyAlignment="1">
      <alignment vertical="center"/>
    </xf>
    <xf numFmtId="10" fontId="26" fillId="0" borderId="0" xfId="4" applyNumberFormat="1" applyFont="1" applyFill="1" applyBorder="1" applyAlignment="1">
      <alignment vertical="center"/>
    </xf>
    <xf numFmtId="165" fontId="46" fillId="0" borderId="0" xfId="0" applyNumberFormat="1" applyFont="1" applyAlignment="1">
      <alignment horizontal="center" vertical="center"/>
    </xf>
    <xf numFmtId="0" fontId="8" fillId="4" borderId="59" xfId="0" applyFont="1" applyFill="1" applyBorder="1" applyAlignment="1">
      <alignment horizontal="center" vertical="center"/>
    </xf>
    <xf numFmtId="43" fontId="47" fillId="0" borderId="0" xfId="5" applyFont="1" applyFill="1" applyAlignment="1">
      <alignment vertical="center"/>
    </xf>
    <xf numFmtId="4" fontId="48" fillId="0" borderId="0" xfId="6" applyNumberFormat="1" applyFont="1" applyFill="1" applyAlignment="1">
      <alignment horizontal="center" vertical="center" wrapText="1"/>
    </xf>
    <xf numFmtId="9" fontId="8" fillId="0" borderId="0" xfId="5" applyNumberFormat="1" applyFont="1" applyFill="1" applyAlignment="1">
      <alignment vertical="center"/>
    </xf>
    <xf numFmtId="0" fontId="3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32" fillId="0" borderId="0" xfId="0" applyFont="1" applyAlignment="1">
      <alignment horizontal="right" vertical="center"/>
    </xf>
    <xf numFmtId="4" fontId="32" fillId="0" borderId="0" xfId="5" applyNumberFormat="1" applyFont="1" applyFill="1" applyAlignment="1">
      <alignment vertical="center"/>
    </xf>
    <xf numFmtId="4" fontId="25" fillId="10" borderId="59" xfId="5" applyNumberFormat="1" applyFont="1" applyFill="1" applyBorder="1" applyAlignment="1">
      <alignment horizontal="center" vertical="center"/>
    </xf>
    <xf numFmtId="0" fontId="49" fillId="0" borderId="0" xfId="0" applyFont="1" applyAlignment="1">
      <alignment vertical="center"/>
    </xf>
    <xf numFmtId="43" fontId="49" fillId="0" borderId="0" xfId="5" applyFont="1" applyFill="1" applyAlignment="1">
      <alignment vertical="center"/>
    </xf>
    <xf numFmtId="9" fontId="49" fillId="0" borderId="0" xfId="5" applyNumberFormat="1" applyFont="1" applyFill="1" applyAlignment="1">
      <alignment vertical="center"/>
    </xf>
    <xf numFmtId="4" fontId="25" fillId="0" borderId="0" xfId="5" applyNumberFormat="1" applyFont="1" applyFill="1" applyAlignment="1">
      <alignment horizontal="center" vertical="center"/>
    </xf>
    <xf numFmtId="10" fontId="42" fillId="0" borderId="0" xfId="4" applyNumberFormat="1" applyFont="1" applyFill="1" applyAlignment="1">
      <alignment vertical="center"/>
    </xf>
    <xf numFmtId="43" fontId="42" fillId="0" borderId="0" xfId="5" applyFont="1" applyFill="1" applyBorder="1" applyAlignment="1">
      <alignment vertical="center"/>
    </xf>
    <xf numFmtId="4" fontId="8" fillId="0" borderId="0" xfId="0" applyNumberFormat="1" applyFont="1" applyAlignment="1">
      <alignment horizontal="center"/>
    </xf>
    <xf numFmtId="43" fontId="8" fillId="0" borderId="0" xfId="5" applyFont="1" applyFill="1" applyBorder="1"/>
    <xf numFmtId="10" fontId="42" fillId="0" borderId="0" xfId="4" applyNumberFormat="1" applyFont="1" applyFill="1" applyBorder="1" applyAlignment="1">
      <alignment vertical="center"/>
    </xf>
    <xf numFmtId="0" fontId="42" fillId="0" borderId="0" xfId="0" applyFont="1" applyAlignment="1">
      <alignment horizontal="right"/>
    </xf>
    <xf numFmtId="43" fontId="8" fillId="0" borderId="0" xfId="5" applyFont="1" applyFill="1" applyBorder="1" applyAlignment="1">
      <alignment horizontal="center"/>
    </xf>
    <xf numFmtId="9" fontId="52" fillId="0" borderId="0" xfId="0" applyNumberFormat="1" applyFont="1" applyAlignment="1">
      <alignment horizontal="left"/>
    </xf>
    <xf numFmtId="4" fontId="25" fillId="0" borderId="0" xfId="0" applyNumberFormat="1" applyFont="1" applyAlignment="1">
      <alignment horizontal="center"/>
    </xf>
    <xf numFmtId="165" fontId="25" fillId="0" borderId="0" xfId="0" applyNumberFormat="1" applyFont="1"/>
    <xf numFmtId="0" fontId="0" fillId="11" borderId="0" xfId="0" applyFill="1" applyAlignment="1">
      <alignment horizontal="center"/>
    </xf>
    <xf numFmtId="0" fontId="5" fillId="11" borderId="32" xfId="0" applyFont="1" applyFill="1" applyBorder="1" applyAlignment="1">
      <alignment horizontal="right"/>
    </xf>
    <xf numFmtId="0" fontId="0" fillId="11" borderId="31" xfId="0" applyFill="1" applyBorder="1" applyAlignment="1">
      <alignment horizontal="center"/>
    </xf>
    <xf numFmtId="0" fontId="0" fillId="11" borderId="0" xfId="0" applyFill="1"/>
    <xf numFmtId="0" fontId="0" fillId="0" borderId="19" xfId="0" applyBorder="1"/>
    <xf numFmtId="0" fontId="0" fillId="11" borderId="20" xfId="0" applyFill="1" applyBorder="1" applyAlignment="1">
      <alignment horizontal="right"/>
    </xf>
    <xf numFmtId="0" fontId="5" fillId="11" borderId="20" xfId="0" applyFont="1" applyFill="1" applyBorder="1" applyAlignment="1">
      <alignment horizontal="right"/>
    </xf>
    <xf numFmtId="0" fontId="0" fillId="11" borderId="26" xfId="0" applyFill="1" applyBorder="1" applyAlignment="1">
      <alignment horizontal="center"/>
    </xf>
    <xf numFmtId="0" fontId="5" fillId="11" borderId="0" xfId="0" applyFont="1" applyFill="1" applyAlignment="1">
      <alignment horizontal="right" vertical="top" wrapText="1"/>
    </xf>
    <xf numFmtId="0" fontId="0" fillId="11" borderId="0" xfId="0" applyFill="1" applyAlignment="1">
      <alignment horizontal="center" vertical="center" wrapText="1"/>
    </xf>
    <xf numFmtId="0" fontId="0" fillId="11" borderId="0" xfId="0" applyFill="1" applyAlignment="1">
      <alignment horizontal="left"/>
    </xf>
    <xf numFmtId="0" fontId="0" fillId="11" borderId="15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11" fillId="11" borderId="0" xfId="0" applyFont="1" applyFill="1" applyAlignment="1">
      <alignment horizontal="center" vertical="center" wrapText="1"/>
    </xf>
    <xf numFmtId="0" fontId="5" fillId="13" borderId="31" xfId="0" applyFont="1" applyFill="1" applyBorder="1" applyAlignment="1">
      <alignment horizontal="center" vertical="center" wrapText="1"/>
    </xf>
    <xf numFmtId="0" fontId="5" fillId="13" borderId="15" xfId="0" applyFont="1" applyFill="1" applyBorder="1" applyAlignment="1">
      <alignment horizontal="center"/>
    </xf>
    <xf numFmtId="0" fontId="5" fillId="13" borderId="15" xfId="0" applyFont="1" applyFill="1" applyBorder="1" applyAlignment="1">
      <alignment horizontal="center" wrapText="1"/>
    </xf>
    <xf numFmtId="0" fontId="5" fillId="13" borderId="25" xfId="0" applyFont="1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left"/>
    </xf>
    <xf numFmtId="0" fontId="7" fillId="0" borderId="32" xfId="0" applyFont="1" applyBorder="1" applyAlignment="1">
      <alignment horizontal="center"/>
    </xf>
    <xf numFmtId="0" fontId="0" fillId="0" borderId="24" xfId="0" applyBorder="1" applyAlignment="1">
      <alignment horizontal="left"/>
    </xf>
    <xf numFmtId="0" fontId="0" fillId="0" borderId="23" xfId="0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5" fillId="11" borderId="28" xfId="0" applyFont="1" applyFill="1" applyBorder="1" applyAlignment="1">
      <alignment horizontal="center"/>
    </xf>
    <xf numFmtId="0" fontId="0" fillId="0" borderId="19" xfId="0" applyBorder="1" applyAlignment="1">
      <alignment horizontal="left" vertical="center"/>
    </xf>
    <xf numFmtId="0" fontId="7" fillId="0" borderId="20" xfId="0" applyFont="1" applyBorder="1" applyAlignment="1">
      <alignment horizontal="center"/>
    </xf>
    <xf numFmtId="0" fontId="7" fillId="0" borderId="20" xfId="0" applyFont="1" applyBorder="1"/>
    <xf numFmtId="0" fontId="6" fillId="0" borderId="23" xfId="0" applyFont="1" applyBorder="1" applyAlignment="1">
      <alignment horizontal="center"/>
    </xf>
    <xf numFmtId="0" fontId="5" fillId="11" borderId="26" xfId="0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4" xfId="0" applyBorder="1" applyAlignment="1">
      <alignment horizontal="center"/>
    </xf>
    <xf numFmtId="0" fontId="5" fillId="0" borderId="23" xfId="0" applyFont="1" applyBorder="1" applyAlignment="1">
      <alignment horizontal="left"/>
    </xf>
    <xf numFmtId="0" fontId="6" fillId="0" borderId="20" xfId="0" applyFont="1" applyBorder="1" applyAlignment="1">
      <alignment horizontal="center"/>
    </xf>
    <xf numFmtId="0" fontId="53" fillId="0" borderId="27" xfId="0" applyFont="1" applyBorder="1" applyAlignment="1">
      <alignment horizontal="center" vertical="center"/>
    </xf>
    <xf numFmtId="0" fontId="53" fillId="0" borderId="19" xfId="0" applyFont="1" applyBorder="1" applyAlignment="1">
      <alignment horizontal="center" vertical="center"/>
    </xf>
    <xf numFmtId="0" fontId="6" fillId="0" borderId="20" xfId="0" applyFont="1" applyBorder="1"/>
    <xf numFmtId="0" fontId="0" fillId="0" borderId="20" xfId="0" applyBorder="1" applyAlignment="1">
      <alignment horizontal="left"/>
    </xf>
    <xf numFmtId="0" fontId="9" fillId="0" borderId="20" xfId="0" applyFont="1" applyBorder="1"/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5" xfId="0" applyBorder="1" applyAlignment="1">
      <alignment horizontal="left" vertical="center"/>
    </xf>
    <xf numFmtId="0" fontId="8" fillId="11" borderId="20" xfId="0" applyFont="1" applyFill="1" applyBorder="1"/>
    <xf numFmtId="0" fontId="0" fillId="0" borderId="26" xfId="0" applyBorder="1" applyAlignment="1">
      <alignment horizontal="center"/>
    </xf>
    <xf numFmtId="0" fontId="0" fillId="0" borderId="34" xfId="0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1" xfId="0" applyFill="1" applyBorder="1" applyAlignment="1">
      <alignment horizontal="center"/>
    </xf>
    <xf numFmtId="0" fontId="0" fillId="13" borderId="11" xfId="0" applyFill="1" applyBorder="1"/>
    <xf numFmtId="0" fontId="5" fillId="13" borderId="11" xfId="0" applyFont="1" applyFill="1" applyBorder="1" applyAlignment="1">
      <alignment horizontal="center"/>
    </xf>
    <xf numFmtId="0" fontId="0" fillId="13" borderId="11" xfId="0" applyFill="1" applyBorder="1" applyAlignment="1">
      <alignment horizontal="center" wrapText="1"/>
    </xf>
    <xf numFmtId="0" fontId="0" fillId="13" borderId="10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Border="1" applyAlignment="1">
      <alignment horizontal="center"/>
    </xf>
    <xf numFmtId="0" fontId="54" fillId="11" borderId="0" xfId="0" applyFont="1" applyFill="1" applyAlignment="1">
      <alignment vertical="center"/>
    </xf>
    <xf numFmtId="0" fontId="21" fillId="0" borderId="20" xfId="0" applyFont="1" applyBorder="1" applyAlignment="1">
      <alignment horizontal="center" wrapText="1"/>
    </xf>
    <xf numFmtId="0" fontId="8" fillId="0" borderId="20" xfId="0" applyFont="1" applyBorder="1"/>
    <xf numFmtId="0" fontId="0" fillId="11" borderId="0" xfId="0" applyFill="1" applyAlignment="1">
      <alignment horizontal="left" indent="1"/>
    </xf>
    <xf numFmtId="0" fontId="1" fillId="2" borderId="31" xfId="3" applyFont="1" applyFill="1" applyBorder="1" applyAlignment="1">
      <alignment horizontal="left"/>
    </xf>
    <xf numFmtId="0" fontId="1" fillId="2" borderId="24" xfId="3" applyFont="1" applyFill="1" applyBorder="1" applyAlignment="1">
      <alignment horizontal="right"/>
    </xf>
    <xf numFmtId="0" fontId="1" fillId="2" borderId="39" xfId="3" applyFont="1" applyFill="1" applyBorder="1" applyAlignment="1">
      <alignment horizontal="right"/>
    </xf>
    <xf numFmtId="14" fontId="11" fillId="2" borderId="52" xfId="3" applyNumberFormat="1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164" fontId="21" fillId="0" borderId="23" xfId="0" applyNumberFormat="1" applyFont="1" applyBorder="1" applyAlignment="1">
      <alignment horizontal="right"/>
    </xf>
    <xf numFmtId="1" fontId="21" fillId="0" borderId="23" xfId="0" applyNumberFormat="1" applyFont="1" applyBorder="1"/>
    <xf numFmtId="0" fontId="5" fillId="4" borderId="28" xfId="0" applyFont="1" applyFill="1" applyBorder="1" applyAlignment="1">
      <alignment horizontal="center"/>
    </xf>
    <xf numFmtId="2" fontId="21" fillId="0" borderId="20" xfId="0" applyNumberFormat="1" applyFont="1" applyBorder="1" applyAlignment="1">
      <alignment horizontal="right"/>
    </xf>
    <xf numFmtId="0" fontId="5" fillId="4" borderId="26" xfId="0" applyFont="1" applyFill="1" applyBorder="1" applyAlignment="1">
      <alignment horizontal="center"/>
    </xf>
    <xf numFmtId="49" fontId="21" fillId="0" borderId="27" xfId="1" applyNumberFormat="1" applyFont="1" applyBorder="1" applyAlignment="1">
      <alignment horizontal="center"/>
    </xf>
    <xf numFmtId="49" fontId="21" fillId="4" borderId="19" xfId="1" applyNumberFormat="1" applyFont="1" applyFill="1" applyBorder="1" applyAlignment="1">
      <alignment horizontal="center"/>
    </xf>
    <xf numFmtId="49" fontId="8" fillId="4" borderId="20" xfId="1" applyNumberFormat="1" applyFont="1" applyFill="1" applyBorder="1"/>
    <xf numFmtId="0" fontId="0" fillId="4" borderId="20" xfId="0" applyFill="1" applyBorder="1" applyAlignment="1">
      <alignment horizontal="center"/>
    </xf>
    <xf numFmtId="0" fontId="0" fillId="4" borderId="20" xfId="0" applyFill="1" applyBorder="1" applyAlignment="1">
      <alignment vertical="center"/>
    </xf>
    <xf numFmtId="164" fontId="21" fillId="0" borderId="20" xfId="0" applyNumberFormat="1" applyFont="1" applyBorder="1" applyAlignment="1">
      <alignment horizontal="right"/>
    </xf>
    <xf numFmtId="0" fontId="5" fillId="4" borderId="20" xfId="0" applyFont="1" applyFill="1" applyBorder="1" applyAlignment="1">
      <alignment horizontal="center"/>
    </xf>
    <xf numFmtId="0" fontId="0" fillId="4" borderId="20" xfId="0" quotePrefix="1" applyFill="1" applyBorder="1" applyAlignment="1">
      <alignment horizontal="center"/>
    </xf>
    <xf numFmtId="0" fontId="55" fillId="4" borderId="20" xfId="0" applyFont="1" applyFill="1" applyBorder="1" applyAlignment="1">
      <alignment horizontal="center"/>
    </xf>
    <xf numFmtId="0" fontId="0" fillId="4" borderId="20" xfId="0" applyFill="1" applyBorder="1" applyAlignment="1">
      <alignment horizontal="left"/>
    </xf>
    <xf numFmtId="49" fontId="1" fillId="0" borderId="27" xfId="1" applyNumberFormat="1" applyBorder="1" applyAlignment="1">
      <alignment horizontal="center"/>
    </xf>
    <xf numFmtId="49" fontId="1" fillId="0" borderId="19" xfId="1" applyNumberFormat="1" applyBorder="1" applyAlignment="1">
      <alignment horizontal="center"/>
    </xf>
    <xf numFmtId="49" fontId="1" fillId="0" borderId="20" xfId="1" applyNumberFormat="1" applyBorder="1"/>
    <xf numFmtId="16" fontId="1" fillId="0" borderId="20" xfId="1" applyNumberFormat="1" applyBorder="1" applyAlignment="1">
      <alignment horizontal="center"/>
    </xf>
    <xf numFmtId="1" fontId="1" fillId="0" borderId="20" xfId="1" applyNumberFormat="1" applyBorder="1" applyAlignment="1">
      <alignment horizontal="center" wrapText="1"/>
    </xf>
    <xf numFmtId="0" fontId="21" fillId="0" borderId="23" xfId="0" applyFont="1" applyBorder="1" applyAlignment="1">
      <alignment horizontal="center"/>
    </xf>
    <xf numFmtId="49" fontId="2" fillId="2" borderId="44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 wrapText="1"/>
    </xf>
    <xf numFmtId="0" fontId="1" fillId="2" borderId="52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68" xfId="0" applyFont="1" applyBorder="1" applyAlignment="1">
      <alignment horizontal="center"/>
    </xf>
    <xf numFmtId="0" fontId="56" fillId="0" borderId="27" xfId="1" applyFont="1" applyBorder="1" applyAlignment="1">
      <alignment horizontal="center" vertical="center"/>
    </xf>
    <xf numFmtId="0" fontId="56" fillId="0" borderId="19" xfId="1" applyFont="1" applyBorder="1" applyAlignment="1">
      <alignment horizontal="center" vertical="center"/>
    </xf>
    <xf numFmtId="0" fontId="57" fillId="0" borderId="20" xfId="1" applyFont="1" applyBorder="1" applyAlignment="1">
      <alignment vertical="center"/>
    </xf>
    <xf numFmtId="0" fontId="56" fillId="0" borderId="20" xfId="1" applyFont="1" applyBorder="1" applyAlignment="1">
      <alignment horizontal="center" vertical="center"/>
    </xf>
    <xf numFmtId="1" fontId="56" fillId="0" borderId="20" xfId="1" applyNumberFormat="1" applyFont="1" applyBorder="1" applyAlignment="1">
      <alignment horizontal="center"/>
    </xf>
    <xf numFmtId="1" fontId="56" fillId="0" borderId="20" xfId="1" applyNumberFormat="1" applyFont="1" applyBorder="1" applyAlignment="1">
      <alignment horizontal="center" wrapText="1"/>
    </xf>
    <xf numFmtId="0" fontId="21" fillId="0" borderId="26" xfId="1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0" fontId="58" fillId="0" borderId="0" xfId="0" applyFont="1" applyAlignment="1">
      <alignment horizontal="center"/>
    </xf>
    <xf numFmtId="0" fontId="58" fillId="0" borderId="0" xfId="0" applyFont="1"/>
    <xf numFmtId="2" fontId="56" fillId="0" borderId="20" xfId="1" applyNumberFormat="1" applyFont="1" applyBorder="1" applyAlignment="1">
      <alignment horizontal="center"/>
    </xf>
    <xf numFmtId="1" fontId="16" fillId="4" borderId="61" xfId="1" applyNumberFormat="1" applyFont="1" applyFill="1" applyBorder="1" applyAlignment="1">
      <alignment horizontal="center" wrapText="1"/>
    </xf>
    <xf numFmtId="0" fontId="5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center"/>
    </xf>
    <xf numFmtId="0" fontId="8" fillId="0" borderId="20" xfId="0" applyFont="1" applyBorder="1" applyAlignment="1">
      <alignment horizontal="center" wrapText="1"/>
    </xf>
    <xf numFmtId="2" fontId="56" fillId="0" borderId="20" xfId="1" applyNumberFormat="1" applyFont="1" applyBorder="1" applyAlignment="1">
      <alignment horizontal="center" wrapText="1"/>
    </xf>
    <xf numFmtId="0" fontId="58" fillId="0" borderId="20" xfId="0" applyFont="1" applyBorder="1" applyAlignment="1">
      <alignment horizontal="center"/>
    </xf>
    <xf numFmtId="0" fontId="58" fillId="0" borderId="20" xfId="0" applyFont="1" applyBorder="1"/>
    <xf numFmtId="0" fontId="58" fillId="0" borderId="20" xfId="0" applyFont="1" applyBorder="1" applyAlignment="1">
      <alignment horizontal="center" vertical="center"/>
    </xf>
    <xf numFmtId="1" fontId="0" fillId="0" borderId="20" xfId="0" applyNumberFormat="1" applyBorder="1" applyAlignment="1">
      <alignment horizontal="center"/>
    </xf>
    <xf numFmtId="0" fontId="0" fillId="4" borderId="20" xfId="0" applyFill="1" applyBorder="1"/>
    <xf numFmtId="49" fontId="21" fillId="0" borderId="19" xfId="1" applyNumberFormat="1" applyFont="1" applyBorder="1" applyAlignment="1">
      <alignment horizontal="center"/>
    </xf>
    <xf numFmtId="0" fontId="59" fillId="4" borderId="20" xfId="1" applyFont="1" applyFill="1" applyBorder="1" applyAlignment="1">
      <alignment horizontal="left"/>
    </xf>
    <xf numFmtId="169" fontId="21" fillId="0" borderId="20" xfId="1" applyNumberFormat="1" applyFont="1" applyBorder="1" applyAlignment="1">
      <alignment horizontal="center"/>
    </xf>
    <xf numFmtId="0" fontId="1" fillId="0" borderId="27" xfId="7" applyBorder="1" applyAlignment="1">
      <alignment horizontal="center"/>
    </xf>
    <xf numFmtId="0" fontId="1" fillId="4" borderId="20" xfId="7" applyFill="1" applyBorder="1"/>
    <xf numFmtId="16" fontId="21" fillId="0" borderId="20" xfId="7" applyNumberFormat="1" applyFont="1" applyBorder="1" applyAlignment="1">
      <alignment horizontal="center"/>
    </xf>
    <xf numFmtId="0" fontId="1" fillId="0" borderId="20" xfId="7" applyBorder="1" applyAlignment="1">
      <alignment horizontal="center"/>
    </xf>
    <xf numFmtId="1" fontId="21" fillId="0" borderId="20" xfId="7" applyNumberFormat="1" applyFont="1" applyBorder="1" applyAlignment="1">
      <alignment horizontal="center"/>
    </xf>
    <xf numFmtId="1" fontId="21" fillId="0" borderId="20" xfId="7" applyNumberFormat="1" applyFont="1" applyBorder="1" applyAlignment="1">
      <alignment horizontal="center" wrapText="1"/>
    </xf>
    <xf numFmtId="49" fontId="56" fillId="0" borderId="21" xfId="1" applyNumberFormat="1" applyFont="1" applyBorder="1" applyAlignment="1">
      <alignment horizontal="center"/>
    </xf>
    <xf numFmtId="49" fontId="56" fillId="0" borderId="37" xfId="1" applyNumberFormat="1" applyFont="1" applyBorder="1" applyAlignment="1">
      <alignment horizontal="center"/>
    </xf>
    <xf numFmtId="0" fontId="60" fillId="4" borderId="20" xfId="1" applyFont="1" applyFill="1" applyBorder="1" applyAlignment="1">
      <alignment vertical="center"/>
    </xf>
    <xf numFmtId="0" fontId="56" fillId="0" borderId="19" xfId="1" applyFont="1" applyBorder="1" applyAlignment="1">
      <alignment horizontal="center"/>
    </xf>
    <xf numFmtId="169" fontId="56" fillId="0" borderId="20" xfId="1" applyNumberFormat="1" applyFont="1" applyBorder="1" applyAlignment="1">
      <alignment horizontal="center"/>
    </xf>
    <xf numFmtId="170" fontId="16" fillId="4" borderId="20" xfId="5" applyNumberFormat="1" applyFont="1" applyFill="1" applyBorder="1" applyAlignment="1">
      <alignment horizontal="center"/>
    </xf>
    <xf numFmtId="49" fontId="14" fillId="0" borderId="20" xfId="0" applyNumberFormat="1" applyFont="1" applyBorder="1" applyAlignment="1">
      <alignment horizontal="center" wrapText="1"/>
    </xf>
    <xf numFmtId="0" fontId="61" fillId="0" borderId="27" xfId="0" quotePrefix="1" applyFont="1" applyBorder="1" applyAlignment="1">
      <alignment horizontal="center"/>
    </xf>
    <xf numFmtId="0" fontId="61" fillId="0" borderId="19" xfId="0" quotePrefix="1" applyFont="1" applyBorder="1" applyAlignment="1">
      <alignment horizontal="center"/>
    </xf>
    <xf numFmtId="0" fontId="62" fillId="0" borderId="20" xfId="0" quotePrefix="1" applyFont="1" applyBorder="1"/>
    <xf numFmtId="1" fontId="14" fillId="4" borderId="20" xfId="0" applyNumberFormat="1" applyFont="1" applyFill="1" applyBorder="1" applyAlignment="1">
      <alignment horizontal="center"/>
    </xf>
    <xf numFmtId="1" fontId="14" fillId="4" borderId="20" xfId="0" applyNumberFormat="1" applyFont="1" applyFill="1" applyBorder="1" applyAlignment="1">
      <alignment horizontal="center" wrapText="1"/>
    </xf>
    <xf numFmtId="49" fontId="21" fillId="4" borderId="27" xfId="1" applyNumberFormat="1" applyFont="1" applyFill="1" applyBorder="1" applyAlignment="1">
      <alignment horizontal="center"/>
    </xf>
    <xf numFmtId="12" fontId="21" fillId="0" borderId="20" xfId="1" applyNumberFormat="1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1" fillId="0" borderId="20" xfId="0" applyFont="1" applyBorder="1" applyAlignment="1">
      <alignment horizontal="center" vertical="center"/>
    </xf>
    <xf numFmtId="0" fontId="63" fillId="0" borderId="20" xfId="0" applyFont="1" applyBorder="1" applyAlignment="1">
      <alignment horizontal="center" vertical="center"/>
    </xf>
    <xf numFmtId="0" fontId="63" fillId="0" borderId="20" xfId="0" applyFont="1" applyBorder="1" applyAlignment="1">
      <alignment horizontal="left" vertical="center"/>
    </xf>
    <xf numFmtId="1" fontId="21" fillId="0" borderId="23" xfId="0" applyNumberFormat="1" applyFont="1" applyBorder="1" applyAlignment="1">
      <alignment horizontal="center"/>
    </xf>
    <xf numFmtId="1" fontId="21" fillId="0" borderId="23" xfId="0" applyNumberFormat="1" applyFont="1" applyBorder="1" applyAlignment="1">
      <alignment horizontal="center" wrapText="1"/>
    </xf>
    <xf numFmtId="0" fontId="14" fillId="0" borderId="23" xfId="0" applyFont="1" applyBorder="1" applyAlignment="1">
      <alignment horizontal="center" wrapText="1"/>
    </xf>
    <xf numFmtId="12" fontId="14" fillId="0" borderId="23" xfId="0" applyNumberFormat="1" applyFont="1" applyBorder="1" applyAlignment="1">
      <alignment horizontal="center"/>
    </xf>
    <xf numFmtId="0" fontId="59" fillId="0" borderId="20" xfId="0" applyFont="1" applyBorder="1"/>
    <xf numFmtId="0" fontId="14" fillId="4" borderId="20" xfId="1" applyFont="1" applyFill="1" applyBorder="1" applyAlignment="1">
      <alignment horizontal="center"/>
    </xf>
    <xf numFmtId="0" fontId="64" fillId="4" borderId="27" xfId="0" applyFont="1" applyFill="1" applyBorder="1" applyAlignment="1">
      <alignment horizontal="center"/>
    </xf>
    <xf numFmtId="0" fontId="64" fillId="4" borderId="24" xfId="0" applyFont="1" applyFill="1" applyBorder="1" applyAlignment="1">
      <alignment horizontal="center"/>
    </xf>
    <xf numFmtId="0" fontId="64" fillId="4" borderId="23" xfId="0" applyFont="1" applyFill="1" applyBorder="1"/>
    <xf numFmtId="0" fontId="14" fillId="4" borderId="19" xfId="0" applyFont="1" applyFill="1" applyBorder="1" applyAlignment="1">
      <alignment horizontal="center"/>
    </xf>
    <xf numFmtId="1" fontId="14" fillId="4" borderId="23" xfId="0" applyNumberFormat="1" applyFont="1" applyFill="1" applyBorder="1" applyAlignment="1">
      <alignment horizontal="center"/>
    </xf>
    <xf numFmtId="1" fontId="14" fillId="4" borderId="23" xfId="0" applyNumberFormat="1" applyFont="1" applyFill="1" applyBorder="1" applyAlignment="1">
      <alignment horizontal="center" wrapText="1"/>
    </xf>
    <xf numFmtId="49" fontId="14" fillId="4" borderId="23" xfId="0" applyNumberFormat="1" applyFont="1" applyFill="1" applyBorder="1" applyAlignment="1">
      <alignment horizontal="center"/>
    </xf>
    <xf numFmtId="1" fontId="14" fillId="4" borderId="20" xfId="1" applyNumberFormat="1" applyFont="1" applyFill="1" applyBorder="1" applyAlignment="1">
      <alignment horizontal="center"/>
    </xf>
    <xf numFmtId="1" fontId="14" fillId="4" borderId="20" xfId="1" applyNumberFormat="1" applyFont="1" applyFill="1" applyBorder="1" applyAlignment="1">
      <alignment horizontal="center" wrapText="1"/>
    </xf>
    <xf numFmtId="16" fontId="14" fillId="0" borderId="20" xfId="0" applyNumberFormat="1" applyFont="1" applyBorder="1" applyAlignment="1">
      <alignment horizontal="center"/>
    </xf>
    <xf numFmtId="49" fontId="21" fillId="0" borderId="27" xfId="0" applyNumberFormat="1" applyFont="1" applyBorder="1" applyAlignment="1">
      <alignment horizontal="center"/>
    </xf>
    <xf numFmtId="49" fontId="21" fillId="0" borderId="19" xfId="0" applyNumberFormat="1" applyFont="1" applyBorder="1" applyAlignment="1">
      <alignment horizontal="center"/>
    </xf>
    <xf numFmtId="49" fontId="25" fillId="0" borderId="20" xfId="0" applyNumberFormat="1" applyFont="1" applyBorder="1"/>
    <xf numFmtId="0" fontId="65" fillId="0" borderId="27" xfId="0" applyFont="1" applyBorder="1" applyAlignment="1">
      <alignment horizontal="center"/>
    </xf>
    <xf numFmtId="0" fontId="65" fillId="0" borderId="19" xfId="0" applyFont="1" applyBorder="1" applyAlignment="1">
      <alignment horizontal="center"/>
    </xf>
    <xf numFmtId="0" fontId="49" fillId="0" borderId="20" xfId="0" applyFont="1" applyBorder="1"/>
    <xf numFmtId="0" fontId="14" fillId="0" borderId="20" xfId="0" quotePrefix="1" applyFont="1" applyBorder="1" applyAlignment="1">
      <alignment horizontal="center"/>
    </xf>
    <xf numFmtId="171" fontId="14" fillId="0" borderId="20" xfId="0" applyNumberFormat="1" applyFont="1" applyBorder="1" applyAlignment="1">
      <alignment horizontal="center"/>
    </xf>
    <xf numFmtId="0" fontId="15" fillId="2" borderId="32" xfId="3" applyFont="1" applyFill="1" applyBorder="1" applyAlignment="1">
      <alignment horizontal="right"/>
    </xf>
    <xf numFmtId="0" fontId="66" fillId="2" borderId="31" xfId="3" applyFont="1" applyFill="1" applyBorder="1" applyAlignment="1">
      <alignment horizontal="center"/>
    </xf>
    <xf numFmtId="0" fontId="15" fillId="2" borderId="20" xfId="3" applyFont="1" applyFill="1" applyBorder="1" applyAlignment="1">
      <alignment horizontal="right"/>
    </xf>
    <xf numFmtId="49" fontId="66" fillId="2" borderId="26" xfId="3" applyNumberFormat="1" applyFont="1" applyFill="1" applyBorder="1" applyAlignment="1">
      <alignment horizontal="center"/>
    </xf>
    <xf numFmtId="0" fontId="66" fillId="2" borderId="23" xfId="3" applyFont="1" applyFill="1" applyBorder="1" applyAlignment="1">
      <alignment horizontal="right"/>
    </xf>
    <xf numFmtId="0" fontId="66" fillId="2" borderId="20" xfId="3" applyFont="1" applyFill="1" applyBorder="1" applyAlignment="1">
      <alignment horizontal="right"/>
    </xf>
    <xf numFmtId="14" fontId="67" fillId="2" borderId="0" xfId="3" applyNumberFormat="1" applyFont="1" applyFill="1" applyAlignment="1">
      <alignment horizontal="center" vertical="center" wrapText="1"/>
    </xf>
    <xf numFmtId="0" fontId="15" fillId="3" borderId="31" xfId="1" applyFont="1" applyFill="1" applyBorder="1" applyAlignment="1">
      <alignment horizontal="center" vertical="center" wrapText="1"/>
    </xf>
    <xf numFmtId="1" fontId="15" fillId="3" borderId="15" xfId="1" applyNumberFormat="1" applyFont="1" applyFill="1" applyBorder="1" applyAlignment="1">
      <alignment horizontal="center"/>
    </xf>
    <xf numFmtId="1" fontId="15" fillId="3" borderId="15" xfId="1" applyNumberFormat="1" applyFont="1" applyFill="1" applyBorder="1" applyAlignment="1">
      <alignment horizontal="center" wrapText="1"/>
    </xf>
    <xf numFmtId="0" fontId="15" fillId="3" borderId="25" xfId="1" applyFont="1" applyFill="1" applyBorder="1" applyAlignment="1">
      <alignment horizontal="center"/>
    </xf>
    <xf numFmtId="0" fontId="59" fillId="0" borderId="27" xfId="1" applyFont="1" applyBorder="1" applyAlignment="1">
      <alignment horizontal="center" vertical="center"/>
    </xf>
    <xf numFmtId="0" fontId="59" fillId="0" borderId="19" xfId="1" applyFont="1" applyBorder="1" applyAlignment="1">
      <alignment horizontal="center" vertical="center"/>
    </xf>
    <xf numFmtId="0" fontId="60" fillId="0" borderId="20" xfId="1" applyFont="1" applyBorder="1" applyAlignment="1">
      <alignment vertical="center"/>
    </xf>
    <xf numFmtId="0" fontId="59" fillId="0" borderId="20" xfId="1" applyFont="1" applyBorder="1" applyAlignment="1">
      <alignment horizontal="center" vertical="center"/>
    </xf>
    <xf numFmtId="1" fontId="59" fillId="0" borderId="20" xfId="1" applyNumberFormat="1" applyFont="1" applyBorder="1" applyAlignment="1">
      <alignment horizontal="center"/>
    </xf>
    <xf numFmtId="1" fontId="59" fillId="0" borderId="20" xfId="1" applyNumberFormat="1" applyFont="1" applyBorder="1" applyAlignment="1">
      <alignment horizontal="center" wrapText="1"/>
    </xf>
    <xf numFmtId="0" fontId="7" fillId="0" borderId="26" xfId="1" applyFont="1" applyBorder="1" applyAlignment="1">
      <alignment horizontal="center"/>
    </xf>
    <xf numFmtId="0" fontId="68" fillId="4" borderId="27" xfId="0" applyFont="1" applyFill="1" applyBorder="1" applyAlignment="1">
      <alignment horizontal="center"/>
    </xf>
    <xf numFmtId="0" fontId="68" fillId="4" borderId="20" xfId="0" applyFont="1" applyFill="1" applyBorder="1" applyAlignment="1">
      <alignment horizontal="center"/>
    </xf>
    <xf numFmtId="0" fontId="68" fillId="4" borderId="23" xfId="0" applyFont="1" applyFill="1" applyBorder="1"/>
    <xf numFmtId="0" fontId="66" fillId="4" borderId="19" xfId="0" applyFont="1" applyFill="1" applyBorder="1" applyAlignment="1">
      <alignment horizontal="center"/>
    </xf>
    <xf numFmtId="1" fontId="66" fillId="4" borderId="20" xfId="0" applyNumberFormat="1" applyFont="1" applyFill="1" applyBorder="1" applyAlignment="1">
      <alignment horizontal="center"/>
    </xf>
    <xf numFmtId="1" fontId="66" fillId="4" borderId="20" xfId="0" applyNumberFormat="1" applyFont="1" applyFill="1" applyBorder="1" applyAlignment="1">
      <alignment horizontal="center" wrapText="1"/>
    </xf>
    <xf numFmtId="0" fontId="66" fillId="0" borderId="23" xfId="0" applyFont="1" applyBorder="1" applyAlignment="1">
      <alignment horizontal="center" wrapText="1"/>
    </xf>
    <xf numFmtId="12" fontId="66" fillId="0" borderId="23" xfId="0" applyNumberFormat="1" applyFont="1" applyBorder="1" applyAlignment="1">
      <alignment horizontal="center"/>
    </xf>
    <xf numFmtId="0" fontId="68" fillId="4" borderId="19" xfId="0" applyFont="1" applyFill="1" applyBorder="1" applyAlignment="1">
      <alignment horizontal="center"/>
    </xf>
    <xf numFmtId="0" fontId="68" fillId="4" borderId="20" xfId="0" applyFont="1" applyFill="1" applyBorder="1"/>
    <xf numFmtId="1" fontId="66" fillId="4" borderId="23" xfId="0" applyNumberFormat="1" applyFont="1" applyFill="1" applyBorder="1" applyAlignment="1">
      <alignment horizontal="center"/>
    </xf>
    <xf numFmtId="1" fontId="66" fillId="4" borderId="23" xfId="0" applyNumberFormat="1" applyFont="1" applyFill="1" applyBorder="1" applyAlignment="1">
      <alignment horizontal="center" wrapText="1"/>
    </xf>
    <xf numFmtId="0" fontId="66" fillId="0" borderId="20" xfId="0" applyFont="1" applyBorder="1" applyAlignment="1">
      <alignment horizontal="center"/>
    </xf>
    <xf numFmtId="0" fontId="69" fillId="0" borderId="20" xfId="0" applyFont="1" applyBorder="1" applyAlignment="1">
      <alignment horizontal="center"/>
    </xf>
    <xf numFmtId="0" fontId="69" fillId="0" borderId="20" xfId="0" applyFont="1" applyBorder="1" applyAlignment="1">
      <alignment horizontal="center" vertical="center"/>
    </xf>
    <xf numFmtId="0" fontId="69" fillId="11" borderId="20" xfId="0" applyFont="1" applyFill="1" applyBorder="1"/>
    <xf numFmtId="0" fontId="66" fillId="0" borderId="20" xfId="0" applyFont="1" applyBorder="1" applyAlignment="1">
      <alignment horizontal="center" wrapText="1"/>
    </xf>
    <xf numFmtId="0" fontId="69" fillId="11" borderId="0" xfId="0" applyFont="1" applyFill="1" applyAlignment="1">
      <alignment horizontal="center"/>
    </xf>
    <xf numFmtId="0" fontId="69" fillId="11" borderId="0" xfId="0" applyFont="1" applyFill="1"/>
    <xf numFmtId="0" fontId="15" fillId="11" borderId="20" xfId="0" applyFont="1" applyFill="1" applyBorder="1" applyAlignment="1">
      <alignment horizontal="left"/>
    </xf>
    <xf numFmtId="0" fontId="66" fillId="0" borderId="23" xfId="0" applyFont="1" applyBorder="1" applyAlignment="1">
      <alignment horizontal="center"/>
    </xf>
    <xf numFmtId="0" fontId="69" fillId="11" borderId="20" xfId="0" applyFont="1" applyFill="1" applyBorder="1" applyAlignment="1">
      <alignment horizontal="left" vertical="center"/>
    </xf>
    <xf numFmtId="16" fontId="7" fillId="0" borderId="19" xfId="0" applyNumberFormat="1" applyFont="1" applyBorder="1" applyAlignment="1">
      <alignment horizontal="center"/>
    </xf>
    <xf numFmtId="1" fontId="7" fillId="0" borderId="20" xfId="0" applyNumberFormat="1" applyFont="1" applyBorder="1" applyAlignment="1">
      <alignment horizontal="center"/>
    </xf>
    <xf numFmtId="1" fontId="7" fillId="0" borderId="20" xfId="0" applyNumberFormat="1" applyFont="1" applyBorder="1" applyAlignment="1">
      <alignment horizontal="center" wrapText="1"/>
    </xf>
    <xf numFmtId="49" fontId="7" fillId="0" borderId="27" xfId="1" applyNumberFormat="1" applyFont="1" applyBorder="1" applyAlignment="1">
      <alignment horizontal="center"/>
    </xf>
    <xf numFmtId="49" fontId="7" fillId="0" borderId="19" xfId="1" applyNumberFormat="1" applyFont="1" applyBorder="1" applyAlignment="1">
      <alignment horizontal="center"/>
    </xf>
    <xf numFmtId="169" fontId="7" fillId="0" borderId="20" xfId="1" applyNumberFormat="1" applyFont="1" applyBorder="1" applyAlignment="1">
      <alignment horizontal="center"/>
    </xf>
    <xf numFmtId="1" fontId="7" fillId="0" borderId="20" xfId="1" applyNumberFormat="1" applyFont="1" applyBorder="1" applyAlignment="1">
      <alignment horizontal="center" wrapText="1"/>
    </xf>
    <xf numFmtId="0" fontId="68" fillId="4" borderId="24" xfId="0" applyFont="1" applyFill="1" applyBorder="1" applyAlignment="1">
      <alignment horizontal="center"/>
    </xf>
    <xf numFmtId="1" fontId="66" fillId="0" borderId="20" xfId="0" applyNumberFormat="1" applyFont="1" applyBorder="1" applyAlignment="1">
      <alignment horizontal="center"/>
    </xf>
    <xf numFmtId="1" fontId="66" fillId="4" borderId="20" xfId="1" applyNumberFormat="1" applyFont="1" applyFill="1" applyBorder="1" applyAlignment="1">
      <alignment horizontal="center"/>
    </xf>
    <xf numFmtId="1" fontId="66" fillId="4" borderId="20" xfId="1" applyNumberFormat="1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0" xfId="0" applyFont="1"/>
    <xf numFmtId="16" fontId="66" fillId="4" borderId="20" xfId="0" applyNumberFormat="1" applyFont="1" applyFill="1" applyBorder="1" applyAlignment="1">
      <alignment horizontal="center"/>
    </xf>
    <xf numFmtId="0" fontId="66" fillId="2" borderId="20" xfId="0" applyFont="1" applyFill="1" applyBorder="1" applyAlignment="1">
      <alignment horizontal="center"/>
    </xf>
    <xf numFmtId="1" fontId="66" fillId="0" borderId="23" xfId="0" applyNumberFormat="1" applyFont="1" applyBorder="1" applyAlignment="1">
      <alignment horizontal="center" wrapText="1"/>
    </xf>
    <xf numFmtId="16" fontId="66" fillId="0" borderId="20" xfId="0" applyNumberFormat="1" applyFont="1" applyBorder="1" applyAlignment="1">
      <alignment horizontal="center"/>
    </xf>
    <xf numFmtId="1" fontId="66" fillId="0" borderId="23" xfId="0" applyNumberFormat="1" applyFont="1" applyBorder="1" applyAlignment="1">
      <alignment horizontal="center"/>
    </xf>
    <xf numFmtId="1" fontId="66" fillId="0" borderId="20" xfId="0" applyNumberFormat="1" applyFont="1" applyBorder="1" applyAlignment="1">
      <alignment horizontal="center" wrapText="1"/>
    </xf>
    <xf numFmtId="49" fontId="59" fillId="0" borderId="21" xfId="1" applyNumberFormat="1" applyFont="1" applyBorder="1" applyAlignment="1">
      <alignment horizontal="center"/>
    </xf>
    <xf numFmtId="49" fontId="59" fillId="0" borderId="37" xfId="1" applyNumberFormat="1" applyFont="1" applyBorder="1" applyAlignment="1">
      <alignment horizontal="center"/>
    </xf>
    <xf numFmtId="0" fontId="59" fillId="0" borderId="19" xfId="1" applyFont="1" applyBorder="1" applyAlignment="1">
      <alignment horizontal="center"/>
    </xf>
    <xf numFmtId="169" fontId="59" fillId="0" borderId="20" xfId="1" applyNumberFormat="1" applyFont="1" applyBorder="1" applyAlignment="1">
      <alignment horizontal="center"/>
    </xf>
    <xf numFmtId="49" fontId="7" fillId="0" borderId="20" xfId="1" applyNumberFormat="1" applyFont="1" applyBorder="1" applyAlignment="1">
      <alignment horizontal="center"/>
    </xf>
    <xf numFmtId="49" fontId="7" fillId="0" borderId="20" xfId="1" applyNumberFormat="1" applyFont="1" applyBorder="1"/>
    <xf numFmtId="16" fontId="7" fillId="0" borderId="20" xfId="1" applyNumberFormat="1" applyFont="1" applyBorder="1" applyAlignment="1">
      <alignment horizontal="center"/>
    </xf>
    <xf numFmtId="1" fontId="66" fillId="0" borderId="23" xfId="1" applyNumberFormat="1" applyFont="1" applyBorder="1" applyAlignment="1">
      <alignment horizontal="center"/>
    </xf>
    <xf numFmtId="0" fontId="66" fillId="0" borderId="23" xfId="1" applyFont="1" applyBorder="1" applyAlignment="1">
      <alignment horizontal="center"/>
    </xf>
    <xf numFmtId="170" fontId="15" fillId="4" borderId="20" xfId="5" applyNumberFormat="1" applyFont="1" applyFill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7" fillId="0" borderId="34" xfId="0" applyFont="1" applyBorder="1" applyAlignment="1">
      <alignment horizontal="center"/>
    </xf>
    <xf numFmtId="0" fontId="7" fillId="0" borderId="20" xfId="0" applyFont="1" applyBorder="1" applyAlignment="1">
      <alignment horizontal="center" wrapText="1"/>
    </xf>
    <xf numFmtId="1" fontId="6" fillId="0" borderId="20" xfId="0" applyNumberFormat="1" applyFont="1" applyBorder="1" applyAlignment="1">
      <alignment horizontal="left" vertical="center"/>
    </xf>
    <xf numFmtId="12" fontId="7" fillId="0" borderId="20" xfId="1" applyNumberFormat="1" applyFont="1" applyBorder="1" applyAlignment="1">
      <alignment horizontal="center"/>
    </xf>
    <xf numFmtId="0" fontId="7" fillId="4" borderId="27" xfId="0" applyFont="1" applyFill="1" applyBorder="1" applyAlignment="1">
      <alignment horizontal="center"/>
    </xf>
    <xf numFmtId="0" fontId="70" fillId="4" borderId="0" xfId="0" applyFont="1" applyFill="1" applyAlignment="1">
      <alignment horizontal="center"/>
    </xf>
    <xf numFmtId="1" fontId="7" fillId="4" borderId="20" xfId="0" applyNumberFormat="1" applyFont="1" applyFill="1" applyBorder="1"/>
    <xf numFmtId="0" fontId="7" fillId="4" borderId="20" xfId="0" applyFont="1" applyFill="1" applyBorder="1" applyAlignment="1">
      <alignment horizontal="center"/>
    </xf>
    <xf numFmtId="0" fontId="7" fillId="4" borderId="20" xfId="0" applyFont="1" applyFill="1" applyBorder="1" applyAlignment="1">
      <alignment horizontal="center" wrapText="1"/>
    </xf>
    <xf numFmtId="49" fontId="71" fillId="2" borderId="44" xfId="1" applyNumberFormat="1" applyFont="1" applyFill="1" applyBorder="1" applyAlignment="1">
      <alignment horizontal="center" vertical="center"/>
    </xf>
    <xf numFmtId="49" fontId="71" fillId="2" borderId="0" xfId="1" applyNumberFormat="1" applyFont="1" applyFill="1" applyAlignment="1">
      <alignment horizontal="center" vertical="center"/>
    </xf>
    <xf numFmtId="0" fontId="66" fillId="2" borderId="0" xfId="1" applyFont="1" applyFill="1"/>
    <xf numFmtId="1" fontId="66" fillId="2" borderId="0" xfId="1" applyNumberFormat="1" applyFont="1" applyFill="1" applyAlignment="1">
      <alignment horizontal="center"/>
    </xf>
    <xf numFmtId="164" fontId="66" fillId="2" borderId="0" xfId="1" applyNumberFormat="1" applyFont="1" applyFill="1" applyAlignment="1">
      <alignment horizontal="center" wrapText="1"/>
    </xf>
    <xf numFmtId="0" fontId="66" fillId="2" borderId="52" xfId="1" applyFont="1" applyFill="1" applyBorder="1" applyAlignment="1">
      <alignment horizontal="center"/>
    </xf>
    <xf numFmtId="0" fontId="66" fillId="3" borderId="12" xfId="1" applyFont="1" applyFill="1" applyBorder="1" applyAlignment="1">
      <alignment horizontal="center"/>
    </xf>
    <xf numFmtId="0" fontId="66" fillId="3" borderId="11" xfId="1" applyFont="1" applyFill="1" applyBorder="1" applyAlignment="1">
      <alignment horizontal="center"/>
    </xf>
    <xf numFmtId="0" fontId="66" fillId="3" borderId="11" xfId="1" applyFont="1" applyFill="1" applyBorder="1"/>
    <xf numFmtId="0" fontId="15" fillId="3" borderId="11" xfId="1" applyFont="1" applyFill="1" applyBorder="1" applyAlignment="1">
      <alignment horizontal="center"/>
    </xf>
    <xf numFmtId="1" fontId="15" fillId="3" borderId="11" xfId="1" applyNumberFormat="1" applyFont="1" applyFill="1" applyBorder="1" applyAlignment="1">
      <alignment horizontal="center"/>
    </xf>
    <xf numFmtId="164" fontId="66" fillId="3" borderId="11" xfId="1" applyNumberFormat="1" applyFont="1" applyFill="1" applyBorder="1" applyAlignment="1">
      <alignment horizontal="center" wrapText="1"/>
    </xf>
    <xf numFmtId="0" fontId="66" fillId="3" borderId="10" xfId="1" applyFont="1" applyFill="1" applyBorder="1" applyAlignment="1">
      <alignment horizontal="center"/>
    </xf>
    <xf numFmtId="0" fontId="66" fillId="0" borderId="22" xfId="0" applyFont="1" applyBorder="1" applyAlignment="1">
      <alignment horizontal="center"/>
    </xf>
    <xf numFmtId="1" fontId="66" fillId="0" borderId="15" xfId="0" applyNumberFormat="1" applyFont="1" applyBorder="1" applyAlignment="1">
      <alignment horizontal="center"/>
    </xf>
    <xf numFmtId="0" fontId="66" fillId="0" borderId="15" xfId="0" applyFont="1" applyBorder="1" applyAlignment="1">
      <alignment horizontal="center"/>
    </xf>
    <xf numFmtId="43" fontId="8" fillId="0" borderId="0" xfId="5" applyFont="1" applyAlignment="1">
      <alignment vertical="center"/>
    </xf>
    <xf numFmtId="0" fontId="1" fillId="0" borderId="20" xfId="1" applyBorder="1" applyAlignment="1">
      <alignment horizontal="left"/>
    </xf>
    <xf numFmtId="0" fontId="5" fillId="0" borderId="20" xfId="1" applyFont="1" applyBorder="1" applyAlignment="1">
      <alignment horizontal="left"/>
    </xf>
    <xf numFmtId="0" fontId="10" fillId="0" borderId="20" xfId="1" applyFont="1" applyBorder="1" applyAlignment="1">
      <alignment horizontal="center" vertical="center"/>
    </xf>
    <xf numFmtId="0" fontId="1" fillId="0" borderId="20" xfId="1" quotePrefix="1" applyBorder="1" applyAlignment="1">
      <alignment horizontal="center"/>
    </xf>
    <xf numFmtId="0" fontId="5" fillId="3" borderId="35" xfId="0" applyFont="1" applyFill="1" applyBorder="1" applyAlignment="1">
      <alignment horizontal="center"/>
    </xf>
    <xf numFmtId="0" fontId="5" fillId="4" borderId="20" xfId="1" applyFont="1" applyFill="1" applyBorder="1" applyAlignment="1">
      <alignment horizontal="center"/>
    </xf>
    <xf numFmtId="1" fontId="0" fillId="0" borderId="20" xfId="1" applyNumberFormat="1" applyFont="1" applyBorder="1"/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/>
    <xf numFmtId="0" fontId="5" fillId="3" borderId="2" xfId="0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3" fillId="0" borderId="20" xfId="1" applyFont="1" applyBorder="1"/>
    <xf numFmtId="0" fontId="1" fillId="0" borderId="51" xfId="1" quotePrefix="1" applyBorder="1" applyAlignment="1">
      <alignment horizontal="right"/>
    </xf>
    <xf numFmtId="0" fontId="0" fillId="0" borderId="34" xfId="0" applyBorder="1"/>
    <xf numFmtId="0" fontId="3" fillId="0" borderId="34" xfId="1" applyFont="1" applyBorder="1"/>
    <xf numFmtId="1" fontId="1" fillId="0" borderId="34" xfId="1" applyNumberFormat="1" applyBorder="1" applyAlignment="1">
      <alignment horizontal="center" wrapText="1"/>
    </xf>
    <xf numFmtId="0" fontId="1" fillId="3" borderId="3" xfId="0" applyFont="1" applyFill="1" applyBorder="1" applyAlignment="1">
      <alignment horizontal="center"/>
    </xf>
    <xf numFmtId="0" fontId="1" fillId="0" borderId="20" xfId="1" quotePrefix="1" applyBorder="1" applyAlignment="1">
      <alignment horizontal="right"/>
    </xf>
    <xf numFmtId="0" fontId="1" fillId="0" borderId="3" xfId="1" quotePrefix="1" applyBorder="1" applyAlignment="1">
      <alignment horizontal="right"/>
    </xf>
    <xf numFmtId="0" fontId="1" fillId="0" borderId="66" xfId="1" quotePrefix="1" applyBorder="1" applyAlignment="1">
      <alignment horizontal="right"/>
    </xf>
    <xf numFmtId="43" fontId="8" fillId="0" borderId="0" xfId="0" applyNumberFormat="1" applyFont="1" applyAlignment="1">
      <alignment vertical="center"/>
    </xf>
    <xf numFmtId="1" fontId="14" fillId="2" borderId="0" xfId="1" applyNumberFormat="1" applyFont="1" applyFill="1"/>
    <xf numFmtId="1" fontId="0" fillId="0" borderId="47" xfId="1" applyNumberFormat="1" applyFont="1" applyBorder="1" applyAlignment="1">
      <alignment horizontal="center"/>
    </xf>
    <xf numFmtId="1" fontId="1" fillId="0" borderId="8" xfId="1" applyNumberFormat="1" applyBorder="1" applyAlignment="1">
      <alignment horizontal="center"/>
    </xf>
    <xf numFmtId="1" fontId="1" fillId="0" borderId="7" xfId="1" applyNumberFormat="1" applyBorder="1" applyAlignment="1">
      <alignment horizontal="center"/>
    </xf>
    <xf numFmtId="0" fontId="5" fillId="3" borderId="12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left"/>
    </xf>
    <xf numFmtId="0" fontId="5" fillId="3" borderId="10" xfId="0" applyFont="1" applyFill="1" applyBorder="1" applyAlignment="1">
      <alignment horizontal="left"/>
    </xf>
    <xf numFmtId="0" fontId="4" fillId="0" borderId="6" xfId="1" applyFont="1" applyBorder="1" applyAlignment="1">
      <alignment horizontal="left" wrapText="1"/>
    </xf>
    <xf numFmtId="0" fontId="4" fillId="0" borderId="5" xfId="1" applyFont="1" applyBorder="1" applyAlignment="1">
      <alignment horizontal="left" wrapText="1"/>
    </xf>
    <xf numFmtId="0" fontId="4" fillId="0" borderId="4" xfId="1" applyFont="1" applyBorder="1" applyAlignment="1">
      <alignment horizontal="left" wrapText="1"/>
    </xf>
    <xf numFmtId="0" fontId="3" fillId="0" borderId="6" xfId="1" applyFont="1" applyBorder="1" applyAlignment="1">
      <alignment horizontal="left"/>
    </xf>
    <xf numFmtId="0" fontId="3" fillId="0" borderId="5" xfId="1" applyFont="1" applyBorder="1" applyAlignment="1">
      <alignment horizontal="left"/>
    </xf>
    <xf numFmtId="0" fontId="3" fillId="0" borderId="4" xfId="1" applyFont="1" applyBorder="1" applyAlignment="1">
      <alignment horizontal="left"/>
    </xf>
    <xf numFmtId="0" fontId="3" fillId="0" borderId="3" xfId="1" applyFont="1" applyBorder="1" applyAlignment="1">
      <alignment horizontal="left"/>
    </xf>
    <xf numFmtId="0" fontId="3" fillId="0" borderId="2" xfId="1" applyFont="1" applyBorder="1" applyAlignment="1">
      <alignment horizontal="left"/>
    </xf>
    <xf numFmtId="0" fontId="3" fillId="0" borderId="1" xfId="1" applyFont="1" applyBorder="1" applyAlignment="1">
      <alignment horizontal="left"/>
    </xf>
    <xf numFmtId="0" fontId="5" fillId="0" borderId="21" xfId="0" applyFont="1" applyBorder="1" applyAlignment="1">
      <alignment horizontal="right"/>
    </xf>
    <xf numFmtId="0" fontId="5" fillId="0" borderId="37" xfId="0" applyFont="1" applyBorder="1" applyAlignment="1">
      <alignment horizontal="right"/>
    </xf>
    <xf numFmtId="0" fontId="5" fillId="0" borderId="19" xfId="0" applyFont="1" applyBorder="1" applyAlignment="1">
      <alignment horizontal="right"/>
    </xf>
    <xf numFmtId="164" fontId="1" fillId="0" borderId="18" xfId="0" applyNumberFormat="1" applyFont="1" applyBorder="1" applyAlignment="1">
      <alignment horizontal="right" wrapText="1"/>
    </xf>
    <xf numFmtId="164" fontId="1" fillId="0" borderId="19" xfId="0" applyNumberFormat="1" applyFont="1" applyBorder="1" applyAlignment="1">
      <alignment horizontal="right" wrapText="1"/>
    </xf>
    <xf numFmtId="164" fontId="1" fillId="0" borderId="18" xfId="0" applyNumberFormat="1" applyFont="1" applyBorder="1" applyAlignment="1">
      <alignment horizontal="center"/>
    </xf>
    <xf numFmtId="164" fontId="1" fillId="0" borderId="17" xfId="0" applyNumberFormat="1" applyFont="1" applyBorder="1" applyAlignment="1">
      <alignment horizontal="center"/>
    </xf>
    <xf numFmtId="0" fontId="5" fillId="0" borderId="16" xfId="0" applyFont="1" applyBorder="1" applyAlignment="1">
      <alignment horizontal="right"/>
    </xf>
    <xf numFmtId="0" fontId="5" fillId="0" borderId="39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164" fontId="1" fillId="0" borderId="14" xfId="0" applyNumberFormat="1" applyFont="1" applyBorder="1" applyAlignment="1">
      <alignment horizontal="center"/>
    </xf>
    <xf numFmtId="164" fontId="1" fillId="0" borderId="13" xfId="0" applyNumberFormat="1" applyFont="1" applyBorder="1" applyAlignment="1">
      <alignment horizontal="center"/>
    </xf>
    <xf numFmtId="0" fontId="4" fillId="0" borderId="9" xfId="1" applyFont="1" applyBorder="1" applyAlignment="1">
      <alignment horizontal="left" vertical="center" wrapText="1"/>
    </xf>
    <xf numFmtId="0" fontId="4" fillId="0" borderId="8" xfId="1" applyFont="1" applyBorder="1" applyAlignment="1">
      <alignment horizontal="left" vertical="center" wrapText="1"/>
    </xf>
    <xf numFmtId="0" fontId="4" fillId="0" borderId="7" xfId="1" applyFont="1" applyBorder="1" applyAlignment="1">
      <alignment horizontal="left" vertical="center" wrapText="1"/>
    </xf>
    <xf numFmtId="0" fontId="1" fillId="0" borderId="20" xfId="0" applyFont="1" applyBorder="1" applyAlignment="1">
      <alignment horizontal="right"/>
    </xf>
    <xf numFmtId="1" fontId="1" fillId="0" borderId="20" xfId="1" applyNumberFormat="1" applyBorder="1" applyAlignment="1">
      <alignment horizontal="center"/>
    </xf>
    <xf numFmtId="1" fontId="1" fillId="0" borderId="26" xfId="1" applyNumberFormat="1" applyBorder="1" applyAlignment="1">
      <alignment horizontal="center"/>
    </xf>
    <xf numFmtId="1" fontId="0" fillId="0" borderId="20" xfId="1" applyNumberFormat="1" applyFont="1" applyBorder="1" applyAlignment="1">
      <alignment horizontal="center"/>
    </xf>
    <xf numFmtId="0" fontId="5" fillId="0" borderId="6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0" borderId="24" xfId="0" applyFont="1" applyBorder="1" applyAlignment="1">
      <alignment horizontal="right"/>
    </xf>
    <xf numFmtId="164" fontId="1" fillId="0" borderId="23" xfId="0" applyNumberFormat="1" applyFont="1" applyBorder="1" applyAlignment="1">
      <alignment horizontal="right"/>
    </xf>
    <xf numFmtId="0" fontId="1" fillId="2" borderId="2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42" xfId="3" applyFont="1" applyFill="1" applyBorder="1" applyAlignment="1">
      <alignment horizontal="center"/>
    </xf>
    <xf numFmtId="0" fontId="1" fillId="2" borderId="43" xfId="3" applyFont="1" applyFill="1" applyBorder="1" applyAlignment="1">
      <alignment horizontal="center"/>
    </xf>
    <xf numFmtId="0" fontId="1" fillId="2" borderId="44" xfId="3" applyFont="1" applyFill="1" applyBorder="1" applyAlignment="1">
      <alignment horizontal="center"/>
    </xf>
    <xf numFmtId="0" fontId="1" fillId="2" borderId="45" xfId="3" applyFont="1" applyFill="1" applyBorder="1" applyAlignment="1">
      <alignment horizontal="center"/>
    </xf>
    <xf numFmtId="0" fontId="1" fillId="2" borderId="3" xfId="3" applyFont="1" applyFill="1" applyBorder="1" applyAlignment="1">
      <alignment horizontal="center"/>
    </xf>
    <xf numFmtId="0" fontId="1" fillId="2" borderId="46" xfId="3" applyFont="1" applyFill="1" applyBorder="1" applyAlignment="1">
      <alignment horizontal="center"/>
    </xf>
    <xf numFmtId="0" fontId="12" fillId="2" borderId="0" xfId="3" applyFont="1" applyFill="1" applyAlignment="1">
      <alignment horizontal="right"/>
    </xf>
    <xf numFmtId="0" fontId="11" fillId="2" borderId="2" xfId="3" applyFont="1" applyFill="1" applyBorder="1" applyAlignment="1">
      <alignment horizontal="center"/>
    </xf>
    <xf numFmtId="0" fontId="12" fillId="2" borderId="0" xfId="3" applyFont="1" applyFill="1"/>
    <xf numFmtId="0" fontId="5" fillId="3" borderId="33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 wrapText="1"/>
    </xf>
    <xf numFmtId="0" fontId="5" fillId="3" borderId="41" xfId="0" applyFont="1" applyFill="1" applyBorder="1" applyAlignment="1">
      <alignment horizontal="center" vertical="center" wrapText="1"/>
    </xf>
    <xf numFmtId="14" fontId="0" fillId="2" borderId="26" xfId="3" applyNumberFormat="1" applyFont="1" applyFill="1" applyBorder="1" applyAlignment="1">
      <alignment horizontal="center" vertical="center" wrapText="1"/>
    </xf>
    <xf numFmtId="14" fontId="1" fillId="2" borderId="26" xfId="3" applyNumberFormat="1" applyFont="1" applyFill="1" applyBorder="1" applyAlignment="1">
      <alignment horizontal="center" vertical="center" wrapText="1"/>
    </xf>
    <xf numFmtId="14" fontId="1" fillId="2" borderId="25" xfId="3" applyNumberFormat="1" applyFont="1" applyFill="1" applyBorder="1" applyAlignment="1">
      <alignment horizontal="center" vertical="center" wrapText="1"/>
    </xf>
    <xf numFmtId="0" fontId="1" fillId="2" borderId="20" xfId="3" applyFont="1" applyFill="1" applyBorder="1" applyAlignment="1">
      <alignment horizontal="left"/>
    </xf>
    <xf numFmtId="0" fontId="1" fillId="2" borderId="15" xfId="3" applyFont="1" applyFill="1" applyBorder="1" applyAlignment="1">
      <alignment horizontal="left"/>
    </xf>
    <xf numFmtId="0" fontId="12" fillId="2" borderId="32" xfId="3" applyFont="1" applyFill="1" applyBorder="1" applyAlignment="1">
      <alignment horizontal="center"/>
    </xf>
    <xf numFmtId="0" fontId="12" fillId="2" borderId="20" xfId="3" applyFont="1" applyFill="1" applyBorder="1" applyAlignment="1">
      <alignment horizontal="center"/>
    </xf>
    <xf numFmtId="0" fontId="13" fillId="5" borderId="18" xfId="3" applyFont="1" applyFill="1" applyBorder="1" applyAlignment="1">
      <alignment horizontal="center" vertical="center" wrapText="1"/>
    </xf>
    <xf numFmtId="0" fontId="13" fillId="5" borderId="37" xfId="3" applyFont="1" applyFill="1" applyBorder="1" applyAlignment="1">
      <alignment horizontal="center" vertical="center" wrapText="1"/>
    </xf>
    <xf numFmtId="0" fontId="13" fillId="5" borderId="19" xfId="3" applyFont="1" applyFill="1" applyBorder="1" applyAlignment="1">
      <alignment horizontal="center" vertical="center" wrapText="1"/>
    </xf>
    <xf numFmtId="0" fontId="5" fillId="2" borderId="20" xfId="3" applyFont="1" applyFill="1" applyBorder="1" applyAlignment="1">
      <alignment horizontal="right" vertical="top" wrapText="1"/>
    </xf>
    <xf numFmtId="0" fontId="5" fillId="2" borderId="15" xfId="3" applyFont="1" applyFill="1" applyBorder="1" applyAlignment="1">
      <alignment horizontal="right" vertical="top" wrapText="1"/>
    </xf>
    <xf numFmtId="0" fontId="3" fillId="0" borderId="21" xfId="0" applyFont="1" applyBorder="1" applyAlignment="1">
      <alignment horizontal="left"/>
    </xf>
    <xf numFmtId="0" fontId="3" fillId="0" borderId="37" xfId="0" applyFont="1" applyBorder="1" applyAlignment="1">
      <alignment horizontal="left"/>
    </xf>
    <xf numFmtId="0" fontId="3" fillId="0" borderId="66" xfId="0" applyFont="1" applyBorder="1" applyAlignment="1">
      <alignment horizontal="left"/>
    </xf>
    <xf numFmtId="0" fontId="3" fillId="0" borderId="62" xfId="0" applyFont="1" applyBorder="1" applyAlignment="1">
      <alignment horizontal="left"/>
    </xf>
    <xf numFmtId="0" fontId="5" fillId="13" borderId="12" xfId="0" applyFont="1" applyFill="1" applyBorder="1" applyAlignment="1">
      <alignment horizontal="left"/>
    </xf>
    <xf numFmtId="0" fontId="5" fillId="13" borderId="11" xfId="0" applyFont="1" applyFill="1" applyBorder="1" applyAlignment="1">
      <alignment horizontal="left"/>
    </xf>
    <xf numFmtId="0" fontId="4" fillId="0" borderId="9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  <xf numFmtId="0" fontId="0" fillId="0" borderId="18" xfId="0" applyBorder="1" applyAlignment="1">
      <alignment horizontal="right" wrapText="1"/>
    </xf>
    <xf numFmtId="0" fontId="0" fillId="0" borderId="19" xfId="0" applyBorder="1" applyAlignment="1">
      <alignment horizontal="right" wrapText="1"/>
    </xf>
    <xf numFmtId="0" fontId="0" fillId="0" borderId="18" xfId="0" applyBorder="1" applyAlignment="1">
      <alignment horizontal="center"/>
    </xf>
    <xf numFmtId="0" fontId="0" fillId="0" borderId="37" xfId="0" applyBorder="1" applyAlignment="1">
      <alignment horizontal="center"/>
    </xf>
    <xf numFmtId="0" fontId="5" fillId="0" borderId="66" xfId="0" applyFont="1" applyBorder="1" applyAlignment="1">
      <alignment horizontal="right"/>
    </xf>
    <xf numFmtId="0" fontId="5" fillId="0" borderId="62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39" xfId="0" applyBorder="1" applyAlignment="1">
      <alignment horizontal="right"/>
    </xf>
    <xf numFmtId="0" fontId="0" fillId="0" borderId="14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right"/>
    </xf>
    <xf numFmtId="0" fontId="0" fillId="0" borderId="19" xfId="0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5" fillId="0" borderId="38" xfId="0" applyFont="1" applyBorder="1" applyAlignment="1">
      <alignment horizontal="right"/>
    </xf>
    <xf numFmtId="0" fontId="0" fillId="0" borderId="47" xfId="0" applyBorder="1" applyAlignment="1">
      <alignment horizontal="right"/>
    </xf>
    <xf numFmtId="0" fontId="0" fillId="0" borderId="38" xfId="0" applyBorder="1" applyAlignment="1">
      <alignment horizontal="right"/>
    </xf>
    <xf numFmtId="0" fontId="0" fillId="11" borderId="47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12" fillId="11" borderId="2" xfId="0" applyFont="1" applyFill="1" applyBorder="1" applyAlignment="1">
      <alignment horizontal="right"/>
    </xf>
    <xf numFmtId="0" fontId="11" fillId="11" borderId="2" xfId="0" applyFont="1" applyFill="1" applyBorder="1" applyAlignment="1">
      <alignment horizontal="center"/>
    </xf>
    <xf numFmtId="0" fontId="12" fillId="11" borderId="2" xfId="0" applyFont="1" applyFill="1" applyBorder="1"/>
    <xf numFmtId="0" fontId="5" fillId="13" borderId="63" xfId="0" applyFont="1" applyFill="1" applyBorder="1" applyAlignment="1">
      <alignment horizontal="center" vertical="center"/>
    </xf>
    <xf numFmtId="0" fontId="5" fillId="13" borderId="67" xfId="0" applyFont="1" applyFill="1" applyBorder="1" applyAlignment="1">
      <alignment horizontal="center" vertical="center"/>
    </xf>
    <xf numFmtId="0" fontId="5" fillId="13" borderId="40" xfId="0" applyFont="1" applyFill="1" applyBorder="1" applyAlignment="1">
      <alignment horizontal="center" vertical="center" wrapText="1"/>
    </xf>
    <xf numFmtId="0" fontId="5" fillId="13" borderId="41" xfId="0" applyFont="1" applyFill="1" applyBorder="1" applyAlignment="1">
      <alignment horizontal="center" vertical="center" wrapText="1"/>
    </xf>
    <xf numFmtId="0" fontId="5" fillId="13" borderId="40" xfId="0" applyFont="1" applyFill="1" applyBorder="1" applyAlignment="1">
      <alignment horizontal="center" vertical="center"/>
    </xf>
    <xf numFmtId="0" fontId="5" fillId="13" borderId="41" xfId="0" applyFont="1" applyFill="1" applyBorder="1" applyAlignment="1">
      <alignment horizontal="center" vertical="center"/>
    </xf>
    <xf numFmtId="0" fontId="5" fillId="13" borderId="47" xfId="0" applyFont="1" applyFill="1" applyBorder="1" applyAlignment="1">
      <alignment horizontal="center" vertical="center"/>
    </xf>
    <xf numFmtId="0" fontId="5" fillId="13" borderId="38" xfId="0" applyFont="1" applyFill="1" applyBorder="1" applyAlignment="1">
      <alignment horizontal="center" vertical="center"/>
    </xf>
    <xf numFmtId="0" fontId="0" fillId="0" borderId="4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11" borderId="35" xfId="0" applyFill="1" applyBorder="1" applyAlignment="1">
      <alignment horizontal="center" vertical="center" wrapText="1"/>
    </xf>
    <xf numFmtId="0" fontId="0" fillId="11" borderId="50" xfId="0" applyFill="1" applyBorder="1" applyAlignment="1">
      <alignment horizontal="center" vertical="center" wrapText="1"/>
    </xf>
    <xf numFmtId="0" fontId="0" fillId="11" borderId="28" xfId="0" applyFill="1" applyBorder="1" applyAlignment="1">
      <alignment horizontal="center" vertical="center" wrapText="1"/>
    </xf>
    <xf numFmtId="0" fontId="0" fillId="11" borderId="18" xfId="0" applyFill="1" applyBorder="1" applyAlignment="1">
      <alignment horizontal="left"/>
    </xf>
    <xf numFmtId="0" fontId="0" fillId="11" borderId="37" xfId="0" applyFill="1" applyBorder="1" applyAlignment="1">
      <alignment horizontal="left"/>
    </xf>
    <xf numFmtId="0" fontId="0" fillId="11" borderId="19" xfId="0" applyFill="1" applyBorder="1" applyAlignment="1">
      <alignment horizontal="left"/>
    </xf>
    <xf numFmtId="0" fontId="0" fillId="11" borderId="14" xfId="0" applyFill="1" applyBorder="1" applyAlignment="1">
      <alignment horizontal="left"/>
    </xf>
    <xf numFmtId="0" fontId="0" fillId="11" borderId="62" xfId="0" applyFill="1" applyBorder="1" applyAlignment="1">
      <alignment horizontal="left"/>
    </xf>
    <xf numFmtId="0" fontId="0" fillId="11" borderId="39" xfId="0" applyFill="1" applyBorder="1" applyAlignment="1">
      <alignment horizontal="left"/>
    </xf>
    <xf numFmtId="0" fontId="0" fillId="11" borderId="42" xfId="0" applyFill="1" applyBorder="1" applyAlignment="1">
      <alignment horizontal="center"/>
    </xf>
    <xf numFmtId="0" fontId="0" fillId="11" borderId="43" xfId="0" applyFill="1" applyBorder="1" applyAlignment="1">
      <alignment horizontal="center"/>
    </xf>
    <xf numFmtId="0" fontId="0" fillId="11" borderId="44" xfId="0" applyFill="1" applyBorder="1" applyAlignment="1">
      <alignment horizontal="center"/>
    </xf>
    <xf numFmtId="0" fontId="0" fillId="11" borderId="45" xfId="0" applyFill="1" applyBorder="1" applyAlignment="1">
      <alignment horizontal="center"/>
    </xf>
    <xf numFmtId="0" fontId="12" fillId="11" borderId="47" xfId="0" applyFont="1" applyFill="1" applyBorder="1" applyAlignment="1">
      <alignment horizontal="center"/>
    </xf>
    <xf numFmtId="0" fontId="12" fillId="11" borderId="8" xfId="0" applyFont="1" applyFill="1" applyBorder="1" applyAlignment="1">
      <alignment horizontal="center"/>
    </xf>
    <xf numFmtId="0" fontId="12" fillId="11" borderId="38" xfId="0" applyFont="1" applyFill="1" applyBorder="1" applyAlignment="1">
      <alignment horizontal="center"/>
    </xf>
    <xf numFmtId="0" fontId="12" fillId="11" borderId="18" xfId="0" applyFont="1" applyFill="1" applyBorder="1" applyAlignment="1">
      <alignment horizontal="center"/>
    </xf>
    <xf numFmtId="0" fontId="12" fillId="11" borderId="37" xfId="0" applyFont="1" applyFill="1" applyBorder="1" applyAlignment="1">
      <alignment horizontal="center"/>
    </xf>
    <xf numFmtId="0" fontId="12" fillId="11" borderId="19" xfId="0" applyFont="1" applyFill="1" applyBorder="1" applyAlignment="1">
      <alignment horizontal="center"/>
    </xf>
    <xf numFmtId="0" fontId="13" fillId="12" borderId="18" xfId="0" applyFont="1" applyFill="1" applyBorder="1" applyAlignment="1">
      <alignment horizontal="center" vertical="center" wrapText="1"/>
    </xf>
    <xf numFmtId="0" fontId="13" fillId="12" borderId="37" xfId="0" applyFont="1" applyFill="1" applyBorder="1" applyAlignment="1">
      <alignment horizontal="center" vertical="center" wrapText="1"/>
    </xf>
    <xf numFmtId="0" fontId="13" fillId="12" borderId="19" xfId="0" applyFont="1" applyFill="1" applyBorder="1" applyAlignment="1">
      <alignment horizontal="center" vertical="center" wrapText="1"/>
    </xf>
    <xf numFmtId="0" fontId="5" fillId="11" borderId="34" xfId="0" applyFont="1" applyFill="1" applyBorder="1" applyAlignment="1">
      <alignment horizontal="right" vertical="top" wrapText="1"/>
    </xf>
    <xf numFmtId="0" fontId="5" fillId="11" borderId="61" xfId="0" applyFont="1" applyFill="1" applyBorder="1" applyAlignment="1">
      <alignment horizontal="right" vertical="top" wrapText="1"/>
    </xf>
    <xf numFmtId="0" fontId="5" fillId="11" borderId="23" xfId="0" applyFont="1" applyFill="1" applyBorder="1" applyAlignment="1">
      <alignment horizontal="right" vertical="top" wrapText="1"/>
    </xf>
    <xf numFmtId="0" fontId="5" fillId="3" borderId="51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/>
    </xf>
    <xf numFmtId="0" fontId="5" fillId="3" borderId="61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right" vertical="center" wrapText="1"/>
    </xf>
    <xf numFmtId="0" fontId="42" fillId="0" borderId="20" xfId="0" applyFont="1" applyBorder="1" applyAlignment="1">
      <alignment horizontal="right" vertical="center"/>
    </xf>
    <xf numFmtId="0" fontId="43" fillId="0" borderId="44" xfId="0" applyFont="1" applyBorder="1" applyAlignment="1">
      <alignment horizontal="right"/>
    </xf>
    <xf numFmtId="0" fontId="43" fillId="0" borderId="0" xfId="0" applyFont="1" applyAlignment="1">
      <alignment horizontal="right"/>
    </xf>
    <xf numFmtId="0" fontId="43" fillId="0" borderId="52" xfId="0" applyFont="1" applyBorder="1" applyAlignment="1">
      <alignment horizontal="right"/>
    </xf>
    <xf numFmtId="0" fontId="25" fillId="0" borderId="0" xfId="0" applyFont="1" applyAlignment="1">
      <alignment horizontal="right" vertical="center"/>
    </xf>
    <xf numFmtId="0" fontId="34" fillId="0" borderId="42" xfId="0" applyFont="1" applyBorder="1" applyAlignment="1">
      <alignment horizontal="right"/>
    </xf>
    <xf numFmtId="0" fontId="34" fillId="0" borderId="48" xfId="0" applyFont="1" applyBorder="1" applyAlignment="1">
      <alignment horizontal="right"/>
    </xf>
    <xf numFmtId="0" fontId="8" fillId="0" borderId="20" xfId="0" applyFont="1" applyBorder="1" applyAlignment="1">
      <alignment horizontal="right" vertical="center"/>
    </xf>
    <xf numFmtId="0" fontId="34" fillId="0" borderId="0" xfId="0" applyFont="1" applyAlignment="1">
      <alignment horizontal="right"/>
    </xf>
    <xf numFmtId="0" fontId="33" fillId="0" borderId="0" xfId="0" applyFont="1" applyAlignment="1">
      <alignment horizontal="center" vertical="center"/>
    </xf>
    <xf numFmtId="0" fontId="50" fillId="0" borderId="12" xfId="0" applyFont="1" applyBorder="1" applyAlignment="1">
      <alignment horizontal="right" vertical="center"/>
    </xf>
    <xf numFmtId="0" fontId="50" fillId="0" borderId="11" xfId="0" applyFont="1" applyBorder="1" applyAlignment="1">
      <alignment horizontal="right" vertical="center"/>
    </xf>
    <xf numFmtId="0" fontId="50" fillId="0" borderId="10" xfId="0" applyFont="1" applyBorder="1" applyAlignment="1">
      <alignment horizontal="right" vertical="center"/>
    </xf>
    <xf numFmtId="0" fontId="51" fillId="0" borderId="0" xfId="0" applyFont="1" applyAlignment="1">
      <alignment horizontal="right"/>
    </xf>
    <xf numFmtId="0" fontId="41" fillId="0" borderId="2" xfId="0" applyFont="1" applyBorder="1" applyAlignment="1">
      <alignment horizontal="right"/>
    </xf>
    <xf numFmtId="0" fontId="33" fillId="0" borderId="0" xfId="0" applyFont="1" applyAlignment="1">
      <alignment horizontal="right" vertical="center"/>
    </xf>
    <xf numFmtId="0" fontId="39" fillId="7" borderId="12" xfId="0" applyFont="1" applyFill="1" applyBorder="1" applyAlignment="1">
      <alignment horizontal="right"/>
    </xf>
    <xf numFmtId="0" fontId="39" fillId="7" borderId="11" xfId="0" applyFont="1" applyFill="1" applyBorder="1" applyAlignment="1">
      <alignment horizontal="right"/>
    </xf>
    <xf numFmtId="0" fontId="8" fillId="0" borderId="0" xfId="0" applyFont="1" applyAlignment="1">
      <alignment horizontal="right" vertical="center"/>
    </xf>
    <xf numFmtId="0" fontId="25" fillId="0" borderId="2" xfId="0" applyFont="1" applyBorder="1" applyAlignment="1">
      <alignment horizontal="right" vertical="center"/>
    </xf>
    <xf numFmtId="0" fontId="25" fillId="0" borderId="1" xfId="0" applyFont="1" applyBorder="1" applyAlignment="1">
      <alignment horizontal="right" vertical="center"/>
    </xf>
    <xf numFmtId="0" fontId="25" fillId="9" borderId="12" xfId="0" applyFont="1" applyFill="1" applyBorder="1" applyAlignment="1">
      <alignment horizontal="right" vertical="center"/>
    </xf>
    <xf numFmtId="0" fontId="25" fillId="9" borderId="11" xfId="0" applyFont="1" applyFill="1" applyBorder="1" applyAlignment="1">
      <alignment horizontal="right" vertical="center"/>
    </xf>
    <xf numFmtId="0" fontId="25" fillId="9" borderId="10" xfId="0" applyFont="1" applyFill="1" applyBorder="1" applyAlignment="1">
      <alignment horizontal="right" vertical="center"/>
    </xf>
    <xf numFmtId="4" fontId="48" fillId="0" borderId="0" xfId="6" applyNumberFormat="1" applyFont="1" applyFill="1" applyAlignment="1">
      <alignment horizontal="center" vertical="center" wrapText="1"/>
    </xf>
    <xf numFmtId="14" fontId="1" fillId="4" borderId="26" xfId="3" applyNumberFormat="1" applyFont="1" applyFill="1" applyBorder="1" applyAlignment="1">
      <alignment horizontal="center" vertical="center" wrapText="1"/>
    </xf>
    <xf numFmtId="14" fontId="1" fillId="4" borderId="25" xfId="3" applyNumberFormat="1" applyFont="1" applyFill="1" applyBorder="1" applyAlignment="1">
      <alignment horizontal="center" vertical="center" wrapText="1"/>
    </xf>
    <xf numFmtId="0" fontId="3" fillId="2" borderId="23" xfId="3" applyFont="1" applyFill="1" applyBorder="1" applyAlignment="1">
      <alignment horizontal="left"/>
    </xf>
    <xf numFmtId="0" fontId="3" fillId="2" borderId="15" xfId="3" applyFont="1" applyFill="1" applyBorder="1" applyAlignment="1">
      <alignment horizontal="left"/>
    </xf>
    <xf numFmtId="0" fontId="1" fillId="2" borderId="20" xfId="3" applyFont="1" applyFill="1" applyBorder="1" applyAlignment="1">
      <alignment horizontal="center"/>
    </xf>
    <xf numFmtId="0" fontId="12" fillId="2" borderId="38" xfId="3" applyFont="1" applyFill="1" applyBorder="1" applyAlignment="1">
      <alignment horizontal="center"/>
    </xf>
    <xf numFmtId="0" fontId="12" fillId="2" borderId="49" xfId="3" applyFont="1" applyFill="1" applyBorder="1" applyAlignment="1">
      <alignment horizontal="center"/>
    </xf>
    <xf numFmtId="0" fontId="12" fillId="2" borderId="34" xfId="3" applyFont="1" applyFill="1" applyBorder="1" applyAlignment="1">
      <alignment horizontal="center"/>
    </xf>
    <xf numFmtId="0" fontId="13" fillId="5" borderId="11" xfId="3" applyFont="1" applyFill="1" applyBorder="1" applyAlignment="1">
      <alignment horizontal="center" vertical="center" wrapText="1"/>
    </xf>
    <xf numFmtId="0" fontId="13" fillId="5" borderId="10" xfId="3" applyFont="1" applyFill="1" applyBorder="1" applyAlignment="1">
      <alignment horizontal="center" vertical="center" wrapText="1"/>
    </xf>
    <xf numFmtId="0" fontId="5" fillId="2" borderId="19" xfId="3" applyFont="1" applyFill="1" applyBorder="1" applyAlignment="1">
      <alignment horizontal="right" vertical="top" wrapText="1"/>
    </xf>
    <xf numFmtId="0" fontId="12" fillId="2" borderId="44" xfId="3" applyFont="1" applyFill="1" applyBorder="1" applyAlignment="1">
      <alignment horizontal="right"/>
    </xf>
    <xf numFmtId="0" fontId="5" fillId="3" borderId="23" xfId="0" applyFont="1" applyFill="1" applyBorder="1" applyAlignment="1">
      <alignment horizontal="center" vertical="center" wrapText="1"/>
    </xf>
    <xf numFmtId="164" fontId="21" fillId="0" borderId="18" xfId="0" applyNumberFormat="1" applyFont="1" applyBorder="1" applyAlignment="1">
      <alignment horizontal="center"/>
    </xf>
    <xf numFmtId="164" fontId="21" fillId="0" borderId="37" xfId="0" applyNumberFormat="1" applyFont="1" applyBorder="1" applyAlignment="1">
      <alignment horizontal="center"/>
    </xf>
    <xf numFmtId="164" fontId="21" fillId="0" borderId="17" xfId="0" applyNumberFormat="1" applyFont="1" applyBorder="1" applyAlignment="1">
      <alignment horizontal="center"/>
    </xf>
    <xf numFmtId="0" fontId="5" fillId="0" borderId="23" xfId="0" applyFont="1" applyBorder="1" applyAlignment="1">
      <alignment horizontal="right"/>
    </xf>
    <xf numFmtId="0" fontId="5" fillId="0" borderId="20" xfId="0" applyFont="1" applyBorder="1" applyAlignment="1">
      <alignment horizontal="right"/>
    </xf>
    <xf numFmtId="0" fontId="7" fillId="0" borderId="21" xfId="0" applyFont="1" applyBorder="1" applyAlignment="1">
      <alignment horizontal="left"/>
    </xf>
    <xf numFmtId="0" fontId="7" fillId="0" borderId="37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1" fillId="0" borderId="51" xfId="0" applyFont="1" applyBorder="1" applyAlignment="1">
      <alignment horizontal="right"/>
    </xf>
    <xf numFmtId="0" fontId="1" fillId="0" borderId="49" xfId="0" applyFont="1" applyBorder="1" applyAlignment="1">
      <alignment horizontal="right"/>
    </xf>
    <xf numFmtId="0" fontId="1" fillId="0" borderId="34" xfId="0" applyFont="1" applyBorder="1" applyAlignment="1">
      <alignment horizontal="right"/>
    </xf>
    <xf numFmtId="164" fontId="1" fillId="0" borderId="68" xfId="0" applyNumberFormat="1" applyFont="1" applyBorder="1" applyAlignment="1">
      <alignment horizontal="center"/>
    </xf>
    <xf numFmtId="164" fontId="1" fillId="0" borderId="69" xfId="0" applyNumberFormat="1" applyFont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21" fillId="0" borderId="21" xfId="0" applyFont="1" applyBorder="1" applyAlignment="1">
      <alignment horizontal="left"/>
    </xf>
    <xf numFmtId="0" fontId="21" fillId="0" borderId="37" xfId="0" applyFont="1" applyBorder="1" applyAlignment="1">
      <alignment horizontal="left"/>
    </xf>
    <xf numFmtId="0" fontId="21" fillId="0" borderId="17" xfId="0" applyFont="1" applyBorder="1" applyAlignment="1">
      <alignment horizontal="left"/>
    </xf>
    <xf numFmtId="0" fontId="3" fillId="4" borderId="3" xfId="1" applyFont="1" applyFill="1" applyBorder="1" applyAlignment="1">
      <alignment horizontal="left"/>
    </xf>
    <xf numFmtId="0" fontId="3" fillId="4" borderId="2" xfId="1" applyFont="1" applyFill="1" applyBorder="1" applyAlignment="1">
      <alignment horizontal="left"/>
    </xf>
    <xf numFmtId="0" fontId="3" fillId="4" borderId="1" xfId="1" applyFont="1" applyFill="1" applyBorder="1" applyAlignment="1">
      <alignment horizontal="left"/>
    </xf>
    <xf numFmtId="14" fontId="14" fillId="2" borderId="35" xfId="3" applyNumberFormat="1" applyFont="1" applyFill="1" applyBorder="1" applyAlignment="1">
      <alignment horizontal="center" vertical="center" wrapText="1"/>
    </xf>
    <xf numFmtId="14" fontId="14" fillId="2" borderId="50" xfId="3" applyNumberFormat="1" applyFont="1" applyFill="1" applyBorder="1" applyAlignment="1">
      <alignment horizontal="center" vertical="center" wrapText="1"/>
    </xf>
    <xf numFmtId="14" fontId="14" fillId="2" borderId="28" xfId="3" applyNumberFormat="1" applyFont="1" applyFill="1" applyBorder="1" applyAlignment="1">
      <alignment horizontal="center" vertical="center" wrapText="1"/>
    </xf>
    <xf numFmtId="0" fontId="14" fillId="2" borderId="47" xfId="3" applyFont="1" applyFill="1" applyBorder="1" applyAlignment="1">
      <alignment horizontal="left"/>
    </xf>
    <xf numFmtId="0" fontId="14" fillId="2" borderId="8" xfId="3" applyFont="1" applyFill="1" applyBorder="1" applyAlignment="1">
      <alignment horizontal="left"/>
    </xf>
    <xf numFmtId="0" fontId="14" fillId="2" borderId="38" xfId="3" applyFont="1" applyFill="1" applyBorder="1" applyAlignment="1">
      <alignment horizontal="left"/>
    </xf>
    <xf numFmtId="0" fontId="14" fillId="2" borderId="18" xfId="3" applyFont="1" applyFill="1" applyBorder="1" applyAlignment="1">
      <alignment horizontal="left"/>
    </xf>
    <xf numFmtId="0" fontId="14" fillId="2" borderId="37" xfId="3" applyFont="1" applyFill="1" applyBorder="1" applyAlignment="1">
      <alignment horizontal="left"/>
    </xf>
    <xf numFmtId="0" fontId="14" fillId="2" borderId="19" xfId="3" applyFont="1" applyFill="1" applyBorder="1" applyAlignment="1">
      <alignment horizontal="left"/>
    </xf>
    <xf numFmtId="0" fontId="14" fillId="2" borderId="42" xfId="3" applyFont="1" applyFill="1" applyBorder="1" applyAlignment="1">
      <alignment horizontal="center"/>
    </xf>
    <xf numFmtId="0" fontId="14" fillId="2" borderId="48" xfId="3" applyFont="1" applyFill="1" applyBorder="1" applyAlignment="1">
      <alignment horizontal="center"/>
    </xf>
    <xf numFmtId="0" fontId="14" fillId="2" borderId="44" xfId="3" applyFont="1" applyFill="1" applyBorder="1" applyAlignment="1">
      <alignment horizontal="center"/>
    </xf>
    <xf numFmtId="0" fontId="14" fillId="2" borderId="0" xfId="3" applyFont="1" applyFill="1" applyAlignment="1">
      <alignment horizontal="center"/>
    </xf>
    <xf numFmtId="0" fontId="14" fillId="2" borderId="6" xfId="3" applyFont="1" applyFill="1" applyBorder="1" applyAlignment="1">
      <alignment horizontal="center"/>
    </xf>
    <xf numFmtId="0" fontId="14" fillId="2" borderId="5" xfId="3" applyFont="1" applyFill="1" applyBorder="1" applyAlignment="1">
      <alignment horizontal="center"/>
    </xf>
    <xf numFmtId="0" fontId="15" fillId="2" borderId="32" xfId="3" applyFont="1" applyFill="1" applyBorder="1" applyAlignment="1">
      <alignment horizontal="center"/>
    </xf>
    <xf numFmtId="0" fontId="15" fillId="2" borderId="14" xfId="3" applyFont="1" applyFill="1" applyBorder="1" applyAlignment="1">
      <alignment horizontal="center"/>
    </xf>
    <xf numFmtId="0" fontId="15" fillId="2" borderId="62" xfId="3" applyFont="1" applyFill="1" applyBorder="1" applyAlignment="1">
      <alignment horizontal="center"/>
    </xf>
    <xf numFmtId="0" fontId="15" fillId="2" borderId="39" xfId="3" applyFont="1" applyFill="1" applyBorder="1" applyAlignment="1">
      <alignment horizontal="center"/>
    </xf>
    <xf numFmtId="0" fontId="18" fillId="5" borderId="12" xfId="3" applyFont="1" applyFill="1" applyBorder="1" applyAlignment="1">
      <alignment horizontal="center" vertical="center" wrapText="1"/>
    </xf>
    <xf numFmtId="0" fontId="18" fillId="5" borderId="11" xfId="3" applyFont="1" applyFill="1" applyBorder="1" applyAlignment="1">
      <alignment horizontal="center" vertical="center" wrapText="1"/>
    </xf>
    <xf numFmtId="0" fontId="18" fillId="5" borderId="10" xfId="3" applyFont="1" applyFill="1" applyBorder="1" applyAlignment="1">
      <alignment horizontal="center" vertical="center" wrapText="1"/>
    </xf>
    <xf numFmtId="0" fontId="16" fillId="2" borderId="49" xfId="3" applyFont="1" applyFill="1" applyBorder="1" applyAlignment="1">
      <alignment horizontal="right" vertical="top" wrapText="1"/>
    </xf>
    <xf numFmtId="0" fontId="16" fillId="2" borderId="45" xfId="3" applyFont="1" applyFill="1" applyBorder="1" applyAlignment="1">
      <alignment horizontal="right" vertical="top" wrapText="1"/>
    </xf>
    <xf numFmtId="0" fontId="16" fillId="2" borderId="46" xfId="3" applyFont="1" applyFill="1" applyBorder="1" applyAlignment="1">
      <alignment horizontal="right" vertical="top" wrapText="1"/>
    </xf>
    <xf numFmtId="0" fontId="16" fillId="3" borderId="33" xfId="1" applyFont="1" applyFill="1" applyBorder="1" applyAlignment="1">
      <alignment horizontal="center" vertical="center"/>
    </xf>
    <xf numFmtId="0" fontId="16" fillId="3" borderId="16" xfId="1" applyFont="1" applyFill="1" applyBorder="1" applyAlignment="1">
      <alignment horizontal="center" vertical="center"/>
    </xf>
    <xf numFmtId="0" fontId="16" fillId="3" borderId="33" xfId="1" applyFont="1" applyFill="1" applyBorder="1" applyAlignment="1">
      <alignment horizontal="center" vertical="center" wrapText="1"/>
    </xf>
    <xf numFmtId="0" fontId="16" fillId="3" borderId="16" xfId="1" applyFont="1" applyFill="1" applyBorder="1" applyAlignment="1">
      <alignment horizontal="center" vertical="center" wrapText="1"/>
    </xf>
    <xf numFmtId="0" fontId="16" fillId="3" borderId="32" xfId="1" applyFont="1" applyFill="1" applyBorder="1" applyAlignment="1">
      <alignment horizontal="center" vertical="center"/>
    </xf>
    <xf numFmtId="0" fontId="16" fillId="3" borderId="15" xfId="1" applyFont="1" applyFill="1" applyBorder="1" applyAlignment="1">
      <alignment horizontal="center" vertical="center"/>
    </xf>
    <xf numFmtId="0" fontId="16" fillId="0" borderId="6" xfId="1" applyFont="1" applyBorder="1" applyAlignment="1">
      <alignment horizontal="right"/>
    </xf>
    <xf numFmtId="0" fontId="16" fillId="0" borderId="5" xfId="1" applyFont="1" applyBorder="1" applyAlignment="1">
      <alignment horizontal="right"/>
    </xf>
    <xf numFmtId="0" fontId="16" fillId="0" borderId="24" xfId="1" applyFont="1" applyBorder="1" applyAlignment="1">
      <alignment horizontal="right"/>
    </xf>
    <xf numFmtId="164" fontId="14" fillId="0" borderId="23" xfId="1" applyNumberFormat="1" applyFont="1" applyBorder="1" applyAlignment="1">
      <alignment horizontal="right"/>
    </xf>
    <xf numFmtId="0" fontId="14" fillId="2" borderId="22" xfId="1" applyFont="1" applyFill="1" applyBorder="1" applyAlignment="1">
      <alignment horizontal="center"/>
    </xf>
    <xf numFmtId="0" fontId="14" fillId="2" borderId="4" xfId="1" applyFont="1" applyFill="1" applyBorder="1" applyAlignment="1">
      <alignment horizontal="center"/>
    </xf>
    <xf numFmtId="0" fontId="16" fillId="0" borderId="21" xfId="1" applyFont="1" applyBorder="1" applyAlignment="1">
      <alignment horizontal="right"/>
    </xf>
    <xf numFmtId="0" fontId="16" fillId="0" borderId="37" xfId="1" applyFont="1" applyBorder="1" applyAlignment="1">
      <alignment horizontal="right"/>
    </xf>
    <xf numFmtId="0" fontId="16" fillId="0" borderId="19" xfId="1" applyFont="1" applyBorder="1" applyAlignment="1">
      <alignment horizontal="right"/>
    </xf>
    <xf numFmtId="0" fontId="14" fillId="0" borderId="20" xfId="1" applyFont="1" applyBorder="1" applyAlignment="1">
      <alignment horizontal="right"/>
    </xf>
    <xf numFmtId="164" fontId="14" fillId="0" borderId="18" xfId="1" applyNumberFormat="1" applyFont="1" applyBorder="1" applyAlignment="1">
      <alignment horizontal="center"/>
    </xf>
    <xf numFmtId="164" fontId="14" fillId="0" borderId="17" xfId="1" applyNumberFormat="1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164" fontId="14" fillId="0" borderId="18" xfId="1" applyNumberFormat="1" applyFont="1" applyBorder="1" applyAlignment="1">
      <alignment horizontal="right" wrapText="1"/>
    </xf>
    <xf numFmtId="164" fontId="14" fillId="0" borderId="19" xfId="1" applyNumberFormat="1" applyFont="1" applyBorder="1" applyAlignment="1">
      <alignment horizontal="right" wrapText="1"/>
    </xf>
    <xf numFmtId="0" fontId="16" fillId="0" borderId="16" xfId="1" applyFont="1" applyBorder="1" applyAlignment="1">
      <alignment horizontal="right"/>
    </xf>
    <xf numFmtId="0" fontId="16" fillId="0" borderId="39" xfId="1" applyFont="1" applyBorder="1" applyAlignment="1">
      <alignment horizontal="right"/>
    </xf>
    <xf numFmtId="0" fontId="16" fillId="0" borderId="15" xfId="1" applyFont="1" applyBorder="1" applyAlignment="1">
      <alignment horizontal="right"/>
    </xf>
    <xf numFmtId="0" fontId="14" fillId="0" borderId="15" xfId="1" applyFont="1" applyBorder="1" applyAlignment="1">
      <alignment horizontal="right"/>
    </xf>
    <xf numFmtId="164" fontId="14" fillId="0" borderId="14" xfId="1" applyNumberFormat="1" applyFont="1" applyBorder="1" applyAlignment="1">
      <alignment horizontal="center"/>
    </xf>
    <xf numFmtId="164" fontId="14" fillId="0" borderId="13" xfId="1" applyNumberFormat="1" applyFont="1" applyBorder="1" applyAlignment="1">
      <alignment horizontal="center"/>
    </xf>
    <xf numFmtId="0" fontId="16" fillId="3" borderId="12" xfId="1" applyFont="1" applyFill="1" applyBorder="1" applyAlignment="1">
      <alignment horizontal="left"/>
    </xf>
    <xf numFmtId="0" fontId="16" fillId="3" borderId="11" xfId="1" applyFont="1" applyFill="1" applyBorder="1" applyAlignment="1">
      <alignment horizontal="left"/>
    </xf>
    <xf numFmtId="0" fontId="16" fillId="3" borderId="10" xfId="1" applyFont="1" applyFill="1" applyBorder="1" applyAlignment="1">
      <alignment horizontal="left"/>
    </xf>
    <xf numFmtId="0" fontId="7" fillId="0" borderId="9" xfId="0" applyFont="1" applyBorder="1" applyAlignment="1">
      <alignment horizontal="left" wrapText="1"/>
    </xf>
    <xf numFmtId="0" fontId="7" fillId="0" borderId="8" xfId="0" applyFont="1" applyBorder="1" applyAlignment="1">
      <alignment horizontal="left" wrapText="1"/>
    </xf>
    <xf numFmtId="0" fontId="7" fillId="0" borderId="7" xfId="0" applyFont="1" applyBorder="1" applyAlignment="1">
      <alignment horizontal="left" wrapText="1"/>
    </xf>
    <xf numFmtId="0" fontId="14" fillId="0" borderId="66" xfId="1" applyFont="1" applyBorder="1" applyAlignment="1">
      <alignment horizontal="left"/>
    </xf>
    <xf numFmtId="0" fontId="14" fillId="0" borderId="62" xfId="1" applyFont="1" applyBorder="1" applyAlignment="1">
      <alignment horizontal="left"/>
    </xf>
    <xf numFmtId="0" fontId="14" fillId="0" borderId="13" xfId="1" applyFont="1" applyBorder="1" applyAlignment="1">
      <alignment horizontal="left"/>
    </xf>
    <xf numFmtId="0" fontId="16" fillId="14" borderId="70" xfId="3" applyFont="1" applyFill="1" applyBorder="1" applyAlignment="1">
      <alignment horizontal="center"/>
    </xf>
    <xf numFmtId="0" fontId="16" fillId="14" borderId="48" xfId="3" applyFont="1" applyFill="1" applyBorder="1" applyAlignment="1">
      <alignment horizontal="center"/>
    </xf>
    <xf numFmtId="0" fontId="14" fillId="2" borderId="71" xfId="3" applyFont="1" applyFill="1" applyBorder="1" applyAlignment="1">
      <alignment horizontal="left"/>
    </xf>
    <xf numFmtId="0" fontId="14" fillId="2" borderId="0" xfId="3" applyFont="1" applyFill="1" applyAlignment="1">
      <alignment horizontal="left"/>
    </xf>
    <xf numFmtId="0" fontId="8" fillId="0" borderId="21" xfId="0" applyFont="1" applyBorder="1" applyAlignment="1">
      <alignment horizontal="left"/>
    </xf>
    <xf numFmtId="0" fontId="8" fillId="0" borderId="37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14" fillId="0" borderId="21" xfId="1" applyFont="1" applyBorder="1" applyAlignment="1">
      <alignment horizontal="left" wrapText="1"/>
    </xf>
    <xf numFmtId="0" fontId="14" fillId="0" borderId="37" xfId="1" applyFont="1" applyBorder="1" applyAlignment="1">
      <alignment horizontal="left" wrapText="1"/>
    </xf>
    <xf numFmtId="0" fontId="14" fillId="0" borderId="17" xfId="1" applyFont="1" applyBorder="1" applyAlignment="1">
      <alignment horizontal="left" wrapText="1"/>
    </xf>
    <xf numFmtId="0" fontId="56" fillId="0" borderId="21" xfId="0" applyFont="1" applyBorder="1" applyAlignment="1">
      <alignment horizontal="left"/>
    </xf>
    <xf numFmtId="0" fontId="56" fillId="0" borderId="37" xfId="0" applyFont="1" applyBorder="1" applyAlignment="1">
      <alignment horizontal="left"/>
    </xf>
    <xf numFmtId="0" fontId="56" fillId="0" borderId="17" xfId="0" applyFont="1" applyBorder="1" applyAlignment="1">
      <alignment horizontal="left"/>
    </xf>
    <xf numFmtId="0" fontId="21" fillId="0" borderId="21" xfId="0" applyFont="1" applyBorder="1" applyAlignment="1">
      <alignment horizontal="left" vertical="center" wrapText="1"/>
    </xf>
    <xf numFmtId="0" fontId="21" fillId="0" borderId="37" xfId="0" applyFont="1" applyBorder="1" applyAlignment="1">
      <alignment horizontal="left" vertical="center" wrapText="1"/>
    </xf>
    <xf numFmtId="0" fontId="21" fillId="0" borderId="17" xfId="0" applyFont="1" applyBorder="1" applyAlignment="1">
      <alignment horizontal="left" vertical="center" wrapText="1"/>
    </xf>
    <xf numFmtId="0" fontId="56" fillId="0" borderId="27" xfId="0" applyFont="1" applyBorder="1" applyAlignment="1">
      <alignment horizontal="left" vertical="center"/>
    </xf>
    <xf numFmtId="0" fontId="56" fillId="0" borderId="19" xfId="0" applyFont="1" applyBorder="1" applyAlignment="1">
      <alignment horizontal="left" vertical="center"/>
    </xf>
    <xf numFmtId="0" fontId="56" fillId="0" borderId="20" xfId="0" applyFont="1" applyBorder="1" applyAlignment="1">
      <alignment horizontal="left" vertical="center"/>
    </xf>
    <xf numFmtId="0" fontId="56" fillId="0" borderId="26" xfId="0" applyFont="1" applyBorder="1" applyAlignment="1">
      <alignment horizontal="left" vertical="center"/>
    </xf>
    <xf numFmtId="0" fontId="56" fillId="0" borderId="44" xfId="0" applyFont="1" applyBorder="1" applyAlignment="1">
      <alignment horizontal="left"/>
    </xf>
    <xf numFmtId="0" fontId="56" fillId="0" borderId="0" xfId="0" applyFont="1" applyAlignment="1">
      <alignment horizontal="left"/>
    </xf>
    <xf numFmtId="0" fontId="56" fillId="0" borderId="52" xfId="0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0" fontId="7" fillId="0" borderId="19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164" fontId="14" fillId="0" borderId="18" xfId="0" applyNumberFormat="1" applyFont="1" applyBorder="1" applyAlignment="1">
      <alignment horizontal="center" wrapText="1"/>
    </xf>
    <xf numFmtId="164" fontId="14" fillId="0" borderId="17" xfId="0" applyNumberFormat="1" applyFont="1" applyBorder="1" applyAlignment="1">
      <alignment horizontal="center" wrapText="1"/>
    </xf>
    <xf numFmtId="0" fontId="7" fillId="0" borderId="42" xfId="0" applyFont="1" applyBorder="1" applyAlignment="1">
      <alignment horizontal="left"/>
    </xf>
    <xf numFmtId="0" fontId="7" fillId="0" borderId="48" xfId="0" applyFont="1" applyBorder="1" applyAlignment="1">
      <alignment horizontal="left"/>
    </xf>
    <xf numFmtId="0" fontId="7" fillId="0" borderId="53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14" fillId="0" borderId="16" xfId="0" applyFont="1" applyBorder="1" applyAlignment="1">
      <alignment horizontal="left"/>
    </xf>
    <xf numFmtId="0" fontId="14" fillId="0" borderId="39" xfId="0" applyFont="1" applyBorder="1" applyAlignment="1">
      <alignment horizontal="left"/>
    </xf>
    <xf numFmtId="0" fontId="14" fillId="0" borderId="15" xfId="0" applyFont="1" applyBorder="1" applyAlignment="1">
      <alignment horizontal="left"/>
    </xf>
    <xf numFmtId="0" fontId="14" fillId="0" borderId="25" xfId="0" applyFont="1" applyBorder="1" applyAlignment="1">
      <alignment horizontal="left"/>
    </xf>
    <xf numFmtId="0" fontId="7" fillId="0" borderId="21" xfId="1" applyFont="1" applyBorder="1" applyAlignment="1">
      <alignment horizontal="left" wrapText="1"/>
    </xf>
    <xf numFmtId="0" fontId="7" fillId="0" borderId="37" xfId="1" applyFont="1" applyBorder="1" applyAlignment="1">
      <alignment horizontal="left" wrapText="1"/>
    </xf>
    <xf numFmtId="0" fontId="7" fillId="0" borderId="17" xfId="1" applyFont="1" applyBorder="1" applyAlignment="1">
      <alignment horizontal="left" wrapText="1"/>
    </xf>
    <xf numFmtId="14" fontId="66" fillId="2" borderId="35" xfId="3" applyNumberFormat="1" applyFont="1" applyFill="1" applyBorder="1" applyAlignment="1">
      <alignment horizontal="center" vertical="center" wrapText="1"/>
    </xf>
    <xf numFmtId="14" fontId="66" fillId="2" borderId="50" xfId="3" applyNumberFormat="1" applyFont="1" applyFill="1" applyBorder="1" applyAlignment="1">
      <alignment horizontal="center" vertical="center" wrapText="1"/>
    </xf>
    <xf numFmtId="14" fontId="66" fillId="2" borderId="28" xfId="3" applyNumberFormat="1" applyFont="1" applyFill="1" applyBorder="1" applyAlignment="1">
      <alignment horizontal="center" vertical="center" wrapText="1"/>
    </xf>
    <xf numFmtId="0" fontId="66" fillId="2" borderId="47" xfId="3" applyFont="1" applyFill="1" applyBorder="1" applyAlignment="1">
      <alignment horizontal="left"/>
    </xf>
    <xf numFmtId="0" fontId="66" fillId="2" borderId="8" xfId="3" applyFont="1" applyFill="1" applyBorder="1" applyAlignment="1">
      <alignment horizontal="left"/>
    </xf>
    <xf numFmtId="0" fontId="66" fillId="2" borderId="38" xfId="3" applyFont="1" applyFill="1" applyBorder="1" applyAlignment="1">
      <alignment horizontal="left"/>
    </xf>
    <xf numFmtId="0" fontId="66" fillId="2" borderId="18" xfId="3" applyFont="1" applyFill="1" applyBorder="1" applyAlignment="1">
      <alignment horizontal="left"/>
    </xf>
    <xf numFmtId="0" fontId="66" fillId="2" borderId="37" xfId="3" applyFont="1" applyFill="1" applyBorder="1" applyAlignment="1">
      <alignment horizontal="left"/>
    </xf>
    <xf numFmtId="0" fontId="66" fillId="2" borderId="19" xfId="3" applyFont="1" applyFill="1" applyBorder="1" applyAlignment="1">
      <alignment horizontal="left"/>
    </xf>
    <xf numFmtId="0" fontId="66" fillId="2" borderId="42" xfId="3" applyFont="1" applyFill="1" applyBorder="1" applyAlignment="1">
      <alignment horizontal="center"/>
    </xf>
    <xf numFmtId="0" fontId="66" fillId="2" borderId="48" xfId="3" applyFont="1" applyFill="1" applyBorder="1" applyAlignment="1">
      <alignment horizontal="center"/>
    </xf>
    <xf numFmtId="0" fontId="66" fillId="2" borderId="44" xfId="3" applyFont="1" applyFill="1" applyBorder="1" applyAlignment="1">
      <alignment horizontal="center"/>
    </xf>
    <xf numFmtId="0" fontId="66" fillId="2" borderId="0" xfId="3" applyFont="1" applyFill="1" applyAlignment="1">
      <alignment horizontal="center"/>
    </xf>
    <xf numFmtId="0" fontId="66" fillId="2" borderId="6" xfId="3" applyFont="1" applyFill="1" applyBorder="1" applyAlignment="1">
      <alignment horizontal="center"/>
    </xf>
    <xf numFmtId="0" fontId="66" fillId="2" borderId="5" xfId="3" applyFont="1" applyFill="1" applyBorder="1" applyAlignment="1">
      <alignment horizontal="center"/>
    </xf>
    <xf numFmtId="0" fontId="15" fillId="5" borderId="12" xfId="3" applyFont="1" applyFill="1" applyBorder="1" applyAlignment="1">
      <alignment horizontal="center" vertical="center" wrapText="1"/>
    </xf>
    <xf numFmtId="0" fontId="15" fillId="5" borderId="11" xfId="3" applyFont="1" applyFill="1" applyBorder="1" applyAlignment="1">
      <alignment horizontal="center" vertical="center" wrapText="1"/>
    </xf>
    <xf numFmtId="0" fontId="15" fillId="5" borderId="10" xfId="3" applyFont="1" applyFill="1" applyBorder="1" applyAlignment="1">
      <alignment horizontal="center" vertical="center" wrapText="1"/>
    </xf>
    <xf numFmtId="0" fontId="15" fillId="2" borderId="49" xfId="3" applyFont="1" applyFill="1" applyBorder="1" applyAlignment="1">
      <alignment horizontal="right" vertical="top" wrapText="1"/>
    </xf>
    <xf numFmtId="0" fontId="15" fillId="2" borderId="45" xfId="3" applyFont="1" applyFill="1" applyBorder="1" applyAlignment="1">
      <alignment horizontal="right" vertical="top" wrapText="1"/>
    </xf>
    <xf numFmtId="0" fontId="15" fillId="2" borderId="46" xfId="3" applyFont="1" applyFill="1" applyBorder="1" applyAlignment="1">
      <alignment horizontal="right" vertical="top" wrapText="1"/>
    </xf>
    <xf numFmtId="0" fontId="9" fillId="2" borderId="0" xfId="3" applyFont="1" applyFill="1" applyAlignment="1">
      <alignment horizontal="right"/>
    </xf>
    <xf numFmtId="0" fontId="67" fillId="2" borderId="2" xfId="3" applyFont="1" applyFill="1" applyBorder="1" applyAlignment="1">
      <alignment horizontal="center"/>
    </xf>
    <xf numFmtId="0" fontId="9" fillId="2" borderId="0" xfId="3" applyFont="1" applyFill="1"/>
    <xf numFmtId="0" fontId="15" fillId="3" borderId="33" xfId="1" applyFont="1" applyFill="1" applyBorder="1" applyAlignment="1">
      <alignment horizontal="center" vertical="center"/>
    </xf>
    <xf numFmtId="0" fontId="15" fillId="3" borderId="16" xfId="1" applyFont="1" applyFill="1" applyBorder="1" applyAlignment="1">
      <alignment horizontal="center" vertical="center"/>
    </xf>
    <xf numFmtId="0" fontId="15" fillId="3" borderId="33" xfId="1" applyFont="1" applyFill="1" applyBorder="1" applyAlignment="1">
      <alignment horizontal="center" vertical="center" wrapText="1"/>
    </xf>
    <xf numFmtId="0" fontId="15" fillId="3" borderId="16" xfId="1" applyFont="1" applyFill="1" applyBorder="1" applyAlignment="1">
      <alignment horizontal="center" vertical="center" wrapText="1"/>
    </xf>
    <xf numFmtId="0" fontId="15" fillId="3" borderId="32" xfId="1" applyFont="1" applyFill="1" applyBorder="1" applyAlignment="1">
      <alignment horizontal="center" vertical="center"/>
    </xf>
    <xf numFmtId="0" fontId="15" fillId="3" borderId="15" xfId="1" applyFont="1" applyFill="1" applyBorder="1" applyAlignment="1">
      <alignment horizontal="center" vertical="center"/>
    </xf>
    <xf numFmtId="0" fontId="15" fillId="0" borderId="6" xfId="1" applyFont="1" applyBorder="1" applyAlignment="1">
      <alignment horizontal="right"/>
    </xf>
    <xf numFmtId="0" fontId="15" fillId="0" borderId="5" xfId="1" applyFont="1" applyBorder="1" applyAlignment="1">
      <alignment horizontal="right"/>
    </xf>
    <xf numFmtId="0" fontId="15" fillId="0" borderId="24" xfId="1" applyFont="1" applyBorder="1" applyAlignment="1">
      <alignment horizontal="right"/>
    </xf>
    <xf numFmtId="164" fontId="66" fillId="0" borderId="23" xfId="1" applyNumberFormat="1" applyFont="1" applyBorder="1" applyAlignment="1">
      <alignment horizontal="right"/>
    </xf>
    <xf numFmtId="0" fontId="66" fillId="2" borderId="22" xfId="1" applyFont="1" applyFill="1" applyBorder="1" applyAlignment="1">
      <alignment horizontal="center"/>
    </xf>
    <xf numFmtId="0" fontId="66" fillId="2" borderId="4" xfId="1" applyFont="1" applyFill="1" applyBorder="1" applyAlignment="1">
      <alignment horizontal="center"/>
    </xf>
    <xf numFmtId="0" fontId="15" fillId="0" borderId="21" xfId="1" applyFont="1" applyBorder="1" applyAlignment="1">
      <alignment horizontal="right"/>
    </xf>
    <xf numFmtId="0" fontId="15" fillId="0" borderId="37" xfId="1" applyFont="1" applyBorder="1" applyAlignment="1">
      <alignment horizontal="right"/>
    </xf>
    <xf numFmtId="0" fontId="15" fillId="0" borderId="19" xfId="1" applyFont="1" applyBorder="1" applyAlignment="1">
      <alignment horizontal="right"/>
    </xf>
    <xf numFmtId="0" fontId="66" fillId="0" borderId="20" xfId="1" applyFont="1" applyBorder="1" applyAlignment="1">
      <alignment horizontal="right"/>
    </xf>
    <xf numFmtId="164" fontId="66" fillId="0" borderId="18" xfId="1" applyNumberFormat="1" applyFont="1" applyBorder="1" applyAlignment="1">
      <alignment horizontal="center"/>
    </xf>
    <xf numFmtId="164" fontId="66" fillId="0" borderId="17" xfId="1" applyNumberFormat="1" applyFont="1" applyBorder="1" applyAlignment="1">
      <alignment horizontal="center"/>
    </xf>
    <xf numFmtId="0" fontId="66" fillId="0" borderId="29" xfId="0" applyFont="1" applyBorder="1" applyAlignment="1">
      <alignment horizontal="left"/>
    </xf>
    <xf numFmtId="0" fontId="66" fillId="0" borderId="24" xfId="0" applyFont="1" applyBorder="1" applyAlignment="1">
      <alignment horizontal="left"/>
    </xf>
    <xf numFmtId="0" fontId="66" fillId="0" borderId="23" xfId="0" applyFont="1" applyBorder="1" applyAlignment="1">
      <alignment horizontal="left"/>
    </xf>
    <xf numFmtId="0" fontId="66" fillId="0" borderId="28" xfId="0" applyFont="1" applyBorder="1" applyAlignment="1">
      <alignment horizontal="left"/>
    </xf>
    <xf numFmtId="164" fontId="66" fillId="0" borderId="18" xfId="1" applyNumberFormat="1" applyFont="1" applyBorder="1" applyAlignment="1">
      <alignment horizontal="right" wrapText="1"/>
    </xf>
    <xf numFmtId="164" fontId="66" fillId="0" borderId="19" xfId="1" applyNumberFormat="1" applyFont="1" applyBorder="1" applyAlignment="1">
      <alignment horizontal="right" wrapText="1"/>
    </xf>
    <xf numFmtId="164" fontId="66" fillId="0" borderId="18" xfId="0" applyNumberFormat="1" applyFont="1" applyBorder="1" applyAlignment="1">
      <alignment horizontal="center" wrapText="1"/>
    </xf>
    <xf numFmtId="164" fontId="66" fillId="0" borderId="17" xfId="0" applyNumberFormat="1" applyFont="1" applyBorder="1" applyAlignment="1">
      <alignment horizontal="center" wrapText="1"/>
    </xf>
    <xf numFmtId="0" fontId="15" fillId="0" borderId="16" xfId="1" applyFont="1" applyBorder="1" applyAlignment="1">
      <alignment horizontal="right"/>
    </xf>
    <xf numFmtId="0" fontId="15" fillId="0" borderId="39" xfId="1" applyFont="1" applyBorder="1" applyAlignment="1">
      <alignment horizontal="right"/>
    </xf>
    <xf numFmtId="0" fontId="15" fillId="0" borderId="15" xfId="1" applyFont="1" applyBorder="1" applyAlignment="1">
      <alignment horizontal="right"/>
    </xf>
    <xf numFmtId="0" fontId="66" fillId="0" borderId="15" xfId="1" applyFont="1" applyBorder="1" applyAlignment="1">
      <alignment horizontal="right"/>
    </xf>
    <xf numFmtId="0" fontId="15" fillId="3" borderId="12" xfId="1" applyFont="1" applyFill="1" applyBorder="1" applyAlignment="1">
      <alignment horizontal="left"/>
    </xf>
    <xf numFmtId="0" fontId="15" fillId="3" borderId="11" xfId="1" applyFont="1" applyFill="1" applyBorder="1" applyAlignment="1">
      <alignment horizontal="left"/>
    </xf>
    <xf numFmtId="0" fontId="15" fillId="3" borderId="10" xfId="1" applyFont="1" applyFill="1" applyBorder="1" applyAlignment="1">
      <alignment horizontal="left"/>
    </xf>
    <xf numFmtId="0" fontId="59" fillId="0" borderId="21" xfId="0" applyFont="1" applyBorder="1" applyAlignment="1">
      <alignment horizontal="left"/>
    </xf>
    <xf numFmtId="0" fontId="59" fillId="0" borderId="37" xfId="0" applyFont="1" applyBorder="1" applyAlignment="1">
      <alignment horizontal="left"/>
    </xf>
    <xf numFmtId="0" fontId="59" fillId="0" borderId="17" xfId="0" applyFont="1" applyBorder="1" applyAlignment="1">
      <alignment horizontal="left"/>
    </xf>
    <xf numFmtId="0" fontId="15" fillId="14" borderId="70" xfId="3" applyFont="1" applyFill="1" applyBorder="1" applyAlignment="1">
      <alignment horizontal="left"/>
    </xf>
    <xf numFmtId="0" fontId="15" fillId="14" borderId="48" xfId="3" applyFont="1" applyFill="1" applyBorder="1" applyAlignment="1">
      <alignment horizontal="left"/>
    </xf>
    <xf numFmtId="0" fontId="66" fillId="2" borderId="71" xfId="3" applyFont="1" applyFill="1" applyBorder="1" applyAlignment="1">
      <alignment horizontal="left"/>
    </xf>
    <xf numFmtId="0" fontId="66" fillId="2" borderId="0" xfId="3" applyFont="1" applyFill="1" applyAlignment="1">
      <alignment horizontal="left"/>
    </xf>
    <xf numFmtId="0" fontId="66" fillId="0" borderId="21" xfId="0" applyFont="1" applyBorder="1" applyAlignment="1">
      <alignment horizontal="left"/>
    </xf>
    <xf numFmtId="0" fontId="66" fillId="0" borderId="37" xfId="0" applyFont="1" applyBorder="1" applyAlignment="1">
      <alignment horizontal="left"/>
    </xf>
    <xf numFmtId="0" fontId="66" fillId="0" borderId="17" xfId="0" applyFont="1" applyBorder="1" applyAlignment="1">
      <alignment horizontal="left"/>
    </xf>
    <xf numFmtId="0" fontId="66" fillId="0" borderId="21" xfId="0" applyFont="1" applyBorder="1" applyAlignment="1">
      <alignment horizontal="left" wrapText="1"/>
    </xf>
    <xf numFmtId="0" fontId="66" fillId="0" borderId="37" xfId="0" applyFont="1" applyBorder="1" applyAlignment="1">
      <alignment horizontal="left" wrapText="1"/>
    </xf>
    <xf numFmtId="0" fontId="66" fillId="0" borderId="19" xfId="0" applyFont="1" applyBorder="1" applyAlignment="1">
      <alignment horizontal="left" wrapText="1"/>
    </xf>
    <xf numFmtId="0" fontId="66" fillId="0" borderId="66" xfId="0" applyFont="1" applyBorder="1" applyAlignment="1">
      <alignment horizontal="left"/>
    </xf>
    <xf numFmtId="0" fontId="66" fillId="0" borderId="62" xfId="0" applyFont="1" applyBorder="1" applyAlignment="1">
      <alignment horizontal="left"/>
    </xf>
    <xf numFmtId="0" fontId="66" fillId="0" borderId="13" xfId="0" applyFont="1" applyBorder="1" applyAlignment="1">
      <alignment horizontal="left"/>
    </xf>
    <xf numFmtId="1" fontId="0" fillId="0" borderId="23" xfId="1" applyNumberFormat="1" applyFont="1" applyBorder="1" applyAlignment="1">
      <alignment horizontal="center"/>
    </xf>
    <xf numFmtId="0" fontId="24" fillId="2" borderId="18" xfId="1" applyFont="1" applyFill="1" applyBorder="1" applyAlignment="1">
      <alignment horizontal="left" vertical="center"/>
    </xf>
    <xf numFmtId="0" fontId="24" fillId="2" borderId="37" xfId="1" applyFont="1" applyFill="1" applyBorder="1" applyAlignment="1">
      <alignment horizontal="left" vertical="center"/>
    </xf>
    <xf numFmtId="0" fontId="24" fillId="2" borderId="19" xfId="1" applyFont="1" applyFill="1" applyBorder="1" applyAlignment="1">
      <alignment horizontal="left" vertical="center"/>
    </xf>
    <xf numFmtId="0" fontId="14" fillId="0" borderId="29" xfId="1" applyFont="1" applyBorder="1" applyAlignment="1">
      <alignment horizontal="left" wrapText="1"/>
    </xf>
    <xf numFmtId="0" fontId="14" fillId="0" borderId="24" xfId="1" applyFont="1" applyBorder="1" applyAlignment="1">
      <alignment horizontal="left" wrapText="1"/>
    </xf>
    <xf numFmtId="0" fontId="14" fillId="0" borderId="23" xfId="1" applyFont="1" applyBorder="1" applyAlignment="1">
      <alignment horizontal="left" wrapText="1"/>
    </xf>
    <xf numFmtId="0" fontId="14" fillId="0" borderId="28" xfId="1" applyFont="1" applyBorder="1" applyAlignment="1">
      <alignment horizontal="left" wrapText="1"/>
    </xf>
    <xf numFmtId="0" fontId="14" fillId="0" borderId="29" xfId="1" applyFont="1" applyBorder="1" applyAlignment="1">
      <alignment horizontal="left"/>
    </xf>
    <xf numFmtId="0" fontId="14" fillId="0" borderId="24" xfId="1" applyFont="1" applyBorder="1" applyAlignment="1">
      <alignment horizontal="left"/>
    </xf>
    <xf numFmtId="0" fontId="14" fillId="0" borderId="23" xfId="1" applyFont="1" applyBorder="1" applyAlignment="1">
      <alignment horizontal="left"/>
    </xf>
    <xf numFmtId="0" fontId="14" fillId="0" borderId="28" xfId="1" applyFont="1" applyBorder="1" applyAlignment="1">
      <alignment horizontal="left"/>
    </xf>
    <xf numFmtId="0" fontId="14" fillId="0" borderId="16" xfId="1" applyFont="1" applyBorder="1" applyAlignment="1">
      <alignment horizontal="left"/>
    </xf>
    <xf numFmtId="0" fontId="14" fillId="0" borderId="39" xfId="1" applyFont="1" applyBorder="1" applyAlignment="1">
      <alignment horizontal="left"/>
    </xf>
    <xf numFmtId="0" fontId="14" fillId="0" borderId="15" xfId="1" applyFont="1" applyBorder="1" applyAlignment="1">
      <alignment horizontal="left"/>
    </xf>
    <xf numFmtId="0" fontId="14" fillId="0" borderId="25" xfId="1" applyFont="1" applyBorder="1" applyAlignment="1">
      <alignment horizontal="left"/>
    </xf>
    <xf numFmtId="0" fontId="16" fillId="3" borderId="42" xfId="1" applyFont="1" applyFill="1" applyBorder="1" applyAlignment="1">
      <alignment horizontal="left"/>
    </xf>
    <xf numFmtId="0" fontId="16" fillId="3" borderId="48" xfId="1" applyFont="1" applyFill="1" applyBorder="1" applyAlignment="1">
      <alignment horizontal="left"/>
    </xf>
    <xf numFmtId="0" fontId="16" fillId="3" borderId="53" xfId="1" applyFont="1" applyFill="1" applyBorder="1" applyAlignment="1">
      <alignment horizontal="left"/>
    </xf>
    <xf numFmtId="0" fontId="19" fillId="2" borderId="12" xfId="3" applyFont="1" applyFill="1" applyBorder="1" applyAlignment="1">
      <alignment horizontal="right" vertical="center"/>
    </xf>
    <xf numFmtId="0" fontId="19" fillId="2" borderId="11" xfId="3" applyFont="1" applyFill="1" applyBorder="1" applyAlignment="1">
      <alignment horizontal="right" vertical="center"/>
    </xf>
    <xf numFmtId="0" fontId="20" fillId="2" borderId="11" xfId="3" applyFont="1" applyFill="1" applyBorder="1" applyAlignment="1">
      <alignment horizontal="center" vertical="center"/>
    </xf>
    <xf numFmtId="0" fontId="9" fillId="2" borderId="11" xfId="3" applyFont="1" applyFill="1" applyBorder="1" applyAlignment="1">
      <alignment horizontal="center" vertical="center"/>
    </xf>
    <xf numFmtId="0" fontId="16" fillId="3" borderId="51" xfId="1" applyFont="1" applyFill="1" applyBorder="1" applyAlignment="1">
      <alignment horizontal="center" vertical="center"/>
    </xf>
    <xf numFmtId="0" fontId="16" fillId="3" borderId="40" xfId="1" applyFont="1" applyFill="1" applyBorder="1" applyAlignment="1">
      <alignment horizontal="center" vertical="center" wrapText="1"/>
    </xf>
    <xf numFmtId="0" fontId="16" fillId="3" borderId="23" xfId="1" applyFont="1" applyFill="1" applyBorder="1" applyAlignment="1">
      <alignment horizontal="center" vertical="center" wrapText="1"/>
    </xf>
    <xf numFmtId="0" fontId="16" fillId="3" borderId="34" xfId="1" applyFont="1" applyFill="1" applyBorder="1" applyAlignment="1">
      <alignment horizontal="center" vertical="center"/>
    </xf>
    <xf numFmtId="0" fontId="14" fillId="2" borderId="3" xfId="3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0" fontId="15" fillId="2" borderId="34" xfId="3" applyFont="1" applyFill="1" applyBorder="1" applyAlignment="1">
      <alignment horizontal="center"/>
    </xf>
    <xf numFmtId="1" fontId="16" fillId="0" borderId="47" xfId="1" applyNumberFormat="1" applyFont="1" applyBorder="1" applyAlignment="1">
      <alignment horizontal="center"/>
    </xf>
    <xf numFmtId="1" fontId="16" fillId="0" borderId="38" xfId="1" applyNumberFormat="1" applyFont="1" applyBorder="1" applyAlignment="1">
      <alignment horizontal="center"/>
    </xf>
    <xf numFmtId="0" fontId="14" fillId="0" borderId="27" xfId="0" applyFont="1" applyBorder="1" applyAlignment="1">
      <alignment horizontal="left"/>
    </xf>
    <xf numFmtId="0" fontId="14" fillId="0" borderId="19" xfId="0" applyFont="1" applyBorder="1" applyAlignment="1">
      <alignment horizontal="left"/>
    </xf>
    <xf numFmtId="0" fontId="14" fillId="0" borderId="20" xfId="0" applyFont="1" applyBorder="1" applyAlignment="1">
      <alignment horizontal="left"/>
    </xf>
    <xf numFmtId="0" fontId="14" fillId="0" borderId="26" xfId="0" applyFont="1" applyBorder="1" applyAlignment="1">
      <alignment horizontal="left"/>
    </xf>
    <xf numFmtId="0" fontId="16" fillId="3" borderId="42" xfId="0" applyFont="1" applyFill="1" applyBorder="1" applyAlignment="1">
      <alignment horizontal="left"/>
    </xf>
    <xf numFmtId="0" fontId="16" fillId="3" borderId="48" xfId="0" applyFont="1" applyFill="1" applyBorder="1" applyAlignment="1">
      <alignment horizontal="left"/>
    </xf>
    <xf numFmtId="0" fontId="16" fillId="3" borderId="53" xfId="0" applyFont="1" applyFill="1" applyBorder="1" applyAlignment="1">
      <alignment horizontal="left"/>
    </xf>
    <xf numFmtId="0" fontId="19" fillId="2" borderId="11" xfId="3" applyFont="1" applyFill="1" applyBorder="1" applyAlignment="1">
      <alignment horizontal="center" vertical="center"/>
    </xf>
    <xf numFmtId="0" fontId="16" fillId="0" borderId="16" xfId="0" applyFont="1" applyBorder="1" applyAlignment="1">
      <alignment horizontal="right"/>
    </xf>
    <xf numFmtId="0" fontId="16" fillId="0" borderId="39" xfId="0" applyFont="1" applyBorder="1" applyAlignment="1">
      <alignment horizontal="right"/>
    </xf>
    <xf numFmtId="0" fontId="16" fillId="0" borderId="15" xfId="0" applyFont="1" applyBorder="1" applyAlignment="1">
      <alignment horizontal="right"/>
    </xf>
    <xf numFmtId="0" fontId="14" fillId="0" borderId="15" xfId="0" applyFont="1" applyBorder="1" applyAlignment="1">
      <alignment horizontal="right"/>
    </xf>
    <xf numFmtId="164" fontId="14" fillId="0" borderId="14" xfId="0" applyNumberFormat="1" applyFont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0" fontId="16" fillId="0" borderId="6" xfId="0" applyFont="1" applyBorder="1" applyAlignment="1">
      <alignment horizontal="right"/>
    </xf>
    <xf numFmtId="0" fontId="16" fillId="0" borderId="5" xfId="0" applyFont="1" applyBorder="1" applyAlignment="1">
      <alignment horizontal="right"/>
    </xf>
    <xf numFmtId="0" fontId="16" fillId="0" borderId="24" xfId="0" applyFont="1" applyBorder="1" applyAlignment="1">
      <alignment horizontal="right"/>
    </xf>
    <xf numFmtId="164" fontId="14" fillId="0" borderId="23" xfId="0" applyNumberFormat="1" applyFont="1" applyBorder="1" applyAlignment="1">
      <alignment horizontal="right"/>
    </xf>
    <xf numFmtId="0" fontId="14" fillId="2" borderId="22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6" fillId="0" borderId="21" xfId="0" applyFont="1" applyBorder="1" applyAlignment="1">
      <alignment horizontal="right"/>
    </xf>
    <xf numFmtId="0" fontId="16" fillId="0" borderId="37" xfId="0" applyFont="1" applyBorder="1" applyAlignment="1">
      <alignment horizontal="right"/>
    </xf>
    <xf numFmtId="0" fontId="16" fillId="0" borderId="19" xfId="0" applyFont="1" applyBorder="1" applyAlignment="1">
      <alignment horizontal="right"/>
    </xf>
    <xf numFmtId="0" fontId="14" fillId="0" borderId="20" xfId="0" applyFont="1" applyBorder="1" applyAlignment="1">
      <alignment horizontal="right"/>
    </xf>
    <xf numFmtId="164" fontId="14" fillId="0" borderId="18" xfId="0" applyNumberFormat="1" applyFont="1" applyBorder="1" applyAlignment="1">
      <alignment horizontal="center"/>
    </xf>
    <xf numFmtId="164" fontId="14" fillId="0" borderId="17" xfId="0" applyNumberFormat="1" applyFont="1" applyBorder="1" applyAlignment="1">
      <alignment horizontal="center"/>
    </xf>
    <xf numFmtId="0" fontId="16" fillId="3" borderId="33" xfId="0" applyFont="1" applyFill="1" applyBorder="1" applyAlignment="1">
      <alignment horizontal="center" vertical="center"/>
    </xf>
    <xf numFmtId="0" fontId="16" fillId="3" borderId="51" xfId="0" applyFont="1" applyFill="1" applyBorder="1" applyAlignment="1">
      <alignment horizontal="center" vertical="center"/>
    </xf>
    <xf numFmtId="0" fontId="16" fillId="3" borderId="40" xfId="0" applyFont="1" applyFill="1" applyBorder="1" applyAlignment="1">
      <alignment horizontal="center" vertical="center" wrapText="1"/>
    </xf>
    <xf numFmtId="0" fontId="16" fillId="3" borderId="23" xfId="0" applyFont="1" applyFill="1" applyBorder="1" applyAlignment="1">
      <alignment horizontal="center" vertical="center" wrapText="1"/>
    </xf>
    <xf numFmtId="0" fontId="16" fillId="3" borderId="32" xfId="0" applyFont="1" applyFill="1" applyBorder="1" applyAlignment="1">
      <alignment horizontal="center" vertical="center"/>
    </xf>
    <xf numFmtId="0" fontId="16" fillId="3" borderId="34" xfId="0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/>
    </xf>
    <xf numFmtId="0" fontId="14" fillId="0" borderId="27" xfId="0" applyFont="1" applyBorder="1" applyAlignment="1">
      <alignment horizontal="left" wrapText="1"/>
    </xf>
    <xf numFmtId="0" fontId="14" fillId="0" borderId="19" xfId="0" applyFont="1" applyBorder="1" applyAlignment="1">
      <alignment horizontal="left" wrapText="1"/>
    </xf>
    <xf numFmtId="0" fontId="14" fillId="0" borderId="20" xfId="0" applyFont="1" applyBorder="1" applyAlignment="1">
      <alignment horizontal="left" wrapText="1"/>
    </xf>
    <xf numFmtId="0" fontId="14" fillId="0" borderId="26" xfId="0" applyFont="1" applyBorder="1" applyAlignment="1">
      <alignment horizontal="left" wrapText="1"/>
    </xf>
    <xf numFmtId="164" fontId="14" fillId="0" borderId="18" xfId="0" applyNumberFormat="1" applyFont="1" applyBorder="1" applyAlignment="1">
      <alignment horizontal="right" wrapText="1"/>
    </xf>
    <xf numFmtId="164" fontId="14" fillId="0" borderId="19" xfId="0" applyNumberFormat="1" applyFont="1" applyBorder="1" applyAlignment="1">
      <alignment horizontal="right" wrapText="1"/>
    </xf>
  </cellXfs>
  <cellStyles count="8">
    <cellStyle name="Millares" xfId="5" builtinId="3"/>
    <cellStyle name="Millares [0]" xfId="6" builtinId="6"/>
    <cellStyle name="Normal" xfId="0" builtinId="0"/>
    <cellStyle name="Normal 2" xfId="1" xr:uid="{D6E319CE-2907-484F-AEC8-DC25051A7561}"/>
    <cellStyle name="Normal 3 2" xfId="7" xr:uid="{E709ED42-E649-43A2-9385-2679E67CDF1C}"/>
    <cellStyle name="Normal_CRITERIOS DE EVALUACION PT DE GB 2" xfId="3" xr:uid="{E3FB8858-CA57-4AFB-B615-029641679566}"/>
    <cellStyle name="Porcentaje" xfId="4" builtinId="5"/>
    <cellStyle name="Porcentaje 2" xfId="2" xr:uid="{495A53DC-E5BD-47B9-AE09-1A606A7A50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423467</xdr:colOff>
      <xdr:row>0</xdr:row>
      <xdr:rowOff>191691</xdr:rowOff>
    </xdr:from>
    <xdr:to>
      <xdr:col>1</xdr:col>
      <xdr:colOff>338044</xdr:colOff>
      <xdr:row>2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AC1B29-7AC8-4E19-BDCA-F50F07AAEF73}"/>
            </a:ext>
            <a:ext uri="{147F2762-F138-4A5C-976F-8EAC2B608ADB}">
              <a16:predDERef xmlns:a16="http://schemas.microsoft.com/office/drawing/2014/main" pred="{143920BB-F21E-48BE-855C-7525E5747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467" y="191691"/>
          <a:ext cx="1044877" cy="4560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404416</xdr:colOff>
      <xdr:row>0</xdr:row>
      <xdr:rowOff>13892</xdr:rowOff>
    </xdr:from>
    <xdr:to>
      <xdr:col>1</xdr:col>
      <xdr:colOff>342900</xdr:colOff>
      <xdr:row>3</xdr:row>
      <xdr:rowOff>139047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57037A9-E1EE-492E-91FF-067D8BEF1B4E}"/>
            </a:ext>
            <a:ext uri="{147F2762-F138-4A5C-976F-8EAC2B608ADB}">
              <a16:predDERef xmlns:a16="http://schemas.microsoft.com/office/drawing/2014/main" pred="{143920BB-F21E-48BE-855C-7525E5747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416" y="13892"/>
          <a:ext cx="1068784" cy="7792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524510</xdr:colOff>
      <xdr:row>0</xdr:row>
      <xdr:rowOff>10160</xdr:rowOff>
    </xdr:from>
    <xdr:to>
      <xdr:col>1</xdr:col>
      <xdr:colOff>68580</xdr:colOff>
      <xdr:row>4</xdr:row>
      <xdr:rowOff>139531</xdr:rowOff>
    </xdr:to>
    <xdr:pic>
      <xdr:nvPicPr>
        <xdr:cNvPr id="2" name="Imagen 4" descr="C:\Users\mbeeche\Desktop\logo de spoon nuevo - copia.gif">
          <a:extLst>
            <a:ext uri="{FF2B5EF4-FFF2-40B4-BE49-F238E27FC236}">
              <a16:creationId xmlns:a16="http://schemas.microsoft.com/office/drawing/2014/main" id="{D7D124CC-441B-47C9-ABBB-2F9B06710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510" y="10160"/>
          <a:ext cx="656590" cy="9599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493316</xdr:colOff>
      <xdr:row>0</xdr:row>
      <xdr:rowOff>27118</xdr:rowOff>
    </xdr:from>
    <xdr:to>
      <xdr:col>1</xdr:col>
      <xdr:colOff>273050</xdr:colOff>
      <xdr:row>4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CB14FDA-3825-4306-8841-16F6D70C3BF4}"/>
            </a:ext>
            <a:ext uri="{147F2762-F138-4A5C-976F-8EAC2B608ADB}">
              <a16:predDERef xmlns:a16="http://schemas.microsoft.com/office/drawing/2014/main" pred="{143920BB-F21E-48BE-855C-7525E5747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16" y="27118"/>
          <a:ext cx="910034" cy="8047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493316</xdr:colOff>
      <xdr:row>0</xdr:row>
      <xdr:rowOff>27118</xdr:rowOff>
    </xdr:from>
    <xdr:to>
      <xdr:col>1</xdr:col>
      <xdr:colOff>311150</xdr:colOff>
      <xdr:row>3</xdr:row>
      <xdr:rowOff>146050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8FDB365-DD83-4245-BFF2-90E942B8B064}"/>
            </a:ext>
            <a:ext uri="{147F2762-F138-4A5C-976F-8EAC2B608ADB}">
              <a16:predDERef xmlns:a16="http://schemas.microsoft.com/office/drawing/2014/main" pred="{143920BB-F21E-48BE-855C-7525E5747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16" y="27118"/>
          <a:ext cx="948134" cy="77298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198438</xdr:colOff>
      <xdr:row>0</xdr:row>
      <xdr:rowOff>104776</xdr:rowOff>
    </xdr:from>
    <xdr:to>
      <xdr:col>1</xdr:col>
      <xdr:colOff>536534</xdr:colOff>
      <xdr:row>3</xdr:row>
      <xdr:rowOff>85726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3C2B5BC7-8C47-46D8-882C-DDAEBDA1C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438" y="104776"/>
          <a:ext cx="1423946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501650</xdr:colOff>
      <xdr:row>0</xdr:row>
      <xdr:rowOff>0</xdr:rowOff>
    </xdr:from>
    <xdr:to>
      <xdr:col>1</xdr:col>
      <xdr:colOff>266700</xdr:colOff>
      <xdr:row>4</xdr:row>
      <xdr:rowOff>82995</xdr:rowOff>
    </xdr:to>
    <xdr:pic>
      <xdr:nvPicPr>
        <xdr:cNvPr id="2" name="5 Imagen">
          <a:extLst>
            <a:ext uri="{FF2B5EF4-FFF2-40B4-BE49-F238E27FC236}">
              <a16:creationId xmlns:a16="http://schemas.microsoft.com/office/drawing/2014/main" id="{24AF82B7-C6C2-4EC4-A44C-808E802F7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501650" y="0"/>
          <a:ext cx="895350" cy="8576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3127</v>
          </cell>
          <cell r="K2">
            <v>454</v>
          </cell>
          <cell r="L2">
            <v>6.8876651982378858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3000</v>
          </cell>
          <cell r="K4">
            <v>1000</v>
          </cell>
          <cell r="L4">
            <v>3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1657</v>
          </cell>
          <cell r="K8">
            <v>1000</v>
          </cell>
          <cell r="L8">
            <v>1.657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 t="e">
            <v>#N/A</v>
          </cell>
          <cell r="K11"/>
          <cell r="L11" t="e">
            <v>#N/A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359</v>
          </cell>
          <cell r="K14">
            <v>100</v>
          </cell>
          <cell r="L14">
            <v>3.59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687</v>
          </cell>
          <cell r="K15">
            <v>250</v>
          </cell>
          <cell r="L15">
            <v>2.7480000000000002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1464.7</v>
          </cell>
          <cell r="K17">
            <v>500</v>
          </cell>
          <cell r="L17">
            <v>2.9294000000000002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2425</v>
          </cell>
          <cell r="K18">
            <v>1000</v>
          </cell>
          <cell r="L18">
            <v>2.4249999999999998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4331.1689999999999</v>
          </cell>
          <cell r="K21">
            <v>2840</v>
          </cell>
          <cell r="L21">
            <v>1.5250595070422535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1072</v>
          </cell>
          <cell r="K22">
            <v>500</v>
          </cell>
          <cell r="L22">
            <v>2.1440000000000001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145</v>
          </cell>
          <cell r="K23">
            <v>1</v>
          </cell>
          <cell r="L23">
            <v>145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90646.25</v>
          </cell>
          <cell r="K24">
            <v>25000</v>
          </cell>
          <cell r="L24">
            <v>3.6258499999999998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893.8</v>
          </cell>
          <cell r="K26">
            <v>500</v>
          </cell>
          <cell r="L26">
            <v>1.7875999999999999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1584.1</v>
          </cell>
          <cell r="K28">
            <v>1000</v>
          </cell>
          <cell r="L28">
            <v>1.5840999999999998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5251</v>
          </cell>
          <cell r="K34">
            <v>1000</v>
          </cell>
          <cell r="L34">
            <v>5.2510000000000003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2480</v>
          </cell>
          <cell r="K35">
            <v>200</v>
          </cell>
          <cell r="L35">
            <v>12.4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1500</v>
          </cell>
          <cell r="K36">
            <v>1000</v>
          </cell>
          <cell r="L36">
            <v>1.5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28716</v>
          </cell>
          <cell r="K41">
            <v>50</v>
          </cell>
          <cell r="L41">
            <v>574.32000000000005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2316</v>
          </cell>
          <cell r="K42">
            <v>141</v>
          </cell>
          <cell r="L42">
            <v>16.425531914893618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3310</v>
          </cell>
          <cell r="K46">
            <v>1000</v>
          </cell>
          <cell r="L46">
            <v>3.31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4590</v>
          </cell>
          <cell r="K47">
            <v>1000</v>
          </cell>
          <cell r="L47">
            <v>4.59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 t="e">
            <v>#N/A</v>
          </cell>
          <cell r="K50">
            <v>1000</v>
          </cell>
          <cell r="L50" t="e">
            <v>#N/A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1895</v>
          </cell>
          <cell r="K55">
            <v>1000</v>
          </cell>
          <cell r="L55">
            <v>1.895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4990</v>
          </cell>
          <cell r="K56">
            <v>1000</v>
          </cell>
          <cell r="L56">
            <v>4.99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75611</v>
          </cell>
          <cell r="K57">
            <v>25000</v>
          </cell>
          <cell r="L57">
            <v>3.0244399999999998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5589.5060000000003</v>
          </cell>
          <cell r="K58">
            <v>1000</v>
          </cell>
          <cell r="L58">
            <v>5.5895060000000001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18359</v>
          </cell>
          <cell r="K59">
            <v>2000</v>
          </cell>
          <cell r="L59">
            <v>9.1795000000000009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11304.5534709</v>
          </cell>
          <cell r="K60">
            <v>1000</v>
          </cell>
          <cell r="L60">
            <v>11.3045534709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65957</v>
          </cell>
          <cell r="K62">
            <v>25000</v>
          </cell>
          <cell r="L62">
            <v>2.63828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9110</v>
          </cell>
          <cell r="K63">
            <v>4000</v>
          </cell>
          <cell r="L63">
            <v>2.2774999999999999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3677.52</v>
          </cell>
          <cell r="K65">
            <v>500</v>
          </cell>
          <cell r="L65">
            <v>7.3550399999999998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 t="e">
            <v>#N/A</v>
          </cell>
          <cell r="K66">
            <v>10000</v>
          </cell>
          <cell r="L66" t="e">
            <v>#N/A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 t="e">
            <v>#N/A</v>
          </cell>
          <cell r="K67">
            <v>1000</v>
          </cell>
          <cell r="L67" t="e">
            <v>#N/A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16070.8</v>
          </cell>
          <cell r="K68">
            <v>5000</v>
          </cell>
          <cell r="L68">
            <v>3.2141599999999997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 t="e">
            <v>#N/A</v>
          </cell>
          <cell r="K69">
            <v>1000</v>
          </cell>
          <cell r="L69" t="e">
            <v>#N/A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3867</v>
          </cell>
          <cell r="K71">
            <v>1000</v>
          </cell>
          <cell r="L71">
            <v>3.867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 t="e">
            <v>#N/A</v>
          </cell>
          <cell r="K72">
            <v>1000</v>
          </cell>
          <cell r="L72" t="e">
            <v>#N/A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 t="e">
            <v>#N/A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3500</v>
          </cell>
          <cell r="K74">
            <v>1000</v>
          </cell>
          <cell r="L74">
            <v>3.5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 t="e">
            <v>#N/A</v>
          </cell>
          <cell r="K75">
            <v>1000</v>
          </cell>
          <cell r="L75" t="e">
            <v>#N/A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 t="e">
            <v>#N/A</v>
          </cell>
          <cell r="J76" t="e">
            <v>#N/A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 t="e">
            <v>#N/A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949</v>
          </cell>
          <cell r="K78">
            <v>395</v>
          </cell>
          <cell r="L78">
            <v>2.4025316455696202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49237</v>
          </cell>
          <cell r="K79">
            <v>9520</v>
          </cell>
          <cell r="L79">
            <v>5.1719537815126051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13601.1</v>
          </cell>
          <cell r="K81">
            <v>25000</v>
          </cell>
          <cell r="L81">
            <v>0.54404399999999997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 t="e">
            <v>#N/A</v>
          </cell>
          <cell r="K82">
            <v>5000</v>
          </cell>
          <cell r="L82" t="e">
            <v>#N/A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 t="e">
            <v>#N/A</v>
          </cell>
          <cell r="K83">
            <v>1000</v>
          </cell>
          <cell r="L83" t="e">
            <v>#N/A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69435</v>
          </cell>
          <cell r="K85">
            <v>11340</v>
          </cell>
          <cell r="L85">
            <v>6.1230158730158726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65364</v>
          </cell>
          <cell r="K86">
            <v>12000</v>
          </cell>
          <cell r="L86">
            <v>5.4470000000000001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18888</v>
          </cell>
          <cell r="K87">
            <v>21600</v>
          </cell>
          <cell r="L87">
            <v>0.87444444444444447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30250</v>
          </cell>
          <cell r="K89">
            <v>10000</v>
          </cell>
          <cell r="L89">
            <v>3.0249999999999999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 t="e">
            <v>#N/A</v>
          </cell>
          <cell r="K90">
            <v>11340</v>
          </cell>
          <cell r="L90" t="e">
            <v>#N/A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4336.28</v>
          </cell>
          <cell r="K92">
            <v>1000</v>
          </cell>
          <cell r="L92">
            <v>4.3362799999999995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 t="e">
            <v>#N/A</v>
          </cell>
          <cell r="K93">
            <v>1000</v>
          </cell>
          <cell r="L93" t="e">
            <v>#N/A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19500</v>
          </cell>
          <cell r="K94">
            <v>10000</v>
          </cell>
          <cell r="L94">
            <v>1.95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13356.24666106</v>
          </cell>
          <cell r="K96">
            <v>25000</v>
          </cell>
          <cell r="L96">
            <v>0.53424986644240002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11437.482</v>
          </cell>
          <cell r="K98">
            <v>800</v>
          </cell>
          <cell r="L98">
            <v>14.2968525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41427</v>
          </cell>
          <cell r="K99">
            <v>13600</v>
          </cell>
          <cell r="L99">
            <v>3.0461029411764704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 t="e">
            <v>#N/A</v>
          </cell>
          <cell r="K100">
            <v>1000</v>
          </cell>
          <cell r="L100" t="e">
            <v>#N/A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44225</v>
          </cell>
          <cell r="K101">
            <v>25000</v>
          </cell>
          <cell r="L101">
            <v>1.7689999999999999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39068.370000000003</v>
          </cell>
          <cell r="K102">
            <v>22680</v>
          </cell>
          <cell r="L102">
            <v>1.72259126984127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31211.11</v>
          </cell>
          <cell r="K103">
            <v>25000</v>
          </cell>
          <cell r="L103">
            <v>1.2484444000000001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231.2</v>
          </cell>
          <cell r="K104">
            <v>13600</v>
          </cell>
          <cell r="L104">
            <v>1.6999999999999998E-2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109660</v>
          </cell>
          <cell r="K106">
            <v>20000</v>
          </cell>
          <cell r="L106">
            <v>5.4829999999999997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 t="e">
            <v>#N/A</v>
          </cell>
          <cell r="K107">
            <v>22670</v>
          </cell>
          <cell r="L107" t="e">
            <v>#N/A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18773.362499999999</v>
          </cell>
          <cell r="K108">
            <v>10000</v>
          </cell>
          <cell r="L108">
            <v>1.8773362499999999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9332.8799999999992</v>
          </cell>
          <cell r="K109">
            <v>1000</v>
          </cell>
          <cell r="L109">
            <v>9.3328799999999994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1175</v>
          </cell>
          <cell r="K110">
            <v>1000</v>
          </cell>
          <cell r="L110">
            <v>1.175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2136.2399999999998</v>
          </cell>
          <cell r="K113">
            <v>1000</v>
          </cell>
          <cell r="L113">
            <v>2.1362399999999999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137166</v>
          </cell>
          <cell r="K115">
            <v>25000</v>
          </cell>
          <cell r="L115">
            <v>5.4866400000000004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19301</v>
          </cell>
          <cell r="K116">
            <v>2500</v>
          </cell>
          <cell r="L116">
            <v>7.7203999999999997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4766.87</v>
          </cell>
          <cell r="K117">
            <v>2500</v>
          </cell>
          <cell r="L117">
            <v>1.9067479999999999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1783.73</v>
          </cell>
          <cell r="J119">
            <v>4582</v>
          </cell>
          <cell r="K119">
            <v>2500</v>
          </cell>
          <cell r="L119">
            <v>1.8328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2904</v>
          </cell>
          <cell r="K121">
            <v>454</v>
          </cell>
          <cell r="L121">
            <v>6.3964757709251101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1960</v>
          </cell>
          <cell r="K122">
            <v>1000</v>
          </cell>
          <cell r="L122">
            <v>1.96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6718</v>
          </cell>
          <cell r="K123">
            <v>780</v>
          </cell>
          <cell r="L123">
            <v>8.6128205128205124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30207.3</v>
          </cell>
          <cell r="K124">
            <v>5000</v>
          </cell>
          <cell r="L124">
            <v>6.0414599999999998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2899</v>
          </cell>
          <cell r="K125">
            <v>340</v>
          </cell>
          <cell r="L125">
            <v>8.5264705882352949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3868</v>
          </cell>
          <cell r="K127">
            <v>480</v>
          </cell>
          <cell r="L127">
            <v>8.0583333333333336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47385</v>
          </cell>
          <cell r="K128">
            <v>5000</v>
          </cell>
          <cell r="L128">
            <v>9.4770000000000003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42298.38</v>
          </cell>
          <cell r="K129">
            <v>3000</v>
          </cell>
          <cell r="L129">
            <v>14.099459999999999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200</v>
          </cell>
          <cell r="K131">
            <v>900</v>
          </cell>
          <cell r="L131">
            <v>0.22222222222222221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200</v>
          </cell>
          <cell r="K132">
            <v>900</v>
          </cell>
          <cell r="L132">
            <v>0.22222222222222221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200</v>
          </cell>
          <cell r="K133">
            <v>900</v>
          </cell>
          <cell r="L133">
            <v>0.22222222222222221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200</v>
          </cell>
          <cell r="K134">
            <v>900</v>
          </cell>
          <cell r="L134">
            <v>0.22222222222222221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180</v>
          </cell>
          <cell r="K135">
            <v>900</v>
          </cell>
          <cell r="L135">
            <v>0.2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200</v>
          </cell>
          <cell r="K136">
            <v>900</v>
          </cell>
          <cell r="L136">
            <v>0.22222222222222221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157</v>
          </cell>
          <cell r="K137">
            <v>900</v>
          </cell>
          <cell r="L137">
            <v>0.17444444444444446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47.024999999999999</v>
          </cell>
          <cell r="K138">
            <v>1</v>
          </cell>
          <cell r="L138">
            <v>47.024999999999999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47.024999999999999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 t="e">
            <v>#N/A</v>
          </cell>
          <cell r="K140">
            <v>1</v>
          </cell>
          <cell r="L140" t="e">
            <v>#N/A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170</v>
          </cell>
          <cell r="K141">
            <v>900</v>
          </cell>
          <cell r="L141">
            <v>0.18888888888888888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170</v>
          </cell>
          <cell r="K142">
            <v>900</v>
          </cell>
          <cell r="L142">
            <v>0.18888888888888888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200</v>
          </cell>
          <cell r="K144">
            <v>900</v>
          </cell>
          <cell r="L144">
            <v>0.22222222222222221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200</v>
          </cell>
          <cell r="K145">
            <v>900</v>
          </cell>
          <cell r="L145">
            <v>0.22222222222222221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 t="e">
            <v>#N/A</v>
          </cell>
          <cell r="K148">
            <v>1</v>
          </cell>
          <cell r="L148" t="e">
            <v>#N/A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 t="e">
            <v>#N/A</v>
          </cell>
          <cell r="K152">
            <v>1</v>
          </cell>
          <cell r="L152" t="e">
            <v>#N/A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 t="e">
            <v>#N/A</v>
          </cell>
          <cell r="K153">
            <v>1</v>
          </cell>
          <cell r="L153" t="e">
            <v>#N/A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 t="e">
            <v>#N/A</v>
          </cell>
          <cell r="K154">
            <v>1</v>
          </cell>
          <cell r="L154" t="e">
            <v>#N/A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 t="e">
            <v>#N/A</v>
          </cell>
          <cell r="K155">
            <v>1</v>
          </cell>
          <cell r="L155" t="e">
            <v>#N/A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551</v>
          </cell>
          <cell r="K156">
            <v>1000</v>
          </cell>
          <cell r="L156">
            <v>0.55100000000000005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 t="e">
            <v>#N/A</v>
          </cell>
          <cell r="K157">
            <v>1000</v>
          </cell>
          <cell r="L157" t="e">
            <v>#N/A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15</v>
          </cell>
          <cell r="K158">
            <v>1</v>
          </cell>
          <cell r="L158">
            <v>15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32.49</v>
          </cell>
          <cell r="K161">
            <v>1</v>
          </cell>
          <cell r="L161">
            <v>32.49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 t="e">
            <v>#N/A</v>
          </cell>
          <cell r="K163"/>
          <cell r="L163" t="e">
            <v>#N/A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1553.9566</v>
          </cell>
          <cell r="K164">
            <v>790</v>
          </cell>
          <cell r="L164">
            <v>1.9670336708860758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6723.4859999999999</v>
          </cell>
          <cell r="K165">
            <v>5000</v>
          </cell>
          <cell r="L165">
            <v>1.3446971999999999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2000</v>
          </cell>
          <cell r="K166">
            <v>1000</v>
          </cell>
          <cell r="L166">
            <v>2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1728.74</v>
          </cell>
          <cell r="K167">
            <v>36</v>
          </cell>
          <cell r="L167">
            <v>48.020555555555553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19500</v>
          </cell>
          <cell r="K168">
            <v>420</v>
          </cell>
          <cell r="L168">
            <v>46.428571428571431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 t="e">
            <v>#N/A</v>
          </cell>
          <cell r="K169">
            <v>1000</v>
          </cell>
          <cell r="L169" t="e">
            <v>#N/A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 t="e">
            <v>#N/A</v>
          </cell>
          <cell r="K170">
            <v>8.61</v>
          </cell>
          <cell r="L170" t="e">
            <v>#N/A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7697</v>
          </cell>
          <cell r="K171">
            <v>12000</v>
          </cell>
          <cell r="L171">
            <v>0.64141666666666663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 t="e">
            <v>#N/A</v>
          </cell>
          <cell r="K172">
            <v>1</v>
          </cell>
          <cell r="L172" t="e">
            <v>#N/A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10650</v>
          </cell>
          <cell r="K175">
            <v>5000</v>
          </cell>
          <cell r="L175">
            <v>2.13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8629.6</v>
          </cell>
          <cell r="K177">
            <v>3785</v>
          </cell>
          <cell r="L177">
            <v>2.2799471598414796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7581</v>
          </cell>
          <cell r="K178">
            <v>3700</v>
          </cell>
          <cell r="L178">
            <v>2.0489189189189188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6488.05</v>
          </cell>
          <cell r="K179">
            <v>1000</v>
          </cell>
          <cell r="L179">
            <v>6.4880500000000003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26981.75</v>
          </cell>
          <cell r="K180">
            <v>5000</v>
          </cell>
          <cell r="L180">
            <v>5.39635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11231</v>
          </cell>
          <cell r="K181">
            <v>2900</v>
          </cell>
          <cell r="L181">
            <v>3.8727586206896554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17654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16689.001929999999</v>
          </cell>
          <cell r="K184">
            <v>5000</v>
          </cell>
          <cell r="L184">
            <v>3.3378003859999996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17523.449219999999</v>
          </cell>
          <cell r="K186">
            <v>5000</v>
          </cell>
          <cell r="L186">
            <v>3.5046898439999996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 t="e">
            <v>#N/A</v>
          </cell>
          <cell r="K187">
            <v>3120</v>
          </cell>
          <cell r="L187" t="e">
            <v>#N/A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23467.84</v>
          </cell>
          <cell r="K188">
            <v>250</v>
          </cell>
          <cell r="L188">
            <v>93.871359999999996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6414.3</v>
          </cell>
          <cell r="K189">
            <v>944</v>
          </cell>
          <cell r="L189">
            <v>6.7948093220338981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4263</v>
          </cell>
          <cell r="K190">
            <v>2980</v>
          </cell>
          <cell r="L190">
            <v>1.4305369127516778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6370</v>
          </cell>
          <cell r="K191">
            <v>4100</v>
          </cell>
          <cell r="L191">
            <v>1.5536585365853659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4697</v>
          </cell>
          <cell r="K192">
            <v>3785</v>
          </cell>
          <cell r="L192">
            <v>1.2409511228533685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 t="e">
            <v>#N/A</v>
          </cell>
          <cell r="K193">
            <v>2232</v>
          </cell>
          <cell r="L193" t="e">
            <v>#N/A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4224</v>
          </cell>
          <cell r="K194">
            <v>1600</v>
          </cell>
          <cell r="L194">
            <v>2.64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4857</v>
          </cell>
          <cell r="K195">
            <v>1000</v>
          </cell>
          <cell r="L195">
            <v>4.8570000000000002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1987</v>
          </cell>
          <cell r="K196">
            <v>1000</v>
          </cell>
          <cell r="L196">
            <v>1.9870000000000001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2687</v>
          </cell>
          <cell r="K197">
            <v>1000</v>
          </cell>
          <cell r="L197">
            <v>2.6869999999999998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1467</v>
          </cell>
          <cell r="K198">
            <v>1000</v>
          </cell>
          <cell r="L198">
            <v>1.4670000000000001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1455</v>
          </cell>
          <cell r="K199">
            <v>1000</v>
          </cell>
          <cell r="L199">
            <v>1.4550000000000001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1686</v>
          </cell>
          <cell r="K200">
            <v>370</v>
          </cell>
          <cell r="L200">
            <v>4.5567567567567568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15854.097</v>
          </cell>
          <cell r="K201">
            <v>700</v>
          </cell>
          <cell r="L201">
            <v>22.648710000000001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7050.0479999999998</v>
          </cell>
          <cell r="K203">
            <v>1700</v>
          </cell>
          <cell r="L203">
            <v>4.1470870588235291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2129</v>
          </cell>
          <cell r="K204">
            <v>2200</v>
          </cell>
          <cell r="L204">
            <v>0.96772727272727277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3644.34</v>
          </cell>
          <cell r="K205">
            <v>1000</v>
          </cell>
          <cell r="L205">
            <v>3.6443400000000001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9243</v>
          </cell>
          <cell r="K206">
            <v>1000</v>
          </cell>
          <cell r="L206">
            <v>9.2430000000000003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15867</v>
          </cell>
          <cell r="K208">
            <v>4500</v>
          </cell>
          <cell r="L208">
            <v>3.5259999999999998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32325</v>
          </cell>
          <cell r="K209">
            <v>25000</v>
          </cell>
          <cell r="L209">
            <v>1.2929999999999999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9380</v>
          </cell>
          <cell r="K211">
            <v>2500</v>
          </cell>
          <cell r="L211">
            <v>3.7519999999999998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 t="e">
            <v>#N/A</v>
          </cell>
          <cell r="K212">
            <v>1000</v>
          </cell>
          <cell r="L212" t="e">
            <v>#N/A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 t="e">
            <v>#N/A</v>
          </cell>
          <cell r="K213">
            <v>1000</v>
          </cell>
          <cell r="L213" t="e">
            <v>#N/A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31744</v>
          </cell>
          <cell r="K214">
            <v>25000</v>
          </cell>
          <cell r="L214">
            <v>1.26976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 t="e">
            <v>#N/A</v>
          </cell>
          <cell r="K215">
            <v>12500</v>
          </cell>
          <cell r="L215" t="e">
            <v>#N/A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2499</v>
          </cell>
          <cell r="K216">
            <v>1000</v>
          </cell>
          <cell r="L216">
            <v>2.4990000000000001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1599.164</v>
          </cell>
          <cell r="K217">
            <v>465</v>
          </cell>
          <cell r="L217">
            <v>3.4390623655913979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1728</v>
          </cell>
          <cell r="K218">
            <v>1000</v>
          </cell>
          <cell r="L218">
            <v>1.728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4760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1761</v>
          </cell>
          <cell r="K220">
            <v>1000</v>
          </cell>
          <cell r="L220">
            <v>1.7609999999999999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26215</v>
          </cell>
          <cell r="K221">
            <v>13600</v>
          </cell>
          <cell r="L221">
            <v>1.9275735294117646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5760</v>
          </cell>
          <cell r="K222">
            <v>2000</v>
          </cell>
          <cell r="L222">
            <v>2.88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433431.12959999999</v>
          </cell>
          <cell r="K223">
            <v>22680</v>
          </cell>
          <cell r="L223">
            <v>19.110720000000001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 t="e">
            <v>#N/A</v>
          </cell>
          <cell r="K224">
            <v>750</v>
          </cell>
          <cell r="L224" t="e">
            <v>#N/A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 t="e">
            <v>#N/A</v>
          </cell>
          <cell r="K225">
            <v>750</v>
          </cell>
          <cell r="L225" t="e">
            <v>#N/A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 t="e">
            <v>#N/A</v>
          </cell>
          <cell r="K229">
            <v>150</v>
          </cell>
          <cell r="L229" t="e">
            <v>#N/A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21251</v>
          </cell>
          <cell r="K230">
            <v>10000</v>
          </cell>
          <cell r="L230">
            <v>2.1251000000000002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4151.97</v>
          </cell>
          <cell r="K231">
            <v>2000</v>
          </cell>
          <cell r="L231">
            <v>2.0759850000000002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 t="e">
            <v>#N/A</v>
          </cell>
          <cell r="K232">
            <v>25</v>
          </cell>
          <cell r="L232" t="e">
            <v>#N/A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 t="e">
            <v>#N/A</v>
          </cell>
          <cell r="K234">
            <v>240</v>
          </cell>
          <cell r="L234" t="e">
            <v>#N/A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 t="e">
            <v>#N/A</v>
          </cell>
          <cell r="K235">
            <v>1000</v>
          </cell>
          <cell r="L235" t="e">
            <v>#N/A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37014.76</v>
          </cell>
          <cell r="K236">
            <v>1000</v>
          </cell>
          <cell r="L236">
            <v>37.014760000000003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45265.23</v>
          </cell>
          <cell r="K237">
            <v>5000</v>
          </cell>
          <cell r="L237">
            <v>9.0530460000000001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69530</v>
          </cell>
          <cell r="K238">
            <v>17000</v>
          </cell>
          <cell r="L238">
            <v>4.09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135625</v>
          </cell>
          <cell r="K239">
            <v>25000</v>
          </cell>
          <cell r="L239">
            <v>5.4249999999999998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5663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26466</v>
          </cell>
          <cell r="K241">
            <v>1000</v>
          </cell>
          <cell r="L241">
            <v>26.466000000000001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 t="e">
            <v>#N/A</v>
          </cell>
          <cell r="K242">
            <v>1000</v>
          </cell>
          <cell r="L242" t="e">
            <v>#N/A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1757.5</v>
          </cell>
          <cell r="K246">
            <v>1000</v>
          </cell>
          <cell r="L246">
            <v>1.7575000000000001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 t="e">
            <v>#N/A</v>
          </cell>
          <cell r="K248">
            <v>1000</v>
          </cell>
          <cell r="L248" t="e">
            <v>#N/A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5834</v>
          </cell>
          <cell r="K249">
            <v>3785</v>
          </cell>
          <cell r="L249">
            <v>1.5413474240422722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2080</v>
          </cell>
          <cell r="K252">
            <v>1000</v>
          </cell>
          <cell r="L252">
            <v>2.08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 t="e">
            <v>#N/A</v>
          </cell>
          <cell r="K253">
            <v>1000</v>
          </cell>
          <cell r="L253" t="e">
            <v>#N/A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 t="e">
            <v>#N/A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12950</v>
          </cell>
          <cell r="K255">
            <v>5000</v>
          </cell>
          <cell r="L255">
            <v>2.59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3228.98</v>
          </cell>
          <cell r="K256">
            <v>460</v>
          </cell>
          <cell r="L256">
            <v>7.0195217391304352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1800</v>
          </cell>
          <cell r="K258">
            <v>150</v>
          </cell>
          <cell r="L258">
            <v>12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112.5</v>
          </cell>
          <cell r="K259">
            <v>25000</v>
          </cell>
          <cell r="L259">
            <v>4.4999999999999997E-3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6300</v>
          </cell>
          <cell r="K261">
            <v>100</v>
          </cell>
          <cell r="L261">
            <v>63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38759.599999999999</v>
          </cell>
          <cell r="K262">
            <v>200</v>
          </cell>
          <cell r="L262">
            <v>193.798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53040</v>
          </cell>
          <cell r="K263">
            <v>200</v>
          </cell>
          <cell r="L263">
            <v>265.2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127</v>
          </cell>
          <cell r="K264">
            <v>1</v>
          </cell>
          <cell r="L264">
            <v>127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125</v>
          </cell>
          <cell r="K265">
            <v>1</v>
          </cell>
          <cell r="L265">
            <v>125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1800</v>
          </cell>
          <cell r="K267">
            <v>125</v>
          </cell>
          <cell r="L267">
            <v>14.4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 t="e">
            <v>#N/A</v>
          </cell>
          <cell r="K268"/>
          <cell r="L268" t="e">
            <v>#N/A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1500</v>
          </cell>
          <cell r="K269">
            <v>500</v>
          </cell>
          <cell r="L269">
            <v>3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1800</v>
          </cell>
          <cell r="K270">
            <v>200</v>
          </cell>
          <cell r="L270">
            <v>9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1800</v>
          </cell>
          <cell r="K271">
            <v>42</v>
          </cell>
          <cell r="L271">
            <v>42.857142857142854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 t="e">
            <v>#N/A</v>
          </cell>
          <cell r="K272">
            <v>500</v>
          </cell>
          <cell r="L272" t="e">
            <v>#N/A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34473</v>
          </cell>
          <cell r="K273">
            <v>200</v>
          </cell>
          <cell r="L273">
            <v>172.36500000000001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1827</v>
          </cell>
          <cell r="J274" t="e">
            <v>#N/A</v>
          </cell>
          <cell r="K274">
            <v>1</v>
          </cell>
          <cell r="L274" t="e">
            <v>#N/A</v>
          </cell>
          <cell r="M274"/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4700</v>
          </cell>
          <cell r="K275">
            <v>100</v>
          </cell>
          <cell r="L275">
            <v>47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2885</v>
          </cell>
          <cell r="K276">
            <v>100</v>
          </cell>
          <cell r="L276">
            <v>28.85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9300</v>
          </cell>
          <cell r="K277">
            <v>1000</v>
          </cell>
          <cell r="L277">
            <v>9.3000000000000007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9300</v>
          </cell>
          <cell r="K278">
            <v>1</v>
          </cell>
          <cell r="L278">
            <v>9300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10901</v>
          </cell>
          <cell r="K280">
            <v>1000</v>
          </cell>
          <cell r="L280">
            <v>10.901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2425</v>
          </cell>
          <cell r="K281">
            <v>100</v>
          </cell>
          <cell r="L281">
            <v>24.25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270.71199999999999</v>
          </cell>
          <cell r="K282">
            <v>1</v>
          </cell>
          <cell r="L282">
            <v>270.71199999999999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 t="e">
            <v>#N/A</v>
          </cell>
          <cell r="K283">
            <v>10000</v>
          </cell>
          <cell r="L283" t="e">
            <v>#N/A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 t="e">
            <v>#N/A</v>
          </cell>
          <cell r="K284">
            <v>1</v>
          </cell>
          <cell r="L284" t="e">
            <v>#N/A</v>
          </cell>
          <cell r="M284" t="str">
            <v>Und</v>
          </cell>
        </row>
        <row r="285">
          <cell r="A285" t="str">
            <v>1950771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3078</v>
          </cell>
          <cell r="K285">
            <v>500</v>
          </cell>
          <cell r="L285">
            <v>6.1559999999999997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2150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60360</v>
          </cell>
          <cell r="K287">
            <v>50</v>
          </cell>
          <cell r="L287">
            <v>1207.2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89</v>
          </cell>
          <cell r="K288">
            <v>1</v>
          </cell>
          <cell r="L288">
            <v>89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189</v>
          </cell>
          <cell r="K289">
            <v>1</v>
          </cell>
          <cell r="L289">
            <v>189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262</v>
          </cell>
          <cell r="K291">
            <v>1</v>
          </cell>
          <cell r="L291">
            <v>262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6300</v>
          </cell>
          <cell r="K292">
            <v>100</v>
          </cell>
          <cell r="L292">
            <v>63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 t="e">
            <v>#N/A</v>
          </cell>
          <cell r="K295">
            <v>70</v>
          </cell>
          <cell r="L295" t="e">
            <v>#N/A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20840</v>
          </cell>
          <cell r="K297">
            <v>250</v>
          </cell>
          <cell r="L297">
            <v>83.36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 t="e">
            <v>#N/A</v>
          </cell>
          <cell r="K298">
            <v>1</v>
          </cell>
          <cell r="L298" t="e">
            <v>#N/A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 t="e">
            <v>#N/A</v>
          </cell>
          <cell r="K299">
            <v>1</v>
          </cell>
          <cell r="L299" t="e">
            <v>#N/A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4875</v>
          </cell>
          <cell r="K300">
            <v>334</v>
          </cell>
          <cell r="L300">
            <v>14.595808383233534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 t="e">
            <v>#N/A</v>
          </cell>
          <cell r="K301">
            <v>500</v>
          </cell>
          <cell r="L301" t="e">
            <v>#N/A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1800</v>
          </cell>
          <cell r="K302">
            <v>334</v>
          </cell>
          <cell r="L302">
            <v>5.3892215568862278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32181</v>
          </cell>
          <cell r="K303">
            <v>200</v>
          </cell>
          <cell r="L303">
            <v>160.905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102.463333333333</v>
          </cell>
          <cell r="K304">
            <v>1</v>
          </cell>
          <cell r="L304">
            <v>102.463333333333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342</v>
          </cell>
          <cell r="K305">
            <v>100</v>
          </cell>
          <cell r="L305">
            <v>3.42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1800</v>
          </cell>
          <cell r="K306">
            <v>40</v>
          </cell>
          <cell r="L306">
            <v>45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39</v>
          </cell>
          <cell r="K307">
            <v>1</v>
          </cell>
          <cell r="L307">
            <v>39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1547.6</v>
          </cell>
          <cell r="K308">
            <v>20</v>
          </cell>
          <cell r="L308">
            <v>77.38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 t="e">
            <v>#N/A</v>
          </cell>
          <cell r="K309">
            <v>480</v>
          </cell>
          <cell r="L309" t="e">
            <v>#N/A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4837.5</v>
          </cell>
          <cell r="K310">
            <v>1000</v>
          </cell>
          <cell r="L310">
            <v>4.8375000000000004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100.6</v>
          </cell>
          <cell r="K311">
            <v>1</v>
          </cell>
          <cell r="L311">
            <v>100.6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72.400000000000006</v>
          </cell>
          <cell r="K312">
            <v>1</v>
          </cell>
          <cell r="L312">
            <v>72.400000000000006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98.072000000000003</v>
          </cell>
          <cell r="K313">
            <v>1</v>
          </cell>
          <cell r="L313">
            <v>98.072000000000003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578</v>
          </cell>
          <cell r="K314">
            <v>1</v>
          </cell>
          <cell r="L314">
            <v>578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215</v>
          </cell>
          <cell r="K315">
            <v>1</v>
          </cell>
          <cell r="L315">
            <v>215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3270.75</v>
          </cell>
          <cell r="K316">
            <v>100</v>
          </cell>
          <cell r="L316">
            <v>32.707500000000003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 t="e">
            <v>#N/A</v>
          </cell>
          <cell r="K317">
            <v>100</v>
          </cell>
          <cell r="L317" t="e">
            <v>#N/A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 t="e">
            <v>#N/A</v>
          </cell>
          <cell r="K318">
            <v>600</v>
          </cell>
          <cell r="L318" t="e">
            <v>#N/A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 t="e">
            <v>#N/A</v>
          </cell>
          <cell r="K319">
            <v>378</v>
          </cell>
          <cell r="L319" t="e">
            <v>#N/A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536</v>
          </cell>
          <cell r="K320">
            <v>1</v>
          </cell>
          <cell r="L320">
            <v>536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 t="e">
            <v>#N/A</v>
          </cell>
          <cell r="K321">
            <v>600</v>
          </cell>
          <cell r="L321" t="e">
            <v>#N/A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89</v>
          </cell>
          <cell r="K322">
            <v>1</v>
          </cell>
          <cell r="L322">
            <v>89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127</v>
          </cell>
          <cell r="K323">
            <v>1</v>
          </cell>
          <cell r="L323">
            <v>127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658</v>
          </cell>
          <cell r="K324">
            <v>1</v>
          </cell>
          <cell r="L324">
            <v>658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11889</v>
          </cell>
          <cell r="K325">
            <v>200</v>
          </cell>
          <cell r="L325">
            <v>59.445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 t="e">
            <v>#N/A</v>
          </cell>
          <cell r="K326">
            <v>1500</v>
          </cell>
          <cell r="L326" t="e">
            <v>#N/A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382</v>
          </cell>
          <cell r="K327">
            <v>1</v>
          </cell>
          <cell r="L327">
            <v>382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112635.6</v>
          </cell>
          <cell r="K329">
            <v>13600</v>
          </cell>
          <cell r="L329">
            <v>8.2820294117647055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1903</v>
          </cell>
          <cell r="K331">
            <v>1000</v>
          </cell>
          <cell r="L331">
            <v>1.903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3405</v>
          </cell>
          <cell r="K333">
            <v>1000</v>
          </cell>
          <cell r="L333">
            <v>3.4049999999999998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4700</v>
          </cell>
          <cell r="K334">
            <v>25000</v>
          </cell>
          <cell r="L334">
            <v>0.188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24268</v>
          </cell>
          <cell r="K335">
            <v>350</v>
          </cell>
          <cell r="L335">
            <v>69.337142857142851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 t="e">
            <v>#N/A</v>
          </cell>
          <cell r="K337">
            <v>850</v>
          </cell>
          <cell r="L337" t="e">
            <v>#N/A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2783</v>
          </cell>
          <cell r="K339">
            <v>3000</v>
          </cell>
          <cell r="L339">
            <v>0.92766666666666664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2238</v>
          </cell>
          <cell r="K341">
            <v>2500</v>
          </cell>
          <cell r="L341">
            <v>0.8952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 t="e">
            <v>#N/A</v>
          </cell>
          <cell r="K342">
            <v>680</v>
          </cell>
          <cell r="L342" t="e">
            <v>#N/A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11815.75</v>
          </cell>
          <cell r="K343">
            <v>3780</v>
          </cell>
          <cell r="L343">
            <v>3.1258597883597883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22457</v>
          </cell>
          <cell r="K344">
            <v>15880</v>
          </cell>
          <cell r="L344">
            <v>1.414168765743073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20348</v>
          </cell>
          <cell r="K345">
            <v>17000</v>
          </cell>
          <cell r="L345">
            <v>1.1969411764705882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2729.1082000000001</v>
          </cell>
          <cell r="K348">
            <v>1800</v>
          </cell>
          <cell r="L348">
            <v>1.5161712222222223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 t="e">
            <v>#N/A</v>
          </cell>
          <cell r="K350">
            <v>425</v>
          </cell>
          <cell r="L350" t="e">
            <v>#N/A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2669</v>
          </cell>
          <cell r="K351">
            <v>250</v>
          </cell>
          <cell r="L351">
            <v>10.676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1404.75</v>
          </cell>
          <cell r="K352">
            <v>390</v>
          </cell>
          <cell r="L352">
            <v>3.601923076923077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309.29166666666703</v>
          </cell>
          <cell r="K353">
            <v>500</v>
          </cell>
          <cell r="L353">
            <v>0.61858333333333404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1685</v>
          </cell>
          <cell r="K354">
            <v>250</v>
          </cell>
          <cell r="L354">
            <v>6.74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 t="e">
            <v>#N/A</v>
          </cell>
          <cell r="K355">
            <v>1</v>
          </cell>
          <cell r="L355" t="e">
            <v>#N/A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1150</v>
          </cell>
          <cell r="K356">
            <v>50</v>
          </cell>
          <cell r="L356">
            <v>23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 t="e">
            <v>#N/A</v>
          </cell>
          <cell r="K357">
            <v>2000</v>
          </cell>
          <cell r="L357" t="e">
            <v>#N/A</v>
          </cell>
          <cell r="M357" t="str">
            <v>UND</v>
          </cell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1344.6972000000001</v>
          </cell>
          <cell r="K358">
            <v>250</v>
          </cell>
          <cell r="L358">
            <v>5.3787888000000006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520.66666666666697</v>
          </cell>
          <cell r="K359">
            <v>180</v>
          </cell>
          <cell r="L359">
            <v>2.8925925925925942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1190</v>
          </cell>
          <cell r="K360">
            <v>900</v>
          </cell>
          <cell r="L360">
            <v>1.3222222222222222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16957</v>
          </cell>
          <cell r="K361">
            <v>1820</v>
          </cell>
          <cell r="L361">
            <v>9.3170329670329668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4477</v>
          </cell>
          <cell r="K363">
            <v>3140</v>
          </cell>
          <cell r="L363">
            <v>1.425796178343949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 t="e">
            <v>#N/A</v>
          </cell>
          <cell r="K364"/>
          <cell r="L364" t="e">
            <v>#N/A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 t="e">
            <v>#N/A</v>
          </cell>
          <cell r="K365">
            <v>40</v>
          </cell>
          <cell r="L365" t="e">
            <v>#N/A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 t="e">
            <v>#N/A</v>
          </cell>
          <cell r="K368">
            <v>48</v>
          </cell>
          <cell r="L368" t="e">
            <v>#N/A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500</v>
          </cell>
          <cell r="K369">
            <v>70</v>
          </cell>
          <cell r="L369">
            <v>7.1428571428571432</v>
          </cell>
          <cell r="M369" t="str">
            <v>und</v>
          </cell>
        </row>
        <row r="370">
          <cell r="A370" t="str">
            <v>10100157</v>
          </cell>
          <cell r="B370" t="str">
            <v>13063</v>
          </cell>
          <cell r="C370" t="str">
            <v>SALSA HOISIN (UND:2.27 K)</v>
          </cell>
          <cell r="D370" t="str">
            <v>10100157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6439</v>
          </cell>
          <cell r="K370">
            <v>2270</v>
          </cell>
          <cell r="L370">
            <v>2.8365638766519825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 t="e">
            <v>#N/A</v>
          </cell>
          <cell r="K371">
            <v>50000</v>
          </cell>
          <cell r="L371" t="e">
            <v>#N/A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3554</v>
          </cell>
          <cell r="K372">
            <v>1800</v>
          </cell>
          <cell r="L372">
            <v>1.9744444444444444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 t="e">
            <v>#N/A</v>
          </cell>
          <cell r="K373"/>
          <cell r="L373" t="e">
            <v>#N/A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10028</v>
          </cell>
          <cell r="K374">
            <v>4000</v>
          </cell>
          <cell r="L374">
            <v>2.5070000000000001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 t="e">
            <v>#N/A</v>
          </cell>
          <cell r="K375">
            <v>5160</v>
          </cell>
          <cell r="L375" t="e">
            <v>#N/A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6493</v>
          </cell>
          <cell r="K376">
            <v>4000</v>
          </cell>
          <cell r="L376">
            <v>1.6232500000000001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15269</v>
          </cell>
          <cell r="K377">
            <v>12000</v>
          </cell>
          <cell r="L377">
            <v>1.2724166666666668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 t="e">
            <v>#N/A</v>
          </cell>
          <cell r="K378"/>
          <cell r="L378" t="e">
            <v>#N/A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2217</v>
          </cell>
          <cell r="K379">
            <v>368</v>
          </cell>
          <cell r="L379">
            <v>6.0244565217391308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 t="e">
            <v>#N/A</v>
          </cell>
          <cell r="K380">
            <v>25000</v>
          </cell>
          <cell r="L380" t="e">
            <v>#N/A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 t="e">
            <v>#N/A</v>
          </cell>
          <cell r="K381">
            <v>3785</v>
          </cell>
          <cell r="L381" t="e">
            <v>#N/A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 t="e">
            <v>#N/A</v>
          </cell>
          <cell r="K382">
            <v>25000</v>
          </cell>
          <cell r="L382" t="e">
            <v>#N/A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 t="e">
            <v>#N/A</v>
          </cell>
          <cell r="K383">
            <v>10000</v>
          </cell>
          <cell r="L383" t="e">
            <v>#N/A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 t="e">
            <v>#N/A</v>
          </cell>
          <cell r="K384">
            <v>2000</v>
          </cell>
          <cell r="L384" t="e">
            <v>#N/A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 t="e">
            <v>#N/A</v>
          </cell>
          <cell r="K385">
            <v>4000</v>
          </cell>
          <cell r="L385" t="e">
            <v>#N/A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 t="e">
            <v>#N/A</v>
          </cell>
          <cell r="K386">
            <v>5000</v>
          </cell>
          <cell r="L386" t="e">
            <v>#N/A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 t="e">
            <v>#N/A</v>
          </cell>
          <cell r="K387">
            <v>1000</v>
          </cell>
          <cell r="L387" t="e">
            <v>#N/A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 t="e">
            <v>#N/A</v>
          </cell>
          <cell r="K388">
            <v>3000</v>
          </cell>
          <cell r="L388" t="e">
            <v>#N/A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 t="e">
            <v>#N/A</v>
          </cell>
          <cell r="K389">
            <v>1000</v>
          </cell>
          <cell r="L389" t="e">
            <v>#N/A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 t="e">
            <v>#N/A</v>
          </cell>
          <cell r="K390">
            <v>3785</v>
          </cell>
          <cell r="L390" t="e">
            <v>#N/A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 t="e">
            <v>#N/A</v>
          </cell>
          <cell r="K391">
            <v>1000</v>
          </cell>
          <cell r="L391" t="e">
            <v>#N/A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3602</v>
          </cell>
          <cell r="K392">
            <v>1000</v>
          </cell>
          <cell r="L392">
            <v>3.6019999999999999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 t="e">
            <v>#N/A</v>
          </cell>
          <cell r="K393">
            <v>300</v>
          </cell>
          <cell r="L393" t="e">
            <v>#N/A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 t="e">
            <v>#N/A</v>
          </cell>
          <cell r="K394">
            <v>1000</v>
          </cell>
          <cell r="L394" t="e">
            <v>#N/A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 t="e">
            <v>#N/A</v>
          </cell>
          <cell r="K395">
            <v>18000</v>
          </cell>
          <cell r="L395" t="e">
            <v>#N/A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 t="e">
            <v>#N/A</v>
          </cell>
          <cell r="K396">
            <v>1000</v>
          </cell>
          <cell r="L396" t="e">
            <v>#N/A</v>
          </cell>
          <cell r="M396" t="str">
            <v>Gramos</v>
          </cell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 t="e">
            <v>#N/A</v>
          </cell>
          <cell r="K397">
            <v>1000</v>
          </cell>
          <cell r="L397" t="e">
            <v>#N/A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 t="e">
            <v>#N/A</v>
          </cell>
          <cell r="K398">
            <v>1000</v>
          </cell>
          <cell r="L398" t="e">
            <v>#N/A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 t="e">
            <v>#N/A</v>
          </cell>
          <cell r="K399"/>
          <cell r="L399" t="e">
            <v>#N/A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 t="e">
            <v>#N/A</v>
          </cell>
          <cell r="K400">
            <v>25000</v>
          </cell>
          <cell r="L400" t="e">
            <v>#N/A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 t="e">
            <v>#N/A</v>
          </cell>
          <cell r="K401">
            <v>1000</v>
          </cell>
          <cell r="L401" t="e">
            <v>#N/A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 t="e">
            <v>#N/A</v>
          </cell>
          <cell r="K402">
            <v>210</v>
          </cell>
          <cell r="L402" t="e">
            <v>#N/A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 t="e">
            <v>#N/A</v>
          </cell>
          <cell r="K403">
            <v>3785</v>
          </cell>
          <cell r="L403" t="e">
            <v>#N/A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 t="e">
            <v>#N/A</v>
          </cell>
          <cell r="K404">
            <v>5000</v>
          </cell>
          <cell r="L404" t="e">
            <v>#N/A</v>
          </cell>
          <cell r="M404" t="str">
            <v>Mililitros</v>
          </cell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9135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 t="e">
            <v>#N/A</v>
          </cell>
          <cell r="K406">
            <v>1000</v>
          </cell>
          <cell r="L406" t="e">
            <v>#N/A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 t="e">
            <v>#N/A</v>
          </cell>
          <cell r="K407">
            <v>40</v>
          </cell>
          <cell r="L407" t="e">
            <v>#N/A</v>
          </cell>
          <cell r="M407" t="str">
            <v>Gramos</v>
          </cell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 t="e">
            <v>#N/A</v>
          </cell>
          <cell r="K408">
            <v>2500</v>
          </cell>
          <cell r="L408" t="e">
            <v>#N/A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 t="e">
            <v>#N/A</v>
          </cell>
          <cell r="K409"/>
          <cell r="L409" t="e">
            <v>#N/A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 t="e">
            <v>#N/A</v>
          </cell>
          <cell r="K410"/>
          <cell r="L410" t="e">
            <v>#N/A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 t="e">
            <v>#N/A</v>
          </cell>
          <cell r="K411">
            <v>1000</v>
          </cell>
          <cell r="L411" t="e">
            <v>#N/A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 t="e">
            <v>#N/A</v>
          </cell>
          <cell r="K412">
            <v>1000</v>
          </cell>
          <cell r="L412" t="e">
            <v>#N/A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 t="e">
            <v>#N/A</v>
          </cell>
          <cell r="K413">
            <v>1000</v>
          </cell>
          <cell r="L413" t="e">
            <v>#N/A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 t="e">
            <v>#N/A</v>
          </cell>
          <cell r="K414">
            <v>1000</v>
          </cell>
          <cell r="L414" t="e">
            <v>#N/A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 t="e">
            <v>#N/A</v>
          </cell>
          <cell r="K415"/>
          <cell r="L415" t="e">
            <v>#N/A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 t="e">
            <v>#N/A</v>
          </cell>
          <cell r="K416">
            <v>3785</v>
          </cell>
          <cell r="L416" t="e">
            <v>#N/A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 t="e">
            <v>#N/A</v>
          </cell>
          <cell r="K417">
            <v>2300</v>
          </cell>
          <cell r="L417" t="e">
            <v>#N/A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 t="e">
            <v>#N/A</v>
          </cell>
          <cell r="K418">
            <v>3780</v>
          </cell>
          <cell r="L418" t="e">
            <v>#N/A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 t="e">
            <v>#N/A</v>
          </cell>
          <cell r="K419">
            <v>1000</v>
          </cell>
          <cell r="L419" t="e">
            <v>#N/A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 t="e">
            <v>#N/A</v>
          </cell>
          <cell r="K420">
            <v>3785</v>
          </cell>
          <cell r="L420" t="e">
            <v>#N/A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 t="e">
            <v>#N/A</v>
          </cell>
          <cell r="K421"/>
          <cell r="L421" t="e">
            <v>#N/A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 t="e">
            <v>#N/A</v>
          </cell>
          <cell r="K422">
            <v>1000</v>
          </cell>
          <cell r="L422" t="e">
            <v>#N/A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41400</v>
          </cell>
          <cell r="K423"/>
          <cell r="L423" t="e">
            <v>#DIV/0!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2225</v>
          </cell>
          <cell r="K424">
            <v>1000</v>
          </cell>
          <cell r="L424">
            <v>2.2250000000000001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 t="e">
            <v>#N/A</v>
          </cell>
          <cell r="K425">
            <v>2000</v>
          </cell>
          <cell r="L425" t="e">
            <v>#N/A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 t="e">
            <v>#N/A</v>
          </cell>
          <cell r="K426"/>
          <cell r="L426" t="e">
            <v>#N/A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 t="e">
            <v>#N/A</v>
          </cell>
          <cell r="K427">
            <v>10432</v>
          </cell>
          <cell r="L427" t="e">
            <v>#N/A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 t="e">
            <v>#N/A</v>
          </cell>
          <cell r="K428">
            <v>1000</v>
          </cell>
          <cell r="L428" t="e">
            <v>#N/A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 t="e">
            <v>#N/A</v>
          </cell>
          <cell r="K429">
            <v>1000</v>
          </cell>
          <cell r="L429" t="e">
            <v>#N/A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 t="e">
            <v>#N/A</v>
          </cell>
          <cell r="K430">
            <v>3785</v>
          </cell>
          <cell r="L430" t="e">
            <v>#N/A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 t="e">
            <v>#N/A</v>
          </cell>
          <cell r="K431">
            <v>1000</v>
          </cell>
          <cell r="L431" t="e">
            <v>#N/A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 t="e">
            <v>#N/A</v>
          </cell>
          <cell r="K432">
            <v>25000</v>
          </cell>
          <cell r="L432" t="e">
            <v>#N/A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 t="e">
            <v>#N/A</v>
          </cell>
          <cell r="K433"/>
          <cell r="L433" t="e">
            <v>#N/A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 t="e">
            <v>#N/A</v>
          </cell>
          <cell r="K434">
            <v>3700</v>
          </cell>
          <cell r="L434" t="e">
            <v>#N/A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 t="e">
            <v>#N/A</v>
          </cell>
          <cell r="K435">
            <v>1000</v>
          </cell>
          <cell r="L435" t="e">
            <v>#N/A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9252</v>
          </cell>
          <cell r="K436">
            <v>60</v>
          </cell>
          <cell r="L436">
            <v>154.19999999999999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 t="str">
            <v>Unidad</v>
          </cell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 t="e">
            <v>#N/A</v>
          </cell>
          <cell r="K438">
            <v>10000</v>
          </cell>
          <cell r="L438" t="e">
            <v>#N/A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 t="e">
            <v>#N/A</v>
          </cell>
          <cell r="K439">
            <v>4000</v>
          </cell>
          <cell r="L439" t="e">
            <v>#N/A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 t="e">
            <v>#N/A</v>
          </cell>
          <cell r="K440">
            <v>2000</v>
          </cell>
          <cell r="L440" t="e">
            <v>#N/A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 t="e">
            <v>#N/A</v>
          </cell>
          <cell r="K441">
            <v>1000</v>
          </cell>
          <cell r="L441" t="e">
            <v>#N/A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 t="e">
            <v>#N/A</v>
          </cell>
          <cell r="K442">
            <v>1000</v>
          </cell>
          <cell r="L442" t="e">
            <v>#N/A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 t="e">
            <v>#N/A</v>
          </cell>
          <cell r="K443">
            <v>500</v>
          </cell>
          <cell r="L443" t="e">
            <v>#N/A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 t="e">
            <v>#N/A</v>
          </cell>
          <cell r="K445">
            <v>3785</v>
          </cell>
          <cell r="L445" t="e">
            <v>#N/A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3956</v>
          </cell>
          <cell r="K446">
            <v>1892.5</v>
          </cell>
          <cell r="L446">
            <v>2.0903566710700132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 t="e">
            <v>#N/A</v>
          </cell>
          <cell r="K447">
            <v>1000</v>
          </cell>
          <cell r="L447" t="e">
            <v>#N/A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5625</v>
          </cell>
          <cell r="K448">
            <v>1</v>
          </cell>
          <cell r="L448">
            <v>5625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7969</v>
          </cell>
          <cell r="K449">
            <v>1</v>
          </cell>
          <cell r="L449">
            <v>7969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5099</v>
          </cell>
          <cell r="K450">
            <v>1</v>
          </cell>
          <cell r="L450">
            <v>5099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8610</v>
          </cell>
          <cell r="K451">
            <v>1</v>
          </cell>
          <cell r="L451">
            <v>8610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5626</v>
          </cell>
          <cell r="K452">
            <v>1</v>
          </cell>
          <cell r="L452">
            <v>5626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 t="e">
            <v>#N/A</v>
          </cell>
          <cell r="K453">
            <v>20000</v>
          </cell>
          <cell r="L453" t="e">
            <v>#N/A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 t="e">
            <v>#N/A</v>
          </cell>
          <cell r="K454">
            <v>400</v>
          </cell>
          <cell r="L454" t="e">
            <v>#N/A</v>
          </cell>
          <cell r="M454" t="str">
            <v>Gramos</v>
          </cell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 t="e">
            <v>#N/A</v>
          </cell>
          <cell r="K455">
            <v>106</v>
          </cell>
          <cell r="L455" t="e">
            <v>#N/A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3080</v>
          </cell>
          <cell r="K456">
            <v>3785</v>
          </cell>
          <cell r="L456">
            <v>0.81373844121532368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4971.33</v>
          </cell>
          <cell r="K457">
            <v>800</v>
          </cell>
          <cell r="L457">
            <v>6.2141624999999996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 t="e">
            <v>#N/A</v>
          </cell>
          <cell r="K460"/>
          <cell r="L460" t="e">
            <v>#N/A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 t="e">
            <v>#N/A</v>
          </cell>
          <cell r="K462"/>
          <cell r="L462" t="e">
            <v>#N/A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7427</v>
          </cell>
          <cell r="K468">
            <v>1000</v>
          </cell>
          <cell r="L468">
            <v>7.4269999999999996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 t="e">
            <v>#N/A</v>
          </cell>
          <cell r="K469">
            <v>350</v>
          </cell>
          <cell r="L469" t="e">
            <v>#N/A</v>
          </cell>
          <cell r="M469" t="str">
            <v>Mililitros</v>
          </cell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 t="e">
            <v>#N/A</v>
          </cell>
          <cell r="K471">
            <v>3100</v>
          </cell>
          <cell r="L471" t="e">
            <v>#N/A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 t="e">
            <v>#N/A</v>
          </cell>
          <cell r="K472">
            <v>500</v>
          </cell>
          <cell r="L472" t="e">
            <v>#N/A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 t="e">
            <v>#N/A</v>
          </cell>
          <cell r="K473">
            <v>1000</v>
          </cell>
          <cell r="L473" t="e">
            <v>#N/A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115417.68</v>
          </cell>
          <cell r="K474">
            <v>13600</v>
          </cell>
          <cell r="L474">
            <v>8.4865941176470585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750</v>
          </cell>
          <cell r="K475">
            <v>250</v>
          </cell>
          <cell r="L475">
            <v>3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 t="e">
            <v>#N/A</v>
          </cell>
          <cell r="K476">
            <v>1000</v>
          </cell>
          <cell r="L476" t="e">
            <v>#N/A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12369.978947</v>
          </cell>
          <cell r="K477">
            <v>2000</v>
          </cell>
          <cell r="L477">
            <v>6.1849894734999999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 t="e">
            <v>#N/A</v>
          </cell>
          <cell r="K478">
            <v>1000</v>
          </cell>
          <cell r="L478" t="e">
            <v>#N/A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4225</v>
          </cell>
          <cell r="K479">
            <v>1000</v>
          </cell>
          <cell r="L479">
            <v>4.2249999999999996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 t="e">
            <v>#N/A</v>
          </cell>
          <cell r="K480">
            <v>1000</v>
          </cell>
          <cell r="L480" t="e">
            <v>#N/A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 t="e">
            <v>#N/A</v>
          </cell>
          <cell r="K481">
            <v>1000</v>
          </cell>
          <cell r="L481" t="e">
            <v>#N/A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2505</v>
          </cell>
          <cell r="K482">
            <v>1000</v>
          </cell>
          <cell r="L482">
            <v>2.5049999999999999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 t="e">
            <v>#N/A</v>
          </cell>
          <cell r="K483">
            <v>250</v>
          </cell>
          <cell r="L483" t="e">
            <v>#N/A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 t="e">
            <v>#N/A</v>
          </cell>
          <cell r="K484">
            <v>1000</v>
          </cell>
          <cell r="L484" t="e">
            <v>#N/A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6.6863333333333301</v>
          </cell>
          <cell r="K485">
            <v>250</v>
          </cell>
          <cell r="L485">
            <v>2.6745333333333319E-2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 t="e">
            <v>#N/A</v>
          </cell>
          <cell r="K486">
            <v>170</v>
          </cell>
          <cell r="L486" t="e">
            <v>#N/A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15425.7269786</v>
          </cell>
          <cell r="K487">
            <v>1000</v>
          </cell>
          <cell r="L487">
            <v>15.4257269786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 t="e">
            <v>#N/A</v>
          </cell>
          <cell r="K488">
            <v>1000</v>
          </cell>
          <cell r="L488" t="e">
            <v>#N/A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1602</v>
          </cell>
          <cell r="K489">
            <v>400</v>
          </cell>
          <cell r="L489">
            <v>4.0049999999999999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 t="e">
            <v>#N/A</v>
          </cell>
          <cell r="K490">
            <v>250</v>
          </cell>
          <cell r="L490" t="e">
            <v>#N/A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1570</v>
          </cell>
          <cell r="K491">
            <v>1000</v>
          </cell>
          <cell r="L491">
            <v>1.57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 t="e">
            <v>#N/A</v>
          </cell>
          <cell r="K492">
            <v>600</v>
          </cell>
          <cell r="L492" t="e">
            <v>#N/A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 t="e">
            <v>#N/A</v>
          </cell>
          <cell r="K497">
            <v>130</v>
          </cell>
          <cell r="L497" t="e">
            <v>#N/A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6151.87</v>
          </cell>
          <cell r="K502">
            <v>1000</v>
          </cell>
          <cell r="L502">
            <v>6.1518699999999997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 t="e">
            <v>#N/A</v>
          </cell>
          <cell r="K503">
            <v>1000</v>
          </cell>
          <cell r="L503" t="e">
            <v>#N/A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2497</v>
          </cell>
          <cell r="K504">
            <v>43</v>
          </cell>
          <cell r="L504">
            <v>58.069767441860463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17249.45</v>
          </cell>
          <cell r="K507">
            <v>215</v>
          </cell>
          <cell r="L507">
            <v>80.23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 t="e">
            <v>#N/A</v>
          </cell>
          <cell r="K508">
            <v>215</v>
          </cell>
          <cell r="L508" t="e">
            <v>#N/A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700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 t="e">
            <v>#N/A</v>
          </cell>
          <cell r="K510">
            <v>200</v>
          </cell>
          <cell r="L510" t="e">
            <v>#N/A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 t="e">
            <v>#N/A</v>
          </cell>
          <cell r="K511">
            <v>2270</v>
          </cell>
          <cell r="L511" t="e">
            <v>#N/A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 t="e">
            <v>#N/A</v>
          </cell>
          <cell r="K512">
            <v>996</v>
          </cell>
          <cell r="L512" t="e">
            <v>#N/A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 t="e">
            <v>#N/A</v>
          </cell>
          <cell r="K513">
            <v>312</v>
          </cell>
          <cell r="L513" t="e">
            <v>#N/A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 t="e">
            <v>#N/A</v>
          </cell>
          <cell r="K514">
            <v>650</v>
          </cell>
          <cell r="L514" t="e">
            <v>#N/A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 t="e">
            <v>#N/A</v>
          </cell>
          <cell r="K515">
            <v>1500</v>
          </cell>
          <cell r="L515" t="e">
            <v>#N/A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 t="e">
            <v>#N/A</v>
          </cell>
          <cell r="K516"/>
          <cell r="L516" t="e">
            <v>#N/A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 t="e">
            <v>#N/A</v>
          </cell>
          <cell r="K517">
            <v>330</v>
          </cell>
          <cell r="L517" t="e">
            <v>#N/A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 t="e">
            <v>#N/A</v>
          </cell>
          <cell r="K518">
            <v>25</v>
          </cell>
          <cell r="L518" t="e">
            <v>#N/A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536.5</v>
          </cell>
          <cell r="K520">
            <v>100</v>
          </cell>
          <cell r="L520">
            <v>5.3650000000000002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 t="e">
            <v>#N/A</v>
          </cell>
          <cell r="K530">
            <v>200</v>
          </cell>
          <cell r="L530" t="e">
            <v>#N/A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521.20000000000005</v>
          </cell>
          <cell r="K531">
            <v>100</v>
          </cell>
          <cell r="L531">
            <v>5.2120000000000006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1046.5</v>
          </cell>
          <cell r="K532">
            <v>500</v>
          </cell>
          <cell r="L532">
            <v>2.093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 t="e">
            <v>#N/A</v>
          </cell>
          <cell r="K533">
            <v>200</v>
          </cell>
          <cell r="L533" t="e">
            <v>#N/A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399</v>
          </cell>
          <cell r="K535">
            <v>250</v>
          </cell>
          <cell r="L535">
            <v>1.5960000000000001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907.8</v>
          </cell>
          <cell r="K536">
            <v>100</v>
          </cell>
          <cell r="L536">
            <v>9.0779999999999994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2200</v>
          </cell>
          <cell r="K539">
            <v>1000</v>
          </cell>
          <cell r="L539">
            <v>2.2000000000000002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13366</v>
          </cell>
          <cell r="K542">
            <v>3785</v>
          </cell>
          <cell r="L542">
            <v>3.5313077939233817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 t="e">
            <v>#N/A</v>
          </cell>
          <cell r="K544">
            <v>1000</v>
          </cell>
          <cell r="L544" t="e">
            <v>#N/A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 t="e">
            <v>#N/A</v>
          </cell>
          <cell r="K546">
            <v>0</v>
          </cell>
          <cell r="L546" t="e">
            <v>#N/A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7875</v>
          </cell>
          <cell r="K547">
            <v>120</v>
          </cell>
          <cell r="L547">
            <v>65.625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2050</v>
          </cell>
          <cell r="K548">
            <v>10</v>
          </cell>
          <cell r="L548">
            <v>205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2400</v>
          </cell>
          <cell r="K549">
            <v>20</v>
          </cell>
          <cell r="L549">
            <v>120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950</v>
          </cell>
          <cell r="K550">
            <v>5</v>
          </cell>
          <cell r="L550">
            <v>190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625</v>
          </cell>
          <cell r="K551">
            <v>5</v>
          </cell>
          <cell r="L551">
            <v>125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25789.63625</v>
          </cell>
          <cell r="K552">
            <v>25000</v>
          </cell>
          <cell r="L552">
            <v>1.0315854499999999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26848.776000000002</v>
          </cell>
          <cell r="K553">
            <v>20000</v>
          </cell>
          <cell r="L553">
            <v>1.3424388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910</v>
          </cell>
          <cell r="K554">
            <v>5</v>
          </cell>
          <cell r="L554">
            <v>182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 t="e">
            <v>#N/A</v>
          </cell>
          <cell r="K555">
            <v>20</v>
          </cell>
          <cell r="L555" t="e">
            <v>#N/A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2200</v>
          </cell>
          <cell r="K556">
            <v>10</v>
          </cell>
          <cell r="L556">
            <v>220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15733</v>
          </cell>
          <cell r="K557">
            <v>25000</v>
          </cell>
          <cell r="L557">
            <v>0.62931999999999999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 t="e">
            <v>#N/A</v>
          </cell>
          <cell r="K558"/>
          <cell r="L558" t="e">
            <v>#N/A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 t="e">
            <v>#N/A</v>
          </cell>
          <cell r="K559">
            <v>25000</v>
          </cell>
          <cell r="L559" t="e">
            <v>#N/A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31465</v>
          </cell>
          <cell r="K560">
            <v>22600</v>
          </cell>
          <cell r="L560">
            <v>1.3922566371681415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 t="e">
            <v>#N/A</v>
          </cell>
          <cell r="K561">
            <v>10</v>
          </cell>
          <cell r="L561" t="e">
            <v>#N/A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 t="e">
            <v>#N/A</v>
          </cell>
          <cell r="K562">
            <v>2267</v>
          </cell>
          <cell r="L562" t="e">
            <v>#N/A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2629.9389999999999</v>
          </cell>
          <cell r="K563">
            <v>30</v>
          </cell>
          <cell r="L563">
            <v>87.664633333333327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12100</v>
          </cell>
          <cell r="K564">
            <v>5000</v>
          </cell>
          <cell r="L564">
            <v>2.42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24201</v>
          </cell>
          <cell r="K566">
            <v>8340</v>
          </cell>
          <cell r="L566">
            <v>2.9017985611510793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 t="e">
            <v>#N/A</v>
          </cell>
          <cell r="K567">
            <v>500</v>
          </cell>
          <cell r="L567" t="e">
            <v>#N/A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1749.28</v>
          </cell>
          <cell r="K568">
            <v>160</v>
          </cell>
          <cell r="L568">
            <v>10.933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9124</v>
          </cell>
          <cell r="K569">
            <v>3000</v>
          </cell>
          <cell r="L569">
            <v>3.0413333333333332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10495</v>
          </cell>
          <cell r="K570">
            <v>4000</v>
          </cell>
          <cell r="L570">
            <v>2.6237499999999998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10673</v>
          </cell>
          <cell r="K571">
            <v>4000</v>
          </cell>
          <cell r="L571">
            <v>2.66825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8097</v>
          </cell>
          <cell r="K572">
            <v>4000</v>
          </cell>
          <cell r="L572">
            <v>2.0242499999999999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7692</v>
          </cell>
          <cell r="K573">
            <v>4500</v>
          </cell>
          <cell r="L573">
            <v>1.7093333333333334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45840</v>
          </cell>
          <cell r="K575">
            <v>18960</v>
          </cell>
          <cell r="L575">
            <v>2.4177215189873418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6825</v>
          </cell>
          <cell r="K577">
            <v>2000</v>
          </cell>
          <cell r="L577">
            <v>3.4125000000000001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17833</v>
          </cell>
          <cell r="K578">
            <v>11000</v>
          </cell>
          <cell r="L578">
            <v>1.6211818181818183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2031</v>
          </cell>
          <cell r="K579">
            <v>3785</v>
          </cell>
          <cell r="L579">
            <v>0.53659180977542931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6006</v>
          </cell>
          <cell r="K582">
            <v>3030</v>
          </cell>
          <cell r="L582">
            <v>1.9821782178217822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 t="e">
            <v>#N/A</v>
          </cell>
          <cell r="K583">
            <v>250</v>
          </cell>
          <cell r="L583" t="e">
            <v>#N/A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 t="e">
            <v>#N/A</v>
          </cell>
          <cell r="K584">
            <v>25000</v>
          </cell>
          <cell r="L584" t="e">
            <v>#N/A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 t="e">
            <v>#N/A</v>
          </cell>
          <cell r="K585">
            <v>500</v>
          </cell>
          <cell r="L585" t="e">
            <v>#N/A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8005</v>
          </cell>
          <cell r="K586">
            <v>5000</v>
          </cell>
          <cell r="L586">
            <v>1.601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21130</v>
          </cell>
          <cell r="K587">
            <v>1000</v>
          </cell>
          <cell r="L587">
            <v>21.13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 t="e">
            <v>#N/A</v>
          </cell>
          <cell r="K589">
            <v>13600</v>
          </cell>
          <cell r="L589" t="e">
            <v>#N/A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 t="e">
            <v>#N/A</v>
          </cell>
          <cell r="K590">
            <v>454</v>
          </cell>
          <cell r="L590" t="e">
            <v>#N/A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1836</v>
          </cell>
          <cell r="K592"/>
          <cell r="L592" t="e">
            <v>#DIV/0!</v>
          </cell>
          <cell r="M592"/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 t="e">
            <v>#N/A</v>
          </cell>
          <cell r="K593"/>
          <cell r="L593" t="e">
            <v>#N/A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1326.74</v>
          </cell>
          <cell r="K594">
            <v>160</v>
          </cell>
          <cell r="L594">
            <v>8.2921250000000004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 t="e">
            <v>#N/A</v>
          </cell>
          <cell r="K595">
            <v>250</v>
          </cell>
          <cell r="L595" t="e">
            <v>#N/A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475</v>
          </cell>
          <cell r="K597">
            <v>1</v>
          </cell>
          <cell r="L597">
            <v>475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 t="e">
            <v>#N/A</v>
          </cell>
          <cell r="K598">
            <v>20</v>
          </cell>
          <cell r="L598" t="e">
            <v>#N/A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 t="e">
            <v>#N/A</v>
          </cell>
          <cell r="K599"/>
          <cell r="L599" t="e">
            <v>#N/A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1830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3510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 t="e">
            <v>#N/A</v>
          </cell>
          <cell r="K602">
            <v>1000</v>
          </cell>
          <cell r="L602" t="e">
            <v>#N/A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 t="e">
            <v>#N/A</v>
          </cell>
          <cell r="K603"/>
          <cell r="L603" t="e">
            <v>#N/A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 t="e">
            <v>#N/A</v>
          </cell>
          <cell r="K604"/>
          <cell r="L604" t="e">
            <v>#N/A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 t="e">
            <v>#N/A</v>
          </cell>
          <cell r="K605"/>
          <cell r="L605" t="e">
            <v>#N/A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 t="e">
            <v>#N/A</v>
          </cell>
          <cell r="K606"/>
          <cell r="L606" t="e">
            <v>#N/A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6227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2737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 t="e">
            <v>#N/A</v>
          </cell>
          <cell r="K609">
            <v>24</v>
          </cell>
          <cell r="L609" t="e">
            <v>#N/A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 t="e">
            <v>#N/A</v>
          </cell>
          <cell r="K610">
            <v>24</v>
          </cell>
          <cell r="L610" t="e">
            <v>#N/A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 t="e">
            <v>#N/A</v>
          </cell>
          <cell r="K611">
            <v>24</v>
          </cell>
          <cell r="L611" t="e">
            <v>#N/A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 t="e">
            <v>#N/A</v>
          </cell>
          <cell r="K612">
            <v>24</v>
          </cell>
          <cell r="L612" t="e">
            <v>#N/A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 t="e">
            <v>#N/A</v>
          </cell>
          <cell r="K613">
            <v>100</v>
          </cell>
          <cell r="L613" t="e">
            <v>#N/A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 t="e">
            <v>#N/A</v>
          </cell>
          <cell r="K614">
            <v>225</v>
          </cell>
          <cell r="L614" t="e">
            <v>#N/A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 t="e">
            <v>#N/A</v>
          </cell>
          <cell r="K615">
            <v>500</v>
          </cell>
          <cell r="L615" t="e">
            <v>#N/A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 t="e">
            <v>#N/A</v>
          </cell>
          <cell r="K616">
            <v>500</v>
          </cell>
          <cell r="L616" t="e">
            <v>#N/A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135</v>
          </cell>
          <cell r="K617">
            <v>1</v>
          </cell>
          <cell r="L617">
            <v>135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40.31</v>
          </cell>
          <cell r="K618">
            <v>1</v>
          </cell>
          <cell r="L618">
            <v>40.31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 t="e">
            <v>#N/A</v>
          </cell>
          <cell r="K619">
            <v>600</v>
          </cell>
          <cell r="L619" t="e">
            <v>#N/A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 t="e">
            <v>#N/A</v>
          </cell>
          <cell r="K620">
            <v>600</v>
          </cell>
          <cell r="L620" t="e">
            <v>#N/A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225</v>
          </cell>
          <cell r="K621">
            <v>1</v>
          </cell>
          <cell r="L621">
            <v>225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47812.5</v>
          </cell>
          <cell r="K622">
            <v>625</v>
          </cell>
          <cell r="L622">
            <v>76.5</v>
          </cell>
          <cell r="M622" t="str">
            <v>Und</v>
          </cell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38800</v>
          </cell>
          <cell r="K623">
            <v>400</v>
          </cell>
          <cell r="L623">
            <v>97</v>
          </cell>
          <cell r="M623" t="str">
            <v>Und</v>
          </cell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 t="e">
            <v>#N/A</v>
          </cell>
          <cell r="K624">
            <v>280</v>
          </cell>
          <cell r="L624" t="e">
            <v>#N/A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62700</v>
          </cell>
          <cell r="K625">
            <v>950</v>
          </cell>
          <cell r="L625">
            <v>66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8600</v>
          </cell>
          <cell r="K629">
            <v>1000</v>
          </cell>
          <cell r="L629">
            <v>8.6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50988</v>
          </cell>
          <cell r="K630">
            <v>1000</v>
          </cell>
          <cell r="L630">
            <v>50.988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62731</v>
          </cell>
          <cell r="K631">
            <v>1000</v>
          </cell>
          <cell r="L631">
            <v>62.731000000000002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34399.5</v>
          </cell>
          <cell r="K632">
            <v>200</v>
          </cell>
          <cell r="L632">
            <v>171.9975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1005</v>
          </cell>
          <cell r="K633">
            <v>250</v>
          </cell>
          <cell r="L633">
            <v>4.0199999999999996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 t="e">
            <v>#N/A</v>
          </cell>
          <cell r="K634">
            <v>200</v>
          </cell>
          <cell r="L634" t="e">
            <v>#N/A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 t="e">
            <v>#N/A</v>
          </cell>
          <cell r="K635">
            <v>500</v>
          </cell>
          <cell r="L635" t="e">
            <v>#N/A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47090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 t="e">
            <v>#N/A</v>
          </cell>
          <cell r="K637">
            <v>250</v>
          </cell>
          <cell r="L637" t="e">
            <v>#N/A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 t="e">
            <v>#N/A</v>
          </cell>
          <cell r="K638">
            <v>180</v>
          </cell>
          <cell r="L638" t="e">
            <v>#N/A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 t="e">
            <v>#N/A</v>
          </cell>
          <cell r="K639">
            <v>500</v>
          </cell>
          <cell r="L639" t="e">
            <v>#N/A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 t="e">
            <v>#N/A</v>
          </cell>
          <cell r="K640">
            <v>250</v>
          </cell>
          <cell r="L640" t="e">
            <v>#N/A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380</v>
          </cell>
          <cell r="K641">
            <v>1</v>
          </cell>
          <cell r="L641">
            <v>380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 t="e">
            <v>#N/A</v>
          </cell>
          <cell r="K642">
            <v>1000</v>
          </cell>
          <cell r="L642" t="e">
            <v>#N/A</v>
          </cell>
          <cell r="M642" t="str">
            <v>Und</v>
          </cell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52728</v>
          </cell>
          <cell r="K643">
            <v>35</v>
          </cell>
          <cell r="L643">
            <v>1506.5142857142857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29627</v>
          </cell>
          <cell r="K644">
            <v>50</v>
          </cell>
          <cell r="L644">
            <v>592.54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23733</v>
          </cell>
          <cell r="K645">
            <v>100</v>
          </cell>
          <cell r="L645">
            <v>237.33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26583</v>
          </cell>
          <cell r="K646">
            <v>200</v>
          </cell>
          <cell r="L646">
            <v>132.91499999999999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46516</v>
          </cell>
          <cell r="K648">
            <v>100</v>
          </cell>
          <cell r="L648">
            <v>465.16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16875.075000000001</v>
          </cell>
          <cell r="K649">
            <v>125</v>
          </cell>
          <cell r="L649">
            <v>135.00060000000002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17678.650000000001</v>
          </cell>
          <cell r="K650">
            <v>125</v>
          </cell>
          <cell r="L650">
            <v>141.42920000000001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12905</v>
          </cell>
          <cell r="K651">
            <v>125</v>
          </cell>
          <cell r="L651">
            <v>103.24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6637.47</v>
          </cell>
          <cell r="K652">
            <v>50</v>
          </cell>
          <cell r="L652">
            <v>132.74940000000001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138.19999999999999</v>
          </cell>
          <cell r="K653">
            <v>50</v>
          </cell>
          <cell r="L653">
            <v>2.7639999999999998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3548.875</v>
          </cell>
          <cell r="K654">
            <v>50</v>
          </cell>
          <cell r="L654">
            <v>70.977500000000006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5484.63</v>
          </cell>
          <cell r="K655">
            <v>50</v>
          </cell>
          <cell r="L655">
            <v>109.6926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 t="e">
            <v>#N/A</v>
          </cell>
          <cell r="K656">
            <v>125</v>
          </cell>
          <cell r="L656" t="e">
            <v>#N/A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5807.25</v>
          </cell>
          <cell r="K657">
            <v>50</v>
          </cell>
          <cell r="L657">
            <v>116.145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7392.89</v>
          </cell>
          <cell r="K658">
            <v>50</v>
          </cell>
          <cell r="L658">
            <v>147.8578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5142.88</v>
          </cell>
          <cell r="K659">
            <v>50</v>
          </cell>
          <cell r="L659">
            <v>102.85760000000001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5785.74</v>
          </cell>
          <cell r="K660">
            <v>50</v>
          </cell>
          <cell r="L660">
            <v>115.7148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3548.8760000000002</v>
          </cell>
          <cell r="K661">
            <v>50</v>
          </cell>
          <cell r="L661">
            <v>70.977519999999998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 t="e">
            <v>#N/A</v>
          </cell>
          <cell r="K662">
            <v>50</v>
          </cell>
          <cell r="L662" t="e">
            <v>#N/A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 t="e">
            <v>#N/A</v>
          </cell>
          <cell r="K663">
            <v>25</v>
          </cell>
          <cell r="L663" t="e">
            <v>#N/A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1303.25</v>
          </cell>
          <cell r="K665">
            <v>50</v>
          </cell>
          <cell r="L665">
            <v>26.065000000000001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1835.05</v>
          </cell>
          <cell r="K666">
            <v>25</v>
          </cell>
          <cell r="L666">
            <v>73.402000000000001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1073.2</v>
          </cell>
          <cell r="K667">
            <v>50</v>
          </cell>
          <cell r="L667">
            <v>21.464000000000002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 t="e">
            <v>#N/A</v>
          </cell>
          <cell r="K668">
            <v>100</v>
          </cell>
          <cell r="L668" t="e">
            <v>#N/A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 t="e">
            <v>#N/A</v>
          </cell>
          <cell r="K669"/>
          <cell r="L669" t="e">
            <v>#N/A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 t="e">
            <v>#N/A</v>
          </cell>
          <cell r="K670"/>
          <cell r="L670" t="e">
            <v>#N/A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 t="e">
            <v>#N/A</v>
          </cell>
          <cell r="K671">
            <v>100</v>
          </cell>
          <cell r="L671" t="e">
            <v>#N/A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 t="e">
            <v>#N/A</v>
          </cell>
          <cell r="K672"/>
          <cell r="L672" t="e">
            <v>#N/A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 t="e">
            <v>#N/A</v>
          </cell>
          <cell r="K674"/>
          <cell r="L674" t="e">
            <v>#N/A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 t="e">
            <v>#N/A</v>
          </cell>
          <cell r="K675">
            <v>45000</v>
          </cell>
          <cell r="L675" t="e">
            <v>#N/A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 t="e">
            <v>#N/A</v>
          </cell>
          <cell r="K676"/>
          <cell r="L676" t="e">
            <v>#N/A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7420.375</v>
          </cell>
          <cell r="K678">
            <v>50</v>
          </cell>
          <cell r="L678">
            <v>148.4075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11937.13</v>
          </cell>
          <cell r="K679">
            <v>50</v>
          </cell>
          <cell r="L679">
            <v>238.74259999999998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 t="e">
            <v>#N/A</v>
          </cell>
          <cell r="K684">
            <v>1</v>
          </cell>
          <cell r="L684" t="e">
            <v>#N/A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6000</v>
          </cell>
          <cell r="K685">
            <v>1000</v>
          </cell>
          <cell r="L685">
            <v>6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5.6</v>
          </cell>
          <cell r="K686">
            <v>1</v>
          </cell>
          <cell r="L686">
            <v>5.6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2405</v>
          </cell>
          <cell r="K688">
            <v>1000</v>
          </cell>
          <cell r="L688">
            <v>2.4049999999999998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994</v>
          </cell>
          <cell r="K689">
            <v>1000</v>
          </cell>
          <cell r="L689">
            <v>0.99399999999999999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 t="e">
            <v>#N/A</v>
          </cell>
          <cell r="K690">
            <v>1</v>
          </cell>
          <cell r="L690" t="e">
            <v>#N/A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111.25</v>
          </cell>
          <cell r="K691">
            <v>1</v>
          </cell>
          <cell r="L691">
            <v>111.25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 t="e">
            <v>#N/A</v>
          </cell>
          <cell r="K692">
            <v>1</v>
          </cell>
          <cell r="L692" t="e">
            <v>#N/A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 t="e">
            <v>#N/A</v>
          </cell>
          <cell r="K693">
            <v>1</v>
          </cell>
          <cell r="L693" t="e">
            <v>#N/A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 t="e">
            <v>#N/A</v>
          </cell>
          <cell r="K694">
            <v>1</v>
          </cell>
          <cell r="L694" t="e">
            <v>#N/A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 t="e">
            <v>#N/A</v>
          </cell>
          <cell r="K695">
            <v>1</v>
          </cell>
          <cell r="L695" t="e">
            <v>#N/A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 t="e">
            <v>#N/A</v>
          </cell>
          <cell r="K696">
            <v>500</v>
          </cell>
          <cell r="L696" t="e">
            <v>#N/A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 t="e">
            <v>#N/A</v>
          </cell>
          <cell r="K697"/>
          <cell r="L697" t="e">
            <v>#N/A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 t="e">
            <v>#N/A</v>
          </cell>
          <cell r="K698">
            <v>500</v>
          </cell>
          <cell r="L698" t="e">
            <v>#N/A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 t="e">
            <v>#N/A</v>
          </cell>
          <cell r="K699">
            <v>500</v>
          </cell>
          <cell r="L699" t="e">
            <v>#N/A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7093</v>
          </cell>
          <cell r="K702">
            <v>4000</v>
          </cell>
          <cell r="L702">
            <v>1.77325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 t="e">
            <v>#N/A</v>
          </cell>
          <cell r="K703">
            <v>2268</v>
          </cell>
          <cell r="L703" t="e">
            <v>#N/A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 t="e">
            <v>#N/A</v>
          </cell>
          <cell r="K704">
            <v>2500</v>
          </cell>
          <cell r="L704" t="e">
            <v>#N/A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 t="e">
            <v>#N/A</v>
          </cell>
          <cell r="K705">
            <v>946</v>
          </cell>
          <cell r="L705" t="e">
            <v>#N/A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1495.44</v>
          </cell>
          <cell r="K707">
            <v>930</v>
          </cell>
          <cell r="L707">
            <v>1.6080000000000001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9553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 t="e">
            <v>#N/A</v>
          </cell>
          <cell r="K709"/>
          <cell r="L709" t="e">
            <v>#N/A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3320</v>
          </cell>
          <cell r="K710">
            <v>510</v>
          </cell>
          <cell r="L710">
            <v>6.5098039215686274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 t="e">
            <v>#N/A</v>
          </cell>
          <cell r="K711"/>
          <cell r="L711" t="e">
            <v>#N/A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1650</v>
          </cell>
          <cell r="K712">
            <v>500</v>
          </cell>
          <cell r="L712">
            <v>3.3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2445</v>
          </cell>
          <cell r="K713">
            <v>300</v>
          </cell>
          <cell r="L713">
            <v>8.15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 t="e">
            <v>#N/A</v>
          </cell>
          <cell r="K714"/>
          <cell r="L714" t="e">
            <v>#N/A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7457</v>
          </cell>
          <cell r="K715">
            <v>750</v>
          </cell>
          <cell r="L715">
            <v>9.9426666666666659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 t="e">
            <v>#N/A</v>
          </cell>
          <cell r="K716"/>
          <cell r="L716" t="e">
            <v>#N/A</v>
          </cell>
          <cell r="M716" t="str">
            <v>Mililitros</v>
          </cell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 t="e">
            <v>#N/A</v>
          </cell>
          <cell r="K717"/>
          <cell r="L717" t="e">
            <v>#N/A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9823.92</v>
          </cell>
          <cell r="K718">
            <v>1000</v>
          </cell>
          <cell r="L718">
            <v>9.8239199999999993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2995</v>
          </cell>
          <cell r="K719">
            <v>1000</v>
          </cell>
          <cell r="L719">
            <v>2.9950000000000001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2050</v>
          </cell>
          <cell r="K720">
            <v>1000</v>
          </cell>
          <cell r="L720">
            <v>2.0499999999999998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 t="e">
            <v>#N/A</v>
          </cell>
          <cell r="K721">
            <v>1000</v>
          </cell>
          <cell r="L721" t="e">
            <v>#N/A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 t="e">
            <v>#N/A</v>
          </cell>
          <cell r="K722">
            <v>1000</v>
          </cell>
          <cell r="L722" t="e">
            <v>#N/A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3214</v>
          </cell>
          <cell r="K723">
            <v>454</v>
          </cell>
          <cell r="L723">
            <v>7.0792951541850222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2086</v>
          </cell>
          <cell r="K724">
            <v>156</v>
          </cell>
          <cell r="L724">
            <v>13.371794871794872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1845</v>
          </cell>
          <cell r="K725">
            <v>57</v>
          </cell>
          <cell r="L725">
            <v>32.368421052631582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7511</v>
          </cell>
          <cell r="K726">
            <v>510</v>
          </cell>
          <cell r="L726">
            <v>14.727450980392156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5108</v>
          </cell>
          <cell r="K727">
            <v>340</v>
          </cell>
          <cell r="L727">
            <v>15.023529411764706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6228</v>
          </cell>
          <cell r="K729">
            <v>2000</v>
          </cell>
          <cell r="L729">
            <v>3.1139999999999999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 t="e">
            <v>#N/A</v>
          </cell>
          <cell r="K730">
            <v>354</v>
          </cell>
          <cell r="L730" t="e">
            <v>#N/A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 t="e">
            <v>#N/A</v>
          </cell>
          <cell r="K731">
            <v>453</v>
          </cell>
          <cell r="L731" t="e">
            <v>#N/A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 t="e">
            <v>#N/A</v>
          </cell>
          <cell r="K732">
            <v>1800</v>
          </cell>
          <cell r="L732" t="e">
            <v>#N/A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 t="e">
            <v>#N/A</v>
          </cell>
          <cell r="K733">
            <v>1000</v>
          </cell>
          <cell r="L733" t="e">
            <v>#N/A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 t="e">
            <v>#N/A</v>
          </cell>
          <cell r="K734">
            <v>1000</v>
          </cell>
          <cell r="L734" t="e">
            <v>#N/A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50600</v>
          </cell>
          <cell r="K735">
            <v>23000</v>
          </cell>
          <cell r="L735">
            <v>2.2000000000000002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 t="e">
            <v>#N/A</v>
          </cell>
          <cell r="K736">
            <v>25000</v>
          </cell>
          <cell r="L736" t="e">
            <v>#N/A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 t="e">
            <v>#N/A</v>
          </cell>
          <cell r="K737">
            <v>150</v>
          </cell>
          <cell r="L737" t="e">
            <v>#N/A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 t="e">
            <v>#N/A</v>
          </cell>
          <cell r="K738">
            <v>1000</v>
          </cell>
          <cell r="L738" t="e">
            <v>#N/A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 t="e">
            <v>#N/A</v>
          </cell>
          <cell r="K739">
            <v>800</v>
          </cell>
          <cell r="L739" t="e">
            <v>#N/A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 t="e">
            <v>#N/A</v>
          </cell>
          <cell r="K740">
            <v>1000</v>
          </cell>
          <cell r="L740" t="e">
            <v>#N/A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 t="e">
            <v>#N/A</v>
          </cell>
          <cell r="K741">
            <v>1000</v>
          </cell>
          <cell r="L741" t="e">
            <v>#N/A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 t="e">
            <v>#N/A</v>
          </cell>
          <cell r="K742">
            <v>3000</v>
          </cell>
          <cell r="L742" t="e">
            <v>#N/A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 t="e">
            <v>#N/A</v>
          </cell>
          <cell r="K743">
            <v>3000</v>
          </cell>
          <cell r="L743" t="e">
            <v>#N/A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3741</v>
          </cell>
          <cell r="K744">
            <v>1800</v>
          </cell>
          <cell r="L744">
            <v>2.0783333333333331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13178.8</v>
          </cell>
          <cell r="K745">
            <v>1656</v>
          </cell>
          <cell r="L745">
            <v>7.9582125603864728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 t="e">
            <v>#N/A</v>
          </cell>
          <cell r="K746">
            <v>1130</v>
          </cell>
          <cell r="L746" t="e">
            <v>#N/A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14032.8</v>
          </cell>
          <cell r="K748">
            <v>3000</v>
          </cell>
          <cell r="L748">
            <v>4.6776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1050</v>
          </cell>
          <cell r="K749">
            <v>6</v>
          </cell>
          <cell r="L749">
            <v>175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 t="e">
            <v>#N/A</v>
          </cell>
          <cell r="K750">
            <v>10</v>
          </cell>
          <cell r="L750" t="e">
            <v>#N/A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7867</v>
          </cell>
          <cell r="K751">
            <v>12000</v>
          </cell>
          <cell r="L751">
            <v>0.6555833333333333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9837</v>
          </cell>
          <cell r="K752">
            <v>4000</v>
          </cell>
          <cell r="L752">
            <v>2.4592499999999999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51410</v>
          </cell>
          <cell r="K753">
            <v>25000</v>
          </cell>
          <cell r="L753">
            <v>2.0564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3900</v>
          </cell>
          <cell r="K754">
            <v>3780</v>
          </cell>
          <cell r="L754">
            <v>1.0317460317460319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9410</v>
          </cell>
          <cell r="K755">
            <v>1000</v>
          </cell>
          <cell r="L755">
            <v>9.41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21097.78</v>
          </cell>
          <cell r="K756">
            <v>1000</v>
          </cell>
          <cell r="L756">
            <v>21.09778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 t="e">
            <v>#N/A</v>
          </cell>
          <cell r="K757"/>
          <cell r="L757" t="e">
            <v>#N/A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 t="e">
            <v>#N/A</v>
          </cell>
          <cell r="K758">
            <v>1000</v>
          </cell>
          <cell r="L758" t="e">
            <v>#N/A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5653</v>
          </cell>
          <cell r="K759">
            <v>566</v>
          </cell>
          <cell r="L759">
            <v>9.9876325088339222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 t="e">
            <v>#N/A</v>
          </cell>
          <cell r="K760">
            <v>150</v>
          </cell>
          <cell r="L760" t="e">
            <v>#N/A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 t="e">
            <v>#N/A</v>
          </cell>
          <cell r="K761"/>
          <cell r="L761" t="e">
            <v>#N/A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 t="e">
            <v>#N/A</v>
          </cell>
          <cell r="K762"/>
          <cell r="L762" t="e">
            <v>#N/A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 t="e">
            <v>#N/A</v>
          </cell>
          <cell r="K763"/>
          <cell r="L763" t="e">
            <v>#N/A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 t="e">
            <v>#N/A</v>
          </cell>
          <cell r="K764">
            <v>126</v>
          </cell>
          <cell r="L764" t="e">
            <v>#N/A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 t="e">
            <v>#N/A</v>
          </cell>
          <cell r="K765"/>
          <cell r="L765" t="e">
            <v>#N/A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 t="e">
            <v>#N/A</v>
          </cell>
          <cell r="K766"/>
          <cell r="L766" t="e">
            <v>#N/A</v>
          </cell>
          <cell r="M766" t="str">
            <v>Gramos</v>
          </cell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 t="e">
            <v>#N/A</v>
          </cell>
          <cell r="K767"/>
          <cell r="L767" t="e">
            <v>#N/A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 t="e">
            <v>#N/A</v>
          </cell>
          <cell r="K768"/>
          <cell r="L768" t="e">
            <v>#N/A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 t="e">
            <v>#N/A</v>
          </cell>
          <cell r="K769"/>
          <cell r="L769" t="e">
            <v>#N/A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1800</v>
          </cell>
          <cell r="K770">
            <v>430</v>
          </cell>
          <cell r="L770">
            <v>4.1860465116279073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1800</v>
          </cell>
          <cell r="K772">
            <v>250</v>
          </cell>
          <cell r="L772">
            <v>7.2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1400</v>
          </cell>
          <cell r="K773">
            <v>196</v>
          </cell>
          <cell r="L773">
            <v>7.1428571428571432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1800</v>
          </cell>
          <cell r="K774">
            <v>126</v>
          </cell>
          <cell r="L774">
            <v>14.285714285714286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2410.86</v>
          </cell>
          <cell r="K775">
            <v>2500</v>
          </cell>
          <cell r="L775">
            <v>0.96434400000000009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 t="e">
            <v>#N/A</v>
          </cell>
          <cell r="K776">
            <v>1</v>
          </cell>
          <cell r="L776" t="e">
            <v>#N/A</v>
          </cell>
          <cell r="M776"/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 t="e">
            <v>#N/A</v>
          </cell>
          <cell r="K777">
            <v>1</v>
          </cell>
          <cell r="L777" t="e">
            <v>#N/A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 t="e">
            <v>#N/A</v>
          </cell>
          <cell r="K778">
            <v>1</v>
          </cell>
          <cell r="L778" t="e">
            <v>#N/A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 t="e">
            <v>#N/A</v>
          </cell>
          <cell r="K779"/>
          <cell r="L779" t="e">
            <v>#N/A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5900</v>
          </cell>
          <cell r="K780">
            <v>15000</v>
          </cell>
          <cell r="L780">
            <v>0.39333333333333331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11857</v>
          </cell>
          <cell r="K781">
            <v>20000</v>
          </cell>
          <cell r="L781">
            <v>0.59284999999999999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 t="e">
            <v>#N/A</v>
          </cell>
          <cell r="K782">
            <v>50</v>
          </cell>
          <cell r="L782" t="e">
            <v>#N/A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 t="e">
            <v>#N/A</v>
          </cell>
          <cell r="K783">
            <v>1</v>
          </cell>
          <cell r="L783" t="e">
            <v>#N/A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38592</v>
          </cell>
          <cell r="K784">
            <v>25000</v>
          </cell>
          <cell r="L784">
            <v>1.5436799999999999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12041</v>
          </cell>
          <cell r="K785">
            <v>100</v>
          </cell>
          <cell r="L785">
            <v>120.41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 t="e">
            <v>#N/A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 t="e">
            <v>#N/A</v>
          </cell>
          <cell r="K787">
            <v>1</v>
          </cell>
          <cell r="L787" t="e">
            <v>#N/A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1300</v>
          </cell>
          <cell r="K788">
            <v>14000</v>
          </cell>
          <cell r="L788">
            <v>9.285714285714286E-2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5600</v>
          </cell>
          <cell r="K790">
            <v>750</v>
          </cell>
          <cell r="L790">
            <v>7.4666666666666668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 t="e">
            <v>#N/A</v>
          </cell>
          <cell r="K791">
            <v>361</v>
          </cell>
          <cell r="L791" t="e">
            <v>#N/A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8983</v>
          </cell>
          <cell r="K792">
            <v>500</v>
          </cell>
          <cell r="L792">
            <v>17.966000000000001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200</v>
          </cell>
          <cell r="K793">
            <v>900</v>
          </cell>
          <cell r="L793">
            <v>0.22222222222222221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3166</v>
          </cell>
          <cell r="K794">
            <v>2890</v>
          </cell>
          <cell r="L794">
            <v>1.0955017301038061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3449</v>
          </cell>
          <cell r="K796">
            <v>1000</v>
          </cell>
          <cell r="L796">
            <v>3.4489999999999998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106.19468999999999</v>
          </cell>
          <cell r="K798">
            <v>1</v>
          </cell>
          <cell r="L798">
            <v>106.19468999999999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 t="e">
            <v>#N/A</v>
          </cell>
          <cell r="K799">
            <v>196</v>
          </cell>
          <cell r="L799" t="e">
            <v>#N/A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4745</v>
          </cell>
          <cell r="K800">
            <v>1000</v>
          </cell>
          <cell r="L800">
            <v>4.7450000000000001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1345</v>
          </cell>
          <cell r="K801">
            <v>200</v>
          </cell>
          <cell r="L801">
            <v>6.7249999999999996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 t="e">
            <v>#N/A</v>
          </cell>
          <cell r="K802">
            <v>22680</v>
          </cell>
          <cell r="L802" t="e">
            <v>#N/A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11219.43</v>
          </cell>
          <cell r="K803">
            <v>1000</v>
          </cell>
          <cell r="L803">
            <v>11.219430000000001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9750</v>
          </cell>
          <cell r="K804">
            <v>50</v>
          </cell>
          <cell r="L804">
            <v>195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3456</v>
          </cell>
          <cell r="K805">
            <v>1000</v>
          </cell>
          <cell r="L805">
            <v>3.456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951</v>
          </cell>
          <cell r="K806">
            <v>500</v>
          </cell>
          <cell r="L806">
            <v>1.9019999999999999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1780</v>
          </cell>
          <cell r="K807">
            <v>1000</v>
          </cell>
          <cell r="L807">
            <v>1.78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84.84</v>
          </cell>
          <cell r="K808">
            <v>1</v>
          </cell>
          <cell r="L808">
            <v>84.84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7500</v>
          </cell>
          <cell r="K809">
            <v>4500</v>
          </cell>
          <cell r="L809">
            <v>1.6666666666666667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584.33204999999998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105</v>
          </cell>
          <cell r="K811">
            <v>1</v>
          </cell>
          <cell r="L811">
            <v>105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 t="e">
            <v>#N/A</v>
          </cell>
          <cell r="K812">
            <v>1</v>
          </cell>
          <cell r="L812" t="e">
            <v>#N/A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65</v>
          </cell>
          <cell r="K813">
            <v>1</v>
          </cell>
          <cell r="L813">
            <v>65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584.33204999999998</v>
          </cell>
          <cell r="K814">
            <v>1</v>
          </cell>
          <cell r="L814">
            <v>584.33204999999998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 t="e">
            <v>#N/A</v>
          </cell>
          <cell r="K815">
            <v>2900</v>
          </cell>
          <cell r="L815" t="e">
            <v>#N/A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10045</v>
          </cell>
          <cell r="K816">
            <v>2270</v>
          </cell>
          <cell r="L816">
            <v>4.4251101321585899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3000</v>
          </cell>
          <cell r="K817">
            <v>3000</v>
          </cell>
          <cell r="L817">
            <v>1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25635</v>
          </cell>
          <cell r="K818">
            <v>500</v>
          </cell>
          <cell r="L818">
            <v>51.27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20443</v>
          </cell>
          <cell r="K819">
            <v>500</v>
          </cell>
          <cell r="L819">
            <v>40.886000000000003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2590</v>
          </cell>
          <cell r="K820">
            <v>960</v>
          </cell>
          <cell r="L820">
            <v>2.6979166666666665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 t="str">
            <v>UND</v>
          </cell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 t="e">
            <v>#N/A</v>
          </cell>
          <cell r="K822">
            <v>1</v>
          </cell>
          <cell r="L822" t="e">
            <v>#N/A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>
            <v>500</v>
          </cell>
          <cell r="I823">
            <v>9000</v>
          </cell>
          <cell r="J823">
            <v>9380</v>
          </cell>
          <cell r="K823">
            <v>1000</v>
          </cell>
          <cell r="L823">
            <v>9.3800000000000008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1818.0123806632935</v>
          </cell>
          <cell r="H2">
            <v>1.8180123806632935</v>
          </cell>
          <cell r="I2">
            <v>15.79491665813682</v>
          </cell>
          <cell r="J2">
            <v>1.5794916658136822E-2</v>
          </cell>
          <cell r="K2">
            <v>330.08531351785746</v>
          </cell>
          <cell r="L2">
            <v>0.33008531351785747</v>
          </cell>
          <cell r="M2">
            <v>2163.892610839288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1798.0394133527511</v>
          </cell>
          <cell r="H3">
            <v>1.7980394133527511</v>
          </cell>
          <cell r="I3">
            <v>15.790891179982301</v>
          </cell>
          <cell r="J3">
            <v>1.5790891179982301E-2</v>
          </cell>
          <cell r="K3">
            <v>326.48945481589197</v>
          </cell>
          <cell r="L3">
            <v>0.32648945481589198</v>
          </cell>
          <cell r="M3">
            <v>2140.3197593486252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1771.8052497404976</v>
          </cell>
          <cell r="H4">
            <v>1.7718052497404977</v>
          </cell>
          <cell r="I4">
            <v>16.410705586718251</v>
          </cell>
          <cell r="J4">
            <v>1.6410705586718251E-2</v>
          </cell>
          <cell r="K4">
            <v>321.87887195889886</v>
          </cell>
          <cell r="L4">
            <v>0.32187887195889886</v>
          </cell>
          <cell r="M4">
            <v>2110.0948272861147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1872.8575344999999</v>
          </cell>
          <cell r="H5">
            <v>1.8728575345</v>
          </cell>
          <cell r="I5">
            <v>1.1569600000000003E-2</v>
          </cell>
          <cell r="J5">
            <v>1.1569600000000004E-5</v>
          </cell>
          <cell r="K5">
            <v>337.116438738</v>
          </cell>
          <cell r="L5">
            <v>0.33711643873800001</v>
          </cell>
          <cell r="M5">
            <v>2209.9855428380001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3222.0885765903386</v>
          </cell>
          <cell r="H6">
            <v>3.2220885765903384</v>
          </cell>
          <cell r="I6">
            <v>3.5294067063096075</v>
          </cell>
          <cell r="J6">
            <v>3.5294067063096077E-3</v>
          </cell>
          <cell r="K6">
            <v>580.61123699339669</v>
          </cell>
          <cell r="L6">
            <v>0.58061123699339667</v>
          </cell>
          <cell r="M6">
            <v>3806.2292202900449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 t="e">
            <v>#N/A</v>
          </cell>
          <cell r="H7" t="e">
            <v>#N/A</v>
          </cell>
          <cell r="I7">
            <v>5.1985134476190478</v>
          </cell>
          <cell r="J7">
            <v>5.1985134476190478E-3</v>
          </cell>
          <cell r="K7" t="e">
            <v>#N/A</v>
          </cell>
          <cell r="L7" t="e">
            <v>#N/A</v>
          </cell>
          <cell r="M7" t="e">
            <v>#N/A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2335.1460338156021</v>
          </cell>
          <cell r="H8">
            <v>2.3351460338156023</v>
          </cell>
          <cell r="I8">
            <v>5.7784810095238095</v>
          </cell>
          <cell r="J8">
            <v>5.7784810095238091E-3</v>
          </cell>
          <cell r="K8">
            <v>421.36641266852263</v>
          </cell>
          <cell r="L8">
            <v>0.42136641266852265</v>
          </cell>
          <cell r="M8">
            <v>2762.2909274936483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1356.4251519607844</v>
          </cell>
          <cell r="H9">
            <v>1.3564251519607844</v>
          </cell>
          <cell r="I9">
            <v>7.7820665857826832</v>
          </cell>
          <cell r="J9">
            <v>7.7820665857826835E-3</v>
          </cell>
          <cell r="K9">
            <v>245.55729933838208</v>
          </cell>
          <cell r="L9">
            <v>0.24555729933838208</v>
          </cell>
          <cell r="M9">
            <v>1609.7645178849493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1702.7540827727742</v>
          </cell>
          <cell r="H10">
            <v>1.7027540827727741</v>
          </cell>
          <cell r="I10">
            <v>1.6084444444444446</v>
          </cell>
          <cell r="J10">
            <v>1.6084444444444445E-3</v>
          </cell>
          <cell r="K10">
            <v>306.78525489909936</v>
          </cell>
          <cell r="L10">
            <v>0.30678525489909936</v>
          </cell>
          <cell r="M10">
            <v>2011.147782116318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630.05903283234045</v>
          </cell>
          <cell r="H11">
            <v>0.63005903283234044</v>
          </cell>
          <cell r="I11">
            <v>7.2189858941756668</v>
          </cell>
          <cell r="J11">
            <v>7.2189858941756665E-3</v>
          </cell>
          <cell r="K11">
            <v>114.71004337077291</v>
          </cell>
          <cell r="L11">
            <v>0.11471004337077291</v>
          </cell>
          <cell r="M11">
            <v>751.98806209728912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922.34374677530218</v>
          </cell>
          <cell r="H12">
            <v>0.92234374677530218</v>
          </cell>
          <cell r="I12">
            <v>2.3834222222222223</v>
          </cell>
          <cell r="J12">
            <v>2.3834222222222225E-3</v>
          </cell>
          <cell r="K12">
            <v>166.45089041955438</v>
          </cell>
          <cell r="L12">
            <v>0.16645089041955438</v>
          </cell>
          <cell r="M12">
            <v>1091.1780594170787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1083.4899340044426</v>
          </cell>
          <cell r="H13">
            <v>1.0834899340044426</v>
          </cell>
          <cell r="I13">
            <v>47.512199005170856</v>
          </cell>
          <cell r="J13">
            <v>4.7512199005170855E-2</v>
          </cell>
          <cell r="K13">
            <v>203.58038394173042</v>
          </cell>
          <cell r="L13">
            <v>0.20358038394173042</v>
          </cell>
          <cell r="M13">
            <v>1334.5825169513439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1931.6622306927411</v>
          </cell>
          <cell r="H14">
            <v>1.9316622306927411</v>
          </cell>
          <cell r="I14">
            <v>2.423304975509152</v>
          </cell>
          <cell r="J14">
            <v>2.423304975509152E-3</v>
          </cell>
          <cell r="K14">
            <v>348.13539642028502</v>
          </cell>
          <cell r="L14">
            <v>0.34813539642028501</v>
          </cell>
          <cell r="M14">
            <v>2282.2209320885354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888.04119549048255</v>
          </cell>
          <cell r="H15">
            <v>0.88804119549048255</v>
          </cell>
          <cell r="I15">
            <v>4.737632815671307</v>
          </cell>
          <cell r="J15">
            <v>4.7376328156713068E-3</v>
          </cell>
          <cell r="K15">
            <v>160.70018909510767</v>
          </cell>
          <cell r="L15">
            <v>0.16070018909510767</v>
          </cell>
          <cell r="M15">
            <v>1053.4790174012614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1464.8454459273519</v>
          </cell>
          <cell r="H16">
            <v>1.4648454459273519</v>
          </cell>
          <cell r="I16">
            <v>11.280886143749999</v>
          </cell>
          <cell r="J16">
            <v>1.1280886143749998E-2</v>
          </cell>
          <cell r="K16">
            <v>265.70273977279834</v>
          </cell>
          <cell r="L16">
            <v>0.26570273977279835</v>
          </cell>
          <cell r="M16">
            <v>1741.8290718439002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4813.5739999999996</v>
          </cell>
          <cell r="H17">
            <v>4.813574</v>
          </cell>
          <cell r="I17">
            <v>46.743326679973386</v>
          </cell>
          <cell r="J17">
            <v>4.6743326679973385E-2</v>
          </cell>
          <cell r="K17">
            <v>874.85711880239512</v>
          </cell>
          <cell r="L17">
            <v>0.87485711880239514</v>
          </cell>
          <cell r="M17">
            <v>5735.1744454823684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928.03394466590669</v>
          </cell>
          <cell r="H18">
            <v>0.92803394466590672</v>
          </cell>
          <cell r="I18">
            <v>6.1995861311710803</v>
          </cell>
          <cell r="J18">
            <v>6.1995861311710801E-3</v>
          </cell>
          <cell r="K18">
            <v>168.16203554347399</v>
          </cell>
          <cell r="L18">
            <v>0.168162035543474</v>
          </cell>
          <cell r="M18">
            <v>1102.3955663405518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 t="e">
            <v>#N/A</v>
          </cell>
          <cell r="H19" t="e">
            <v>#N/A</v>
          </cell>
          <cell r="I19">
            <v>10.240113134023121</v>
          </cell>
          <cell r="J19">
            <v>1.0240113134023121E-2</v>
          </cell>
          <cell r="K19" t="e">
            <v>#N/A</v>
          </cell>
          <cell r="L19" t="e">
            <v>#N/A</v>
          </cell>
          <cell r="M19" t="e">
            <v>#N/A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1515.4528909200446</v>
          </cell>
          <cell r="H20">
            <v>1.5154528909200446</v>
          </cell>
          <cell r="I20">
            <v>4.9659439496379933</v>
          </cell>
          <cell r="J20">
            <v>4.9659439496379937E-3</v>
          </cell>
          <cell r="K20">
            <v>273.67539027654283</v>
          </cell>
          <cell r="L20">
            <v>0.27367539027654281</v>
          </cell>
          <cell r="M20">
            <v>1794.0942251462254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953.27716952722369</v>
          </cell>
          <cell r="H21">
            <v>0.95327716952722374</v>
          </cell>
          <cell r="I21">
            <v>19.048651775144222</v>
          </cell>
          <cell r="J21">
            <v>1.9048651775144223E-2</v>
          </cell>
          <cell r="K21">
            <v>175.01864783442622</v>
          </cell>
          <cell r="L21">
            <v>0.17501864783442622</v>
          </cell>
          <cell r="M21">
            <v>1147.344469136794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4033.0710647769165</v>
          </cell>
          <cell r="H22">
            <v>4.0330710647769168</v>
          </cell>
          <cell r="I22">
            <v>60.435061128304206</v>
          </cell>
          <cell r="J22">
            <v>6.0435061128304206E-2</v>
          </cell>
          <cell r="K22">
            <v>736.83110266293977</v>
          </cell>
          <cell r="L22">
            <v>0.73683110266293972</v>
          </cell>
          <cell r="M22">
            <v>4830.3372285681608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1890.6782982299114</v>
          </cell>
          <cell r="H23">
            <v>1.8906782982299115</v>
          </cell>
          <cell r="I23">
            <v>0</v>
          </cell>
          <cell r="J23">
            <v>0</v>
          </cell>
          <cell r="K23">
            <v>340.32209368138405</v>
          </cell>
          <cell r="L23">
            <v>0.34032209368138405</v>
          </cell>
          <cell r="M23">
            <v>2231.0003919112955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1571.266522765166</v>
          </cell>
          <cell r="H24">
            <v>1.5712665227651659</v>
          </cell>
          <cell r="I24">
            <v>6.6112000000000011E-3</v>
          </cell>
          <cell r="J24">
            <v>6.6112000000000012E-6</v>
          </cell>
          <cell r="K24">
            <v>282.82916411372986</v>
          </cell>
          <cell r="L24">
            <v>0.28282916411372988</v>
          </cell>
          <cell r="M24">
            <v>1854.1022980788957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2055.2562225239599</v>
          </cell>
          <cell r="H25">
            <v>2.0552562225239597</v>
          </cell>
          <cell r="I25">
            <v>3.907117153273056</v>
          </cell>
          <cell r="J25">
            <v>3.9071171532730556E-3</v>
          </cell>
          <cell r="K25">
            <v>370.64940114190193</v>
          </cell>
          <cell r="L25">
            <v>0.37064940114190192</v>
          </cell>
          <cell r="M25">
            <v>2429.8127408191349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 t="e">
            <v>#N/A</v>
          </cell>
          <cell r="H26" t="e">
            <v>#N/A</v>
          </cell>
          <cell r="I26">
            <v>19.410147058823529</v>
          </cell>
          <cell r="J26">
            <v>1.9410147058823529E-2</v>
          </cell>
          <cell r="K26" t="e">
            <v>#N/A</v>
          </cell>
          <cell r="L26" t="e">
            <v>#N/A</v>
          </cell>
          <cell r="M26" t="e">
            <v>#N/A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2434.3544867520291</v>
          </cell>
          <cell r="H27">
            <v>2.4343544867520293</v>
          </cell>
          <cell r="I27">
            <v>12.949726558811987</v>
          </cell>
          <cell r="J27">
            <v>1.2949726558811986E-2</v>
          </cell>
          <cell r="K27">
            <v>440.51475839595139</v>
          </cell>
          <cell r="L27">
            <v>0.44051475839595139</v>
          </cell>
          <cell r="M27">
            <v>2887.8189717067926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2065.194009797061</v>
          </cell>
          <cell r="H28">
            <v>2.0651940097970609</v>
          </cell>
          <cell r="I28">
            <v>2.3875190384061249E-2</v>
          </cell>
          <cell r="J28">
            <v>2.3875190384061249E-5</v>
          </cell>
          <cell r="K28">
            <v>371.73921929774008</v>
          </cell>
          <cell r="L28">
            <v>0.37173921929774006</v>
          </cell>
          <cell r="M28">
            <v>2436.9571042851849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5843.6903084848482</v>
          </cell>
          <cell r="H29">
            <v>5.8436903084848479</v>
          </cell>
          <cell r="I29">
            <v>35.199318181818178</v>
          </cell>
          <cell r="J29">
            <v>3.5199318181818179E-2</v>
          </cell>
          <cell r="K29">
            <v>1058.2001327999999</v>
          </cell>
          <cell r="L29">
            <v>1.0582001327999999</v>
          </cell>
          <cell r="M29">
            <v>6937.0897594666658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4233.2467172995775</v>
          </cell>
          <cell r="H30">
            <v>4.2332467172995774</v>
          </cell>
          <cell r="I30">
            <v>22.629746835443036</v>
          </cell>
          <cell r="J30">
            <v>2.2629746835443037E-2</v>
          </cell>
          <cell r="K30">
            <v>766.05776354430373</v>
          </cell>
          <cell r="L30">
            <v>0.76605776354430377</v>
          </cell>
          <cell r="M30">
            <v>5021.934227679325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20.764286880408868</v>
          </cell>
          <cell r="J31">
            <v>2.0764286880408867E-2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1498.3169107111612</v>
          </cell>
          <cell r="H33">
            <v>1.4983169107111611</v>
          </cell>
          <cell r="I33">
            <v>9.6181610158730155</v>
          </cell>
          <cell r="J33">
            <v>9.6181610158730148E-3</v>
          </cell>
          <cell r="K33">
            <v>271.42831291086617</v>
          </cell>
          <cell r="L33">
            <v>0.27142831291086617</v>
          </cell>
          <cell r="M33">
            <v>1779.3633846379005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1346.2121915399857</v>
          </cell>
          <cell r="H34">
            <v>1.3462121915399856</v>
          </cell>
          <cell r="I34">
            <v>1.6618652673796792</v>
          </cell>
          <cell r="J34">
            <v>1.6618652673796792E-3</v>
          </cell>
          <cell r="K34">
            <v>242.61733022532576</v>
          </cell>
          <cell r="L34">
            <v>0.24261733022532575</v>
          </cell>
          <cell r="M34">
            <v>1590.4913870326911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63.858090135278921</v>
          </cell>
          <cell r="H35">
            <v>63.858090135278921</v>
          </cell>
          <cell r="I35">
            <v>1.090372284429132E-2</v>
          </cell>
          <cell r="J35">
            <v>1.090372284429132E-2</v>
          </cell>
          <cell r="K35">
            <v>11.496418894462177</v>
          </cell>
          <cell r="L35">
            <v>11.496418894462177</v>
          </cell>
          <cell r="M35">
            <v>75.365412752585385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2325.0200443920121</v>
          </cell>
          <cell r="H36">
            <v>2.3250200443920122</v>
          </cell>
          <cell r="I36">
            <v>6.2294815804037631</v>
          </cell>
          <cell r="J36">
            <v>6.2294815804037635E-3</v>
          </cell>
          <cell r="K36">
            <v>419.62491467503486</v>
          </cell>
          <cell r="L36">
            <v>0.41962491467503488</v>
          </cell>
          <cell r="M36">
            <v>2750.8744406474507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517.76758357843141</v>
          </cell>
          <cell r="H37">
            <v>0.51776758357843145</v>
          </cell>
          <cell r="I37">
            <v>0.1961452571428571</v>
          </cell>
          <cell r="J37">
            <v>1.9614525714285711E-4</v>
          </cell>
          <cell r="K37">
            <v>93.23347119040335</v>
          </cell>
          <cell r="L37">
            <v>9.3233471190403344E-2</v>
          </cell>
          <cell r="M37">
            <v>611.19720002597751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4233.2467172995775</v>
          </cell>
          <cell r="H39">
            <v>4.2332467172995774</v>
          </cell>
          <cell r="I39">
            <v>28.047430168776373</v>
          </cell>
          <cell r="J39">
            <v>2.8047430168776373E-2</v>
          </cell>
          <cell r="K39">
            <v>767.03294654430363</v>
          </cell>
          <cell r="L39">
            <v>0.76703294654430365</v>
          </cell>
          <cell r="M39">
            <v>5028.3270940126577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1710.2858333333334</v>
          </cell>
          <cell r="H40">
            <v>1.7102858333333333</v>
          </cell>
          <cell r="I40">
            <v>2.1280000000000001</v>
          </cell>
          <cell r="J40">
            <v>2.1280000000000001E-3</v>
          </cell>
          <cell r="K40">
            <v>308.23448999999999</v>
          </cell>
          <cell r="L40">
            <v>0.30823448999999997</v>
          </cell>
          <cell r="M40">
            <v>2020.6483233333333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20.318059475218661</v>
          </cell>
          <cell r="J41">
            <v>2.0318059475218662E-2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3411.5531776470589</v>
          </cell>
          <cell r="H42">
            <v>3.4115531776470589</v>
          </cell>
          <cell r="I42">
            <v>4.1110605714285722</v>
          </cell>
          <cell r="J42">
            <v>4.1110605714285726E-3</v>
          </cell>
          <cell r="K42">
            <v>614.81956287932769</v>
          </cell>
          <cell r="L42">
            <v>0.61481956287932771</v>
          </cell>
          <cell r="M42">
            <v>4030.4838010978151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2292.2463655804545</v>
          </cell>
          <cell r="H43">
            <v>2.2922463655804544</v>
          </cell>
          <cell r="I43">
            <v>3.9657414857142856</v>
          </cell>
          <cell r="J43">
            <v>3.9657414857142857E-3</v>
          </cell>
          <cell r="K43">
            <v>413.31817927191037</v>
          </cell>
          <cell r="L43">
            <v>0.41331817927191039</v>
          </cell>
          <cell r="M43">
            <v>2709.5302863380793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241.72842229637862</v>
          </cell>
          <cell r="H44">
            <v>241.72842229637862</v>
          </cell>
          <cell r="I44">
            <v>1.100563479701357</v>
          </cell>
          <cell r="J44">
            <v>1.100563479701357</v>
          </cell>
          <cell r="K44">
            <v>43.709217439694392</v>
          </cell>
          <cell r="L44">
            <v>43.709217439694392</v>
          </cell>
          <cell r="M44">
            <v>286.53820321577439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 t="e">
            <v>#N/A</v>
          </cell>
          <cell r="H45" t="e">
            <v>#N/A</v>
          </cell>
          <cell r="I45">
            <v>1.4186666666666667</v>
          </cell>
          <cell r="J45">
            <v>1.4186666666666668E-3</v>
          </cell>
          <cell r="K45" t="e">
            <v>#N/A</v>
          </cell>
          <cell r="L45" t="e">
            <v>#N/A</v>
          </cell>
          <cell r="M45" t="e">
            <v>#N/A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1753.7223177108542</v>
          </cell>
          <cell r="H47">
            <v>1.7537223177108543</v>
          </cell>
          <cell r="I47">
            <v>4.6191547428571429</v>
          </cell>
          <cell r="J47">
            <v>4.6191547428571433E-3</v>
          </cell>
          <cell r="K47">
            <v>316.50146504166804</v>
          </cell>
          <cell r="L47">
            <v>0.31650146504166804</v>
          </cell>
          <cell r="M47">
            <v>2074.8429374953794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3595.8861601103431</v>
          </cell>
          <cell r="H48">
            <v>3.5958861601103429</v>
          </cell>
          <cell r="I48">
            <v>40.344450825832752</v>
          </cell>
          <cell r="J48">
            <v>4.0344450825832753E-2</v>
          </cell>
          <cell r="K48">
            <v>654.52150996851162</v>
          </cell>
          <cell r="L48">
            <v>0.65452150996851166</v>
          </cell>
          <cell r="M48">
            <v>4290.7521209046872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 t="e">
            <v>#N/A</v>
          </cell>
          <cell r="H49" t="e">
            <v>#N/A</v>
          </cell>
          <cell r="I49">
            <v>0</v>
          </cell>
          <cell r="J49">
            <v>0</v>
          </cell>
          <cell r="K49" t="e">
            <v>#N/A</v>
          </cell>
          <cell r="L49" t="e">
            <v>#N/A</v>
          </cell>
          <cell r="M49" t="e">
            <v>#N/A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 t="e">
            <v>#N/A</v>
          </cell>
          <cell r="H50" t="e">
            <v>#N/A</v>
          </cell>
          <cell r="I50">
            <v>50.087619047619043</v>
          </cell>
          <cell r="J50">
            <v>5.0087619047619041E-2</v>
          </cell>
          <cell r="K50" t="e">
            <v>#N/A</v>
          </cell>
          <cell r="L50" t="e">
            <v>#N/A</v>
          </cell>
          <cell r="M50" t="e">
            <v>#N/A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1874.0800532361632</v>
          </cell>
          <cell r="H51">
            <v>1.8740800532361632</v>
          </cell>
          <cell r="I51">
            <v>6.1796581196581197</v>
          </cell>
          <cell r="J51">
            <v>6.1796581196581195E-3</v>
          </cell>
          <cell r="K51">
            <v>338.44674804404781</v>
          </cell>
          <cell r="L51">
            <v>0.33844674804404778</v>
          </cell>
          <cell r="M51">
            <v>2218.7064593998693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1769</v>
          </cell>
          <cell r="H52">
            <v>1.7689999999999999</v>
          </cell>
          <cell r="I52">
            <v>8.9970285714285705</v>
          </cell>
          <cell r="J52">
            <v>8.9970285714285701E-3</v>
          </cell>
          <cell r="K52">
            <v>320.03946514285713</v>
          </cell>
          <cell r="L52">
            <v>0.32003946514285714</v>
          </cell>
          <cell r="M52">
            <v>2098.0364937142858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30.140045714285716</v>
          </cell>
          <cell r="J53">
            <v>3.0140045714285715E-2</v>
          </cell>
          <cell r="K53">
            <v>75.686408228571423</v>
          </cell>
          <cell r="L53">
            <v>7.5686408228571422E-2</v>
          </cell>
          <cell r="M53">
            <v>496.16645394285717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16.527999999999999</v>
          </cell>
          <cell r="J54">
            <v>1.6527999999999998E-2</v>
          </cell>
          <cell r="K54">
            <v>82.110240000000005</v>
          </cell>
          <cell r="L54">
            <v>8.2110240000000001E-2</v>
          </cell>
          <cell r="M54">
            <v>538.27823999999998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534.24986644240005</v>
          </cell>
          <cell r="H55">
            <v>0.53424986644240002</v>
          </cell>
          <cell r="I55">
            <v>8.9970285714285705</v>
          </cell>
          <cell r="J55">
            <v>8.9970285714285701E-3</v>
          </cell>
          <cell r="K55">
            <v>97.784441102489154</v>
          </cell>
          <cell r="L55">
            <v>9.7784441102489156E-2</v>
          </cell>
          <cell r="M55">
            <v>641.03133611631779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188</v>
          </cell>
          <cell r="H56">
            <v>0.188</v>
          </cell>
          <cell r="I56">
            <v>3.3056000000000005</v>
          </cell>
          <cell r="J56">
            <v>3.3056000000000006E-3</v>
          </cell>
          <cell r="K56">
            <v>34.435007999999996</v>
          </cell>
          <cell r="L56">
            <v>3.4435007999999996E-2</v>
          </cell>
          <cell r="M56">
            <v>225.74060800000001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1647.7999479030996</v>
          </cell>
          <cell r="H57">
            <v>1647.7999479030996</v>
          </cell>
          <cell r="I57">
            <v>13.296556138613681</v>
          </cell>
          <cell r="J57">
            <v>13.296556138613681</v>
          </cell>
          <cell r="K57">
            <v>298.99737072750838</v>
          </cell>
          <cell r="L57">
            <v>298.99737072750838</v>
          </cell>
          <cell r="M57">
            <v>1960.0938747692217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392.6876792443307</v>
          </cell>
          <cell r="H58">
            <v>392.6876792443307</v>
          </cell>
          <cell r="I58">
            <v>1.9735195109788357</v>
          </cell>
          <cell r="J58">
            <v>1.9735195109788357</v>
          </cell>
          <cell r="K58">
            <v>71.039015775955718</v>
          </cell>
          <cell r="L58">
            <v>71.039015775955718</v>
          </cell>
          <cell r="M58">
            <v>465.70021453126526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1048.3369812829751</v>
          </cell>
          <cell r="H59">
            <v>1.048336981282975</v>
          </cell>
          <cell r="I59">
            <v>1.2805203428571428</v>
          </cell>
          <cell r="J59">
            <v>1.2805203428571427E-3</v>
          </cell>
          <cell r="K59">
            <v>188.93115029264982</v>
          </cell>
          <cell r="L59">
            <v>0.18893115029264981</v>
          </cell>
          <cell r="M59">
            <v>1238.5486519184822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 t="e">
            <v>#N/A</v>
          </cell>
          <cell r="H60" t="e">
            <v>#N/A</v>
          </cell>
          <cell r="I60">
            <v>0</v>
          </cell>
          <cell r="J60">
            <v>0</v>
          </cell>
          <cell r="K60" t="e">
            <v>#N/A</v>
          </cell>
          <cell r="L60" t="e">
            <v>#N/A</v>
          </cell>
          <cell r="M60" t="e">
            <v>#N/A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 t="e">
            <v>#N/A</v>
          </cell>
          <cell r="J61" t="e">
            <v>#N/A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1818.0123806632935</v>
          </cell>
          <cell r="H62">
            <v>1.8180123806632935</v>
          </cell>
          <cell r="I62">
            <v>7.0630436422638061</v>
          </cell>
          <cell r="J62">
            <v>7.0630436422638061E-3</v>
          </cell>
          <cell r="K62">
            <v>328.5135763750003</v>
          </cell>
          <cell r="L62">
            <v>0.32851357637500028</v>
          </cell>
          <cell r="M62">
            <v>2153.5890006805575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1798.0394133527511</v>
          </cell>
          <cell r="H63">
            <v>1.7980394133527511</v>
          </cell>
          <cell r="I63">
            <v>7.0590181641092862</v>
          </cell>
          <cell r="J63">
            <v>7.0590181641092863E-3</v>
          </cell>
          <cell r="K63">
            <v>324.91771767303487</v>
          </cell>
          <cell r="L63">
            <v>0.32491771767303484</v>
          </cell>
          <cell r="M63">
            <v>2130.0161491898953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1771.8052497404976</v>
          </cell>
          <cell r="H64">
            <v>1.7718052497404977</v>
          </cell>
          <cell r="I64">
            <v>8.8095944756071418</v>
          </cell>
          <cell r="J64">
            <v>8.8095944756071427E-3</v>
          </cell>
          <cell r="K64">
            <v>320.51067195889885</v>
          </cell>
          <cell r="L64">
            <v>0.32051067195889887</v>
          </cell>
          <cell r="M64">
            <v>2101.1255161750037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1254.8759035576925</v>
          </cell>
          <cell r="H65">
            <v>1.2548759035576924</v>
          </cell>
          <cell r="I65">
            <v>0</v>
          </cell>
          <cell r="J65">
            <v>0</v>
          </cell>
          <cell r="K65">
            <v>225.87766264038464</v>
          </cell>
          <cell r="L65">
            <v>0.22587766264038464</v>
          </cell>
          <cell r="M65">
            <v>1480.7535661980771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1254.8759035576925</v>
          </cell>
          <cell r="H66">
            <v>1.2548759035576924</v>
          </cell>
          <cell r="I66">
            <v>3.8005555555555555</v>
          </cell>
          <cell r="J66">
            <v>3.8005555555555553E-3</v>
          </cell>
          <cell r="K66">
            <v>226.56176264038464</v>
          </cell>
          <cell r="L66">
            <v>0.22656176264038463</v>
          </cell>
          <cell r="M66">
            <v>1485.2382217536326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1387.5555689999999</v>
          </cell>
          <cell r="H67">
            <v>1.3875555689999999</v>
          </cell>
          <cell r="I67">
            <v>4.9466068571428572</v>
          </cell>
          <cell r="J67">
            <v>4.9466068571428568E-3</v>
          </cell>
          <cell r="K67">
            <v>250.65039165428567</v>
          </cell>
          <cell r="L67">
            <v>0.25065039165428565</v>
          </cell>
          <cell r="M67">
            <v>1643.1525675114283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528.54122957716288</v>
          </cell>
          <cell r="H68">
            <v>0.52854122957716287</v>
          </cell>
          <cell r="I68">
            <v>1.2242962962962964E-2</v>
          </cell>
          <cell r="J68">
            <v>1.2242962962962964E-5</v>
          </cell>
          <cell r="K68">
            <v>95.139625057222659</v>
          </cell>
          <cell r="L68">
            <v>9.5139625057222663E-2</v>
          </cell>
          <cell r="M68">
            <v>623.69309759734858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4303.8008292545701</v>
          </cell>
          <cell r="H69">
            <v>4.3038008292545697</v>
          </cell>
          <cell r="I69">
            <v>103.28024261603375</v>
          </cell>
          <cell r="J69">
            <v>0.10328024261603375</v>
          </cell>
          <cell r="K69">
            <v>793.27459293670859</v>
          </cell>
          <cell r="L69">
            <v>0.79327459293670854</v>
          </cell>
          <cell r="M69">
            <v>5200.3556648073118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1965.6428441382477</v>
          </cell>
          <cell r="H70">
            <v>1.9656428441382476</v>
          </cell>
          <cell r="I70">
            <v>27.524308955932465</v>
          </cell>
          <cell r="J70">
            <v>2.7524308955932466E-2</v>
          </cell>
          <cell r="K70">
            <v>358.77008755695238</v>
          </cell>
          <cell r="L70">
            <v>0.35877008755695239</v>
          </cell>
          <cell r="M70">
            <v>2351.9372406511325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6768.3190588235293</v>
          </cell>
          <cell r="H71">
            <v>6.7683190588235291</v>
          </cell>
          <cell r="I71">
            <v>2.6444800000000004E-2</v>
          </cell>
          <cell r="J71">
            <v>2.6444800000000005E-5</v>
          </cell>
          <cell r="K71">
            <v>1218.3021906522351</v>
          </cell>
          <cell r="L71">
            <v>1.2183021906522351</v>
          </cell>
          <cell r="M71">
            <v>7986.6476942757645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4092.9868664081951</v>
          </cell>
          <cell r="H72">
            <v>4.0929868664081948</v>
          </cell>
          <cell r="I72">
            <v>2.3106144000000006E-2</v>
          </cell>
          <cell r="J72">
            <v>2.3106144000000006E-5</v>
          </cell>
          <cell r="K72">
            <v>736.74179505939503</v>
          </cell>
          <cell r="L72">
            <v>0.73674179505939508</v>
          </cell>
          <cell r="M72">
            <v>4829.7517676115904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1797.3747031380506</v>
          </cell>
          <cell r="H73">
            <v>1.7973747031380505</v>
          </cell>
          <cell r="I73">
            <v>0.14222107509119691</v>
          </cell>
          <cell r="J73">
            <v>1.4222107509119692E-4</v>
          </cell>
          <cell r="K73">
            <v>323.55304635836552</v>
          </cell>
          <cell r="L73">
            <v>0.32355304635836551</v>
          </cell>
          <cell r="M73">
            <v>2121.0699705715074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1393.4300758224288</v>
          </cell>
          <cell r="H74">
            <v>1.3934300758224287</v>
          </cell>
          <cell r="I74">
            <v>6.6990066990066988E-2</v>
          </cell>
          <cell r="J74">
            <v>6.6990066990066984E-5</v>
          </cell>
          <cell r="K74">
            <v>250.82947186009537</v>
          </cell>
          <cell r="L74">
            <v>0.25082947186009535</v>
          </cell>
          <cell r="M74">
            <v>1644.326537749514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1357.2224390288413</v>
          </cell>
          <cell r="H75">
            <v>1.3572224390288414</v>
          </cell>
          <cell r="I75">
            <v>0.70361953839320435</v>
          </cell>
          <cell r="J75">
            <v>7.0361953839320431E-4</v>
          </cell>
          <cell r="K75">
            <v>244.42669054210222</v>
          </cell>
          <cell r="L75">
            <v>0.24442669054210223</v>
          </cell>
          <cell r="M75">
            <v>1602.3527491093369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1494.1254067911261</v>
          </cell>
          <cell r="H76">
            <v>1.494125406791126</v>
          </cell>
          <cell r="I76">
            <v>0</v>
          </cell>
          <cell r="J76">
            <v>0</v>
          </cell>
          <cell r="K76">
            <v>268.9425732224027</v>
          </cell>
          <cell r="L76">
            <v>0.26894257322240273</v>
          </cell>
          <cell r="M76">
            <v>1763.0679800135288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1560.2916159296431</v>
          </cell>
          <cell r="H77">
            <v>1.5602916159296432</v>
          </cell>
          <cell r="I77">
            <v>7.9157755555555542E-2</v>
          </cell>
          <cell r="J77">
            <v>7.915775555555554E-5</v>
          </cell>
          <cell r="K77">
            <v>280.86673926333572</v>
          </cell>
          <cell r="L77">
            <v>0.28086673926333572</v>
          </cell>
          <cell r="M77">
            <v>1841.2375129485345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1342.6758820284781</v>
          </cell>
          <cell r="H78">
            <v>1.3426758820284781</v>
          </cell>
          <cell r="I78">
            <v>14.875920634920634</v>
          </cell>
          <cell r="J78">
            <v>1.4875920634920634E-2</v>
          </cell>
          <cell r="K78">
            <v>244.35932447941178</v>
          </cell>
          <cell r="L78">
            <v>0.24435932447941178</v>
          </cell>
          <cell r="M78">
            <v>1601.9111271428105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 t="e">
            <v>#N/A</v>
          </cell>
          <cell r="H79" t="e">
            <v>#N/A</v>
          </cell>
          <cell r="I79">
            <v>0</v>
          </cell>
          <cell r="J79">
            <v>0</v>
          </cell>
          <cell r="K79" t="e">
            <v>#N/A</v>
          </cell>
          <cell r="L79" t="e">
            <v>#N/A</v>
          </cell>
          <cell r="M79" t="e">
            <v>#N/A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1173.9064101127401</v>
          </cell>
          <cell r="H80">
            <v>1.1739064101127401</v>
          </cell>
          <cell r="I80">
            <v>4.90484864255356</v>
          </cell>
          <cell r="J80">
            <v>4.9048486425535597E-3</v>
          </cell>
          <cell r="K80">
            <v>212.18602657595287</v>
          </cell>
          <cell r="L80">
            <v>0.21218602657595287</v>
          </cell>
          <cell r="M80">
            <v>1390.9972853312465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1768.5061734550447</v>
          </cell>
          <cell r="H81">
            <v>1.7685061734550447</v>
          </cell>
          <cell r="I81">
            <v>0</v>
          </cell>
          <cell r="J81">
            <v>0</v>
          </cell>
          <cell r="K81">
            <v>318.33111122190803</v>
          </cell>
          <cell r="L81">
            <v>0.31833111122190805</v>
          </cell>
          <cell r="M81">
            <v>2086.8372846769525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1970.4314960254374</v>
          </cell>
          <cell r="H82">
            <v>1.9704314960254374</v>
          </cell>
          <cell r="I82">
            <v>1.3173173173173174</v>
          </cell>
          <cell r="J82">
            <v>1.3173173173173173E-3</v>
          </cell>
          <cell r="K82">
            <v>354.91478640169584</v>
          </cell>
          <cell r="L82">
            <v>0.35491478640169583</v>
          </cell>
          <cell r="M82">
            <v>2326.6635997444505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1154.8741386648321</v>
          </cell>
          <cell r="H83">
            <v>1.154874138664832</v>
          </cell>
          <cell r="I83">
            <v>15.918022500000001</v>
          </cell>
          <cell r="J83">
            <v>1.59180225E-2</v>
          </cell>
          <cell r="K83">
            <v>210.74258900966979</v>
          </cell>
          <cell r="L83">
            <v>0.21074258900966977</v>
          </cell>
          <cell r="M83">
            <v>1381.5347501745018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1356.4316497777779</v>
          </cell>
          <cell r="H84">
            <v>1.356431649777778</v>
          </cell>
          <cell r="I84">
            <v>1.2540147753086419</v>
          </cell>
          <cell r="J84">
            <v>1.2540147753086418E-3</v>
          </cell>
          <cell r="K84">
            <v>244.38341961955558</v>
          </cell>
          <cell r="L84">
            <v>0.24438341961955559</v>
          </cell>
          <cell r="M84">
            <v>1602.0690841726421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2250.477249407787</v>
          </cell>
          <cell r="H85">
            <v>2.2504772494077869</v>
          </cell>
          <cell r="I85">
            <v>2.3980769230769225E-3</v>
          </cell>
          <cell r="J85">
            <v>2.3980769230769227E-6</v>
          </cell>
          <cell r="K85">
            <v>405.08633654724775</v>
          </cell>
          <cell r="L85">
            <v>0.40508633654724774</v>
          </cell>
          <cell r="M85">
            <v>2655.5659840319577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359.31349302837674</v>
          </cell>
          <cell r="H86">
            <v>359.31349302837674</v>
          </cell>
          <cell r="I86">
            <v>115.55883039094844</v>
          </cell>
          <cell r="J86">
            <v>115.55883039094844</v>
          </cell>
          <cell r="K86">
            <v>85.477018215478537</v>
          </cell>
          <cell r="L86">
            <v>85.477018215478537</v>
          </cell>
          <cell r="M86">
            <v>560.34934163480375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1235.6039507876355</v>
          </cell>
          <cell r="H87">
            <v>1.2356039507876355</v>
          </cell>
          <cell r="I87">
            <v>1.6817964912280698</v>
          </cell>
          <cell r="J87">
            <v>1.6817964912280699E-3</v>
          </cell>
          <cell r="K87">
            <v>222.71143451019546</v>
          </cell>
          <cell r="L87">
            <v>0.22271143451019546</v>
          </cell>
          <cell r="M87">
            <v>1459.9971817890591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1454.6761080432802</v>
          </cell>
          <cell r="H88">
            <v>1.4546761080432802</v>
          </cell>
          <cell r="I88">
            <v>9.8563140613620988</v>
          </cell>
          <cell r="J88">
            <v>9.8563140613620991E-3</v>
          </cell>
          <cell r="K88">
            <v>263.61583597883561</v>
          </cell>
          <cell r="L88">
            <v>0.26361583597883559</v>
          </cell>
          <cell r="M88">
            <v>1728.1482580834779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1756.6847333333333</v>
          </cell>
          <cell r="H89">
            <v>1.7566847333333333</v>
          </cell>
          <cell r="I89">
            <v>2.7258249999999999</v>
          </cell>
          <cell r="J89">
            <v>2.7258249999999999E-3</v>
          </cell>
          <cell r="K89">
            <v>316.69390049999998</v>
          </cell>
          <cell r="L89">
            <v>0.31669390049999996</v>
          </cell>
          <cell r="M89">
            <v>2076.1044588333334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1717.7359772121213</v>
          </cell>
          <cell r="H90">
            <v>1.7177359772121212</v>
          </cell>
          <cell r="I90">
            <v>0</v>
          </cell>
          <cell r="J90">
            <v>0</v>
          </cell>
          <cell r="K90">
            <v>309.19247589818184</v>
          </cell>
          <cell r="L90">
            <v>0.30919247589818183</v>
          </cell>
          <cell r="M90">
            <v>2026.9284531103031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2852.3880000000004</v>
          </cell>
          <cell r="H91">
            <v>2.8523880000000004</v>
          </cell>
          <cell r="I91">
            <v>0</v>
          </cell>
          <cell r="J91">
            <v>0</v>
          </cell>
          <cell r="K91">
            <v>513.42984000000001</v>
          </cell>
          <cell r="L91">
            <v>0.51342984000000003</v>
          </cell>
          <cell r="M91">
            <v>3365.8178400000006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3751.0638297872333</v>
          </cell>
          <cell r="H92">
            <v>3.7510638297872334</v>
          </cell>
          <cell r="I92">
            <v>0.45276595744680853</v>
          </cell>
          <cell r="J92">
            <v>4.5276595744680851E-4</v>
          </cell>
          <cell r="K92">
            <v>675.27298723404238</v>
          </cell>
          <cell r="L92">
            <v>0.67527298723404239</v>
          </cell>
          <cell r="M92">
            <v>4426.789582978723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1350.5334261803414</v>
          </cell>
          <cell r="H93">
            <v>1.3505334261803414</v>
          </cell>
          <cell r="I93">
            <v>0.61954538412698423</v>
          </cell>
          <cell r="J93">
            <v>6.1954538412698423E-4</v>
          </cell>
          <cell r="K93">
            <v>243.20753488160429</v>
          </cell>
          <cell r="L93">
            <v>0.24320753488160429</v>
          </cell>
          <cell r="M93">
            <v>1594.3605064460726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2463.228422897791</v>
          </cell>
          <cell r="H94">
            <v>2463.228422897791</v>
          </cell>
          <cell r="I94">
            <v>19.446950906064689</v>
          </cell>
          <cell r="J94">
            <v>19.446950906064689</v>
          </cell>
          <cell r="K94">
            <v>446.88156728469397</v>
          </cell>
          <cell r="L94">
            <v>446.88156728469397</v>
          </cell>
          <cell r="M94">
            <v>2929.5569410885496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2026.8902539808341</v>
          </cell>
          <cell r="H95">
            <v>2.026890253980834</v>
          </cell>
          <cell r="I95">
            <v>7.4358974358974348E-3</v>
          </cell>
          <cell r="J95">
            <v>7.4358974358974352E-6</v>
          </cell>
          <cell r="K95">
            <v>364.84158417808862</v>
          </cell>
          <cell r="L95">
            <v>0.36484158417808865</v>
          </cell>
          <cell r="M95">
            <v>2391.7392740563587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 t="e">
            <v>#N/A</v>
          </cell>
          <cell r="H96" t="e">
            <v>#N/A</v>
          </cell>
          <cell r="I96">
            <v>0.20618741388888889</v>
          </cell>
          <cell r="J96">
            <v>0.20618741388888889</v>
          </cell>
          <cell r="K96" t="e">
            <v>#N/A</v>
          </cell>
          <cell r="L96" t="e">
            <v>#N/A</v>
          </cell>
          <cell r="M96" t="e">
            <v>#N/A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7669.2265458566917</v>
          </cell>
          <cell r="H97">
            <v>7669.2265458566917</v>
          </cell>
          <cell r="I97">
            <v>32</v>
          </cell>
          <cell r="J97">
            <v>32</v>
          </cell>
          <cell r="K97">
            <v>1386.2207782542046</v>
          </cell>
          <cell r="L97">
            <v>1386.2207782542046</v>
          </cell>
          <cell r="M97">
            <v>9087.4473241108972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1883.3133296639778</v>
          </cell>
          <cell r="H98">
            <v>1883.3133296639778</v>
          </cell>
          <cell r="I98">
            <v>85.265090344074082</v>
          </cell>
          <cell r="J98">
            <v>85.265090344074082</v>
          </cell>
          <cell r="K98">
            <v>354.34411560144929</v>
          </cell>
          <cell r="L98">
            <v>354.34411560144929</v>
          </cell>
          <cell r="M98">
            <v>2322.9225356095012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447.52061154343636</v>
          </cell>
          <cell r="H99">
            <v>447.52061154343636</v>
          </cell>
          <cell r="I99">
            <v>0.19413112781799996</v>
          </cell>
          <cell r="J99">
            <v>0.19413112781799996</v>
          </cell>
          <cell r="K99">
            <v>80.588653680825786</v>
          </cell>
          <cell r="L99">
            <v>80.588653680825786</v>
          </cell>
          <cell r="M99">
            <v>528.3033963520802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2751.435058174603</v>
          </cell>
          <cell r="H100">
            <v>2751.435058174603</v>
          </cell>
          <cell r="I100">
            <v>57.402952380952378</v>
          </cell>
          <cell r="J100">
            <v>57.402952380952378</v>
          </cell>
          <cell r="K100">
            <v>505.59084189999993</v>
          </cell>
          <cell r="L100">
            <v>505.59084189999993</v>
          </cell>
          <cell r="M100">
            <v>3314.428852455555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534.5852757509906</v>
          </cell>
          <cell r="H101">
            <v>534.5852757509906</v>
          </cell>
          <cell r="I101">
            <v>278.29596891560846</v>
          </cell>
          <cell r="J101">
            <v>278.29596891560846</v>
          </cell>
          <cell r="K101">
            <v>146.31862403998784</v>
          </cell>
          <cell r="L101">
            <v>146.31862403998784</v>
          </cell>
          <cell r="M101">
            <v>959.19986870658693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927.44011359357967</v>
          </cell>
          <cell r="H102">
            <v>927.44011359357967</v>
          </cell>
          <cell r="I102">
            <v>9.5705723548677248</v>
          </cell>
          <cell r="J102">
            <v>9.5705723548677248</v>
          </cell>
          <cell r="K102">
            <v>168.66192347072052</v>
          </cell>
          <cell r="L102">
            <v>168.66192347072052</v>
          </cell>
          <cell r="M102">
            <v>1105.6726094191679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282.22730011344828</v>
          </cell>
          <cell r="H103">
            <v>282.22730011344828</v>
          </cell>
          <cell r="I103">
            <v>8.5211893146214877</v>
          </cell>
          <cell r="J103">
            <v>8.5211893146214877</v>
          </cell>
          <cell r="K103">
            <v>52.334728097052555</v>
          </cell>
          <cell r="L103">
            <v>52.334728097052555</v>
          </cell>
          <cell r="M103">
            <v>343.08321752512234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114.10892546558429</v>
          </cell>
          <cell r="H104">
            <v>114.10892546558429</v>
          </cell>
          <cell r="I104">
            <v>1.2809221830766282</v>
          </cell>
          <cell r="J104">
            <v>1.2809221830766282</v>
          </cell>
          <cell r="K104">
            <v>20.770172576758963</v>
          </cell>
          <cell r="L104">
            <v>20.770172576758963</v>
          </cell>
          <cell r="M104">
            <v>136.16002022541988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617.86546607438152</v>
          </cell>
          <cell r="H105">
            <v>617.86546607438152</v>
          </cell>
          <cell r="I105">
            <v>4.3289329062812802</v>
          </cell>
          <cell r="J105">
            <v>4.3289329062812802</v>
          </cell>
          <cell r="K105">
            <v>111.99499181651929</v>
          </cell>
          <cell r="L105">
            <v>111.99499181651929</v>
          </cell>
          <cell r="M105">
            <v>734.189390797182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408.95491535345229</v>
          </cell>
          <cell r="H106">
            <v>408.95491535345229</v>
          </cell>
          <cell r="I106">
            <v>3.4683963990294879</v>
          </cell>
          <cell r="J106">
            <v>3.4683963990294879</v>
          </cell>
          <cell r="K106">
            <v>74.236196115446717</v>
          </cell>
          <cell r="L106">
            <v>74.236196115446717</v>
          </cell>
          <cell r="M106">
            <v>486.65950786792848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236.72887259359689</v>
          </cell>
          <cell r="H107">
            <v>236.72887259359689</v>
          </cell>
          <cell r="I107">
            <v>2.5596327979390678</v>
          </cell>
          <cell r="J107">
            <v>2.5596327979390678</v>
          </cell>
          <cell r="K107">
            <v>43.071930970476473</v>
          </cell>
          <cell r="L107">
            <v>43.071930970476473</v>
          </cell>
          <cell r="M107">
            <v>282.36043636201242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2348.6308245745113</v>
          </cell>
          <cell r="H108">
            <v>2348.6308245745113</v>
          </cell>
          <cell r="I108">
            <v>23.538499588918192</v>
          </cell>
          <cell r="J108">
            <v>23.538499588918192</v>
          </cell>
          <cell r="K108">
            <v>426.99047834941729</v>
          </cell>
          <cell r="L108">
            <v>426.99047834941729</v>
          </cell>
          <cell r="M108">
            <v>2799.1598025128465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2148.7648008705337</v>
          </cell>
          <cell r="H109">
            <v>2148.7648008705337</v>
          </cell>
          <cell r="I109">
            <v>11.901056523303392</v>
          </cell>
          <cell r="J109">
            <v>11.901056523303392</v>
          </cell>
          <cell r="K109">
            <v>388.91985433089064</v>
          </cell>
          <cell r="L109">
            <v>388.91985433089064</v>
          </cell>
          <cell r="M109">
            <v>2549.5857117247278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478.72648637471656</v>
          </cell>
          <cell r="H110">
            <v>478.72648637471656</v>
          </cell>
          <cell r="I110">
            <v>4.3638499766937384</v>
          </cell>
          <cell r="J110">
            <v>4.3638499766937384</v>
          </cell>
          <cell r="K110">
            <v>86.956260543253848</v>
          </cell>
          <cell r="L110">
            <v>86.956260543253848</v>
          </cell>
          <cell r="M110">
            <v>570.04659689466416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534.29165239005431</v>
          </cell>
          <cell r="H111">
            <v>534.29165239005431</v>
          </cell>
          <cell r="I111">
            <v>4.3332536691880419</v>
          </cell>
          <cell r="J111">
            <v>4.3332536691880419</v>
          </cell>
          <cell r="K111">
            <v>96.95248309066362</v>
          </cell>
          <cell r="L111">
            <v>96.95248309066362</v>
          </cell>
          <cell r="M111">
            <v>635.57738914990591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 t="e">
            <v>#N/A</v>
          </cell>
          <cell r="H112" t="e">
            <v>#N/A</v>
          </cell>
          <cell r="I112">
            <v>8.194628498155204</v>
          </cell>
          <cell r="J112">
            <v>8.194628498155204</v>
          </cell>
          <cell r="K112" t="e">
            <v>#N/A</v>
          </cell>
          <cell r="L112" t="e">
            <v>#N/A</v>
          </cell>
          <cell r="M112" t="e">
            <v>#N/A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776.7444254285972</v>
          </cell>
          <cell r="H113">
            <v>776.7444254285972</v>
          </cell>
          <cell r="I113">
            <v>23.627086579715595</v>
          </cell>
          <cell r="J113">
            <v>23.627086579715595</v>
          </cell>
          <cell r="K113">
            <v>144.06687216149629</v>
          </cell>
          <cell r="L113">
            <v>144.06687216149629</v>
          </cell>
          <cell r="M113">
            <v>944.43838416980907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1041.9136647599446</v>
          </cell>
          <cell r="H114">
            <v>1.0419136647599445</v>
          </cell>
          <cell r="I114">
            <v>4.422821298658862</v>
          </cell>
          <cell r="J114">
            <v>4.4228212986588619E-3</v>
          </cell>
          <cell r="K114">
            <v>188.34056749054861</v>
          </cell>
          <cell r="L114">
            <v>0.18834056749054862</v>
          </cell>
          <cell r="M114">
            <v>1234.6770535491521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202.33740230580051</v>
          </cell>
          <cell r="H115">
            <v>202.33740230580051</v>
          </cell>
          <cell r="I115">
            <v>3.1540561343384139</v>
          </cell>
          <cell r="J115">
            <v>3.1540561343384139</v>
          </cell>
          <cell r="K115">
            <v>36.988462519225003</v>
          </cell>
          <cell r="L115">
            <v>36.988462519225003</v>
          </cell>
          <cell r="M115">
            <v>242.47992095936394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10.251814386359658</v>
          </cell>
          <cell r="H116">
            <v>10.251814386359658</v>
          </cell>
          <cell r="I116">
            <v>4.2438023413321938E-2</v>
          </cell>
          <cell r="J116">
            <v>4.2438023413321938E-2</v>
          </cell>
          <cell r="K116">
            <v>1.8529654337591364</v>
          </cell>
          <cell r="L116">
            <v>1.8529654337591364</v>
          </cell>
          <cell r="M116">
            <v>12.147217843532117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132.71996419580674</v>
          </cell>
          <cell r="H117">
            <v>132.71996419580674</v>
          </cell>
          <cell r="I117">
            <v>1.1863848587142076</v>
          </cell>
          <cell r="J117">
            <v>1.1863848587142076</v>
          </cell>
          <cell r="K117">
            <v>24.10314282981377</v>
          </cell>
          <cell r="L117">
            <v>24.10314282981377</v>
          </cell>
          <cell r="M117">
            <v>158.00949188433472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90.406011398756249</v>
          </cell>
          <cell r="H118">
            <v>90.406011398756249</v>
          </cell>
          <cell r="I118">
            <v>1.1391528602609324</v>
          </cell>
          <cell r="J118">
            <v>1.1391528602609324</v>
          </cell>
          <cell r="K118">
            <v>16.478129566623092</v>
          </cell>
          <cell r="L118">
            <v>16.478129566623092</v>
          </cell>
          <cell r="M118">
            <v>108.02329382564028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860.91949326822566</v>
          </cell>
          <cell r="H119">
            <v>860.91949326822566</v>
          </cell>
          <cell r="I119">
            <v>11.933550554847777</v>
          </cell>
          <cell r="J119">
            <v>11.933550554847777</v>
          </cell>
          <cell r="K119">
            <v>157.11354788815322</v>
          </cell>
          <cell r="L119">
            <v>157.11354788815322</v>
          </cell>
          <cell r="M119">
            <v>1029.9665917112266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547.52353652193062</v>
          </cell>
          <cell r="H120">
            <v>547.52353652193062</v>
          </cell>
          <cell r="I120">
            <v>1.2942970874299997</v>
          </cell>
          <cell r="J120">
            <v>1.2942970874299997</v>
          </cell>
          <cell r="K120">
            <v>98.787210049684901</v>
          </cell>
          <cell r="L120">
            <v>98.787210049684901</v>
          </cell>
          <cell r="M120">
            <v>647.60504365904546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1.6204271015461917</v>
          </cell>
          <cell r="J121">
            <v>1.6204271015461917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57.837719219887866</v>
          </cell>
          <cell r="H122">
            <v>57.837719219887866</v>
          </cell>
          <cell r="I122">
            <v>0.28739682539682537</v>
          </cell>
          <cell r="J122">
            <v>0.28739682539682537</v>
          </cell>
          <cell r="K122">
            <v>10.462520888151245</v>
          </cell>
          <cell r="L122">
            <v>10.462520888151245</v>
          </cell>
          <cell r="M122">
            <v>68.587636933435931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 t="e">
            <v>#N/A</v>
          </cell>
          <cell r="H123" t="e">
            <v>#N/A</v>
          </cell>
          <cell r="I123">
            <v>5.2605450901896802</v>
          </cell>
          <cell r="J123">
            <v>5.2605450901896802</v>
          </cell>
          <cell r="K123" t="e">
            <v>#N/A</v>
          </cell>
          <cell r="L123" t="e">
            <v>#N/A</v>
          </cell>
          <cell r="M123" t="e">
            <v>#N/A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18.613247470887686</v>
          </cell>
          <cell r="H124">
            <v>18.613247470887686</v>
          </cell>
          <cell r="I124">
            <v>9.3303143479614048E-2</v>
          </cell>
          <cell r="J124">
            <v>9.3303143479614048E-2</v>
          </cell>
          <cell r="K124">
            <v>3.3671791105861137</v>
          </cell>
          <cell r="L124">
            <v>3.3671791105861137</v>
          </cell>
          <cell r="M124">
            <v>22.073729724953413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29.550817057689418</v>
          </cell>
          <cell r="H125">
            <v>29.550817057689418</v>
          </cell>
          <cell r="I125">
            <v>0.14928502956738249</v>
          </cell>
          <cell r="J125">
            <v>0.14928502956738249</v>
          </cell>
          <cell r="K125">
            <v>5.3460183757062243</v>
          </cell>
          <cell r="L125">
            <v>5.3460183757062243</v>
          </cell>
          <cell r="M125">
            <v>35.046120462963025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22.188978251793564</v>
          </cell>
          <cell r="H126">
            <v>22.188978251793564</v>
          </cell>
          <cell r="I126">
            <v>0.11196377217553685</v>
          </cell>
          <cell r="J126">
            <v>0.11196377217553685</v>
          </cell>
          <cell r="K126">
            <v>4.0141695643144377</v>
          </cell>
          <cell r="L126">
            <v>4.0141695643144377</v>
          </cell>
          <cell r="M126">
            <v>26.315111588283536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23.781073977903336</v>
          </cell>
          <cell r="H127">
            <v>23.781073977903336</v>
          </cell>
          <cell r="I127">
            <v>0.12357066358178685</v>
          </cell>
          <cell r="J127">
            <v>0.12357066358178685</v>
          </cell>
          <cell r="K127">
            <v>4.3028360354673225</v>
          </cell>
          <cell r="L127">
            <v>4.3028360354673225</v>
          </cell>
          <cell r="M127">
            <v>28.207480676952446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20.685603297736652</v>
          </cell>
          <cell r="H128">
            <v>20.685603297736652</v>
          </cell>
          <cell r="I128">
            <v>0.10382364430682334</v>
          </cell>
          <cell r="J128">
            <v>0.10382364430682334</v>
          </cell>
          <cell r="K128">
            <v>3.7420968495678255</v>
          </cell>
          <cell r="L128">
            <v>3.7420968495678255</v>
          </cell>
          <cell r="M128">
            <v>24.531523791611303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38.479247447318116</v>
          </cell>
          <cell r="H129">
            <v>38.479247447318116</v>
          </cell>
          <cell r="I129">
            <v>0.19466933307529377</v>
          </cell>
          <cell r="J129">
            <v>0.19466933307529377</v>
          </cell>
          <cell r="K129">
            <v>6.9613050204708138</v>
          </cell>
          <cell r="L129">
            <v>6.9613050204708138</v>
          </cell>
          <cell r="M129">
            <v>45.63522180086423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90.240969884097865</v>
          </cell>
          <cell r="H130">
            <v>90.240969884097865</v>
          </cell>
          <cell r="I130">
            <v>0.33272418699999995</v>
          </cell>
          <cell r="J130">
            <v>0.33272418699999995</v>
          </cell>
          <cell r="K130">
            <v>16.303264932797614</v>
          </cell>
          <cell r="L130">
            <v>16.303264932797614</v>
          </cell>
          <cell r="M130">
            <v>106.87695900389548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1204.5464978902955</v>
          </cell>
          <cell r="H131">
            <v>1.2045464978902956</v>
          </cell>
          <cell r="I131">
            <v>6.318509588551783</v>
          </cell>
          <cell r="J131">
            <v>6.3185095885517828E-3</v>
          </cell>
          <cell r="K131">
            <v>217.95570134619248</v>
          </cell>
          <cell r="L131">
            <v>0.21795570134619249</v>
          </cell>
          <cell r="M131">
            <v>1428.8207088250397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18.458111965217395</v>
          </cell>
          <cell r="H132">
            <v>18.458111965217395</v>
          </cell>
          <cell r="I132">
            <v>9.5987972000394384E-2</v>
          </cell>
          <cell r="J132">
            <v>9.5987972000394384E-2</v>
          </cell>
          <cell r="K132">
            <v>3.339737988699202</v>
          </cell>
          <cell r="L132">
            <v>3.339737988699202</v>
          </cell>
          <cell r="M132">
            <v>21.893837925916991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16.130351280242007</v>
          </cell>
          <cell r="H133">
            <v>16.130351280242007</v>
          </cell>
          <cell r="I133">
            <v>6.7921898515118234E-2</v>
          </cell>
          <cell r="J133">
            <v>6.7921898515118234E-2</v>
          </cell>
          <cell r="K133">
            <v>2.9156891721762821</v>
          </cell>
          <cell r="L133">
            <v>2.9156891721762821</v>
          </cell>
          <cell r="M133">
            <v>19.113962350933406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68.481037204221707</v>
          </cell>
          <cell r="H134">
            <v>68.481037204221707</v>
          </cell>
          <cell r="I134">
            <v>2.9525012378680313</v>
          </cell>
          <cell r="J134">
            <v>2.9525012378680313</v>
          </cell>
          <cell r="K134">
            <v>12.858036919576152</v>
          </cell>
          <cell r="L134">
            <v>12.858036919576152</v>
          </cell>
          <cell r="M134">
            <v>84.291575361665892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66.057514026254424</v>
          </cell>
          <cell r="H135">
            <v>66.057514026254424</v>
          </cell>
          <cell r="I135">
            <v>0.24646236074074071</v>
          </cell>
          <cell r="J135">
            <v>0.24646236074074071</v>
          </cell>
          <cell r="K135">
            <v>11.934715749659128</v>
          </cell>
          <cell r="L135">
            <v>11.934715749659128</v>
          </cell>
          <cell r="M135">
            <v>78.238692136654294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1916.9617256532151</v>
          </cell>
          <cell r="H136">
            <v>1.9169617256532152</v>
          </cell>
          <cell r="I136">
            <v>16.62196578278477</v>
          </cell>
          <cell r="J136">
            <v>1.662196578278477E-2</v>
          </cell>
          <cell r="K136">
            <v>348.04506445848</v>
          </cell>
          <cell r="L136">
            <v>0.34804506445847999</v>
          </cell>
          <cell r="M136">
            <v>2281.62875589448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 t="e">
            <v>#N/A</v>
          </cell>
          <cell r="H138" t="e">
            <v>#N/A</v>
          </cell>
          <cell r="I138">
            <v>3.611640211640212</v>
          </cell>
          <cell r="J138">
            <v>3.611640211640212E-3</v>
          </cell>
          <cell r="K138" t="e">
            <v>#N/A</v>
          </cell>
          <cell r="L138" t="e">
            <v>#N/A</v>
          </cell>
          <cell r="M138" t="e">
            <v>#N/A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 t="e">
            <v>#N/A</v>
          </cell>
          <cell r="H139" t="e">
            <v>#N/A</v>
          </cell>
          <cell r="I139">
            <v>1.68051968503937</v>
          </cell>
          <cell r="J139">
            <v>1.68051968503937E-3</v>
          </cell>
          <cell r="K139" t="e">
            <v>#N/A</v>
          </cell>
          <cell r="L139" t="e">
            <v>#N/A</v>
          </cell>
          <cell r="M139" t="e">
            <v>#N/A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2243.1813333702667</v>
          </cell>
          <cell r="H140">
            <v>2.2431813333702668</v>
          </cell>
          <cell r="I140">
            <v>0.28502403846153845</v>
          </cell>
          <cell r="J140">
            <v>2.8502403846153847E-4</v>
          </cell>
          <cell r="K140">
            <v>403.82394433357103</v>
          </cell>
          <cell r="L140">
            <v>0.40382394433357105</v>
          </cell>
          <cell r="M140">
            <v>2647.2903017422991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 t="e">
            <v>#N/A</v>
          </cell>
          <cell r="H141" t="e">
            <v>#N/A</v>
          </cell>
          <cell r="I141">
            <v>16.246825396825397</v>
          </cell>
          <cell r="J141">
            <v>1.6246825396825398E-2</v>
          </cell>
          <cell r="K141" t="e">
            <v>#N/A</v>
          </cell>
          <cell r="L141" t="e">
            <v>#N/A</v>
          </cell>
          <cell r="M141" t="e">
            <v>#N/A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 t="e">
            <v>#N/A</v>
          </cell>
          <cell r="H143" t="e">
            <v>#N/A</v>
          </cell>
          <cell r="I143">
            <v>0.65401890180063504</v>
          </cell>
          <cell r="J143">
            <v>6.5401890180063506E-4</v>
          </cell>
          <cell r="K143" t="e">
            <v>#N/A</v>
          </cell>
          <cell r="L143" t="e">
            <v>#N/A</v>
          </cell>
          <cell r="M143" t="e">
            <v>#N/A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1760.528882407704</v>
          </cell>
          <cell r="H146">
            <v>1.7605288824077041</v>
          </cell>
          <cell r="I146">
            <v>18.212851044011543</v>
          </cell>
          <cell r="J146">
            <v>1.8212851044011543E-2</v>
          </cell>
          <cell r="K146">
            <v>320.1735120213088</v>
          </cell>
          <cell r="L146">
            <v>0.32017351202130878</v>
          </cell>
          <cell r="M146">
            <v>2098.9152454730242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1711.0233891864884</v>
          </cell>
          <cell r="H147">
            <v>1.7110233891864883</v>
          </cell>
          <cell r="I147">
            <v>1.5373292261557483</v>
          </cell>
          <cell r="J147">
            <v>1.5373292261557482E-3</v>
          </cell>
          <cell r="K147">
            <v>308.26092931427598</v>
          </cell>
          <cell r="L147">
            <v>0.30826092931427601</v>
          </cell>
          <cell r="M147">
            <v>2020.8216477269202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 t="e">
            <v>#N/A</v>
          </cell>
          <cell r="H148" t="e">
            <v>#N/A</v>
          </cell>
          <cell r="I148" t="e">
            <v>#N/A</v>
          </cell>
          <cell r="J148" t="e">
            <v>#N/A</v>
          </cell>
          <cell r="K148" t="e">
            <v>#N/A</v>
          </cell>
          <cell r="L148" t="e">
            <v>#N/A</v>
          </cell>
          <cell r="M148" t="e">
            <v>#N/A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3102.4773465592707</v>
          </cell>
          <cell r="H149">
            <v>3.1024773465592705</v>
          </cell>
          <cell r="I149">
            <v>2.179881305637982</v>
          </cell>
          <cell r="J149">
            <v>2.1798813056379822E-3</v>
          </cell>
          <cell r="K149">
            <v>558.83830101568356</v>
          </cell>
          <cell r="L149">
            <v>0.55883830101568355</v>
          </cell>
          <cell r="M149">
            <v>3663.4955288805922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21.097712705511537</v>
          </cell>
          <cell r="H150">
            <v>21.097712705511537</v>
          </cell>
          <cell r="I150" t="e">
            <v>#N/A</v>
          </cell>
          <cell r="J150" t="e">
            <v>#N/A</v>
          </cell>
          <cell r="K150" t="e">
            <v>#N/A</v>
          </cell>
          <cell r="L150" t="e">
            <v>#N/A</v>
          </cell>
          <cell r="M150" t="e">
            <v>#N/A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140.37018131010288</v>
          </cell>
          <cell r="H151">
            <v>140.37018131010288</v>
          </cell>
          <cell r="I151">
            <v>0.27067793538871676</v>
          </cell>
          <cell r="J151">
            <v>0.27067793538871676</v>
          </cell>
          <cell r="K151">
            <v>25.315354664188483</v>
          </cell>
          <cell r="L151">
            <v>25.315354664188483</v>
          </cell>
          <cell r="M151">
            <v>165.95621390968006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 t="e">
            <v>#N/A</v>
          </cell>
          <cell r="H152" t="e">
            <v>#N/A</v>
          </cell>
          <cell r="I152">
            <v>0.18178011428571428</v>
          </cell>
          <cell r="J152">
            <v>1.8178011428571429E-4</v>
          </cell>
          <cell r="K152" t="e">
            <v>#N/A</v>
          </cell>
          <cell r="L152" t="e">
            <v>#N/A</v>
          </cell>
          <cell r="M152" t="e">
            <v>#N/A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695.56460960477943</v>
          </cell>
          <cell r="H153">
            <v>0.69556460960477939</v>
          </cell>
          <cell r="I153">
            <v>0.71588617857142856</v>
          </cell>
          <cell r="J153">
            <v>7.1588617857142858E-4</v>
          </cell>
          <cell r="K153">
            <v>125.33048924100315</v>
          </cell>
          <cell r="L153">
            <v>0.12533048924100315</v>
          </cell>
          <cell r="M153">
            <v>821.61098502435402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2623.1383892198583</v>
          </cell>
          <cell r="H155">
            <v>2.6231383892198581</v>
          </cell>
          <cell r="I155">
            <v>12.030297872340427</v>
          </cell>
          <cell r="J155">
            <v>1.2030297872340426E-2</v>
          </cell>
          <cell r="K155">
            <v>474.33036367659571</v>
          </cell>
          <cell r="L155">
            <v>0.4743303636765957</v>
          </cell>
          <cell r="M155">
            <v>3109.4990507687944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3155.1262799262113</v>
          </cell>
          <cell r="H156">
            <v>3.1551262799262112</v>
          </cell>
          <cell r="I156">
            <v>30.246685184438547</v>
          </cell>
          <cell r="J156">
            <v>3.0246685184438547E-2</v>
          </cell>
          <cell r="K156">
            <v>573.36713371991686</v>
          </cell>
          <cell r="L156">
            <v>0.57336713371991688</v>
          </cell>
          <cell r="M156">
            <v>3758.7400988305662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599.84445103765529</v>
          </cell>
          <cell r="H157">
            <v>0.59984445103765527</v>
          </cell>
          <cell r="I157">
            <v>14.228400000000001</v>
          </cell>
          <cell r="J157">
            <v>1.42284E-2</v>
          </cell>
          <cell r="K157">
            <v>110.53311318677794</v>
          </cell>
          <cell r="L157">
            <v>0.11053311318677794</v>
          </cell>
          <cell r="M157">
            <v>724.60596422443314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 t="e">
            <v>#N/A</v>
          </cell>
          <cell r="H158" t="e">
            <v>#N/A</v>
          </cell>
          <cell r="I158">
            <v>0.3775609756097561</v>
          </cell>
          <cell r="J158">
            <v>3.7756097560975611E-4</v>
          </cell>
          <cell r="K158" t="e">
            <v>#N/A</v>
          </cell>
          <cell r="L158" t="e">
            <v>#N/A</v>
          </cell>
          <cell r="M158" t="e">
            <v>#N/A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2131.1444129166998</v>
          </cell>
          <cell r="H159">
            <v>2.1311444129166999</v>
          </cell>
          <cell r="I159">
            <v>16.739083347125263</v>
          </cell>
          <cell r="J159">
            <v>1.6739083347125264E-2</v>
          </cell>
          <cell r="K159">
            <v>386.61902932748853</v>
          </cell>
          <cell r="L159">
            <v>0.38661902932748854</v>
          </cell>
          <cell r="M159">
            <v>2534.5025255913138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3619.800762606571</v>
          </cell>
          <cell r="H160">
            <v>3.6198007626065709</v>
          </cell>
          <cell r="I160">
            <v>10.658691253223417</v>
          </cell>
          <cell r="J160">
            <v>1.0658691253223416E-2</v>
          </cell>
          <cell r="K160">
            <v>653.48270169476302</v>
          </cell>
          <cell r="L160">
            <v>0.65348270169476297</v>
          </cell>
          <cell r="M160">
            <v>4283.9421555545578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 t="e">
            <v>#N/A</v>
          </cell>
          <cell r="H161" t="e">
            <v>#N/A</v>
          </cell>
          <cell r="I161">
            <v>51.143459448651512</v>
          </cell>
          <cell r="J161">
            <v>5.1143459448651514E-2</v>
          </cell>
          <cell r="K161" t="e">
            <v>#N/A</v>
          </cell>
          <cell r="L161" t="e">
            <v>#N/A</v>
          </cell>
          <cell r="M161" t="e">
            <v>#N/A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4302.0127512652398</v>
          </cell>
          <cell r="H162">
            <v>4.3020127512652397</v>
          </cell>
          <cell r="I162">
            <v>8.7946762108688574</v>
          </cell>
          <cell r="J162">
            <v>8.7946762108688566E-3</v>
          </cell>
          <cell r="K162">
            <v>775.94533694569952</v>
          </cell>
          <cell r="L162">
            <v>0.77594533694569956</v>
          </cell>
          <cell r="M162">
            <v>5086.752764421808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1617.305978510283</v>
          </cell>
          <cell r="H164">
            <v>1.617305978510283</v>
          </cell>
          <cell r="I164">
            <v>5.6927565839591017</v>
          </cell>
          <cell r="J164">
            <v>5.6927565839591018E-3</v>
          </cell>
          <cell r="K164">
            <v>292.13977231696356</v>
          </cell>
          <cell r="L164">
            <v>0.29213977231696353</v>
          </cell>
          <cell r="M164">
            <v>1915.1385074112059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1692.559815818182</v>
          </cell>
          <cell r="H165">
            <v>1.692559815818182</v>
          </cell>
          <cell r="I165">
            <v>0</v>
          </cell>
          <cell r="J165">
            <v>0</v>
          </cell>
          <cell r="K165">
            <v>304.66076684727273</v>
          </cell>
          <cell r="L165">
            <v>0.30466076684727272</v>
          </cell>
          <cell r="M165">
            <v>1997.2205826654547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2509.8161018181813</v>
          </cell>
          <cell r="H166">
            <v>2.5098161018181813</v>
          </cell>
          <cell r="I166">
            <v>0</v>
          </cell>
          <cell r="J166">
            <v>0</v>
          </cell>
          <cell r="K166">
            <v>451.7668983272726</v>
          </cell>
          <cell r="L166">
            <v>0.45176689832727263</v>
          </cell>
          <cell r="M166">
            <v>2961.5830001454538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4104.5189453185185</v>
          </cell>
          <cell r="H167">
            <v>4.1045189453185182</v>
          </cell>
          <cell r="I167">
            <v>0.55385652576131683</v>
          </cell>
          <cell r="J167">
            <v>5.5385652576131678E-4</v>
          </cell>
          <cell r="K167">
            <v>738.91310433197032</v>
          </cell>
          <cell r="L167">
            <v>0.73891310433197033</v>
          </cell>
          <cell r="M167">
            <v>4843.98590617625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1933.6497437493517</v>
          </cell>
          <cell r="H168">
            <v>1.9336497437493518</v>
          </cell>
          <cell r="I168">
            <v>4.0110134052111412</v>
          </cell>
          <cell r="J168">
            <v>4.0110134052111415E-3</v>
          </cell>
          <cell r="K168">
            <v>348.7789362878213</v>
          </cell>
          <cell r="L168">
            <v>0.34877893628782131</v>
          </cell>
          <cell r="M168">
            <v>2286.4396934423839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1963.2474074074075</v>
          </cell>
          <cell r="H169">
            <v>1.9632474074074076</v>
          </cell>
          <cell r="I169">
            <v>0</v>
          </cell>
          <cell r="J169">
            <v>0</v>
          </cell>
          <cell r="K169">
            <v>353.38453333333337</v>
          </cell>
          <cell r="L169">
            <v>0.35338453333333336</v>
          </cell>
          <cell r="M169">
            <v>2316.6319407407409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2236.3231442307692</v>
          </cell>
          <cell r="H170">
            <v>2.2363231442307692</v>
          </cell>
          <cell r="I170">
            <v>0.10230769230769231</v>
          </cell>
          <cell r="J170">
            <v>1.023076923076923E-4</v>
          </cell>
          <cell r="K170">
            <v>402.55658134615379</v>
          </cell>
          <cell r="L170">
            <v>0.4025565813461538</v>
          </cell>
          <cell r="M170">
            <v>2638.9820332692307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2369.8458619999997</v>
          </cell>
          <cell r="H171">
            <v>2.3698458619999996</v>
          </cell>
          <cell r="I171">
            <v>0</v>
          </cell>
          <cell r="J171">
            <v>0</v>
          </cell>
          <cell r="K171">
            <v>426.57225515999994</v>
          </cell>
          <cell r="L171">
            <v>0.42657225515999991</v>
          </cell>
          <cell r="M171">
            <v>2796.4181171599994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2421.3880938775505</v>
          </cell>
          <cell r="H172">
            <v>2.4213880938775505</v>
          </cell>
          <cell r="I172">
            <v>0</v>
          </cell>
          <cell r="J172">
            <v>0</v>
          </cell>
          <cell r="K172">
            <v>435.84985689795906</v>
          </cell>
          <cell r="L172">
            <v>0.43584985689795908</v>
          </cell>
          <cell r="M172">
            <v>2857.2379507755095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2403.3661158555728</v>
          </cell>
          <cell r="H173">
            <v>2.4033661158555728</v>
          </cell>
          <cell r="I173">
            <v>0</v>
          </cell>
          <cell r="J173">
            <v>0</v>
          </cell>
          <cell r="K173">
            <v>432.6059008540031</v>
          </cell>
          <cell r="L173">
            <v>0.43260590085400308</v>
          </cell>
          <cell r="M173">
            <v>2835.9720167095761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4552.0028016666665</v>
          </cell>
          <cell r="H174">
            <v>4.5520028016666663</v>
          </cell>
          <cell r="I174">
            <v>0</v>
          </cell>
          <cell r="J174">
            <v>0</v>
          </cell>
          <cell r="K174">
            <v>819.36050429999989</v>
          </cell>
          <cell r="L174">
            <v>0.81936050429999985</v>
          </cell>
          <cell r="M174">
            <v>5371.3633059666663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2557.7349198529409</v>
          </cell>
          <cell r="H175">
            <v>2.5577349198529409</v>
          </cell>
          <cell r="I175">
            <v>5.4839484126984122</v>
          </cell>
          <cell r="J175">
            <v>5.4839484126984125E-3</v>
          </cell>
          <cell r="K175">
            <v>461.37939628781504</v>
          </cell>
          <cell r="L175">
            <v>0.46137939628781505</v>
          </cell>
          <cell r="M175">
            <v>3024.5982645534541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2265.5029585798816</v>
          </cell>
          <cell r="H176">
            <v>2.2655029585798814</v>
          </cell>
          <cell r="I176">
            <v>18.461538461538463</v>
          </cell>
          <cell r="J176">
            <v>1.8461538461538463E-2</v>
          </cell>
          <cell r="K176">
            <v>411.1136094674556</v>
          </cell>
          <cell r="L176">
            <v>0.41111360946745562</v>
          </cell>
          <cell r="M176">
            <v>2695.0781065088759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1086.3701847256891</v>
          </cell>
          <cell r="H177">
            <v>1086.3701847256891</v>
          </cell>
          <cell r="I177">
            <v>3.3716732577994994</v>
          </cell>
          <cell r="J177">
            <v>3.3716732577994994</v>
          </cell>
          <cell r="K177">
            <v>196.15353443702796</v>
          </cell>
          <cell r="L177">
            <v>196.15353443702796</v>
          </cell>
          <cell r="M177">
            <v>1285.8953924205166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1310.0982328646382</v>
          </cell>
          <cell r="H178">
            <v>1310.0982328646382</v>
          </cell>
          <cell r="I178">
            <v>4.6563490518082045</v>
          </cell>
          <cell r="J178">
            <v>4.6563490518082045</v>
          </cell>
          <cell r="K178">
            <v>236.65582474496034</v>
          </cell>
          <cell r="L178">
            <v>236.65582474496034</v>
          </cell>
          <cell r="M178">
            <v>1551.4104066614068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17.89471</v>
          </cell>
          <cell r="H179">
            <v>1.7894710000000001E-2</v>
          </cell>
          <cell r="I179">
            <v>0</v>
          </cell>
          <cell r="J179">
            <v>0</v>
          </cell>
          <cell r="K179">
            <v>3.2210478</v>
          </cell>
          <cell r="L179">
            <v>3.2210478000000002E-3</v>
          </cell>
          <cell r="M179">
            <v>21.115757800000001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5733.6756100000002</v>
          </cell>
          <cell r="H180">
            <v>5.7336756100000006</v>
          </cell>
          <cell r="I180">
            <v>0</v>
          </cell>
          <cell r="J180">
            <v>0</v>
          </cell>
          <cell r="K180">
            <v>1032.0616098</v>
          </cell>
          <cell r="L180">
            <v>1.0320616097999999</v>
          </cell>
          <cell r="M180">
            <v>6765.7372198000003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2296.9633069526626</v>
          </cell>
          <cell r="H181">
            <v>2.2969633069526627</v>
          </cell>
          <cell r="I181">
            <v>0.10230769230769231</v>
          </cell>
          <cell r="J181">
            <v>1.023076923076923E-4</v>
          </cell>
          <cell r="K181">
            <v>413.47181063609457</v>
          </cell>
          <cell r="L181">
            <v>0.41347181063609456</v>
          </cell>
          <cell r="M181">
            <v>2710.5374252810648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2273.2993637828399</v>
          </cell>
          <cell r="H182">
            <v>2.27329936378284</v>
          </cell>
          <cell r="I182">
            <v>0.10230769230769231</v>
          </cell>
          <cell r="J182">
            <v>1.023076923076923E-4</v>
          </cell>
          <cell r="K182">
            <v>409.21230086552652</v>
          </cell>
          <cell r="L182">
            <v>0.40921230086552651</v>
          </cell>
          <cell r="M182">
            <v>2682.6139723406741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139.81604417974168</v>
          </cell>
          <cell r="H183">
            <v>139.81604417974168</v>
          </cell>
          <cell r="I183">
            <v>0.55436627441746023</v>
          </cell>
          <cell r="J183">
            <v>0.55436627441746023</v>
          </cell>
          <cell r="K183">
            <v>25.266673881748641</v>
          </cell>
          <cell r="L183">
            <v>25.266673881748641</v>
          </cell>
          <cell r="M183">
            <v>165.63708433590776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107.90311458315523</v>
          </cell>
          <cell r="H184">
            <v>107.90311458315523</v>
          </cell>
          <cell r="I184">
            <v>0.40666289522222215</v>
          </cell>
          <cell r="J184">
            <v>0.40666289522222215</v>
          </cell>
          <cell r="K184">
            <v>19.495759946107942</v>
          </cell>
          <cell r="L184">
            <v>19.495759946107942</v>
          </cell>
          <cell r="M184">
            <v>127.80553742448539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 t="e">
            <v>#N/A</v>
          </cell>
          <cell r="H185" t="e">
            <v>#N/A</v>
          </cell>
          <cell r="I185">
            <v>2.204133660943131</v>
          </cell>
          <cell r="J185">
            <v>2.204133660943131</v>
          </cell>
          <cell r="K185" t="e">
            <v>#N/A</v>
          </cell>
          <cell r="L185" t="e">
            <v>#N/A</v>
          </cell>
          <cell r="M185" t="e">
            <v>#N/A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 t="e">
            <v>#N/A</v>
          </cell>
          <cell r="H186" t="e">
            <v>#N/A</v>
          </cell>
          <cell r="I186">
            <v>2.7207712704947129</v>
          </cell>
          <cell r="J186">
            <v>2.7207712704947129</v>
          </cell>
          <cell r="K186" t="e">
            <v>#N/A</v>
          </cell>
          <cell r="L186" t="e">
            <v>#N/A</v>
          </cell>
          <cell r="M186" t="e">
            <v>#N/A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224.06233232296555</v>
          </cell>
          <cell r="H187">
            <v>224.06233232296555</v>
          </cell>
          <cell r="I187">
            <v>1.5166800527773141</v>
          </cell>
          <cell r="J187">
            <v>1.5166800527773141</v>
          </cell>
          <cell r="K187">
            <v>40.604222227633713</v>
          </cell>
          <cell r="L187">
            <v>40.604222227633713</v>
          </cell>
          <cell r="M187">
            <v>266.18323460337655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984.21151682911659</v>
          </cell>
          <cell r="H188">
            <v>0.98421151682911656</v>
          </cell>
          <cell r="I188">
            <v>22.453208930556613</v>
          </cell>
          <cell r="J188">
            <v>2.2453208930556613E-2</v>
          </cell>
          <cell r="K188">
            <v>181.19965063674115</v>
          </cell>
          <cell r="L188">
            <v>0.18119965063674115</v>
          </cell>
          <cell r="M188">
            <v>1187.8643763964144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16.741795762708204</v>
          </cell>
          <cell r="H189">
            <v>16.741795762708204</v>
          </cell>
          <cell r="I189">
            <v>7.7796470995010872E-2</v>
          </cell>
          <cell r="J189">
            <v>7.7796470995010872E-2</v>
          </cell>
          <cell r="K189">
            <v>3.0275266020665788</v>
          </cell>
          <cell r="L189">
            <v>3.0275266020665788</v>
          </cell>
          <cell r="M189">
            <v>19.847118835769795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787.53192784854969</v>
          </cell>
          <cell r="H190">
            <v>787.53192784854969</v>
          </cell>
          <cell r="I190">
            <v>33.95376423548236</v>
          </cell>
          <cell r="J190">
            <v>33.95376423548236</v>
          </cell>
          <cell r="K190">
            <v>147.86742457512577</v>
          </cell>
          <cell r="L190">
            <v>147.86742457512577</v>
          </cell>
          <cell r="M190">
            <v>969.35311665915788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26.711455256073034</v>
          </cell>
          <cell r="H191">
            <v>26.711455256073034</v>
          </cell>
          <cell r="I191">
            <v>0.21649974025974028</v>
          </cell>
          <cell r="J191">
            <v>0.21649974025974028</v>
          </cell>
          <cell r="K191">
            <v>4.8470318993398989</v>
          </cell>
          <cell r="L191">
            <v>4.8470318993398989</v>
          </cell>
          <cell r="M191">
            <v>31.774986895672672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11.940719946809883</v>
          </cell>
          <cell r="H192">
            <v>11.940719946809883</v>
          </cell>
          <cell r="I192">
            <v>0.12697977554383394</v>
          </cell>
          <cell r="J192">
            <v>0.12697977554383394</v>
          </cell>
          <cell r="K192">
            <v>2.1721859500236689</v>
          </cell>
          <cell r="L192">
            <v>2.1721859500236689</v>
          </cell>
          <cell r="M192">
            <v>14.239885672377387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129.56239794495883</v>
          </cell>
          <cell r="H193">
            <v>129.56239794495883</v>
          </cell>
          <cell r="I193">
            <v>0.33569126843211616</v>
          </cell>
          <cell r="J193">
            <v>0.33569126843211616</v>
          </cell>
          <cell r="K193">
            <v>23.381656058410371</v>
          </cell>
          <cell r="L193">
            <v>23.381656058410371</v>
          </cell>
          <cell r="M193">
            <v>153.27974527180135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1199.4746852493561</v>
          </cell>
          <cell r="H194">
            <v>1.1994746852493561</v>
          </cell>
          <cell r="I194">
            <v>57.321656367485019</v>
          </cell>
          <cell r="J194">
            <v>5.732165636748502E-2</v>
          </cell>
          <cell r="K194">
            <v>226.22334149103139</v>
          </cell>
          <cell r="L194">
            <v>0.2262233414910314</v>
          </cell>
          <cell r="M194">
            <v>1483.0196831078724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728.50240284223548</v>
          </cell>
          <cell r="H195">
            <v>0.72850240284223544</v>
          </cell>
          <cell r="I195">
            <v>3.7321257391845619</v>
          </cell>
          <cell r="J195">
            <v>3.7321257391845618E-3</v>
          </cell>
          <cell r="K195">
            <v>131.80221514465561</v>
          </cell>
          <cell r="L195">
            <v>0.13180221514465559</v>
          </cell>
          <cell r="M195">
            <v>864.03674372607566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 t="e">
            <v>#N/A</v>
          </cell>
          <cell r="H196" t="e">
            <v>#N/A</v>
          </cell>
          <cell r="I196">
            <v>5.4408251182795695</v>
          </cell>
          <cell r="J196">
            <v>5.4408251182795691E-3</v>
          </cell>
          <cell r="K196" t="e">
            <v>#N/A</v>
          </cell>
          <cell r="L196" t="e">
            <v>#N/A</v>
          </cell>
          <cell r="M196" t="e">
            <v>#N/A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845.20482907936878</v>
          </cell>
          <cell r="H197">
            <v>0.84520482907936878</v>
          </cell>
          <cell r="I197">
            <v>4.3259851794509725</v>
          </cell>
          <cell r="J197">
            <v>4.3259851794509724E-3</v>
          </cell>
          <cell r="K197">
            <v>152.91554656658755</v>
          </cell>
          <cell r="L197">
            <v>0.15291554656658754</v>
          </cell>
          <cell r="M197">
            <v>1002.4463608254073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967.06078539381633</v>
          </cell>
          <cell r="H198">
            <v>0.96706078539381635</v>
          </cell>
          <cell r="I198">
            <v>3.6969354111111108</v>
          </cell>
          <cell r="J198">
            <v>3.6969354111111106E-3</v>
          </cell>
          <cell r="K198">
            <v>174.73638974488694</v>
          </cell>
          <cell r="L198">
            <v>0.17473638974488692</v>
          </cell>
          <cell r="M198">
            <v>1145.4941105498144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1657.7992251703649</v>
          </cell>
          <cell r="H199">
            <v>1.657799225170365</v>
          </cell>
          <cell r="I199">
            <v>15.728764277690562</v>
          </cell>
          <cell r="J199">
            <v>1.5728764277690561E-2</v>
          </cell>
          <cell r="K199">
            <v>301.23503810064994</v>
          </cell>
          <cell r="L199">
            <v>0.30123503810064994</v>
          </cell>
          <cell r="M199">
            <v>1974.7630275487054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1483.9697364485019</v>
          </cell>
          <cell r="H200">
            <v>1.4839697364485018</v>
          </cell>
          <cell r="I200">
            <v>12.027763347763349</v>
          </cell>
          <cell r="J200">
            <v>1.202776334776335E-2</v>
          </cell>
          <cell r="K200">
            <v>269.27954996332772</v>
          </cell>
          <cell r="L200">
            <v>0.2692795499633277</v>
          </cell>
          <cell r="M200">
            <v>1765.277049759593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1105.7553743641677</v>
          </cell>
          <cell r="H201">
            <v>1.1057553743641677</v>
          </cell>
          <cell r="I201">
            <v>12.589646679546425</v>
          </cell>
          <cell r="J201">
            <v>1.2589646679546424E-2</v>
          </cell>
          <cell r="K201">
            <v>201.30210378786853</v>
          </cell>
          <cell r="L201">
            <v>0.20130210378786853</v>
          </cell>
          <cell r="M201">
            <v>1319.6471248315825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7.2823280901269198</v>
          </cell>
          <cell r="H202">
            <v>7.2823280901269198</v>
          </cell>
          <cell r="I202">
            <v>0.34536946277633873</v>
          </cell>
          <cell r="J202">
            <v>0.34536946277633873</v>
          </cell>
          <cell r="K202">
            <v>1.3729855595225866</v>
          </cell>
          <cell r="L202">
            <v>1.3729855595225866</v>
          </cell>
          <cell r="M202">
            <v>9.0006831124258451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67.119951179565732</v>
          </cell>
          <cell r="H203">
            <v>67.119951179565732</v>
          </cell>
          <cell r="I203">
            <v>0.5440157362193363</v>
          </cell>
          <cell r="J203">
            <v>0.5440157362193363</v>
          </cell>
          <cell r="K203">
            <v>12.179514044841312</v>
          </cell>
          <cell r="L203">
            <v>12.179514044841312</v>
          </cell>
          <cell r="M203">
            <v>79.84348096062638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1128.5599365545836</v>
          </cell>
          <cell r="H204">
            <v>1.1285599365545835</v>
          </cell>
          <cell r="I204">
            <v>4.3143236247666659</v>
          </cell>
          <cell r="J204">
            <v>4.3143236247666656E-3</v>
          </cell>
          <cell r="K204">
            <v>203.91736683228305</v>
          </cell>
          <cell r="L204">
            <v>0.20391736683228306</v>
          </cell>
          <cell r="M204">
            <v>1336.7916270116334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27.357660099495881</v>
          </cell>
          <cell r="H205">
            <v>27.357660099495881</v>
          </cell>
          <cell r="I205">
            <v>0.1217359989443584</v>
          </cell>
          <cell r="J205">
            <v>0.1217359989443584</v>
          </cell>
          <cell r="K205">
            <v>4.9462912977192435</v>
          </cell>
          <cell r="L205">
            <v>4.9462912977192435</v>
          </cell>
          <cell r="M205">
            <v>32.425687396159482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1018.4318094758066</v>
          </cell>
          <cell r="H207">
            <v>1.0184318094758067</v>
          </cell>
          <cell r="I207">
            <v>8.7576164874551967</v>
          </cell>
          <cell r="J207">
            <v>8.7576164874551971E-3</v>
          </cell>
          <cell r="K207">
            <v>184.89409667338711</v>
          </cell>
          <cell r="L207">
            <v>0.1848940966733871</v>
          </cell>
          <cell r="M207">
            <v>1212.0835226366489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4813.5739999999996</v>
          </cell>
          <cell r="H208">
            <v>4.813574</v>
          </cell>
          <cell r="I208">
            <v>46.743326679973386</v>
          </cell>
          <cell r="J208">
            <v>4.6743326679973385E-2</v>
          </cell>
          <cell r="K208">
            <v>874.85711880239512</v>
          </cell>
          <cell r="L208">
            <v>0.87485711880239514</v>
          </cell>
          <cell r="M208">
            <v>5735.1744454823684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4813.5739999999996</v>
          </cell>
          <cell r="H209">
            <v>4.813574</v>
          </cell>
          <cell r="I209">
            <v>80.407185628742525</v>
          </cell>
          <cell r="J209">
            <v>8.0407185628742522E-2</v>
          </cell>
          <cell r="K209">
            <v>880.91661341317365</v>
          </cell>
          <cell r="L209">
            <v>0.88091661341317362</v>
          </cell>
          <cell r="M209">
            <v>5774.8977990419162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37014.76</v>
          </cell>
          <cell r="H210">
            <v>37.014760000000003</v>
          </cell>
          <cell r="I210">
            <v>70.051111111111112</v>
          </cell>
          <cell r="J210">
            <v>7.0051111111111106E-2</v>
          </cell>
          <cell r="K210">
            <v>6675.2660000000005</v>
          </cell>
          <cell r="L210">
            <v>6.6752660000000006</v>
          </cell>
          <cell r="M210">
            <v>43760.077111111117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37014.76</v>
          </cell>
          <cell r="H211">
            <v>37.014760000000003</v>
          </cell>
          <cell r="I211">
            <v>128.88888888888889</v>
          </cell>
          <cell r="J211">
            <v>0.12888888888888889</v>
          </cell>
          <cell r="K211">
            <v>6685.8568000000005</v>
          </cell>
          <cell r="L211">
            <v>6.6858568000000007</v>
          </cell>
          <cell r="M211">
            <v>43829.505688888894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4813.5739999999996</v>
          </cell>
          <cell r="H212">
            <v>4.813574</v>
          </cell>
          <cell r="I212">
            <v>101.67844311377246</v>
          </cell>
          <cell r="J212">
            <v>0.10167844311377246</v>
          </cell>
          <cell r="K212">
            <v>884.74543976047892</v>
          </cell>
          <cell r="L212">
            <v>0.88474543976047892</v>
          </cell>
          <cell r="M212">
            <v>5799.9978828742505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821.6499785895536</v>
          </cell>
          <cell r="H213">
            <v>0.82164997858955358</v>
          </cell>
          <cell r="I213">
            <v>5.4569818614762422</v>
          </cell>
          <cell r="J213">
            <v>5.4569818614762424E-3</v>
          </cell>
          <cell r="K213">
            <v>148.87925288118538</v>
          </cell>
          <cell r="L213">
            <v>0.14887925288118539</v>
          </cell>
          <cell r="M213">
            <v>975.98621333221524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654.7378830016944</v>
          </cell>
          <cell r="H214">
            <v>0.65473788300169444</v>
          </cell>
          <cell r="I214">
            <v>4.0823252053278862</v>
          </cell>
          <cell r="J214">
            <v>4.0823252053278861E-3</v>
          </cell>
          <cell r="K214">
            <v>118.587637477264</v>
          </cell>
          <cell r="L214">
            <v>0.118587637477264</v>
          </cell>
          <cell r="M214">
            <v>777.40784568428626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1983.8753484667463</v>
          </cell>
          <cell r="H215">
            <v>1.9838753484667464</v>
          </cell>
          <cell r="I215" t="e">
            <v>#N/A</v>
          </cell>
          <cell r="J215" t="e">
            <v>#N/A</v>
          </cell>
          <cell r="K215" t="e">
            <v>#N/A</v>
          </cell>
          <cell r="L215" t="e">
            <v>#N/A</v>
          </cell>
          <cell r="M215" t="e">
            <v>#N/A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483.02906591401381</v>
          </cell>
          <cell r="H216">
            <v>0.48302906591401379</v>
          </cell>
          <cell r="I216" t="e">
            <v>#N/A</v>
          </cell>
          <cell r="J216" t="e">
            <v>#N/A</v>
          </cell>
          <cell r="K216" t="e">
            <v>#N/A</v>
          </cell>
          <cell r="L216" t="e">
            <v>#N/A</v>
          </cell>
          <cell r="M216" t="e">
            <v>#N/A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37014.76</v>
          </cell>
          <cell r="H217">
            <v>37.014760000000003</v>
          </cell>
          <cell r="I217">
            <v>59.669111111111114</v>
          </cell>
          <cell r="J217">
            <v>5.9669111111111117E-2</v>
          </cell>
          <cell r="K217">
            <v>6673.3972400000002</v>
          </cell>
          <cell r="L217">
            <v>6.6733972399999999</v>
          </cell>
          <cell r="M217">
            <v>43747.826351111114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1584.8881838580674</v>
          </cell>
          <cell r="H218">
            <v>1.5848881838580673</v>
          </cell>
          <cell r="I218">
            <v>0.71130507885714289</v>
          </cell>
          <cell r="J218">
            <v>7.113050788571429E-4</v>
          </cell>
          <cell r="K218">
            <v>285.40790800864642</v>
          </cell>
          <cell r="L218">
            <v>0.2854079080086464</v>
          </cell>
          <cell r="M218">
            <v>1871.0073969455709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2562.0680396020098</v>
          </cell>
          <cell r="H219">
            <v>2.5620680396020097</v>
          </cell>
          <cell r="I219">
            <v>1.6634562011900926</v>
          </cell>
          <cell r="J219">
            <v>1.6634562011900926E-3</v>
          </cell>
          <cell r="K219">
            <v>461.47166924457593</v>
          </cell>
          <cell r="L219">
            <v>0.46147166924457594</v>
          </cell>
          <cell r="M219">
            <v>3025.2031650477757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2167.5308380952383</v>
          </cell>
          <cell r="H220">
            <v>2.1675308380952383</v>
          </cell>
          <cell r="I220">
            <v>2.726E-2</v>
          </cell>
          <cell r="J220">
            <v>2.726E-5</v>
          </cell>
          <cell r="K220">
            <v>390.16045765714284</v>
          </cell>
          <cell r="L220">
            <v>0.39016045765714286</v>
          </cell>
          <cell r="M220">
            <v>2557.7185557523808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1770.4979322689076</v>
          </cell>
          <cell r="H221">
            <v>1.7704979322689076</v>
          </cell>
          <cell r="I221">
            <v>0</v>
          </cell>
          <cell r="J221">
            <v>0</v>
          </cell>
          <cell r="K221">
            <v>318.68962780840337</v>
          </cell>
          <cell r="L221">
            <v>0.31868962780840338</v>
          </cell>
          <cell r="M221">
            <v>2089.187560077311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1501.4683696457644</v>
          </cell>
          <cell r="H222">
            <v>1.5014683696457645</v>
          </cell>
          <cell r="I222">
            <v>8.4094605205120843</v>
          </cell>
          <cell r="J222">
            <v>8.4094605205120836E-3</v>
          </cell>
          <cell r="K222">
            <v>271.77800942992974</v>
          </cell>
          <cell r="L222">
            <v>0.27177800942992975</v>
          </cell>
          <cell r="M222">
            <v>1781.6558395962061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2399.3616211179378</v>
          </cell>
          <cell r="H223">
            <v>2.3993616211179378</v>
          </cell>
          <cell r="I223">
            <v>13.655693888382729</v>
          </cell>
          <cell r="J223">
            <v>1.3655693888382728E-2</v>
          </cell>
          <cell r="K223">
            <v>434.34311670113772</v>
          </cell>
          <cell r="L223">
            <v>0.43434311670113773</v>
          </cell>
          <cell r="M223">
            <v>2847.3604317074582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2228.6899999999996</v>
          </cell>
          <cell r="H225">
            <v>2.2286899999999994</v>
          </cell>
          <cell r="I225">
            <v>28.8</v>
          </cell>
          <cell r="J225">
            <v>2.8799999999999999E-2</v>
          </cell>
          <cell r="K225">
            <v>406.34819999999996</v>
          </cell>
          <cell r="L225">
            <v>0.40634819999999994</v>
          </cell>
          <cell r="M225">
            <v>2663.8381999999997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2377.6790569332416</v>
          </cell>
          <cell r="H226">
            <v>2.3776790569332418</v>
          </cell>
          <cell r="I226">
            <v>40.795901125</v>
          </cell>
          <cell r="J226">
            <v>4.0795901124999999E-2</v>
          </cell>
          <cell r="K226">
            <v>435.32549245048347</v>
          </cell>
          <cell r="L226">
            <v>0.43532549245048346</v>
          </cell>
          <cell r="M226">
            <v>2853.8004505087251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1889.0339707843136</v>
          </cell>
          <cell r="H227">
            <v>1.8890339707843136</v>
          </cell>
          <cell r="I227">
            <v>0</v>
          </cell>
          <cell r="J227">
            <v>0</v>
          </cell>
          <cell r="K227">
            <v>340.02611474117646</v>
          </cell>
          <cell r="L227">
            <v>0.34002611474117644</v>
          </cell>
          <cell r="M227">
            <v>2229.0600855254902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6531.2169312169308</v>
          </cell>
          <cell r="H228">
            <v>6.5312169312169308</v>
          </cell>
          <cell r="I228">
            <v>19.604444444444443</v>
          </cell>
          <cell r="J228">
            <v>1.9604444444444442E-2</v>
          </cell>
          <cell r="K228">
            <v>1179.1478476190475</v>
          </cell>
          <cell r="L228">
            <v>1.1791478476190476</v>
          </cell>
          <cell r="M228">
            <v>7729.9692232804227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2165.9483333333333</v>
          </cell>
          <cell r="H229">
            <v>2.1659483333333331</v>
          </cell>
          <cell r="I229">
            <v>20.556000000000001</v>
          </cell>
          <cell r="J229">
            <v>2.0556000000000001E-2</v>
          </cell>
          <cell r="K229">
            <v>393.57077999999996</v>
          </cell>
          <cell r="L229">
            <v>0.39357077999999995</v>
          </cell>
          <cell r="M229">
            <v>2580.0751133333333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1361.1525283253943</v>
          </cell>
          <cell r="H230">
            <v>1.3611525283253942</v>
          </cell>
          <cell r="I230">
            <v>5.5856104008888892</v>
          </cell>
          <cell r="J230">
            <v>5.5856104008888893E-3</v>
          </cell>
          <cell r="K230">
            <v>246.01286497073099</v>
          </cell>
          <cell r="L230">
            <v>0.24601286497073099</v>
          </cell>
          <cell r="M230">
            <v>1612.7510036970143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14.4</v>
          </cell>
          <cell r="J231">
            <v>1.44E-2</v>
          </cell>
          <cell r="K231">
            <v>147.65339999999992</v>
          </cell>
          <cell r="L231">
            <v>0.14765339999999991</v>
          </cell>
          <cell r="M231">
            <v>967.9500666666662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1693.2243654722606</v>
          </cell>
          <cell r="H232">
            <v>1.6932243654722605</v>
          </cell>
          <cell r="I232">
            <v>1.9418745709714287</v>
          </cell>
          <cell r="J232">
            <v>1.9418745709714287E-3</v>
          </cell>
          <cell r="K232">
            <v>305.12992320778176</v>
          </cell>
          <cell r="L232">
            <v>0.30512992320778176</v>
          </cell>
          <cell r="M232">
            <v>2000.2961632510137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1794.9684940656525</v>
          </cell>
          <cell r="H233">
            <v>1794.9684940656525</v>
          </cell>
          <cell r="I233">
            <v>2.3545150877192977</v>
          </cell>
          <cell r="J233">
            <v>2.3545150877192977</v>
          </cell>
          <cell r="K233">
            <v>323.51814164760691</v>
          </cell>
          <cell r="L233">
            <v>323.51814164760691</v>
          </cell>
          <cell r="M233">
            <v>2120.841150800979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2943.4459561764702</v>
          </cell>
          <cell r="H234">
            <v>2943.4459561764702</v>
          </cell>
          <cell r="I234" t="e">
            <v>#N/A</v>
          </cell>
          <cell r="J234" t="e">
            <v>#N/A</v>
          </cell>
          <cell r="K234" t="e">
            <v>#N/A</v>
          </cell>
          <cell r="L234" t="e">
            <v>#N/A</v>
          </cell>
          <cell r="M234" t="e">
            <v>#N/A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968.1478742810458</v>
          </cell>
          <cell r="H235">
            <v>968.1478742810458</v>
          </cell>
          <cell r="I235" t="e">
            <v>#N/A</v>
          </cell>
          <cell r="J235" t="e">
            <v>#N/A</v>
          </cell>
          <cell r="K235" t="e">
            <v>#N/A</v>
          </cell>
          <cell r="L235" t="e">
            <v>#N/A</v>
          </cell>
          <cell r="M235" t="e">
            <v>#N/A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1914.2936507601407</v>
          </cell>
          <cell r="H236">
            <v>1914.2936507601407</v>
          </cell>
          <cell r="I236">
            <v>0.34120813598811178</v>
          </cell>
          <cell r="J236">
            <v>0.34120813598811178</v>
          </cell>
          <cell r="K236">
            <v>344.63427460130316</v>
          </cell>
          <cell r="L236">
            <v>344.63427460130316</v>
          </cell>
          <cell r="M236">
            <v>2259.269133497432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702.25292199122077</v>
          </cell>
          <cell r="H237">
            <v>702.25292199122077</v>
          </cell>
          <cell r="I237">
            <v>0.31743146271776834</v>
          </cell>
          <cell r="J237">
            <v>0.31743146271776834</v>
          </cell>
          <cell r="K237">
            <v>126.46266362170893</v>
          </cell>
          <cell r="L237">
            <v>126.46266362170893</v>
          </cell>
          <cell r="M237">
            <v>829.03301707564742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1797.3747031380506</v>
          </cell>
          <cell r="H238">
            <v>1.7973747031380505</v>
          </cell>
          <cell r="I238">
            <v>0.14222107509119691</v>
          </cell>
          <cell r="J238">
            <v>1.4222107509119692E-4</v>
          </cell>
          <cell r="K238">
            <v>323.55304635836552</v>
          </cell>
          <cell r="L238">
            <v>0.32355304635836551</v>
          </cell>
          <cell r="M238">
            <v>2121.0699705715074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91.639615416197273</v>
          </cell>
          <cell r="H239">
            <v>91.639615416197273</v>
          </cell>
          <cell r="I239">
            <v>1.0371898994954427</v>
          </cell>
          <cell r="J239">
            <v>1.0371898994954427</v>
          </cell>
          <cell r="K239">
            <v>16.681824956824688</v>
          </cell>
          <cell r="L239">
            <v>16.681824956824688</v>
          </cell>
          <cell r="M239">
            <v>109.3586302725174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1039.8826084307693</v>
          </cell>
          <cell r="H240">
            <v>1.0398826084307693</v>
          </cell>
          <cell r="I240" t="e">
            <v>#N/A</v>
          </cell>
          <cell r="J240" t="e">
            <v>#N/A</v>
          </cell>
          <cell r="K240" t="e">
            <v>#N/A</v>
          </cell>
          <cell r="L240" t="e">
            <v>#N/A</v>
          </cell>
          <cell r="M240" t="e">
            <v>#N/A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405.47686446345733</v>
          </cell>
          <cell r="H241">
            <v>405.47686446345733</v>
          </cell>
          <cell r="I241">
            <v>2.413001221882741</v>
          </cell>
          <cell r="J241">
            <v>2.413001221882741</v>
          </cell>
          <cell r="K241">
            <v>73.420175823361205</v>
          </cell>
          <cell r="L241">
            <v>73.420175823361205</v>
          </cell>
          <cell r="M241">
            <v>481.31004150870126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1136.6228907046175</v>
          </cell>
          <cell r="H242">
            <v>1.1366228907046174</v>
          </cell>
          <cell r="I242">
            <v>0.23171102955379566</v>
          </cell>
          <cell r="J242">
            <v>2.3171102955379567E-4</v>
          </cell>
          <cell r="K242">
            <v>204.6338283121508</v>
          </cell>
          <cell r="L242">
            <v>0.2046338283121508</v>
          </cell>
          <cell r="M242">
            <v>1341.488430046322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450.59926753225267</v>
          </cell>
          <cell r="H243">
            <v>450.59926753225267</v>
          </cell>
          <cell r="I243" t="e">
            <v>#N/A</v>
          </cell>
          <cell r="J243" t="e">
            <v>#N/A</v>
          </cell>
          <cell r="K243" t="e">
            <v>#N/A</v>
          </cell>
          <cell r="L243" t="e">
            <v>#N/A</v>
          </cell>
          <cell r="M243" t="e">
            <v>#N/A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1135.9317648717495</v>
          </cell>
          <cell r="H244">
            <v>1.1359317648717495</v>
          </cell>
          <cell r="I244">
            <v>0.69990377084032673</v>
          </cell>
          <cell r="J244">
            <v>6.9990377084032677E-4</v>
          </cell>
          <cell r="K244">
            <v>204.59370035566616</v>
          </cell>
          <cell r="L244">
            <v>0.20459370035566615</v>
          </cell>
          <cell r="M244">
            <v>1341.225368998256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401.23940694574827</v>
          </cell>
          <cell r="H245">
            <v>401.23940694574827</v>
          </cell>
          <cell r="I245">
            <v>2.3620542744883037</v>
          </cell>
          <cell r="J245">
            <v>2.3620542744883037</v>
          </cell>
          <cell r="K245">
            <v>72.648263019642584</v>
          </cell>
          <cell r="L245">
            <v>72.648263019642584</v>
          </cell>
          <cell r="M245">
            <v>476.24972423987913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1869.4548399999999</v>
          </cell>
          <cell r="H246">
            <v>1.86945484</v>
          </cell>
          <cell r="I246">
            <v>8.0740740740740744</v>
          </cell>
          <cell r="J246">
            <v>8.0740740740740738E-3</v>
          </cell>
          <cell r="K246">
            <v>337.9552045333333</v>
          </cell>
          <cell r="L246">
            <v>0.33795520453333328</v>
          </cell>
          <cell r="M246">
            <v>2215.4841186074073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2101.1386749999997</v>
          </cell>
          <cell r="H247">
            <v>2.1011386749999996</v>
          </cell>
          <cell r="I247">
            <v>0.11187958333333334</v>
          </cell>
          <cell r="J247">
            <v>1.1187958333333334E-4</v>
          </cell>
          <cell r="K247">
            <v>378.22509982499992</v>
          </cell>
          <cell r="L247">
            <v>0.37822509982499991</v>
          </cell>
          <cell r="M247">
            <v>2479.475654408333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1454.6761080432802</v>
          </cell>
          <cell r="H248">
            <v>1.4546761080432802</v>
          </cell>
          <cell r="I248">
            <v>1.8476740613620986</v>
          </cell>
          <cell r="J248">
            <v>1.8476740613620984E-3</v>
          </cell>
          <cell r="K248">
            <v>262.17428077883562</v>
          </cell>
          <cell r="L248">
            <v>0.26217428077883564</v>
          </cell>
          <cell r="M248">
            <v>1718.6980628834781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1711.4849425346288</v>
          </cell>
          <cell r="H249">
            <v>1711.4849425346288</v>
          </cell>
          <cell r="I249">
            <v>13.927790103373713</v>
          </cell>
          <cell r="J249">
            <v>13.927790103373713</v>
          </cell>
          <cell r="K249">
            <v>310.57429187484047</v>
          </cell>
          <cell r="L249">
            <v>310.57429187484047</v>
          </cell>
          <cell r="M249">
            <v>2035.9870245128432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464.10671101834708</v>
          </cell>
          <cell r="H250">
            <v>464.10671101834708</v>
          </cell>
          <cell r="I250">
            <v>4.1119916801932366</v>
          </cell>
          <cell r="J250">
            <v>4.1119916801932366</v>
          </cell>
          <cell r="K250">
            <v>84.279366485737256</v>
          </cell>
          <cell r="L250">
            <v>84.279366485737256</v>
          </cell>
          <cell r="M250">
            <v>552.4980691842776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1278.780963386997</v>
          </cell>
          <cell r="H251">
            <v>1.2787809633869969</v>
          </cell>
          <cell r="I251">
            <v>0.28362934131736528</v>
          </cell>
          <cell r="J251">
            <v>2.836293413173653E-4</v>
          </cell>
          <cell r="K251">
            <v>230.23162669109658</v>
          </cell>
          <cell r="L251">
            <v>0.23023162669109659</v>
          </cell>
          <cell r="M251">
            <v>1509.296219419411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3211.3106377777781</v>
          </cell>
          <cell r="H252">
            <v>3.2113106377777783</v>
          </cell>
          <cell r="I252">
            <v>0</v>
          </cell>
          <cell r="J252">
            <v>0</v>
          </cell>
          <cell r="K252">
            <v>578.0359148</v>
          </cell>
          <cell r="L252">
            <v>0.57803591480000005</v>
          </cell>
          <cell r="M252">
            <v>3789.3465525777783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1408.7591761461251</v>
          </cell>
          <cell r="H253">
            <v>1408.7591761461251</v>
          </cell>
          <cell r="I253">
            <v>53.487031746031747</v>
          </cell>
          <cell r="J253">
            <v>53.487031746031747</v>
          </cell>
          <cell r="K253">
            <v>263.20431742058821</v>
          </cell>
          <cell r="L253">
            <v>263.20431742058821</v>
          </cell>
          <cell r="M253">
            <v>1725.4505253127452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4620.069813923903</v>
          </cell>
          <cell r="H254">
            <v>4620.069813923903</v>
          </cell>
          <cell r="I254">
            <v>53.487031746031747</v>
          </cell>
          <cell r="J254">
            <v>53.487031746031747</v>
          </cell>
          <cell r="K254">
            <v>841.24023222058827</v>
          </cell>
          <cell r="L254">
            <v>841.24023222058827</v>
          </cell>
          <cell r="M254">
            <v>5514.7970778905228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1596.7280301141611</v>
          </cell>
          <cell r="H255">
            <v>1.5967280301141611</v>
          </cell>
          <cell r="I255">
            <v>6.4479647266313922</v>
          </cell>
          <cell r="J255">
            <v>6.4479647266313918E-3</v>
          </cell>
          <cell r="K255">
            <v>288.57167907134266</v>
          </cell>
          <cell r="L255">
            <v>0.28857167907134268</v>
          </cell>
          <cell r="M255">
            <v>1891.7476739121353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3259.8053412740737</v>
          </cell>
          <cell r="H256">
            <v>3259.8053412740737</v>
          </cell>
          <cell r="I256">
            <v>55.797164021164015</v>
          </cell>
          <cell r="J256">
            <v>55.797164021164015</v>
          </cell>
          <cell r="K256">
            <v>596.80845095314282</v>
          </cell>
          <cell r="L256">
            <v>596.80845095314282</v>
          </cell>
          <cell r="M256">
            <v>3912.4109562483804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678.38484174108407</v>
          </cell>
          <cell r="H257">
            <v>0.67838484174108404</v>
          </cell>
          <cell r="I257">
            <v>9.777874058918707</v>
          </cell>
          <cell r="J257">
            <v>9.7778740589187074E-3</v>
          </cell>
          <cell r="K257">
            <v>123.86928884400049</v>
          </cell>
          <cell r="L257">
            <v>0.12386928884400049</v>
          </cell>
          <cell r="M257">
            <v>812.03200464400322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1193.488779130435</v>
          </cell>
          <cell r="H258">
            <v>1.1934887791304349</v>
          </cell>
          <cell r="I258">
            <v>6.2503795721187032</v>
          </cell>
          <cell r="J258">
            <v>6.2503795721187035E-3</v>
          </cell>
          <cell r="K258">
            <v>215.95304856645964</v>
          </cell>
          <cell r="L258">
            <v>0.21595304856645964</v>
          </cell>
          <cell r="M258">
            <v>1415.6922072690131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1145.938297584268</v>
          </cell>
          <cell r="H259">
            <v>1145.938297584268</v>
          </cell>
          <cell r="I259">
            <v>12.289209821759259</v>
          </cell>
          <cell r="J259">
            <v>12.289209821759259</v>
          </cell>
          <cell r="K259">
            <v>208.48095133308487</v>
          </cell>
          <cell r="L259">
            <v>208.48095133308487</v>
          </cell>
          <cell r="M259">
            <v>1366.7084587391121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747.05352192200121</v>
          </cell>
          <cell r="H260">
            <v>747.05352192200121</v>
          </cell>
          <cell r="I260">
            <v>4.0899089745657715</v>
          </cell>
          <cell r="J260">
            <v>4.0899089745657715</v>
          </cell>
          <cell r="K260">
            <v>135.20581756138205</v>
          </cell>
          <cell r="L260">
            <v>135.20581756138205</v>
          </cell>
          <cell r="M260">
            <v>886.34924845794899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288.41017926504401</v>
          </cell>
          <cell r="H261">
            <v>288.41017926504401</v>
          </cell>
          <cell r="I261">
            <v>0.19929133611111111</v>
          </cell>
          <cell r="J261">
            <v>0.19929133611111111</v>
          </cell>
          <cell r="K261">
            <v>51.949704708207918</v>
          </cell>
          <cell r="L261">
            <v>51.949704708207918</v>
          </cell>
          <cell r="M261">
            <v>340.55917530936301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702.25292199122077</v>
          </cell>
          <cell r="H262">
            <v>702.25292199122077</v>
          </cell>
          <cell r="I262">
            <v>4.2497740517145326</v>
          </cell>
          <cell r="J262">
            <v>4.2497740517145326</v>
          </cell>
          <cell r="K262">
            <v>127.17048528772835</v>
          </cell>
          <cell r="L262">
            <v>127.17048528772835</v>
          </cell>
          <cell r="M262">
            <v>833.67318133066374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512.08397954130157</v>
          </cell>
          <cell r="H263">
            <v>512.08397954130157</v>
          </cell>
          <cell r="I263">
            <v>4.6229261065656564</v>
          </cell>
          <cell r="J263">
            <v>4.6229261065656564</v>
          </cell>
          <cell r="K263">
            <v>93.007243016616087</v>
          </cell>
          <cell r="L263">
            <v>93.007243016616087</v>
          </cell>
          <cell r="M263">
            <v>609.71414866448322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830.63904907617473</v>
          </cell>
          <cell r="H264">
            <v>830.63904907617473</v>
          </cell>
          <cell r="I264">
            <v>9.4910312433786501</v>
          </cell>
          <cell r="J264">
            <v>9.4910312433786501</v>
          </cell>
          <cell r="K264" t="e">
            <v>#N/A</v>
          </cell>
          <cell r="L264" t="e">
            <v>#N/A</v>
          </cell>
          <cell r="M264" t="e">
            <v>#N/A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794.69604348040116</v>
          </cell>
          <cell r="H265">
            <v>794.69604348040116</v>
          </cell>
          <cell r="I265">
            <v>11.00817046629021</v>
          </cell>
          <cell r="J265">
            <v>11.00817046629021</v>
          </cell>
          <cell r="K265">
            <v>145.02675851040445</v>
          </cell>
          <cell r="L265">
            <v>145.02675851040445</v>
          </cell>
          <cell r="M265">
            <v>950.73097245709585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1338.3418556066867</v>
          </cell>
          <cell r="H266">
            <v>1.3383418556066868</v>
          </cell>
          <cell r="I266">
            <v>18.889303937374084</v>
          </cell>
          <cell r="J266">
            <v>1.8889303937374084E-2</v>
          </cell>
          <cell r="K266">
            <v>244.30160871793095</v>
          </cell>
          <cell r="L266">
            <v>0.24430160871793094</v>
          </cell>
          <cell r="M266">
            <v>1601.5327682619918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1132.9404695510932</v>
          </cell>
          <cell r="H267">
            <v>1.1329404695510932</v>
          </cell>
          <cell r="I267">
            <v>24.209029749999999</v>
          </cell>
          <cell r="J267">
            <v>2.420902975E-2</v>
          </cell>
          <cell r="K267">
            <v>208.28690987419674</v>
          </cell>
          <cell r="L267">
            <v>0.20828690987419674</v>
          </cell>
          <cell r="M267">
            <v>1365.4364091752898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4402.3167090909083</v>
          </cell>
          <cell r="H268">
            <v>4.4023167090909086</v>
          </cell>
          <cell r="I268">
            <v>69.294155844155839</v>
          </cell>
          <cell r="J268">
            <v>6.9294155844155839E-2</v>
          </cell>
          <cell r="K268">
            <v>804.8899556883116</v>
          </cell>
          <cell r="L268">
            <v>0.80488995568831156</v>
          </cell>
          <cell r="M268">
            <v>5276.5008206233761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 t="e">
            <v>#N/A</v>
          </cell>
          <cell r="H270" t="e">
            <v>#N/A</v>
          </cell>
          <cell r="I270">
            <v>0</v>
          </cell>
          <cell r="J270">
            <v>0</v>
          </cell>
          <cell r="K270" t="e">
            <v>#N/A</v>
          </cell>
          <cell r="L270" t="e">
            <v>#N/A</v>
          </cell>
          <cell r="M270" t="e">
            <v>#N/A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11304.553470900002</v>
          </cell>
          <cell r="H271">
            <v>11.304553470900002</v>
          </cell>
          <cell r="I271">
            <v>9.7624471200781002</v>
          </cell>
          <cell r="J271">
            <v>9.7624471200781007E-3</v>
          </cell>
          <cell r="K271">
            <v>2036.5768652436143</v>
          </cell>
          <cell r="L271">
            <v>2.0365768652436143</v>
          </cell>
          <cell r="M271">
            <v>13350.892783263695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3031.4413262982762</v>
          </cell>
          <cell r="H272">
            <v>3.031441326298276</v>
          </cell>
          <cell r="I272">
            <v>27.717662337662336</v>
          </cell>
          <cell r="J272">
            <v>2.7717662337662336E-2</v>
          </cell>
          <cell r="K272">
            <v>550.64861795446893</v>
          </cell>
          <cell r="L272">
            <v>0.55064861795446896</v>
          </cell>
          <cell r="M272">
            <v>3609.8076065904074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 t="e">
            <v>#N/A</v>
          </cell>
          <cell r="H274" t="e">
            <v>#N/A</v>
          </cell>
          <cell r="I274">
            <v>0</v>
          </cell>
          <cell r="J274">
            <v>0</v>
          </cell>
          <cell r="K274" t="e">
            <v>#N/A</v>
          </cell>
          <cell r="L274" t="e">
            <v>#N/A</v>
          </cell>
          <cell r="M274" t="e">
            <v>#N/A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1185.84059284878</v>
          </cell>
          <cell r="H275">
            <v>1.1858405928487801</v>
          </cell>
          <cell r="I275">
            <v>4.2018332373068104</v>
          </cell>
          <cell r="J275">
            <v>4.2018332373068099E-3</v>
          </cell>
          <cell r="K275">
            <v>214.20763669549561</v>
          </cell>
          <cell r="L275">
            <v>0.21420763669549561</v>
          </cell>
          <cell r="M275">
            <v>1404.2500627815825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377.11618697254892</v>
          </cell>
          <cell r="H276">
            <v>0.37711618697254889</v>
          </cell>
          <cell r="I276">
            <v>7.5766229999999997</v>
          </cell>
          <cell r="J276">
            <v>7.5766229999999993E-3</v>
          </cell>
          <cell r="K276">
            <v>69.244705795058806</v>
          </cell>
          <cell r="L276">
            <v>6.92447057950588E-2</v>
          </cell>
          <cell r="M276">
            <v>453.93751576760769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2072.1503847431036</v>
          </cell>
          <cell r="H277">
            <v>2.0721503847431038</v>
          </cell>
          <cell r="I277">
            <v>6.162360141176471</v>
          </cell>
          <cell r="J277">
            <v>6.1623601411764711E-3</v>
          </cell>
          <cell r="K277">
            <v>374.09629407917043</v>
          </cell>
          <cell r="L277">
            <v>0.37409629407917044</v>
          </cell>
          <cell r="M277">
            <v>2452.4090389634507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1488.8891322600664</v>
          </cell>
          <cell r="H278">
            <v>1.4888891322600664</v>
          </cell>
          <cell r="I278">
            <v>0</v>
          </cell>
          <cell r="J278">
            <v>0</v>
          </cell>
          <cell r="K278">
            <v>268.00004380681196</v>
          </cell>
          <cell r="L278">
            <v>0.26800004380681197</v>
          </cell>
          <cell r="M278">
            <v>1756.8891760668785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3285.323227512255</v>
          </cell>
          <cell r="H279">
            <v>3.2853232275122548</v>
          </cell>
          <cell r="I279">
            <v>61.755208333333336</v>
          </cell>
          <cell r="J279">
            <v>6.1755208333333339E-2</v>
          </cell>
          <cell r="K279">
            <v>602.47411845220586</v>
          </cell>
          <cell r="L279">
            <v>0.60247411845220589</v>
          </cell>
          <cell r="M279">
            <v>3949.5525542977944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7.4478713339640494</v>
          </cell>
          <cell r="J281">
            <v>7.4478713339640491E-3</v>
          </cell>
          <cell r="K281">
            <v>218.98415988647113</v>
          </cell>
          <cell r="L281">
            <v>0.21898415988647113</v>
          </cell>
          <cell r="M281">
            <v>1435.562825922422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26.54144301883904</v>
          </cell>
          <cell r="J282">
            <v>2.6541443018839039E-2</v>
          </cell>
          <cell r="K282">
            <v>171.23670675339099</v>
          </cell>
          <cell r="L282">
            <v>0.17123670675339098</v>
          </cell>
          <cell r="M282">
            <v>1122.5517442722298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0.34061191626409021</v>
          </cell>
          <cell r="J283">
            <v>3.406119162640902E-4</v>
          </cell>
          <cell r="K283">
            <v>332.74826666666667</v>
          </cell>
          <cell r="L283">
            <v>0.33274826666666668</v>
          </cell>
          <cell r="M283">
            <v>2181.3497481481481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3907.772487218635</v>
          </cell>
          <cell r="H284">
            <v>3.9077724872186348</v>
          </cell>
          <cell r="I284">
            <v>49.228101527978637</v>
          </cell>
          <cell r="J284">
            <v>4.9228101527978636E-2</v>
          </cell>
          <cell r="K284">
            <v>712.2601059743904</v>
          </cell>
          <cell r="L284">
            <v>0.71226010597439038</v>
          </cell>
          <cell r="M284">
            <v>4669.2606947210043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3716.3390663390664</v>
          </cell>
          <cell r="H285">
            <v>3.7163390663390663</v>
          </cell>
          <cell r="I285">
            <v>1.4250614250614248E-2</v>
          </cell>
          <cell r="J285">
            <v>1.4250614250614247E-5</v>
          </cell>
          <cell r="K285">
            <v>668.94359705159707</v>
          </cell>
          <cell r="L285">
            <v>0.66894359705159712</v>
          </cell>
          <cell r="M285">
            <v>4385.2969140049145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420.53139764999997</v>
          </cell>
          <cell r="H286">
            <v>0.42053139764999997</v>
          </cell>
          <cell r="I286">
            <v>4.3986304999999994</v>
          </cell>
          <cell r="J286">
            <v>4.3986304999999995E-3</v>
          </cell>
          <cell r="K286">
            <v>76.487405066999997</v>
          </cell>
          <cell r="L286">
            <v>7.6487405066999997E-2</v>
          </cell>
          <cell r="M286">
            <v>501.417433217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2969.6361690743706</v>
          </cell>
          <cell r="H288">
            <v>2.9696361690743704</v>
          </cell>
          <cell r="I288">
            <v>0</v>
          </cell>
          <cell r="J288">
            <v>0</v>
          </cell>
          <cell r="K288">
            <v>534.53451043338669</v>
          </cell>
          <cell r="L288">
            <v>0.53453451043338673</v>
          </cell>
          <cell r="M288">
            <v>3504.1706795077571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4900.426785714285</v>
          </cell>
          <cell r="H289">
            <v>4.9004267857142851</v>
          </cell>
          <cell r="I289">
            <v>16.938571428571429</v>
          </cell>
          <cell r="J289">
            <v>1.6938571428571428E-2</v>
          </cell>
          <cell r="K289">
            <v>885.12576428571413</v>
          </cell>
          <cell r="L289">
            <v>0.8851257642857141</v>
          </cell>
          <cell r="M289">
            <v>5802.4911214285712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3475.987121135192</v>
          </cell>
          <cell r="H290">
            <v>3.475987121135192</v>
          </cell>
          <cell r="I290">
            <v>62.405263157894737</v>
          </cell>
          <cell r="J290">
            <v>6.2405263157894734E-2</v>
          </cell>
          <cell r="K290">
            <v>636.91062917275553</v>
          </cell>
          <cell r="L290">
            <v>0.63691062917275554</v>
          </cell>
          <cell r="M290">
            <v>4175.303013465842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11528.536465078672</v>
          </cell>
          <cell r="H291">
            <v>11.528536465078671</v>
          </cell>
          <cell r="I291">
            <v>4.2134032634032632</v>
          </cell>
          <cell r="J291">
            <v>4.2134032634032629E-3</v>
          </cell>
          <cell r="K291">
            <v>2075.8949763015735</v>
          </cell>
          <cell r="L291">
            <v>2.0758949763015733</v>
          </cell>
          <cell r="M291">
            <v>13608.64484464365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2093.9329641778945</v>
          </cell>
          <cell r="H292">
            <v>2.0939329641778945</v>
          </cell>
          <cell r="I292">
            <v>2.4103333333333338E-2</v>
          </cell>
          <cell r="J292">
            <v>2.4103333333333337E-5</v>
          </cell>
          <cell r="K292">
            <v>376.91227215202099</v>
          </cell>
          <cell r="L292">
            <v>0.376912272152021</v>
          </cell>
          <cell r="M292">
            <v>2470.8693396632489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1586.8781760429679</v>
          </cell>
          <cell r="H293">
            <v>1.5868781760429678</v>
          </cell>
          <cell r="I293">
            <v>7.3493827160493836</v>
          </cell>
          <cell r="J293">
            <v>7.3493827160493836E-3</v>
          </cell>
          <cell r="K293">
            <v>286.96096057662311</v>
          </cell>
          <cell r="L293">
            <v>0.28696096057662313</v>
          </cell>
          <cell r="M293">
            <v>1881.1885193356404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 t="e">
            <v>#N/A</v>
          </cell>
          <cell r="H294" t="e">
            <v>#N/A</v>
          </cell>
          <cell r="I294">
            <v>0.9</v>
          </cell>
          <cell r="J294">
            <v>8.9999999999999998E-4</v>
          </cell>
          <cell r="K294" t="e">
            <v>#N/A</v>
          </cell>
          <cell r="L294" t="e">
            <v>#N/A</v>
          </cell>
          <cell r="M294" t="e">
            <v>#N/A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4339.1983865546217</v>
          </cell>
          <cell r="H295">
            <v>4.3391983865546218</v>
          </cell>
          <cell r="I295">
            <v>0</v>
          </cell>
          <cell r="J295">
            <v>0</v>
          </cell>
          <cell r="K295">
            <v>781.05570957983184</v>
          </cell>
          <cell r="L295">
            <v>0.78105570957983184</v>
          </cell>
          <cell r="M295">
            <v>5120.2540961344539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599.13741574789913</v>
          </cell>
          <cell r="H296">
            <v>0.59913741574789914</v>
          </cell>
          <cell r="I296">
            <v>4.2500571428571436E-2</v>
          </cell>
          <cell r="J296">
            <v>4.2500571428571436E-5</v>
          </cell>
          <cell r="K296">
            <v>107.85238493747899</v>
          </cell>
          <cell r="L296">
            <v>0.10785238493747899</v>
          </cell>
          <cell r="M296">
            <v>707.0323012568067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185.15217777777781</v>
          </cell>
          <cell r="H297">
            <v>0.18515217777777782</v>
          </cell>
          <cell r="I297">
            <v>19.761666666666667</v>
          </cell>
          <cell r="J297">
            <v>1.9761666666666667E-2</v>
          </cell>
          <cell r="K297">
            <v>36.884492000000002</v>
          </cell>
          <cell r="L297">
            <v>3.6884492000000005E-2</v>
          </cell>
          <cell r="M297">
            <v>241.79833644444446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3182.7906976744189</v>
          </cell>
          <cell r="H298">
            <v>3.1827906976744189</v>
          </cell>
          <cell r="I298">
            <v>1.4720025839793283</v>
          </cell>
          <cell r="J298">
            <v>1.4720025839793283E-3</v>
          </cell>
          <cell r="K298">
            <v>573.16728604651166</v>
          </cell>
          <cell r="L298">
            <v>0.57316728604651168</v>
          </cell>
          <cell r="M298">
            <v>3757.42998630491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198.42603083687945</v>
          </cell>
          <cell r="H299">
            <v>0.19842603083687946</v>
          </cell>
          <cell r="I299">
            <v>6.5333333333333332</v>
          </cell>
          <cell r="J299">
            <v>6.5333333333333328E-3</v>
          </cell>
          <cell r="K299">
            <v>36.892685550638298</v>
          </cell>
          <cell r="L299">
            <v>3.68926855506383E-2</v>
          </cell>
          <cell r="M299">
            <v>241.85204972085108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 t="e">
            <v>#N/A</v>
          </cell>
          <cell r="H300" t="e">
            <v>#N/A</v>
          </cell>
          <cell r="I300">
            <v>5.955384975609757</v>
          </cell>
          <cell r="J300">
            <v>5.9553849756097572E-3</v>
          </cell>
          <cell r="K300" t="e">
            <v>#N/A</v>
          </cell>
          <cell r="L300" t="e">
            <v>#N/A</v>
          </cell>
          <cell r="M300" t="e">
            <v>#N/A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 t="e">
            <v>#N/A</v>
          </cell>
          <cell r="H301" t="e">
            <v>#N/A</v>
          </cell>
          <cell r="I301">
            <v>6.323523191903881</v>
          </cell>
          <cell r="J301">
            <v>6.323523191903881E-3</v>
          </cell>
          <cell r="K301" t="e">
            <v>#N/A</v>
          </cell>
          <cell r="L301" t="e">
            <v>#N/A</v>
          </cell>
          <cell r="M301" t="e">
            <v>#N/A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 t="e">
            <v>#N/A</v>
          </cell>
          <cell r="H302" t="e">
            <v>#N/A</v>
          </cell>
          <cell r="I302">
            <v>12.063927092446777</v>
          </cell>
          <cell r="J302">
            <v>1.2063927092446776E-2</v>
          </cell>
          <cell r="K302" t="e">
            <v>#N/A</v>
          </cell>
          <cell r="L302" t="e">
            <v>#N/A</v>
          </cell>
          <cell r="M302" t="e">
            <v>#N/A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2072.1503847431036</v>
          </cell>
          <cell r="H303">
            <v>2.0721503847431038</v>
          </cell>
          <cell r="I303">
            <v>14.370971252287582</v>
          </cell>
          <cell r="J303">
            <v>1.4370971252287581E-2</v>
          </cell>
          <cell r="K303">
            <v>375.57384407917044</v>
          </cell>
          <cell r="L303">
            <v>0.37557384407917044</v>
          </cell>
          <cell r="M303">
            <v>2462.0952000745619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599.13741574789913</v>
          </cell>
          <cell r="H304">
            <v>0.59913741574789914</v>
          </cell>
          <cell r="I304">
            <v>9.0173735873015879</v>
          </cell>
          <cell r="J304">
            <v>9.017373587301588E-3</v>
          </cell>
          <cell r="K304">
            <v>109.46786208033612</v>
          </cell>
          <cell r="L304">
            <v>0.10946786208033611</v>
          </cell>
          <cell r="M304">
            <v>717.62265141553678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1346.2121915399857</v>
          </cell>
          <cell r="H305">
            <v>1.3462121915399856</v>
          </cell>
          <cell r="I305">
            <v>47.381939341453752</v>
          </cell>
          <cell r="J305">
            <v>4.7381939341453752E-2</v>
          </cell>
          <cell r="K305">
            <v>250.84694355865909</v>
          </cell>
          <cell r="L305">
            <v>0.25084694355865911</v>
          </cell>
          <cell r="M305">
            <v>1644.4410744400986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198.42603083687945</v>
          </cell>
          <cell r="H306">
            <v>0.19842603083687946</v>
          </cell>
          <cell r="I306">
            <v>15.574806349206348</v>
          </cell>
          <cell r="J306">
            <v>1.5574806349206348E-2</v>
          </cell>
          <cell r="K306">
            <v>38.520150693495438</v>
          </cell>
          <cell r="L306">
            <v>3.8520150693495438E-2</v>
          </cell>
          <cell r="M306">
            <v>252.52098787958124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3619.800762606571</v>
          </cell>
          <cell r="H307">
            <v>3.6198007626065709</v>
          </cell>
          <cell r="I307">
            <v>16.242098660630823</v>
          </cell>
          <cell r="J307">
            <v>1.6242098660630824E-2</v>
          </cell>
          <cell r="K307">
            <v>654.48771502809632</v>
          </cell>
          <cell r="L307">
            <v>0.65448771502809633</v>
          </cell>
          <cell r="M307">
            <v>4290.5305762952976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4233.2467172995775</v>
          </cell>
          <cell r="H308">
            <v>4.2332467172995774</v>
          </cell>
          <cell r="I308">
            <v>55.753219851316047</v>
          </cell>
          <cell r="J308">
            <v>5.5753219851316045E-2</v>
          </cell>
          <cell r="K308">
            <v>772.01998868716089</v>
          </cell>
          <cell r="L308">
            <v>0.77201998868716093</v>
          </cell>
          <cell r="M308">
            <v>5061.0199258380544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2557.7349198529409</v>
          </cell>
          <cell r="H309">
            <v>2.5577349198529409</v>
          </cell>
          <cell r="I309">
            <v>13.061170634920634</v>
          </cell>
          <cell r="J309">
            <v>1.3061170634920634E-2</v>
          </cell>
          <cell r="K309">
            <v>462.74329628781504</v>
          </cell>
          <cell r="L309">
            <v>0.46274329628781502</v>
          </cell>
          <cell r="M309">
            <v>3033.5393867756766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1454.6761080432802</v>
          </cell>
          <cell r="H310">
            <v>1.4546761080432802</v>
          </cell>
          <cell r="I310">
            <v>9.8563140613620988</v>
          </cell>
          <cell r="J310">
            <v>9.8563140613620991E-3</v>
          </cell>
          <cell r="K310">
            <v>263.61583597883561</v>
          </cell>
          <cell r="L310">
            <v>0.26361583597883559</v>
          </cell>
          <cell r="M310">
            <v>1728.1482580834779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2726.0512628017427</v>
          </cell>
          <cell r="H311">
            <v>2726.0512628017427</v>
          </cell>
          <cell r="I311">
            <v>0</v>
          </cell>
          <cell r="J311">
            <v>0</v>
          </cell>
          <cell r="K311">
            <v>490.68922730431365</v>
          </cell>
          <cell r="L311">
            <v>490.68922730431365</v>
          </cell>
          <cell r="M311">
            <v>3216.7404901060563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1798.7045454545453</v>
          </cell>
          <cell r="H312">
            <v>1.7987045454545452</v>
          </cell>
          <cell r="I312">
            <v>0</v>
          </cell>
          <cell r="J312">
            <v>0</v>
          </cell>
          <cell r="K312">
            <v>323.76681818181811</v>
          </cell>
          <cell r="L312">
            <v>0.32376681818181813</v>
          </cell>
          <cell r="M312">
            <v>2122.4713636363635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522.4788631132717</v>
          </cell>
          <cell r="H313">
            <v>0.52247886311327174</v>
          </cell>
          <cell r="I313">
            <v>10.54962611570248</v>
          </cell>
          <cell r="J313">
            <v>1.054962611570248E-2</v>
          </cell>
          <cell r="K313">
            <v>95.945128061215357</v>
          </cell>
          <cell r="L313">
            <v>9.5945128061215357E-2</v>
          </cell>
          <cell r="M313">
            <v>628.97361729018951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1181.436488700647</v>
          </cell>
          <cell r="H314">
            <v>1.181436488700647</v>
          </cell>
          <cell r="I314">
            <v>3.7521635552000001</v>
          </cell>
          <cell r="J314">
            <v>3.7521635552000003E-3</v>
          </cell>
          <cell r="K314">
            <v>213.33395740605246</v>
          </cell>
          <cell r="L314">
            <v>0.21333395740605246</v>
          </cell>
          <cell r="M314">
            <v>1398.5226096618994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4209.6216486330713</v>
          </cell>
          <cell r="H315">
            <v>4.2096216486330711</v>
          </cell>
          <cell r="I315">
            <v>8.6986582574074074</v>
          </cell>
          <cell r="J315">
            <v>8.6986582574074076E-3</v>
          </cell>
          <cell r="K315">
            <v>759.29765524028608</v>
          </cell>
          <cell r="L315">
            <v>0.75929765524028603</v>
          </cell>
          <cell r="M315">
            <v>4977.6179621307647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1963.0507666666667</v>
          </cell>
          <cell r="H316">
            <v>1.9630507666666668</v>
          </cell>
          <cell r="I316">
            <v>1.9508833333333331</v>
          </cell>
          <cell r="J316">
            <v>1.950883333333333E-3</v>
          </cell>
          <cell r="K316">
            <v>353.70029700000003</v>
          </cell>
          <cell r="L316">
            <v>0.35370029700000005</v>
          </cell>
          <cell r="M316">
            <v>2318.701947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3.940041536863967</v>
          </cell>
          <cell r="J317">
            <v>3.9400415368639674E-3</v>
          </cell>
          <cell r="K317">
            <v>353.56902056074767</v>
          </cell>
          <cell r="L317">
            <v>0.35356902056074768</v>
          </cell>
          <cell r="M317">
            <v>2317.8413570093458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7727.8309210519719</v>
          </cell>
          <cell r="H318">
            <v>7.7278309210519716</v>
          </cell>
          <cell r="I318">
            <v>3.7510993384126983</v>
          </cell>
          <cell r="J318">
            <v>3.7510993384126984E-3</v>
          </cell>
          <cell r="K318">
            <v>1391.6847636702691</v>
          </cell>
          <cell r="L318">
            <v>1.3916847636702692</v>
          </cell>
          <cell r="M318">
            <v>9123.2667840606537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3751.0638297872333</v>
          </cell>
          <cell r="H319">
            <v>3.7510638297872334</v>
          </cell>
          <cell r="I319">
            <v>0.12340425531914893</v>
          </cell>
          <cell r="J319">
            <v>1.2340425531914893E-4</v>
          </cell>
          <cell r="K319">
            <v>675.21370212765942</v>
          </cell>
          <cell r="L319">
            <v>0.67521370212765941</v>
          </cell>
          <cell r="M319">
            <v>4426.4009361702119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9.1185410334346493</v>
          </cell>
          <cell r="J320">
            <v>9.11854103343465E-3</v>
          </cell>
          <cell r="K320">
            <v>861.51006930091182</v>
          </cell>
          <cell r="L320">
            <v>0.86151006930091178</v>
          </cell>
          <cell r="M320">
            <v>5647.6771209726439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2330.6412214939992</v>
          </cell>
          <cell r="H322">
            <v>2.3306412214939991</v>
          </cell>
          <cell r="I322">
            <v>39.011806852315843</v>
          </cell>
          <cell r="J322">
            <v>3.9011806852315846E-2</v>
          </cell>
          <cell r="K322">
            <v>426.53754510233665</v>
          </cell>
          <cell r="L322">
            <v>0.42653754510233666</v>
          </cell>
          <cell r="M322">
            <v>2796.1905734486513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17.708220000000001</v>
          </cell>
          <cell r="H323">
            <v>1.770822E-2</v>
          </cell>
          <cell r="I323">
            <v>37.053125000000001</v>
          </cell>
          <cell r="J323">
            <v>3.7053124999999999E-2</v>
          </cell>
          <cell r="K323">
            <v>9.857042100000001</v>
          </cell>
          <cell r="L323">
            <v>9.8570421000000012E-3</v>
          </cell>
          <cell r="M323">
            <v>64.618387100000007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2261.9944953248619</v>
          </cell>
          <cell r="H324">
            <v>2.2619944953248621</v>
          </cell>
          <cell r="I324">
            <v>0.10203788060417167</v>
          </cell>
          <cell r="J324">
            <v>1.0203788060417167E-4</v>
          </cell>
          <cell r="K324">
            <v>407.17737597698391</v>
          </cell>
          <cell r="L324">
            <v>0.40717737597698389</v>
          </cell>
          <cell r="M324">
            <v>2669.2739091824501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4412.9056035502954</v>
          </cell>
          <cell r="H325">
            <v>4.4129056035502954</v>
          </cell>
          <cell r="I325">
            <v>5.5769230769230758E-2</v>
          </cell>
          <cell r="J325">
            <v>5.5769230769230759E-5</v>
          </cell>
          <cell r="K325">
            <v>794.33304710059167</v>
          </cell>
          <cell r="L325">
            <v>0.79433304710059172</v>
          </cell>
          <cell r="M325">
            <v>5207.2944198816567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2158.232472222222</v>
          </cell>
          <cell r="H326">
            <v>2.1582324722222221</v>
          </cell>
          <cell r="I326">
            <v>9.8518518518518519E-2</v>
          </cell>
          <cell r="J326">
            <v>9.8518518518518521E-5</v>
          </cell>
          <cell r="K326">
            <v>388.49957833333332</v>
          </cell>
          <cell r="L326">
            <v>0.38849957833333332</v>
          </cell>
          <cell r="M326">
            <v>2546.830569074074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2065.194009797061</v>
          </cell>
          <cell r="H327">
            <v>2.0651940097970609</v>
          </cell>
          <cell r="I327">
            <v>2.3875190384061249E-2</v>
          </cell>
          <cell r="J327">
            <v>2.3875190384061249E-5</v>
          </cell>
          <cell r="K327">
            <v>371.73921929774008</v>
          </cell>
          <cell r="L327">
            <v>0.37173921929774006</v>
          </cell>
          <cell r="M327">
            <v>2436.9571042851849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 t="e">
            <v>#N/A</v>
          </cell>
          <cell r="H328" t="e">
            <v>#N/A</v>
          </cell>
          <cell r="I328">
            <v>2.7884615384615379E-2</v>
          </cell>
          <cell r="J328">
            <v>2.7884615384615379E-5</v>
          </cell>
          <cell r="K328" t="e">
            <v>#N/A</v>
          </cell>
          <cell r="L328" t="e">
            <v>#N/A</v>
          </cell>
          <cell r="M328" t="e">
            <v>#N/A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2691.0256410256407</v>
          </cell>
          <cell r="H329">
            <v>2.6910256410256408</v>
          </cell>
          <cell r="I329">
            <v>60</v>
          </cell>
          <cell r="J329">
            <v>0.06</v>
          </cell>
          <cell r="K329">
            <v>495.18461538461531</v>
          </cell>
          <cell r="L329">
            <v>0.49518461538461533</v>
          </cell>
          <cell r="M329">
            <v>3246.2102564102561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6266.25</v>
          </cell>
          <cell r="H330">
            <v>6.2662500000000003</v>
          </cell>
          <cell r="I330">
            <v>3.8865624999999997</v>
          </cell>
          <cell r="J330">
            <v>3.8865624999999998E-3</v>
          </cell>
          <cell r="K330">
            <v>1128.6245812499999</v>
          </cell>
          <cell r="L330">
            <v>1.12862458125</v>
          </cell>
          <cell r="M330">
            <v>7398.76114375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3243.2</v>
          </cell>
          <cell r="H331">
            <v>3.2431999999999999</v>
          </cell>
          <cell r="I331">
            <v>0</v>
          </cell>
          <cell r="J331">
            <v>0</v>
          </cell>
          <cell r="K331">
            <v>583.77599999999995</v>
          </cell>
          <cell r="L331">
            <v>0.58377599999999996</v>
          </cell>
          <cell r="M331">
            <v>3826.9759999999997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849.48765370832632</v>
          </cell>
          <cell r="H332">
            <v>849.48765370832632</v>
          </cell>
          <cell r="I332">
            <v>4.4955643437326662</v>
          </cell>
          <cell r="J332">
            <v>4.4955643437326662</v>
          </cell>
          <cell r="K332">
            <v>153.71697924937061</v>
          </cell>
          <cell r="L332">
            <v>153.71697924937061</v>
          </cell>
          <cell r="M332">
            <v>1007.7001973014296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537.93064976483026</v>
          </cell>
          <cell r="H333">
            <v>0.53793064976483029</v>
          </cell>
          <cell r="I333">
            <v>27.147058823529409</v>
          </cell>
          <cell r="J333">
            <v>2.714705882352941E-2</v>
          </cell>
          <cell r="K333">
            <v>101.71398754590473</v>
          </cell>
          <cell r="L333">
            <v>0.10171398754590473</v>
          </cell>
          <cell r="M333">
            <v>666.79169613426438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743.27699293642786</v>
          </cell>
          <cell r="H334">
            <v>0.7432769929364279</v>
          </cell>
          <cell r="I334">
            <v>5.3841069626639753</v>
          </cell>
          <cell r="J334">
            <v>5.3841069626639751E-3</v>
          </cell>
          <cell r="K334">
            <v>134.75899798183653</v>
          </cell>
          <cell r="L334">
            <v>0.13475899798183652</v>
          </cell>
          <cell r="M334">
            <v>883.42009788092832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1816.1216029684051</v>
          </cell>
          <cell r="H335">
            <v>1816.1216029684051</v>
          </cell>
          <cell r="I335">
            <v>12.110370162177377</v>
          </cell>
          <cell r="J335">
            <v>12.110370162177377</v>
          </cell>
          <cell r="K335">
            <v>329.08175516350485</v>
          </cell>
          <cell r="L335">
            <v>329.08175516350485</v>
          </cell>
          <cell r="M335">
            <v>2157.3137282940875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1114.3790300230949</v>
          </cell>
          <cell r="H336">
            <v>1.1143790300230949</v>
          </cell>
          <cell r="I336">
            <v>15.091195691657585</v>
          </cell>
          <cell r="J336">
            <v>1.5091195691657585E-2</v>
          </cell>
          <cell r="K336">
            <v>203.30464062865542</v>
          </cell>
          <cell r="L336">
            <v>0.20330464062865541</v>
          </cell>
          <cell r="M336">
            <v>1332.7748663434077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678.37369193154029</v>
          </cell>
          <cell r="H337">
            <v>0.67837369193154029</v>
          </cell>
          <cell r="I337">
            <v>19.741012406049084</v>
          </cell>
          <cell r="J337">
            <v>1.9741012406049082E-2</v>
          </cell>
          <cell r="K337">
            <v>125.66064678076609</v>
          </cell>
          <cell r="L337">
            <v>0.12566064678076608</v>
          </cell>
          <cell r="M337">
            <v>823.7753511183555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615.8260264009964</v>
          </cell>
          <cell r="H338">
            <v>0.61582602640099637</v>
          </cell>
          <cell r="I338">
            <v>9.3149367121969853</v>
          </cell>
          <cell r="J338">
            <v>9.3149367121969848E-3</v>
          </cell>
          <cell r="K338">
            <v>112.5253733603748</v>
          </cell>
          <cell r="L338">
            <v>0.1125253733603748</v>
          </cell>
          <cell r="M338">
            <v>737.66633647356821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1355.045818181818</v>
          </cell>
          <cell r="H339">
            <v>1.3550458181818181</v>
          </cell>
          <cell r="I339">
            <v>17.005201717776568</v>
          </cell>
          <cell r="J339">
            <v>1.7005201717776568E-2</v>
          </cell>
          <cell r="K339">
            <v>246.96918358192701</v>
          </cell>
          <cell r="L339">
            <v>0.24696918358192702</v>
          </cell>
          <cell r="M339">
            <v>1619.0202034815215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763.21641290322577</v>
          </cell>
          <cell r="H340">
            <v>0.76321641290322573</v>
          </cell>
          <cell r="I340">
            <v>7.5469534050179217</v>
          </cell>
          <cell r="J340">
            <v>7.5469534050179215E-3</v>
          </cell>
          <cell r="K340">
            <v>138.73740593548385</v>
          </cell>
          <cell r="L340">
            <v>0.13873740593548384</v>
          </cell>
          <cell r="M340">
            <v>909.50077224372751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920.79606817393392</v>
          </cell>
          <cell r="H341">
            <v>0.92079606817393389</v>
          </cell>
          <cell r="I341">
            <v>15.937782849253896</v>
          </cell>
          <cell r="J341">
            <v>1.5937782849253897E-2</v>
          </cell>
          <cell r="K341">
            <v>168.6120931841738</v>
          </cell>
          <cell r="L341">
            <v>0.16861209318417381</v>
          </cell>
          <cell r="M341">
            <v>1105.3459442073618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1498.3169107111612</v>
          </cell>
          <cell r="H342">
            <v>1.4983169107111611</v>
          </cell>
          <cell r="I342">
            <v>0.57668800000000009</v>
          </cell>
          <cell r="J342">
            <v>5.7668800000000011E-4</v>
          </cell>
          <cell r="K342">
            <v>269.80084776800902</v>
          </cell>
          <cell r="L342">
            <v>0.269800847768009</v>
          </cell>
          <cell r="M342">
            <v>1768.6944464791704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7599.2141249999995</v>
          </cell>
          <cell r="H343">
            <v>7.5992141249999996</v>
          </cell>
          <cell r="I343">
            <v>32.903690476190476</v>
          </cell>
          <cell r="J343">
            <v>3.2903690476190475E-2</v>
          </cell>
          <cell r="K343">
            <v>1373.7812067857142</v>
          </cell>
          <cell r="L343">
            <v>1.3737812067857142</v>
          </cell>
          <cell r="M343">
            <v>9005.899022261905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957.85579123999992</v>
          </cell>
          <cell r="H344">
            <v>0.95785579123999987</v>
          </cell>
          <cell r="I344">
            <v>3.6617460317460315</v>
          </cell>
          <cell r="J344">
            <v>3.6617460317460316E-3</v>
          </cell>
          <cell r="K344">
            <v>173.07315670891427</v>
          </cell>
          <cell r="L344">
            <v>0.17307315670891427</v>
          </cell>
          <cell r="M344">
            <v>1134.5906939806603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 t="e">
            <v>#N/A</v>
          </cell>
          <cell r="H345" t="e">
            <v>#N/A</v>
          </cell>
          <cell r="I345">
            <v>0</v>
          </cell>
          <cell r="J345">
            <v>0</v>
          </cell>
          <cell r="K345" t="e">
            <v>#N/A</v>
          </cell>
          <cell r="L345" t="e">
            <v>#N/A</v>
          </cell>
          <cell r="M345" t="e">
            <v>#N/A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1045.3750453999999</v>
          </cell>
          <cell r="H346">
            <v>1.0453750453999999</v>
          </cell>
          <cell r="I346">
            <v>4.4420317460317449</v>
          </cell>
          <cell r="J346">
            <v>4.442031746031745E-3</v>
          </cell>
          <cell r="K346">
            <v>188.96707388628568</v>
          </cell>
          <cell r="L346">
            <v>0.18896707388628567</v>
          </cell>
          <cell r="M346">
            <v>1238.7841510323174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876.47254891774901</v>
          </cell>
          <cell r="H347">
            <v>0.87647254891774906</v>
          </cell>
          <cell r="I347">
            <v>5.3320375769355364</v>
          </cell>
          <cell r="J347">
            <v>5.3320375769355362E-3</v>
          </cell>
          <cell r="K347">
            <v>158.72482556904322</v>
          </cell>
          <cell r="L347">
            <v>0.15872482556904322</v>
          </cell>
          <cell r="M347">
            <v>1040.5294120637277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672.98933867098049</v>
          </cell>
          <cell r="H348">
            <v>0.67298933867098054</v>
          </cell>
          <cell r="I348">
            <v>11.24586</v>
          </cell>
          <cell r="J348">
            <v>1.124586E-2</v>
          </cell>
          <cell r="K348">
            <v>123.16233576077649</v>
          </cell>
          <cell r="L348">
            <v>0.12316233576077648</v>
          </cell>
          <cell r="M348">
            <v>807.39753443175698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2172.7029519230769</v>
          </cell>
          <cell r="H350">
            <v>2.1727029519230769</v>
          </cell>
          <cell r="I350">
            <v>2.7884615384615379E-2</v>
          </cell>
          <cell r="J350">
            <v>2.7884615384615379E-5</v>
          </cell>
          <cell r="K350">
            <v>391.09155057692305</v>
          </cell>
          <cell r="L350">
            <v>0.39109155057692307</v>
          </cell>
          <cell r="M350">
            <v>2563.8223871153846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2502.7108439790572</v>
          </cell>
          <cell r="H351">
            <v>2.5027108439790573</v>
          </cell>
          <cell r="I351">
            <v>8.5120000000000001E-2</v>
          </cell>
          <cell r="J351">
            <v>8.5119999999999998E-5</v>
          </cell>
          <cell r="K351">
            <v>450.50327351623031</v>
          </cell>
          <cell r="L351">
            <v>0.45050327351623032</v>
          </cell>
          <cell r="M351">
            <v>2953.2992374952878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642.64384835930628</v>
          </cell>
          <cell r="H352">
            <v>642.64384835930628</v>
          </cell>
          <cell r="I352">
            <v>0.29559201143122221</v>
          </cell>
          <cell r="J352">
            <v>0.29559201143122221</v>
          </cell>
          <cell r="K352">
            <v>115.72909926673276</v>
          </cell>
          <cell r="L352">
            <v>115.72909926673276</v>
          </cell>
          <cell r="M352">
            <v>758.6685396374703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11.942348798414779</v>
          </cell>
          <cell r="H353">
            <v>11.942348798414779</v>
          </cell>
          <cell r="I353">
            <v>0.11010134994383393</v>
          </cell>
          <cell r="J353">
            <v>0.11010134994383393</v>
          </cell>
          <cell r="K353">
            <v>2.1694410267045501</v>
          </cell>
          <cell r="L353">
            <v>2.1694410267045501</v>
          </cell>
          <cell r="M353">
            <v>14.221891175063163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2182.8435765027575</v>
          </cell>
          <cell r="H355">
            <v>2.1828435765027576</v>
          </cell>
          <cell r="I355">
            <v>0</v>
          </cell>
          <cell r="J355">
            <v>0</v>
          </cell>
          <cell r="K355">
            <v>392.91184377049632</v>
          </cell>
          <cell r="L355">
            <v>0.39291184377049632</v>
          </cell>
          <cell r="M355">
            <v>2575.755420273254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554.91457654619023</v>
          </cell>
          <cell r="H357">
            <v>554.91457654619023</v>
          </cell>
          <cell r="I357">
            <v>4.1427814976053634</v>
          </cell>
          <cell r="J357">
            <v>4.1427814976053634</v>
          </cell>
          <cell r="K357">
            <v>100.63032444788321</v>
          </cell>
          <cell r="L357">
            <v>100.63032444788321</v>
          </cell>
          <cell r="M357">
            <v>659.68768249167886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88.899700225213635</v>
          </cell>
          <cell r="H358">
            <v>88.899700225213635</v>
          </cell>
          <cell r="I358">
            <v>1.6613991237520649</v>
          </cell>
          <cell r="J358">
            <v>1.6613991237520649</v>
          </cell>
          <cell r="K358">
            <v>16.300997882813824</v>
          </cell>
          <cell r="L358">
            <v>16.300997882813824</v>
          </cell>
          <cell r="M358">
            <v>106.86209723177953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196.34383962216535</v>
          </cell>
          <cell r="H359">
            <v>196.34383962216535</v>
          </cell>
          <cell r="I359">
            <v>2.3426856814153436</v>
          </cell>
          <cell r="J359">
            <v>2.3426856814153436</v>
          </cell>
          <cell r="K359">
            <v>35.763574554644521</v>
          </cell>
          <cell r="L359">
            <v>35.763574554644521</v>
          </cell>
          <cell r="M359">
            <v>234.4500998582252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2440.8295804081631</v>
          </cell>
          <cell r="H360">
            <v>2.4408295804081632</v>
          </cell>
          <cell r="I360">
            <v>8.5120000000000001E-2</v>
          </cell>
          <cell r="J360">
            <v>8.5119999999999998E-5</v>
          </cell>
          <cell r="K360">
            <v>439.36464607346937</v>
          </cell>
          <cell r="L360">
            <v>0.43936464607346937</v>
          </cell>
          <cell r="M360">
            <v>2880.2793464816327</v>
          </cell>
        </row>
        <row r="361">
          <cell r="A361"/>
          <cell r="B361" t="str">
            <v/>
          </cell>
          <cell r="C361" t="str">
            <v/>
          </cell>
          <cell r="D361" t="str">
            <v/>
          </cell>
          <cell r="E361"/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</row>
        <row r="364">
          <cell r="A364" t="str">
            <v>907000255</v>
          </cell>
          <cell r="B364"/>
          <cell r="C364"/>
          <cell r="D364"/>
          <cell r="E364" t="str">
            <v>Und</v>
          </cell>
          <cell r="F364"/>
          <cell r="G364"/>
          <cell r="H364"/>
          <cell r="I364"/>
          <cell r="J364"/>
          <cell r="K364"/>
          <cell r="L364"/>
          <cell r="M364"/>
        </row>
        <row r="365">
          <cell r="B365"/>
          <cell r="C365"/>
          <cell r="D365"/>
          <cell r="F365"/>
          <cell r="G365"/>
          <cell r="H365"/>
          <cell r="I365"/>
          <cell r="J365"/>
          <cell r="K365"/>
          <cell r="L365"/>
          <cell r="M365"/>
        </row>
        <row r="366">
          <cell r="B366"/>
          <cell r="C366"/>
          <cell r="D366"/>
          <cell r="F366"/>
          <cell r="G366"/>
          <cell r="H366"/>
          <cell r="I366"/>
          <cell r="J366"/>
          <cell r="K366"/>
          <cell r="L366"/>
          <cell r="M366"/>
        </row>
        <row r="367">
          <cell r="B367"/>
          <cell r="C367"/>
          <cell r="D367"/>
          <cell r="F367"/>
          <cell r="G367"/>
          <cell r="H367"/>
          <cell r="I367"/>
          <cell r="J367"/>
          <cell r="K367"/>
          <cell r="L367"/>
          <cell r="M367"/>
        </row>
        <row r="368">
          <cell r="B368"/>
          <cell r="C368"/>
          <cell r="D368"/>
          <cell r="F368"/>
          <cell r="G368"/>
          <cell r="H368"/>
          <cell r="I368"/>
          <cell r="J368"/>
          <cell r="K368"/>
          <cell r="L368"/>
          <cell r="M368"/>
        </row>
        <row r="369">
          <cell r="B369"/>
          <cell r="C369"/>
          <cell r="D369"/>
          <cell r="F369"/>
          <cell r="G369"/>
          <cell r="H369"/>
          <cell r="I369"/>
          <cell r="J369"/>
          <cell r="K369"/>
          <cell r="L369"/>
          <cell r="M369"/>
        </row>
        <row r="370">
          <cell r="B370"/>
          <cell r="C370"/>
          <cell r="D370"/>
          <cell r="F370"/>
          <cell r="G370"/>
          <cell r="H370"/>
          <cell r="I370"/>
          <cell r="J370"/>
          <cell r="K370"/>
          <cell r="L370"/>
          <cell r="M370"/>
        </row>
        <row r="371">
          <cell r="B371"/>
          <cell r="C371"/>
          <cell r="D371"/>
          <cell r="F371"/>
          <cell r="G371"/>
          <cell r="H371"/>
          <cell r="I371"/>
          <cell r="J371"/>
          <cell r="K371"/>
          <cell r="L371"/>
          <cell r="M371"/>
        </row>
        <row r="372">
          <cell r="B372"/>
          <cell r="C372"/>
          <cell r="D372"/>
          <cell r="F372"/>
          <cell r="G372"/>
          <cell r="H372"/>
          <cell r="I372"/>
          <cell r="J372"/>
          <cell r="K372"/>
          <cell r="L372"/>
          <cell r="M372"/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/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45F1A-57E2-49A7-AE5E-E2FAB12683C2}">
  <sheetPr>
    <pageSetUpPr fitToPage="1"/>
  </sheetPr>
  <dimension ref="A1:M50"/>
  <sheetViews>
    <sheetView zoomScaleNormal="100" zoomScaleSheetLayoutView="148" workbookViewId="0">
      <selection activeCell="C13" sqref="C13"/>
    </sheetView>
  </sheetViews>
  <sheetFormatPr baseColWidth="10" defaultColWidth="11.42578125" defaultRowHeight="12.75" x14ac:dyDescent="0.2"/>
  <cols>
    <col min="1" max="1" width="16.28515625" style="1" customWidth="1"/>
    <col min="2" max="2" width="14.5703125" style="1" customWidth="1"/>
    <col min="3" max="3" width="48.28515625" style="1" customWidth="1"/>
    <col min="4" max="4" width="15.5703125" style="1" customWidth="1"/>
    <col min="5" max="5" width="11.42578125" style="1"/>
    <col min="6" max="6" width="13.28515625" style="1" customWidth="1"/>
    <col min="7" max="7" width="12.5703125" style="1" customWidth="1"/>
    <col min="8" max="8" width="15.5703125" style="1" customWidth="1"/>
    <col min="9" max="9" width="16" style="1" customWidth="1"/>
    <col min="10" max="16384" width="11.42578125" style="1"/>
  </cols>
  <sheetData>
    <row r="1" spans="1:11" ht="18" x14ac:dyDescent="0.25">
      <c r="A1" s="629"/>
      <c r="B1" s="630"/>
      <c r="C1" s="649" t="s">
        <v>49</v>
      </c>
      <c r="D1" s="649"/>
      <c r="E1" s="649"/>
      <c r="F1" s="649"/>
      <c r="G1" s="649"/>
      <c r="H1" s="67" t="s">
        <v>48</v>
      </c>
      <c r="I1" s="66"/>
    </row>
    <row r="2" spans="1:11" ht="18" x14ac:dyDescent="0.25">
      <c r="A2" s="631"/>
      <c r="B2" s="632"/>
      <c r="C2" s="650" t="s">
        <v>47</v>
      </c>
      <c r="D2" s="650"/>
      <c r="E2" s="650"/>
      <c r="F2" s="650"/>
      <c r="G2" s="650"/>
      <c r="H2" s="65" t="s">
        <v>46</v>
      </c>
      <c r="I2" s="75"/>
    </row>
    <row r="3" spans="1:11" ht="15" x14ac:dyDescent="0.2">
      <c r="A3" s="631"/>
      <c r="B3" s="632"/>
      <c r="C3" s="651" t="s">
        <v>65</v>
      </c>
      <c r="D3" s="652"/>
      <c r="E3" s="652"/>
      <c r="F3" s="652"/>
      <c r="G3" s="653"/>
      <c r="H3" s="654" t="s">
        <v>45</v>
      </c>
      <c r="I3" s="644"/>
    </row>
    <row r="4" spans="1:11" x14ac:dyDescent="0.2">
      <c r="A4" s="631"/>
      <c r="B4" s="632"/>
      <c r="C4" s="64" t="s">
        <v>44</v>
      </c>
      <c r="D4" s="647" t="s">
        <v>43</v>
      </c>
      <c r="E4" s="647"/>
      <c r="F4" s="647"/>
      <c r="G4" s="647"/>
      <c r="H4" s="654"/>
      <c r="I4" s="645"/>
    </row>
    <row r="5" spans="1:11" ht="15" customHeight="1" thickBot="1" x14ac:dyDescent="0.25">
      <c r="A5" s="633"/>
      <c r="B5" s="634"/>
      <c r="C5" s="63" t="s">
        <v>42</v>
      </c>
      <c r="D5" s="648" t="s">
        <v>41</v>
      </c>
      <c r="E5" s="648"/>
      <c r="F5" s="648"/>
      <c r="G5" s="648"/>
      <c r="H5" s="655"/>
      <c r="I5" s="646"/>
    </row>
    <row r="6" spans="1:11" ht="15" customHeight="1" x14ac:dyDescent="0.2">
      <c r="A6" s="62"/>
      <c r="B6" s="62"/>
      <c r="C6" s="61"/>
      <c r="D6" s="60"/>
      <c r="E6" s="60"/>
      <c r="F6" s="60"/>
      <c r="G6" s="60"/>
      <c r="H6" s="59"/>
      <c r="I6" s="58"/>
    </row>
    <row r="7" spans="1:11" ht="21" customHeight="1" thickBot="1" x14ac:dyDescent="0.3">
      <c r="A7" s="635" t="s">
        <v>40</v>
      </c>
      <c r="B7" s="635"/>
      <c r="C7" s="635"/>
      <c r="D7" s="636" t="s">
        <v>38</v>
      </c>
      <c r="E7" s="636"/>
      <c r="F7" s="636"/>
      <c r="G7" s="637" t="s">
        <v>39</v>
      </c>
      <c r="H7" s="637"/>
      <c r="I7" s="57" t="s">
        <v>38</v>
      </c>
    </row>
    <row r="8" spans="1:11" ht="25.5" x14ac:dyDescent="0.2">
      <c r="A8" s="638" t="s">
        <v>37</v>
      </c>
      <c r="B8" s="642" t="s">
        <v>54</v>
      </c>
      <c r="C8" s="640" t="s">
        <v>36</v>
      </c>
      <c r="D8" s="640" t="s">
        <v>35</v>
      </c>
      <c r="E8" s="640" t="s">
        <v>34</v>
      </c>
      <c r="F8" s="640"/>
      <c r="G8" s="640" t="s">
        <v>33</v>
      </c>
      <c r="H8" s="640"/>
      <c r="I8" s="56" t="s">
        <v>32</v>
      </c>
    </row>
    <row r="9" spans="1:11" ht="26.25" thickBot="1" x14ac:dyDescent="0.25">
      <c r="A9" s="639"/>
      <c r="B9" s="643"/>
      <c r="C9" s="641"/>
      <c r="D9" s="641"/>
      <c r="E9" s="55" t="s">
        <v>11</v>
      </c>
      <c r="F9" s="54" t="s">
        <v>31</v>
      </c>
      <c r="G9" s="55" t="s">
        <v>11</v>
      </c>
      <c r="H9" s="54" t="s">
        <v>31</v>
      </c>
      <c r="I9" s="53" t="s">
        <v>30</v>
      </c>
    </row>
    <row r="10" spans="1:11" ht="15.75" x14ac:dyDescent="0.25">
      <c r="A10" s="52" t="s">
        <v>29</v>
      </c>
      <c r="B10" s="78" t="s">
        <v>55</v>
      </c>
      <c r="C10" s="51" t="s">
        <v>28</v>
      </c>
      <c r="D10" s="50" t="s">
        <v>26</v>
      </c>
      <c r="E10" s="50">
        <v>300</v>
      </c>
      <c r="F10" s="50" t="s">
        <v>2</v>
      </c>
      <c r="G10" s="588" t="s">
        <v>66</v>
      </c>
      <c r="H10" s="589"/>
      <c r="I10" s="590"/>
    </row>
    <row r="11" spans="1:11" ht="15.75" x14ac:dyDescent="0.25">
      <c r="A11" s="89"/>
      <c r="B11" s="79"/>
      <c r="C11" s="91" t="s">
        <v>67</v>
      </c>
      <c r="D11" s="90" t="s">
        <v>26</v>
      </c>
      <c r="E11" s="90">
        <v>300</v>
      </c>
      <c r="F11" s="90" t="s">
        <v>2</v>
      </c>
      <c r="G11" s="34"/>
      <c r="H11" s="33"/>
      <c r="I11" s="32"/>
      <c r="K11" s="1">
        <f>SUM(E10:E17)</f>
        <v>1555</v>
      </c>
    </row>
    <row r="12" spans="1:11" ht="15.75" x14ac:dyDescent="0.25">
      <c r="A12" s="73" t="s">
        <v>104</v>
      </c>
      <c r="B12" s="73" t="s">
        <v>105</v>
      </c>
      <c r="C12" s="41" t="s">
        <v>106</v>
      </c>
      <c r="D12" s="90" t="s">
        <v>92</v>
      </c>
      <c r="E12" s="90">
        <v>50</v>
      </c>
      <c r="F12" s="90" t="s">
        <v>2</v>
      </c>
      <c r="G12" s="34"/>
      <c r="H12" s="33"/>
      <c r="I12" s="32"/>
    </row>
    <row r="13" spans="1:11" ht="15.75" x14ac:dyDescent="0.25">
      <c r="A13" s="88"/>
      <c r="B13" s="74"/>
      <c r="C13" s="28" t="s">
        <v>122</v>
      </c>
      <c r="D13" s="31" t="s">
        <v>26</v>
      </c>
      <c r="E13" s="39">
        <v>650</v>
      </c>
      <c r="F13" s="31" t="s">
        <v>2</v>
      </c>
      <c r="G13" s="620"/>
      <c r="H13" s="620"/>
      <c r="I13" s="621"/>
    </row>
    <row r="14" spans="1:11" ht="15" x14ac:dyDescent="0.2">
      <c r="A14" s="73"/>
      <c r="B14" s="73"/>
      <c r="C14" s="41"/>
      <c r="D14" s="43"/>
      <c r="E14" s="43"/>
      <c r="F14" s="43"/>
      <c r="G14" s="25"/>
      <c r="H14" s="24"/>
      <c r="I14" s="30"/>
    </row>
    <row r="15" spans="1:11" ht="15" x14ac:dyDescent="0.2">
      <c r="A15" s="45"/>
      <c r="B15" s="79"/>
      <c r="C15" s="44" t="s">
        <v>27</v>
      </c>
      <c r="D15" s="43"/>
      <c r="E15" s="43"/>
      <c r="F15" s="43"/>
      <c r="G15" s="25"/>
      <c r="H15" s="24"/>
      <c r="I15" s="30"/>
    </row>
    <row r="16" spans="1:11" ht="15" x14ac:dyDescent="0.2">
      <c r="A16" s="73" t="s">
        <v>135</v>
      </c>
      <c r="B16" s="73" t="s">
        <v>136</v>
      </c>
      <c r="C16" s="41" t="s">
        <v>137</v>
      </c>
      <c r="D16" s="26" t="s">
        <v>26</v>
      </c>
      <c r="E16" s="26">
        <v>25</v>
      </c>
      <c r="F16" s="26" t="s">
        <v>2</v>
      </c>
      <c r="G16" s="622" t="s">
        <v>138</v>
      </c>
      <c r="H16" s="620"/>
      <c r="I16" s="621"/>
    </row>
    <row r="17" spans="1:12" ht="15" x14ac:dyDescent="0.2">
      <c r="A17" s="38"/>
      <c r="B17" s="81"/>
      <c r="C17" s="27" t="s">
        <v>139</v>
      </c>
      <c r="D17" s="26" t="s">
        <v>26</v>
      </c>
      <c r="E17" s="26">
        <v>230</v>
      </c>
      <c r="F17" s="26" t="s">
        <v>2</v>
      </c>
      <c r="G17" s="622"/>
      <c r="H17" s="620"/>
      <c r="I17" s="621"/>
    </row>
    <row r="18" spans="1:12" ht="15.75" x14ac:dyDescent="0.25">
      <c r="A18" s="40"/>
      <c r="B18" s="82"/>
      <c r="C18" s="77"/>
      <c r="D18" s="31"/>
      <c r="E18" s="39"/>
      <c r="F18" s="31"/>
      <c r="G18" s="620"/>
      <c r="H18" s="620"/>
      <c r="I18" s="621"/>
    </row>
    <row r="19" spans="1:12" ht="15.75" x14ac:dyDescent="0.25">
      <c r="A19" s="38"/>
      <c r="B19" s="81"/>
      <c r="C19" s="37" t="s">
        <v>24</v>
      </c>
      <c r="D19" s="26"/>
      <c r="E19" s="26"/>
      <c r="F19" s="26"/>
      <c r="G19" s="25"/>
      <c r="H19" s="24"/>
      <c r="I19" s="30"/>
    </row>
    <row r="20" spans="1:12" ht="15" x14ac:dyDescent="0.2">
      <c r="A20" s="72">
        <v>702175</v>
      </c>
      <c r="B20" s="83" t="s">
        <v>57</v>
      </c>
      <c r="C20" s="46" t="s">
        <v>53</v>
      </c>
      <c r="D20" s="26" t="s">
        <v>22</v>
      </c>
      <c r="E20" s="26">
        <v>1</v>
      </c>
      <c r="F20" s="26" t="s">
        <v>5</v>
      </c>
      <c r="G20" s="25"/>
      <c r="H20" s="24"/>
      <c r="I20" s="30"/>
    </row>
    <row r="21" spans="1:12" ht="15" x14ac:dyDescent="0.2">
      <c r="A21" s="29">
        <v>703020</v>
      </c>
      <c r="B21" s="84" t="s">
        <v>58</v>
      </c>
      <c r="C21" s="28" t="s">
        <v>23</v>
      </c>
      <c r="D21" s="26" t="s">
        <v>22</v>
      </c>
      <c r="E21" s="26">
        <v>60</v>
      </c>
      <c r="F21" s="26" t="s">
        <v>21</v>
      </c>
      <c r="G21" s="34"/>
      <c r="H21" s="33"/>
      <c r="I21" s="32"/>
    </row>
    <row r="22" spans="1:12" ht="15.75" x14ac:dyDescent="0.25">
      <c r="A22" s="36">
        <v>1950693</v>
      </c>
      <c r="B22" s="85" t="s">
        <v>59</v>
      </c>
      <c r="C22" s="35" t="s">
        <v>20</v>
      </c>
      <c r="D22" s="31" t="s">
        <v>19</v>
      </c>
      <c r="E22" s="31">
        <v>1</v>
      </c>
      <c r="F22" s="31" t="s">
        <v>5</v>
      </c>
      <c r="G22" s="34"/>
      <c r="H22" s="33"/>
      <c r="I22" s="32"/>
    </row>
    <row r="23" spans="1:12" ht="15.75" x14ac:dyDescent="0.25">
      <c r="A23" s="29">
        <v>51400021</v>
      </c>
      <c r="B23" s="84" t="s">
        <v>60</v>
      </c>
      <c r="C23" s="28" t="s">
        <v>18</v>
      </c>
      <c r="D23" s="31" t="s">
        <v>17</v>
      </c>
      <c r="E23" s="31">
        <v>1</v>
      </c>
      <c r="F23" s="31" t="s">
        <v>5</v>
      </c>
      <c r="G23" s="34"/>
      <c r="H23" s="33"/>
      <c r="I23" s="32"/>
    </row>
    <row r="24" spans="1:12" ht="15.75" x14ac:dyDescent="0.25">
      <c r="A24" s="29">
        <v>702123</v>
      </c>
      <c r="B24" s="84" t="s">
        <v>61</v>
      </c>
      <c r="C24" s="28" t="s">
        <v>16</v>
      </c>
      <c r="D24" s="31" t="s">
        <v>14</v>
      </c>
      <c r="E24" s="31">
        <v>1</v>
      </c>
      <c r="F24" s="31" t="s">
        <v>5</v>
      </c>
      <c r="G24" s="25"/>
      <c r="H24" s="24"/>
      <c r="I24" s="30"/>
    </row>
    <row r="25" spans="1:12" ht="15.75" x14ac:dyDescent="0.25">
      <c r="A25" s="29">
        <v>701096</v>
      </c>
      <c r="B25" s="84" t="s">
        <v>62</v>
      </c>
      <c r="C25" s="28" t="s">
        <v>15</v>
      </c>
      <c r="D25" s="31" t="s">
        <v>14</v>
      </c>
      <c r="E25" s="31">
        <v>1</v>
      </c>
      <c r="F25" s="31" t="s">
        <v>5</v>
      </c>
      <c r="G25" s="25"/>
      <c r="H25" s="24"/>
      <c r="I25" s="30"/>
    </row>
    <row r="26" spans="1:12" ht="15" x14ac:dyDescent="0.2">
      <c r="A26" s="29">
        <v>702007</v>
      </c>
      <c r="B26" s="84" t="s">
        <v>63</v>
      </c>
      <c r="C26" s="28" t="s">
        <v>13</v>
      </c>
      <c r="D26" s="27" t="s">
        <v>12</v>
      </c>
      <c r="E26" s="26">
        <v>1</v>
      </c>
      <c r="F26" s="26" t="s">
        <v>5</v>
      </c>
      <c r="G26" s="25"/>
      <c r="H26" s="24"/>
      <c r="I26" s="23"/>
    </row>
    <row r="27" spans="1:12" ht="15" x14ac:dyDescent="0.2">
      <c r="A27" s="72">
        <v>702069</v>
      </c>
      <c r="B27" s="83" t="s">
        <v>64</v>
      </c>
      <c r="C27" s="46" t="s">
        <v>50</v>
      </c>
      <c r="D27" s="26" t="s">
        <v>22</v>
      </c>
      <c r="E27" s="68">
        <v>1</v>
      </c>
      <c r="F27" s="68" t="s">
        <v>5</v>
      </c>
      <c r="G27" s="69"/>
      <c r="H27" s="70"/>
      <c r="I27" s="71"/>
    </row>
    <row r="28" spans="1:12" ht="15" thickBot="1" x14ac:dyDescent="0.25">
      <c r="A28" s="22"/>
      <c r="B28" s="86"/>
      <c r="C28" s="21"/>
      <c r="D28" s="20"/>
      <c r="E28" s="19"/>
      <c r="F28" s="19"/>
      <c r="G28" s="19"/>
      <c r="H28" s="19"/>
      <c r="I28" s="18"/>
      <c r="L28" s="3"/>
    </row>
    <row r="29" spans="1:12" ht="13.5" thickBot="1" x14ac:dyDescent="0.25">
      <c r="A29" s="17"/>
      <c r="B29" s="87"/>
      <c r="C29" s="13"/>
      <c r="D29" s="16" t="s">
        <v>11</v>
      </c>
      <c r="E29" s="15" t="s">
        <v>10</v>
      </c>
      <c r="F29" s="14"/>
      <c r="G29" s="13"/>
      <c r="H29" s="13"/>
      <c r="I29" s="12"/>
      <c r="L29" s="3"/>
    </row>
    <row r="30" spans="1:12" x14ac:dyDescent="0.2">
      <c r="A30" s="623" t="s">
        <v>9</v>
      </c>
      <c r="B30" s="624"/>
      <c r="C30" s="625"/>
      <c r="D30" s="11">
        <v>1555</v>
      </c>
      <c r="E30" s="10" t="s">
        <v>2</v>
      </c>
      <c r="F30" s="626"/>
      <c r="G30" s="626"/>
      <c r="H30" s="627"/>
      <c r="I30" s="628"/>
      <c r="L30" s="3"/>
    </row>
    <row r="31" spans="1:12" x14ac:dyDescent="0.2">
      <c r="A31" s="603" t="s">
        <v>8</v>
      </c>
      <c r="B31" s="604"/>
      <c r="C31" s="605"/>
      <c r="D31" s="9">
        <v>5</v>
      </c>
      <c r="E31" s="7" t="s">
        <v>7</v>
      </c>
      <c r="F31" s="619"/>
      <c r="G31" s="619"/>
      <c r="H31" s="608"/>
      <c r="I31" s="609"/>
      <c r="L31" s="3"/>
    </row>
    <row r="32" spans="1:12" x14ac:dyDescent="0.2">
      <c r="A32" s="603" t="s">
        <v>6</v>
      </c>
      <c r="B32" s="604"/>
      <c r="C32" s="605"/>
      <c r="D32" s="7">
        <v>1</v>
      </c>
      <c r="E32" s="7" t="s">
        <v>5</v>
      </c>
      <c r="F32" s="619"/>
      <c r="G32" s="619"/>
      <c r="H32" s="608"/>
      <c r="I32" s="609"/>
      <c r="L32" s="3"/>
    </row>
    <row r="33" spans="1:13" x14ac:dyDescent="0.2">
      <c r="A33" s="603" t="s">
        <v>4</v>
      </c>
      <c r="B33" s="604"/>
      <c r="C33" s="605"/>
      <c r="D33" s="8">
        <f>+D30</f>
        <v>1555</v>
      </c>
      <c r="E33" s="7" t="s">
        <v>2</v>
      </c>
      <c r="F33" s="606"/>
      <c r="G33" s="607"/>
      <c r="H33" s="608"/>
      <c r="I33" s="609"/>
      <c r="L33" s="3"/>
      <c r="M33" s="6"/>
    </row>
    <row r="34" spans="1:13" ht="13.5" thickBot="1" x14ac:dyDescent="0.25">
      <c r="A34" s="610" t="s">
        <v>3</v>
      </c>
      <c r="B34" s="611"/>
      <c r="C34" s="612"/>
      <c r="D34" s="5">
        <f>SUM(E10:E19)-D30</f>
        <v>0</v>
      </c>
      <c r="E34" s="4" t="s">
        <v>2</v>
      </c>
      <c r="F34" s="613"/>
      <c r="G34" s="613"/>
      <c r="H34" s="614"/>
      <c r="I34" s="615"/>
      <c r="L34" s="3"/>
    </row>
    <row r="35" spans="1:13" ht="13.5" thickBot="1" x14ac:dyDescent="0.25">
      <c r="A35" s="591" t="s">
        <v>1</v>
      </c>
      <c r="B35" s="592"/>
      <c r="C35" s="592"/>
      <c r="D35" s="592"/>
      <c r="E35" s="592"/>
      <c r="F35" s="592"/>
      <c r="G35" s="592"/>
      <c r="H35" s="592"/>
      <c r="I35" s="593"/>
    </row>
    <row r="36" spans="1:13" ht="32.25" customHeight="1" x14ac:dyDescent="0.2">
      <c r="A36" s="616" t="s">
        <v>0</v>
      </c>
      <c r="B36" s="617"/>
      <c r="C36" s="617"/>
      <c r="D36" s="617"/>
      <c r="E36" s="617"/>
      <c r="F36" s="617"/>
      <c r="G36" s="617"/>
      <c r="H36" s="617"/>
      <c r="I36" s="618"/>
    </row>
    <row r="37" spans="1:13" ht="34.5" customHeight="1" x14ac:dyDescent="0.25">
      <c r="A37" s="594" t="s">
        <v>147</v>
      </c>
      <c r="B37" s="595"/>
      <c r="C37" s="595"/>
      <c r="D37" s="595"/>
      <c r="E37" s="595"/>
      <c r="F37" s="595"/>
      <c r="G37" s="595"/>
      <c r="H37" s="595"/>
      <c r="I37" s="596"/>
    </row>
    <row r="38" spans="1:13" ht="13.9" customHeight="1" x14ac:dyDescent="0.25">
      <c r="A38" s="594" t="s">
        <v>148</v>
      </c>
      <c r="B38" s="595"/>
      <c r="C38" s="595"/>
      <c r="D38" s="595"/>
      <c r="E38" s="595"/>
      <c r="F38" s="595"/>
      <c r="G38" s="595"/>
      <c r="H38" s="595"/>
      <c r="I38" s="596"/>
    </row>
    <row r="39" spans="1:13" ht="30" customHeight="1" x14ac:dyDescent="0.25">
      <c r="A39" s="594" t="s">
        <v>149</v>
      </c>
      <c r="B39" s="595"/>
      <c r="C39" s="595"/>
      <c r="D39" s="595"/>
      <c r="E39" s="595"/>
      <c r="F39" s="595"/>
      <c r="G39" s="595"/>
      <c r="H39" s="595"/>
      <c r="I39" s="596"/>
    </row>
    <row r="40" spans="1:13" ht="13.9" customHeight="1" x14ac:dyDescent="0.25">
      <c r="A40" s="594" t="s">
        <v>51</v>
      </c>
      <c r="B40" s="595"/>
      <c r="C40" s="595"/>
      <c r="D40" s="595"/>
      <c r="E40" s="595"/>
      <c r="F40" s="595"/>
      <c r="G40" s="595"/>
      <c r="H40" s="595"/>
      <c r="I40" s="596"/>
    </row>
    <row r="41" spans="1:13" ht="15" x14ac:dyDescent="0.25">
      <c r="A41" s="594"/>
      <c r="B41" s="595"/>
      <c r="C41" s="595"/>
      <c r="D41" s="595"/>
      <c r="E41" s="595"/>
      <c r="F41" s="595"/>
      <c r="G41" s="595"/>
      <c r="H41" s="595"/>
      <c r="I41" s="596"/>
    </row>
    <row r="42" spans="1:13" ht="16.5" customHeight="1" x14ac:dyDescent="0.2">
      <c r="A42" s="597"/>
      <c r="B42" s="598"/>
      <c r="C42" s="598"/>
      <c r="D42" s="598"/>
      <c r="E42" s="598"/>
      <c r="F42" s="598"/>
      <c r="G42" s="598"/>
      <c r="H42" s="598"/>
      <c r="I42" s="599"/>
    </row>
    <row r="43" spans="1:13" ht="16.5" customHeight="1" x14ac:dyDescent="0.2">
      <c r="A43" s="597"/>
      <c r="B43" s="598"/>
      <c r="C43" s="598"/>
      <c r="D43" s="598"/>
      <c r="E43" s="598"/>
      <c r="F43" s="598"/>
      <c r="G43" s="598"/>
      <c r="H43" s="598"/>
      <c r="I43" s="599"/>
    </row>
    <row r="44" spans="1:13" ht="16.5" customHeight="1" thickBot="1" x14ac:dyDescent="0.25">
      <c r="A44" s="600"/>
      <c r="B44" s="601"/>
      <c r="C44" s="601"/>
      <c r="D44" s="601"/>
      <c r="E44" s="601"/>
      <c r="F44" s="601"/>
      <c r="G44" s="601"/>
      <c r="H44" s="601"/>
      <c r="I44" s="602"/>
    </row>
    <row r="45" spans="1:13" ht="13.5" thickBot="1" x14ac:dyDescent="0.25">
      <c r="A45" s="591" t="s">
        <v>52</v>
      </c>
      <c r="B45" s="592"/>
      <c r="C45" s="592"/>
      <c r="D45" s="592"/>
      <c r="E45" s="592"/>
      <c r="F45" s="592"/>
      <c r="G45" s="592"/>
      <c r="H45" s="592"/>
      <c r="I45" s="593"/>
    </row>
    <row r="46" spans="1:13" x14ac:dyDescent="0.2">
      <c r="A46" s="2"/>
      <c r="B46" s="2"/>
      <c r="C46" s="2"/>
    </row>
    <row r="47" spans="1:13" x14ac:dyDescent="0.2">
      <c r="A47" s="2"/>
      <c r="B47" s="2"/>
    </row>
    <row r="48" spans="1:13" x14ac:dyDescent="0.2">
      <c r="A48" s="76"/>
      <c r="B48" s="76"/>
    </row>
    <row r="49" spans="1:2" x14ac:dyDescent="0.2">
      <c r="A49" s="76"/>
      <c r="B49" s="76"/>
    </row>
    <row r="50" spans="1:2" x14ac:dyDescent="0.2">
      <c r="A50" s="76"/>
      <c r="B50" s="76"/>
    </row>
  </sheetData>
  <mergeCells count="48">
    <mergeCell ref="I3:I5"/>
    <mergeCell ref="D4:G4"/>
    <mergeCell ref="D5:G5"/>
    <mergeCell ref="C1:G1"/>
    <mergeCell ref="C2:G2"/>
    <mergeCell ref="C3:G3"/>
    <mergeCell ref="H3:H5"/>
    <mergeCell ref="A1:B5"/>
    <mergeCell ref="A7:C7"/>
    <mergeCell ref="D7:F7"/>
    <mergeCell ref="G7:H7"/>
    <mergeCell ref="A8:A9"/>
    <mergeCell ref="C8:C9"/>
    <mergeCell ref="D8:D9"/>
    <mergeCell ref="E8:F8"/>
    <mergeCell ref="G8:H8"/>
    <mergeCell ref="B8:B9"/>
    <mergeCell ref="G13:I13"/>
    <mergeCell ref="G16:I16"/>
    <mergeCell ref="G17:I17"/>
    <mergeCell ref="G18:I18"/>
    <mergeCell ref="A30:C30"/>
    <mergeCell ref="F30:G30"/>
    <mergeCell ref="H30:I30"/>
    <mergeCell ref="A38:I38"/>
    <mergeCell ref="A39:I39"/>
    <mergeCell ref="A31:C31"/>
    <mergeCell ref="F31:G31"/>
    <mergeCell ref="H31:I31"/>
    <mergeCell ref="A32:C32"/>
    <mergeCell ref="F32:G32"/>
    <mergeCell ref="H32:I32"/>
    <mergeCell ref="G10:I10"/>
    <mergeCell ref="A45:I45"/>
    <mergeCell ref="A41:I41"/>
    <mergeCell ref="A42:I42"/>
    <mergeCell ref="A43:I43"/>
    <mergeCell ref="A44:I44"/>
    <mergeCell ref="A40:I40"/>
    <mergeCell ref="A33:C33"/>
    <mergeCell ref="F33:G33"/>
    <mergeCell ref="H33:I33"/>
    <mergeCell ref="A34:C34"/>
    <mergeCell ref="F34:G34"/>
    <mergeCell ref="H34:I34"/>
    <mergeCell ref="A35:I35"/>
    <mergeCell ref="A36:I36"/>
    <mergeCell ref="A37:I37"/>
  </mergeCells>
  <pageMargins left="0.7" right="0.7" top="0.75" bottom="0.75" header="0.3" footer="0.3"/>
  <pageSetup scale="5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569CB-885E-460C-8548-23B33BB61594}">
  <dimension ref="A1:J49"/>
  <sheetViews>
    <sheetView workbookViewId="0">
      <selection activeCell="C18" sqref="C18"/>
    </sheetView>
  </sheetViews>
  <sheetFormatPr baseColWidth="10" defaultRowHeight="12.75" x14ac:dyDescent="0.2"/>
  <cols>
    <col min="3" max="3" width="42.85546875" customWidth="1"/>
  </cols>
  <sheetData>
    <row r="1" spans="1:10" ht="18" x14ac:dyDescent="0.25">
      <c r="A1" s="708"/>
      <c r="B1" s="709"/>
      <c r="C1" s="712" t="s">
        <v>49</v>
      </c>
      <c r="D1" s="713"/>
      <c r="E1" s="713"/>
      <c r="F1" s="713"/>
      <c r="G1" s="714"/>
      <c r="H1" s="301" t="s">
        <v>48</v>
      </c>
      <c r="I1" s="302"/>
      <c r="J1" s="303"/>
    </row>
    <row r="2" spans="1:10" ht="18" x14ac:dyDescent="0.25">
      <c r="A2" s="710"/>
      <c r="B2" s="711"/>
      <c r="C2" s="715" t="s">
        <v>47</v>
      </c>
      <c r="D2" s="716"/>
      <c r="E2" s="716"/>
      <c r="F2" s="716"/>
      <c r="G2" s="717"/>
      <c r="H2" s="306" t="s">
        <v>46</v>
      </c>
      <c r="I2" s="307"/>
      <c r="J2" s="303"/>
    </row>
    <row r="3" spans="1:10" ht="15.6" customHeight="1" x14ac:dyDescent="0.2">
      <c r="A3" s="710"/>
      <c r="B3" s="711"/>
      <c r="C3" s="718" t="s">
        <v>65</v>
      </c>
      <c r="D3" s="719"/>
      <c r="E3" s="719"/>
      <c r="F3" s="719"/>
      <c r="G3" s="720"/>
      <c r="H3" s="721" t="s">
        <v>45</v>
      </c>
      <c r="I3" s="699"/>
      <c r="J3" s="303"/>
    </row>
    <row r="4" spans="1:10" x14ac:dyDescent="0.2">
      <c r="A4" s="710"/>
      <c r="B4" s="711"/>
      <c r="C4" s="305" t="s">
        <v>44</v>
      </c>
      <c r="D4" s="702" t="s">
        <v>43</v>
      </c>
      <c r="E4" s="703"/>
      <c r="F4" s="703"/>
      <c r="G4" s="704"/>
      <c r="H4" s="722"/>
      <c r="I4" s="700"/>
      <c r="J4" s="303"/>
    </row>
    <row r="5" spans="1:10" ht="13.5" thickBot="1" x14ac:dyDescent="0.25">
      <c r="A5" s="710"/>
      <c r="B5" s="711"/>
      <c r="C5" s="311" t="s">
        <v>42</v>
      </c>
      <c r="D5" s="705" t="s">
        <v>41</v>
      </c>
      <c r="E5" s="706"/>
      <c r="F5" s="706"/>
      <c r="G5" s="707"/>
      <c r="H5" s="723"/>
      <c r="I5" s="701"/>
      <c r="J5" s="303"/>
    </row>
    <row r="6" spans="1:10" x14ac:dyDescent="0.2">
      <c r="A6" s="300"/>
      <c r="B6" s="300"/>
      <c r="C6" s="312"/>
      <c r="D6" s="310"/>
      <c r="E6" s="310"/>
      <c r="F6" s="310"/>
      <c r="G6" s="310"/>
      <c r="H6" s="308"/>
      <c r="I6" s="309"/>
      <c r="J6" s="303"/>
    </row>
    <row r="7" spans="1:10" ht="18.75" thickBot="1" x14ac:dyDescent="0.3">
      <c r="A7" s="686" t="s">
        <v>40</v>
      </c>
      <c r="B7" s="686"/>
      <c r="C7" s="686"/>
      <c r="D7" s="687" t="s">
        <v>38</v>
      </c>
      <c r="E7" s="687"/>
      <c r="F7" s="687"/>
      <c r="G7" s="688" t="s">
        <v>39</v>
      </c>
      <c r="H7" s="688"/>
      <c r="I7" s="313" t="s">
        <v>38</v>
      </c>
      <c r="J7" s="303"/>
    </row>
    <row r="8" spans="1:10" ht="25.5" x14ac:dyDescent="0.2">
      <c r="A8" s="689" t="s">
        <v>37</v>
      </c>
      <c r="B8" s="691" t="s">
        <v>54</v>
      </c>
      <c r="C8" s="693" t="s">
        <v>36</v>
      </c>
      <c r="D8" s="693" t="s">
        <v>35</v>
      </c>
      <c r="E8" s="695" t="s">
        <v>34</v>
      </c>
      <c r="F8" s="696"/>
      <c r="G8" s="695" t="s">
        <v>33</v>
      </c>
      <c r="H8" s="696"/>
      <c r="I8" s="314" t="s">
        <v>32</v>
      </c>
      <c r="J8" s="303"/>
    </row>
    <row r="9" spans="1:10" ht="26.25" thickBot="1" x14ac:dyDescent="0.25">
      <c r="A9" s="690"/>
      <c r="B9" s="692"/>
      <c r="C9" s="694"/>
      <c r="D9" s="694"/>
      <c r="E9" s="315" t="s">
        <v>11</v>
      </c>
      <c r="F9" s="316" t="s">
        <v>31</v>
      </c>
      <c r="G9" s="315" t="s">
        <v>11</v>
      </c>
      <c r="H9" s="316" t="s">
        <v>31</v>
      </c>
      <c r="I9" s="317" t="s">
        <v>30</v>
      </c>
      <c r="J9" s="303"/>
    </row>
    <row r="10" spans="1:10" ht="15.75" x14ac:dyDescent="0.25">
      <c r="A10" s="318">
        <v>907000002</v>
      </c>
      <c r="B10" s="319" t="s">
        <v>55</v>
      </c>
      <c r="C10" s="320" t="s">
        <v>28</v>
      </c>
      <c r="D10" s="321" t="s">
        <v>26</v>
      </c>
      <c r="E10" s="321">
        <v>200</v>
      </c>
      <c r="F10" s="321" t="s">
        <v>2</v>
      </c>
      <c r="G10" s="697" t="s">
        <v>66</v>
      </c>
      <c r="H10" s="698"/>
      <c r="I10" s="698"/>
      <c r="J10" s="303"/>
    </row>
    <row r="11" spans="1:10" ht="15.75" x14ac:dyDescent="0.25">
      <c r="A11" s="73"/>
      <c r="B11" s="73"/>
      <c r="C11" s="322" t="s">
        <v>67</v>
      </c>
      <c r="D11" s="324" t="s">
        <v>26</v>
      </c>
      <c r="E11" s="324">
        <v>280</v>
      </c>
      <c r="F11" s="324" t="s">
        <v>2</v>
      </c>
      <c r="G11" s="323"/>
      <c r="H11" s="323"/>
      <c r="I11" s="325"/>
      <c r="J11" s="303"/>
    </row>
    <row r="12" spans="1:10" ht="15.75" x14ac:dyDescent="0.25">
      <c r="A12" s="73"/>
      <c r="B12" s="73" t="s">
        <v>104</v>
      </c>
      <c r="C12" t="s">
        <v>106</v>
      </c>
      <c r="D12" s="324" t="s">
        <v>26</v>
      </c>
      <c r="E12" s="324">
        <v>40</v>
      </c>
      <c r="F12" s="324" t="s">
        <v>2</v>
      </c>
      <c r="G12" s="323"/>
      <c r="H12" s="323"/>
      <c r="I12" s="325"/>
      <c r="J12" s="303"/>
    </row>
    <row r="13" spans="1:10" ht="15.75" x14ac:dyDescent="0.25">
      <c r="A13" s="73"/>
      <c r="B13" s="74"/>
      <c r="C13" s="326" t="s">
        <v>238</v>
      </c>
      <c r="D13" s="327" t="s">
        <v>26</v>
      </c>
      <c r="E13" s="328">
        <v>700</v>
      </c>
      <c r="F13" s="327" t="s">
        <v>2</v>
      </c>
      <c r="G13" s="668"/>
      <c r="H13" s="669"/>
      <c r="I13" s="676"/>
      <c r="J13" s="303"/>
    </row>
    <row r="14" spans="1:10" ht="15" x14ac:dyDescent="0.2">
      <c r="A14" s="73"/>
      <c r="B14" s="73"/>
      <c r="C14" s="304"/>
      <c r="D14" s="329"/>
      <c r="E14" s="329"/>
      <c r="F14" s="329"/>
      <c r="G14" s="73"/>
      <c r="H14" s="73"/>
      <c r="I14" s="330"/>
      <c r="J14" s="303"/>
    </row>
    <row r="15" spans="1:10" ht="15" x14ac:dyDescent="0.2">
      <c r="A15" s="331"/>
      <c r="B15" s="332"/>
      <c r="C15" s="333" t="s">
        <v>27</v>
      </c>
      <c r="D15" s="329"/>
      <c r="E15" s="329"/>
      <c r="F15" s="329"/>
      <c r="G15" s="73"/>
      <c r="H15" s="73"/>
      <c r="I15" s="330"/>
      <c r="J15" s="303"/>
    </row>
    <row r="16" spans="1:10" ht="15" x14ac:dyDescent="0.2">
      <c r="A16" s="73"/>
      <c r="B16" s="73" t="s">
        <v>239</v>
      </c>
      <c r="C16" s="41" t="s">
        <v>240</v>
      </c>
      <c r="D16" s="334" t="s">
        <v>26</v>
      </c>
      <c r="E16" s="334">
        <v>25</v>
      </c>
      <c r="F16" s="334" t="s">
        <v>2</v>
      </c>
      <c r="G16" s="668" t="s">
        <v>138</v>
      </c>
      <c r="H16" s="669"/>
      <c r="I16" s="676"/>
      <c r="J16" s="303"/>
    </row>
    <row r="17" spans="1:10" ht="15" x14ac:dyDescent="0.2">
      <c r="A17" s="335"/>
      <c r="B17" s="336"/>
      <c r="C17" s="337" t="s">
        <v>139</v>
      </c>
      <c r="D17" s="334" t="s">
        <v>26</v>
      </c>
      <c r="E17" s="334">
        <v>180</v>
      </c>
      <c r="F17" s="334" t="s">
        <v>2</v>
      </c>
      <c r="G17" s="668"/>
      <c r="H17" s="669"/>
      <c r="I17" s="676"/>
      <c r="J17" s="303"/>
    </row>
    <row r="18" spans="1:10" ht="15.75" x14ac:dyDescent="0.25">
      <c r="A18" s="42"/>
      <c r="B18" s="80"/>
      <c r="C18" s="338"/>
      <c r="D18" s="327"/>
      <c r="E18" s="328"/>
      <c r="F18" s="327"/>
      <c r="G18" s="668"/>
      <c r="H18" s="669"/>
      <c r="I18" s="676"/>
      <c r="J18" s="303"/>
    </row>
    <row r="19" spans="1:10" ht="15.75" x14ac:dyDescent="0.25">
      <c r="A19" s="335"/>
      <c r="B19" s="336"/>
      <c r="C19" s="339" t="s">
        <v>24</v>
      </c>
      <c r="D19" s="334"/>
      <c r="E19" s="334"/>
      <c r="F19" s="334"/>
      <c r="G19" s="73"/>
      <c r="H19" s="73"/>
      <c r="I19" s="330"/>
      <c r="J19" s="303"/>
    </row>
    <row r="20" spans="1:10" ht="15" x14ac:dyDescent="0.2">
      <c r="A20" s="340">
        <v>702175</v>
      </c>
      <c r="B20" s="341" t="s">
        <v>57</v>
      </c>
      <c r="C20" s="342" t="s">
        <v>53</v>
      </c>
      <c r="D20" s="334" t="s">
        <v>22</v>
      </c>
      <c r="E20" s="334">
        <v>1</v>
      </c>
      <c r="F20" s="334" t="s">
        <v>5</v>
      </c>
      <c r="G20" s="73"/>
      <c r="H20" s="73"/>
      <c r="I20" s="330"/>
      <c r="J20" s="303"/>
    </row>
    <row r="21" spans="1:10" ht="15" x14ac:dyDescent="0.2">
      <c r="A21" s="29">
        <v>703020</v>
      </c>
      <c r="B21" s="84" t="s">
        <v>58</v>
      </c>
      <c r="C21" s="28" t="s">
        <v>23</v>
      </c>
      <c r="D21" s="334" t="s">
        <v>22</v>
      </c>
      <c r="E21" s="334">
        <v>60</v>
      </c>
      <c r="F21" s="334" t="s">
        <v>21</v>
      </c>
      <c r="G21" s="323"/>
      <c r="H21" s="323"/>
      <c r="I21" s="325"/>
      <c r="J21" s="303"/>
    </row>
    <row r="22" spans="1:10" ht="15.75" x14ac:dyDescent="0.25">
      <c r="A22" s="42">
        <v>1950693</v>
      </c>
      <c r="B22" s="80" t="s">
        <v>59</v>
      </c>
      <c r="C22" s="343" t="s">
        <v>20</v>
      </c>
      <c r="D22" s="327" t="s">
        <v>19</v>
      </c>
      <c r="E22" s="327">
        <v>1</v>
      </c>
      <c r="F22" s="327" t="s">
        <v>5</v>
      </c>
      <c r="G22" s="323"/>
      <c r="H22" s="323"/>
      <c r="I22" s="325"/>
      <c r="J22" s="303"/>
    </row>
    <row r="23" spans="1:10" ht="15.75" x14ac:dyDescent="0.25">
      <c r="A23" s="29">
        <v>51400021</v>
      </c>
      <c r="B23" s="84" t="s">
        <v>60</v>
      </c>
      <c r="C23" s="28" t="s">
        <v>18</v>
      </c>
      <c r="D23" s="327" t="s">
        <v>17</v>
      </c>
      <c r="E23" s="327">
        <v>1</v>
      </c>
      <c r="F23" s="327" t="s">
        <v>5</v>
      </c>
      <c r="G23" s="323"/>
      <c r="H23" s="323"/>
      <c r="I23" s="325"/>
      <c r="J23" s="303"/>
    </row>
    <row r="24" spans="1:10" ht="15.75" x14ac:dyDescent="0.25">
      <c r="A24" s="29">
        <v>702123</v>
      </c>
      <c r="B24" s="84" t="s">
        <v>61</v>
      </c>
      <c r="C24" s="28" t="s">
        <v>16</v>
      </c>
      <c r="D24" s="327" t="s">
        <v>14</v>
      </c>
      <c r="E24" s="327">
        <v>1</v>
      </c>
      <c r="F24" s="327" t="s">
        <v>5</v>
      </c>
      <c r="G24" s="73"/>
      <c r="H24" s="73"/>
      <c r="I24" s="330"/>
      <c r="J24" s="303"/>
    </row>
    <row r="25" spans="1:10" ht="15.75" x14ac:dyDescent="0.25">
      <c r="A25" s="29">
        <v>701096</v>
      </c>
      <c r="B25" s="84" t="s">
        <v>62</v>
      </c>
      <c r="C25" s="28" t="s">
        <v>15</v>
      </c>
      <c r="D25" s="327" t="s">
        <v>14</v>
      </c>
      <c r="E25" s="327">
        <v>1</v>
      </c>
      <c r="F25" s="327" t="s">
        <v>5</v>
      </c>
      <c r="G25" s="73"/>
      <c r="H25" s="73"/>
      <c r="I25" s="330"/>
      <c r="J25" s="303"/>
    </row>
    <row r="26" spans="1:10" ht="15" x14ac:dyDescent="0.2">
      <c r="A26" s="29">
        <v>702007</v>
      </c>
      <c r="B26" s="84" t="s">
        <v>63</v>
      </c>
      <c r="C26" s="28" t="s">
        <v>13</v>
      </c>
      <c r="D26" s="337" t="s">
        <v>12</v>
      </c>
      <c r="E26" s="334">
        <v>1</v>
      </c>
      <c r="F26" s="334" t="s">
        <v>5</v>
      </c>
      <c r="G26" s="73"/>
      <c r="H26" s="73"/>
      <c r="I26" s="344"/>
      <c r="J26" s="303"/>
    </row>
    <row r="27" spans="1:10" ht="15" x14ac:dyDescent="0.2">
      <c r="A27" s="340">
        <v>702069</v>
      </c>
      <c r="B27" s="341" t="s">
        <v>64</v>
      </c>
      <c r="C27" s="342" t="s">
        <v>50</v>
      </c>
      <c r="D27" s="334" t="s">
        <v>22</v>
      </c>
      <c r="E27" s="346">
        <v>1</v>
      </c>
      <c r="F27" s="346" t="s">
        <v>5</v>
      </c>
      <c r="G27" s="345"/>
      <c r="H27" s="345"/>
      <c r="I27" s="347"/>
      <c r="J27" s="303"/>
    </row>
    <row r="28" spans="1:10" ht="15.75" thickBot="1" x14ac:dyDescent="0.25">
      <c r="A28" s="340"/>
      <c r="B28" s="341"/>
      <c r="C28" s="342"/>
      <c r="D28" s="334"/>
      <c r="E28" s="346"/>
      <c r="F28" s="346"/>
      <c r="G28" s="345"/>
      <c r="H28" s="345"/>
      <c r="I28" s="347"/>
      <c r="J28" s="303"/>
    </row>
    <row r="29" spans="1:10" ht="13.5" thickBot="1" x14ac:dyDescent="0.25">
      <c r="A29" s="348"/>
      <c r="B29" s="349"/>
      <c r="C29" s="350"/>
      <c r="D29" s="351" t="s">
        <v>11</v>
      </c>
      <c r="E29" s="351" t="s">
        <v>10</v>
      </c>
      <c r="F29" s="352"/>
      <c r="G29" s="350"/>
      <c r="H29" s="350"/>
      <c r="I29" s="353"/>
      <c r="J29" s="303"/>
    </row>
    <row r="30" spans="1:10" x14ac:dyDescent="0.2">
      <c r="A30" s="679" t="s">
        <v>9</v>
      </c>
      <c r="B30" s="680"/>
      <c r="C30" s="681"/>
      <c r="D30" s="323">
        <v>1420</v>
      </c>
      <c r="E30" s="354" t="s">
        <v>2</v>
      </c>
      <c r="F30" s="682"/>
      <c r="G30" s="683"/>
      <c r="H30" s="684"/>
      <c r="I30" s="685"/>
      <c r="J30" s="303"/>
    </row>
    <row r="31" spans="1:10" x14ac:dyDescent="0.2">
      <c r="A31" s="603" t="s">
        <v>8</v>
      </c>
      <c r="B31" s="604"/>
      <c r="C31" s="605"/>
      <c r="D31" s="9">
        <v>5</v>
      </c>
      <c r="E31" s="73" t="s">
        <v>7</v>
      </c>
      <c r="F31" s="677"/>
      <c r="G31" s="678"/>
      <c r="H31" s="668"/>
      <c r="I31" s="669"/>
      <c r="J31" s="303"/>
    </row>
    <row r="32" spans="1:10" x14ac:dyDescent="0.2">
      <c r="A32" s="603" t="s">
        <v>6</v>
      </c>
      <c r="B32" s="604"/>
      <c r="C32" s="605"/>
      <c r="D32" s="73">
        <v>1</v>
      </c>
      <c r="E32" s="73" t="s">
        <v>5</v>
      </c>
      <c r="F32" s="677"/>
      <c r="G32" s="678"/>
      <c r="H32" s="668"/>
      <c r="I32" s="669"/>
      <c r="J32" s="303"/>
    </row>
    <row r="33" spans="1:10" x14ac:dyDescent="0.2">
      <c r="A33" s="603" t="s">
        <v>4</v>
      </c>
      <c r="B33" s="604"/>
      <c r="C33" s="605"/>
      <c r="D33" s="73">
        <v>1420</v>
      </c>
      <c r="E33" s="73" t="s">
        <v>2</v>
      </c>
      <c r="F33" s="666"/>
      <c r="G33" s="667"/>
      <c r="H33" s="668"/>
      <c r="I33" s="669"/>
      <c r="J33" s="303"/>
    </row>
    <row r="34" spans="1:10" ht="13.5" thickBot="1" x14ac:dyDescent="0.25">
      <c r="A34" s="670" t="s">
        <v>3</v>
      </c>
      <c r="B34" s="671"/>
      <c r="C34" s="611"/>
      <c r="D34" s="355">
        <v>5</v>
      </c>
      <c r="E34" s="355" t="s">
        <v>2</v>
      </c>
      <c r="F34" s="672"/>
      <c r="G34" s="673"/>
      <c r="H34" s="674"/>
      <c r="I34" s="675"/>
      <c r="J34" s="303"/>
    </row>
    <row r="35" spans="1:10" ht="13.5" thickBot="1" x14ac:dyDescent="0.25">
      <c r="A35" s="660" t="s">
        <v>1</v>
      </c>
      <c r="B35" s="661"/>
      <c r="C35" s="661"/>
      <c r="D35" s="661"/>
      <c r="E35" s="661"/>
      <c r="F35" s="661"/>
      <c r="G35" s="661"/>
      <c r="H35" s="661"/>
      <c r="I35" s="661"/>
      <c r="J35" s="303"/>
    </row>
    <row r="36" spans="1:10" ht="27.6" customHeight="1" x14ac:dyDescent="0.2">
      <c r="A36" s="662" t="s">
        <v>241</v>
      </c>
      <c r="B36" s="663"/>
      <c r="C36" s="663"/>
      <c r="D36" s="663"/>
      <c r="E36" s="663"/>
      <c r="F36" s="663"/>
      <c r="G36" s="663"/>
      <c r="H36" s="663"/>
      <c r="I36" s="663"/>
      <c r="J36" s="303"/>
    </row>
    <row r="37" spans="1:10" ht="27.6" customHeight="1" x14ac:dyDescent="0.25">
      <c r="A37" s="664" t="s">
        <v>242</v>
      </c>
      <c r="B37" s="665"/>
      <c r="C37" s="665"/>
      <c r="D37" s="665"/>
      <c r="E37" s="665"/>
      <c r="F37" s="665"/>
      <c r="G37" s="665"/>
      <c r="H37" s="665"/>
      <c r="I37" s="665"/>
      <c r="J37" s="303"/>
    </row>
    <row r="38" spans="1:10" ht="27.6" customHeight="1" x14ac:dyDescent="0.25">
      <c r="A38" s="664" t="s">
        <v>243</v>
      </c>
      <c r="B38" s="665"/>
      <c r="C38" s="665"/>
      <c r="D38" s="665"/>
      <c r="E38" s="665"/>
      <c r="F38" s="665"/>
      <c r="G38" s="665"/>
      <c r="H38" s="665"/>
      <c r="I38" s="665"/>
      <c r="J38" s="303"/>
    </row>
    <row r="39" spans="1:10" ht="13.9" customHeight="1" x14ac:dyDescent="0.25">
      <c r="A39" s="664" t="s">
        <v>244</v>
      </c>
      <c r="B39" s="665"/>
      <c r="C39" s="665"/>
      <c r="D39" s="665"/>
      <c r="E39" s="665"/>
      <c r="F39" s="665"/>
      <c r="G39" s="665"/>
      <c r="H39" s="665"/>
      <c r="I39" s="665"/>
      <c r="J39" s="303"/>
    </row>
    <row r="40" spans="1:10" ht="15" x14ac:dyDescent="0.25">
      <c r="A40" s="664"/>
      <c r="B40" s="665"/>
      <c r="C40" s="665"/>
      <c r="D40" s="665"/>
      <c r="E40" s="665"/>
      <c r="F40" s="665"/>
      <c r="G40" s="665"/>
      <c r="H40" s="665"/>
      <c r="I40" s="665"/>
      <c r="J40" s="303"/>
    </row>
    <row r="41" spans="1:10" ht="14.25" x14ac:dyDescent="0.2">
      <c r="A41" s="656"/>
      <c r="B41" s="657"/>
      <c r="C41" s="657"/>
      <c r="D41" s="657"/>
      <c r="E41" s="657"/>
      <c r="F41" s="657"/>
      <c r="G41" s="657"/>
      <c r="H41" s="657"/>
      <c r="I41" s="657"/>
      <c r="J41" s="303"/>
    </row>
    <row r="42" spans="1:10" ht="14.25" x14ac:dyDescent="0.2">
      <c r="A42" s="656"/>
      <c r="B42" s="657"/>
      <c r="C42" s="657"/>
      <c r="D42" s="657"/>
      <c r="E42" s="657"/>
      <c r="F42" s="657"/>
      <c r="G42" s="657"/>
      <c r="H42" s="657"/>
      <c r="I42" s="657"/>
      <c r="J42" s="303"/>
    </row>
    <row r="43" spans="1:10" ht="15" thickBot="1" x14ac:dyDescent="0.25">
      <c r="A43" s="658"/>
      <c r="B43" s="659"/>
      <c r="C43" s="659"/>
      <c r="D43" s="659"/>
      <c r="E43" s="659"/>
      <c r="F43" s="659"/>
      <c r="G43" s="659"/>
      <c r="H43" s="659"/>
      <c r="I43" s="659"/>
      <c r="J43" s="303"/>
    </row>
    <row r="44" spans="1:10" ht="13.5" thickBot="1" x14ac:dyDescent="0.25">
      <c r="A44" s="660" t="s">
        <v>52</v>
      </c>
      <c r="B44" s="661"/>
      <c r="C44" s="661"/>
      <c r="D44" s="661"/>
      <c r="E44" s="661"/>
      <c r="F44" s="661"/>
      <c r="G44" s="661"/>
      <c r="H44" s="661"/>
      <c r="I44" s="661"/>
      <c r="J44" s="303"/>
    </row>
    <row r="45" spans="1:10" x14ac:dyDescent="0.2">
      <c r="A45" s="356"/>
      <c r="B45" s="356"/>
      <c r="C45" s="356"/>
      <c r="D45" s="303"/>
      <c r="E45" s="303"/>
      <c r="F45" s="303"/>
      <c r="G45" s="303"/>
      <c r="H45" s="303"/>
      <c r="I45" s="303"/>
      <c r="J45" s="303"/>
    </row>
    <row r="46" spans="1:10" x14ac:dyDescent="0.2">
      <c r="A46" s="356"/>
      <c r="B46" s="356"/>
      <c r="C46" s="303"/>
      <c r="D46" s="303"/>
      <c r="E46" s="303"/>
      <c r="F46" s="303"/>
      <c r="G46" s="303"/>
      <c r="H46" s="303"/>
      <c r="I46" s="303"/>
      <c r="J46" s="303"/>
    </row>
    <row r="47" spans="1:10" x14ac:dyDescent="0.2">
      <c r="A47" s="303"/>
      <c r="B47" s="303"/>
      <c r="C47" s="303"/>
      <c r="D47" s="303"/>
      <c r="E47" s="303"/>
      <c r="F47" s="303"/>
      <c r="G47" s="303"/>
      <c r="H47" s="303"/>
      <c r="I47" s="303"/>
      <c r="J47" s="303"/>
    </row>
    <row r="48" spans="1:10" x14ac:dyDescent="0.2">
      <c r="A48" s="303"/>
      <c r="B48" s="303"/>
      <c r="C48" s="303"/>
      <c r="D48" s="303"/>
      <c r="E48" s="303"/>
      <c r="F48" s="303"/>
      <c r="G48" s="303"/>
      <c r="H48" s="303"/>
      <c r="I48" s="303"/>
      <c r="J48" s="303"/>
    </row>
    <row r="49" spans="1:10" x14ac:dyDescent="0.2">
      <c r="A49" s="303"/>
      <c r="B49" s="303"/>
      <c r="C49" s="303"/>
      <c r="D49" s="303"/>
      <c r="E49" s="303"/>
      <c r="F49" s="303"/>
      <c r="G49" s="303"/>
      <c r="H49" s="303"/>
      <c r="I49" s="303"/>
      <c r="J49" s="303"/>
    </row>
  </sheetData>
  <mergeCells count="47">
    <mergeCell ref="A1:B5"/>
    <mergeCell ref="C1:G1"/>
    <mergeCell ref="C2:G2"/>
    <mergeCell ref="C3:G3"/>
    <mergeCell ref="H3:H5"/>
    <mergeCell ref="G10:I10"/>
    <mergeCell ref="G13:I13"/>
    <mergeCell ref="G16:I16"/>
    <mergeCell ref="G17:I17"/>
    <mergeCell ref="I3:I5"/>
    <mergeCell ref="D4:G4"/>
    <mergeCell ref="D5:G5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G18:I18"/>
    <mergeCell ref="A31:C31"/>
    <mergeCell ref="F31:G31"/>
    <mergeCell ref="H31:I31"/>
    <mergeCell ref="A32:C32"/>
    <mergeCell ref="F32:G32"/>
    <mergeCell ref="H32:I32"/>
    <mergeCell ref="A30:C30"/>
    <mergeCell ref="F30:G30"/>
    <mergeCell ref="H30:I30"/>
    <mergeCell ref="A33:C33"/>
    <mergeCell ref="F33:G33"/>
    <mergeCell ref="H33:I33"/>
    <mergeCell ref="A34:C34"/>
    <mergeCell ref="F34:G34"/>
    <mergeCell ref="H34:I34"/>
    <mergeCell ref="A41:I41"/>
    <mergeCell ref="A42:I42"/>
    <mergeCell ref="A43:I43"/>
    <mergeCell ref="A44:I44"/>
    <mergeCell ref="A35:I35"/>
    <mergeCell ref="A36:I36"/>
    <mergeCell ref="A37:I37"/>
    <mergeCell ref="A38:I38"/>
    <mergeCell ref="A39:I39"/>
    <mergeCell ref="A40:I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CBC82-BF29-43E1-A5C7-14F78F66113D}">
  <dimension ref="A1:M51"/>
  <sheetViews>
    <sheetView workbookViewId="0">
      <selection activeCell="C11" sqref="C11"/>
    </sheetView>
  </sheetViews>
  <sheetFormatPr baseColWidth="10" defaultRowHeight="12.75" x14ac:dyDescent="0.2"/>
  <cols>
    <col min="3" max="3" width="38.85546875" customWidth="1"/>
  </cols>
  <sheetData>
    <row r="1" spans="1:11" ht="18" x14ac:dyDescent="0.25">
      <c r="A1" s="629"/>
      <c r="B1" s="630"/>
      <c r="C1" s="649" t="s">
        <v>49</v>
      </c>
      <c r="D1" s="649"/>
      <c r="E1" s="649"/>
      <c r="F1" s="649"/>
      <c r="G1" s="649"/>
      <c r="H1" s="67" t="s">
        <v>48</v>
      </c>
      <c r="I1" s="66"/>
    </row>
    <row r="2" spans="1:11" ht="18" x14ac:dyDescent="0.25">
      <c r="A2" s="631"/>
      <c r="B2" s="632"/>
      <c r="C2" s="650" t="s">
        <v>47</v>
      </c>
      <c r="D2" s="650"/>
      <c r="E2" s="650"/>
      <c r="F2" s="650"/>
      <c r="G2" s="650"/>
      <c r="H2" s="65" t="s">
        <v>46</v>
      </c>
      <c r="I2" s="75"/>
    </row>
    <row r="3" spans="1:11" ht="15" x14ac:dyDescent="0.2">
      <c r="A3" s="631"/>
      <c r="B3" s="632"/>
      <c r="C3" s="651" t="s">
        <v>362</v>
      </c>
      <c r="D3" s="652"/>
      <c r="E3" s="652"/>
      <c r="F3" s="652"/>
      <c r="G3" s="653"/>
      <c r="H3" s="654" t="s">
        <v>45</v>
      </c>
      <c r="I3" s="644"/>
    </row>
    <row r="4" spans="1:11" x14ac:dyDescent="0.2">
      <c r="A4" s="631"/>
      <c r="B4" s="632"/>
      <c r="C4" s="64" t="s">
        <v>44</v>
      </c>
      <c r="D4" s="647" t="s">
        <v>43</v>
      </c>
      <c r="E4" s="647"/>
      <c r="F4" s="647"/>
      <c r="G4" s="647"/>
      <c r="H4" s="654"/>
      <c r="I4" s="645"/>
    </row>
    <row r="5" spans="1:11" ht="13.5" thickBot="1" x14ac:dyDescent="0.25">
      <c r="A5" s="633"/>
      <c r="B5" s="634"/>
      <c r="C5" s="63" t="s">
        <v>42</v>
      </c>
      <c r="D5" s="648" t="s">
        <v>41</v>
      </c>
      <c r="E5" s="648"/>
      <c r="F5" s="648"/>
      <c r="G5" s="648"/>
      <c r="H5" s="655"/>
      <c r="I5" s="646"/>
    </row>
    <row r="6" spans="1:11" x14ac:dyDescent="0.2">
      <c r="A6" s="62"/>
      <c r="B6" s="62"/>
      <c r="C6" s="61"/>
      <c r="D6" s="60"/>
      <c r="E6" s="60"/>
      <c r="F6" s="60"/>
      <c r="G6" s="60"/>
      <c r="H6" s="59"/>
      <c r="I6" s="58"/>
    </row>
    <row r="7" spans="1:11" ht="18.75" thickBot="1" x14ac:dyDescent="0.3">
      <c r="A7" s="635" t="s">
        <v>40</v>
      </c>
      <c r="B7" s="635"/>
      <c r="C7" s="635"/>
      <c r="D7" s="636" t="s">
        <v>38</v>
      </c>
      <c r="E7" s="636"/>
      <c r="F7" s="636"/>
      <c r="G7" s="637" t="s">
        <v>39</v>
      </c>
      <c r="H7" s="637"/>
      <c r="I7" s="57" t="s">
        <v>38</v>
      </c>
    </row>
    <row r="8" spans="1:11" ht="25.5" x14ac:dyDescent="0.2">
      <c r="A8" s="638" t="s">
        <v>37</v>
      </c>
      <c r="B8" s="642" t="s">
        <v>54</v>
      </c>
      <c r="C8" s="640" t="s">
        <v>36</v>
      </c>
      <c r="D8" s="640" t="s">
        <v>35</v>
      </c>
      <c r="E8" s="640" t="s">
        <v>34</v>
      </c>
      <c r="F8" s="640"/>
      <c r="G8" s="640" t="s">
        <v>33</v>
      </c>
      <c r="H8" s="640"/>
      <c r="I8" s="56" t="s">
        <v>32</v>
      </c>
    </row>
    <row r="9" spans="1:11" ht="26.25" thickBot="1" x14ac:dyDescent="0.25">
      <c r="A9" s="724"/>
      <c r="B9" s="726"/>
      <c r="C9" s="725"/>
      <c r="D9" s="641"/>
      <c r="E9" s="55" t="s">
        <v>11</v>
      </c>
      <c r="F9" s="54" t="s">
        <v>31</v>
      </c>
      <c r="G9" s="196" t="s">
        <v>11</v>
      </c>
      <c r="H9" s="197" t="s">
        <v>31</v>
      </c>
      <c r="I9" s="568" t="s">
        <v>30</v>
      </c>
    </row>
    <row r="10" spans="1:11" ht="15.75" x14ac:dyDescent="0.25">
      <c r="A10" s="24" t="s">
        <v>29</v>
      </c>
      <c r="B10" s="24" t="s">
        <v>55</v>
      </c>
      <c r="C10" s="564" t="s">
        <v>28</v>
      </c>
      <c r="D10" s="50" t="s">
        <v>26</v>
      </c>
      <c r="E10" s="50">
        <v>300</v>
      </c>
      <c r="F10" s="50" t="s">
        <v>2</v>
      </c>
      <c r="G10" s="570" t="s">
        <v>66</v>
      </c>
      <c r="H10" s="192"/>
      <c r="I10" s="192"/>
    </row>
    <row r="11" spans="1:11" ht="15.75" x14ac:dyDescent="0.25">
      <c r="A11" s="24"/>
      <c r="B11" s="24"/>
      <c r="C11" s="77" t="s">
        <v>67</v>
      </c>
      <c r="D11" s="90" t="s">
        <v>26</v>
      </c>
      <c r="E11" s="90">
        <v>280</v>
      </c>
      <c r="F11" s="90" t="s">
        <v>2</v>
      </c>
      <c r="G11" s="25"/>
      <c r="H11" s="24"/>
      <c r="I11" s="569"/>
      <c r="K11" s="1">
        <v>1560</v>
      </c>
    </row>
    <row r="12" spans="1:11" ht="15.75" x14ac:dyDescent="0.25">
      <c r="A12" s="24"/>
      <c r="B12" s="73" t="s">
        <v>104</v>
      </c>
      <c r="C12" s="41" t="s">
        <v>350</v>
      </c>
      <c r="D12" s="90" t="s">
        <v>26</v>
      </c>
      <c r="E12" s="90">
        <v>40</v>
      </c>
      <c r="F12" s="90" t="s">
        <v>2</v>
      </c>
      <c r="G12" s="25"/>
      <c r="H12" s="24"/>
      <c r="I12" s="569"/>
    </row>
    <row r="13" spans="1:11" ht="15.75" x14ac:dyDescent="0.25">
      <c r="A13" s="73"/>
      <c r="B13" s="74"/>
      <c r="C13" s="28" t="s">
        <v>238</v>
      </c>
      <c r="D13" s="31" t="s">
        <v>26</v>
      </c>
      <c r="E13" s="39">
        <v>700</v>
      </c>
      <c r="F13" s="31" t="s">
        <v>2</v>
      </c>
      <c r="G13" s="192"/>
      <c r="H13" s="192"/>
      <c r="I13" s="192"/>
    </row>
    <row r="14" spans="1:11" ht="15" x14ac:dyDescent="0.2">
      <c r="A14" s="73"/>
      <c r="B14" s="73"/>
      <c r="C14" s="41"/>
      <c r="D14" s="43"/>
      <c r="E14" s="43"/>
      <c r="F14" s="43"/>
      <c r="G14" s="25"/>
      <c r="H14" s="24"/>
      <c r="I14" s="569"/>
    </row>
    <row r="15" spans="1:11" ht="15" x14ac:dyDescent="0.2">
      <c r="A15" s="24"/>
      <c r="B15" s="24"/>
      <c r="C15" s="565" t="s">
        <v>27</v>
      </c>
      <c r="D15" s="43"/>
      <c r="E15" s="43"/>
      <c r="F15" s="43"/>
      <c r="G15" s="25"/>
      <c r="H15" s="24"/>
      <c r="I15" s="569"/>
    </row>
    <row r="16" spans="1:11" ht="15" x14ac:dyDescent="0.2">
      <c r="A16" s="73" t="s">
        <v>135</v>
      </c>
      <c r="B16" s="73" t="s">
        <v>136</v>
      </c>
      <c r="C16" s="41" t="s">
        <v>351</v>
      </c>
      <c r="D16" s="26" t="s">
        <v>26</v>
      </c>
      <c r="E16" s="26">
        <v>60</v>
      </c>
      <c r="F16" s="26" t="s">
        <v>2</v>
      </c>
      <c r="G16" s="570" t="s">
        <v>138</v>
      </c>
      <c r="H16" s="192"/>
      <c r="I16" s="192"/>
    </row>
    <row r="17" spans="1:12" ht="15" x14ac:dyDescent="0.2">
      <c r="A17" s="566"/>
      <c r="B17" s="566"/>
      <c r="C17" s="27" t="s">
        <v>139</v>
      </c>
      <c r="D17" s="26" t="s">
        <v>26</v>
      </c>
      <c r="E17" s="26">
        <v>180</v>
      </c>
      <c r="F17" s="26" t="s">
        <v>2</v>
      </c>
      <c r="G17" s="570"/>
      <c r="H17" s="192"/>
      <c r="I17" s="192"/>
    </row>
    <row r="18" spans="1:12" ht="15.75" x14ac:dyDescent="0.25">
      <c r="A18" s="24"/>
      <c r="B18" s="24"/>
      <c r="C18" s="77"/>
      <c r="D18" s="31"/>
      <c r="E18" s="39"/>
      <c r="F18" s="31"/>
      <c r="G18" s="192"/>
      <c r="H18" s="192"/>
      <c r="I18" s="192"/>
    </row>
    <row r="19" spans="1:12" ht="15.75" x14ac:dyDescent="0.25">
      <c r="A19" s="566"/>
      <c r="B19" s="566"/>
      <c r="C19" s="37" t="s">
        <v>24</v>
      </c>
      <c r="D19" s="26"/>
      <c r="E19" s="26"/>
      <c r="F19" s="26"/>
      <c r="G19" s="25"/>
      <c r="H19" s="24"/>
      <c r="I19" s="569"/>
    </row>
    <row r="20" spans="1:12" ht="15" x14ac:dyDescent="0.2">
      <c r="A20" s="74"/>
      <c r="B20" s="74" t="s">
        <v>352</v>
      </c>
      <c r="C20" s="28" t="s">
        <v>353</v>
      </c>
      <c r="D20" s="26"/>
      <c r="E20" s="26">
        <v>1</v>
      </c>
      <c r="F20" s="26" t="s">
        <v>5</v>
      </c>
      <c r="G20" s="25"/>
      <c r="H20" s="24"/>
      <c r="I20" s="569"/>
    </row>
    <row r="21" spans="1:12" ht="15" x14ac:dyDescent="0.2">
      <c r="A21" s="74">
        <v>703020</v>
      </c>
      <c r="B21" s="74" t="s">
        <v>58</v>
      </c>
      <c r="C21" s="28" t="s">
        <v>23</v>
      </c>
      <c r="D21" s="26" t="s">
        <v>22</v>
      </c>
      <c r="E21" s="26">
        <v>60</v>
      </c>
      <c r="F21" s="26" t="s">
        <v>21</v>
      </c>
      <c r="G21" s="25"/>
      <c r="H21" s="24"/>
      <c r="I21" s="569"/>
    </row>
    <row r="22" spans="1:12" ht="15.75" x14ac:dyDescent="0.25">
      <c r="A22" s="567">
        <v>1950693</v>
      </c>
      <c r="B22" s="567" t="s">
        <v>59</v>
      </c>
      <c r="C22" s="35" t="s">
        <v>20</v>
      </c>
      <c r="D22" s="31" t="s">
        <v>19</v>
      </c>
      <c r="E22" s="31">
        <v>1</v>
      </c>
      <c r="F22" s="31" t="s">
        <v>5</v>
      </c>
      <c r="G22" s="34"/>
      <c r="H22" s="33"/>
      <c r="I22" s="32"/>
    </row>
    <row r="23" spans="1:12" ht="15.75" x14ac:dyDescent="0.25">
      <c r="A23" s="74">
        <v>51400021</v>
      </c>
      <c r="B23" s="74" t="s">
        <v>60</v>
      </c>
      <c r="C23" s="28" t="s">
        <v>18</v>
      </c>
      <c r="D23" s="31" t="s">
        <v>17</v>
      </c>
      <c r="E23" s="31">
        <v>1</v>
      </c>
      <c r="F23" s="31" t="s">
        <v>5</v>
      </c>
      <c r="G23" s="34"/>
      <c r="H23" s="33"/>
      <c r="I23" s="32"/>
    </row>
    <row r="24" spans="1:12" ht="15.75" x14ac:dyDescent="0.25">
      <c r="A24" s="74">
        <v>702123</v>
      </c>
      <c r="B24" s="74" t="s">
        <v>61</v>
      </c>
      <c r="C24" s="28" t="s">
        <v>16</v>
      </c>
      <c r="D24" s="31" t="s">
        <v>14</v>
      </c>
      <c r="E24" s="31">
        <v>1</v>
      </c>
      <c r="F24" s="31" t="s">
        <v>5</v>
      </c>
      <c r="G24" s="25"/>
      <c r="H24" s="24"/>
      <c r="I24" s="30"/>
    </row>
    <row r="25" spans="1:12" ht="15.75" x14ac:dyDescent="0.25">
      <c r="A25" s="74">
        <v>701096</v>
      </c>
      <c r="B25" s="74" t="s">
        <v>62</v>
      </c>
      <c r="C25" s="28" t="s">
        <v>15</v>
      </c>
      <c r="D25" s="31" t="s">
        <v>14</v>
      </c>
      <c r="E25" s="31">
        <v>1</v>
      </c>
      <c r="F25" s="31" t="s">
        <v>5</v>
      </c>
      <c r="G25" s="25"/>
      <c r="H25" s="24"/>
      <c r="I25" s="30"/>
    </row>
    <row r="26" spans="1:12" ht="15" x14ac:dyDescent="0.2">
      <c r="A26" s="74">
        <v>702007</v>
      </c>
      <c r="B26" s="74" t="s">
        <v>63</v>
      </c>
      <c r="C26" s="28" t="s">
        <v>13</v>
      </c>
      <c r="D26" s="27" t="s">
        <v>12</v>
      </c>
      <c r="E26" s="26">
        <v>1</v>
      </c>
      <c r="F26" s="26" t="s">
        <v>5</v>
      </c>
      <c r="G26" s="25"/>
      <c r="H26" s="24"/>
      <c r="I26" s="23"/>
    </row>
    <row r="27" spans="1:12" ht="15" x14ac:dyDescent="0.2">
      <c r="A27" s="74">
        <v>702069</v>
      </c>
      <c r="B27" s="74" t="s">
        <v>64</v>
      </c>
      <c r="C27" s="28" t="s">
        <v>50</v>
      </c>
      <c r="D27" s="26" t="s">
        <v>22</v>
      </c>
      <c r="E27" s="68">
        <v>1</v>
      </c>
      <c r="F27" s="68" t="s">
        <v>5</v>
      </c>
      <c r="G27" s="25"/>
      <c r="H27" s="24"/>
      <c r="I27" s="71"/>
    </row>
    <row r="28" spans="1:12" ht="15" thickBot="1" x14ac:dyDescent="0.25">
      <c r="A28" s="585"/>
      <c r="B28" s="345" t="s">
        <v>354</v>
      </c>
      <c r="C28" s="579" t="s">
        <v>355</v>
      </c>
      <c r="D28" s="580"/>
      <c r="E28" s="581" t="s">
        <v>356</v>
      </c>
      <c r="F28" s="581" t="s">
        <v>5</v>
      </c>
      <c r="G28" s="581" t="s">
        <v>357</v>
      </c>
      <c r="H28" s="385"/>
      <c r="I28" s="24"/>
      <c r="L28" s="3"/>
    </row>
    <row r="29" spans="1:12" ht="15" thickBot="1" x14ac:dyDescent="0.25">
      <c r="A29" s="584"/>
      <c r="B29" s="41"/>
      <c r="C29" s="41"/>
      <c r="D29" s="577"/>
      <c r="E29" s="385"/>
      <c r="F29" s="385"/>
      <c r="G29" s="385"/>
      <c r="H29" s="385"/>
      <c r="I29" s="24"/>
      <c r="L29" s="3"/>
    </row>
    <row r="30" spans="1:12" ht="13.5" thickBot="1" x14ac:dyDescent="0.25">
      <c r="A30" s="17"/>
      <c r="B30" s="571"/>
      <c r="C30" s="572"/>
      <c r="D30" s="573" t="s">
        <v>11</v>
      </c>
      <c r="E30" s="574" t="s">
        <v>10</v>
      </c>
      <c r="F30" s="575"/>
      <c r="G30" s="572"/>
      <c r="H30" s="572"/>
      <c r="I30" s="576"/>
      <c r="L30" s="3"/>
    </row>
    <row r="31" spans="1:12" x14ac:dyDescent="0.2">
      <c r="A31" s="623" t="s">
        <v>9</v>
      </c>
      <c r="B31" s="624"/>
      <c r="C31" s="625"/>
      <c r="D31" s="11">
        <v>1533</v>
      </c>
      <c r="E31" s="10" t="s">
        <v>2</v>
      </c>
      <c r="F31" s="626"/>
      <c r="G31" s="626"/>
      <c r="H31" s="627"/>
      <c r="I31" s="628"/>
      <c r="L31" s="3"/>
    </row>
    <row r="32" spans="1:12" x14ac:dyDescent="0.2">
      <c r="A32" s="603" t="s">
        <v>8</v>
      </c>
      <c r="B32" s="604"/>
      <c r="C32" s="605"/>
      <c r="D32" s="9">
        <v>5</v>
      </c>
      <c r="E32" s="7" t="s">
        <v>7</v>
      </c>
      <c r="F32" s="619"/>
      <c r="G32" s="619"/>
      <c r="H32" s="608"/>
      <c r="I32" s="609"/>
      <c r="L32" s="3"/>
    </row>
    <row r="33" spans="1:13" x14ac:dyDescent="0.2">
      <c r="A33" s="603" t="s">
        <v>6</v>
      </c>
      <c r="B33" s="604"/>
      <c r="C33" s="605"/>
      <c r="D33" s="7">
        <v>1</v>
      </c>
      <c r="E33" s="7" t="s">
        <v>5</v>
      </c>
      <c r="F33" s="619"/>
      <c r="G33" s="619"/>
      <c r="H33" s="608"/>
      <c r="I33" s="609"/>
      <c r="L33" s="3"/>
    </row>
    <row r="34" spans="1:13" x14ac:dyDescent="0.2">
      <c r="A34" s="603" t="s">
        <v>4</v>
      </c>
      <c r="B34" s="604"/>
      <c r="C34" s="605"/>
      <c r="D34" s="8">
        <v>1533</v>
      </c>
      <c r="E34" s="7" t="s">
        <v>2</v>
      </c>
      <c r="F34" s="606"/>
      <c r="G34" s="607"/>
      <c r="H34" s="608"/>
      <c r="I34" s="609"/>
      <c r="L34" s="3"/>
      <c r="M34" s="6"/>
    </row>
    <row r="35" spans="1:13" ht="13.5" thickBot="1" x14ac:dyDescent="0.25">
      <c r="A35" s="610" t="s">
        <v>3</v>
      </c>
      <c r="B35" s="611"/>
      <c r="C35" s="612"/>
      <c r="D35" s="5">
        <v>27</v>
      </c>
      <c r="E35" s="4" t="s">
        <v>2</v>
      </c>
      <c r="F35" s="613"/>
      <c r="G35" s="613"/>
      <c r="H35" s="614"/>
      <c r="I35" s="615"/>
      <c r="L35" s="3"/>
    </row>
    <row r="36" spans="1:13" ht="13.5" thickBot="1" x14ac:dyDescent="0.25">
      <c r="A36" s="591" t="s">
        <v>1</v>
      </c>
      <c r="B36" s="592"/>
      <c r="C36" s="592"/>
      <c r="D36" s="592"/>
      <c r="E36" s="592"/>
      <c r="F36" s="592"/>
      <c r="G36" s="592"/>
      <c r="H36" s="592"/>
      <c r="I36" s="593"/>
    </row>
    <row r="37" spans="1:13" ht="15" x14ac:dyDescent="0.2">
      <c r="A37" s="616" t="s">
        <v>358</v>
      </c>
      <c r="B37" s="617"/>
      <c r="C37" s="617"/>
      <c r="D37" s="617"/>
      <c r="E37" s="617"/>
      <c r="F37" s="617"/>
      <c r="G37" s="617"/>
      <c r="H37" s="617"/>
      <c r="I37" s="618"/>
    </row>
    <row r="38" spans="1:13" ht="15" x14ac:dyDescent="0.25">
      <c r="A38" s="594" t="s">
        <v>359</v>
      </c>
      <c r="B38" s="595"/>
      <c r="C38" s="595"/>
      <c r="D38" s="595"/>
      <c r="E38" s="595"/>
      <c r="F38" s="595"/>
      <c r="G38" s="595"/>
      <c r="H38" s="595"/>
      <c r="I38" s="596"/>
    </row>
    <row r="39" spans="1:13" ht="15" x14ac:dyDescent="0.25">
      <c r="A39" s="594" t="s">
        <v>360</v>
      </c>
      <c r="B39" s="595"/>
      <c r="C39" s="595"/>
      <c r="D39" s="595"/>
      <c r="E39" s="595"/>
      <c r="F39" s="595"/>
      <c r="G39" s="595"/>
      <c r="H39" s="595"/>
      <c r="I39" s="596"/>
    </row>
    <row r="40" spans="1:13" ht="15" x14ac:dyDescent="0.25">
      <c r="A40" s="594" t="s">
        <v>363</v>
      </c>
      <c r="B40" s="595"/>
      <c r="C40" s="595"/>
      <c r="D40" s="595"/>
      <c r="E40" s="595"/>
      <c r="F40" s="595"/>
      <c r="G40" s="595"/>
      <c r="H40" s="595"/>
      <c r="I40" s="596"/>
    </row>
    <row r="41" spans="1:13" ht="15" x14ac:dyDescent="0.25">
      <c r="A41" s="594" t="s">
        <v>51</v>
      </c>
      <c r="B41" s="595"/>
      <c r="C41" s="595"/>
      <c r="D41" s="595"/>
      <c r="E41" s="595"/>
      <c r="F41" s="595"/>
      <c r="G41" s="595"/>
      <c r="H41" s="595"/>
      <c r="I41" s="596"/>
    </row>
    <row r="42" spans="1:13" ht="15" x14ac:dyDescent="0.25">
      <c r="A42" s="594"/>
      <c r="B42" s="595"/>
      <c r="C42" s="595"/>
      <c r="D42" s="595"/>
      <c r="E42" s="595"/>
      <c r="F42" s="595"/>
      <c r="G42" s="595"/>
      <c r="H42" s="595"/>
      <c r="I42" s="596"/>
    </row>
    <row r="43" spans="1:13" ht="14.25" x14ac:dyDescent="0.2">
      <c r="A43" s="597"/>
      <c r="B43" s="598"/>
      <c r="C43" s="598"/>
      <c r="D43" s="598"/>
      <c r="E43" s="598"/>
      <c r="F43" s="598"/>
      <c r="G43" s="598"/>
      <c r="H43" s="598"/>
      <c r="I43" s="599"/>
    </row>
    <row r="44" spans="1:13" ht="14.25" x14ac:dyDescent="0.2">
      <c r="A44" s="597"/>
      <c r="B44" s="598"/>
      <c r="C44" s="598"/>
      <c r="D44" s="598"/>
      <c r="E44" s="598"/>
      <c r="F44" s="598"/>
      <c r="G44" s="598"/>
      <c r="H44" s="598"/>
      <c r="I44" s="599"/>
    </row>
    <row r="45" spans="1:13" ht="15" thickBot="1" x14ac:dyDescent="0.25">
      <c r="A45" s="600"/>
      <c r="B45" s="601"/>
      <c r="C45" s="601"/>
      <c r="D45" s="601"/>
      <c r="E45" s="601"/>
      <c r="F45" s="601"/>
      <c r="G45" s="601"/>
      <c r="H45" s="601"/>
      <c r="I45" s="602"/>
    </row>
    <row r="46" spans="1:13" ht="13.5" thickBot="1" x14ac:dyDescent="0.25">
      <c r="A46" s="591" t="s">
        <v>52</v>
      </c>
      <c r="B46" s="592"/>
      <c r="C46" s="592"/>
      <c r="D46" s="592"/>
      <c r="E46" s="592"/>
      <c r="F46" s="592"/>
      <c r="G46" s="592"/>
      <c r="H46" s="592"/>
      <c r="I46" s="593"/>
    </row>
    <row r="47" spans="1:13" x14ac:dyDescent="0.2">
      <c r="A47" s="2"/>
      <c r="B47" s="2"/>
      <c r="C47" s="2"/>
    </row>
    <row r="48" spans="1:13" x14ac:dyDescent="0.2">
      <c r="A48" s="2"/>
      <c r="B48" s="2"/>
    </row>
    <row r="49" spans="1:2" x14ac:dyDescent="0.2">
      <c r="A49" s="76"/>
      <c r="B49" s="76"/>
    </row>
    <row r="50" spans="1:2" x14ac:dyDescent="0.2">
      <c r="A50" s="76"/>
      <c r="B50" s="76"/>
    </row>
    <row r="51" spans="1:2" x14ac:dyDescent="0.2">
      <c r="A51" s="76"/>
      <c r="B51" s="76"/>
    </row>
  </sheetData>
  <mergeCells count="43">
    <mergeCell ref="A46:I46"/>
    <mergeCell ref="A42:I42"/>
    <mergeCell ref="A43:I43"/>
    <mergeCell ref="A44:I44"/>
    <mergeCell ref="A45:I45"/>
    <mergeCell ref="A33:C33"/>
    <mergeCell ref="F33:G33"/>
    <mergeCell ref="H33:I33"/>
    <mergeCell ref="A41:I41"/>
    <mergeCell ref="A34:C34"/>
    <mergeCell ref="F34:G34"/>
    <mergeCell ref="H34:I34"/>
    <mergeCell ref="A35:C35"/>
    <mergeCell ref="F35:G35"/>
    <mergeCell ref="H35:I35"/>
    <mergeCell ref="A36:I36"/>
    <mergeCell ref="A37:I37"/>
    <mergeCell ref="A38:I38"/>
    <mergeCell ref="A39:I39"/>
    <mergeCell ref="A40:I40"/>
    <mergeCell ref="B8:B9"/>
    <mergeCell ref="I3:I5"/>
    <mergeCell ref="D4:G4"/>
    <mergeCell ref="D5:G5"/>
    <mergeCell ref="A32:C32"/>
    <mergeCell ref="F32:G32"/>
    <mergeCell ref="H32:I32"/>
    <mergeCell ref="C1:G1"/>
    <mergeCell ref="C2:G2"/>
    <mergeCell ref="C3:G3"/>
    <mergeCell ref="H3:H5"/>
    <mergeCell ref="A31:C31"/>
    <mergeCell ref="F31:G31"/>
    <mergeCell ref="H31:I31"/>
    <mergeCell ref="A1:B5"/>
    <mergeCell ref="A7:C7"/>
    <mergeCell ref="D7:F7"/>
    <mergeCell ref="G7:H7"/>
    <mergeCell ref="A8:A9"/>
    <mergeCell ref="C8:C9"/>
    <mergeCell ref="D8:D9"/>
    <mergeCell ref="E8:F8"/>
    <mergeCell ref="G8:H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07CE4-6C38-432D-96C3-83343B10CAEA}">
  <dimension ref="A1:M52"/>
  <sheetViews>
    <sheetView topLeftCell="A36" workbookViewId="0">
      <selection activeCell="C20" sqref="C20"/>
    </sheetView>
  </sheetViews>
  <sheetFormatPr baseColWidth="10" defaultRowHeight="12.75" x14ac:dyDescent="0.2"/>
  <cols>
    <col min="3" max="3" width="34.5703125" customWidth="1"/>
  </cols>
  <sheetData>
    <row r="1" spans="1:11" ht="18" x14ac:dyDescent="0.25">
      <c r="A1" s="629"/>
      <c r="B1" s="630"/>
      <c r="C1" s="649" t="s">
        <v>49</v>
      </c>
      <c r="D1" s="649"/>
      <c r="E1" s="649"/>
      <c r="F1" s="649"/>
      <c r="G1" s="649"/>
      <c r="H1" s="67" t="s">
        <v>48</v>
      </c>
      <c r="I1" s="66"/>
    </row>
    <row r="2" spans="1:11" ht="18" x14ac:dyDescent="0.25">
      <c r="A2" s="631"/>
      <c r="B2" s="632"/>
      <c r="C2" s="650" t="s">
        <v>47</v>
      </c>
      <c r="D2" s="650"/>
      <c r="E2" s="650"/>
      <c r="F2" s="650"/>
      <c r="G2" s="650"/>
      <c r="H2" s="65" t="s">
        <v>46</v>
      </c>
      <c r="I2" s="75"/>
    </row>
    <row r="3" spans="1:11" ht="15" x14ac:dyDescent="0.2">
      <c r="A3" s="631"/>
      <c r="B3" s="632"/>
      <c r="C3" s="651" t="s">
        <v>362</v>
      </c>
      <c r="D3" s="652"/>
      <c r="E3" s="652"/>
      <c r="F3" s="652"/>
      <c r="G3" s="653"/>
      <c r="H3" s="654" t="s">
        <v>45</v>
      </c>
      <c r="I3" s="644"/>
    </row>
    <row r="4" spans="1:11" x14ac:dyDescent="0.2">
      <c r="A4" s="631"/>
      <c r="B4" s="632"/>
      <c r="C4" s="64" t="s">
        <v>44</v>
      </c>
      <c r="D4" s="647" t="s">
        <v>43</v>
      </c>
      <c r="E4" s="647"/>
      <c r="F4" s="647"/>
      <c r="G4" s="647"/>
      <c r="H4" s="654"/>
      <c r="I4" s="645"/>
    </row>
    <row r="5" spans="1:11" ht="13.5" thickBot="1" x14ac:dyDescent="0.25">
      <c r="A5" s="633"/>
      <c r="B5" s="634"/>
      <c r="C5" s="63" t="s">
        <v>42</v>
      </c>
      <c r="D5" s="648" t="s">
        <v>41</v>
      </c>
      <c r="E5" s="648"/>
      <c r="F5" s="648"/>
      <c r="G5" s="648"/>
      <c r="H5" s="655"/>
      <c r="I5" s="646"/>
    </row>
    <row r="6" spans="1:11" x14ac:dyDescent="0.2">
      <c r="A6" s="62"/>
      <c r="B6" s="62"/>
      <c r="C6" s="61"/>
      <c r="D6" s="60"/>
      <c r="E6" s="60"/>
      <c r="F6" s="60"/>
      <c r="G6" s="60"/>
      <c r="H6" s="59"/>
      <c r="I6" s="58"/>
    </row>
    <row r="7" spans="1:11" ht="18.75" thickBot="1" x14ac:dyDescent="0.3">
      <c r="A7" s="635" t="s">
        <v>40</v>
      </c>
      <c r="B7" s="635"/>
      <c r="C7" s="635"/>
      <c r="D7" s="636" t="s">
        <v>38</v>
      </c>
      <c r="E7" s="636"/>
      <c r="F7" s="636"/>
      <c r="G7" s="637" t="s">
        <v>39</v>
      </c>
      <c r="H7" s="637"/>
      <c r="I7" s="57" t="s">
        <v>38</v>
      </c>
    </row>
    <row r="8" spans="1:11" ht="25.5" x14ac:dyDescent="0.2">
      <c r="A8" s="638" t="s">
        <v>37</v>
      </c>
      <c r="B8" s="642" t="s">
        <v>54</v>
      </c>
      <c r="C8" s="640" t="s">
        <v>36</v>
      </c>
      <c r="D8" s="640" t="s">
        <v>35</v>
      </c>
      <c r="E8" s="640" t="s">
        <v>34</v>
      </c>
      <c r="F8" s="640"/>
      <c r="G8" s="640" t="s">
        <v>33</v>
      </c>
      <c r="H8" s="640"/>
      <c r="I8" s="56" t="s">
        <v>32</v>
      </c>
    </row>
    <row r="9" spans="1:11" ht="26.25" thickBot="1" x14ac:dyDescent="0.25">
      <c r="A9" s="724"/>
      <c r="B9" s="726"/>
      <c r="C9" s="725"/>
      <c r="D9" s="641"/>
      <c r="E9" s="55" t="s">
        <v>11</v>
      </c>
      <c r="F9" s="54" t="s">
        <v>31</v>
      </c>
      <c r="G9" s="196" t="s">
        <v>11</v>
      </c>
      <c r="H9" s="197" t="s">
        <v>31</v>
      </c>
      <c r="I9" s="568" t="s">
        <v>30</v>
      </c>
    </row>
    <row r="10" spans="1:11" ht="15.75" x14ac:dyDescent="0.25">
      <c r="A10" s="24" t="s">
        <v>29</v>
      </c>
      <c r="B10" s="24" t="s">
        <v>55</v>
      </c>
      <c r="C10" s="564" t="s">
        <v>28</v>
      </c>
      <c r="D10" s="50" t="s">
        <v>26</v>
      </c>
      <c r="E10" s="50">
        <v>280</v>
      </c>
      <c r="F10" s="50" t="s">
        <v>2</v>
      </c>
      <c r="G10" s="570" t="s">
        <v>66</v>
      </c>
      <c r="H10" s="192"/>
      <c r="I10" s="192"/>
    </row>
    <row r="11" spans="1:11" ht="15.75" x14ac:dyDescent="0.25">
      <c r="A11" s="24"/>
      <c r="B11" s="24"/>
      <c r="C11" s="77" t="s">
        <v>67</v>
      </c>
      <c r="D11" s="90" t="s">
        <v>26</v>
      </c>
      <c r="E11" s="90">
        <v>280</v>
      </c>
      <c r="F11" s="90" t="s">
        <v>2</v>
      </c>
      <c r="G11" s="25"/>
      <c r="H11" s="24"/>
      <c r="I11" s="569"/>
      <c r="K11" s="1">
        <v>1525</v>
      </c>
    </row>
    <row r="12" spans="1:11" ht="15.75" x14ac:dyDescent="0.25">
      <c r="A12" s="24"/>
      <c r="B12" s="73" t="s">
        <v>104</v>
      </c>
      <c r="C12" s="41" t="s">
        <v>350</v>
      </c>
      <c r="D12" s="90" t="s">
        <v>26</v>
      </c>
      <c r="E12" s="90">
        <v>35</v>
      </c>
      <c r="F12" s="90" t="s">
        <v>2</v>
      </c>
      <c r="G12" s="25"/>
      <c r="H12" s="24"/>
      <c r="I12" s="569"/>
    </row>
    <row r="13" spans="1:11" ht="15.75" x14ac:dyDescent="0.25">
      <c r="A13" s="73"/>
      <c r="B13" s="74"/>
      <c r="C13" s="28" t="s">
        <v>238</v>
      </c>
      <c r="D13" s="31" t="s">
        <v>26</v>
      </c>
      <c r="E13" s="39">
        <v>700</v>
      </c>
      <c r="F13" s="31" t="s">
        <v>2</v>
      </c>
      <c r="G13" s="192"/>
      <c r="H13" s="192"/>
      <c r="I13" s="192"/>
    </row>
    <row r="14" spans="1:11" ht="15" x14ac:dyDescent="0.2">
      <c r="A14" s="73"/>
      <c r="B14" s="73"/>
      <c r="C14" s="41"/>
      <c r="D14" s="43"/>
      <c r="E14" s="43"/>
      <c r="F14" s="43"/>
      <c r="G14" s="25"/>
      <c r="H14" s="24"/>
      <c r="I14" s="569"/>
    </row>
    <row r="15" spans="1:11" ht="15" x14ac:dyDescent="0.2">
      <c r="A15" s="24"/>
      <c r="B15" s="24"/>
      <c r="C15" s="565" t="s">
        <v>27</v>
      </c>
      <c r="D15" s="43"/>
      <c r="E15" s="43"/>
      <c r="F15" s="43"/>
      <c r="G15" s="25"/>
      <c r="H15" s="24"/>
      <c r="I15" s="569"/>
    </row>
    <row r="16" spans="1:11" ht="15" x14ac:dyDescent="0.2">
      <c r="B16" s="73" t="s">
        <v>239</v>
      </c>
      <c r="C16" s="41" t="s">
        <v>366</v>
      </c>
      <c r="D16" s="26" t="s">
        <v>26</v>
      </c>
      <c r="E16" s="26">
        <v>50</v>
      </c>
      <c r="F16" s="26" t="s">
        <v>2</v>
      </c>
      <c r="G16" s="570" t="s">
        <v>138</v>
      </c>
      <c r="H16" s="192"/>
      <c r="I16" s="192"/>
    </row>
    <row r="17" spans="1:12" ht="15" x14ac:dyDescent="0.2">
      <c r="A17" s="566"/>
      <c r="B17" s="566"/>
      <c r="C17" s="577" t="s">
        <v>139</v>
      </c>
      <c r="D17" s="26" t="s">
        <v>26</v>
      </c>
      <c r="E17" s="26">
        <v>180</v>
      </c>
      <c r="F17" s="26" t="s">
        <v>2</v>
      </c>
      <c r="G17" s="570"/>
      <c r="H17" s="192"/>
      <c r="I17" s="192"/>
    </row>
    <row r="18" spans="1:12" ht="15" x14ac:dyDescent="0.2">
      <c r="A18" s="566"/>
      <c r="B18" s="73" t="s">
        <v>56</v>
      </c>
      <c r="C18" t="s">
        <v>120</v>
      </c>
      <c r="D18" s="26" t="s">
        <v>25</v>
      </c>
      <c r="E18" s="26">
        <v>10</v>
      </c>
      <c r="F18" s="26" t="s">
        <v>2</v>
      </c>
      <c r="G18" s="570"/>
      <c r="H18" s="192"/>
      <c r="I18" s="192"/>
    </row>
    <row r="19" spans="1:12" ht="15.75" x14ac:dyDescent="0.25">
      <c r="A19" s="24"/>
      <c r="B19" s="24"/>
      <c r="C19" s="77"/>
      <c r="D19" s="31"/>
      <c r="E19" s="39"/>
      <c r="F19" s="31"/>
      <c r="G19" s="192"/>
      <c r="H19" s="192"/>
      <c r="I19" s="192"/>
    </row>
    <row r="20" spans="1:12" ht="15.75" x14ac:dyDescent="0.25">
      <c r="A20" s="566"/>
      <c r="B20" s="566"/>
      <c r="C20" s="37" t="s">
        <v>24</v>
      </c>
      <c r="D20" s="26"/>
      <c r="E20" s="26"/>
      <c r="F20" s="26"/>
      <c r="G20" s="25"/>
      <c r="H20" s="24"/>
      <c r="I20" s="569"/>
    </row>
    <row r="21" spans="1:12" ht="15" x14ac:dyDescent="0.2">
      <c r="A21" s="74"/>
      <c r="B21" s="74" t="s">
        <v>352</v>
      </c>
      <c r="C21" s="28" t="s">
        <v>353</v>
      </c>
      <c r="D21" s="26"/>
      <c r="E21" s="26">
        <v>1</v>
      </c>
      <c r="F21" s="26" t="s">
        <v>5</v>
      </c>
      <c r="G21" s="25"/>
      <c r="H21" s="24"/>
      <c r="I21" s="569"/>
    </row>
    <row r="22" spans="1:12" ht="15" x14ac:dyDescent="0.2">
      <c r="A22" s="74">
        <v>703020</v>
      </c>
      <c r="B22" s="74" t="s">
        <v>58</v>
      </c>
      <c r="C22" s="28" t="s">
        <v>23</v>
      </c>
      <c r="D22" s="26" t="s">
        <v>22</v>
      </c>
      <c r="E22" s="26">
        <v>60</v>
      </c>
      <c r="F22" s="26" t="s">
        <v>21</v>
      </c>
      <c r="G22" s="25"/>
      <c r="H22" s="24"/>
      <c r="I22" s="569"/>
    </row>
    <row r="23" spans="1:12" ht="15.75" x14ac:dyDescent="0.25">
      <c r="A23" s="567">
        <v>1950693</v>
      </c>
      <c r="B23" s="567" t="s">
        <v>59</v>
      </c>
      <c r="C23" s="35" t="s">
        <v>20</v>
      </c>
      <c r="D23" s="31" t="s">
        <v>19</v>
      </c>
      <c r="E23" s="31">
        <v>1</v>
      </c>
      <c r="F23" s="31" t="s">
        <v>5</v>
      </c>
      <c r="G23" s="34"/>
      <c r="H23" s="33"/>
      <c r="I23" s="32"/>
    </row>
    <row r="24" spans="1:12" ht="15.75" x14ac:dyDescent="0.25">
      <c r="A24" s="74">
        <v>51400021</v>
      </c>
      <c r="B24" s="74" t="s">
        <v>60</v>
      </c>
      <c r="C24" s="28" t="s">
        <v>18</v>
      </c>
      <c r="D24" s="31" t="s">
        <v>17</v>
      </c>
      <c r="E24" s="31">
        <v>1</v>
      </c>
      <c r="F24" s="31" t="s">
        <v>5</v>
      </c>
      <c r="G24" s="34"/>
      <c r="H24" s="33"/>
      <c r="I24" s="32"/>
    </row>
    <row r="25" spans="1:12" ht="15.75" x14ac:dyDescent="0.25">
      <c r="A25" s="74">
        <v>702123</v>
      </c>
      <c r="B25" s="74" t="s">
        <v>61</v>
      </c>
      <c r="C25" s="28" t="s">
        <v>16</v>
      </c>
      <c r="D25" s="31" t="s">
        <v>14</v>
      </c>
      <c r="E25" s="31">
        <v>1</v>
      </c>
      <c r="F25" s="31" t="s">
        <v>5</v>
      </c>
      <c r="G25" s="25"/>
      <c r="H25" s="24"/>
      <c r="I25" s="30"/>
    </row>
    <row r="26" spans="1:12" ht="15.75" x14ac:dyDescent="0.25">
      <c r="A26" s="74">
        <v>701096</v>
      </c>
      <c r="B26" s="74" t="s">
        <v>62</v>
      </c>
      <c r="C26" s="28" t="s">
        <v>15</v>
      </c>
      <c r="D26" s="31" t="s">
        <v>14</v>
      </c>
      <c r="E26" s="31">
        <v>1</v>
      </c>
      <c r="F26" s="31" t="s">
        <v>5</v>
      </c>
      <c r="G26" s="25"/>
      <c r="H26" s="24"/>
      <c r="I26" s="30"/>
    </row>
    <row r="27" spans="1:12" ht="15" x14ac:dyDescent="0.2">
      <c r="A27" s="74">
        <v>702007</v>
      </c>
      <c r="B27" s="74" t="s">
        <v>63</v>
      </c>
      <c r="C27" s="28" t="s">
        <v>13</v>
      </c>
      <c r="D27" s="27" t="s">
        <v>12</v>
      </c>
      <c r="E27" s="26">
        <v>1</v>
      </c>
      <c r="F27" s="26" t="s">
        <v>5</v>
      </c>
      <c r="G27" s="25"/>
      <c r="H27" s="24"/>
      <c r="I27" s="23"/>
    </row>
    <row r="28" spans="1:12" ht="15" x14ac:dyDescent="0.2">
      <c r="A28" s="74">
        <v>702069</v>
      </c>
      <c r="B28" s="74" t="s">
        <v>64</v>
      </c>
      <c r="C28" s="28" t="s">
        <v>50</v>
      </c>
      <c r="D28" s="26" t="s">
        <v>22</v>
      </c>
      <c r="E28" s="68">
        <v>1</v>
      </c>
      <c r="F28" s="68" t="s">
        <v>5</v>
      </c>
      <c r="G28" s="25"/>
      <c r="H28" s="24"/>
      <c r="I28" s="71"/>
    </row>
    <row r="29" spans="1:12" ht="15" thickBot="1" x14ac:dyDescent="0.25">
      <c r="A29" s="585"/>
      <c r="B29" s="345" t="s">
        <v>354</v>
      </c>
      <c r="C29" s="579" t="s">
        <v>355</v>
      </c>
      <c r="D29" s="580"/>
      <c r="E29" s="581" t="s">
        <v>356</v>
      </c>
      <c r="F29" s="581" t="s">
        <v>5</v>
      </c>
      <c r="G29" s="581" t="s">
        <v>357</v>
      </c>
      <c r="H29" s="385"/>
      <c r="I29" s="24"/>
      <c r="L29" s="3"/>
    </row>
    <row r="30" spans="1:12" ht="15" thickBot="1" x14ac:dyDescent="0.25">
      <c r="A30" s="584"/>
      <c r="B30" s="41"/>
      <c r="C30" s="41"/>
      <c r="D30" s="577"/>
      <c r="E30" s="385"/>
      <c r="F30" s="385"/>
      <c r="G30" s="385"/>
      <c r="H30" s="385"/>
      <c r="I30" s="24"/>
      <c r="L30" s="3"/>
    </row>
    <row r="31" spans="1:12" ht="13.5" thickBot="1" x14ac:dyDescent="0.25">
      <c r="A31" s="17"/>
      <c r="B31" s="571"/>
      <c r="C31" s="572"/>
      <c r="D31" s="573" t="s">
        <v>11</v>
      </c>
      <c r="E31" s="574" t="s">
        <v>10</v>
      </c>
      <c r="F31" s="575"/>
      <c r="G31" s="572"/>
      <c r="H31" s="572"/>
      <c r="I31" s="576"/>
      <c r="L31" s="3"/>
    </row>
    <row r="32" spans="1:12" x14ac:dyDescent="0.2">
      <c r="A32" s="623" t="s">
        <v>9</v>
      </c>
      <c r="B32" s="624"/>
      <c r="C32" s="625"/>
      <c r="D32" s="11">
        <v>1533</v>
      </c>
      <c r="E32" s="10" t="s">
        <v>2</v>
      </c>
      <c r="F32" s="626"/>
      <c r="G32" s="626"/>
      <c r="H32" s="627"/>
      <c r="I32" s="628"/>
      <c r="L32" s="3"/>
    </row>
    <row r="33" spans="1:13" x14ac:dyDescent="0.2">
      <c r="A33" s="603" t="s">
        <v>8</v>
      </c>
      <c r="B33" s="604"/>
      <c r="C33" s="605"/>
      <c r="D33" s="9">
        <v>5</v>
      </c>
      <c r="E33" s="7" t="s">
        <v>7</v>
      </c>
      <c r="F33" s="619"/>
      <c r="G33" s="619"/>
      <c r="H33" s="608"/>
      <c r="I33" s="609"/>
      <c r="L33" s="3"/>
    </row>
    <row r="34" spans="1:13" x14ac:dyDescent="0.2">
      <c r="A34" s="603" t="s">
        <v>6</v>
      </c>
      <c r="B34" s="604"/>
      <c r="C34" s="605"/>
      <c r="D34" s="7">
        <v>1</v>
      </c>
      <c r="E34" s="7" t="s">
        <v>5</v>
      </c>
      <c r="F34" s="619"/>
      <c r="G34" s="619"/>
      <c r="H34" s="608"/>
      <c r="I34" s="609"/>
      <c r="L34" s="3"/>
    </row>
    <row r="35" spans="1:13" x14ac:dyDescent="0.2">
      <c r="A35" s="603" t="s">
        <v>4</v>
      </c>
      <c r="B35" s="604"/>
      <c r="C35" s="605"/>
      <c r="D35" s="8">
        <v>1533</v>
      </c>
      <c r="E35" s="7" t="s">
        <v>2</v>
      </c>
      <c r="F35" s="606"/>
      <c r="G35" s="607"/>
      <c r="H35" s="608"/>
      <c r="I35" s="609"/>
      <c r="L35" s="3"/>
      <c r="M35" s="6"/>
    </row>
    <row r="36" spans="1:13" ht="13.5" thickBot="1" x14ac:dyDescent="0.25">
      <c r="A36" s="610" t="s">
        <v>3</v>
      </c>
      <c r="B36" s="611"/>
      <c r="C36" s="612"/>
      <c r="D36" s="5">
        <v>2</v>
      </c>
      <c r="E36" s="4" t="s">
        <v>2</v>
      </c>
      <c r="F36" s="613"/>
      <c r="G36" s="613"/>
      <c r="H36" s="614"/>
      <c r="I36" s="615"/>
      <c r="L36" s="3"/>
    </row>
    <row r="37" spans="1:13" ht="13.5" thickBot="1" x14ac:dyDescent="0.25">
      <c r="A37" s="591" t="s">
        <v>1</v>
      </c>
      <c r="B37" s="592"/>
      <c r="C37" s="592"/>
      <c r="D37" s="592"/>
      <c r="E37" s="592"/>
      <c r="F37" s="592"/>
      <c r="G37" s="592"/>
      <c r="H37" s="592"/>
      <c r="I37" s="593"/>
    </row>
    <row r="38" spans="1:13" ht="15" x14ac:dyDescent="0.2">
      <c r="A38" s="616" t="s">
        <v>358</v>
      </c>
      <c r="B38" s="617"/>
      <c r="C38" s="617"/>
      <c r="D38" s="617"/>
      <c r="E38" s="617"/>
      <c r="F38" s="617"/>
      <c r="G38" s="617"/>
      <c r="H38" s="617"/>
      <c r="I38" s="618"/>
    </row>
    <row r="39" spans="1:13" ht="15" x14ac:dyDescent="0.25">
      <c r="A39" s="594" t="s">
        <v>359</v>
      </c>
      <c r="B39" s="595"/>
      <c r="C39" s="595"/>
      <c r="D39" s="595"/>
      <c r="E39" s="595"/>
      <c r="F39" s="595"/>
      <c r="G39" s="595"/>
      <c r="H39" s="595"/>
      <c r="I39" s="596"/>
    </row>
    <row r="40" spans="1:13" ht="15" x14ac:dyDescent="0.25">
      <c r="A40" s="594" t="s">
        <v>360</v>
      </c>
      <c r="B40" s="595"/>
      <c r="C40" s="595"/>
      <c r="D40" s="595"/>
      <c r="E40" s="595"/>
      <c r="F40" s="595"/>
      <c r="G40" s="595"/>
      <c r="H40" s="595"/>
      <c r="I40" s="596"/>
    </row>
    <row r="41" spans="1:13" ht="15" x14ac:dyDescent="0.25">
      <c r="A41" s="594" t="s">
        <v>363</v>
      </c>
      <c r="B41" s="595"/>
      <c r="C41" s="595"/>
      <c r="D41" s="595"/>
      <c r="E41" s="595"/>
      <c r="F41" s="595"/>
      <c r="G41" s="595"/>
      <c r="H41" s="595"/>
      <c r="I41" s="596"/>
    </row>
    <row r="42" spans="1:13" ht="15" x14ac:dyDescent="0.25">
      <c r="A42" s="594" t="s">
        <v>51</v>
      </c>
      <c r="B42" s="595"/>
      <c r="C42" s="595"/>
      <c r="D42" s="595"/>
      <c r="E42" s="595"/>
      <c r="F42" s="595"/>
      <c r="G42" s="595"/>
      <c r="H42" s="595"/>
      <c r="I42" s="596"/>
    </row>
    <row r="43" spans="1:13" ht="15" x14ac:dyDescent="0.25">
      <c r="A43" s="594"/>
      <c r="B43" s="595"/>
      <c r="C43" s="595"/>
      <c r="D43" s="595"/>
      <c r="E43" s="595"/>
      <c r="F43" s="595"/>
      <c r="G43" s="595"/>
      <c r="H43" s="595"/>
      <c r="I43" s="596"/>
    </row>
    <row r="44" spans="1:13" ht="14.25" x14ac:dyDescent="0.2">
      <c r="A44" s="597"/>
      <c r="B44" s="598"/>
      <c r="C44" s="598"/>
      <c r="D44" s="598"/>
      <c r="E44" s="598"/>
      <c r="F44" s="598"/>
      <c r="G44" s="598"/>
      <c r="H44" s="598"/>
      <c r="I44" s="599"/>
    </row>
    <row r="45" spans="1:13" ht="14.25" x14ac:dyDescent="0.2">
      <c r="A45" s="597"/>
      <c r="B45" s="598"/>
      <c r="C45" s="598"/>
      <c r="D45" s="598"/>
      <c r="E45" s="598"/>
      <c r="F45" s="598"/>
      <c r="G45" s="598"/>
      <c r="H45" s="598"/>
      <c r="I45" s="599"/>
    </row>
    <row r="46" spans="1:13" ht="15" thickBot="1" x14ac:dyDescent="0.25">
      <c r="A46" s="600"/>
      <c r="B46" s="601"/>
      <c r="C46" s="601"/>
      <c r="D46" s="601"/>
      <c r="E46" s="601"/>
      <c r="F46" s="601"/>
      <c r="G46" s="601"/>
      <c r="H46" s="601"/>
      <c r="I46" s="602"/>
    </row>
    <row r="47" spans="1:13" ht="13.5" thickBot="1" x14ac:dyDescent="0.25">
      <c r="A47" s="591" t="s">
        <v>52</v>
      </c>
      <c r="B47" s="592"/>
      <c r="C47" s="592"/>
      <c r="D47" s="592"/>
      <c r="E47" s="592"/>
      <c r="F47" s="592"/>
      <c r="G47" s="592"/>
      <c r="H47" s="592"/>
      <c r="I47" s="593"/>
    </row>
    <row r="48" spans="1:13" x14ac:dyDescent="0.2">
      <c r="A48" s="2"/>
      <c r="B48" s="2"/>
      <c r="C48" s="2"/>
    </row>
    <row r="49" spans="1:2" x14ac:dyDescent="0.2">
      <c r="A49" s="2"/>
      <c r="B49" s="2"/>
    </row>
    <row r="50" spans="1:2" x14ac:dyDescent="0.2">
      <c r="A50" s="76"/>
      <c r="B50" s="76"/>
    </row>
    <row r="51" spans="1:2" x14ac:dyDescent="0.2">
      <c r="A51" s="76"/>
      <c r="B51" s="76"/>
    </row>
    <row r="52" spans="1:2" x14ac:dyDescent="0.2">
      <c r="A52" s="76"/>
      <c r="B52" s="76"/>
    </row>
  </sheetData>
  <mergeCells count="43">
    <mergeCell ref="F34:G34"/>
    <mergeCell ref="H34:I34"/>
    <mergeCell ref="A42:I42"/>
    <mergeCell ref="A35:C35"/>
    <mergeCell ref="F35:G35"/>
    <mergeCell ref="H35:I35"/>
    <mergeCell ref="A36:C36"/>
    <mergeCell ref="F36:G36"/>
    <mergeCell ref="H36:I36"/>
    <mergeCell ref="A37:I37"/>
    <mergeCell ref="A38:I38"/>
    <mergeCell ref="A39:I39"/>
    <mergeCell ref="A40:I40"/>
    <mergeCell ref="A41:I41"/>
    <mergeCell ref="A34:C34"/>
    <mergeCell ref="C1:G1"/>
    <mergeCell ref="C2:G2"/>
    <mergeCell ref="C3:G3"/>
    <mergeCell ref="H3:H5"/>
    <mergeCell ref="A32:C32"/>
    <mergeCell ref="F32:G32"/>
    <mergeCell ref="H32:I32"/>
    <mergeCell ref="A1:B5"/>
    <mergeCell ref="A7:C7"/>
    <mergeCell ref="D7:F7"/>
    <mergeCell ref="G7:H7"/>
    <mergeCell ref="A8:A9"/>
    <mergeCell ref="C8:C9"/>
    <mergeCell ref="D8:D9"/>
    <mergeCell ref="E8:F8"/>
    <mergeCell ref="G8:H8"/>
    <mergeCell ref="A47:I47"/>
    <mergeCell ref="A43:I43"/>
    <mergeCell ref="A44:I44"/>
    <mergeCell ref="A45:I45"/>
    <mergeCell ref="A46:I46"/>
    <mergeCell ref="B8:B9"/>
    <mergeCell ref="I3:I5"/>
    <mergeCell ref="D4:G4"/>
    <mergeCell ref="D5:G5"/>
    <mergeCell ref="A33:C33"/>
    <mergeCell ref="F33:G33"/>
    <mergeCell ref="H33:I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92E6-BFF4-4A61-8B7C-0C854652E0DB}">
  <dimension ref="A1:Q92"/>
  <sheetViews>
    <sheetView topLeftCell="A52" workbookViewId="0">
      <selection activeCell="A18" sqref="A18"/>
    </sheetView>
  </sheetViews>
  <sheetFormatPr baseColWidth="10" defaultColWidth="8.42578125" defaultRowHeight="12.75" x14ac:dyDescent="0.2"/>
  <cols>
    <col min="1" max="1" width="10" style="208" bestFit="1" customWidth="1"/>
    <col min="2" max="2" width="44.28515625" style="208" bestFit="1" customWidth="1"/>
    <col min="3" max="3" width="10.42578125" style="208" bestFit="1" customWidth="1"/>
    <col min="4" max="4" width="10.42578125" style="208" customWidth="1"/>
    <col min="5" max="5" width="9.7109375" style="208" bestFit="1" customWidth="1"/>
    <col min="6" max="6" width="9.5703125" style="208" bestFit="1" customWidth="1"/>
    <col min="7" max="7" width="9.5703125" style="290" bestFit="1" customWidth="1"/>
    <col min="8" max="8" width="10.42578125" style="281" bestFit="1" customWidth="1"/>
    <col min="9" max="9" width="4.5703125" style="281" customWidth="1"/>
    <col min="10" max="10" width="1.85546875" style="207" customWidth="1"/>
    <col min="11" max="11" width="7" style="208" bestFit="1" customWidth="1"/>
    <col min="12" max="12" width="6.28515625" style="208" customWidth="1"/>
    <col min="13" max="13" width="20.42578125" style="208" customWidth="1"/>
    <col min="14" max="14" width="6.42578125" style="208" bestFit="1" customWidth="1"/>
    <col min="15" max="15" width="9.28515625" style="208" bestFit="1" customWidth="1"/>
    <col min="16" max="16" width="8.42578125" style="208"/>
    <col min="17" max="17" width="3.28515625" style="208" customWidth="1"/>
    <col min="18" max="256" width="8.42578125" style="208"/>
    <col min="257" max="257" width="10" style="208" bestFit="1" customWidth="1"/>
    <col min="258" max="258" width="44.28515625" style="208" bestFit="1" customWidth="1"/>
    <col min="259" max="259" width="10.42578125" style="208" bestFit="1" customWidth="1"/>
    <col min="260" max="260" width="10.42578125" style="208" customWidth="1"/>
    <col min="261" max="261" width="9.7109375" style="208" bestFit="1" customWidth="1"/>
    <col min="262" max="263" width="9.5703125" style="208" bestFit="1" customWidth="1"/>
    <col min="264" max="264" width="10.42578125" style="208" bestFit="1" customWidth="1"/>
    <col min="265" max="265" width="4.5703125" style="208" customWidth="1"/>
    <col min="266" max="266" width="1.85546875" style="208" customWidth="1"/>
    <col min="267" max="267" width="7" style="208" bestFit="1" customWidth="1"/>
    <col min="268" max="268" width="6.28515625" style="208" customWidth="1"/>
    <col min="269" max="269" width="20.42578125" style="208" customWidth="1"/>
    <col min="270" max="270" width="6.42578125" style="208" bestFit="1" customWidth="1"/>
    <col min="271" max="272" width="8.42578125" style="208"/>
    <col min="273" max="273" width="3.28515625" style="208" customWidth="1"/>
    <col min="274" max="512" width="8.42578125" style="208"/>
    <col min="513" max="513" width="10" style="208" bestFit="1" customWidth="1"/>
    <col min="514" max="514" width="44.28515625" style="208" bestFit="1" customWidth="1"/>
    <col min="515" max="515" width="10.42578125" style="208" bestFit="1" customWidth="1"/>
    <col min="516" max="516" width="10.42578125" style="208" customWidth="1"/>
    <col min="517" max="517" width="9.7109375" style="208" bestFit="1" customWidth="1"/>
    <col min="518" max="519" width="9.5703125" style="208" bestFit="1" customWidth="1"/>
    <col min="520" max="520" width="10.42578125" style="208" bestFit="1" customWidth="1"/>
    <col min="521" max="521" width="4.5703125" style="208" customWidth="1"/>
    <col min="522" max="522" width="1.85546875" style="208" customWidth="1"/>
    <col min="523" max="523" width="7" style="208" bestFit="1" customWidth="1"/>
    <col min="524" max="524" width="6.28515625" style="208" customWidth="1"/>
    <col min="525" max="525" width="20.42578125" style="208" customWidth="1"/>
    <col min="526" max="526" width="6.42578125" style="208" bestFit="1" customWidth="1"/>
    <col min="527" max="528" width="8.42578125" style="208"/>
    <col min="529" max="529" width="3.28515625" style="208" customWidth="1"/>
    <col min="530" max="768" width="8.42578125" style="208"/>
    <col min="769" max="769" width="10" style="208" bestFit="1" customWidth="1"/>
    <col min="770" max="770" width="44.28515625" style="208" bestFit="1" customWidth="1"/>
    <col min="771" max="771" width="10.42578125" style="208" bestFit="1" customWidth="1"/>
    <col min="772" max="772" width="10.42578125" style="208" customWidth="1"/>
    <col min="773" max="773" width="9.7109375" style="208" bestFit="1" customWidth="1"/>
    <col min="774" max="775" width="9.5703125" style="208" bestFit="1" customWidth="1"/>
    <col min="776" max="776" width="10.42578125" style="208" bestFit="1" customWidth="1"/>
    <col min="777" max="777" width="4.5703125" style="208" customWidth="1"/>
    <col min="778" max="778" width="1.85546875" style="208" customWidth="1"/>
    <col min="779" max="779" width="7" style="208" bestFit="1" customWidth="1"/>
    <col min="780" max="780" width="6.28515625" style="208" customWidth="1"/>
    <col min="781" max="781" width="20.42578125" style="208" customWidth="1"/>
    <col min="782" max="782" width="6.42578125" style="208" bestFit="1" customWidth="1"/>
    <col min="783" max="784" width="8.42578125" style="208"/>
    <col min="785" max="785" width="3.28515625" style="208" customWidth="1"/>
    <col min="786" max="1024" width="8.42578125" style="208"/>
    <col min="1025" max="1025" width="10" style="208" bestFit="1" customWidth="1"/>
    <col min="1026" max="1026" width="44.28515625" style="208" bestFit="1" customWidth="1"/>
    <col min="1027" max="1027" width="10.42578125" style="208" bestFit="1" customWidth="1"/>
    <col min="1028" max="1028" width="10.42578125" style="208" customWidth="1"/>
    <col min="1029" max="1029" width="9.7109375" style="208" bestFit="1" customWidth="1"/>
    <col min="1030" max="1031" width="9.5703125" style="208" bestFit="1" customWidth="1"/>
    <col min="1032" max="1032" width="10.42578125" style="208" bestFit="1" customWidth="1"/>
    <col min="1033" max="1033" width="4.5703125" style="208" customWidth="1"/>
    <col min="1034" max="1034" width="1.85546875" style="208" customWidth="1"/>
    <col min="1035" max="1035" width="7" style="208" bestFit="1" customWidth="1"/>
    <col min="1036" max="1036" width="6.28515625" style="208" customWidth="1"/>
    <col min="1037" max="1037" width="20.42578125" style="208" customWidth="1"/>
    <col min="1038" max="1038" width="6.42578125" style="208" bestFit="1" customWidth="1"/>
    <col min="1039" max="1040" width="8.42578125" style="208"/>
    <col min="1041" max="1041" width="3.28515625" style="208" customWidth="1"/>
    <col min="1042" max="1280" width="8.42578125" style="208"/>
    <col min="1281" max="1281" width="10" style="208" bestFit="1" customWidth="1"/>
    <col min="1282" max="1282" width="44.28515625" style="208" bestFit="1" customWidth="1"/>
    <col min="1283" max="1283" width="10.42578125" style="208" bestFit="1" customWidth="1"/>
    <col min="1284" max="1284" width="10.42578125" style="208" customWidth="1"/>
    <col min="1285" max="1285" width="9.7109375" style="208" bestFit="1" customWidth="1"/>
    <col min="1286" max="1287" width="9.5703125" style="208" bestFit="1" customWidth="1"/>
    <col min="1288" max="1288" width="10.42578125" style="208" bestFit="1" customWidth="1"/>
    <col min="1289" max="1289" width="4.5703125" style="208" customWidth="1"/>
    <col min="1290" max="1290" width="1.85546875" style="208" customWidth="1"/>
    <col min="1291" max="1291" width="7" style="208" bestFit="1" customWidth="1"/>
    <col min="1292" max="1292" width="6.28515625" style="208" customWidth="1"/>
    <col min="1293" max="1293" width="20.42578125" style="208" customWidth="1"/>
    <col min="1294" max="1294" width="6.42578125" style="208" bestFit="1" customWidth="1"/>
    <col min="1295" max="1296" width="8.42578125" style="208"/>
    <col min="1297" max="1297" width="3.28515625" style="208" customWidth="1"/>
    <col min="1298" max="1536" width="8.42578125" style="208"/>
    <col min="1537" max="1537" width="10" style="208" bestFit="1" customWidth="1"/>
    <col min="1538" max="1538" width="44.28515625" style="208" bestFit="1" customWidth="1"/>
    <col min="1539" max="1539" width="10.42578125" style="208" bestFit="1" customWidth="1"/>
    <col min="1540" max="1540" width="10.42578125" style="208" customWidth="1"/>
    <col min="1541" max="1541" width="9.7109375" style="208" bestFit="1" customWidth="1"/>
    <col min="1542" max="1543" width="9.5703125" style="208" bestFit="1" customWidth="1"/>
    <col min="1544" max="1544" width="10.42578125" style="208" bestFit="1" customWidth="1"/>
    <col min="1545" max="1545" width="4.5703125" style="208" customWidth="1"/>
    <col min="1546" max="1546" width="1.85546875" style="208" customWidth="1"/>
    <col min="1547" max="1547" width="7" style="208" bestFit="1" customWidth="1"/>
    <col min="1548" max="1548" width="6.28515625" style="208" customWidth="1"/>
    <col min="1549" max="1549" width="20.42578125" style="208" customWidth="1"/>
    <col min="1550" max="1550" width="6.42578125" style="208" bestFit="1" customWidth="1"/>
    <col min="1551" max="1552" width="8.42578125" style="208"/>
    <col min="1553" max="1553" width="3.28515625" style="208" customWidth="1"/>
    <col min="1554" max="1792" width="8.42578125" style="208"/>
    <col min="1793" max="1793" width="10" style="208" bestFit="1" customWidth="1"/>
    <col min="1794" max="1794" width="44.28515625" style="208" bestFit="1" customWidth="1"/>
    <col min="1795" max="1795" width="10.42578125" style="208" bestFit="1" customWidth="1"/>
    <col min="1796" max="1796" width="10.42578125" style="208" customWidth="1"/>
    <col min="1797" max="1797" width="9.7109375" style="208" bestFit="1" customWidth="1"/>
    <col min="1798" max="1799" width="9.5703125" style="208" bestFit="1" customWidth="1"/>
    <col min="1800" max="1800" width="10.42578125" style="208" bestFit="1" customWidth="1"/>
    <col min="1801" max="1801" width="4.5703125" style="208" customWidth="1"/>
    <col min="1802" max="1802" width="1.85546875" style="208" customWidth="1"/>
    <col min="1803" max="1803" width="7" style="208" bestFit="1" customWidth="1"/>
    <col min="1804" max="1804" width="6.28515625" style="208" customWidth="1"/>
    <col min="1805" max="1805" width="20.42578125" style="208" customWidth="1"/>
    <col min="1806" max="1806" width="6.42578125" style="208" bestFit="1" customWidth="1"/>
    <col min="1807" max="1808" width="8.42578125" style="208"/>
    <col min="1809" max="1809" width="3.28515625" style="208" customWidth="1"/>
    <col min="1810" max="2048" width="8.42578125" style="208"/>
    <col min="2049" max="2049" width="10" style="208" bestFit="1" customWidth="1"/>
    <col min="2050" max="2050" width="44.28515625" style="208" bestFit="1" customWidth="1"/>
    <col min="2051" max="2051" width="10.42578125" style="208" bestFit="1" customWidth="1"/>
    <col min="2052" max="2052" width="10.42578125" style="208" customWidth="1"/>
    <col min="2053" max="2053" width="9.7109375" style="208" bestFit="1" customWidth="1"/>
    <col min="2054" max="2055" width="9.5703125" style="208" bestFit="1" customWidth="1"/>
    <col min="2056" max="2056" width="10.42578125" style="208" bestFit="1" customWidth="1"/>
    <col min="2057" max="2057" width="4.5703125" style="208" customWidth="1"/>
    <col min="2058" max="2058" width="1.85546875" style="208" customWidth="1"/>
    <col min="2059" max="2059" width="7" style="208" bestFit="1" customWidth="1"/>
    <col min="2060" max="2060" width="6.28515625" style="208" customWidth="1"/>
    <col min="2061" max="2061" width="20.42578125" style="208" customWidth="1"/>
    <col min="2062" max="2062" width="6.42578125" style="208" bestFit="1" customWidth="1"/>
    <col min="2063" max="2064" width="8.42578125" style="208"/>
    <col min="2065" max="2065" width="3.28515625" style="208" customWidth="1"/>
    <col min="2066" max="2304" width="8.42578125" style="208"/>
    <col min="2305" max="2305" width="10" style="208" bestFit="1" customWidth="1"/>
    <col min="2306" max="2306" width="44.28515625" style="208" bestFit="1" customWidth="1"/>
    <col min="2307" max="2307" width="10.42578125" style="208" bestFit="1" customWidth="1"/>
    <col min="2308" max="2308" width="10.42578125" style="208" customWidth="1"/>
    <col min="2309" max="2309" width="9.7109375" style="208" bestFit="1" customWidth="1"/>
    <col min="2310" max="2311" width="9.5703125" style="208" bestFit="1" customWidth="1"/>
    <col min="2312" max="2312" width="10.42578125" style="208" bestFit="1" customWidth="1"/>
    <col min="2313" max="2313" width="4.5703125" style="208" customWidth="1"/>
    <col min="2314" max="2314" width="1.85546875" style="208" customWidth="1"/>
    <col min="2315" max="2315" width="7" style="208" bestFit="1" customWidth="1"/>
    <col min="2316" max="2316" width="6.28515625" style="208" customWidth="1"/>
    <col min="2317" max="2317" width="20.42578125" style="208" customWidth="1"/>
    <col min="2318" max="2318" width="6.42578125" style="208" bestFit="1" customWidth="1"/>
    <col min="2319" max="2320" width="8.42578125" style="208"/>
    <col min="2321" max="2321" width="3.28515625" style="208" customWidth="1"/>
    <col min="2322" max="2560" width="8.42578125" style="208"/>
    <col min="2561" max="2561" width="10" style="208" bestFit="1" customWidth="1"/>
    <col min="2562" max="2562" width="44.28515625" style="208" bestFit="1" customWidth="1"/>
    <col min="2563" max="2563" width="10.42578125" style="208" bestFit="1" customWidth="1"/>
    <col min="2564" max="2564" width="10.42578125" style="208" customWidth="1"/>
    <col min="2565" max="2565" width="9.7109375" style="208" bestFit="1" customWidth="1"/>
    <col min="2566" max="2567" width="9.5703125" style="208" bestFit="1" customWidth="1"/>
    <col min="2568" max="2568" width="10.42578125" style="208" bestFit="1" customWidth="1"/>
    <col min="2569" max="2569" width="4.5703125" style="208" customWidth="1"/>
    <col min="2570" max="2570" width="1.85546875" style="208" customWidth="1"/>
    <col min="2571" max="2571" width="7" style="208" bestFit="1" customWidth="1"/>
    <col min="2572" max="2572" width="6.28515625" style="208" customWidth="1"/>
    <col min="2573" max="2573" width="20.42578125" style="208" customWidth="1"/>
    <col min="2574" max="2574" width="6.42578125" style="208" bestFit="1" customWidth="1"/>
    <col min="2575" max="2576" width="8.42578125" style="208"/>
    <col min="2577" max="2577" width="3.28515625" style="208" customWidth="1"/>
    <col min="2578" max="2816" width="8.42578125" style="208"/>
    <col min="2817" max="2817" width="10" style="208" bestFit="1" customWidth="1"/>
    <col min="2818" max="2818" width="44.28515625" style="208" bestFit="1" customWidth="1"/>
    <col min="2819" max="2819" width="10.42578125" style="208" bestFit="1" customWidth="1"/>
    <col min="2820" max="2820" width="10.42578125" style="208" customWidth="1"/>
    <col min="2821" max="2821" width="9.7109375" style="208" bestFit="1" customWidth="1"/>
    <col min="2822" max="2823" width="9.5703125" style="208" bestFit="1" customWidth="1"/>
    <col min="2824" max="2824" width="10.42578125" style="208" bestFit="1" customWidth="1"/>
    <col min="2825" max="2825" width="4.5703125" style="208" customWidth="1"/>
    <col min="2826" max="2826" width="1.85546875" style="208" customWidth="1"/>
    <col min="2827" max="2827" width="7" style="208" bestFit="1" customWidth="1"/>
    <col min="2828" max="2828" width="6.28515625" style="208" customWidth="1"/>
    <col min="2829" max="2829" width="20.42578125" style="208" customWidth="1"/>
    <col min="2830" max="2830" width="6.42578125" style="208" bestFit="1" customWidth="1"/>
    <col min="2831" max="2832" width="8.42578125" style="208"/>
    <col min="2833" max="2833" width="3.28515625" style="208" customWidth="1"/>
    <col min="2834" max="3072" width="8.42578125" style="208"/>
    <col min="3073" max="3073" width="10" style="208" bestFit="1" customWidth="1"/>
    <col min="3074" max="3074" width="44.28515625" style="208" bestFit="1" customWidth="1"/>
    <col min="3075" max="3075" width="10.42578125" style="208" bestFit="1" customWidth="1"/>
    <col min="3076" max="3076" width="10.42578125" style="208" customWidth="1"/>
    <col min="3077" max="3077" width="9.7109375" style="208" bestFit="1" customWidth="1"/>
    <col min="3078" max="3079" width="9.5703125" style="208" bestFit="1" customWidth="1"/>
    <col min="3080" max="3080" width="10.42578125" style="208" bestFit="1" customWidth="1"/>
    <col min="3081" max="3081" width="4.5703125" style="208" customWidth="1"/>
    <col min="3082" max="3082" width="1.85546875" style="208" customWidth="1"/>
    <col min="3083" max="3083" width="7" style="208" bestFit="1" customWidth="1"/>
    <col min="3084" max="3084" width="6.28515625" style="208" customWidth="1"/>
    <col min="3085" max="3085" width="20.42578125" style="208" customWidth="1"/>
    <col min="3086" max="3086" width="6.42578125" style="208" bestFit="1" customWidth="1"/>
    <col min="3087" max="3088" width="8.42578125" style="208"/>
    <col min="3089" max="3089" width="3.28515625" style="208" customWidth="1"/>
    <col min="3090" max="3328" width="8.42578125" style="208"/>
    <col min="3329" max="3329" width="10" style="208" bestFit="1" customWidth="1"/>
    <col min="3330" max="3330" width="44.28515625" style="208" bestFit="1" customWidth="1"/>
    <col min="3331" max="3331" width="10.42578125" style="208" bestFit="1" customWidth="1"/>
    <col min="3332" max="3332" width="10.42578125" style="208" customWidth="1"/>
    <col min="3333" max="3333" width="9.7109375" style="208" bestFit="1" customWidth="1"/>
    <col min="3334" max="3335" width="9.5703125" style="208" bestFit="1" customWidth="1"/>
    <col min="3336" max="3336" width="10.42578125" style="208" bestFit="1" customWidth="1"/>
    <col min="3337" max="3337" width="4.5703125" style="208" customWidth="1"/>
    <col min="3338" max="3338" width="1.85546875" style="208" customWidth="1"/>
    <col min="3339" max="3339" width="7" style="208" bestFit="1" customWidth="1"/>
    <col min="3340" max="3340" width="6.28515625" style="208" customWidth="1"/>
    <col min="3341" max="3341" width="20.42578125" style="208" customWidth="1"/>
    <col min="3342" max="3342" width="6.42578125" style="208" bestFit="1" customWidth="1"/>
    <col min="3343" max="3344" width="8.42578125" style="208"/>
    <col min="3345" max="3345" width="3.28515625" style="208" customWidth="1"/>
    <col min="3346" max="3584" width="8.42578125" style="208"/>
    <col min="3585" max="3585" width="10" style="208" bestFit="1" customWidth="1"/>
    <col min="3586" max="3586" width="44.28515625" style="208" bestFit="1" customWidth="1"/>
    <col min="3587" max="3587" width="10.42578125" style="208" bestFit="1" customWidth="1"/>
    <col min="3588" max="3588" width="10.42578125" style="208" customWidth="1"/>
    <col min="3589" max="3589" width="9.7109375" style="208" bestFit="1" customWidth="1"/>
    <col min="3590" max="3591" width="9.5703125" style="208" bestFit="1" customWidth="1"/>
    <col min="3592" max="3592" width="10.42578125" style="208" bestFit="1" customWidth="1"/>
    <col min="3593" max="3593" width="4.5703125" style="208" customWidth="1"/>
    <col min="3594" max="3594" width="1.85546875" style="208" customWidth="1"/>
    <col min="3595" max="3595" width="7" style="208" bestFit="1" customWidth="1"/>
    <col min="3596" max="3596" width="6.28515625" style="208" customWidth="1"/>
    <col min="3597" max="3597" width="20.42578125" style="208" customWidth="1"/>
    <col min="3598" max="3598" width="6.42578125" style="208" bestFit="1" customWidth="1"/>
    <col min="3599" max="3600" width="8.42578125" style="208"/>
    <col min="3601" max="3601" width="3.28515625" style="208" customWidth="1"/>
    <col min="3602" max="3840" width="8.42578125" style="208"/>
    <col min="3841" max="3841" width="10" style="208" bestFit="1" customWidth="1"/>
    <col min="3842" max="3842" width="44.28515625" style="208" bestFit="1" customWidth="1"/>
    <col min="3843" max="3843" width="10.42578125" style="208" bestFit="1" customWidth="1"/>
    <col min="3844" max="3844" width="10.42578125" style="208" customWidth="1"/>
    <col min="3845" max="3845" width="9.7109375" style="208" bestFit="1" customWidth="1"/>
    <col min="3846" max="3847" width="9.5703125" style="208" bestFit="1" customWidth="1"/>
    <col min="3848" max="3848" width="10.42578125" style="208" bestFit="1" customWidth="1"/>
    <col min="3849" max="3849" width="4.5703125" style="208" customWidth="1"/>
    <col min="3850" max="3850" width="1.85546875" style="208" customWidth="1"/>
    <col min="3851" max="3851" width="7" style="208" bestFit="1" customWidth="1"/>
    <col min="3852" max="3852" width="6.28515625" style="208" customWidth="1"/>
    <col min="3853" max="3853" width="20.42578125" style="208" customWidth="1"/>
    <col min="3854" max="3854" width="6.42578125" style="208" bestFit="1" customWidth="1"/>
    <col min="3855" max="3856" width="8.42578125" style="208"/>
    <col min="3857" max="3857" width="3.28515625" style="208" customWidth="1"/>
    <col min="3858" max="4096" width="8.42578125" style="208"/>
    <col min="4097" max="4097" width="10" style="208" bestFit="1" customWidth="1"/>
    <col min="4098" max="4098" width="44.28515625" style="208" bestFit="1" customWidth="1"/>
    <col min="4099" max="4099" width="10.42578125" style="208" bestFit="1" customWidth="1"/>
    <col min="4100" max="4100" width="10.42578125" style="208" customWidth="1"/>
    <col min="4101" max="4101" width="9.7109375" style="208" bestFit="1" customWidth="1"/>
    <col min="4102" max="4103" width="9.5703125" style="208" bestFit="1" customWidth="1"/>
    <col min="4104" max="4104" width="10.42578125" style="208" bestFit="1" customWidth="1"/>
    <col min="4105" max="4105" width="4.5703125" style="208" customWidth="1"/>
    <col min="4106" max="4106" width="1.85546875" style="208" customWidth="1"/>
    <col min="4107" max="4107" width="7" style="208" bestFit="1" customWidth="1"/>
    <col min="4108" max="4108" width="6.28515625" style="208" customWidth="1"/>
    <col min="4109" max="4109" width="20.42578125" style="208" customWidth="1"/>
    <col min="4110" max="4110" width="6.42578125" style="208" bestFit="1" customWidth="1"/>
    <col min="4111" max="4112" width="8.42578125" style="208"/>
    <col min="4113" max="4113" width="3.28515625" style="208" customWidth="1"/>
    <col min="4114" max="4352" width="8.42578125" style="208"/>
    <col min="4353" max="4353" width="10" style="208" bestFit="1" customWidth="1"/>
    <col min="4354" max="4354" width="44.28515625" style="208" bestFit="1" customWidth="1"/>
    <col min="4355" max="4355" width="10.42578125" style="208" bestFit="1" customWidth="1"/>
    <col min="4356" max="4356" width="10.42578125" style="208" customWidth="1"/>
    <col min="4357" max="4357" width="9.7109375" style="208" bestFit="1" customWidth="1"/>
    <col min="4358" max="4359" width="9.5703125" style="208" bestFit="1" customWidth="1"/>
    <col min="4360" max="4360" width="10.42578125" style="208" bestFit="1" customWidth="1"/>
    <col min="4361" max="4361" width="4.5703125" style="208" customWidth="1"/>
    <col min="4362" max="4362" width="1.85546875" style="208" customWidth="1"/>
    <col min="4363" max="4363" width="7" style="208" bestFit="1" customWidth="1"/>
    <col min="4364" max="4364" width="6.28515625" style="208" customWidth="1"/>
    <col min="4365" max="4365" width="20.42578125" style="208" customWidth="1"/>
    <col min="4366" max="4366" width="6.42578125" style="208" bestFit="1" customWidth="1"/>
    <col min="4367" max="4368" width="8.42578125" style="208"/>
    <col min="4369" max="4369" width="3.28515625" style="208" customWidth="1"/>
    <col min="4370" max="4608" width="8.42578125" style="208"/>
    <col min="4609" max="4609" width="10" style="208" bestFit="1" customWidth="1"/>
    <col min="4610" max="4610" width="44.28515625" style="208" bestFit="1" customWidth="1"/>
    <col min="4611" max="4611" width="10.42578125" style="208" bestFit="1" customWidth="1"/>
    <col min="4612" max="4612" width="10.42578125" style="208" customWidth="1"/>
    <col min="4613" max="4613" width="9.7109375" style="208" bestFit="1" customWidth="1"/>
    <col min="4614" max="4615" width="9.5703125" style="208" bestFit="1" customWidth="1"/>
    <col min="4616" max="4616" width="10.42578125" style="208" bestFit="1" customWidth="1"/>
    <col min="4617" max="4617" width="4.5703125" style="208" customWidth="1"/>
    <col min="4618" max="4618" width="1.85546875" style="208" customWidth="1"/>
    <col min="4619" max="4619" width="7" style="208" bestFit="1" customWidth="1"/>
    <col min="4620" max="4620" width="6.28515625" style="208" customWidth="1"/>
    <col min="4621" max="4621" width="20.42578125" style="208" customWidth="1"/>
    <col min="4622" max="4622" width="6.42578125" style="208" bestFit="1" customWidth="1"/>
    <col min="4623" max="4624" width="8.42578125" style="208"/>
    <col min="4625" max="4625" width="3.28515625" style="208" customWidth="1"/>
    <col min="4626" max="4864" width="8.42578125" style="208"/>
    <col min="4865" max="4865" width="10" style="208" bestFit="1" customWidth="1"/>
    <col min="4866" max="4866" width="44.28515625" style="208" bestFit="1" customWidth="1"/>
    <col min="4867" max="4867" width="10.42578125" style="208" bestFit="1" customWidth="1"/>
    <col min="4868" max="4868" width="10.42578125" style="208" customWidth="1"/>
    <col min="4869" max="4869" width="9.7109375" style="208" bestFit="1" customWidth="1"/>
    <col min="4870" max="4871" width="9.5703125" style="208" bestFit="1" customWidth="1"/>
    <col min="4872" max="4872" width="10.42578125" style="208" bestFit="1" customWidth="1"/>
    <col min="4873" max="4873" width="4.5703125" style="208" customWidth="1"/>
    <col min="4874" max="4874" width="1.85546875" style="208" customWidth="1"/>
    <col min="4875" max="4875" width="7" style="208" bestFit="1" customWidth="1"/>
    <col min="4876" max="4876" width="6.28515625" style="208" customWidth="1"/>
    <col min="4877" max="4877" width="20.42578125" style="208" customWidth="1"/>
    <col min="4878" max="4878" width="6.42578125" style="208" bestFit="1" customWidth="1"/>
    <col min="4879" max="4880" width="8.42578125" style="208"/>
    <col min="4881" max="4881" width="3.28515625" style="208" customWidth="1"/>
    <col min="4882" max="5120" width="8.42578125" style="208"/>
    <col min="5121" max="5121" width="10" style="208" bestFit="1" customWidth="1"/>
    <col min="5122" max="5122" width="44.28515625" style="208" bestFit="1" customWidth="1"/>
    <col min="5123" max="5123" width="10.42578125" style="208" bestFit="1" customWidth="1"/>
    <col min="5124" max="5124" width="10.42578125" style="208" customWidth="1"/>
    <col min="5125" max="5125" width="9.7109375" style="208" bestFit="1" customWidth="1"/>
    <col min="5126" max="5127" width="9.5703125" style="208" bestFit="1" customWidth="1"/>
    <col min="5128" max="5128" width="10.42578125" style="208" bestFit="1" customWidth="1"/>
    <col min="5129" max="5129" width="4.5703125" style="208" customWidth="1"/>
    <col min="5130" max="5130" width="1.85546875" style="208" customWidth="1"/>
    <col min="5131" max="5131" width="7" style="208" bestFit="1" customWidth="1"/>
    <col min="5132" max="5132" width="6.28515625" style="208" customWidth="1"/>
    <col min="5133" max="5133" width="20.42578125" style="208" customWidth="1"/>
    <col min="5134" max="5134" width="6.42578125" style="208" bestFit="1" customWidth="1"/>
    <col min="5135" max="5136" width="8.42578125" style="208"/>
    <col min="5137" max="5137" width="3.28515625" style="208" customWidth="1"/>
    <col min="5138" max="5376" width="8.42578125" style="208"/>
    <col min="5377" max="5377" width="10" style="208" bestFit="1" customWidth="1"/>
    <col min="5378" max="5378" width="44.28515625" style="208" bestFit="1" customWidth="1"/>
    <col min="5379" max="5379" width="10.42578125" style="208" bestFit="1" customWidth="1"/>
    <col min="5380" max="5380" width="10.42578125" style="208" customWidth="1"/>
    <col min="5381" max="5381" width="9.7109375" style="208" bestFit="1" customWidth="1"/>
    <col min="5382" max="5383" width="9.5703125" style="208" bestFit="1" customWidth="1"/>
    <col min="5384" max="5384" width="10.42578125" style="208" bestFit="1" customWidth="1"/>
    <col min="5385" max="5385" width="4.5703125" style="208" customWidth="1"/>
    <col min="5386" max="5386" width="1.85546875" style="208" customWidth="1"/>
    <col min="5387" max="5387" width="7" style="208" bestFit="1" customWidth="1"/>
    <col min="5388" max="5388" width="6.28515625" style="208" customWidth="1"/>
    <col min="5389" max="5389" width="20.42578125" style="208" customWidth="1"/>
    <col min="5390" max="5390" width="6.42578125" style="208" bestFit="1" customWidth="1"/>
    <col min="5391" max="5392" width="8.42578125" style="208"/>
    <col min="5393" max="5393" width="3.28515625" style="208" customWidth="1"/>
    <col min="5394" max="5632" width="8.42578125" style="208"/>
    <col min="5633" max="5633" width="10" style="208" bestFit="1" customWidth="1"/>
    <col min="5634" max="5634" width="44.28515625" style="208" bestFit="1" customWidth="1"/>
    <col min="5635" max="5635" width="10.42578125" style="208" bestFit="1" customWidth="1"/>
    <col min="5636" max="5636" width="10.42578125" style="208" customWidth="1"/>
    <col min="5637" max="5637" width="9.7109375" style="208" bestFit="1" customWidth="1"/>
    <col min="5638" max="5639" width="9.5703125" style="208" bestFit="1" customWidth="1"/>
    <col min="5640" max="5640" width="10.42578125" style="208" bestFit="1" customWidth="1"/>
    <col min="5641" max="5641" width="4.5703125" style="208" customWidth="1"/>
    <col min="5642" max="5642" width="1.85546875" style="208" customWidth="1"/>
    <col min="5643" max="5643" width="7" style="208" bestFit="1" customWidth="1"/>
    <col min="5644" max="5644" width="6.28515625" style="208" customWidth="1"/>
    <col min="5645" max="5645" width="20.42578125" style="208" customWidth="1"/>
    <col min="5646" max="5646" width="6.42578125" style="208" bestFit="1" customWidth="1"/>
    <col min="5647" max="5648" width="8.42578125" style="208"/>
    <col min="5649" max="5649" width="3.28515625" style="208" customWidth="1"/>
    <col min="5650" max="5888" width="8.42578125" style="208"/>
    <col min="5889" max="5889" width="10" style="208" bestFit="1" customWidth="1"/>
    <col min="5890" max="5890" width="44.28515625" style="208" bestFit="1" customWidth="1"/>
    <col min="5891" max="5891" width="10.42578125" style="208" bestFit="1" customWidth="1"/>
    <col min="5892" max="5892" width="10.42578125" style="208" customWidth="1"/>
    <col min="5893" max="5893" width="9.7109375" style="208" bestFit="1" customWidth="1"/>
    <col min="5894" max="5895" width="9.5703125" style="208" bestFit="1" customWidth="1"/>
    <col min="5896" max="5896" width="10.42578125" style="208" bestFit="1" customWidth="1"/>
    <col min="5897" max="5897" width="4.5703125" style="208" customWidth="1"/>
    <col min="5898" max="5898" width="1.85546875" style="208" customWidth="1"/>
    <col min="5899" max="5899" width="7" style="208" bestFit="1" customWidth="1"/>
    <col min="5900" max="5900" width="6.28515625" style="208" customWidth="1"/>
    <col min="5901" max="5901" width="20.42578125" style="208" customWidth="1"/>
    <col min="5902" max="5902" width="6.42578125" style="208" bestFit="1" customWidth="1"/>
    <col min="5903" max="5904" width="8.42578125" style="208"/>
    <col min="5905" max="5905" width="3.28515625" style="208" customWidth="1"/>
    <col min="5906" max="6144" width="8.42578125" style="208"/>
    <col min="6145" max="6145" width="10" style="208" bestFit="1" customWidth="1"/>
    <col min="6146" max="6146" width="44.28515625" style="208" bestFit="1" customWidth="1"/>
    <col min="6147" max="6147" width="10.42578125" style="208" bestFit="1" customWidth="1"/>
    <col min="6148" max="6148" width="10.42578125" style="208" customWidth="1"/>
    <col min="6149" max="6149" width="9.7109375" style="208" bestFit="1" customWidth="1"/>
    <col min="6150" max="6151" width="9.5703125" style="208" bestFit="1" customWidth="1"/>
    <col min="6152" max="6152" width="10.42578125" style="208" bestFit="1" customWidth="1"/>
    <col min="6153" max="6153" width="4.5703125" style="208" customWidth="1"/>
    <col min="6154" max="6154" width="1.85546875" style="208" customWidth="1"/>
    <col min="6155" max="6155" width="7" style="208" bestFit="1" customWidth="1"/>
    <col min="6156" max="6156" width="6.28515625" style="208" customWidth="1"/>
    <col min="6157" max="6157" width="20.42578125" style="208" customWidth="1"/>
    <col min="6158" max="6158" width="6.42578125" style="208" bestFit="1" customWidth="1"/>
    <col min="6159" max="6160" width="8.42578125" style="208"/>
    <col min="6161" max="6161" width="3.28515625" style="208" customWidth="1"/>
    <col min="6162" max="6400" width="8.42578125" style="208"/>
    <col min="6401" max="6401" width="10" style="208" bestFit="1" customWidth="1"/>
    <col min="6402" max="6402" width="44.28515625" style="208" bestFit="1" customWidth="1"/>
    <col min="6403" max="6403" width="10.42578125" style="208" bestFit="1" customWidth="1"/>
    <col min="6404" max="6404" width="10.42578125" style="208" customWidth="1"/>
    <col min="6405" max="6405" width="9.7109375" style="208" bestFit="1" customWidth="1"/>
    <col min="6406" max="6407" width="9.5703125" style="208" bestFit="1" customWidth="1"/>
    <col min="6408" max="6408" width="10.42578125" style="208" bestFit="1" customWidth="1"/>
    <col min="6409" max="6409" width="4.5703125" style="208" customWidth="1"/>
    <col min="6410" max="6410" width="1.85546875" style="208" customWidth="1"/>
    <col min="6411" max="6411" width="7" style="208" bestFit="1" customWidth="1"/>
    <col min="6412" max="6412" width="6.28515625" style="208" customWidth="1"/>
    <col min="6413" max="6413" width="20.42578125" style="208" customWidth="1"/>
    <col min="6414" max="6414" width="6.42578125" style="208" bestFit="1" customWidth="1"/>
    <col min="6415" max="6416" width="8.42578125" style="208"/>
    <col min="6417" max="6417" width="3.28515625" style="208" customWidth="1"/>
    <col min="6418" max="6656" width="8.42578125" style="208"/>
    <col min="6657" max="6657" width="10" style="208" bestFit="1" customWidth="1"/>
    <col min="6658" max="6658" width="44.28515625" style="208" bestFit="1" customWidth="1"/>
    <col min="6659" max="6659" width="10.42578125" style="208" bestFit="1" customWidth="1"/>
    <col min="6660" max="6660" width="10.42578125" style="208" customWidth="1"/>
    <col min="6661" max="6661" width="9.7109375" style="208" bestFit="1" customWidth="1"/>
    <col min="6662" max="6663" width="9.5703125" style="208" bestFit="1" customWidth="1"/>
    <col min="6664" max="6664" width="10.42578125" style="208" bestFit="1" customWidth="1"/>
    <col min="6665" max="6665" width="4.5703125" style="208" customWidth="1"/>
    <col min="6666" max="6666" width="1.85546875" style="208" customWidth="1"/>
    <col min="6667" max="6667" width="7" style="208" bestFit="1" customWidth="1"/>
    <col min="6668" max="6668" width="6.28515625" style="208" customWidth="1"/>
    <col min="6669" max="6669" width="20.42578125" style="208" customWidth="1"/>
    <col min="6670" max="6670" width="6.42578125" style="208" bestFit="1" customWidth="1"/>
    <col min="6671" max="6672" width="8.42578125" style="208"/>
    <col min="6673" max="6673" width="3.28515625" style="208" customWidth="1"/>
    <col min="6674" max="6912" width="8.42578125" style="208"/>
    <col min="6913" max="6913" width="10" style="208" bestFit="1" customWidth="1"/>
    <col min="6914" max="6914" width="44.28515625" style="208" bestFit="1" customWidth="1"/>
    <col min="6915" max="6915" width="10.42578125" style="208" bestFit="1" customWidth="1"/>
    <col min="6916" max="6916" width="10.42578125" style="208" customWidth="1"/>
    <col min="6917" max="6917" width="9.7109375" style="208" bestFit="1" customWidth="1"/>
    <col min="6918" max="6919" width="9.5703125" style="208" bestFit="1" customWidth="1"/>
    <col min="6920" max="6920" width="10.42578125" style="208" bestFit="1" customWidth="1"/>
    <col min="6921" max="6921" width="4.5703125" style="208" customWidth="1"/>
    <col min="6922" max="6922" width="1.85546875" style="208" customWidth="1"/>
    <col min="6923" max="6923" width="7" style="208" bestFit="1" customWidth="1"/>
    <col min="6924" max="6924" width="6.28515625" style="208" customWidth="1"/>
    <col min="6925" max="6925" width="20.42578125" style="208" customWidth="1"/>
    <col min="6926" max="6926" width="6.42578125" style="208" bestFit="1" customWidth="1"/>
    <col min="6927" max="6928" width="8.42578125" style="208"/>
    <col min="6929" max="6929" width="3.28515625" style="208" customWidth="1"/>
    <col min="6930" max="7168" width="8.42578125" style="208"/>
    <col min="7169" max="7169" width="10" style="208" bestFit="1" customWidth="1"/>
    <col min="7170" max="7170" width="44.28515625" style="208" bestFit="1" customWidth="1"/>
    <col min="7171" max="7171" width="10.42578125" style="208" bestFit="1" customWidth="1"/>
    <col min="7172" max="7172" width="10.42578125" style="208" customWidth="1"/>
    <col min="7173" max="7173" width="9.7109375" style="208" bestFit="1" customWidth="1"/>
    <col min="7174" max="7175" width="9.5703125" style="208" bestFit="1" customWidth="1"/>
    <col min="7176" max="7176" width="10.42578125" style="208" bestFit="1" customWidth="1"/>
    <col min="7177" max="7177" width="4.5703125" style="208" customWidth="1"/>
    <col min="7178" max="7178" width="1.85546875" style="208" customWidth="1"/>
    <col min="7179" max="7179" width="7" style="208" bestFit="1" customWidth="1"/>
    <col min="7180" max="7180" width="6.28515625" style="208" customWidth="1"/>
    <col min="7181" max="7181" width="20.42578125" style="208" customWidth="1"/>
    <col min="7182" max="7182" width="6.42578125" style="208" bestFit="1" customWidth="1"/>
    <col min="7183" max="7184" width="8.42578125" style="208"/>
    <col min="7185" max="7185" width="3.28515625" style="208" customWidth="1"/>
    <col min="7186" max="7424" width="8.42578125" style="208"/>
    <col min="7425" max="7425" width="10" style="208" bestFit="1" customWidth="1"/>
    <col min="7426" max="7426" width="44.28515625" style="208" bestFit="1" customWidth="1"/>
    <col min="7427" max="7427" width="10.42578125" style="208" bestFit="1" customWidth="1"/>
    <col min="7428" max="7428" width="10.42578125" style="208" customWidth="1"/>
    <col min="7429" max="7429" width="9.7109375" style="208" bestFit="1" customWidth="1"/>
    <col min="7430" max="7431" width="9.5703125" style="208" bestFit="1" customWidth="1"/>
    <col min="7432" max="7432" width="10.42578125" style="208" bestFit="1" customWidth="1"/>
    <col min="7433" max="7433" width="4.5703125" style="208" customWidth="1"/>
    <col min="7434" max="7434" width="1.85546875" style="208" customWidth="1"/>
    <col min="7435" max="7435" width="7" style="208" bestFit="1" customWidth="1"/>
    <col min="7436" max="7436" width="6.28515625" style="208" customWidth="1"/>
    <col min="7437" max="7437" width="20.42578125" style="208" customWidth="1"/>
    <col min="7438" max="7438" width="6.42578125" style="208" bestFit="1" customWidth="1"/>
    <col min="7439" max="7440" width="8.42578125" style="208"/>
    <col min="7441" max="7441" width="3.28515625" style="208" customWidth="1"/>
    <col min="7442" max="7680" width="8.42578125" style="208"/>
    <col min="7681" max="7681" width="10" style="208" bestFit="1" customWidth="1"/>
    <col min="7682" max="7682" width="44.28515625" style="208" bestFit="1" customWidth="1"/>
    <col min="7683" max="7683" width="10.42578125" style="208" bestFit="1" customWidth="1"/>
    <col min="7684" max="7684" width="10.42578125" style="208" customWidth="1"/>
    <col min="7685" max="7685" width="9.7109375" style="208" bestFit="1" customWidth="1"/>
    <col min="7686" max="7687" width="9.5703125" style="208" bestFit="1" customWidth="1"/>
    <col min="7688" max="7688" width="10.42578125" style="208" bestFit="1" customWidth="1"/>
    <col min="7689" max="7689" width="4.5703125" style="208" customWidth="1"/>
    <col min="7690" max="7690" width="1.85546875" style="208" customWidth="1"/>
    <col min="7691" max="7691" width="7" style="208" bestFit="1" customWidth="1"/>
    <col min="7692" max="7692" width="6.28515625" style="208" customWidth="1"/>
    <col min="7693" max="7693" width="20.42578125" style="208" customWidth="1"/>
    <col min="7694" max="7694" width="6.42578125" style="208" bestFit="1" customWidth="1"/>
    <col min="7695" max="7696" width="8.42578125" style="208"/>
    <col min="7697" max="7697" width="3.28515625" style="208" customWidth="1"/>
    <col min="7698" max="7936" width="8.42578125" style="208"/>
    <col min="7937" max="7937" width="10" style="208" bestFit="1" customWidth="1"/>
    <col min="7938" max="7938" width="44.28515625" style="208" bestFit="1" customWidth="1"/>
    <col min="7939" max="7939" width="10.42578125" style="208" bestFit="1" customWidth="1"/>
    <col min="7940" max="7940" width="10.42578125" style="208" customWidth="1"/>
    <col min="7941" max="7941" width="9.7109375" style="208" bestFit="1" customWidth="1"/>
    <col min="7942" max="7943" width="9.5703125" style="208" bestFit="1" customWidth="1"/>
    <col min="7944" max="7944" width="10.42578125" style="208" bestFit="1" customWidth="1"/>
    <col min="7945" max="7945" width="4.5703125" style="208" customWidth="1"/>
    <col min="7946" max="7946" width="1.85546875" style="208" customWidth="1"/>
    <col min="7947" max="7947" width="7" style="208" bestFit="1" customWidth="1"/>
    <col min="7948" max="7948" width="6.28515625" style="208" customWidth="1"/>
    <col min="7949" max="7949" width="20.42578125" style="208" customWidth="1"/>
    <col min="7950" max="7950" width="6.42578125" style="208" bestFit="1" customWidth="1"/>
    <col min="7951" max="7952" width="8.42578125" style="208"/>
    <col min="7953" max="7953" width="3.28515625" style="208" customWidth="1"/>
    <col min="7954" max="8192" width="8.42578125" style="208"/>
    <col min="8193" max="8193" width="10" style="208" bestFit="1" customWidth="1"/>
    <col min="8194" max="8194" width="44.28515625" style="208" bestFit="1" customWidth="1"/>
    <col min="8195" max="8195" width="10.42578125" style="208" bestFit="1" customWidth="1"/>
    <col min="8196" max="8196" width="10.42578125" style="208" customWidth="1"/>
    <col min="8197" max="8197" width="9.7109375" style="208" bestFit="1" customWidth="1"/>
    <col min="8198" max="8199" width="9.5703125" style="208" bestFit="1" customWidth="1"/>
    <col min="8200" max="8200" width="10.42578125" style="208" bestFit="1" customWidth="1"/>
    <col min="8201" max="8201" width="4.5703125" style="208" customWidth="1"/>
    <col min="8202" max="8202" width="1.85546875" style="208" customWidth="1"/>
    <col min="8203" max="8203" width="7" style="208" bestFit="1" customWidth="1"/>
    <col min="8204" max="8204" width="6.28515625" style="208" customWidth="1"/>
    <col min="8205" max="8205" width="20.42578125" style="208" customWidth="1"/>
    <col min="8206" max="8206" width="6.42578125" style="208" bestFit="1" customWidth="1"/>
    <col min="8207" max="8208" width="8.42578125" style="208"/>
    <col min="8209" max="8209" width="3.28515625" style="208" customWidth="1"/>
    <col min="8210" max="8448" width="8.42578125" style="208"/>
    <col min="8449" max="8449" width="10" style="208" bestFit="1" customWidth="1"/>
    <col min="8450" max="8450" width="44.28515625" style="208" bestFit="1" customWidth="1"/>
    <col min="8451" max="8451" width="10.42578125" style="208" bestFit="1" customWidth="1"/>
    <col min="8452" max="8452" width="10.42578125" style="208" customWidth="1"/>
    <col min="8453" max="8453" width="9.7109375" style="208" bestFit="1" customWidth="1"/>
    <col min="8454" max="8455" width="9.5703125" style="208" bestFit="1" customWidth="1"/>
    <col min="8456" max="8456" width="10.42578125" style="208" bestFit="1" customWidth="1"/>
    <col min="8457" max="8457" width="4.5703125" style="208" customWidth="1"/>
    <col min="8458" max="8458" width="1.85546875" style="208" customWidth="1"/>
    <col min="8459" max="8459" width="7" style="208" bestFit="1" customWidth="1"/>
    <col min="8460" max="8460" width="6.28515625" style="208" customWidth="1"/>
    <col min="8461" max="8461" width="20.42578125" style="208" customWidth="1"/>
    <col min="8462" max="8462" width="6.42578125" style="208" bestFit="1" customWidth="1"/>
    <col min="8463" max="8464" width="8.42578125" style="208"/>
    <col min="8465" max="8465" width="3.28515625" style="208" customWidth="1"/>
    <col min="8466" max="8704" width="8.42578125" style="208"/>
    <col min="8705" max="8705" width="10" style="208" bestFit="1" customWidth="1"/>
    <col min="8706" max="8706" width="44.28515625" style="208" bestFit="1" customWidth="1"/>
    <col min="8707" max="8707" width="10.42578125" style="208" bestFit="1" customWidth="1"/>
    <col min="8708" max="8708" width="10.42578125" style="208" customWidth="1"/>
    <col min="8709" max="8709" width="9.7109375" style="208" bestFit="1" customWidth="1"/>
    <col min="8710" max="8711" width="9.5703125" style="208" bestFit="1" customWidth="1"/>
    <col min="8712" max="8712" width="10.42578125" style="208" bestFit="1" customWidth="1"/>
    <col min="8713" max="8713" width="4.5703125" style="208" customWidth="1"/>
    <col min="8714" max="8714" width="1.85546875" style="208" customWidth="1"/>
    <col min="8715" max="8715" width="7" style="208" bestFit="1" customWidth="1"/>
    <col min="8716" max="8716" width="6.28515625" style="208" customWidth="1"/>
    <col min="8717" max="8717" width="20.42578125" style="208" customWidth="1"/>
    <col min="8718" max="8718" width="6.42578125" style="208" bestFit="1" customWidth="1"/>
    <col min="8719" max="8720" width="8.42578125" style="208"/>
    <col min="8721" max="8721" width="3.28515625" style="208" customWidth="1"/>
    <col min="8722" max="8960" width="8.42578125" style="208"/>
    <col min="8961" max="8961" width="10" style="208" bestFit="1" customWidth="1"/>
    <col min="8962" max="8962" width="44.28515625" style="208" bestFit="1" customWidth="1"/>
    <col min="8963" max="8963" width="10.42578125" style="208" bestFit="1" customWidth="1"/>
    <col min="8964" max="8964" width="10.42578125" style="208" customWidth="1"/>
    <col min="8965" max="8965" width="9.7109375" style="208" bestFit="1" customWidth="1"/>
    <col min="8966" max="8967" width="9.5703125" style="208" bestFit="1" customWidth="1"/>
    <col min="8968" max="8968" width="10.42578125" style="208" bestFit="1" customWidth="1"/>
    <col min="8969" max="8969" width="4.5703125" style="208" customWidth="1"/>
    <col min="8970" max="8970" width="1.85546875" style="208" customWidth="1"/>
    <col min="8971" max="8971" width="7" style="208" bestFit="1" customWidth="1"/>
    <col min="8972" max="8972" width="6.28515625" style="208" customWidth="1"/>
    <col min="8973" max="8973" width="20.42578125" style="208" customWidth="1"/>
    <col min="8974" max="8974" width="6.42578125" style="208" bestFit="1" customWidth="1"/>
    <col min="8975" max="8976" width="8.42578125" style="208"/>
    <col min="8977" max="8977" width="3.28515625" style="208" customWidth="1"/>
    <col min="8978" max="9216" width="8.42578125" style="208"/>
    <col min="9217" max="9217" width="10" style="208" bestFit="1" customWidth="1"/>
    <col min="9218" max="9218" width="44.28515625" style="208" bestFit="1" customWidth="1"/>
    <col min="9219" max="9219" width="10.42578125" style="208" bestFit="1" customWidth="1"/>
    <col min="9220" max="9220" width="10.42578125" style="208" customWidth="1"/>
    <col min="9221" max="9221" width="9.7109375" style="208" bestFit="1" customWidth="1"/>
    <col min="9222" max="9223" width="9.5703125" style="208" bestFit="1" customWidth="1"/>
    <col min="9224" max="9224" width="10.42578125" style="208" bestFit="1" customWidth="1"/>
    <col min="9225" max="9225" width="4.5703125" style="208" customWidth="1"/>
    <col min="9226" max="9226" width="1.85546875" style="208" customWidth="1"/>
    <col min="9227" max="9227" width="7" style="208" bestFit="1" customWidth="1"/>
    <col min="9228" max="9228" width="6.28515625" style="208" customWidth="1"/>
    <col min="9229" max="9229" width="20.42578125" style="208" customWidth="1"/>
    <col min="9230" max="9230" width="6.42578125" style="208" bestFit="1" customWidth="1"/>
    <col min="9231" max="9232" width="8.42578125" style="208"/>
    <col min="9233" max="9233" width="3.28515625" style="208" customWidth="1"/>
    <col min="9234" max="9472" width="8.42578125" style="208"/>
    <col min="9473" max="9473" width="10" style="208" bestFit="1" customWidth="1"/>
    <col min="9474" max="9474" width="44.28515625" style="208" bestFit="1" customWidth="1"/>
    <col min="9475" max="9475" width="10.42578125" style="208" bestFit="1" customWidth="1"/>
    <col min="9476" max="9476" width="10.42578125" style="208" customWidth="1"/>
    <col min="9477" max="9477" width="9.7109375" style="208" bestFit="1" customWidth="1"/>
    <col min="9478" max="9479" width="9.5703125" style="208" bestFit="1" customWidth="1"/>
    <col min="9480" max="9480" width="10.42578125" style="208" bestFit="1" customWidth="1"/>
    <col min="9481" max="9481" width="4.5703125" style="208" customWidth="1"/>
    <col min="9482" max="9482" width="1.85546875" style="208" customWidth="1"/>
    <col min="9483" max="9483" width="7" style="208" bestFit="1" customWidth="1"/>
    <col min="9484" max="9484" width="6.28515625" style="208" customWidth="1"/>
    <col min="9485" max="9485" width="20.42578125" style="208" customWidth="1"/>
    <col min="9486" max="9486" width="6.42578125" style="208" bestFit="1" customWidth="1"/>
    <col min="9487" max="9488" width="8.42578125" style="208"/>
    <col min="9489" max="9489" width="3.28515625" style="208" customWidth="1"/>
    <col min="9490" max="9728" width="8.42578125" style="208"/>
    <col min="9729" max="9729" width="10" style="208" bestFit="1" customWidth="1"/>
    <col min="9730" max="9730" width="44.28515625" style="208" bestFit="1" customWidth="1"/>
    <col min="9731" max="9731" width="10.42578125" style="208" bestFit="1" customWidth="1"/>
    <col min="9732" max="9732" width="10.42578125" style="208" customWidth="1"/>
    <col min="9733" max="9733" width="9.7109375" style="208" bestFit="1" customWidth="1"/>
    <col min="9734" max="9735" width="9.5703125" style="208" bestFit="1" customWidth="1"/>
    <col min="9736" max="9736" width="10.42578125" style="208" bestFit="1" customWidth="1"/>
    <col min="9737" max="9737" width="4.5703125" style="208" customWidth="1"/>
    <col min="9738" max="9738" width="1.85546875" style="208" customWidth="1"/>
    <col min="9739" max="9739" width="7" style="208" bestFit="1" customWidth="1"/>
    <col min="9740" max="9740" width="6.28515625" style="208" customWidth="1"/>
    <col min="9741" max="9741" width="20.42578125" style="208" customWidth="1"/>
    <col min="9742" max="9742" width="6.42578125" style="208" bestFit="1" customWidth="1"/>
    <col min="9743" max="9744" width="8.42578125" style="208"/>
    <col min="9745" max="9745" width="3.28515625" style="208" customWidth="1"/>
    <col min="9746" max="9984" width="8.42578125" style="208"/>
    <col min="9985" max="9985" width="10" style="208" bestFit="1" customWidth="1"/>
    <col min="9986" max="9986" width="44.28515625" style="208" bestFit="1" customWidth="1"/>
    <col min="9987" max="9987" width="10.42578125" style="208" bestFit="1" customWidth="1"/>
    <col min="9988" max="9988" width="10.42578125" style="208" customWidth="1"/>
    <col min="9989" max="9989" width="9.7109375" style="208" bestFit="1" customWidth="1"/>
    <col min="9990" max="9991" width="9.5703125" style="208" bestFit="1" customWidth="1"/>
    <col min="9992" max="9992" width="10.42578125" style="208" bestFit="1" customWidth="1"/>
    <col min="9993" max="9993" width="4.5703125" style="208" customWidth="1"/>
    <col min="9994" max="9994" width="1.85546875" style="208" customWidth="1"/>
    <col min="9995" max="9995" width="7" style="208" bestFit="1" customWidth="1"/>
    <col min="9996" max="9996" width="6.28515625" style="208" customWidth="1"/>
    <col min="9997" max="9997" width="20.42578125" style="208" customWidth="1"/>
    <col min="9998" max="9998" width="6.42578125" style="208" bestFit="1" customWidth="1"/>
    <col min="9999" max="10000" width="8.42578125" style="208"/>
    <col min="10001" max="10001" width="3.28515625" style="208" customWidth="1"/>
    <col min="10002" max="10240" width="8.42578125" style="208"/>
    <col min="10241" max="10241" width="10" style="208" bestFit="1" customWidth="1"/>
    <col min="10242" max="10242" width="44.28515625" style="208" bestFit="1" customWidth="1"/>
    <col min="10243" max="10243" width="10.42578125" style="208" bestFit="1" customWidth="1"/>
    <col min="10244" max="10244" width="10.42578125" style="208" customWidth="1"/>
    <col min="10245" max="10245" width="9.7109375" style="208" bestFit="1" customWidth="1"/>
    <col min="10246" max="10247" width="9.5703125" style="208" bestFit="1" customWidth="1"/>
    <col min="10248" max="10248" width="10.42578125" style="208" bestFit="1" customWidth="1"/>
    <col min="10249" max="10249" width="4.5703125" style="208" customWidth="1"/>
    <col min="10250" max="10250" width="1.85546875" style="208" customWidth="1"/>
    <col min="10251" max="10251" width="7" style="208" bestFit="1" customWidth="1"/>
    <col min="10252" max="10252" width="6.28515625" style="208" customWidth="1"/>
    <col min="10253" max="10253" width="20.42578125" style="208" customWidth="1"/>
    <col min="10254" max="10254" width="6.42578125" style="208" bestFit="1" customWidth="1"/>
    <col min="10255" max="10256" width="8.42578125" style="208"/>
    <col min="10257" max="10257" width="3.28515625" style="208" customWidth="1"/>
    <col min="10258" max="10496" width="8.42578125" style="208"/>
    <col min="10497" max="10497" width="10" style="208" bestFit="1" customWidth="1"/>
    <col min="10498" max="10498" width="44.28515625" style="208" bestFit="1" customWidth="1"/>
    <col min="10499" max="10499" width="10.42578125" style="208" bestFit="1" customWidth="1"/>
    <col min="10500" max="10500" width="10.42578125" style="208" customWidth="1"/>
    <col min="10501" max="10501" width="9.7109375" style="208" bestFit="1" customWidth="1"/>
    <col min="10502" max="10503" width="9.5703125" style="208" bestFit="1" customWidth="1"/>
    <col min="10504" max="10504" width="10.42578125" style="208" bestFit="1" customWidth="1"/>
    <col min="10505" max="10505" width="4.5703125" style="208" customWidth="1"/>
    <col min="10506" max="10506" width="1.85546875" style="208" customWidth="1"/>
    <col min="10507" max="10507" width="7" style="208" bestFit="1" customWidth="1"/>
    <col min="10508" max="10508" width="6.28515625" style="208" customWidth="1"/>
    <col min="10509" max="10509" width="20.42578125" style="208" customWidth="1"/>
    <col min="10510" max="10510" width="6.42578125" style="208" bestFit="1" customWidth="1"/>
    <col min="10511" max="10512" width="8.42578125" style="208"/>
    <col min="10513" max="10513" width="3.28515625" style="208" customWidth="1"/>
    <col min="10514" max="10752" width="8.42578125" style="208"/>
    <col min="10753" max="10753" width="10" style="208" bestFit="1" customWidth="1"/>
    <col min="10754" max="10754" width="44.28515625" style="208" bestFit="1" customWidth="1"/>
    <col min="10755" max="10755" width="10.42578125" style="208" bestFit="1" customWidth="1"/>
    <col min="10756" max="10756" width="10.42578125" style="208" customWidth="1"/>
    <col min="10757" max="10757" width="9.7109375" style="208" bestFit="1" customWidth="1"/>
    <col min="10758" max="10759" width="9.5703125" style="208" bestFit="1" customWidth="1"/>
    <col min="10760" max="10760" width="10.42578125" style="208" bestFit="1" customWidth="1"/>
    <col min="10761" max="10761" width="4.5703125" style="208" customWidth="1"/>
    <col min="10762" max="10762" width="1.85546875" style="208" customWidth="1"/>
    <col min="10763" max="10763" width="7" style="208" bestFit="1" customWidth="1"/>
    <col min="10764" max="10764" width="6.28515625" style="208" customWidth="1"/>
    <col min="10765" max="10765" width="20.42578125" style="208" customWidth="1"/>
    <col min="10766" max="10766" width="6.42578125" style="208" bestFit="1" customWidth="1"/>
    <col min="10767" max="10768" width="8.42578125" style="208"/>
    <col min="10769" max="10769" width="3.28515625" style="208" customWidth="1"/>
    <col min="10770" max="11008" width="8.42578125" style="208"/>
    <col min="11009" max="11009" width="10" style="208" bestFit="1" customWidth="1"/>
    <col min="11010" max="11010" width="44.28515625" style="208" bestFit="1" customWidth="1"/>
    <col min="11011" max="11011" width="10.42578125" style="208" bestFit="1" customWidth="1"/>
    <col min="11012" max="11012" width="10.42578125" style="208" customWidth="1"/>
    <col min="11013" max="11013" width="9.7109375" style="208" bestFit="1" customWidth="1"/>
    <col min="11014" max="11015" width="9.5703125" style="208" bestFit="1" customWidth="1"/>
    <col min="11016" max="11016" width="10.42578125" style="208" bestFit="1" customWidth="1"/>
    <col min="11017" max="11017" width="4.5703125" style="208" customWidth="1"/>
    <col min="11018" max="11018" width="1.85546875" style="208" customWidth="1"/>
    <col min="11019" max="11019" width="7" style="208" bestFit="1" customWidth="1"/>
    <col min="11020" max="11020" width="6.28515625" style="208" customWidth="1"/>
    <col min="11021" max="11021" width="20.42578125" style="208" customWidth="1"/>
    <col min="11022" max="11022" width="6.42578125" style="208" bestFit="1" customWidth="1"/>
    <col min="11023" max="11024" width="8.42578125" style="208"/>
    <col min="11025" max="11025" width="3.28515625" style="208" customWidth="1"/>
    <col min="11026" max="11264" width="8.42578125" style="208"/>
    <col min="11265" max="11265" width="10" style="208" bestFit="1" customWidth="1"/>
    <col min="11266" max="11266" width="44.28515625" style="208" bestFit="1" customWidth="1"/>
    <col min="11267" max="11267" width="10.42578125" style="208" bestFit="1" customWidth="1"/>
    <col min="11268" max="11268" width="10.42578125" style="208" customWidth="1"/>
    <col min="11269" max="11269" width="9.7109375" style="208" bestFit="1" customWidth="1"/>
    <col min="11270" max="11271" width="9.5703125" style="208" bestFit="1" customWidth="1"/>
    <col min="11272" max="11272" width="10.42578125" style="208" bestFit="1" customWidth="1"/>
    <col min="11273" max="11273" width="4.5703125" style="208" customWidth="1"/>
    <col min="11274" max="11274" width="1.85546875" style="208" customWidth="1"/>
    <col min="11275" max="11275" width="7" style="208" bestFit="1" customWidth="1"/>
    <col min="11276" max="11276" width="6.28515625" style="208" customWidth="1"/>
    <col min="11277" max="11277" width="20.42578125" style="208" customWidth="1"/>
    <col min="11278" max="11278" width="6.42578125" style="208" bestFit="1" customWidth="1"/>
    <col min="11279" max="11280" width="8.42578125" style="208"/>
    <col min="11281" max="11281" width="3.28515625" style="208" customWidth="1"/>
    <col min="11282" max="11520" width="8.42578125" style="208"/>
    <col min="11521" max="11521" width="10" style="208" bestFit="1" customWidth="1"/>
    <col min="11522" max="11522" width="44.28515625" style="208" bestFit="1" customWidth="1"/>
    <col min="11523" max="11523" width="10.42578125" style="208" bestFit="1" customWidth="1"/>
    <col min="11524" max="11524" width="10.42578125" style="208" customWidth="1"/>
    <col min="11525" max="11525" width="9.7109375" style="208" bestFit="1" customWidth="1"/>
    <col min="11526" max="11527" width="9.5703125" style="208" bestFit="1" customWidth="1"/>
    <col min="11528" max="11528" width="10.42578125" style="208" bestFit="1" customWidth="1"/>
    <col min="11529" max="11529" width="4.5703125" style="208" customWidth="1"/>
    <col min="11530" max="11530" width="1.85546875" style="208" customWidth="1"/>
    <col min="11531" max="11531" width="7" style="208" bestFit="1" customWidth="1"/>
    <col min="11532" max="11532" width="6.28515625" style="208" customWidth="1"/>
    <col min="11533" max="11533" width="20.42578125" style="208" customWidth="1"/>
    <col min="11534" max="11534" width="6.42578125" style="208" bestFit="1" customWidth="1"/>
    <col min="11535" max="11536" width="8.42578125" style="208"/>
    <col min="11537" max="11537" width="3.28515625" style="208" customWidth="1"/>
    <col min="11538" max="11776" width="8.42578125" style="208"/>
    <col min="11777" max="11777" width="10" style="208" bestFit="1" customWidth="1"/>
    <col min="11778" max="11778" width="44.28515625" style="208" bestFit="1" customWidth="1"/>
    <col min="11779" max="11779" width="10.42578125" style="208" bestFit="1" customWidth="1"/>
    <col min="11780" max="11780" width="10.42578125" style="208" customWidth="1"/>
    <col min="11781" max="11781" width="9.7109375" style="208" bestFit="1" customWidth="1"/>
    <col min="11782" max="11783" width="9.5703125" style="208" bestFit="1" customWidth="1"/>
    <col min="11784" max="11784" width="10.42578125" style="208" bestFit="1" customWidth="1"/>
    <col min="11785" max="11785" width="4.5703125" style="208" customWidth="1"/>
    <col min="11786" max="11786" width="1.85546875" style="208" customWidth="1"/>
    <col min="11787" max="11787" width="7" style="208" bestFit="1" customWidth="1"/>
    <col min="11788" max="11788" width="6.28515625" style="208" customWidth="1"/>
    <col min="11789" max="11789" width="20.42578125" style="208" customWidth="1"/>
    <col min="11790" max="11790" width="6.42578125" style="208" bestFit="1" customWidth="1"/>
    <col min="11791" max="11792" width="8.42578125" style="208"/>
    <col min="11793" max="11793" width="3.28515625" style="208" customWidth="1"/>
    <col min="11794" max="12032" width="8.42578125" style="208"/>
    <col min="12033" max="12033" width="10" style="208" bestFit="1" customWidth="1"/>
    <col min="12034" max="12034" width="44.28515625" style="208" bestFit="1" customWidth="1"/>
    <col min="12035" max="12035" width="10.42578125" style="208" bestFit="1" customWidth="1"/>
    <col min="12036" max="12036" width="10.42578125" style="208" customWidth="1"/>
    <col min="12037" max="12037" width="9.7109375" style="208" bestFit="1" customWidth="1"/>
    <col min="12038" max="12039" width="9.5703125" style="208" bestFit="1" customWidth="1"/>
    <col min="12040" max="12040" width="10.42578125" style="208" bestFit="1" customWidth="1"/>
    <col min="12041" max="12041" width="4.5703125" style="208" customWidth="1"/>
    <col min="12042" max="12042" width="1.85546875" style="208" customWidth="1"/>
    <col min="12043" max="12043" width="7" style="208" bestFit="1" customWidth="1"/>
    <col min="12044" max="12044" width="6.28515625" style="208" customWidth="1"/>
    <col min="12045" max="12045" width="20.42578125" style="208" customWidth="1"/>
    <col min="12046" max="12046" width="6.42578125" style="208" bestFit="1" customWidth="1"/>
    <col min="12047" max="12048" width="8.42578125" style="208"/>
    <col min="12049" max="12049" width="3.28515625" style="208" customWidth="1"/>
    <col min="12050" max="12288" width="8.42578125" style="208"/>
    <col min="12289" max="12289" width="10" style="208" bestFit="1" customWidth="1"/>
    <col min="12290" max="12290" width="44.28515625" style="208" bestFit="1" customWidth="1"/>
    <col min="12291" max="12291" width="10.42578125" style="208" bestFit="1" customWidth="1"/>
    <col min="12292" max="12292" width="10.42578125" style="208" customWidth="1"/>
    <col min="12293" max="12293" width="9.7109375" style="208" bestFit="1" customWidth="1"/>
    <col min="12294" max="12295" width="9.5703125" style="208" bestFit="1" customWidth="1"/>
    <col min="12296" max="12296" width="10.42578125" style="208" bestFit="1" customWidth="1"/>
    <col min="12297" max="12297" width="4.5703125" style="208" customWidth="1"/>
    <col min="12298" max="12298" width="1.85546875" style="208" customWidth="1"/>
    <col min="12299" max="12299" width="7" style="208" bestFit="1" customWidth="1"/>
    <col min="12300" max="12300" width="6.28515625" style="208" customWidth="1"/>
    <col min="12301" max="12301" width="20.42578125" style="208" customWidth="1"/>
    <col min="12302" max="12302" width="6.42578125" style="208" bestFit="1" customWidth="1"/>
    <col min="12303" max="12304" width="8.42578125" style="208"/>
    <col min="12305" max="12305" width="3.28515625" style="208" customWidth="1"/>
    <col min="12306" max="12544" width="8.42578125" style="208"/>
    <col min="12545" max="12545" width="10" style="208" bestFit="1" customWidth="1"/>
    <col min="12546" max="12546" width="44.28515625" style="208" bestFit="1" customWidth="1"/>
    <col min="12547" max="12547" width="10.42578125" style="208" bestFit="1" customWidth="1"/>
    <col min="12548" max="12548" width="10.42578125" style="208" customWidth="1"/>
    <col min="12549" max="12549" width="9.7109375" style="208" bestFit="1" customWidth="1"/>
    <col min="12550" max="12551" width="9.5703125" style="208" bestFit="1" customWidth="1"/>
    <col min="12552" max="12552" width="10.42578125" style="208" bestFit="1" customWidth="1"/>
    <col min="12553" max="12553" width="4.5703125" style="208" customWidth="1"/>
    <col min="12554" max="12554" width="1.85546875" style="208" customWidth="1"/>
    <col min="12555" max="12555" width="7" style="208" bestFit="1" customWidth="1"/>
    <col min="12556" max="12556" width="6.28515625" style="208" customWidth="1"/>
    <col min="12557" max="12557" width="20.42578125" style="208" customWidth="1"/>
    <col min="12558" max="12558" width="6.42578125" style="208" bestFit="1" customWidth="1"/>
    <col min="12559" max="12560" width="8.42578125" style="208"/>
    <col min="12561" max="12561" width="3.28515625" style="208" customWidth="1"/>
    <col min="12562" max="12800" width="8.42578125" style="208"/>
    <col min="12801" max="12801" width="10" style="208" bestFit="1" customWidth="1"/>
    <col min="12802" max="12802" width="44.28515625" style="208" bestFit="1" customWidth="1"/>
    <col min="12803" max="12803" width="10.42578125" style="208" bestFit="1" customWidth="1"/>
    <col min="12804" max="12804" width="10.42578125" style="208" customWidth="1"/>
    <col min="12805" max="12805" width="9.7109375" style="208" bestFit="1" customWidth="1"/>
    <col min="12806" max="12807" width="9.5703125" style="208" bestFit="1" customWidth="1"/>
    <col min="12808" max="12808" width="10.42578125" style="208" bestFit="1" customWidth="1"/>
    <col min="12809" max="12809" width="4.5703125" style="208" customWidth="1"/>
    <col min="12810" max="12810" width="1.85546875" style="208" customWidth="1"/>
    <col min="12811" max="12811" width="7" style="208" bestFit="1" customWidth="1"/>
    <col min="12812" max="12812" width="6.28515625" style="208" customWidth="1"/>
    <col min="12813" max="12813" width="20.42578125" style="208" customWidth="1"/>
    <col min="12814" max="12814" width="6.42578125" style="208" bestFit="1" customWidth="1"/>
    <col min="12815" max="12816" width="8.42578125" style="208"/>
    <col min="12817" max="12817" width="3.28515625" style="208" customWidth="1"/>
    <col min="12818" max="13056" width="8.42578125" style="208"/>
    <col min="13057" max="13057" width="10" style="208" bestFit="1" customWidth="1"/>
    <col min="13058" max="13058" width="44.28515625" style="208" bestFit="1" customWidth="1"/>
    <col min="13059" max="13059" width="10.42578125" style="208" bestFit="1" customWidth="1"/>
    <col min="13060" max="13060" width="10.42578125" style="208" customWidth="1"/>
    <col min="13061" max="13061" width="9.7109375" style="208" bestFit="1" customWidth="1"/>
    <col min="13062" max="13063" width="9.5703125" style="208" bestFit="1" customWidth="1"/>
    <col min="13064" max="13064" width="10.42578125" style="208" bestFit="1" customWidth="1"/>
    <col min="13065" max="13065" width="4.5703125" style="208" customWidth="1"/>
    <col min="13066" max="13066" width="1.85546875" style="208" customWidth="1"/>
    <col min="13067" max="13067" width="7" style="208" bestFit="1" customWidth="1"/>
    <col min="13068" max="13068" width="6.28515625" style="208" customWidth="1"/>
    <col min="13069" max="13069" width="20.42578125" style="208" customWidth="1"/>
    <col min="13070" max="13070" width="6.42578125" style="208" bestFit="1" customWidth="1"/>
    <col min="13071" max="13072" width="8.42578125" style="208"/>
    <col min="13073" max="13073" width="3.28515625" style="208" customWidth="1"/>
    <col min="13074" max="13312" width="8.42578125" style="208"/>
    <col min="13313" max="13313" width="10" style="208" bestFit="1" customWidth="1"/>
    <col min="13314" max="13314" width="44.28515625" style="208" bestFit="1" customWidth="1"/>
    <col min="13315" max="13315" width="10.42578125" style="208" bestFit="1" customWidth="1"/>
    <col min="13316" max="13316" width="10.42578125" style="208" customWidth="1"/>
    <col min="13317" max="13317" width="9.7109375" style="208" bestFit="1" customWidth="1"/>
    <col min="13318" max="13319" width="9.5703125" style="208" bestFit="1" customWidth="1"/>
    <col min="13320" max="13320" width="10.42578125" style="208" bestFit="1" customWidth="1"/>
    <col min="13321" max="13321" width="4.5703125" style="208" customWidth="1"/>
    <col min="13322" max="13322" width="1.85546875" style="208" customWidth="1"/>
    <col min="13323" max="13323" width="7" style="208" bestFit="1" customWidth="1"/>
    <col min="13324" max="13324" width="6.28515625" style="208" customWidth="1"/>
    <col min="13325" max="13325" width="20.42578125" style="208" customWidth="1"/>
    <col min="13326" max="13326" width="6.42578125" style="208" bestFit="1" customWidth="1"/>
    <col min="13327" max="13328" width="8.42578125" style="208"/>
    <col min="13329" max="13329" width="3.28515625" style="208" customWidth="1"/>
    <col min="13330" max="13568" width="8.42578125" style="208"/>
    <col min="13569" max="13569" width="10" style="208" bestFit="1" customWidth="1"/>
    <col min="13570" max="13570" width="44.28515625" style="208" bestFit="1" customWidth="1"/>
    <col min="13571" max="13571" width="10.42578125" style="208" bestFit="1" customWidth="1"/>
    <col min="13572" max="13572" width="10.42578125" style="208" customWidth="1"/>
    <col min="13573" max="13573" width="9.7109375" style="208" bestFit="1" customWidth="1"/>
    <col min="13574" max="13575" width="9.5703125" style="208" bestFit="1" customWidth="1"/>
    <col min="13576" max="13576" width="10.42578125" style="208" bestFit="1" customWidth="1"/>
    <col min="13577" max="13577" width="4.5703125" style="208" customWidth="1"/>
    <col min="13578" max="13578" width="1.85546875" style="208" customWidth="1"/>
    <col min="13579" max="13579" width="7" style="208" bestFit="1" customWidth="1"/>
    <col min="13580" max="13580" width="6.28515625" style="208" customWidth="1"/>
    <col min="13581" max="13581" width="20.42578125" style="208" customWidth="1"/>
    <col min="13582" max="13582" width="6.42578125" style="208" bestFit="1" customWidth="1"/>
    <col min="13583" max="13584" width="8.42578125" style="208"/>
    <col min="13585" max="13585" width="3.28515625" style="208" customWidth="1"/>
    <col min="13586" max="13824" width="8.42578125" style="208"/>
    <col min="13825" max="13825" width="10" style="208" bestFit="1" customWidth="1"/>
    <col min="13826" max="13826" width="44.28515625" style="208" bestFit="1" customWidth="1"/>
    <col min="13827" max="13827" width="10.42578125" style="208" bestFit="1" customWidth="1"/>
    <col min="13828" max="13828" width="10.42578125" style="208" customWidth="1"/>
    <col min="13829" max="13829" width="9.7109375" style="208" bestFit="1" customWidth="1"/>
    <col min="13830" max="13831" width="9.5703125" style="208" bestFit="1" customWidth="1"/>
    <col min="13832" max="13832" width="10.42578125" style="208" bestFit="1" customWidth="1"/>
    <col min="13833" max="13833" width="4.5703125" style="208" customWidth="1"/>
    <col min="13834" max="13834" width="1.85546875" style="208" customWidth="1"/>
    <col min="13835" max="13835" width="7" style="208" bestFit="1" customWidth="1"/>
    <col min="13836" max="13836" width="6.28515625" style="208" customWidth="1"/>
    <col min="13837" max="13837" width="20.42578125" style="208" customWidth="1"/>
    <col min="13838" max="13838" width="6.42578125" style="208" bestFit="1" customWidth="1"/>
    <col min="13839" max="13840" width="8.42578125" style="208"/>
    <col min="13841" max="13841" width="3.28515625" style="208" customWidth="1"/>
    <col min="13842" max="14080" width="8.42578125" style="208"/>
    <col min="14081" max="14081" width="10" style="208" bestFit="1" customWidth="1"/>
    <col min="14082" max="14082" width="44.28515625" style="208" bestFit="1" customWidth="1"/>
    <col min="14083" max="14083" width="10.42578125" style="208" bestFit="1" customWidth="1"/>
    <col min="14084" max="14084" width="10.42578125" style="208" customWidth="1"/>
    <col min="14085" max="14085" width="9.7109375" style="208" bestFit="1" customWidth="1"/>
    <col min="14086" max="14087" width="9.5703125" style="208" bestFit="1" customWidth="1"/>
    <col min="14088" max="14088" width="10.42578125" style="208" bestFit="1" customWidth="1"/>
    <col min="14089" max="14089" width="4.5703125" style="208" customWidth="1"/>
    <col min="14090" max="14090" width="1.85546875" style="208" customWidth="1"/>
    <col min="14091" max="14091" width="7" style="208" bestFit="1" customWidth="1"/>
    <col min="14092" max="14092" width="6.28515625" style="208" customWidth="1"/>
    <col min="14093" max="14093" width="20.42578125" style="208" customWidth="1"/>
    <col min="14094" max="14094" width="6.42578125" style="208" bestFit="1" customWidth="1"/>
    <col min="14095" max="14096" width="8.42578125" style="208"/>
    <col min="14097" max="14097" width="3.28515625" style="208" customWidth="1"/>
    <col min="14098" max="14336" width="8.42578125" style="208"/>
    <col min="14337" max="14337" width="10" style="208" bestFit="1" customWidth="1"/>
    <col min="14338" max="14338" width="44.28515625" style="208" bestFit="1" customWidth="1"/>
    <col min="14339" max="14339" width="10.42578125" style="208" bestFit="1" customWidth="1"/>
    <col min="14340" max="14340" width="10.42578125" style="208" customWidth="1"/>
    <col min="14341" max="14341" width="9.7109375" style="208" bestFit="1" customWidth="1"/>
    <col min="14342" max="14343" width="9.5703125" style="208" bestFit="1" customWidth="1"/>
    <col min="14344" max="14344" width="10.42578125" style="208" bestFit="1" customWidth="1"/>
    <col min="14345" max="14345" width="4.5703125" style="208" customWidth="1"/>
    <col min="14346" max="14346" width="1.85546875" style="208" customWidth="1"/>
    <col min="14347" max="14347" width="7" style="208" bestFit="1" customWidth="1"/>
    <col min="14348" max="14348" width="6.28515625" style="208" customWidth="1"/>
    <col min="14349" max="14349" width="20.42578125" style="208" customWidth="1"/>
    <col min="14350" max="14350" width="6.42578125" style="208" bestFit="1" customWidth="1"/>
    <col min="14351" max="14352" width="8.42578125" style="208"/>
    <col min="14353" max="14353" width="3.28515625" style="208" customWidth="1"/>
    <col min="14354" max="14592" width="8.42578125" style="208"/>
    <col min="14593" max="14593" width="10" style="208" bestFit="1" customWidth="1"/>
    <col min="14594" max="14594" width="44.28515625" style="208" bestFit="1" customWidth="1"/>
    <col min="14595" max="14595" width="10.42578125" style="208" bestFit="1" customWidth="1"/>
    <col min="14596" max="14596" width="10.42578125" style="208" customWidth="1"/>
    <col min="14597" max="14597" width="9.7109375" style="208" bestFit="1" customWidth="1"/>
    <col min="14598" max="14599" width="9.5703125" style="208" bestFit="1" customWidth="1"/>
    <col min="14600" max="14600" width="10.42578125" style="208" bestFit="1" customWidth="1"/>
    <col min="14601" max="14601" width="4.5703125" style="208" customWidth="1"/>
    <col min="14602" max="14602" width="1.85546875" style="208" customWidth="1"/>
    <col min="14603" max="14603" width="7" style="208" bestFit="1" customWidth="1"/>
    <col min="14604" max="14604" width="6.28515625" style="208" customWidth="1"/>
    <col min="14605" max="14605" width="20.42578125" style="208" customWidth="1"/>
    <col min="14606" max="14606" width="6.42578125" style="208" bestFit="1" customWidth="1"/>
    <col min="14607" max="14608" width="8.42578125" style="208"/>
    <col min="14609" max="14609" width="3.28515625" style="208" customWidth="1"/>
    <col min="14610" max="14848" width="8.42578125" style="208"/>
    <col min="14849" max="14849" width="10" style="208" bestFit="1" customWidth="1"/>
    <col min="14850" max="14850" width="44.28515625" style="208" bestFit="1" customWidth="1"/>
    <col min="14851" max="14851" width="10.42578125" style="208" bestFit="1" customWidth="1"/>
    <col min="14852" max="14852" width="10.42578125" style="208" customWidth="1"/>
    <col min="14853" max="14853" width="9.7109375" style="208" bestFit="1" customWidth="1"/>
    <col min="14854" max="14855" width="9.5703125" style="208" bestFit="1" customWidth="1"/>
    <col min="14856" max="14856" width="10.42578125" style="208" bestFit="1" customWidth="1"/>
    <col min="14857" max="14857" width="4.5703125" style="208" customWidth="1"/>
    <col min="14858" max="14858" width="1.85546875" style="208" customWidth="1"/>
    <col min="14859" max="14859" width="7" style="208" bestFit="1" customWidth="1"/>
    <col min="14860" max="14860" width="6.28515625" style="208" customWidth="1"/>
    <col min="14861" max="14861" width="20.42578125" style="208" customWidth="1"/>
    <col min="14862" max="14862" width="6.42578125" style="208" bestFit="1" customWidth="1"/>
    <col min="14863" max="14864" width="8.42578125" style="208"/>
    <col min="14865" max="14865" width="3.28515625" style="208" customWidth="1"/>
    <col min="14866" max="15104" width="8.42578125" style="208"/>
    <col min="15105" max="15105" width="10" style="208" bestFit="1" customWidth="1"/>
    <col min="15106" max="15106" width="44.28515625" style="208" bestFit="1" customWidth="1"/>
    <col min="15107" max="15107" width="10.42578125" style="208" bestFit="1" customWidth="1"/>
    <col min="15108" max="15108" width="10.42578125" style="208" customWidth="1"/>
    <col min="15109" max="15109" width="9.7109375" style="208" bestFit="1" customWidth="1"/>
    <col min="15110" max="15111" width="9.5703125" style="208" bestFit="1" customWidth="1"/>
    <col min="15112" max="15112" width="10.42578125" style="208" bestFit="1" customWidth="1"/>
    <col min="15113" max="15113" width="4.5703125" style="208" customWidth="1"/>
    <col min="15114" max="15114" width="1.85546875" style="208" customWidth="1"/>
    <col min="15115" max="15115" width="7" style="208" bestFit="1" customWidth="1"/>
    <col min="15116" max="15116" width="6.28515625" style="208" customWidth="1"/>
    <col min="15117" max="15117" width="20.42578125" style="208" customWidth="1"/>
    <col min="15118" max="15118" width="6.42578125" style="208" bestFit="1" customWidth="1"/>
    <col min="15119" max="15120" width="8.42578125" style="208"/>
    <col min="15121" max="15121" width="3.28515625" style="208" customWidth="1"/>
    <col min="15122" max="15360" width="8.42578125" style="208"/>
    <col min="15361" max="15361" width="10" style="208" bestFit="1" customWidth="1"/>
    <col min="15362" max="15362" width="44.28515625" style="208" bestFit="1" customWidth="1"/>
    <col min="15363" max="15363" width="10.42578125" style="208" bestFit="1" customWidth="1"/>
    <col min="15364" max="15364" width="10.42578125" style="208" customWidth="1"/>
    <col min="15365" max="15365" width="9.7109375" style="208" bestFit="1" customWidth="1"/>
    <col min="15366" max="15367" width="9.5703125" style="208" bestFit="1" customWidth="1"/>
    <col min="15368" max="15368" width="10.42578125" style="208" bestFit="1" customWidth="1"/>
    <col min="15369" max="15369" width="4.5703125" style="208" customWidth="1"/>
    <col min="15370" max="15370" width="1.85546875" style="208" customWidth="1"/>
    <col min="15371" max="15371" width="7" style="208" bestFit="1" customWidth="1"/>
    <col min="15372" max="15372" width="6.28515625" style="208" customWidth="1"/>
    <col min="15373" max="15373" width="20.42578125" style="208" customWidth="1"/>
    <col min="15374" max="15374" width="6.42578125" style="208" bestFit="1" customWidth="1"/>
    <col min="15375" max="15376" width="8.42578125" style="208"/>
    <col min="15377" max="15377" width="3.28515625" style="208" customWidth="1"/>
    <col min="15378" max="15616" width="8.42578125" style="208"/>
    <col min="15617" max="15617" width="10" style="208" bestFit="1" customWidth="1"/>
    <col min="15618" max="15618" width="44.28515625" style="208" bestFit="1" customWidth="1"/>
    <col min="15619" max="15619" width="10.42578125" style="208" bestFit="1" customWidth="1"/>
    <col min="15620" max="15620" width="10.42578125" style="208" customWidth="1"/>
    <col min="15621" max="15621" width="9.7109375" style="208" bestFit="1" customWidth="1"/>
    <col min="15622" max="15623" width="9.5703125" style="208" bestFit="1" customWidth="1"/>
    <col min="15624" max="15624" width="10.42578125" style="208" bestFit="1" customWidth="1"/>
    <col min="15625" max="15625" width="4.5703125" style="208" customWidth="1"/>
    <col min="15626" max="15626" width="1.85546875" style="208" customWidth="1"/>
    <col min="15627" max="15627" width="7" style="208" bestFit="1" customWidth="1"/>
    <col min="15628" max="15628" width="6.28515625" style="208" customWidth="1"/>
    <col min="15629" max="15629" width="20.42578125" style="208" customWidth="1"/>
    <col min="15630" max="15630" width="6.42578125" style="208" bestFit="1" customWidth="1"/>
    <col min="15631" max="15632" width="8.42578125" style="208"/>
    <col min="15633" max="15633" width="3.28515625" style="208" customWidth="1"/>
    <col min="15634" max="15872" width="8.42578125" style="208"/>
    <col min="15873" max="15873" width="10" style="208" bestFit="1" customWidth="1"/>
    <col min="15874" max="15874" width="44.28515625" style="208" bestFit="1" customWidth="1"/>
    <col min="15875" max="15875" width="10.42578125" style="208" bestFit="1" customWidth="1"/>
    <col min="15876" max="15876" width="10.42578125" style="208" customWidth="1"/>
    <col min="15877" max="15877" width="9.7109375" style="208" bestFit="1" customWidth="1"/>
    <col min="15878" max="15879" width="9.5703125" style="208" bestFit="1" customWidth="1"/>
    <col min="15880" max="15880" width="10.42578125" style="208" bestFit="1" customWidth="1"/>
    <col min="15881" max="15881" width="4.5703125" style="208" customWidth="1"/>
    <col min="15882" max="15882" width="1.85546875" style="208" customWidth="1"/>
    <col min="15883" max="15883" width="7" style="208" bestFit="1" customWidth="1"/>
    <col min="15884" max="15884" width="6.28515625" style="208" customWidth="1"/>
    <col min="15885" max="15885" width="20.42578125" style="208" customWidth="1"/>
    <col min="15886" max="15886" width="6.42578125" style="208" bestFit="1" customWidth="1"/>
    <col min="15887" max="15888" width="8.42578125" style="208"/>
    <col min="15889" max="15889" width="3.28515625" style="208" customWidth="1"/>
    <col min="15890" max="16128" width="8.42578125" style="208"/>
    <col min="16129" max="16129" width="10" style="208" bestFit="1" customWidth="1"/>
    <col min="16130" max="16130" width="44.28515625" style="208" bestFit="1" customWidth="1"/>
    <col min="16131" max="16131" width="10.42578125" style="208" bestFit="1" customWidth="1"/>
    <col min="16132" max="16132" width="10.42578125" style="208" customWidth="1"/>
    <col min="16133" max="16133" width="9.7109375" style="208" bestFit="1" customWidth="1"/>
    <col min="16134" max="16135" width="9.5703125" style="208" bestFit="1" customWidth="1"/>
    <col min="16136" max="16136" width="10.42578125" style="208" bestFit="1" customWidth="1"/>
    <col min="16137" max="16137" width="4.5703125" style="208" customWidth="1"/>
    <col min="16138" max="16138" width="1.85546875" style="208" customWidth="1"/>
    <col min="16139" max="16139" width="7" style="208" bestFit="1" customWidth="1"/>
    <col min="16140" max="16140" width="6.28515625" style="208" customWidth="1"/>
    <col min="16141" max="16141" width="20.42578125" style="208" customWidth="1"/>
    <col min="16142" max="16142" width="6.42578125" style="208" bestFit="1" customWidth="1"/>
    <col min="16143" max="16144" width="8.42578125" style="208"/>
    <col min="16145" max="16145" width="3.28515625" style="208" customWidth="1"/>
    <col min="16146" max="16384" width="8.42578125" style="208"/>
  </cols>
  <sheetData>
    <row r="1" spans="1:10" ht="27.75" customHeight="1" x14ac:dyDescent="0.2">
      <c r="A1" s="203"/>
      <c r="B1" s="203"/>
      <c r="C1" s="203"/>
      <c r="D1" s="203"/>
      <c r="E1" s="204" t="s">
        <v>172</v>
      </c>
      <c r="F1" s="205" t="s">
        <v>173</v>
      </c>
      <c r="G1" s="205" t="s">
        <v>174</v>
      </c>
      <c r="H1" s="205" t="s">
        <v>175</v>
      </c>
      <c r="I1" s="206"/>
    </row>
    <row r="2" spans="1:10" ht="30.75" customHeight="1" x14ac:dyDescent="0.2">
      <c r="A2" s="203"/>
      <c r="B2" s="203"/>
      <c r="C2" s="203"/>
      <c r="D2" s="203"/>
      <c r="E2" s="209">
        <f>IFERROR(O63,"")</f>
        <v>5901.5793468277152</v>
      </c>
      <c r="F2" s="209">
        <f>IFERROR(H54,"")</f>
        <v>4340.7684519311033</v>
      </c>
      <c r="G2" s="209">
        <f>IFERROR(H55,"")</f>
        <v>509.85020353930338</v>
      </c>
      <c r="H2" s="209">
        <f>IFERROR(H57,"")</f>
        <v>573.92888818803397</v>
      </c>
      <c r="I2" s="210"/>
    </row>
    <row r="3" spans="1:10" ht="15" customHeight="1" x14ac:dyDescent="0.2">
      <c r="A3" s="203"/>
      <c r="B3" s="203"/>
      <c r="C3" s="203"/>
      <c r="D3" s="203"/>
      <c r="E3" s="203"/>
      <c r="F3" s="211"/>
      <c r="G3" s="211"/>
      <c r="H3" s="211"/>
      <c r="I3" s="211"/>
    </row>
    <row r="4" spans="1:10" ht="24.75" customHeight="1" thickBot="1" x14ac:dyDescent="0.25">
      <c r="A4" s="728"/>
      <c r="B4" s="728"/>
      <c r="C4" s="728"/>
      <c r="D4" s="728"/>
      <c r="E4" s="728"/>
      <c r="F4" s="728"/>
      <c r="G4" s="728"/>
      <c r="H4" s="728"/>
      <c r="I4" s="212"/>
    </row>
    <row r="5" spans="1:10" ht="19.5" customHeight="1" thickBot="1" x14ac:dyDescent="0.25">
      <c r="A5" s="729" t="s">
        <v>176</v>
      </c>
      <c r="B5" s="730"/>
      <c r="C5" s="730"/>
      <c r="D5" s="730"/>
      <c r="E5" s="730"/>
      <c r="F5" s="730"/>
      <c r="G5" s="730"/>
      <c r="H5" s="731"/>
      <c r="I5" s="213"/>
    </row>
    <row r="6" spans="1:10" ht="19.5" thickBot="1" x14ac:dyDescent="0.25">
      <c r="A6" s="213"/>
      <c r="B6" s="213"/>
      <c r="C6" s="213"/>
      <c r="D6" s="213"/>
      <c r="E6" s="213"/>
      <c r="F6" s="732" t="s">
        <v>177</v>
      </c>
      <c r="G6" s="732"/>
      <c r="H6" s="214">
        <f ca="1">TODAY()</f>
        <v>45831</v>
      </c>
      <c r="I6" s="214"/>
    </row>
    <row r="7" spans="1:10" ht="26.25" thickBot="1" x14ac:dyDescent="0.25">
      <c r="A7" s="215" t="s">
        <v>178</v>
      </c>
      <c r="B7" s="216" t="s">
        <v>179</v>
      </c>
      <c r="C7" s="216" t="s">
        <v>178</v>
      </c>
      <c r="D7" s="217" t="s">
        <v>180</v>
      </c>
      <c r="E7" s="217" t="s">
        <v>181</v>
      </c>
      <c r="F7" s="217" t="s">
        <v>182</v>
      </c>
      <c r="G7" s="217" t="s">
        <v>183</v>
      </c>
      <c r="H7" s="218" t="s">
        <v>184</v>
      </c>
      <c r="I7" s="219"/>
    </row>
    <row r="8" spans="1:10" ht="13.5" x14ac:dyDescent="0.25">
      <c r="A8" s="220">
        <v>50</v>
      </c>
      <c r="B8" s="208" t="s">
        <v>367</v>
      </c>
      <c r="C8" s="221">
        <f>+A8</f>
        <v>50</v>
      </c>
      <c r="D8" s="222" t="s">
        <v>231</v>
      </c>
      <c r="E8" s="222">
        <v>2.27</v>
      </c>
      <c r="F8" s="222">
        <f>IFERROR(C8*E8,"")</f>
        <v>113.5</v>
      </c>
      <c r="G8" s="223">
        <f t="shared" ref="G8:G14" si="0">IFERROR(F8/$F$67,"")</f>
        <v>2.1324829857420336E-2</v>
      </c>
      <c r="H8" s="224" t="s">
        <v>232</v>
      </c>
      <c r="I8" s="224"/>
      <c r="J8" s="225"/>
    </row>
    <row r="9" spans="1:10" ht="13.5" x14ac:dyDescent="0.25">
      <c r="A9" s="220">
        <v>35</v>
      </c>
      <c r="B9" s="208" t="s">
        <v>106</v>
      </c>
      <c r="C9" s="221">
        <f t="shared" ref="C9:C14" si="1">+A9</f>
        <v>35</v>
      </c>
      <c r="D9" s="222" t="s">
        <v>231</v>
      </c>
      <c r="E9" s="222">
        <v>8.4700000000000006</v>
      </c>
      <c r="F9" s="222">
        <f t="shared" ref="F9:F14" si="2">IFERROR(C9*E9,"")</f>
        <v>296.45000000000005</v>
      </c>
      <c r="G9" s="223">
        <f t="shared" si="0"/>
        <v>5.5698200980019909E-2</v>
      </c>
      <c r="H9" s="224" t="s">
        <v>105</v>
      </c>
      <c r="I9" s="224"/>
      <c r="J9" s="225"/>
    </row>
    <row r="10" spans="1:10" ht="13.5" x14ac:dyDescent="0.25">
      <c r="A10" s="220">
        <v>10</v>
      </c>
      <c r="B10" s="208" t="s">
        <v>365</v>
      </c>
      <c r="C10" s="221">
        <f t="shared" si="1"/>
        <v>10</v>
      </c>
      <c r="D10" s="222" t="s">
        <v>231</v>
      </c>
      <c r="E10" s="222">
        <v>2.56</v>
      </c>
      <c r="F10" s="222">
        <f t="shared" si="2"/>
        <v>25.6</v>
      </c>
      <c r="G10" s="223">
        <f t="shared" si="0"/>
        <v>4.80982946563842E-3</v>
      </c>
      <c r="H10" s="224"/>
      <c r="I10" s="224"/>
      <c r="J10" s="225"/>
    </row>
    <row r="11" spans="1:10" ht="13.5" hidden="1" x14ac:dyDescent="0.25">
      <c r="A11" s="220"/>
      <c r="B11" s="208" t="str">
        <f>IFERROR(VLOOKUP(H11,'[1]Consolidado MP Planta'!$A$2:$M$823,3,0),"")</f>
        <v/>
      </c>
      <c r="C11" s="221">
        <f t="shared" si="1"/>
        <v>0</v>
      </c>
      <c r="D11" s="222" t="str">
        <f>IFERROR(VLOOKUP(H11,'[1]Consolidado MP Planta'!$A$2:$M$823,13,0),"")</f>
        <v/>
      </c>
      <c r="E11" s="222" t="str">
        <f>IFERROR(VLOOKUP(H11,'[1]Consolidado MP Planta'!$A$2:$M$823,12,0),"")</f>
        <v/>
      </c>
      <c r="F11" s="222" t="str">
        <f t="shared" si="2"/>
        <v/>
      </c>
      <c r="G11" s="223" t="str">
        <f t="shared" si="0"/>
        <v/>
      </c>
      <c r="H11" s="224"/>
      <c r="I11" s="224"/>
      <c r="J11" s="225"/>
    </row>
    <row r="12" spans="1:10" ht="13.5" hidden="1" x14ac:dyDescent="0.25">
      <c r="A12" s="220"/>
      <c r="B12" s="208" t="str">
        <f>IFERROR(VLOOKUP(H12,'[1]Consolidado MP Planta'!$A$2:$M$823,3,0),"")</f>
        <v/>
      </c>
      <c r="C12" s="221">
        <f t="shared" si="1"/>
        <v>0</v>
      </c>
      <c r="D12" s="222" t="str">
        <f>IFERROR(VLOOKUP(H12,'[1]Consolidado MP Planta'!$A$2:$M$823,13,0),"")</f>
        <v/>
      </c>
      <c r="E12" s="222" t="str">
        <f>IFERROR(VLOOKUP(H12,'[1]Consolidado MP Planta'!$A$2:$M$823,12,0),"")</f>
        <v/>
      </c>
      <c r="F12" s="222" t="str">
        <f t="shared" si="2"/>
        <v/>
      </c>
      <c r="G12" s="223" t="str">
        <f t="shared" si="0"/>
        <v/>
      </c>
      <c r="H12" s="224"/>
      <c r="I12" s="224"/>
      <c r="J12" s="225"/>
    </row>
    <row r="13" spans="1:10" ht="13.5" hidden="1" x14ac:dyDescent="0.25">
      <c r="A13" s="220"/>
      <c r="B13" s="208" t="str">
        <f>IFERROR(VLOOKUP(H13,'[1]Consolidado MP Planta'!$A$2:$M$823,3,0),"")</f>
        <v/>
      </c>
      <c r="C13" s="221">
        <f t="shared" si="1"/>
        <v>0</v>
      </c>
      <c r="D13" s="222" t="str">
        <f>IFERROR(VLOOKUP(H13,'[1]Consolidado MP Planta'!$A$2:$M$823,13,0),"")</f>
        <v/>
      </c>
      <c r="E13" s="222" t="str">
        <f>IFERROR(VLOOKUP(H13,'[1]Consolidado MP Planta'!$A$2:$M$823,12,0),"")</f>
        <v/>
      </c>
      <c r="F13" s="222" t="str">
        <f t="shared" si="2"/>
        <v/>
      </c>
      <c r="G13" s="223" t="str">
        <f t="shared" si="0"/>
        <v/>
      </c>
      <c r="H13" s="224"/>
      <c r="I13" s="224"/>
      <c r="J13" s="225"/>
    </row>
    <row r="14" spans="1:10" ht="13.5" hidden="1" x14ac:dyDescent="0.25">
      <c r="A14" s="220"/>
      <c r="B14" s="208" t="str">
        <f>IFERROR(VLOOKUP(H14,'[1]Consolidado MP Planta'!$A$2:$M$823,3,0),"")</f>
        <v/>
      </c>
      <c r="C14" s="221">
        <f t="shared" si="1"/>
        <v>0</v>
      </c>
      <c r="D14" s="222" t="str">
        <f>IFERROR(VLOOKUP(H14,'[1]Consolidado MP Planta'!$A$2:$M$823,13,0),"")</f>
        <v/>
      </c>
      <c r="E14" s="222" t="str">
        <f>IFERROR(VLOOKUP(H14,'[1]Consolidado MP Planta'!$A$2:$M$823,12,0),"")</f>
        <v/>
      </c>
      <c r="F14" s="222" t="str">
        <f t="shared" si="2"/>
        <v/>
      </c>
      <c r="G14" s="223" t="str">
        <f t="shared" si="0"/>
        <v/>
      </c>
      <c r="H14" s="224"/>
      <c r="I14" s="224"/>
      <c r="J14" s="225"/>
    </row>
    <row r="15" spans="1:10" ht="14.25" thickBot="1" x14ac:dyDescent="0.3">
      <c r="A15" s="220"/>
      <c r="B15" s="208" t="str">
        <f>IFERROR(VLOOKUP(H15,'[2]ARTICULOS MP PLANTA'!$A$2:$G$589,2,0),"")</f>
        <v/>
      </c>
      <c r="C15" s="221"/>
      <c r="D15" s="222"/>
      <c r="E15" s="222"/>
      <c r="F15" s="222"/>
      <c r="G15" s="223"/>
      <c r="H15" s="224"/>
      <c r="I15" s="224"/>
      <c r="J15" s="225"/>
    </row>
    <row r="16" spans="1:10" ht="26.25" thickBot="1" x14ac:dyDescent="0.25">
      <c r="A16" s="215" t="s">
        <v>178</v>
      </c>
      <c r="B16" s="216" t="s">
        <v>185</v>
      </c>
      <c r="C16" s="216" t="s">
        <v>178</v>
      </c>
      <c r="D16" s="217" t="s">
        <v>180</v>
      </c>
      <c r="E16" s="217" t="s">
        <v>181</v>
      </c>
      <c r="F16" s="217" t="s">
        <v>182</v>
      </c>
      <c r="G16" s="217" t="s">
        <v>183</v>
      </c>
      <c r="H16" s="218" t="s">
        <v>184</v>
      </c>
      <c r="I16" s="219"/>
      <c r="J16" s="225"/>
    </row>
    <row r="17" spans="1:12" ht="13.5" x14ac:dyDescent="0.25">
      <c r="A17" s="220">
        <v>200</v>
      </c>
      <c r="B17" s="208" t="str">
        <f>IFERROR(VLOOKUP(H17,[1]SEMIELABORADOS!$A$2:$M$6000,2,0),"")</f>
        <v>BASE GALLETA P/CHEESE CAKE (KILO)</v>
      </c>
      <c r="C17" s="221">
        <f>+A17</f>
        <v>200</v>
      </c>
      <c r="D17" s="221" t="str">
        <f>IFERROR(VLOOKUP(H17,[1]SEMIELABORADOS!$A$2:$M$6000,6,0),"")</f>
        <v>Gramo</v>
      </c>
      <c r="E17" s="222">
        <v>2.5</v>
      </c>
      <c r="F17" s="222">
        <f>IFERROR(E17*C17,"")</f>
        <v>500</v>
      </c>
      <c r="G17" s="223">
        <f t="shared" ref="G17:G24" si="3">IFERROR(F17/$F$67,"")</f>
        <v>9.3941981750750372E-2</v>
      </c>
      <c r="H17" s="224" t="s">
        <v>29</v>
      </c>
      <c r="I17" s="224"/>
      <c r="J17" s="225"/>
    </row>
    <row r="18" spans="1:12" ht="13.5" x14ac:dyDescent="0.25">
      <c r="A18" s="220">
        <v>280</v>
      </c>
      <c r="B18" s="208" t="s">
        <v>67</v>
      </c>
      <c r="C18" s="221">
        <f t="shared" ref="C18:C24" si="4">+A18</f>
        <v>280</v>
      </c>
      <c r="D18" s="221" t="s">
        <v>231</v>
      </c>
      <c r="E18" s="222">
        <f>+'Costo Relleno CK Premium'!E75</f>
        <v>2.6380849999999998</v>
      </c>
      <c r="F18" s="222">
        <f t="shared" ref="F18:F24" si="5">IFERROR(E18*C18,"")</f>
        <v>738.66379999999992</v>
      </c>
      <c r="G18" s="223">
        <f t="shared" si="3"/>
        <v>0.13878308243907983</v>
      </c>
      <c r="H18" s="224" t="s">
        <v>230</v>
      </c>
      <c r="I18" s="224"/>
      <c r="J18" s="225"/>
    </row>
    <row r="19" spans="1:12" ht="13.5" x14ac:dyDescent="0.25">
      <c r="A19" s="220">
        <v>700</v>
      </c>
      <c r="B19" s="208" t="s">
        <v>238</v>
      </c>
      <c r="C19" s="221">
        <f>+A19</f>
        <v>700</v>
      </c>
      <c r="D19" s="221" t="s">
        <v>231</v>
      </c>
      <c r="E19" s="222">
        <f>+'Costo relleno CK y Manjar '!E75</f>
        <v>2.5338070919252265</v>
      </c>
      <c r="F19" s="222">
        <f>IFERROR(E19*C19,"")</f>
        <v>1773.6649643476585</v>
      </c>
      <c r="G19" s="223">
        <f t="shared" si="3"/>
        <v>0.3332432034253861</v>
      </c>
      <c r="H19" s="224" t="s">
        <v>230</v>
      </c>
      <c r="I19" s="224"/>
      <c r="J19" s="225"/>
    </row>
    <row r="20" spans="1:12" ht="13.5" x14ac:dyDescent="0.25">
      <c r="A20" s="220">
        <v>180</v>
      </c>
      <c r="B20" s="208" t="s">
        <v>139</v>
      </c>
      <c r="C20" s="221">
        <f>+A20</f>
        <v>180</v>
      </c>
      <c r="D20" s="221" t="s">
        <v>231</v>
      </c>
      <c r="E20" s="222">
        <f>+'Costo Topping caramelo pecana '!E69</f>
        <v>4.9604982643524691</v>
      </c>
      <c r="F20" s="222">
        <f>IFERROR(E20*C20,"")</f>
        <v>892.88968758344447</v>
      </c>
      <c r="G20" s="223">
        <f t="shared" si="3"/>
        <v>0.16775965347279428</v>
      </c>
      <c r="H20" s="224"/>
      <c r="I20" s="224"/>
      <c r="J20" s="225"/>
    </row>
    <row r="21" spans="1:12" ht="13.5" hidden="1" x14ac:dyDescent="0.25">
      <c r="A21" s="220"/>
      <c r="B21" s="208" t="str">
        <f>IFERROR(VLOOKUP(H21,[1]SEMIELABORADOS!$A$2:$M$6000,2,0),"")</f>
        <v/>
      </c>
      <c r="C21" s="221">
        <f>+A21</f>
        <v>0</v>
      </c>
      <c r="D21" s="221" t="str">
        <f>IFERROR(VLOOKUP(H21,[1]SEMIELABORADOS!$A$2:$M$6000,6,0),"")</f>
        <v/>
      </c>
      <c r="E21" s="222" t="str">
        <f>IFERROR(VLOOKUP(H21,[1]SEMIELABORADOS!$A$2:$H$65536,8,0),"")</f>
        <v/>
      </c>
      <c r="F21" s="222" t="str">
        <f>IFERROR(E21*C21,"")</f>
        <v/>
      </c>
      <c r="G21" s="223" t="str">
        <f t="shared" si="3"/>
        <v/>
      </c>
      <c r="H21" s="224"/>
      <c r="I21" s="224"/>
      <c r="J21" s="225"/>
    </row>
    <row r="22" spans="1:12" ht="13.5" hidden="1" x14ac:dyDescent="0.25">
      <c r="A22" s="220"/>
      <c r="B22" s="208" t="str">
        <f>IFERROR(VLOOKUP(H22,[1]SEMIELABORADOS!$A$2:$M$6000,2,0),"")</f>
        <v/>
      </c>
      <c r="C22" s="221">
        <f t="shared" si="4"/>
        <v>0</v>
      </c>
      <c r="D22" s="221" t="str">
        <f>IFERROR(VLOOKUP(H22,[1]SEMIELABORADOS!$A$2:$M$6000,6,0),"")</f>
        <v/>
      </c>
      <c r="E22" s="222" t="str">
        <f>IFERROR(VLOOKUP(H22,[1]SEMIELABORADOS!$A$2:$H$65536,8,0),"")</f>
        <v/>
      </c>
      <c r="F22" s="222" t="str">
        <f t="shared" si="5"/>
        <v/>
      </c>
      <c r="G22" s="223" t="str">
        <f t="shared" si="3"/>
        <v/>
      </c>
      <c r="H22" s="224"/>
      <c r="I22" s="224"/>
      <c r="J22" s="225"/>
    </row>
    <row r="23" spans="1:12" ht="13.5" hidden="1" x14ac:dyDescent="0.25">
      <c r="A23" s="220"/>
      <c r="B23" s="208" t="str">
        <f>IFERROR(VLOOKUP(H23,[1]SEMIELABORADOS!$A$2:$M$6000,2,0),"")</f>
        <v/>
      </c>
      <c r="C23" s="221">
        <f t="shared" si="4"/>
        <v>0</v>
      </c>
      <c r="D23" s="221" t="str">
        <f>IFERROR(VLOOKUP(H23,[1]SEMIELABORADOS!$A$2:$M$6000,6,0),"")</f>
        <v/>
      </c>
      <c r="E23" s="222" t="str">
        <f>IFERROR(VLOOKUP(H23,[1]SEMIELABORADOS!$A$2:$H$65536,8,0),"")</f>
        <v/>
      </c>
      <c r="F23" s="222" t="str">
        <f t="shared" si="5"/>
        <v/>
      </c>
      <c r="G23" s="223" t="str">
        <f t="shared" si="3"/>
        <v/>
      </c>
      <c r="H23" s="224"/>
      <c r="I23" s="224"/>
      <c r="J23" s="225"/>
    </row>
    <row r="24" spans="1:12" ht="13.5" hidden="1" x14ac:dyDescent="0.25">
      <c r="A24" s="220"/>
      <c r="B24" s="208" t="str">
        <f>IFERROR(VLOOKUP(H24,[1]SEMIELABORADOS!$A$2:$M$6000,2,0),"")</f>
        <v/>
      </c>
      <c r="C24" s="221">
        <f t="shared" si="4"/>
        <v>0</v>
      </c>
      <c r="D24" s="221" t="str">
        <f>IFERROR(VLOOKUP(H24,[1]SEMIELABORADOS!$A$2:$M$6000,6,0),"")</f>
        <v/>
      </c>
      <c r="E24" s="222" t="str">
        <f>IFERROR(VLOOKUP(H24,[1]SEMIELABORADOS!$A$2:$H$65536,8,0),"")</f>
        <v/>
      </c>
      <c r="F24" s="222" t="str">
        <f t="shared" si="5"/>
        <v/>
      </c>
      <c r="G24" s="223" t="str">
        <f t="shared" si="3"/>
        <v/>
      </c>
      <c r="H24" s="224"/>
      <c r="I24" s="224"/>
      <c r="J24" s="225"/>
    </row>
    <row r="25" spans="1:12" ht="14.25" thickBot="1" x14ac:dyDescent="0.3">
      <c r="A25" s="220"/>
      <c r="C25" s="221"/>
      <c r="D25" s="221"/>
      <c r="E25" s="222"/>
      <c r="F25" s="222"/>
      <c r="G25" s="223"/>
      <c r="H25" s="224"/>
      <c r="I25" s="224"/>
      <c r="J25" s="225"/>
    </row>
    <row r="26" spans="1:12" ht="26.25" thickBot="1" x14ac:dyDescent="0.25">
      <c r="A26" s="215" t="s">
        <v>178</v>
      </c>
      <c r="B26" s="216" t="s">
        <v>24</v>
      </c>
      <c r="C26" s="216" t="s">
        <v>178</v>
      </c>
      <c r="D26" s="217" t="s">
        <v>180</v>
      </c>
      <c r="E26" s="217" t="s">
        <v>181</v>
      </c>
      <c r="F26" s="217" t="s">
        <v>182</v>
      </c>
      <c r="G26" s="217" t="s">
        <v>183</v>
      </c>
      <c r="H26" s="218" t="s">
        <v>184</v>
      </c>
      <c r="I26" s="219"/>
    </row>
    <row r="27" spans="1:12" ht="13.5" x14ac:dyDescent="0.25">
      <c r="A27" s="220">
        <v>1</v>
      </c>
      <c r="B27" s="226" t="str">
        <f>IFERROR(VLOOKUP(H27,'[1]Consolidado MP Planta'!$A$2:$M$823,3,0),"")</f>
        <v>ORLA #9  DORADA (UND)</v>
      </c>
      <c r="C27" s="221">
        <f t="shared" ref="C27:C33" si="6">+A27</f>
        <v>1</v>
      </c>
      <c r="D27" s="222" t="str">
        <f>IFERROR(VLOOKUP(H27,'[1]Consolidado MP Planta'!$A$2:$M$823,13,0),"")</f>
        <v>Und</v>
      </c>
      <c r="E27" s="222">
        <v>111</v>
      </c>
      <c r="F27" s="222">
        <f t="shared" ref="F27:F33" si="7">IFERROR(C27*E27,"")</f>
        <v>111</v>
      </c>
      <c r="G27" s="223">
        <f t="shared" ref="G27:G33" si="8">IFERROR(F27/$F$67,"")</f>
        <v>2.0855119948666585E-2</v>
      </c>
      <c r="H27" s="227" t="s">
        <v>233</v>
      </c>
      <c r="I27" s="227"/>
      <c r="J27" s="225"/>
      <c r="K27" s="727"/>
      <c r="L27" s="727"/>
    </row>
    <row r="28" spans="1:12" ht="13.5" x14ac:dyDescent="0.25">
      <c r="A28" s="220">
        <v>1</v>
      </c>
      <c r="B28" s="226" t="str">
        <f>IFERROR(VLOOKUP(H28,'[1]Consolidado MP Planta'!$A$2:$M$823,3,0),"")</f>
        <v>QUEQUERA RED C/BASE ALTA 9" (CAJA:100 U)</v>
      </c>
      <c r="C28" s="221">
        <f t="shared" si="6"/>
        <v>1</v>
      </c>
      <c r="D28" s="222" t="str">
        <f>IFERROR(VLOOKUP(H28,'[1]Consolidado MP Planta'!$A$2:$M$823,13,0),"")</f>
        <v>Und</v>
      </c>
      <c r="E28" s="222">
        <v>340.21</v>
      </c>
      <c r="F28" s="222">
        <f t="shared" si="7"/>
        <v>340.21</v>
      </c>
      <c r="G28" s="223">
        <f t="shared" si="8"/>
        <v>6.3920003222845564E-2</v>
      </c>
      <c r="H28" s="227" t="s">
        <v>234</v>
      </c>
      <c r="I28" s="227"/>
      <c r="J28" s="225"/>
      <c r="K28" s="727"/>
      <c r="L28" s="727"/>
    </row>
    <row r="29" spans="1:12" ht="13.5" x14ac:dyDescent="0.25">
      <c r="A29" s="220">
        <v>1</v>
      </c>
      <c r="B29" s="226" t="str">
        <f>IFERROR(VLOOKUP(H29,'[1]Consolidado MP Planta'!$A$2:$M$823,3,0),"")</f>
        <v>ETIQUETA BLANCA 2 5/8X1 15/16 (UND)</v>
      </c>
      <c r="C29" s="221">
        <f t="shared" si="6"/>
        <v>1</v>
      </c>
      <c r="D29" s="222" t="str">
        <f>IFERROR(VLOOKUP(H29,'[1]Consolidado MP Planta'!$A$2:$M$823,13,0),"")</f>
        <v>Und</v>
      </c>
      <c r="E29" s="222">
        <v>2.13</v>
      </c>
      <c r="F29" s="222">
        <f t="shared" si="7"/>
        <v>2.13</v>
      </c>
      <c r="G29" s="223">
        <f t="shared" si="8"/>
        <v>4.0019284225819657E-4</v>
      </c>
      <c r="H29" s="227" t="s">
        <v>227</v>
      </c>
      <c r="I29" s="227"/>
      <c r="J29" s="225"/>
      <c r="K29" s="727"/>
      <c r="L29" s="727"/>
    </row>
    <row r="30" spans="1:12" ht="13.5" x14ac:dyDescent="0.25">
      <c r="A30" s="220">
        <v>1</v>
      </c>
      <c r="B30" s="226" t="str">
        <f>IFERROR(VLOOKUP(H30,'[1]Consolidado MP Planta'!$A$2:$M$823,3,0),"")</f>
        <v>ETIQUETA BLANCA R-153 (UND)</v>
      </c>
      <c r="C30" s="221">
        <f t="shared" si="6"/>
        <v>1</v>
      </c>
      <c r="D30" s="222" t="str">
        <f>IFERROR(VLOOKUP(H30,'[1]Consolidado MP Planta'!$A$2:$M$823,13,0),"")</f>
        <v>Und</v>
      </c>
      <c r="E30" s="222">
        <v>0.39</v>
      </c>
      <c r="F30" s="222">
        <f t="shared" si="7"/>
        <v>0.39</v>
      </c>
      <c r="G30" s="223">
        <f t="shared" si="8"/>
        <v>7.3274745765585303E-5</v>
      </c>
      <c r="H30" s="227" t="s">
        <v>235</v>
      </c>
      <c r="I30" s="227"/>
      <c r="J30" s="225"/>
      <c r="K30" s="727"/>
      <c r="L30" s="727"/>
    </row>
    <row r="31" spans="1:12" ht="13.5" x14ac:dyDescent="0.25">
      <c r="A31" s="220">
        <v>1</v>
      </c>
      <c r="B31" s="226" t="str">
        <f>IFERROR(VLOOKUP(H31,'[1]Consolidado MP Planta'!$A$2:$M$823,3,0),"")</f>
        <v>ETIQ.FECHA VENCIMIENTO BLANCO (ROLLO)</v>
      </c>
      <c r="C31" s="221">
        <f t="shared" si="6"/>
        <v>1</v>
      </c>
      <c r="D31" s="222" t="str">
        <f>IFERROR(VLOOKUP(H31,'[1]Consolidado MP Planta'!$A$2:$M$823,13,0),"")</f>
        <v>Gramos</v>
      </c>
      <c r="E31" s="222">
        <v>0.33</v>
      </c>
      <c r="F31" s="222">
        <f t="shared" si="7"/>
        <v>0.33</v>
      </c>
      <c r="G31" s="223">
        <f t="shared" si="8"/>
        <v>6.2001707955495257E-5</v>
      </c>
      <c r="H31" s="227" t="s">
        <v>236</v>
      </c>
      <c r="I31" s="227"/>
      <c r="J31" s="225"/>
      <c r="K31" s="228"/>
      <c r="L31" s="229"/>
    </row>
    <row r="32" spans="1:12" ht="13.5" x14ac:dyDescent="0.25">
      <c r="A32" s="220">
        <v>1</v>
      </c>
      <c r="B32" s="226" t="str">
        <f>IFERROR(VLOOKUP(H32,'[1]Consolidado MP Planta'!$A$2:$M$823,3,0),"")</f>
        <v>ETIQUETA IMPRES SPOON GRANDE V-272 (UND)</v>
      </c>
      <c r="C32" s="221">
        <f t="shared" ref="C32" si="9">+A32</f>
        <v>1</v>
      </c>
      <c r="D32" s="222" t="str">
        <f>IFERROR(VLOOKUP(H32,'[1]Consolidado MP Planta'!$A$2:$M$823,13,0),"")</f>
        <v>Und</v>
      </c>
      <c r="E32" s="222">
        <v>52.31</v>
      </c>
      <c r="F32" s="222">
        <f t="shared" ref="F32" si="10">IFERROR(C32*E32,"")</f>
        <v>52.31</v>
      </c>
      <c r="G32" s="223">
        <f t="shared" si="8"/>
        <v>9.8282101307635046E-3</v>
      </c>
      <c r="H32" s="227" t="s">
        <v>237</v>
      </c>
      <c r="I32" s="227"/>
      <c r="J32" s="225"/>
      <c r="K32" s="228"/>
      <c r="L32" s="229"/>
    </row>
    <row r="33" spans="1:13" ht="13.5" x14ac:dyDescent="0.25">
      <c r="A33" s="220">
        <v>1</v>
      </c>
      <c r="B33" s="226" t="str">
        <f>IFERROR(VLOOKUP(H33,'[1]Consolidado MP Planta'!$A$2:$M$823,3,0),"")</f>
        <v>ETIQ.BLANCA 1 1/4 * 3/4 (UND)</v>
      </c>
      <c r="C33" s="221">
        <f t="shared" si="6"/>
        <v>1</v>
      </c>
      <c r="D33" s="222" t="str">
        <f>IFERROR(VLOOKUP(H33,'[1]Consolidado MP Planta'!$A$2:$M$823,13,0),"")</f>
        <v>Und</v>
      </c>
      <c r="E33" s="222">
        <v>0.57999999999999996</v>
      </c>
      <c r="F33" s="222">
        <f t="shared" si="7"/>
        <v>0.57999999999999996</v>
      </c>
      <c r="G33" s="223">
        <f t="shared" si="8"/>
        <v>1.0897269883087044E-4</v>
      </c>
      <c r="H33" s="227" t="s">
        <v>116</v>
      </c>
      <c r="I33" s="227"/>
      <c r="J33" s="225"/>
    </row>
    <row r="34" spans="1:13" ht="14.25" thickBot="1" x14ac:dyDescent="0.3">
      <c r="A34" s="220"/>
      <c r="B34" s="226"/>
      <c r="C34" s="221"/>
      <c r="D34" s="222"/>
      <c r="E34" s="222"/>
      <c r="F34" s="222"/>
      <c r="G34" s="223"/>
      <c r="H34" s="227"/>
      <c r="I34" s="227"/>
      <c r="J34" s="225"/>
    </row>
    <row r="35" spans="1:13" ht="26.25" thickBot="1" x14ac:dyDescent="0.25">
      <c r="A35" s="215" t="s">
        <v>178</v>
      </c>
      <c r="B35" s="216" t="s">
        <v>186</v>
      </c>
      <c r="C35" s="216" t="s">
        <v>178</v>
      </c>
      <c r="D35" s="217" t="s">
        <v>180</v>
      </c>
      <c r="E35" s="217" t="s">
        <v>181</v>
      </c>
      <c r="F35" s="217" t="s">
        <v>182</v>
      </c>
      <c r="G35" s="217" t="s">
        <v>183</v>
      </c>
      <c r="H35" s="218" t="s">
        <v>184</v>
      </c>
      <c r="I35" s="227"/>
      <c r="J35" s="225"/>
    </row>
    <row r="36" spans="1:13" ht="13.5" x14ac:dyDescent="0.25">
      <c r="A36" s="220">
        <f t="shared" ref="A36:A42" si="11">+A17</f>
        <v>200</v>
      </c>
      <c r="B36" s="226" t="str">
        <f>IFERROR(VLOOKUP(H36,[1]SEMIELABORADOS!$A$2:$M$6000,2,0),"")</f>
        <v>BASE GALLETA P/CHEESE CAKE (KILO)</v>
      </c>
      <c r="C36" s="221">
        <f>+A36</f>
        <v>200</v>
      </c>
      <c r="D36" s="222" t="str">
        <f>IFERROR(VLOOKUP(H36,[1]SEMIELABORADOS!$A$2:$M$6000,6,0),"")</f>
        <v>Gramo</v>
      </c>
      <c r="E36" s="222">
        <f>IFERROR(VLOOKUP(H36,[1]SEMIELABORADOS!$A$2:$M$65536,10,0),"")</f>
        <v>1.6634562011900926E-3</v>
      </c>
      <c r="F36" s="222">
        <f>IFERROR(E36*C36,"")</f>
        <v>0.33269124023801849</v>
      </c>
      <c r="G36" s="223">
        <f t="shared" ref="G36:G42" si="12">IFERROR(F36/$F$67,"")</f>
        <v>6.2507348838148881E-5</v>
      </c>
      <c r="H36" s="227" t="s">
        <v>29</v>
      </c>
      <c r="I36" s="227"/>
      <c r="J36" s="225"/>
    </row>
    <row r="37" spans="1:13" ht="13.5" x14ac:dyDescent="0.25">
      <c r="A37" s="220">
        <f t="shared" si="11"/>
        <v>280</v>
      </c>
      <c r="B37" s="226" t="s">
        <v>67</v>
      </c>
      <c r="C37" s="221">
        <f t="shared" ref="C37:C42" si="13">+A37</f>
        <v>280</v>
      </c>
      <c r="D37" s="222" t="s">
        <v>231</v>
      </c>
      <c r="E37" s="222">
        <f>+'Costo relleno pie pecanas'!E82</f>
        <v>5.3176000000000005E-3</v>
      </c>
      <c r="F37" s="222">
        <f t="shared" ref="F37:F42" si="14">IFERROR(E37*C37,"")</f>
        <v>1.488928</v>
      </c>
      <c r="G37" s="223">
        <f t="shared" si="12"/>
        <v>2.7974569400836252E-4</v>
      </c>
      <c r="H37" s="227" t="s">
        <v>230</v>
      </c>
      <c r="I37" s="227"/>
      <c r="J37" s="225"/>
    </row>
    <row r="38" spans="1:13" ht="13.5" x14ac:dyDescent="0.25">
      <c r="A38" s="220">
        <f t="shared" si="11"/>
        <v>700</v>
      </c>
      <c r="B38" s="208" t="s">
        <v>238</v>
      </c>
      <c r="C38" s="221">
        <f t="shared" si="13"/>
        <v>700</v>
      </c>
      <c r="D38" s="222" t="s">
        <v>231</v>
      </c>
      <c r="E38" s="222">
        <f>+'Costo Relleno CK Premium'!E82</f>
        <v>5.7999999999999994E-5</v>
      </c>
      <c r="F38" s="222">
        <f t="shared" si="14"/>
        <v>4.0599999999999997E-2</v>
      </c>
      <c r="G38" s="223">
        <f t="shared" si="12"/>
        <v>7.62808891816093E-6</v>
      </c>
      <c r="H38" s="227" t="s">
        <v>230</v>
      </c>
      <c r="I38" s="227"/>
      <c r="J38" s="225"/>
    </row>
    <row r="39" spans="1:13" ht="13.5" x14ac:dyDescent="0.25">
      <c r="A39" s="220">
        <f t="shared" si="11"/>
        <v>180</v>
      </c>
      <c r="B39" s="226" t="s">
        <v>139</v>
      </c>
      <c r="C39" s="221">
        <f>+A39</f>
        <v>180</v>
      </c>
      <c r="D39" s="222" t="s">
        <v>231</v>
      </c>
      <c r="E39" s="222">
        <f>+'Costo Topping caramelo pecana '!E76</f>
        <v>5.7665794392523367E-3</v>
      </c>
      <c r="F39" s="222">
        <f>IFERROR(E39*C39,"")</f>
        <v>1.0379842990654207</v>
      </c>
      <c r="G39" s="223">
        <f t="shared" si="12"/>
        <v>1.9502060416073835E-4</v>
      </c>
      <c r="H39" s="227"/>
      <c r="I39" s="227"/>
      <c r="J39" s="225"/>
    </row>
    <row r="40" spans="1:13" ht="13.5" hidden="1" x14ac:dyDescent="0.25">
      <c r="A40" s="220">
        <f t="shared" si="11"/>
        <v>0</v>
      </c>
      <c r="B40" s="226" t="str">
        <f>IFERROR(VLOOKUP(H40,[1]SEMIELABORADOS!$A$2:$M$6000,2,0),"")</f>
        <v/>
      </c>
      <c r="C40" s="221">
        <f>+A40</f>
        <v>0</v>
      </c>
      <c r="D40" s="222" t="str">
        <f>IFERROR(VLOOKUP(H40,[1]SEMIELABORADOS!$A$2:$M$6000,6,0),"")</f>
        <v/>
      </c>
      <c r="E40" s="222" t="str">
        <f>IFERROR(VLOOKUP(H40,[1]SEMIELABORADOS!$A$2:$M$65536,10,0),"")</f>
        <v/>
      </c>
      <c r="F40" s="222" t="str">
        <f>IFERROR(E40*C40,"")</f>
        <v/>
      </c>
      <c r="G40" s="223" t="str">
        <f t="shared" si="12"/>
        <v/>
      </c>
      <c r="H40" s="227"/>
      <c r="I40" s="227"/>
      <c r="J40" s="225"/>
    </row>
    <row r="41" spans="1:13" ht="13.5" hidden="1" x14ac:dyDescent="0.25">
      <c r="A41" s="220">
        <f t="shared" si="11"/>
        <v>0</v>
      </c>
      <c r="B41" s="226" t="str">
        <f>IFERROR(VLOOKUP(H41,[1]SEMIELABORADOS!$A$2:$M$6000,2,0),"")</f>
        <v/>
      </c>
      <c r="C41" s="221">
        <f t="shared" si="13"/>
        <v>0</v>
      </c>
      <c r="D41" s="222" t="str">
        <f>IFERROR(VLOOKUP(H41,[1]SEMIELABORADOS!$A$2:$M$6000,6,0),"")</f>
        <v/>
      </c>
      <c r="E41" s="222" t="str">
        <f>IFERROR(VLOOKUP(H41,[1]SEMIELABORADOS!$A$2:$M$65536,10,0),"")</f>
        <v/>
      </c>
      <c r="F41" s="222" t="str">
        <f t="shared" si="14"/>
        <v/>
      </c>
      <c r="G41" s="223" t="str">
        <f t="shared" si="12"/>
        <v/>
      </c>
      <c r="H41" s="227"/>
      <c r="I41" s="227"/>
      <c r="J41" s="225"/>
    </row>
    <row r="42" spans="1:13" ht="13.5" hidden="1" x14ac:dyDescent="0.25">
      <c r="A42" s="220">
        <f t="shared" si="11"/>
        <v>0</v>
      </c>
      <c r="B42" s="226" t="str">
        <f>IFERROR(VLOOKUP(H42,[1]SEMIELABORADOS!$A$2:$M$6000,2,0),"")</f>
        <v/>
      </c>
      <c r="C42" s="221">
        <f t="shared" si="13"/>
        <v>0</v>
      </c>
      <c r="D42" s="222" t="str">
        <f>IFERROR(VLOOKUP(H42,[1]SEMIELABORADOS!$A$2:$M$6000,6,0),"")</f>
        <v/>
      </c>
      <c r="E42" s="222" t="str">
        <f>IFERROR(VLOOKUP(H42,[1]SEMIELABORADOS!$A$2:$M$65536,10,0),"")</f>
        <v/>
      </c>
      <c r="F42" s="222" t="str">
        <f t="shared" si="14"/>
        <v/>
      </c>
      <c r="G42" s="223" t="str">
        <f t="shared" si="12"/>
        <v/>
      </c>
      <c r="H42" s="227"/>
      <c r="I42" s="227"/>
      <c r="J42" s="225"/>
    </row>
    <row r="43" spans="1:13" ht="14.25" thickBot="1" x14ac:dyDescent="0.3">
      <c r="A43" s="220"/>
      <c r="B43" s="226"/>
      <c r="C43" s="221"/>
      <c r="D43" s="222"/>
      <c r="E43" s="222"/>
      <c r="F43" s="222"/>
      <c r="G43" s="223"/>
      <c r="H43" s="227"/>
      <c r="I43" s="227"/>
      <c r="J43" s="225"/>
    </row>
    <row r="44" spans="1:13" ht="26.25" thickBot="1" x14ac:dyDescent="0.25">
      <c r="A44" s="215" t="s">
        <v>178</v>
      </c>
      <c r="B44" s="216" t="s">
        <v>187</v>
      </c>
      <c r="C44" s="216" t="s">
        <v>178</v>
      </c>
      <c r="D44" s="217" t="s">
        <v>180</v>
      </c>
      <c r="E44" s="217" t="s">
        <v>181</v>
      </c>
      <c r="F44" s="217" t="s">
        <v>182</v>
      </c>
      <c r="G44" s="217" t="s">
        <v>183</v>
      </c>
      <c r="H44" s="218" t="s">
        <v>184</v>
      </c>
      <c r="I44" s="219"/>
      <c r="J44" s="225"/>
    </row>
    <row r="45" spans="1:13" ht="13.5" x14ac:dyDescent="0.25">
      <c r="A45" s="220">
        <f>+A36</f>
        <v>200</v>
      </c>
      <c r="B45" s="226" t="str">
        <f>IFERROR(VLOOKUP(H45,[1]SEMIELABORADOS!$A$2:$M$6000,2,0),"")</f>
        <v>BASE GALLETA P/CHEESE CAKE (KILO)</v>
      </c>
      <c r="C45" s="221">
        <f>+A45</f>
        <v>200</v>
      </c>
      <c r="D45" s="222" t="str">
        <f>IFERROR(VLOOKUP(H45,[1]SEMIELABORADOS!$A$2:$M$6000,6,0),"")</f>
        <v>Gramo</v>
      </c>
      <c r="E45" s="222">
        <f>IFERROR(VLOOKUP(H45,[1]SEMIELABORADOS!$A$2:$M$65536,12,0),"")</f>
        <v>0.46147166924457594</v>
      </c>
      <c r="F45" s="222">
        <f>IFERROR(E45*C45,"")</f>
        <v>92.294333848915187</v>
      </c>
      <c r="G45" s="223">
        <f>IFERROR(F45/$F$67,"")</f>
        <v>1.7340625252264905E-2</v>
      </c>
      <c r="H45" s="227" t="s">
        <v>29</v>
      </c>
      <c r="I45" s="219"/>
      <c r="J45" s="225"/>
    </row>
    <row r="46" spans="1:13" ht="13.5" x14ac:dyDescent="0.25">
      <c r="A46" s="220">
        <f t="shared" ref="A46:A51" si="15">+A37</f>
        <v>280</v>
      </c>
      <c r="B46" s="226" t="s">
        <v>67</v>
      </c>
      <c r="C46" s="221">
        <f t="shared" ref="C46:C51" si="16">+A46</f>
        <v>280</v>
      </c>
      <c r="D46" s="222" t="s">
        <v>231</v>
      </c>
      <c r="E46" s="222">
        <f>+'Costo relleno pie pecanas'!E80</f>
        <v>9.5210000000000003E-2</v>
      </c>
      <c r="F46" s="222">
        <f t="shared" ref="F46:F51" si="17">IFERROR(E46*C46,"")</f>
        <v>26.658799999999999</v>
      </c>
      <c r="G46" s="223">
        <f t="shared" ref="G46:G51" si="18">IFERROR(F46/$F$67,"")</f>
        <v>5.0087610061938081E-3</v>
      </c>
      <c r="H46" s="227" t="s">
        <v>230</v>
      </c>
      <c r="I46" s="219"/>
      <c r="J46" s="225"/>
      <c r="M46" s="230"/>
    </row>
    <row r="47" spans="1:13" ht="13.5" x14ac:dyDescent="0.25">
      <c r="A47" s="220">
        <f t="shared" si="15"/>
        <v>700</v>
      </c>
      <c r="B47" s="208" t="s">
        <v>238</v>
      </c>
      <c r="C47" s="221">
        <f t="shared" si="16"/>
        <v>700</v>
      </c>
      <c r="D47" s="222" t="s">
        <v>231</v>
      </c>
      <c r="E47" s="222">
        <f>+'Costo Relleno CK Premium'!E80</f>
        <v>7.6999999999999999E-2</v>
      </c>
      <c r="F47" s="222">
        <f t="shared" si="17"/>
        <v>53.9</v>
      </c>
      <c r="G47" s="223">
        <f t="shared" si="18"/>
        <v>1.012694563273089E-2</v>
      </c>
      <c r="H47" s="227" t="s">
        <v>230</v>
      </c>
      <c r="I47" s="219"/>
      <c r="J47" s="225"/>
    </row>
    <row r="48" spans="1:13" ht="13.5" x14ac:dyDescent="0.25">
      <c r="A48" s="220">
        <f t="shared" si="15"/>
        <v>180</v>
      </c>
      <c r="B48" s="226" t="s">
        <v>139</v>
      </c>
      <c r="C48" s="221">
        <f t="shared" si="16"/>
        <v>180</v>
      </c>
      <c r="D48" s="222" t="s">
        <v>231</v>
      </c>
      <c r="E48" s="222">
        <f>+'Costo Topping caramelo pecana '!E74</f>
        <v>8.9309746328437925E-2</v>
      </c>
      <c r="F48" s="222">
        <f t="shared" si="17"/>
        <v>16.075754339118827</v>
      </c>
      <c r="G48" s="223">
        <f t="shared" si="18"/>
        <v>3.0203764415100941E-3</v>
      </c>
      <c r="H48" s="227"/>
      <c r="I48" s="219"/>
      <c r="J48" s="225"/>
    </row>
    <row r="49" spans="1:17" ht="13.5" hidden="1" x14ac:dyDescent="0.25">
      <c r="A49" s="220">
        <f t="shared" si="15"/>
        <v>0</v>
      </c>
      <c r="B49" s="226" t="str">
        <f>IFERROR(VLOOKUP(H49,[1]SEMIELABORADOS!$A$2:$M$6000,2,0),"")</f>
        <v/>
      </c>
      <c r="C49" s="221">
        <f t="shared" si="16"/>
        <v>0</v>
      </c>
      <c r="D49" s="222" t="str">
        <f>IFERROR(VLOOKUP(H49,[1]SEMIELABORADOS!$A$2:$M$6000,6,0),"")</f>
        <v/>
      </c>
      <c r="E49" s="222" t="str">
        <f>IFERROR(VLOOKUP(H49,[1]SEMIELABORADOS!$A$2:$M$65536,12,0),"")</f>
        <v/>
      </c>
      <c r="F49" s="222" t="str">
        <f t="shared" si="17"/>
        <v/>
      </c>
      <c r="G49" s="223" t="str">
        <f t="shared" si="18"/>
        <v/>
      </c>
      <c r="H49" s="227"/>
      <c r="I49" s="219"/>
      <c r="J49" s="225"/>
    </row>
    <row r="50" spans="1:17" ht="13.5" hidden="1" x14ac:dyDescent="0.25">
      <c r="A50" s="220">
        <f t="shared" si="15"/>
        <v>0</v>
      </c>
      <c r="B50" s="226" t="str">
        <f>IFERROR(VLOOKUP(H50,[1]SEMIELABORADOS!$A$2:$M$6000,2,0),"")</f>
        <v/>
      </c>
      <c r="C50" s="221">
        <f t="shared" si="16"/>
        <v>0</v>
      </c>
      <c r="D50" s="222" t="str">
        <f>IFERROR(VLOOKUP(H50,[1]SEMIELABORADOS!$A$2:$M$6000,6,0),"")</f>
        <v/>
      </c>
      <c r="E50" s="222" t="str">
        <f>IFERROR(VLOOKUP(H50,[1]SEMIELABORADOS!$A$2:$M$65536,12,0),"")</f>
        <v/>
      </c>
      <c r="F50" s="222" t="str">
        <f t="shared" si="17"/>
        <v/>
      </c>
      <c r="G50" s="223" t="str">
        <f t="shared" si="18"/>
        <v/>
      </c>
      <c r="H50" s="227"/>
      <c r="I50" s="219"/>
      <c r="J50" s="225"/>
    </row>
    <row r="51" spans="1:17" ht="13.5" hidden="1" x14ac:dyDescent="0.25">
      <c r="A51" s="220">
        <f t="shared" si="15"/>
        <v>0</v>
      </c>
      <c r="B51" s="226" t="str">
        <f>IFERROR(VLOOKUP(H51,[1]SEMIELABORADOS!$A$2:$M$6000,2,0),"")</f>
        <v/>
      </c>
      <c r="C51" s="221">
        <f t="shared" si="16"/>
        <v>0</v>
      </c>
      <c r="D51" s="222" t="str">
        <f>IFERROR(VLOOKUP(H51,[1]SEMIELABORADOS!$A$2:$M$6000,6,0),"")</f>
        <v/>
      </c>
      <c r="E51" s="222" t="str">
        <f>IFERROR(VLOOKUP(H51,[1]SEMIELABORADOS!$A$2:$M$65536,12,0),"")</f>
        <v/>
      </c>
      <c r="F51" s="222" t="str">
        <f t="shared" si="17"/>
        <v/>
      </c>
      <c r="G51" s="223" t="str">
        <f t="shared" si="18"/>
        <v/>
      </c>
      <c r="H51" s="226"/>
      <c r="I51" s="219"/>
      <c r="J51" s="225"/>
    </row>
    <row r="52" spans="1:17" ht="13.5" x14ac:dyDescent="0.25">
      <c r="A52" s="220">
        <v>1</v>
      </c>
      <c r="B52" s="226" t="s">
        <v>188</v>
      </c>
      <c r="C52" s="221">
        <f>+A52</f>
        <v>1</v>
      </c>
      <c r="D52" s="221" t="s">
        <v>189</v>
      </c>
      <c r="E52" s="222">
        <f>+F66</f>
        <v>385</v>
      </c>
      <c r="F52" s="222">
        <f>IFERROR(C52*E52,"")</f>
        <v>385</v>
      </c>
      <c r="G52" s="223">
        <f>IFERROR(F52/$F$67,"")</f>
        <v>7.2335325948077789E-2</v>
      </c>
      <c r="H52" s="231"/>
      <c r="I52" s="231"/>
      <c r="J52" s="225"/>
    </row>
    <row r="53" spans="1:17" ht="14.25" thickBot="1" x14ac:dyDescent="0.3">
      <c r="A53" s="220"/>
      <c r="B53" s="226"/>
      <c r="C53" s="221"/>
      <c r="D53" s="221"/>
      <c r="E53" s="222"/>
      <c r="F53" s="222"/>
      <c r="G53" s="223"/>
      <c r="H53" s="231"/>
      <c r="I53" s="231"/>
      <c r="J53" s="225"/>
    </row>
    <row r="54" spans="1:17" ht="13.5" thickBot="1" x14ac:dyDescent="0.25">
      <c r="A54" s="232"/>
      <c r="B54" s="737" t="s">
        <v>190</v>
      </c>
      <c r="C54" s="737"/>
      <c r="D54" s="737"/>
      <c r="E54" s="737"/>
      <c r="F54" s="234">
        <f>SUM(F8:F14,F17:F24)</f>
        <v>4340.7684519311033</v>
      </c>
      <c r="G54" s="223">
        <f>+F54/$F$67</f>
        <v>0.81556078139108934</v>
      </c>
      <c r="H54" s="235">
        <f>+F54/$D$61</f>
        <v>4340.7684519311033</v>
      </c>
      <c r="I54" s="235"/>
      <c r="J54" s="236"/>
      <c r="K54" s="237"/>
      <c r="L54" s="237"/>
      <c r="M54" s="237"/>
      <c r="N54" s="237"/>
      <c r="O54" s="237"/>
      <c r="P54" s="237"/>
      <c r="Q54" s="238"/>
    </row>
    <row r="55" spans="1:17" x14ac:dyDescent="0.2">
      <c r="A55" s="232"/>
      <c r="B55" s="737" t="s">
        <v>191</v>
      </c>
      <c r="C55" s="737"/>
      <c r="D55" s="737"/>
      <c r="E55" s="737"/>
      <c r="F55" s="234">
        <f>SUM(F27:F33,F36:F42)</f>
        <v>509.85020353930338</v>
      </c>
      <c r="G55" s="223">
        <f>+F55/$F$67</f>
        <v>9.5792677033011212E-2</v>
      </c>
      <c r="H55" s="235">
        <f>+F55/$D$61</f>
        <v>509.85020353930338</v>
      </c>
      <c r="I55" s="235"/>
      <c r="J55" s="239"/>
      <c r="K55" s="738" t="s">
        <v>192</v>
      </c>
      <c r="L55" s="739"/>
      <c r="M55" s="739"/>
      <c r="N55" s="739"/>
      <c r="O55" s="240">
        <f>+F56</f>
        <v>4850.6186554704063</v>
      </c>
      <c r="P55" s="240"/>
      <c r="Q55" s="241"/>
    </row>
    <row r="56" spans="1:17" x14ac:dyDescent="0.2">
      <c r="A56" s="232"/>
      <c r="B56" s="737" t="s">
        <v>193</v>
      </c>
      <c r="C56" s="737"/>
      <c r="D56" s="737"/>
      <c r="E56" s="737"/>
      <c r="F56" s="234">
        <f>+F54+F55</f>
        <v>4850.6186554704063</v>
      </c>
      <c r="G56" s="223">
        <f>+F56/$F$67</f>
        <v>0.91135345842410054</v>
      </c>
      <c r="H56" s="235">
        <f>+F56/$D$61</f>
        <v>4850.6186554704063</v>
      </c>
      <c r="I56" s="235"/>
      <c r="J56" s="242"/>
      <c r="K56" s="243"/>
      <c r="M56" s="244" t="s">
        <v>194</v>
      </c>
      <c r="N56" s="245"/>
      <c r="O56" s="240">
        <f>+H57</f>
        <v>573.92888818803397</v>
      </c>
      <c r="P56" s="240"/>
      <c r="Q56" s="241"/>
    </row>
    <row r="57" spans="1:17" ht="13.5" thickBot="1" x14ac:dyDescent="0.25">
      <c r="A57" s="232"/>
      <c r="B57" s="233"/>
      <c r="C57" s="737" t="s">
        <v>195</v>
      </c>
      <c r="D57" s="737"/>
      <c r="E57" s="737"/>
      <c r="F57" s="234">
        <f>SUM(F45:F52)</f>
        <v>573.92888818803397</v>
      </c>
      <c r="G57" s="223">
        <f>+F57/$F$67</f>
        <v>0.10783203428077748</v>
      </c>
      <c r="H57" s="235">
        <f>+F57/$D$61</f>
        <v>573.92888818803397</v>
      </c>
      <c r="I57" s="235"/>
      <c r="J57" s="242"/>
      <c r="K57" s="243"/>
      <c r="L57" s="243"/>
      <c r="M57" s="243" t="s">
        <v>196</v>
      </c>
      <c r="N57" s="246"/>
      <c r="O57" s="240">
        <f>O55*N57</f>
        <v>0</v>
      </c>
      <c r="P57" s="240"/>
      <c r="Q57" s="241"/>
    </row>
    <row r="58" spans="1:17" ht="13.5" thickBot="1" x14ac:dyDescent="0.25">
      <c r="A58" s="232"/>
      <c r="B58" s="247"/>
      <c r="C58" s="247"/>
      <c r="D58" s="247"/>
      <c r="E58" s="247"/>
      <c r="F58" s="248"/>
      <c r="G58" s="223"/>
      <c r="H58" s="249"/>
      <c r="I58" s="235"/>
      <c r="J58" s="242"/>
      <c r="K58" s="250"/>
      <c r="M58" s="251" t="s">
        <v>197</v>
      </c>
      <c r="N58" s="252"/>
      <c r="O58" s="253">
        <f>SUM(O55:O57)</f>
        <v>5424.5475436584402</v>
      </c>
      <c r="P58" s="254"/>
      <c r="Q58" s="241"/>
    </row>
    <row r="59" spans="1:17" x14ac:dyDescent="0.2">
      <c r="B59" s="740" t="s">
        <v>198</v>
      </c>
      <c r="C59" s="740"/>
      <c r="D59" s="255">
        <v>1533</v>
      </c>
      <c r="E59" s="256"/>
      <c r="G59" s="223"/>
      <c r="H59" s="249">
        <f>+H57/77</f>
        <v>7.453621924519922</v>
      </c>
      <c r="I59" s="257"/>
      <c r="J59" s="242"/>
      <c r="K59" s="250"/>
      <c r="L59" s="243"/>
      <c r="M59" s="243" t="s">
        <v>199</v>
      </c>
      <c r="N59" s="258"/>
      <c r="O59" s="240">
        <f>+H60</f>
        <v>477.03180316927501</v>
      </c>
      <c r="P59" s="240"/>
      <c r="Q59" s="241"/>
    </row>
    <row r="60" spans="1:17" x14ac:dyDescent="0.2">
      <c r="B60" s="740" t="s">
        <v>200</v>
      </c>
      <c r="C60" s="740"/>
      <c r="D60" s="259">
        <v>1533</v>
      </c>
      <c r="E60" s="256"/>
      <c r="G60" s="223"/>
      <c r="H60" s="249">
        <f>+H59*64</f>
        <v>477.03180316927501</v>
      </c>
      <c r="I60" s="257"/>
      <c r="J60" s="242"/>
      <c r="K60" s="250"/>
      <c r="L60" s="243"/>
      <c r="M60" s="741" t="s">
        <v>197</v>
      </c>
      <c r="N60" s="741"/>
      <c r="O60" s="240">
        <f>SUM(O58:O59)</f>
        <v>5901.5793468277152</v>
      </c>
      <c r="P60" s="240"/>
      <c r="Q60" s="241"/>
    </row>
    <row r="61" spans="1:17" ht="13.5" thickBot="1" x14ac:dyDescent="0.25">
      <c r="B61" s="733" t="s">
        <v>201</v>
      </c>
      <c r="C61" s="733"/>
      <c r="D61" s="255">
        <f>+D59/D60</f>
        <v>1</v>
      </c>
      <c r="E61" s="256"/>
      <c r="F61" s="260"/>
      <c r="G61" s="223"/>
      <c r="H61" s="249"/>
      <c r="I61" s="257"/>
      <c r="J61" s="242"/>
      <c r="K61" s="250"/>
      <c r="L61" s="741"/>
      <c r="M61" s="741"/>
      <c r="N61" s="258"/>
      <c r="O61" s="240">
        <f>+O60*N61</f>
        <v>0</v>
      </c>
      <c r="P61" s="240"/>
      <c r="Q61" s="241"/>
    </row>
    <row r="62" spans="1:17" ht="13.5" thickBot="1" x14ac:dyDescent="0.25">
      <c r="B62" s="733" t="s">
        <v>202</v>
      </c>
      <c r="C62" s="733"/>
      <c r="D62" s="261"/>
      <c r="E62" s="256"/>
      <c r="F62" s="260"/>
      <c r="G62" s="223"/>
      <c r="H62" s="249"/>
      <c r="I62" s="257"/>
      <c r="J62" s="242"/>
      <c r="K62" s="734" t="s">
        <v>203</v>
      </c>
      <c r="L62" s="735"/>
      <c r="M62" s="735"/>
      <c r="N62" s="736"/>
      <c r="O62" s="253">
        <f>SUM(O60:O61)</f>
        <v>5901.5793468277152</v>
      </c>
      <c r="P62" s="262" t="s">
        <v>204</v>
      </c>
      <c r="Q62" s="241"/>
    </row>
    <row r="63" spans="1:17" ht="13.5" thickBot="1" x14ac:dyDescent="0.25">
      <c r="C63" s="232" t="s">
        <v>205</v>
      </c>
      <c r="D63" s="263"/>
      <c r="E63" s="206" t="s">
        <v>206</v>
      </c>
      <c r="F63" s="264" t="s">
        <v>207</v>
      </c>
      <c r="G63" s="223"/>
      <c r="H63" s="249"/>
      <c r="I63" s="257"/>
      <c r="J63" s="265"/>
      <c r="K63" s="266"/>
      <c r="L63" s="747" t="s">
        <v>208</v>
      </c>
      <c r="M63" s="747"/>
      <c r="N63" s="747"/>
      <c r="O63" s="267">
        <f>+O62/D61</f>
        <v>5901.5793468277152</v>
      </c>
      <c r="P63" s="268">
        <f>+O63/D60</f>
        <v>3.8496929855366702</v>
      </c>
      <c r="Q63" s="269"/>
    </row>
    <row r="64" spans="1:17" ht="13.5" thickBot="1" x14ac:dyDescent="0.25">
      <c r="B64" s="748" t="s">
        <v>193</v>
      </c>
      <c r="C64" s="748"/>
      <c r="D64" s="748"/>
      <c r="E64" s="270">
        <f>+F64/F64</f>
        <v>1</v>
      </c>
      <c r="F64" s="271">
        <f>SUM(F56)</f>
        <v>4850.6186554704063</v>
      </c>
      <c r="G64" s="223">
        <f>+F64/$F$67</f>
        <v>0.91135345842410054</v>
      </c>
      <c r="H64" s="249"/>
      <c r="I64" s="257"/>
      <c r="K64" s="749"/>
      <c r="L64" s="750"/>
      <c r="M64" s="750"/>
      <c r="N64" s="750"/>
      <c r="O64" s="272"/>
      <c r="P64" s="273"/>
    </row>
    <row r="65" spans="2:16" ht="13.5" thickBot="1" x14ac:dyDescent="0.25">
      <c r="B65" s="751" t="s">
        <v>209</v>
      </c>
      <c r="C65" s="751"/>
      <c r="D65" s="751"/>
      <c r="E65" s="274">
        <v>0.02</v>
      </c>
      <c r="F65" s="271">
        <f>+F54*E65</f>
        <v>86.815369038622066</v>
      </c>
      <c r="G65" s="223">
        <f>+F65/$F$67</f>
        <v>1.6311215627821788E-2</v>
      </c>
      <c r="H65" s="235"/>
      <c r="I65" s="257"/>
      <c r="J65" s="275"/>
      <c r="N65" s="208">
        <v>1</v>
      </c>
      <c r="O65" s="276">
        <v>6276.05</v>
      </c>
      <c r="P65" s="233"/>
    </row>
    <row r="66" spans="2:16" ht="13.5" thickBot="1" x14ac:dyDescent="0.25">
      <c r="B66" s="752" t="s">
        <v>210</v>
      </c>
      <c r="C66" s="753"/>
      <c r="D66" s="277">
        <v>5</v>
      </c>
      <c r="E66" s="278">
        <v>77</v>
      </c>
      <c r="F66" s="271">
        <f>+E66*D66</f>
        <v>385</v>
      </c>
      <c r="G66" s="223">
        <f>+F66/$F$67</f>
        <v>7.2335325948077789E-2</v>
      </c>
      <c r="H66" s="235"/>
      <c r="I66" s="235"/>
      <c r="J66" s="225"/>
      <c r="N66" s="208">
        <v>2</v>
      </c>
      <c r="O66" s="208">
        <v>5831.47</v>
      </c>
    </row>
    <row r="67" spans="2:16" ht="13.5" thickBot="1" x14ac:dyDescent="0.25">
      <c r="B67" s="754" t="s">
        <v>211</v>
      </c>
      <c r="C67" s="755"/>
      <c r="D67" s="755"/>
      <c r="E67" s="756"/>
      <c r="F67" s="248">
        <f>SUM(F64:F66)</f>
        <v>5322.4340245090279</v>
      </c>
      <c r="G67" s="223">
        <f>+F67/$F$67</f>
        <v>1</v>
      </c>
      <c r="H67" s="757"/>
      <c r="I67" s="235"/>
      <c r="J67" s="225"/>
      <c r="M67" s="208" t="s">
        <v>212</v>
      </c>
      <c r="N67" s="208">
        <v>3</v>
      </c>
      <c r="O67" s="563">
        <v>6321</v>
      </c>
    </row>
    <row r="68" spans="2:16" x14ac:dyDescent="0.2">
      <c r="C68" s="230"/>
      <c r="D68" s="230"/>
      <c r="E68" s="280"/>
      <c r="F68" s="271"/>
      <c r="G68" s="223"/>
      <c r="H68" s="757"/>
      <c r="I68" s="279"/>
      <c r="J68" s="208"/>
      <c r="M68" s="208" t="s">
        <v>213</v>
      </c>
    </row>
    <row r="69" spans="2:16" ht="13.5" thickBot="1" x14ac:dyDescent="0.25">
      <c r="B69" s="742" t="s">
        <v>214</v>
      </c>
      <c r="C69" s="742"/>
      <c r="D69" s="742"/>
      <c r="E69" s="742"/>
      <c r="F69" s="742"/>
      <c r="G69" s="223"/>
      <c r="H69" s="282"/>
      <c r="I69" s="279"/>
      <c r="J69" s="208"/>
      <c r="M69" s="208" t="s">
        <v>215</v>
      </c>
    </row>
    <row r="70" spans="2:16" ht="13.5" thickBot="1" x14ac:dyDescent="0.25">
      <c r="B70" s="283" t="s">
        <v>216</v>
      </c>
      <c r="C70" s="284">
        <f>+F54</f>
        <v>4340.7684519311033</v>
      </c>
      <c r="D70" s="284">
        <f>+D59</f>
        <v>1533</v>
      </c>
      <c r="E70" s="285">
        <f>+C70/D70</f>
        <v>2.8315515015858468</v>
      </c>
      <c r="F70" s="223"/>
      <c r="G70" s="282"/>
      <c r="H70" s="225"/>
      <c r="I70" s="282"/>
      <c r="J70" s="208"/>
    </row>
    <row r="71" spans="2:16" x14ac:dyDescent="0.2">
      <c r="B71" s="286"/>
      <c r="C71" s="287"/>
      <c r="D71" s="288"/>
      <c r="E71" s="271"/>
      <c r="F71" s="223"/>
      <c r="G71" s="282"/>
      <c r="H71" s="225"/>
      <c r="I71" s="225"/>
      <c r="J71" s="208"/>
    </row>
    <row r="72" spans="2:16" x14ac:dyDescent="0.2">
      <c r="B72" s="283" t="s">
        <v>217</v>
      </c>
      <c r="C72" s="284">
        <f>SUM(F64:F65)</f>
        <v>4937.4340245090279</v>
      </c>
      <c r="D72" s="284">
        <f>+D59</f>
        <v>1533</v>
      </c>
      <c r="E72" s="289">
        <f>+C72/D72</f>
        <v>3.2207658346438537</v>
      </c>
      <c r="F72" s="223"/>
      <c r="G72" s="282"/>
      <c r="H72" s="225"/>
      <c r="I72" s="225"/>
      <c r="J72" s="208"/>
    </row>
    <row r="73" spans="2:16" x14ac:dyDescent="0.2">
      <c r="B73" s="283"/>
      <c r="C73" s="284"/>
      <c r="D73" s="284"/>
      <c r="E73" s="289"/>
      <c r="F73" s="223"/>
      <c r="G73" s="282"/>
      <c r="H73" s="225"/>
      <c r="I73" s="225"/>
      <c r="J73" s="208"/>
    </row>
    <row r="74" spans="2:16" ht="13.5" thickBot="1" x14ac:dyDescent="0.25">
      <c r="B74" s="283" t="s">
        <v>218</v>
      </c>
      <c r="C74" s="284">
        <f>+F66</f>
        <v>385</v>
      </c>
      <c r="D74" s="284">
        <f>+D59</f>
        <v>1533</v>
      </c>
      <c r="E74" s="289">
        <f>+C74/D74</f>
        <v>0.25114155251141551</v>
      </c>
      <c r="F74" s="223"/>
      <c r="G74" s="282"/>
      <c r="H74" s="225"/>
      <c r="I74" s="225"/>
      <c r="J74" s="208"/>
    </row>
    <row r="75" spans="2:16" ht="13.5" thickBot="1" x14ac:dyDescent="0.25">
      <c r="B75" s="283" t="s">
        <v>219</v>
      </c>
      <c r="C75" s="284">
        <f>+F57</f>
        <v>573.92888818803397</v>
      </c>
      <c r="D75" s="284">
        <f>+D74</f>
        <v>1533</v>
      </c>
      <c r="E75" s="285">
        <f>+C75/D75</f>
        <v>0.37438283639141157</v>
      </c>
      <c r="F75" s="223"/>
      <c r="G75" s="282"/>
      <c r="H75" s="225"/>
      <c r="I75" s="225"/>
      <c r="J75" s="208"/>
    </row>
    <row r="76" spans="2:16" ht="13.5" thickBot="1" x14ac:dyDescent="0.25">
      <c r="B76" s="247"/>
      <c r="C76" s="248"/>
      <c r="D76" s="248"/>
      <c r="E76" s="289"/>
      <c r="F76" s="223"/>
      <c r="G76" s="282"/>
      <c r="H76" s="225"/>
      <c r="I76" s="225"/>
      <c r="J76" s="208"/>
    </row>
    <row r="77" spans="2:16" ht="13.5" thickBot="1" x14ac:dyDescent="0.25">
      <c r="B77" s="283" t="s">
        <v>220</v>
      </c>
      <c r="C77" s="284">
        <f>+F55</f>
        <v>509.85020353930338</v>
      </c>
      <c r="D77" s="284">
        <f>+D75</f>
        <v>1533</v>
      </c>
      <c r="E77" s="285">
        <f>+C77/D77</f>
        <v>0.33258330302629052</v>
      </c>
      <c r="F77" s="223"/>
      <c r="G77" s="282"/>
      <c r="H77" s="225"/>
      <c r="I77" s="225"/>
      <c r="J77" s="225"/>
    </row>
    <row r="78" spans="2:16" ht="13.5" thickBot="1" x14ac:dyDescent="0.25">
      <c r="B78" s="247"/>
      <c r="C78" s="248"/>
      <c r="D78" s="248"/>
      <c r="E78" s="289"/>
      <c r="F78" s="223"/>
      <c r="G78" s="282"/>
      <c r="H78" s="225"/>
      <c r="I78" s="225"/>
    </row>
    <row r="79" spans="2:16" ht="13.5" thickBot="1" x14ac:dyDescent="0.25">
      <c r="B79" s="743" t="s">
        <v>221</v>
      </c>
      <c r="C79" s="744"/>
      <c r="D79" s="745"/>
      <c r="E79" s="285">
        <f>+E70+E75</f>
        <v>3.2059343379772582</v>
      </c>
      <c r="G79" s="223"/>
      <c r="H79" s="282"/>
      <c r="I79" s="225"/>
      <c r="J79" s="289"/>
    </row>
    <row r="80" spans="2:16" x14ac:dyDescent="0.2">
      <c r="I80" s="282"/>
      <c r="J80" s="208"/>
    </row>
    <row r="81" spans="1:10" ht="13.5" thickBot="1" x14ac:dyDescent="0.25">
      <c r="B81" s="742" t="s">
        <v>222</v>
      </c>
      <c r="C81" s="742"/>
      <c r="D81" s="742"/>
      <c r="E81" s="742"/>
      <c r="F81" s="742"/>
      <c r="G81" s="223"/>
      <c r="H81" s="282"/>
      <c r="J81" s="208"/>
    </row>
    <row r="82" spans="1:10" ht="13.5" thickBot="1" x14ac:dyDescent="0.25">
      <c r="B82" s="283" t="s">
        <v>216</v>
      </c>
      <c r="C82" s="284">
        <f>+C70</f>
        <v>4340.7684519311033</v>
      </c>
      <c r="D82" s="284">
        <f>+D61</f>
        <v>1</v>
      </c>
      <c r="E82" s="285">
        <f>+C82/D82</f>
        <v>4340.7684519311033</v>
      </c>
      <c r="F82" s="223"/>
      <c r="G82" s="282"/>
      <c r="H82" s="225"/>
      <c r="I82" s="282"/>
      <c r="J82" s="208"/>
    </row>
    <row r="83" spans="1:10" x14ac:dyDescent="0.2">
      <c r="B83" s="286"/>
      <c r="C83" s="287"/>
      <c r="D83" s="288"/>
      <c r="E83" s="271"/>
      <c r="F83" s="223"/>
      <c r="G83" s="282"/>
      <c r="H83" s="225"/>
      <c r="I83" s="225"/>
      <c r="J83" s="208"/>
    </row>
    <row r="84" spans="1:10" x14ac:dyDescent="0.2">
      <c r="B84" s="283" t="s">
        <v>217</v>
      </c>
      <c r="C84" s="284">
        <f>+C72</f>
        <v>4937.4340245090279</v>
      </c>
      <c r="D84" s="284">
        <f>+D61</f>
        <v>1</v>
      </c>
      <c r="E84" s="289">
        <f>+C84/D84</f>
        <v>4937.4340245090279</v>
      </c>
      <c r="F84" s="223"/>
      <c r="G84" s="282"/>
      <c r="H84" s="225"/>
      <c r="I84" s="225"/>
      <c r="J84" s="208"/>
    </row>
    <row r="85" spans="1:10" x14ac:dyDescent="0.2">
      <c r="B85" s="283"/>
      <c r="C85" s="284"/>
      <c r="D85" s="284"/>
      <c r="E85" s="289"/>
      <c r="F85" s="223"/>
      <c r="G85" s="282"/>
      <c r="H85" s="225"/>
      <c r="I85" s="225"/>
      <c r="J85" s="208"/>
    </row>
    <row r="86" spans="1:10" ht="13.5" thickBot="1" x14ac:dyDescent="0.25">
      <c r="B86" s="283" t="s">
        <v>219</v>
      </c>
      <c r="C86" s="284">
        <f>+C74</f>
        <v>385</v>
      </c>
      <c r="D86" s="284">
        <f>+D61</f>
        <v>1</v>
      </c>
      <c r="E86" s="289">
        <f>+C86/D86</f>
        <v>385</v>
      </c>
      <c r="F86" s="291"/>
      <c r="G86" s="281"/>
      <c r="H86" s="207"/>
      <c r="I86" s="225"/>
    </row>
    <row r="87" spans="1:10" ht="13.5" thickBot="1" x14ac:dyDescent="0.25">
      <c r="B87" s="283" t="s">
        <v>219</v>
      </c>
      <c r="C87" s="284">
        <f>+C75</f>
        <v>573.92888818803397</v>
      </c>
      <c r="D87" s="284">
        <f>+D86</f>
        <v>1</v>
      </c>
      <c r="E87" s="285">
        <f>+C87/D87</f>
        <v>573.92888818803397</v>
      </c>
      <c r="F87" s="290"/>
      <c r="G87" s="281"/>
      <c r="H87" s="207"/>
      <c r="I87" s="207"/>
    </row>
    <row r="88" spans="1:10" x14ac:dyDescent="0.2">
      <c r="I88" s="207"/>
    </row>
    <row r="89" spans="1:10" x14ac:dyDescent="0.2">
      <c r="A89" s="746"/>
      <c r="B89" s="746"/>
      <c r="C89" s="292"/>
      <c r="D89" s="292"/>
      <c r="E89" s="293"/>
      <c r="G89" s="294"/>
    </row>
    <row r="90" spans="1:10" x14ac:dyDescent="0.2">
      <c r="A90" s="226"/>
      <c r="B90" s="295"/>
      <c r="C90" s="296"/>
      <c r="D90" s="296"/>
      <c r="E90" s="297"/>
      <c r="G90" s="294"/>
    </row>
    <row r="91" spans="1:10" x14ac:dyDescent="0.2">
      <c r="A91" s="226"/>
      <c r="B91" s="295"/>
      <c r="C91" s="298"/>
      <c r="D91" s="298"/>
      <c r="E91" s="226"/>
      <c r="G91" s="294"/>
    </row>
    <row r="92" spans="1:10" x14ac:dyDescent="0.2">
      <c r="A92" s="226"/>
      <c r="B92" s="295"/>
      <c r="C92" s="299"/>
      <c r="D92" s="299"/>
      <c r="E92" s="226"/>
      <c r="G92" s="294"/>
    </row>
  </sheetData>
  <mergeCells count="30">
    <mergeCell ref="B69:F69"/>
    <mergeCell ref="B79:D79"/>
    <mergeCell ref="B81:F81"/>
    <mergeCell ref="A89:B89"/>
    <mergeCell ref="L63:N63"/>
    <mergeCell ref="B64:D64"/>
    <mergeCell ref="K64:N64"/>
    <mergeCell ref="B65:D65"/>
    <mergeCell ref="B66:C66"/>
    <mergeCell ref="B67:E67"/>
    <mergeCell ref="H67:H68"/>
    <mergeCell ref="B62:C62"/>
    <mergeCell ref="K62:N62"/>
    <mergeCell ref="K30:L30"/>
    <mergeCell ref="B54:E54"/>
    <mergeCell ref="B55:E55"/>
    <mergeCell ref="K55:N55"/>
    <mergeCell ref="B56:E56"/>
    <mergeCell ref="C57:E57"/>
    <mergeCell ref="B59:C59"/>
    <mergeCell ref="B60:C60"/>
    <mergeCell ref="M60:N60"/>
    <mergeCell ref="B61:C61"/>
    <mergeCell ref="L61:M61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EE8DE-D8BF-4024-8725-71B300C03C7E}">
  <dimension ref="A1:M50"/>
  <sheetViews>
    <sheetView topLeftCell="A16" workbookViewId="0">
      <selection activeCell="A37" sqref="A37:I37"/>
    </sheetView>
  </sheetViews>
  <sheetFormatPr baseColWidth="10" defaultColWidth="11.42578125" defaultRowHeight="12.75" x14ac:dyDescent="0.2"/>
  <cols>
    <col min="1" max="1" width="16.28515625" style="1" customWidth="1"/>
    <col min="2" max="2" width="14.5703125" style="1" customWidth="1"/>
    <col min="3" max="3" width="48.28515625" style="1" customWidth="1"/>
    <col min="4" max="4" width="15.5703125" style="1" customWidth="1"/>
    <col min="5" max="5" width="11.42578125" style="1"/>
    <col min="6" max="6" width="13.28515625" style="1" customWidth="1"/>
    <col min="7" max="7" width="12.5703125" style="1" customWidth="1"/>
    <col min="8" max="8" width="15.5703125" style="1" customWidth="1"/>
    <col min="9" max="9" width="16" style="1" customWidth="1"/>
    <col min="10" max="16384" width="11.42578125" style="1"/>
  </cols>
  <sheetData>
    <row r="1" spans="1:9" ht="18" x14ac:dyDescent="0.25">
      <c r="A1" s="629"/>
      <c r="B1" s="630"/>
      <c r="C1" s="649" t="s">
        <v>49</v>
      </c>
      <c r="D1" s="649"/>
      <c r="E1" s="649"/>
      <c r="F1" s="649"/>
      <c r="G1" s="649"/>
      <c r="H1" s="67" t="s">
        <v>48</v>
      </c>
      <c r="I1" s="66"/>
    </row>
    <row r="2" spans="1:9" ht="18" x14ac:dyDescent="0.25">
      <c r="A2" s="631"/>
      <c r="B2" s="632"/>
      <c r="C2" s="650" t="s">
        <v>47</v>
      </c>
      <c r="D2" s="650"/>
      <c r="E2" s="650"/>
      <c r="F2" s="650"/>
      <c r="G2" s="650"/>
      <c r="H2" s="65" t="s">
        <v>46</v>
      </c>
      <c r="I2" s="75"/>
    </row>
    <row r="3" spans="1:9" ht="15" x14ac:dyDescent="0.2">
      <c r="A3" s="631"/>
      <c r="B3" s="632"/>
      <c r="C3" s="651" t="s">
        <v>65</v>
      </c>
      <c r="D3" s="652"/>
      <c r="E3" s="652"/>
      <c r="F3" s="652"/>
      <c r="G3" s="653"/>
      <c r="H3" s="654" t="s">
        <v>45</v>
      </c>
      <c r="I3" s="644"/>
    </row>
    <row r="4" spans="1:9" x14ac:dyDescent="0.2">
      <c r="A4" s="631"/>
      <c r="B4" s="632"/>
      <c r="C4" s="64" t="s">
        <v>44</v>
      </c>
      <c r="D4" s="647" t="s">
        <v>43</v>
      </c>
      <c r="E4" s="647"/>
      <c r="F4" s="647"/>
      <c r="G4" s="647"/>
      <c r="H4" s="654"/>
      <c r="I4" s="645"/>
    </row>
    <row r="5" spans="1:9" ht="15" customHeight="1" thickBot="1" x14ac:dyDescent="0.25">
      <c r="A5" s="633"/>
      <c r="B5" s="634"/>
      <c r="C5" s="63" t="s">
        <v>42</v>
      </c>
      <c r="D5" s="648" t="s">
        <v>41</v>
      </c>
      <c r="E5" s="648"/>
      <c r="F5" s="648"/>
      <c r="G5" s="648"/>
      <c r="H5" s="655"/>
      <c r="I5" s="646"/>
    </row>
    <row r="6" spans="1:9" ht="15" customHeight="1" x14ac:dyDescent="0.2">
      <c r="A6" s="62"/>
      <c r="B6" s="62"/>
      <c r="C6" s="61"/>
      <c r="D6" s="60"/>
      <c r="E6" s="60"/>
      <c r="F6" s="60"/>
      <c r="G6" s="60"/>
      <c r="H6" s="59"/>
      <c r="I6" s="58"/>
    </row>
    <row r="7" spans="1:9" ht="21" customHeight="1" thickBot="1" x14ac:dyDescent="0.3">
      <c r="A7" s="635" t="s">
        <v>40</v>
      </c>
      <c r="B7" s="635"/>
      <c r="C7" s="635"/>
      <c r="D7" s="636" t="s">
        <v>38</v>
      </c>
      <c r="E7" s="636"/>
      <c r="F7" s="636"/>
      <c r="G7" s="637" t="s">
        <v>39</v>
      </c>
      <c r="H7" s="637"/>
      <c r="I7" s="57" t="s">
        <v>38</v>
      </c>
    </row>
    <row r="8" spans="1:9" ht="25.5" x14ac:dyDescent="0.2">
      <c r="A8" s="638" t="s">
        <v>37</v>
      </c>
      <c r="B8" s="642" t="s">
        <v>54</v>
      </c>
      <c r="C8" s="640" t="s">
        <v>36</v>
      </c>
      <c r="D8" s="640" t="s">
        <v>35</v>
      </c>
      <c r="E8" s="640" t="s">
        <v>34</v>
      </c>
      <c r="F8" s="640"/>
      <c r="G8" s="640" t="s">
        <v>33</v>
      </c>
      <c r="H8" s="640"/>
      <c r="I8" s="56" t="s">
        <v>32</v>
      </c>
    </row>
    <row r="9" spans="1:9" ht="26.25" thickBot="1" x14ac:dyDescent="0.25">
      <c r="A9" s="639"/>
      <c r="B9" s="643"/>
      <c r="C9" s="641"/>
      <c r="D9" s="641"/>
      <c r="E9" s="55" t="s">
        <v>11</v>
      </c>
      <c r="F9" s="54" t="s">
        <v>31</v>
      </c>
      <c r="G9" s="55" t="s">
        <v>11</v>
      </c>
      <c r="H9" s="54" t="s">
        <v>31</v>
      </c>
      <c r="I9" s="53" t="s">
        <v>30</v>
      </c>
    </row>
    <row r="10" spans="1:9" ht="15.75" x14ac:dyDescent="0.25">
      <c r="A10" s="52" t="s">
        <v>29</v>
      </c>
      <c r="B10" s="78" t="s">
        <v>55</v>
      </c>
      <c r="C10" s="51" t="s">
        <v>28</v>
      </c>
      <c r="D10" s="50" t="s">
        <v>26</v>
      </c>
      <c r="E10" s="50">
        <v>300</v>
      </c>
      <c r="F10" s="50" t="s">
        <v>2</v>
      </c>
      <c r="G10" s="588" t="s">
        <v>66</v>
      </c>
      <c r="H10" s="589"/>
      <c r="I10" s="590"/>
    </row>
    <row r="11" spans="1:9" ht="15.75" x14ac:dyDescent="0.25">
      <c r="A11" s="89"/>
      <c r="B11" s="79"/>
      <c r="C11" s="91" t="s">
        <v>67</v>
      </c>
      <c r="D11" s="90" t="s">
        <v>26</v>
      </c>
      <c r="E11" s="90">
        <v>300</v>
      </c>
      <c r="F11" s="90" t="s">
        <v>2</v>
      </c>
      <c r="G11" s="34"/>
      <c r="H11" s="33"/>
      <c r="I11" s="32"/>
    </row>
    <row r="12" spans="1:9" ht="15.75" x14ac:dyDescent="0.25">
      <c r="A12" s="73" t="s">
        <v>104</v>
      </c>
      <c r="B12" s="73" t="s">
        <v>105</v>
      </c>
      <c r="C12" s="41" t="s">
        <v>106</v>
      </c>
      <c r="D12" s="90" t="s">
        <v>92</v>
      </c>
      <c r="E12" s="90">
        <v>50</v>
      </c>
      <c r="F12" s="90" t="s">
        <v>2</v>
      </c>
      <c r="G12" s="34"/>
      <c r="H12" s="33"/>
      <c r="I12" s="32"/>
    </row>
    <row r="13" spans="1:9" ht="15.75" x14ac:dyDescent="0.25">
      <c r="A13" s="88"/>
      <c r="B13" s="74"/>
      <c r="C13" s="28" t="s">
        <v>122</v>
      </c>
      <c r="D13" s="31" t="s">
        <v>26</v>
      </c>
      <c r="E13" s="39">
        <v>650</v>
      </c>
      <c r="F13" s="31" t="s">
        <v>2</v>
      </c>
      <c r="G13" s="620"/>
      <c r="H13" s="620"/>
      <c r="I13" s="621"/>
    </row>
    <row r="14" spans="1:9" ht="15" x14ac:dyDescent="0.2">
      <c r="A14" s="73"/>
      <c r="B14" s="73"/>
      <c r="C14" s="41"/>
      <c r="D14" s="43"/>
      <c r="E14" s="43"/>
      <c r="F14" s="43"/>
      <c r="G14" s="25"/>
      <c r="H14" s="24"/>
      <c r="I14" s="30"/>
    </row>
    <row r="15" spans="1:9" ht="15" x14ac:dyDescent="0.2">
      <c r="A15" s="45"/>
      <c r="B15" s="79"/>
      <c r="C15" s="44" t="s">
        <v>27</v>
      </c>
      <c r="D15" s="43"/>
      <c r="E15" s="43"/>
      <c r="F15" s="43"/>
      <c r="G15" s="25"/>
      <c r="H15" s="24"/>
      <c r="I15" s="30"/>
    </row>
    <row r="16" spans="1:9" ht="15" x14ac:dyDescent="0.2">
      <c r="A16" s="73" t="s">
        <v>135</v>
      </c>
      <c r="B16" s="73" t="s">
        <v>136</v>
      </c>
      <c r="C16" s="41" t="s">
        <v>137</v>
      </c>
      <c r="D16" s="26" t="s">
        <v>26</v>
      </c>
      <c r="E16" s="26">
        <v>25</v>
      </c>
      <c r="F16" s="26" t="s">
        <v>2</v>
      </c>
      <c r="G16" s="622" t="s">
        <v>138</v>
      </c>
      <c r="H16" s="620"/>
      <c r="I16" s="621"/>
    </row>
    <row r="17" spans="1:12" ht="15" x14ac:dyDescent="0.2">
      <c r="A17" s="38"/>
      <c r="B17" s="81"/>
      <c r="C17" s="27" t="s">
        <v>139</v>
      </c>
      <c r="D17" s="26" t="s">
        <v>26</v>
      </c>
      <c r="E17" s="26">
        <v>230</v>
      </c>
      <c r="F17" s="26" t="s">
        <v>2</v>
      </c>
      <c r="G17" s="622"/>
      <c r="H17" s="620"/>
      <c r="I17" s="621"/>
    </row>
    <row r="18" spans="1:12" ht="15.75" x14ac:dyDescent="0.25">
      <c r="A18" s="40"/>
      <c r="B18" s="82"/>
      <c r="C18" s="77"/>
      <c r="D18" s="31"/>
      <c r="E18" s="39"/>
      <c r="F18" s="31"/>
      <c r="G18" s="620"/>
      <c r="H18" s="620"/>
      <c r="I18" s="621"/>
    </row>
    <row r="19" spans="1:12" ht="15.75" x14ac:dyDescent="0.25">
      <c r="A19" s="38"/>
      <c r="B19" s="81"/>
      <c r="C19" s="37" t="s">
        <v>24</v>
      </c>
      <c r="D19" s="26"/>
      <c r="E19" s="26"/>
      <c r="F19" s="26"/>
      <c r="G19" s="25"/>
      <c r="H19" s="24"/>
      <c r="I19" s="30"/>
    </row>
    <row r="20" spans="1:12" ht="15" x14ac:dyDescent="0.2">
      <c r="A20" s="72"/>
      <c r="B20" s="83"/>
      <c r="C20" s="46"/>
      <c r="D20" s="26"/>
      <c r="E20" s="26"/>
      <c r="F20" s="26"/>
      <c r="G20" s="25"/>
      <c r="H20" s="24"/>
      <c r="I20" s="30"/>
    </row>
    <row r="21" spans="1:12" ht="15" x14ac:dyDescent="0.2">
      <c r="A21" s="29">
        <v>703020</v>
      </c>
      <c r="B21" s="84" t="s">
        <v>58</v>
      </c>
      <c r="C21" s="28" t="s">
        <v>23</v>
      </c>
      <c r="D21" s="26" t="s">
        <v>22</v>
      </c>
      <c r="E21" s="26">
        <v>60</v>
      </c>
      <c r="F21" s="26" t="s">
        <v>21</v>
      </c>
      <c r="G21" s="34"/>
      <c r="H21" s="33"/>
      <c r="I21" s="32"/>
    </row>
    <row r="22" spans="1:12" ht="15.75" x14ac:dyDescent="0.25">
      <c r="A22" s="36">
        <v>1950693</v>
      </c>
      <c r="B22" s="85" t="s">
        <v>59</v>
      </c>
      <c r="C22" s="35" t="s">
        <v>20</v>
      </c>
      <c r="D22" s="31" t="s">
        <v>19</v>
      </c>
      <c r="E22" s="31">
        <v>1</v>
      </c>
      <c r="F22" s="31" t="s">
        <v>5</v>
      </c>
      <c r="G22" s="34"/>
      <c r="H22" s="33"/>
      <c r="I22" s="32"/>
    </row>
    <row r="23" spans="1:12" ht="15.75" x14ac:dyDescent="0.25">
      <c r="A23" s="29">
        <v>51400021</v>
      </c>
      <c r="B23" s="84" t="s">
        <v>60</v>
      </c>
      <c r="C23" s="28" t="s">
        <v>18</v>
      </c>
      <c r="D23" s="31" t="s">
        <v>17</v>
      </c>
      <c r="E23" s="31">
        <v>1</v>
      </c>
      <c r="F23" s="31" t="s">
        <v>5</v>
      </c>
      <c r="G23" s="34"/>
      <c r="H23" s="33"/>
      <c r="I23" s="32"/>
    </row>
    <row r="24" spans="1:12" ht="15.75" x14ac:dyDescent="0.25">
      <c r="A24" s="29">
        <v>702123</v>
      </c>
      <c r="B24" s="84" t="s">
        <v>61</v>
      </c>
      <c r="C24" s="28" t="s">
        <v>16</v>
      </c>
      <c r="D24" s="31" t="s">
        <v>14</v>
      </c>
      <c r="E24" s="31">
        <v>1</v>
      </c>
      <c r="F24" s="31" t="s">
        <v>5</v>
      </c>
      <c r="G24" s="25"/>
      <c r="H24" s="24"/>
      <c r="I24" s="30"/>
    </row>
    <row r="25" spans="1:12" ht="15.75" x14ac:dyDescent="0.25">
      <c r="A25" s="29">
        <v>701096</v>
      </c>
      <c r="B25" s="84" t="s">
        <v>62</v>
      </c>
      <c r="C25" s="28" t="s">
        <v>15</v>
      </c>
      <c r="D25" s="31" t="s">
        <v>14</v>
      </c>
      <c r="E25" s="31">
        <v>1</v>
      </c>
      <c r="F25" s="31" t="s">
        <v>5</v>
      </c>
      <c r="G25" s="25"/>
      <c r="H25" s="24"/>
      <c r="I25" s="30"/>
    </row>
    <row r="26" spans="1:12" ht="15" x14ac:dyDescent="0.2">
      <c r="A26" s="29">
        <v>702007</v>
      </c>
      <c r="B26" s="84" t="s">
        <v>63</v>
      </c>
      <c r="C26" s="28" t="s">
        <v>13</v>
      </c>
      <c r="D26" s="27" t="s">
        <v>12</v>
      </c>
      <c r="E26" s="26">
        <v>1</v>
      </c>
      <c r="F26" s="26" t="s">
        <v>5</v>
      </c>
      <c r="G26" s="25"/>
      <c r="H26" s="24"/>
      <c r="I26" s="23"/>
    </row>
    <row r="27" spans="1:12" ht="15" x14ac:dyDescent="0.2">
      <c r="A27" s="72">
        <v>702069</v>
      </c>
      <c r="B27" s="83" t="s">
        <v>64</v>
      </c>
      <c r="C27" s="46" t="s">
        <v>50</v>
      </c>
      <c r="D27" s="26" t="s">
        <v>22</v>
      </c>
      <c r="E27" s="68">
        <v>1</v>
      </c>
      <c r="F27" s="68" t="s">
        <v>5</v>
      </c>
      <c r="G27" s="69"/>
      <c r="H27" s="70"/>
      <c r="I27" s="71"/>
    </row>
    <row r="28" spans="1:12" ht="15.75" thickBot="1" x14ac:dyDescent="0.25">
      <c r="A28" s="72"/>
      <c r="B28" s="83"/>
      <c r="C28" s="46"/>
      <c r="D28" s="26"/>
      <c r="E28" s="68"/>
      <c r="F28" s="68"/>
      <c r="G28" s="69"/>
      <c r="H28" s="70"/>
      <c r="I28" s="71"/>
    </row>
    <row r="29" spans="1:12" ht="13.5" thickBot="1" x14ac:dyDescent="0.25">
      <c r="A29" s="17"/>
      <c r="B29" s="87"/>
      <c r="C29" s="13"/>
      <c r="D29" s="16" t="s">
        <v>11</v>
      </c>
      <c r="E29" s="15" t="s">
        <v>10</v>
      </c>
      <c r="F29" s="14"/>
      <c r="G29" s="13"/>
      <c r="H29" s="13"/>
      <c r="I29" s="12"/>
      <c r="L29" s="3"/>
    </row>
    <row r="30" spans="1:12" x14ac:dyDescent="0.2">
      <c r="A30" s="623" t="s">
        <v>9</v>
      </c>
      <c r="B30" s="624"/>
      <c r="C30" s="625"/>
      <c r="D30" s="11">
        <v>1555</v>
      </c>
      <c r="E30" s="10" t="s">
        <v>2</v>
      </c>
      <c r="F30" s="626"/>
      <c r="G30" s="626"/>
      <c r="H30" s="627"/>
      <c r="I30" s="628"/>
      <c r="L30" s="3"/>
    </row>
    <row r="31" spans="1:12" x14ac:dyDescent="0.2">
      <c r="A31" s="603" t="s">
        <v>8</v>
      </c>
      <c r="B31" s="604"/>
      <c r="C31" s="605"/>
      <c r="D31" s="9">
        <v>5</v>
      </c>
      <c r="E31" s="7" t="s">
        <v>7</v>
      </c>
      <c r="F31" s="619"/>
      <c r="G31" s="619"/>
      <c r="H31" s="608"/>
      <c r="I31" s="609"/>
      <c r="L31" s="3"/>
    </row>
    <row r="32" spans="1:12" x14ac:dyDescent="0.2">
      <c r="A32" s="603" t="s">
        <v>6</v>
      </c>
      <c r="B32" s="604"/>
      <c r="C32" s="605"/>
      <c r="D32" s="7">
        <v>1</v>
      </c>
      <c r="E32" s="7" t="s">
        <v>5</v>
      </c>
      <c r="F32" s="619"/>
      <c r="G32" s="619"/>
      <c r="H32" s="608"/>
      <c r="I32" s="609"/>
      <c r="L32" s="3"/>
    </row>
    <row r="33" spans="1:13" x14ac:dyDescent="0.2">
      <c r="A33" s="603" t="s">
        <v>4</v>
      </c>
      <c r="B33" s="604"/>
      <c r="C33" s="605"/>
      <c r="D33" s="8">
        <f>+D30</f>
        <v>1555</v>
      </c>
      <c r="E33" s="7" t="s">
        <v>2</v>
      </c>
      <c r="F33" s="606"/>
      <c r="G33" s="607"/>
      <c r="H33" s="608"/>
      <c r="I33" s="609"/>
      <c r="L33" s="3"/>
      <c r="M33" s="6"/>
    </row>
    <row r="34" spans="1:13" ht="13.5" thickBot="1" x14ac:dyDescent="0.25">
      <c r="A34" s="610" t="s">
        <v>3</v>
      </c>
      <c r="B34" s="611"/>
      <c r="C34" s="612"/>
      <c r="D34" s="5">
        <f>SUM(E10:E17)-D30</f>
        <v>0</v>
      </c>
      <c r="E34" s="4" t="s">
        <v>2</v>
      </c>
      <c r="F34" s="613"/>
      <c r="G34" s="613"/>
      <c r="H34" s="614"/>
      <c r="I34" s="615"/>
      <c r="L34" s="3"/>
    </row>
    <row r="35" spans="1:13" ht="13.5" thickBot="1" x14ac:dyDescent="0.25">
      <c r="A35" s="591" t="s">
        <v>1</v>
      </c>
      <c r="B35" s="592"/>
      <c r="C35" s="592"/>
      <c r="D35" s="592"/>
      <c r="E35" s="592"/>
      <c r="F35" s="592"/>
      <c r="G35" s="592"/>
      <c r="H35" s="592"/>
      <c r="I35" s="593"/>
    </row>
    <row r="36" spans="1:13" ht="32.25" customHeight="1" x14ac:dyDescent="0.2">
      <c r="A36" s="616" t="s">
        <v>0</v>
      </c>
      <c r="B36" s="617"/>
      <c r="C36" s="617"/>
      <c r="D36" s="617"/>
      <c r="E36" s="617"/>
      <c r="F36" s="617"/>
      <c r="G36" s="617"/>
      <c r="H36" s="617"/>
      <c r="I36" s="618"/>
    </row>
    <row r="37" spans="1:13" ht="34.5" customHeight="1" x14ac:dyDescent="0.25">
      <c r="A37" s="594" t="s">
        <v>147</v>
      </c>
      <c r="B37" s="595"/>
      <c r="C37" s="595"/>
      <c r="D37" s="595"/>
      <c r="E37" s="595"/>
      <c r="F37" s="595"/>
      <c r="G37" s="595"/>
      <c r="H37" s="595"/>
      <c r="I37" s="596"/>
    </row>
    <row r="38" spans="1:13" ht="15" x14ac:dyDescent="0.25">
      <c r="A38" s="594" t="s">
        <v>148</v>
      </c>
      <c r="B38" s="595"/>
      <c r="C38" s="595"/>
      <c r="D38" s="595"/>
      <c r="E38" s="595"/>
      <c r="F38" s="595"/>
      <c r="G38" s="595"/>
      <c r="H38" s="595"/>
      <c r="I38" s="596"/>
    </row>
    <row r="39" spans="1:13" ht="30" customHeight="1" x14ac:dyDescent="0.25">
      <c r="A39" s="594" t="s">
        <v>149</v>
      </c>
      <c r="B39" s="595"/>
      <c r="C39" s="595"/>
      <c r="D39" s="595"/>
      <c r="E39" s="595"/>
      <c r="F39" s="595"/>
      <c r="G39" s="595"/>
      <c r="H39" s="595"/>
      <c r="I39" s="596"/>
    </row>
    <row r="40" spans="1:13" ht="15" x14ac:dyDescent="0.25">
      <c r="A40" s="594" t="s">
        <v>51</v>
      </c>
      <c r="B40" s="595"/>
      <c r="C40" s="595"/>
      <c r="D40" s="595"/>
      <c r="E40" s="595"/>
      <c r="F40" s="595"/>
      <c r="G40" s="595"/>
      <c r="H40" s="595"/>
      <c r="I40" s="596"/>
    </row>
    <row r="41" spans="1:13" ht="15" x14ac:dyDescent="0.25">
      <c r="A41" s="594"/>
      <c r="B41" s="595"/>
      <c r="C41" s="595"/>
      <c r="D41" s="595"/>
      <c r="E41" s="595"/>
      <c r="F41" s="595"/>
      <c r="G41" s="595"/>
      <c r="H41" s="595"/>
      <c r="I41" s="596"/>
    </row>
    <row r="42" spans="1:13" ht="16.5" customHeight="1" x14ac:dyDescent="0.2">
      <c r="A42" s="597"/>
      <c r="B42" s="598"/>
      <c r="C42" s="598"/>
      <c r="D42" s="598"/>
      <c r="E42" s="598"/>
      <c r="F42" s="598"/>
      <c r="G42" s="598"/>
      <c r="H42" s="598"/>
      <c r="I42" s="599"/>
    </row>
    <row r="43" spans="1:13" ht="16.5" customHeight="1" x14ac:dyDescent="0.2">
      <c r="A43" s="597"/>
      <c r="B43" s="598"/>
      <c r="C43" s="598"/>
      <c r="D43" s="598"/>
      <c r="E43" s="598"/>
      <c r="F43" s="598"/>
      <c r="G43" s="598"/>
      <c r="H43" s="598"/>
      <c r="I43" s="599"/>
    </row>
    <row r="44" spans="1:13" ht="16.5" customHeight="1" thickBot="1" x14ac:dyDescent="0.25">
      <c r="A44" s="600"/>
      <c r="B44" s="601"/>
      <c r="C44" s="601"/>
      <c r="D44" s="601"/>
      <c r="E44" s="601"/>
      <c r="F44" s="601"/>
      <c r="G44" s="601"/>
      <c r="H44" s="601"/>
      <c r="I44" s="602"/>
    </row>
    <row r="45" spans="1:13" ht="13.5" thickBot="1" x14ac:dyDescent="0.25">
      <c r="A45" s="591" t="s">
        <v>52</v>
      </c>
      <c r="B45" s="592"/>
      <c r="C45" s="592"/>
      <c r="D45" s="592"/>
      <c r="E45" s="592"/>
      <c r="F45" s="592"/>
      <c r="G45" s="592"/>
      <c r="H45" s="592"/>
      <c r="I45" s="593"/>
    </row>
    <row r="46" spans="1:13" x14ac:dyDescent="0.2">
      <c r="A46" s="2"/>
      <c r="B46" s="2"/>
      <c r="C46" s="2"/>
    </row>
    <row r="47" spans="1:13" x14ac:dyDescent="0.2">
      <c r="A47" s="2"/>
      <c r="B47" s="2"/>
    </row>
    <row r="48" spans="1:13" x14ac:dyDescent="0.2">
      <c r="A48" s="76"/>
      <c r="B48" s="76"/>
    </row>
    <row r="49" spans="1:2" x14ac:dyDescent="0.2">
      <c r="A49" s="76"/>
      <c r="B49" s="76"/>
    </row>
    <row r="50" spans="1:2" x14ac:dyDescent="0.2">
      <c r="A50" s="76"/>
      <c r="B50" s="76"/>
    </row>
  </sheetData>
  <mergeCells count="48">
    <mergeCell ref="G10:I10"/>
    <mergeCell ref="G13:I13"/>
    <mergeCell ref="I3:I5"/>
    <mergeCell ref="D4:G4"/>
    <mergeCell ref="D5:G5"/>
    <mergeCell ref="A1:B5"/>
    <mergeCell ref="C1:G1"/>
    <mergeCell ref="C2:G2"/>
    <mergeCell ref="C3:G3"/>
    <mergeCell ref="H3:H5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G16:I16"/>
    <mergeCell ref="A30:C30"/>
    <mergeCell ref="F30:G30"/>
    <mergeCell ref="H30:I30"/>
    <mergeCell ref="G17:I17"/>
    <mergeCell ref="G18:I18"/>
    <mergeCell ref="A31:C31"/>
    <mergeCell ref="F31:G31"/>
    <mergeCell ref="H31:I31"/>
    <mergeCell ref="A32:C32"/>
    <mergeCell ref="F32:G32"/>
    <mergeCell ref="H32:I32"/>
    <mergeCell ref="A40:I40"/>
    <mergeCell ref="A33:C33"/>
    <mergeCell ref="F33:G33"/>
    <mergeCell ref="H33:I33"/>
    <mergeCell ref="A34:C34"/>
    <mergeCell ref="F34:G34"/>
    <mergeCell ref="H34:I34"/>
    <mergeCell ref="A35:I35"/>
    <mergeCell ref="A36:I36"/>
    <mergeCell ref="A37:I37"/>
    <mergeCell ref="A38:I38"/>
    <mergeCell ref="A39:I39"/>
    <mergeCell ref="A41:I41"/>
    <mergeCell ref="A42:I42"/>
    <mergeCell ref="A43:I43"/>
    <mergeCell ref="A44:I44"/>
    <mergeCell ref="A45:I4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E463C-CD23-414D-91D5-E7F688C05D27}">
  <dimension ref="A1:L49"/>
  <sheetViews>
    <sheetView topLeftCell="A25" workbookViewId="0">
      <selection activeCell="B16" sqref="B16"/>
    </sheetView>
  </sheetViews>
  <sheetFormatPr baseColWidth="10" defaultRowHeight="12.75" x14ac:dyDescent="0.2"/>
  <cols>
    <col min="3" max="3" width="46.42578125" customWidth="1"/>
  </cols>
  <sheetData>
    <row r="1" spans="1:12" ht="18" x14ac:dyDescent="0.25">
      <c r="A1" s="708"/>
      <c r="B1" s="709"/>
      <c r="C1" s="712" t="s">
        <v>49</v>
      </c>
      <c r="D1" s="713"/>
      <c r="E1" s="713"/>
      <c r="F1" s="713"/>
      <c r="G1" s="714"/>
      <c r="H1" s="301" t="s">
        <v>48</v>
      </c>
      <c r="I1" s="302"/>
      <c r="J1" s="303"/>
      <c r="K1" s="303"/>
      <c r="L1" s="303"/>
    </row>
    <row r="2" spans="1:12" ht="18" x14ac:dyDescent="0.25">
      <c r="A2" s="710"/>
      <c r="B2" s="711"/>
      <c r="C2" s="715" t="s">
        <v>47</v>
      </c>
      <c r="D2" s="716"/>
      <c r="E2" s="716"/>
      <c r="F2" s="716"/>
      <c r="G2" s="717"/>
      <c r="H2" s="306" t="s">
        <v>46</v>
      </c>
      <c r="I2" s="307"/>
      <c r="J2" s="303"/>
      <c r="K2" s="303"/>
      <c r="L2" s="303"/>
    </row>
    <row r="3" spans="1:12" ht="15.6" customHeight="1" x14ac:dyDescent="0.2">
      <c r="A3" s="710"/>
      <c r="B3" s="711"/>
      <c r="C3" s="718" t="s">
        <v>65</v>
      </c>
      <c r="D3" s="719"/>
      <c r="E3" s="719"/>
      <c r="F3" s="719"/>
      <c r="G3" s="720"/>
      <c r="H3" s="721" t="s">
        <v>45</v>
      </c>
      <c r="I3" s="699"/>
      <c r="J3" s="303"/>
      <c r="K3" s="303"/>
      <c r="L3" s="303"/>
    </row>
    <row r="4" spans="1:12" x14ac:dyDescent="0.2">
      <c r="A4" s="710"/>
      <c r="B4" s="711"/>
      <c r="C4" s="305" t="s">
        <v>44</v>
      </c>
      <c r="D4" s="702" t="s">
        <v>43</v>
      </c>
      <c r="E4" s="703"/>
      <c r="F4" s="703"/>
      <c r="G4" s="704"/>
      <c r="H4" s="722"/>
      <c r="I4" s="700"/>
      <c r="J4" s="303"/>
      <c r="K4" s="303"/>
      <c r="L4" s="303"/>
    </row>
    <row r="5" spans="1:12" ht="13.5" thickBot="1" x14ac:dyDescent="0.25">
      <c r="A5" s="710"/>
      <c r="B5" s="711"/>
      <c r="C5" s="311" t="s">
        <v>42</v>
      </c>
      <c r="D5" s="705" t="s">
        <v>41</v>
      </c>
      <c r="E5" s="706"/>
      <c r="F5" s="706"/>
      <c r="G5" s="707"/>
      <c r="H5" s="723"/>
      <c r="I5" s="701"/>
      <c r="J5" s="303"/>
      <c r="K5" s="303"/>
      <c r="L5" s="303"/>
    </row>
    <row r="6" spans="1:12" x14ac:dyDescent="0.2">
      <c r="A6" s="300"/>
      <c r="B6" s="300"/>
      <c r="C6" s="312"/>
      <c r="D6" s="310"/>
      <c r="E6" s="310"/>
      <c r="F6" s="310"/>
      <c r="G6" s="310"/>
      <c r="H6" s="308"/>
      <c r="I6" s="309"/>
      <c r="J6" s="303"/>
      <c r="K6" s="303"/>
      <c r="L6" s="303"/>
    </row>
    <row r="7" spans="1:12" ht="18.75" thickBot="1" x14ac:dyDescent="0.3">
      <c r="A7" s="686" t="s">
        <v>40</v>
      </c>
      <c r="B7" s="686"/>
      <c r="C7" s="686"/>
      <c r="D7" s="687" t="s">
        <v>38</v>
      </c>
      <c r="E7" s="687"/>
      <c r="F7" s="687"/>
      <c r="G7" s="688" t="s">
        <v>39</v>
      </c>
      <c r="H7" s="688"/>
      <c r="I7" s="313" t="s">
        <v>38</v>
      </c>
      <c r="J7" s="303"/>
      <c r="K7" s="303"/>
      <c r="L7" s="303"/>
    </row>
    <row r="8" spans="1:12" ht="25.5" x14ac:dyDescent="0.2">
      <c r="A8" s="689" t="s">
        <v>37</v>
      </c>
      <c r="B8" s="691" t="s">
        <v>54</v>
      </c>
      <c r="C8" s="693" t="s">
        <v>36</v>
      </c>
      <c r="D8" s="693" t="s">
        <v>35</v>
      </c>
      <c r="E8" s="695" t="s">
        <v>34</v>
      </c>
      <c r="F8" s="696"/>
      <c r="G8" s="695" t="s">
        <v>33</v>
      </c>
      <c r="H8" s="696"/>
      <c r="I8" s="314" t="s">
        <v>32</v>
      </c>
      <c r="J8" s="303"/>
      <c r="K8" s="303"/>
      <c r="L8" s="303"/>
    </row>
    <row r="9" spans="1:12" ht="26.25" thickBot="1" x14ac:dyDescent="0.25">
      <c r="A9" s="690"/>
      <c r="B9" s="692"/>
      <c r="C9" s="694"/>
      <c r="D9" s="694"/>
      <c r="E9" s="315" t="s">
        <v>11</v>
      </c>
      <c r="F9" s="316" t="s">
        <v>31</v>
      </c>
      <c r="G9" s="315" t="s">
        <v>11</v>
      </c>
      <c r="H9" s="316" t="s">
        <v>31</v>
      </c>
      <c r="I9" s="317" t="s">
        <v>30</v>
      </c>
      <c r="J9" s="303"/>
      <c r="K9" s="303"/>
      <c r="L9" s="303"/>
    </row>
    <row r="10" spans="1:12" ht="15.75" x14ac:dyDescent="0.25">
      <c r="A10" s="318">
        <v>907000002</v>
      </c>
      <c r="B10" s="319" t="s">
        <v>55</v>
      </c>
      <c r="C10" s="320" t="s">
        <v>28</v>
      </c>
      <c r="D10" s="321" t="s">
        <v>26</v>
      </c>
      <c r="E10" s="321">
        <v>200</v>
      </c>
      <c r="F10" s="321" t="s">
        <v>2</v>
      </c>
      <c r="G10" s="697" t="s">
        <v>66</v>
      </c>
      <c r="H10" s="698"/>
      <c r="I10" s="698"/>
      <c r="J10" s="303"/>
      <c r="K10" s="303"/>
      <c r="L10" s="303"/>
    </row>
    <row r="11" spans="1:12" ht="15.75" x14ac:dyDescent="0.25">
      <c r="A11" s="73"/>
      <c r="B11" s="73"/>
      <c r="C11" s="322" t="s">
        <v>67</v>
      </c>
      <c r="D11" s="324" t="s">
        <v>26</v>
      </c>
      <c r="E11" s="324">
        <v>280</v>
      </c>
      <c r="F11" s="324" t="s">
        <v>2</v>
      </c>
      <c r="G11" s="323"/>
      <c r="H11" s="323"/>
      <c r="I11" s="325"/>
      <c r="J11" s="303"/>
      <c r="K11" s="303"/>
      <c r="L11" s="303"/>
    </row>
    <row r="12" spans="1:12" ht="15.75" x14ac:dyDescent="0.25">
      <c r="A12" s="73"/>
      <c r="B12" s="73" t="s">
        <v>104</v>
      </c>
      <c r="C12" t="s">
        <v>106</v>
      </c>
      <c r="D12" s="324" t="s">
        <v>26</v>
      </c>
      <c r="E12" s="324">
        <v>40</v>
      </c>
      <c r="F12" s="324" t="s">
        <v>2</v>
      </c>
      <c r="G12" s="323"/>
      <c r="H12" s="323"/>
      <c r="I12" s="325"/>
      <c r="J12" s="303"/>
      <c r="K12" s="303"/>
      <c r="L12" s="303"/>
    </row>
    <row r="13" spans="1:12" ht="15.75" x14ac:dyDescent="0.25">
      <c r="A13" s="73"/>
      <c r="B13" s="74"/>
      <c r="C13" s="326" t="s">
        <v>238</v>
      </c>
      <c r="D13" s="327" t="s">
        <v>26</v>
      </c>
      <c r="E13" s="328">
        <v>700</v>
      </c>
      <c r="F13" s="327" t="s">
        <v>2</v>
      </c>
      <c r="G13" s="668"/>
      <c r="H13" s="669"/>
      <c r="I13" s="676"/>
      <c r="J13" s="303"/>
      <c r="K13" s="303"/>
      <c r="L13" s="303"/>
    </row>
    <row r="14" spans="1:12" ht="15" x14ac:dyDescent="0.2">
      <c r="A14" s="73"/>
      <c r="B14" s="73"/>
      <c r="C14" s="304"/>
      <c r="D14" s="329"/>
      <c r="E14" s="329"/>
      <c r="F14" s="329"/>
      <c r="G14" s="73"/>
      <c r="H14" s="73"/>
      <c r="I14" s="330"/>
      <c r="J14" s="303"/>
      <c r="K14" s="303"/>
      <c r="L14" s="303"/>
    </row>
    <row r="15" spans="1:12" ht="15" x14ac:dyDescent="0.2">
      <c r="A15" s="331"/>
      <c r="B15" s="332"/>
      <c r="C15" s="333" t="s">
        <v>27</v>
      </c>
      <c r="D15" s="329"/>
      <c r="E15" s="329"/>
      <c r="F15" s="329"/>
      <c r="G15" s="73"/>
      <c r="H15" s="73"/>
      <c r="I15" s="330"/>
      <c r="J15" s="303"/>
      <c r="K15" s="303"/>
      <c r="L15" s="303"/>
    </row>
    <row r="16" spans="1:12" ht="15" x14ac:dyDescent="0.2">
      <c r="A16" s="73"/>
      <c r="B16" s="73" t="s">
        <v>239</v>
      </c>
      <c r="C16" s="41" t="s">
        <v>240</v>
      </c>
      <c r="D16" s="334" t="s">
        <v>26</v>
      </c>
      <c r="E16" s="334">
        <v>25</v>
      </c>
      <c r="F16" s="334" t="s">
        <v>2</v>
      </c>
      <c r="G16" s="668" t="s">
        <v>138</v>
      </c>
      <c r="H16" s="669"/>
      <c r="I16" s="676"/>
      <c r="J16" s="303"/>
      <c r="K16" s="303"/>
      <c r="L16" s="303"/>
    </row>
    <row r="17" spans="1:12" ht="15" x14ac:dyDescent="0.2">
      <c r="A17" s="335"/>
      <c r="B17" s="336"/>
      <c r="C17" s="337" t="s">
        <v>139</v>
      </c>
      <c r="D17" s="334" t="s">
        <v>26</v>
      </c>
      <c r="E17" s="334">
        <v>180</v>
      </c>
      <c r="F17" s="334" t="s">
        <v>2</v>
      </c>
      <c r="G17" s="668"/>
      <c r="H17" s="669"/>
      <c r="I17" s="676"/>
      <c r="J17" s="303"/>
      <c r="K17" s="303"/>
      <c r="L17" s="303"/>
    </row>
    <row r="18" spans="1:12" ht="15.75" x14ac:dyDescent="0.25">
      <c r="A18" s="42"/>
      <c r="B18" s="80"/>
      <c r="C18" s="338"/>
      <c r="D18" s="327"/>
      <c r="E18" s="328"/>
      <c r="F18" s="327"/>
      <c r="G18" s="668"/>
      <c r="H18" s="669"/>
      <c r="I18" s="676"/>
      <c r="J18" s="303"/>
      <c r="K18" s="303"/>
      <c r="L18" s="303"/>
    </row>
    <row r="19" spans="1:12" ht="15.75" x14ac:dyDescent="0.25">
      <c r="A19" s="335"/>
      <c r="B19" s="336"/>
      <c r="C19" s="339" t="s">
        <v>24</v>
      </c>
      <c r="D19" s="334"/>
      <c r="E19" s="334"/>
      <c r="F19" s="334"/>
      <c r="G19" s="73"/>
      <c r="H19" s="73"/>
      <c r="I19" s="330"/>
      <c r="J19" s="303"/>
      <c r="K19" s="303"/>
      <c r="L19" s="303"/>
    </row>
    <row r="20" spans="1:12" ht="15" x14ac:dyDescent="0.2">
      <c r="A20" s="340">
        <v>702175</v>
      </c>
      <c r="B20" s="341" t="s">
        <v>57</v>
      </c>
      <c r="C20" s="342" t="s">
        <v>53</v>
      </c>
      <c r="D20" s="334" t="s">
        <v>22</v>
      </c>
      <c r="E20" s="334">
        <v>1</v>
      </c>
      <c r="F20" s="334" t="s">
        <v>5</v>
      </c>
      <c r="G20" s="73"/>
      <c r="H20" s="73"/>
      <c r="I20" s="330"/>
      <c r="J20" s="303"/>
      <c r="K20" s="303"/>
      <c r="L20" s="303"/>
    </row>
    <row r="21" spans="1:12" ht="15" x14ac:dyDescent="0.2">
      <c r="A21" s="29">
        <v>703020</v>
      </c>
      <c r="B21" s="84" t="s">
        <v>58</v>
      </c>
      <c r="C21" s="28" t="s">
        <v>23</v>
      </c>
      <c r="D21" s="334" t="s">
        <v>22</v>
      </c>
      <c r="E21" s="334">
        <v>60</v>
      </c>
      <c r="F21" s="334" t="s">
        <v>21</v>
      </c>
      <c r="G21" s="323"/>
      <c r="H21" s="323"/>
      <c r="I21" s="325"/>
      <c r="J21" s="303"/>
      <c r="K21" s="303"/>
      <c r="L21" s="303"/>
    </row>
    <row r="22" spans="1:12" ht="15.75" x14ac:dyDescent="0.25">
      <c r="A22" s="42">
        <v>1950693</v>
      </c>
      <c r="B22" s="80" t="s">
        <v>59</v>
      </c>
      <c r="C22" s="343" t="s">
        <v>20</v>
      </c>
      <c r="D22" s="327" t="s">
        <v>19</v>
      </c>
      <c r="E22" s="327">
        <v>1</v>
      </c>
      <c r="F22" s="327" t="s">
        <v>5</v>
      </c>
      <c r="G22" s="323"/>
      <c r="H22" s="323"/>
      <c r="I22" s="325"/>
      <c r="J22" s="303"/>
      <c r="K22" s="303"/>
      <c r="L22" s="303"/>
    </row>
    <row r="23" spans="1:12" ht="15.75" x14ac:dyDescent="0.25">
      <c r="A23" s="29">
        <v>51400021</v>
      </c>
      <c r="B23" s="84" t="s">
        <v>60</v>
      </c>
      <c r="C23" s="28" t="s">
        <v>18</v>
      </c>
      <c r="D23" s="327" t="s">
        <v>17</v>
      </c>
      <c r="E23" s="327">
        <v>1</v>
      </c>
      <c r="F23" s="327" t="s">
        <v>5</v>
      </c>
      <c r="G23" s="323"/>
      <c r="H23" s="323"/>
      <c r="I23" s="325"/>
      <c r="J23" s="303"/>
      <c r="K23" s="303"/>
      <c r="L23" s="303"/>
    </row>
    <row r="24" spans="1:12" ht="15.75" x14ac:dyDescent="0.25">
      <c r="A24" s="29">
        <v>702123</v>
      </c>
      <c r="B24" s="84" t="s">
        <v>61</v>
      </c>
      <c r="C24" s="28" t="s">
        <v>16</v>
      </c>
      <c r="D24" s="327" t="s">
        <v>14</v>
      </c>
      <c r="E24" s="327">
        <v>1</v>
      </c>
      <c r="F24" s="327" t="s">
        <v>5</v>
      </c>
      <c r="G24" s="73"/>
      <c r="H24" s="73"/>
      <c r="I24" s="330"/>
      <c r="J24" s="303"/>
      <c r="K24" s="303"/>
      <c r="L24" s="303"/>
    </row>
    <row r="25" spans="1:12" ht="15.75" x14ac:dyDescent="0.25">
      <c r="A25" s="29">
        <v>701096</v>
      </c>
      <c r="B25" s="84" t="s">
        <v>62</v>
      </c>
      <c r="C25" s="28" t="s">
        <v>15</v>
      </c>
      <c r="D25" s="327" t="s">
        <v>14</v>
      </c>
      <c r="E25" s="327">
        <v>1</v>
      </c>
      <c r="F25" s="327" t="s">
        <v>5</v>
      </c>
      <c r="G25" s="73"/>
      <c r="H25" s="73"/>
      <c r="I25" s="330"/>
      <c r="J25" s="303"/>
      <c r="K25" s="303"/>
      <c r="L25" s="303"/>
    </row>
    <row r="26" spans="1:12" ht="15" x14ac:dyDescent="0.2">
      <c r="A26" s="29">
        <v>702007</v>
      </c>
      <c r="B26" s="84" t="s">
        <v>63</v>
      </c>
      <c r="C26" s="28" t="s">
        <v>13</v>
      </c>
      <c r="D26" s="337" t="s">
        <v>12</v>
      </c>
      <c r="E26" s="334">
        <v>1</v>
      </c>
      <c r="F26" s="334" t="s">
        <v>5</v>
      </c>
      <c r="G26" s="73"/>
      <c r="H26" s="73"/>
      <c r="I26" s="344"/>
      <c r="J26" s="303"/>
      <c r="K26" s="303"/>
      <c r="L26" s="303"/>
    </row>
    <row r="27" spans="1:12" ht="15" x14ac:dyDescent="0.2">
      <c r="A27" s="340">
        <v>702069</v>
      </c>
      <c r="B27" s="341" t="s">
        <v>64</v>
      </c>
      <c r="C27" s="342" t="s">
        <v>50</v>
      </c>
      <c r="D27" s="334" t="s">
        <v>22</v>
      </c>
      <c r="E27" s="346">
        <v>1</v>
      </c>
      <c r="F27" s="346" t="s">
        <v>5</v>
      </c>
      <c r="G27" s="345"/>
      <c r="H27" s="345"/>
      <c r="I27" s="347"/>
      <c r="J27" s="303"/>
      <c r="K27" s="303"/>
      <c r="L27" s="303"/>
    </row>
    <row r="28" spans="1:12" ht="15.75" thickBot="1" x14ac:dyDescent="0.25">
      <c r="A28" s="340"/>
      <c r="B28" s="341"/>
      <c r="C28" s="342"/>
      <c r="D28" s="334"/>
      <c r="E28" s="346"/>
      <c r="F28" s="346"/>
      <c r="G28" s="345"/>
      <c r="H28" s="345"/>
      <c r="I28" s="347"/>
      <c r="J28" s="303"/>
      <c r="K28" s="303"/>
      <c r="L28" s="303"/>
    </row>
    <row r="29" spans="1:12" ht="13.5" thickBot="1" x14ac:dyDescent="0.25">
      <c r="A29" s="348"/>
      <c r="B29" s="349"/>
      <c r="C29" s="350"/>
      <c r="D29" s="351" t="s">
        <v>11</v>
      </c>
      <c r="E29" s="351" t="s">
        <v>10</v>
      </c>
      <c r="F29" s="352"/>
      <c r="G29" s="350"/>
      <c r="H29" s="350"/>
      <c r="I29" s="353"/>
      <c r="J29" s="303"/>
      <c r="K29" s="303"/>
      <c r="L29" s="359"/>
    </row>
    <row r="30" spans="1:12" x14ac:dyDescent="0.2">
      <c r="A30" s="679" t="s">
        <v>9</v>
      </c>
      <c r="B30" s="680"/>
      <c r="C30" s="681"/>
      <c r="D30" s="323">
        <v>1420</v>
      </c>
      <c r="E30" s="354" t="s">
        <v>2</v>
      </c>
      <c r="F30" s="682"/>
      <c r="G30" s="683"/>
      <c r="H30" s="684"/>
      <c r="I30" s="685"/>
      <c r="J30" s="303"/>
      <c r="K30" s="303"/>
      <c r="L30" s="359"/>
    </row>
    <row r="31" spans="1:12" x14ac:dyDescent="0.2">
      <c r="A31" s="603" t="s">
        <v>8</v>
      </c>
      <c r="B31" s="604"/>
      <c r="C31" s="605"/>
      <c r="D31" s="9">
        <v>5</v>
      </c>
      <c r="E31" s="73" t="s">
        <v>7</v>
      </c>
      <c r="F31" s="677"/>
      <c r="G31" s="678"/>
      <c r="H31" s="668"/>
      <c r="I31" s="669"/>
      <c r="J31" s="303"/>
      <c r="K31" s="303"/>
      <c r="L31" s="359"/>
    </row>
    <row r="32" spans="1:12" x14ac:dyDescent="0.2">
      <c r="A32" s="603" t="s">
        <v>6</v>
      </c>
      <c r="B32" s="604"/>
      <c r="C32" s="605"/>
      <c r="D32" s="73">
        <v>1</v>
      </c>
      <c r="E32" s="73" t="s">
        <v>5</v>
      </c>
      <c r="F32" s="677"/>
      <c r="G32" s="678"/>
      <c r="H32" s="668"/>
      <c r="I32" s="669"/>
      <c r="J32" s="303"/>
      <c r="K32" s="303"/>
      <c r="L32" s="359"/>
    </row>
    <row r="33" spans="1:12" x14ac:dyDescent="0.2">
      <c r="A33" s="603" t="s">
        <v>4</v>
      </c>
      <c r="B33" s="604"/>
      <c r="C33" s="605"/>
      <c r="D33" s="73">
        <v>1420</v>
      </c>
      <c r="E33" s="73" t="s">
        <v>2</v>
      </c>
      <c r="F33" s="666"/>
      <c r="G33" s="667"/>
      <c r="H33" s="668"/>
      <c r="I33" s="669"/>
      <c r="J33" s="303"/>
      <c r="K33" s="303"/>
      <c r="L33" s="359"/>
    </row>
    <row r="34" spans="1:12" ht="13.5" thickBot="1" x14ac:dyDescent="0.25">
      <c r="A34" s="670" t="s">
        <v>3</v>
      </c>
      <c r="B34" s="671"/>
      <c r="C34" s="611"/>
      <c r="D34" s="355">
        <v>5</v>
      </c>
      <c r="E34" s="355" t="s">
        <v>2</v>
      </c>
      <c r="F34" s="672"/>
      <c r="G34" s="673"/>
      <c r="H34" s="674"/>
      <c r="I34" s="675"/>
      <c r="J34" s="303"/>
      <c r="K34" s="303"/>
      <c r="L34" s="359"/>
    </row>
    <row r="35" spans="1:12" ht="13.5" thickBot="1" x14ac:dyDescent="0.25">
      <c r="A35" s="660" t="s">
        <v>1</v>
      </c>
      <c r="B35" s="661"/>
      <c r="C35" s="661"/>
      <c r="D35" s="661"/>
      <c r="E35" s="661"/>
      <c r="F35" s="661"/>
      <c r="G35" s="661"/>
      <c r="H35" s="661"/>
      <c r="I35" s="661"/>
      <c r="J35" s="303"/>
      <c r="K35" s="303"/>
      <c r="L35" s="303"/>
    </row>
    <row r="36" spans="1:12" ht="27.6" customHeight="1" x14ac:dyDescent="0.2">
      <c r="A36" s="662" t="s">
        <v>241</v>
      </c>
      <c r="B36" s="663"/>
      <c r="C36" s="663"/>
      <c r="D36" s="663"/>
      <c r="E36" s="663"/>
      <c r="F36" s="663"/>
      <c r="G36" s="663"/>
      <c r="H36" s="663"/>
      <c r="I36" s="663"/>
      <c r="J36" s="303"/>
      <c r="K36" s="303"/>
      <c r="L36" s="303"/>
    </row>
    <row r="37" spans="1:12" ht="27.6" customHeight="1" x14ac:dyDescent="0.25">
      <c r="A37" s="664" t="s">
        <v>242</v>
      </c>
      <c r="B37" s="665"/>
      <c r="C37" s="665"/>
      <c r="D37" s="665"/>
      <c r="E37" s="665"/>
      <c r="F37" s="665"/>
      <c r="G37" s="665"/>
      <c r="H37" s="665"/>
      <c r="I37" s="665"/>
      <c r="J37" s="303"/>
      <c r="K37" s="303"/>
      <c r="L37" s="303"/>
    </row>
    <row r="38" spans="1:12" ht="27.6" customHeight="1" x14ac:dyDescent="0.25">
      <c r="A38" s="664" t="s">
        <v>243</v>
      </c>
      <c r="B38" s="665"/>
      <c r="C38" s="665"/>
      <c r="D38" s="665"/>
      <c r="E38" s="665"/>
      <c r="F38" s="665"/>
      <c r="G38" s="665"/>
      <c r="H38" s="665"/>
      <c r="I38" s="665"/>
      <c r="J38" s="303"/>
      <c r="K38" s="303"/>
      <c r="L38" s="303"/>
    </row>
    <row r="39" spans="1:12" ht="13.9" customHeight="1" x14ac:dyDescent="0.25">
      <c r="A39" s="664" t="s">
        <v>244</v>
      </c>
      <c r="B39" s="665"/>
      <c r="C39" s="665"/>
      <c r="D39" s="665"/>
      <c r="E39" s="665"/>
      <c r="F39" s="665"/>
      <c r="G39" s="665"/>
      <c r="H39" s="665"/>
      <c r="I39" s="665"/>
      <c r="J39" s="303"/>
      <c r="K39" s="303"/>
      <c r="L39" s="303"/>
    </row>
    <row r="40" spans="1:12" ht="15" x14ac:dyDescent="0.25">
      <c r="A40" s="664"/>
      <c r="B40" s="665"/>
      <c r="C40" s="665"/>
      <c r="D40" s="665"/>
      <c r="E40" s="665"/>
      <c r="F40" s="665"/>
      <c r="G40" s="665"/>
      <c r="H40" s="665"/>
      <c r="I40" s="665"/>
      <c r="J40" s="303"/>
      <c r="K40" s="303"/>
      <c r="L40" s="303"/>
    </row>
    <row r="41" spans="1:12" ht="14.25" x14ac:dyDescent="0.2">
      <c r="A41" s="656"/>
      <c r="B41" s="657"/>
      <c r="C41" s="657"/>
      <c r="D41" s="657"/>
      <c r="E41" s="657"/>
      <c r="F41" s="657"/>
      <c r="G41" s="657"/>
      <c r="H41" s="657"/>
      <c r="I41" s="657"/>
      <c r="J41" s="303"/>
      <c r="K41" s="303"/>
      <c r="L41" s="303"/>
    </row>
    <row r="42" spans="1:12" ht="14.25" x14ac:dyDescent="0.2">
      <c r="A42" s="656"/>
      <c r="B42" s="657"/>
      <c r="C42" s="657"/>
      <c r="D42" s="657"/>
      <c r="E42" s="657"/>
      <c r="F42" s="657"/>
      <c r="G42" s="657"/>
      <c r="H42" s="657"/>
      <c r="I42" s="657"/>
      <c r="J42" s="303"/>
      <c r="K42" s="303"/>
      <c r="L42" s="303"/>
    </row>
    <row r="43" spans="1:12" ht="15" thickBot="1" x14ac:dyDescent="0.25">
      <c r="A43" s="658"/>
      <c r="B43" s="659"/>
      <c r="C43" s="659"/>
      <c r="D43" s="659"/>
      <c r="E43" s="659"/>
      <c r="F43" s="659"/>
      <c r="G43" s="659"/>
      <c r="H43" s="659"/>
      <c r="I43" s="659"/>
      <c r="J43" s="303"/>
      <c r="K43" s="303"/>
      <c r="L43" s="303"/>
    </row>
    <row r="44" spans="1:12" ht="13.5" thickBot="1" x14ac:dyDescent="0.25">
      <c r="A44" s="660" t="s">
        <v>52</v>
      </c>
      <c r="B44" s="661"/>
      <c r="C44" s="661"/>
      <c r="D44" s="661"/>
      <c r="E44" s="661"/>
      <c r="F44" s="661"/>
      <c r="G44" s="661"/>
      <c r="H44" s="661"/>
      <c r="I44" s="661"/>
      <c r="J44" s="303"/>
      <c r="K44" s="303"/>
      <c r="L44" s="303"/>
    </row>
    <row r="45" spans="1:12" x14ac:dyDescent="0.2">
      <c r="A45" s="356"/>
      <c r="B45" s="356"/>
      <c r="C45" s="356"/>
      <c r="D45" s="303"/>
      <c r="E45" s="303"/>
      <c r="F45" s="303"/>
      <c r="G45" s="303"/>
      <c r="H45" s="303"/>
      <c r="I45" s="303"/>
      <c r="J45" s="303"/>
      <c r="K45" s="303"/>
      <c r="L45" s="303"/>
    </row>
    <row r="46" spans="1:12" x14ac:dyDescent="0.2">
      <c r="A46" s="356"/>
      <c r="B46" s="356"/>
      <c r="C46" s="303"/>
      <c r="D46" s="303"/>
      <c r="E46" s="303"/>
      <c r="F46" s="303"/>
      <c r="G46" s="303"/>
      <c r="H46" s="303"/>
      <c r="I46" s="303"/>
      <c r="J46" s="303"/>
      <c r="K46" s="303"/>
      <c r="L46" s="303"/>
    </row>
    <row r="47" spans="1:12" x14ac:dyDescent="0.2">
      <c r="A47" s="303"/>
      <c r="B47" s="303"/>
      <c r="C47" s="303"/>
      <c r="D47" s="303"/>
      <c r="E47" s="303"/>
      <c r="F47" s="303"/>
      <c r="G47" s="303"/>
      <c r="H47" s="303"/>
      <c r="I47" s="303"/>
      <c r="J47" s="303"/>
      <c r="K47" s="303"/>
      <c r="L47" s="303"/>
    </row>
    <row r="48" spans="1:12" x14ac:dyDescent="0.2">
      <c r="A48" s="303"/>
      <c r="B48" s="303"/>
      <c r="C48" s="303"/>
      <c r="D48" s="303"/>
      <c r="E48" s="303"/>
      <c r="F48" s="303"/>
      <c r="G48" s="303"/>
      <c r="H48" s="303"/>
      <c r="I48" s="303"/>
      <c r="J48" s="303"/>
      <c r="K48" s="303"/>
      <c r="L48" s="303"/>
    </row>
    <row r="49" spans="1:12" x14ac:dyDescent="0.2">
      <c r="A49" s="303"/>
      <c r="B49" s="303"/>
      <c r="C49" s="303"/>
      <c r="D49" s="303"/>
      <c r="E49" s="303"/>
      <c r="F49" s="303"/>
      <c r="G49" s="303"/>
      <c r="H49" s="303"/>
      <c r="I49" s="303"/>
      <c r="J49" s="303"/>
      <c r="K49" s="303"/>
      <c r="L49" s="303"/>
    </row>
  </sheetData>
  <mergeCells count="47">
    <mergeCell ref="A1:B5"/>
    <mergeCell ref="C1:G1"/>
    <mergeCell ref="C2:G2"/>
    <mergeCell ref="C3:G3"/>
    <mergeCell ref="H3:H5"/>
    <mergeCell ref="G10:I10"/>
    <mergeCell ref="G13:I13"/>
    <mergeCell ref="G16:I16"/>
    <mergeCell ref="G17:I17"/>
    <mergeCell ref="I3:I5"/>
    <mergeCell ref="D4:G4"/>
    <mergeCell ref="D5:G5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G18:I18"/>
    <mergeCell ref="A31:C31"/>
    <mergeCell ref="F31:G31"/>
    <mergeCell ref="H31:I31"/>
    <mergeCell ref="A32:C32"/>
    <mergeCell ref="F32:G32"/>
    <mergeCell ref="H32:I32"/>
    <mergeCell ref="A30:C30"/>
    <mergeCell ref="F30:G30"/>
    <mergeCell ref="H30:I30"/>
    <mergeCell ref="A33:C33"/>
    <mergeCell ref="F33:G33"/>
    <mergeCell ref="H33:I33"/>
    <mergeCell ref="A34:C34"/>
    <mergeCell ref="F34:G34"/>
    <mergeCell ref="H34:I34"/>
    <mergeCell ref="A41:I41"/>
    <mergeCell ref="A42:I42"/>
    <mergeCell ref="A43:I43"/>
    <mergeCell ref="A44:I44"/>
    <mergeCell ref="A35:I35"/>
    <mergeCell ref="A36:I36"/>
    <mergeCell ref="A37:I37"/>
    <mergeCell ref="A38:I38"/>
    <mergeCell ref="A39:I39"/>
    <mergeCell ref="A40:I4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6F8B6-2B3F-43FC-8703-D34D7FDCFC7E}">
  <dimension ref="A1:M51"/>
  <sheetViews>
    <sheetView workbookViewId="0">
      <selection activeCell="H14" sqref="H14"/>
    </sheetView>
  </sheetViews>
  <sheetFormatPr baseColWidth="10" defaultRowHeight="12.75" x14ac:dyDescent="0.2"/>
  <cols>
    <col min="3" max="3" width="42.85546875" customWidth="1"/>
  </cols>
  <sheetData>
    <row r="1" spans="1:11" ht="18" x14ac:dyDescent="0.25">
      <c r="A1" s="629"/>
      <c r="B1" s="630"/>
      <c r="C1" s="649" t="s">
        <v>49</v>
      </c>
      <c r="D1" s="649"/>
      <c r="E1" s="649"/>
      <c r="F1" s="649"/>
      <c r="G1" s="649"/>
      <c r="H1" s="67" t="s">
        <v>48</v>
      </c>
      <c r="I1" s="66"/>
    </row>
    <row r="2" spans="1:11" ht="18" x14ac:dyDescent="0.25">
      <c r="A2" s="631"/>
      <c r="B2" s="632"/>
      <c r="C2" s="650" t="s">
        <v>47</v>
      </c>
      <c r="D2" s="650"/>
      <c r="E2" s="650"/>
      <c r="F2" s="650"/>
      <c r="G2" s="650"/>
      <c r="H2" s="65" t="s">
        <v>46</v>
      </c>
      <c r="I2" s="75"/>
    </row>
    <row r="3" spans="1:11" ht="15" x14ac:dyDescent="0.2">
      <c r="A3" s="631"/>
      <c r="B3" s="632"/>
      <c r="C3" s="651" t="s">
        <v>349</v>
      </c>
      <c r="D3" s="652"/>
      <c r="E3" s="652"/>
      <c r="F3" s="652"/>
      <c r="G3" s="653"/>
      <c r="H3" s="654" t="s">
        <v>45</v>
      </c>
      <c r="I3" s="644"/>
    </row>
    <row r="4" spans="1:11" x14ac:dyDescent="0.2">
      <c r="A4" s="631"/>
      <c r="B4" s="632"/>
      <c r="C4" s="64" t="s">
        <v>44</v>
      </c>
      <c r="D4" s="647" t="s">
        <v>43</v>
      </c>
      <c r="E4" s="647"/>
      <c r="F4" s="647"/>
      <c r="G4" s="647"/>
      <c r="H4" s="654"/>
      <c r="I4" s="645"/>
    </row>
    <row r="5" spans="1:11" ht="13.5" thickBot="1" x14ac:dyDescent="0.25">
      <c r="A5" s="633"/>
      <c r="B5" s="634"/>
      <c r="C5" s="63" t="s">
        <v>42</v>
      </c>
      <c r="D5" s="648" t="s">
        <v>41</v>
      </c>
      <c r="E5" s="648"/>
      <c r="F5" s="648"/>
      <c r="G5" s="648"/>
      <c r="H5" s="655"/>
      <c r="I5" s="646"/>
    </row>
    <row r="6" spans="1:11" x14ac:dyDescent="0.2">
      <c r="A6" s="62"/>
      <c r="B6" s="62"/>
      <c r="C6" s="61"/>
      <c r="D6" s="60"/>
      <c r="E6" s="60"/>
      <c r="F6" s="60"/>
      <c r="G6" s="60"/>
      <c r="H6" s="59"/>
      <c r="I6" s="58"/>
    </row>
    <row r="7" spans="1:11" ht="18.75" thickBot="1" x14ac:dyDescent="0.3">
      <c r="A7" s="635" t="s">
        <v>40</v>
      </c>
      <c r="B7" s="635"/>
      <c r="C7" s="635"/>
      <c r="D7" s="636" t="s">
        <v>38</v>
      </c>
      <c r="E7" s="636"/>
      <c r="F7" s="636"/>
      <c r="G7" s="637" t="s">
        <v>39</v>
      </c>
      <c r="H7" s="637"/>
      <c r="I7" s="57" t="s">
        <v>38</v>
      </c>
    </row>
    <row r="8" spans="1:11" ht="25.5" x14ac:dyDescent="0.2">
      <c r="A8" s="638" t="s">
        <v>37</v>
      </c>
      <c r="B8" s="642" t="s">
        <v>54</v>
      </c>
      <c r="C8" s="640" t="s">
        <v>36</v>
      </c>
      <c r="D8" s="640" t="s">
        <v>35</v>
      </c>
      <c r="E8" s="640" t="s">
        <v>34</v>
      </c>
      <c r="F8" s="640"/>
      <c r="G8" s="640" t="s">
        <v>33</v>
      </c>
      <c r="H8" s="640"/>
      <c r="I8" s="56" t="s">
        <v>32</v>
      </c>
    </row>
    <row r="9" spans="1:11" ht="26.25" thickBot="1" x14ac:dyDescent="0.25">
      <c r="A9" s="724"/>
      <c r="B9" s="726"/>
      <c r="C9" s="725"/>
      <c r="D9" s="641"/>
      <c r="E9" s="55" t="s">
        <v>11</v>
      </c>
      <c r="F9" s="54" t="s">
        <v>31</v>
      </c>
      <c r="G9" s="196" t="s">
        <v>11</v>
      </c>
      <c r="H9" s="197" t="s">
        <v>31</v>
      </c>
      <c r="I9" s="568" t="s">
        <v>30</v>
      </c>
    </row>
    <row r="10" spans="1:11" ht="15.75" x14ac:dyDescent="0.25">
      <c r="A10" s="24" t="s">
        <v>29</v>
      </c>
      <c r="B10" s="24" t="s">
        <v>55</v>
      </c>
      <c r="C10" s="564" t="s">
        <v>28</v>
      </c>
      <c r="D10" s="50" t="s">
        <v>26</v>
      </c>
      <c r="E10" s="50">
        <v>300</v>
      </c>
      <c r="F10" s="50" t="s">
        <v>2</v>
      </c>
      <c r="G10" s="570" t="s">
        <v>66</v>
      </c>
      <c r="H10" s="192"/>
      <c r="I10" s="192"/>
    </row>
    <row r="11" spans="1:11" ht="15.75" x14ac:dyDescent="0.25">
      <c r="A11" s="24"/>
      <c r="B11" s="24"/>
      <c r="C11" s="77" t="s">
        <v>67</v>
      </c>
      <c r="D11" s="90" t="s">
        <v>26</v>
      </c>
      <c r="E11" s="90">
        <v>280</v>
      </c>
      <c r="F11" s="90" t="s">
        <v>2</v>
      </c>
      <c r="G11" s="25"/>
      <c r="H11" s="24"/>
      <c r="I11" s="569"/>
      <c r="K11" s="1">
        <v>1560</v>
      </c>
    </row>
    <row r="12" spans="1:11" ht="15.75" x14ac:dyDescent="0.25">
      <c r="A12" s="24"/>
      <c r="B12" s="73" t="s">
        <v>104</v>
      </c>
      <c r="C12" s="41" t="s">
        <v>350</v>
      </c>
      <c r="D12" s="90" t="s">
        <v>26</v>
      </c>
      <c r="E12" s="90">
        <v>40</v>
      </c>
      <c r="F12" s="90" t="s">
        <v>2</v>
      </c>
      <c r="G12" s="25"/>
      <c r="H12" s="24"/>
      <c r="I12" s="569"/>
    </row>
    <row r="13" spans="1:11" ht="15.75" x14ac:dyDescent="0.25">
      <c r="A13" s="73"/>
      <c r="B13" s="74"/>
      <c r="C13" s="28" t="s">
        <v>238</v>
      </c>
      <c r="D13" s="31" t="s">
        <v>26</v>
      </c>
      <c r="E13" s="39">
        <v>700</v>
      </c>
      <c r="F13" s="31" t="s">
        <v>2</v>
      </c>
      <c r="G13" s="192"/>
      <c r="H13" s="192"/>
      <c r="I13" s="192"/>
    </row>
    <row r="14" spans="1:11" ht="15" x14ac:dyDescent="0.2">
      <c r="A14" s="73"/>
      <c r="B14" s="73"/>
      <c r="C14" s="41"/>
      <c r="D14" s="43"/>
      <c r="E14" s="43"/>
      <c r="F14" s="43"/>
      <c r="G14" s="25"/>
      <c r="H14" s="24"/>
      <c r="I14" s="569"/>
    </row>
    <row r="15" spans="1:11" ht="15" x14ac:dyDescent="0.2">
      <c r="A15" s="24"/>
      <c r="B15" s="24"/>
      <c r="C15" s="565" t="s">
        <v>27</v>
      </c>
      <c r="D15" s="43"/>
      <c r="E15" s="43"/>
      <c r="F15" s="43"/>
      <c r="G15" s="25"/>
      <c r="H15" s="24"/>
      <c r="I15" s="569"/>
    </row>
    <row r="16" spans="1:11" ht="15" x14ac:dyDescent="0.2">
      <c r="A16" s="73"/>
      <c r="B16" s="73" t="s">
        <v>239</v>
      </c>
      <c r="C16" s="41" t="s">
        <v>364</v>
      </c>
      <c r="D16" s="26" t="s">
        <v>26</v>
      </c>
      <c r="E16" s="26">
        <v>60</v>
      </c>
      <c r="F16" s="26" t="s">
        <v>2</v>
      </c>
      <c r="G16" s="570" t="s">
        <v>138</v>
      </c>
      <c r="H16" s="192"/>
      <c r="I16" s="192"/>
    </row>
    <row r="17" spans="1:12" ht="15" x14ac:dyDescent="0.2">
      <c r="A17" s="566"/>
      <c r="B17" s="566"/>
      <c r="C17" s="27" t="s">
        <v>139</v>
      </c>
      <c r="D17" s="26" t="s">
        <v>26</v>
      </c>
      <c r="E17" s="26">
        <v>180</v>
      </c>
      <c r="F17" s="26" t="s">
        <v>2</v>
      </c>
      <c r="G17" s="570"/>
      <c r="H17" s="192"/>
      <c r="I17" s="192"/>
    </row>
    <row r="18" spans="1:12" ht="15.75" x14ac:dyDescent="0.25">
      <c r="A18" s="24"/>
      <c r="B18" s="24"/>
      <c r="C18" s="77"/>
      <c r="D18" s="31"/>
      <c r="E18" s="39"/>
      <c r="F18" s="31"/>
      <c r="G18" s="192"/>
      <c r="H18" s="192"/>
      <c r="I18" s="192"/>
    </row>
    <row r="19" spans="1:12" ht="15.75" x14ac:dyDescent="0.25">
      <c r="A19" s="566"/>
      <c r="B19" s="566"/>
      <c r="C19" s="37" t="s">
        <v>24</v>
      </c>
      <c r="D19" s="26"/>
      <c r="E19" s="26"/>
      <c r="F19" s="26"/>
      <c r="G19" s="25"/>
      <c r="H19" s="24"/>
      <c r="I19" s="569"/>
    </row>
    <row r="20" spans="1:12" ht="15" x14ac:dyDescent="0.2">
      <c r="A20" s="74"/>
      <c r="B20" s="74" t="s">
        <v>352</v>
      </c>
      <c r="C20" s="28" t="s">
        <v>353</v>
      </c>
      <c r="D20" s="26"/>
      <c r="E20" s="26">
        <v>1</v>
      </c>
      <c r="F20" s="26" t="s">
        <v>5</v>
      </c>
      <c r="G20" s="25"/>
      <c r="H20" s="24"/>
      <c r="I20" s="569"/>
    </row>
    <row r="21" spans="1:12" ht="15" x14ac:dyDescent="0.2">
      <c r="A21" s="74">
        <v>703020</v>
      </c>
      <c r="B21" s="74" t="s">
        <v>58</v>
      </c>
      <c r="C21" s="28" t="s">
        <v>23</v>
      </c>
      <c r="D21" s="26" t="s">
        <v>22</v>
      </c>
      <c r="E21" s="26">
        <v>60</v>
      </c>
      <c r="F21" s="26" t="s">
        <v>21</v>
      </c>
      <c r="G21" s="25"/>
      <c r="H21" s="24"/>
      <c r="I21" s="569"/>
    </row>
    <row r="22" spans="1:12" ht="15.75" x14ac:dyDescent="0.25">
      <c r="A22" s="567">
        <v>1950693</v>
      </c>
      <c r="B22" s="567" t="s">
        <v>59</v>
      </c>
      <c r="C22" s="35" t="s">
        <v>20</v>
      </c>
      <c r="D22" s="31" t="s">
        <v>19</v>
      </c>
      <c r="E22" s="31">
        <v>1</v>
      </c>
      <c r="F22" s="31" t="s">
        <v>5</v>
      </c>
      <c r="G22" s="34"/>
      <c r="H22" s="33"/>
      <c r="I22" s="32"/>
    </row>
    <row r="23" spans="1:12" ht="15.75" x14ac:dyDescent="0.25">
      <c r="A23" s="74">
        <v>51400021</v>
      </c>
      <c r="B23" s="74" t="s">
        <v>60</v>
      </c>
      <c r="C23" s="28" t="s">
        <v>18</v>
      </c>
      <c r="D23" s="31" t="s">
        <v>17</v>
      </c>
      <c r="E23" s="31">
        <v>1</v>
      </c>
      <c r="F23" s="31" t="s">
        <v>5</v>
      </c>
      <c r="G23" s="34"/>
      <c r="H23" s="33"/>
      <c r="I23" s="32"/>
    </row>
    <row r="24" spans="1:12" ht="15.75" x14ac:dyDescent="0.25">
      <c r="A24" s="74">
        <v>702123</v>
      </c>
      <c r="B24" s="74" t="s">
        <v>61</v>
      </c>
      <c r="C24" s="28" t="s">
        <v>16</v>
      </c>
      <c r="D24" s="31" t="s">
        <v>14</v>
      </c>
      <c r="E24" s="31">
        <v>1</v>
      </c>
      <c r="F24" s="31" t="s">
        <v>5</v>
      </c>
      <c r="G24" s="25"/>
      <c r="H24" s="24"/>
      <c r="I24" s="30"/>
    </row>
    <row r="25" spans="1:12" ht="15.75" x14ac:dyDescent="0.25">
      <c r="A25" s="74">
        <v>701096</v>
      </c>
      <c r="B25" s="74" t="s">
        <v>62</v>
      </c>
      <c r="C25" s="28" t="s">
        <v>15</v>
      </c>
      <c r="D25" s="31" t="s">
        <v>14</v>
      </c>
      <c r="E25" s="31">
        <v>1</v>
      </c>
      <c r="F25" s="31" t="s">
        <v>5</v>
      </c>
      <c r="G25" s="25"/>
      <c r="H25" s="24"/>
      <c r="I25" s="30"/>
    </row>
    <row r="26" spans="1:12" ht="15" x14ac:dyDescent="0.2">
      <c r="A26" s="74">
        <v>702007</v>
      </c>
      <c r="B26" s="74" t="s">
        <v>63</v>
      </c>
      <c r="C26" s="28" t="s">
        <v>13</v>
      </c>
      <c r="D26" s="27" t="s">
        <v>12</v>
      </c>
      <c r="E26" s="26">
        <v>1</v>
      </c>
      <c r="F26" s="26" t="s">
        <v>5</v>
      </c>
      <c r="G26" s="25"/>
      <c r="H26" s="24"/>
      <c r="I26" s="23"/>
    </row>
    <row r="27" spans="1:12" ht="15" x14ac:dyDescent="0.2">
      <c r="A27" s="74">
        <v>702069</v>
      </c>
      <c r="B27" s="74" t="s">
        <v>64</v>
      </c>
      <c r="C27" s="28" t="s">
        <v>50</v>
      </c>
      <c r="D27" s="26" t="s">
        <v>22</v>
      </c>
      <c r="E27" s="68">
        <v>1</v>
      </c>
      <c r="F27" s="68" t="s">
        <v>5</v>
      </c>
      <c r="G27" s="69"/>
      <c r="H27" s="70"/>
      <c r="I27" s="71"/>
    </row>
    <row r="28" spans="1:12" ht="14.25" x14ac:dyDescent="0.2">
      <c r="A28" s="578"/>
      <c r="B28" s="345" t="s">
        <v>354</v>
      </c>
      <c r="C28" s="579" t="s">
        <v>355</v>
      </c>
      <c r="D28" s="580"/>
      <c r="E28" s="581" t="s">
        <v>356</v>
      </c>
      <c r="F28" s="581" t="s">
        <v>5</v>
      </c>
      <c r="G28" s="581" t="s">
        <v>357</v>
      </c>
      <c r="H28" s="581"/>
      <c r="I28" s="71"/>
      <c r="L28" s="3"/>
    </row>
    <row r="29" spans="1:12" ht="14.25" x14ac:dyDescent="0.2">
      <c r="A29" s="583"/>
      <c r="B29" s="73"/>
      <c r="C29" s="41"/>
      <c r="D29" s="577"/>
      <c r="E29" s="385"/>
      <c r="F29" s="385"/>
      <c r="G29" s="385"/>
      <c r="H29" s="385"/>
      <c r="I29" s="24"/>
      <c r="L29" s="3"/>
    </row>
    <row r="30" spans="1:12" ht="13.5" thickBot="1" x14ac:dyDescent="0.25">
      <c r="A30" s="582"/>
      <c r="B30" s="571"/>
      <c r="C30" s="572"/>
      <c r="D30" s="573" t="s">
        <v>11</v>
      </c>
      <c r="E30" s="574" t="s">
        <v>10</v>
      </c>
      <c r="F30" s="575"/>
      <c r="G30" s="572"/>
      <c r="H30" s="572"/>
      <c r="I30" s="576"/>
      <c r="L30" s="3"/>
    </row>
    <row r="31" spans="1:12" x14ac:dyDescent="0.2">
      <c r="A31" s="623" t="s">
        <v>9</v>
      </c>
      <c r="B31" s="624"/>
      <c r="C31" s="625"/>
      <c r="D31" s="11">
        <v>1533</v>
      </c>
      <c r="E31" s="10" t="s">
        <v>2</v>
      </c>
      <c r="F31" s="626"/>
      <c r="G31" s="626"/>
      <c r="H31" s="627"/>
      <c r="I31" s="628"/>
      <c r="L31" s="3"/>
    </row>
    <row r="32" spans="1:12" x14ac:dyDescent="0.2">
      <c r="A32" s="603" t="s">
        <v>8</v>
      </c>
      <c r="B32" s="604"/>
      <c r="C32" s="605"/>
      <c r="D32" s="9">
        <v>5</v>
      </c>
      <c r="E32" s="7" t="s">
        <v>7</v>
      </c>
      <c r="F32" s="619"/>
      <c r="G32" s="619"/>
      <c r="H32" s="608"/>
      <c r="I32" s="609"/>
      <c r="L32" s="3"/>
    </row>
    <row r="33" spans="1:13" x14ac:dyDescent="0.2">
      <c r="A33" s="603" t="s">
        <v>6</v>
      </c>
      <c r="B33" s="604"/>
      <c r="C33" s="605"/>
      <c r="D33" s="7">
        <v>1</v>
      </c>
      <c r="E33" s="7" t="s">
        <v>5</v>
      </c>
      <c r="F33" s="619"/>
      <c r="G33" s="619"/>
      <c r="H33" s="608"/>
      <c r="I33" s="609"/>
      <c r="L33" s="3"/>
    </row>
    <row r="34" spans="1:13" x14ac:dyDescent="0.2">
      <c r="A34" s="603" t="s">
        <v>4</v>
      </c>
      <c r="B34" s="604"/>
      <c r="C34" s="605"/>
      <c r="D34" s="8">
        <v>1533</v>
      </c>
      <c r="E34" s="7" t="s">
        <v>2</v>
      </c>
      <c r="F34" s="606"/>
      <c r="G34" s="607"/>
      <c r="H34" s="608"/>
      <c r="I34" s="609"/>
      <c r="L34" s="3"/>
      <c r="M34" s="6"/>
    </row>
    <row r="35" spans="1:13" ht="13.5" thickBot="1" x14ac:dyDescent="0.25">
      <c r="A35" s="610" t="s">
        <v>3</v>
      </c>
      <c r="B35" s="611"/>
      <c r="C35" s="612"/>
      <c r="D35" s="5">
        <v>27</v>
      </c>
      <c r="E35" s="4" t="s">
        <v>2</v>
      </c>
      <c r="F35" s="613"/>
      <c r="G35" s="613"/>
      <c r="H35" s="614"/>
      <c r="I35" s="615"/>
      <c r="L35" s="3"/>
    </row>
    <row r="36" spans="1:13" ht="13.5" thickBot="1" x14ac:dyDescent="0.25">
      <c r="A36" s="591" t="s">
        <v>1</v>
      </c>
      <c r="B36" s="592"/>
      <c r="C36" s="592"/>
      <c r="D36" s="592"/>
      <c r="E36" s="592"/>
      <c r="F36" s="592"/>
      <c r="G36" s="592"/>
      <c r="H36" s="592"/>
      <c r="I36" s="593"/>
    </row>
    <row r="37" spans="1:13" ht="15" x14ac:dyDescent="0.2">
      <c r="A37" s="616" t="s">
        <v>358</v>
      </c>
      <c r="B37" s="617"/>
      <c r="C37" s="617"/>
      <c r="D37" s="617"/>
      <c r="E37" s="617"/>
      <c r="F37" s="617"/>
      <c r="G37" s="617"/>
      <c r="H37" s="617"/>
      <c r="I37" s="618"/>
    </row>
    <row r="38" spans="1:13" ht="15" x14ac:dyDescent="0.25">
      <c r="A38" s="594" t="s">
        <v>359</v>
      </c>
      <c r="B38" s="595"/>
      <c r="C38" s="595"/>
      <c r="D38" s="595"/>
      <c r="E38" s="595"/>
      <c r="F38" s="595"/>
      <c r="G38" s="595"/>
      <c r="H38" s="595"/>
      <c r="I38" s="596"/>
    </row>
    <row r="39" spans="1:13" ht="15" x14ac:dyDescent="0.25">
      <c r="A39" s="594" t="s">
        <v>360</v>
      </c>
      <c r="B39" s="595"/>
      <c r="C39" s="595"/>
      <c r="D39" s="595"/>
      <c r="E39" s="595"/>
      <c r="F39" s="595"/>
      <c r="G39" s="595"/>
      <c r="H39" s="595"/>
      <c r="I39" s="596"/>
    </row>
    <row r="40" spans="1:13" ht="15" x14ac:dyDescent="0.25">
      <c r="A40" s="594" t="s">
        <v>361</v>
      </c>
      <c r="B40" s="595"/>
      <c r="C40" s="595"/>
      <c r="D40" s="595"/>
      <c r="E40" s="595"/>
      <c r="F40" s="595"/>
      <c r="G40" s="595"/>
      <c r="H40" s="595"/>
      <c r="I40" s="596"/>
    </row>
    <row r="41" spans="1:13" ht="15" x14ac:dyDescent="0.25">
      <c r="A41" s="594" t="s">
        <v>51</v>
      </c>
      <c r="B41" s="595"/>
      <c r="C41" s="595"/>
      <c r="D41" s="595"/>
      <c r="E41" s="595"/>
      <c r="F41" s="595"/>
      <c r="G41" s="595"/>
      <c r="H41" s="595"/>
      <c r="I41" s="596"/>
    </row>
    <row r="42" spans="1:13" ht="15" x14ac:dyDescent="0.25">
      <c r="A42" s="594"/>
      <c r="B42" s="595"/>
      <c r="C42" s="595"/>
      <c r="D42" s="595"/>
      <c r="E42" s="595"/>
      <c r="F42" s="595"/>
      <c r="G42" s="595"/>
      <c r="H42" s="595"/>
      <c r="I42" s="596"/>
    </row>
    <row r="43" spans="1:13" ht="14.25" x14ac:dyDescent="0.2">
      <c r="A43" s="597"/>
      <c r="B43" s="598"/>
      <c r="C43" s="598"/>
      <c r="D43" s="598"/>
      <c r="E43" s="598"/>
      <c r="F43" s="598"/>
      <c r="G43" s="598"/>
      <c r="H43" s="598"/>
      <c r="I43" s="599"/>
    </row>
    <row r="44" spans="1:13" ht="14.25" x14ac:dyDescent="0.2">
      <c r="A44" s="597"/>
      <c r="B44" s="598"/>
      <c r="C44" s="598"/>
      <c r="D44" s="598"/>
      <c r="E44" s="598"/>
      <c r="F44" s="598"/>
      <c r="G44" s="598"/>
      <c r="H44" s="598"/>
      <c r="I44" s="599"/>
    </row>
    <row r="45" spans="1:13" ht="15" thickBot="1" x14ac:dyDescent="0.25">
      <c r="A45" s="600"/>
      <c r="B45" s="601"/>
      <c r="C45" s="601"/>
      <c r="D45" s="601"/>
      <c r="E45" s="601"/>
      <c r="F45" s="601"/>
      <c r="G45" s="601"/>
      <c r="H45" s="601"/>
      <c r="I45" s="602"/>
    </row>
    <row r="46" spans="1:13" ht="13.5" thickBot="1" x14ac:dyDescent="0.25">
      <c r="A46" s="591" t="s">
        <v>52</v>
      </c>
      <c r="B46" s="592"/>
      <c r="C46" s="592"/>
      <c r="D46" s="592"/>
      <c r="E46" s="592"/>
      <c r="F46" s="592"/>
      <c r="G46" s="592"/>
      <c r="H46" s="592"/>
      <c r="I46" s="593"/>
    </row>
    <row r="47" spans="1:13" x14ac:dyDescent="0.2">
      <c r="A47" s="2"/>
      <c r="B47" s="2"/>
      <c r="C47" s="2"/>
    </row>
    <row r="48" spans="1:13" x14ac:dyDescent="0.2">
      <c r="A48" s="2"/>
      <c r="B48" s="2"/>
    </row>
    <row r="49" spans="1:2" x14ac:dyDescent="0.2">
      <c r="A49" s="76"/>
      <c r="B49" s="76"/>
    </row>
    <row r="50" spans="1:2" x14ac:dyDescent="0.2">
      <c r="A50" s="76"/>
      <c r="B50" s="76"/>
    </row>
    <row r="51" spans="1:2" x14ac:dyDescent="0.2">
      <c r="A51" s="76"/>
      <c r="B51" s="76"/>
    </row>
  </sheetData>
  <mergeCells count="43">
    <mergeCell ref="A46:I46"/>
    <mergeCell ref="A41:I41"/>
    <mergeCell ref="A42:I42"/>
    <mergeCell ref="A43:I43"/>
    <mergeCell ref="A44:I44"/>
    <mergeCell ref="A45:I45"/>
    <mergeCell ref="A40:I40"/>
    <mergeCell ref="A34:C34"/>
    <mergeCell ref="F34:G34"/>
    <mergeCell ref="H34:I34"/>
    <mergeCell ref="A35:C35"/>
    <mergeCell ref="F35:G35"/>
    <mergeCell ref="H35:I35"/>
    <mergeCell ref="A36:I36"/>
    <mergeCell ref="A37:I37"/>
    <mergeCell ref="A38:I38"/>
    <mergeCell ref="A39:I39"/>
    <mergeCell ref="A32:C32"/>
    <mergeCell ref="F32:G32"/>
    <mergeCell ref="H32:I32"/>
    <mergeCell ref="A33:C33"/>
    <mergeCell ref="F33:G33"/>
    <mergeCell ref="H33:I33"/>
    <mergeCell ref="A31:C31"/>
    <mergeCell ref="F31:G31"/>
    <mergeCell ref="H31:I31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BA49F-CDBA-41B8-ADEA-20AB80CC596E}">
  <dimension ref="A1:M52"/>
  <sheetViews>
    <sheetView workbookViewId="0">
      <selection activeCell="L25" sqref="L25"/>
    </sheetView>
  </sheetViews>
  <sheetFormatPr baseColWidth="10" defaultRowHeight="12.75" x14ac:dyDescent="0.2"/>
  <cols>
    <col min="3" max="3" width="40.7109375" customWidth="1"/>
  </cols>
  <sheetData>
    <row r="1" spans="1:11" ht="18" x14ac:dyDescent="0.25">
      <c r="A1" s="629"/>
      <c r="B1" s="630"/>
      <c r="C1" s="649" t="s">
        <v>49</v>
      </c>
      <c r="D1" s="649"/>
      <c r="E1" s="649"/>
      <c r="F1" s="649"/>
      <c r="G1" s="649"/>
      <c r="H1" s="67" t="s">
        <v>48</v>
      </c>
      <c r="I1" s="66"/>
    </row>
    <row r="2" spans="1:11" ht="18" x14ac:dyDescent="0.25">
      <c r="A2" s="631"/>
      <c r="B2" s="632"/>
      <c r="C2" s="650" t="s">
        <v>47</v>
      </c>
      <c r="D2" s="650"/>
      <c r="E2" s="650"/>
      <c r="F2" s="650"/>
      <c r="G2" s="650"/>
      <c r="H2" s="65" t="s">
        <v>46</v>
      </c>
      <c r="I2" s="75"/>
    </row>
    <row r="3" spans="1:11" ht="15" x14ac:dyDescent="0.2">
      <c r="A3" s="631"/>
      <c r="B3" s="632"/>
      <c r="C3" s="651" t="s">
        <v>362</v>
      </c>
      <c r="D3" s="652"/>
      <c r="E3" s="652"/>
      <c r="F3" s="652"/>
      <c r="G3" s="653"/>
      <c r="H3" s="654" t="s">
        <v>45</v>
      </c>
      <c r="I3" s="644"/>
    </row>
    <row r="4" spans="1:11" x14ac:dyDescent="0.2">
      <c r="A4" s="631"/>
      <c r="B4" s="632"/>
      <c r="C4" s="64" t="s">
        <v>44</v>
      </c>
      <c r="D4" s="647" t="s">
        <v>43</v>
      </c>
      <c r="E4" s="647"/>
      <c r="F4" s="647"/>
      <c r="G4" s="647"/>
      <c r="H4" s="654"/>
      <c r="I4" s="645"/>
    </row>
    <row r="5" spans="1:11" ht="13.5" thickBot="1" x14ac:dyDescent="0.25">
      <c r="A5" s="633"/>
      <c r="B5" s="634"/>
      <c r="C5" s="63" t="s">
        <v>42</v>
      </c>
      <c r="D5" s="648" t="s">
        <v>41</v>
      </c>
      <c r="E5" s="648"/>
      <c r="F5" s="648"/>
      <c r="G5" s="648"/>
      <c r="H5" s="655"/>
      <c r="I5" s="646"/>
    </row>
    <row r="6" spans="1:11" x14ac:dyDescent="0.2">
      <c r="A6" s="62"/>
      <c r="B6" s="62"/>
      <c r="C6" s="61"/>
      <c r="D6" s="60"/>
      <c r="E6" s="60"/>
      <c r="F6" s="60"/>
      <c r="G6" s="60"/>
      <c r="H6" s="59"/>
      <c r="I6" s="58"/>
    </row>
    <row r="7" spans="1:11" ht="18.75" thickBot="1" x14ac:dyDescent="0.3">
      <c r="A7" s="635" t="s">
        <v>40</v>
      </c>
      <c r="B7" s="635"/>
      <c r="C7" s="635"/>
      <c r="D7" s="636" t="s">
        <v>38</v>
      </c>
      <c r="E7" s="636"/>
      <c r="F7" s="636"/>
      <c r="G7" s="637" t="s">
        <v>39</v>
      </c>
      <c r="H7" s="637"/>
      <c r="I7" s="57" t="s">
        <v>38</v>
      </c>
    </row>
    <row r="8" spans="1:11" ht="25.5" x14ac:dyDescent="0.2">
      <c r="A8" s="638" t="s">
        <v>37</v>
      </c>
      <c r="B8" s="642" t="s">
        <v>54</v>
      </c>
      <c r="C8" s="640" t="s">
        <v>36</v>
      </c>
      <c r="D8" s="640" t="s">
        <v>35</v>
      </c>
      <c r="E8" s="640" t="s">
        <v>34</v>
      </c>
      <c r="F8" s="640"/>
      <c r="G8" s="640" t="s">
        <v>33</v>
      </c>
      <c r="H8" s="640"/>
      <c r="I8" s="56" t="s">
        <v>32</v>
      </c>
    </row>
    <row r="9" spans="1:11" ht="26.25" thickBot="1" x14ac:dyDescent="0.25">
      <c r="A9" s="724"/>
      <c r="B9" s="726"/>
      <c r="C9" s="725"/>
      <c r="D9" s="641"/>
      <c r="E9" s="55" t="s">
        <v>11</v>
      </c>
      <c r="F9" s="54" t="s">
        <v>31</v>
      </c>
      <c r="G9" s="196" t="s">
        <v>11</v>
      </c>
      <c r="H9" s="197" t="s">
        <v>31</v>
      </c>
      <c r="I9" s="568" t="s">
        <v>30</v>
      </c>
    </row>
    <row r="10" spans="1:11" ht="15.75" x14ac:dyDescent="0.25">
      <c r="A10" s="24" t="s">
        <v>29</v>
      </c>
      <c r="B10" s="24" t="s">
        <v>55</v>
      </c>
      <c r="C10" s="564" t="s">
        <v>28</v>
      </c>
      <c r="D10" s="50" t="s">
        <v>26</v>
      </c>
      <c r="E10" s="50">
        <v>280</v>
      </c>
      <c r="F10" s="50" t="s">
        <v>2</v>
      </c>
      <c r="G10" s="570" t="s">
        <v>66</v>
      </c>
      <c r="H10" s="192"/>
      <c r="I10" s="192"/>
    </row>
    <row r="11" spans="1:11" ht="15.75" x14ac:dyDescent="0.25">
      <c r="A11" s="24"/>
      <c r="B11" s="24"/>
      <c r="C11" s="77" t="s">
        <v>67</v>
      </c>
      <c r="D11" s="90" t="s">
        <v>26</v>
      </c>
      <c r="E11" s="90">
        <v>280</v>
      </c>
      <c r="F11" s="90" t="s">
        <v>2</v>
      </c>
      <c r="G11" s="25"/>
      <c r="H11" s="24"/>
      <c r="I11" s="569"/>
      <c r="K11" s="1">
        <v>1525</v>
      </c>
    </row>
    <row r="12" spans="1:11" ht="15.75" x14ac:dyDescent="0.25">
      <c r="A12" s="24"/>
      <c r="B12" s="73" t="s">
        <v>104</v>
      </c>
      <c r="C12" s="41" t="s">
        <v>350</v>
      </c>
      <c r="D12" s="90" t="s">
        <v>26</v>
      </c>
      <c r="E12" s="90">
        <v>35</v>
      </c>
      <c r="F12" s="90" t="s">
        <v>2</v>
      </c>
      <c r="G12" s="25"/>
      <c r="H12" s="24"/>
      <c r="I12" s="569"/>
    </row>
    <row r="13" spans="1:11" ht="15.75" x14ac:dyDescent="0.25">
      <c r="A13" s="73"/>
      <c r="B13" s="74"/>
      <c r="C13" s="28" t="s">
        <v>238</v>
      </c>
      <c r="D13" s="31" t="s">
        <v>26</v>
      </c>
      <c r="E13" s="39">
        <v>700</v>
      </c>
      <c r="F13" s="31" t="s">
        <v>2</v>
      </c>
      <c r="G13" s="192"/>
      <c r="H13" s="192"/>
      <c r="I13" s="192"/>
    </row>
    <row r="14" spans="1:11" ht="15" x14ac:dyDescent="0.2">
      <c r="A14" s="73"/>
      <c r="B14" s="73"/>
      <c r="C14" s="41"/>
      <c r="D14" s="43"/>
      <c r="E14" s="43"/>
      <c r="F14" s="43"/>
      <c r="G14" s="25"/>
      <c r="H14" s="24"/>
      <c r="I14" s="569"/>
    </row>
    <row r="15" spans="1:11" ht="15" x14ac:dyDescent="0.2">
      <c r="A15" s="24"/>
      <c r="B15" s="24"/>
      <c r="C15" s="565" t="s">
        <v>27</v>
      </c>
      <c r="D15" s="43"/>
      <c r="E15" s="43"/>
      <c r="F15" s="43"/>
      <c r="G15" s="25"/>
      <c r="H15" s="24"/>
      <c r="I15" s="569"/>
    </row>
    <row r="16" spans="1:11" ht="15" x14ac:dyDescent="0.2">
      <c r="B16" s="73" t="s">
        <v>239</v>
      </c>
      <c r="C16" s="41" t="s">
        <v>366</v>
      </c>
      <c r="D16" s="26" t="s">
        <v>26</v>
      </c>
      <c r="E16" s="26">
        <v>50</v>
      </c>
      <c r="F16" s="26" t="s">
        <v>2</v>
      </c>
      <c r="G16" s="570" t="s">
        <v>138</v>
      </c>
      <c r="H16" s="192"/>
      <c r="I16" s="192"/>
    </row>
    <row r="17" spans="1:12" ht="15" x14ac:dyDescent="0.2">
      <c r="A17" s="566"/>
      <c r="B17" s="566"/>
      <c r="C17" s="577" t="s">
        <v>139</v>
      </c>
      <c r="D17" s="26" t="s">
        <v>26</v>
      </c>
      <c r="E17" s="26">
        <v>180</v>
      </c>
      <c r="F17" s="26" t="s">
        <v>2</v>
      </c>
      <c r="G17" s="570"/>
      <c r="H17" s="192"/>
      <c r="I17" s="192"/>
    </row>
    <row r="18" spans="1:12" ht="15" x14ac:dyDescent="0.2">
      <c r="A18" s="566"/>
      <c r="B18" s="73" t="s">
        <v>56</v>
      </c>
      <c r="C18" t="s">
        <v>120</v>
      </c>
      <c r="D18" s="26" t="s">
        <v>25</v>
      </c>
      <c r="E18" s="26">
        <v>10</v>
      </c>
      <c r="F18" s="26" t="s">
        <v>2</v>
      </c>
      <c r="G18" s="570"/>
      <c r="H18" s="192"/>
      <c r="I18" s="192"/>
    </row>
    <row r="19" spans="1:12" ht="15.75" x14ac:dyDescent="0.25">
      <c r="A19" s="24"/>
      <c r="B19" s="24"/>
      <c r="C19" s="77"/>
      <c r="D19" s="31"/>
      <c r="E19" s="39"/>
      <c r="F19" s="31"/>
      <c r="G19" s="192"/>
      <c r="H19" s="192"/>
      <c r="I19" s="192"/>
    </row>
    <row r="20" spans="1:12" ht="15.75" x14ac:dyDescent="0.25">
      <c r="A20" s="566"/>
      <c r="B20" s="566"/>
      <c r="C20" s="37" t="s">
        <v>24</v>
      </c>
      <c r="D20" s="26"/>
      <c r="E20" s="26"/>
      <c r="F20" s="26"/>
      <c r="G20" s="25"/>
      <c r="H20" s="24"/>
      <c r="I20" s="569"/>
    </row>
    <row r="21" spans="1:12" ht="15" x14ac:dyDescent="0.2">
      <c r="A21" s="74"/>
      <c r="B21" s="74" t="s">
        <v>352</v>
      </c>
      <c r="C21" s="28" t="s">
        <v>353</v>
      </c>
      <c r="D21" s="26"/>
      <c r="E21" s="26">
        <v>1</v>
      </c>
      <c r="F21" s="26" t="s">
        <v>5</v>
      </c>
      <c r="G21" s="25"/>
      <c r="H21" s="24"/>
      <c r="I21" s="569"/>
    </row>
    <row r="22" spans="1:12" ht="15" x14ac:dyDescent="0.2">
      <c r="A22" s="74">
        <v>703020</v>
      </c>
      <c r="B22" s="74" t="s">
        <v>58</v>
      </c>
      <c r="C22" s="28" t="s">
        <v>23</v>
      </c>
      <c r="D22" s="26" t="s">
        <v>22</v>
      </c>
      <c r="E22" s="26">
        <v>60</v>
      </c>
      <c r="F22" s="26" t="s">
        <v>21</v>
      </c>
      <c r="G22" s="25"/>
      <c r="H22" s="24"/>
      <c r="I22" s="569"/>
    </row>
    <row r="23" spans="1:12" ht="15.75" x14ac:dyDescent="0.25">
      <c r="A23" s="567">
        <v>1950693</v>
      </c>
      <c r="B23" s="567" t="s">
        <v>59</v>
      </c>
      <c r="C23" s="35" t="s">
        <v>20</v>
      </c>
      <c r="D23" s="31" t="s">
        <v>19</v>
      </c>
      <c r="E23" s="31">
        <v>1</v>
      </c>
      <c r="F23" s="31" t="s">
        <v>5</v>
      </c>
      <c r="G23" s="34"/>
      <c r="H23" s="33"/>
      <c r="I23" s="32"/>
    </row>
    <row r="24" spans="1:12" ht="15.75" x14ac:dyDescent="0.25">
      <c r="A24" s="74">
        <v>51400021</v>
      </c>
      <c r="B24" s="74" t="s">
        <v>60</v>
      </c>
      <c r="C24" s="28" t="s">
        <v>18</v>
      </c>
      <c r="D24" s="31" t="s">
        <v>17</v>
      </c>
      <c r="E24" s="31">
        <v>1</v>
      </c>
      <c r="F24" s="31" t="s">
        <v>5</v>
      </c>
      <c r="G24" s="34"/>
      <c r="H24" s="33"/>
      <c r="I24" s="32"/>
    </row>
    <row r="25" spans="1:12" ht="15.75" x14ac:dyDescent="0.25">
      <c r="A25" s="74">
        <v>702123</v>
      </c>
      <c r="B25" s="74" t="s">
        <v>61</v>
      </c>
      <c r="C25" s="28" t="s">
        <v>16</v>
      </c>
      <c r="D25" s="31" t="s">
        <v>14</v>
      </c>
      <c r="E25" s="31">
        <v>1</v>
      </c>
      <c r="F25" s="31" t="s">
        <v>5</v>
      </c>
      <c r="G25" s="25"/>
      <c r="H25" s="24"/>
      <c r="I25" s="30"/>
    </row>
    <row r="26" spans="1:12" ht="15.75" x14ac:dyDescent="0.25">
      <c r="A26" s="74">
        <v>701096</v>
      </c>
      <c r="B26" s="74" t="s">
        <v>62</v>
      </c>
      <c r="C26" s="28" t="s">
        <v>15</v>
      </c>
      <c r="D26" s="31" t="s">
        <v>14</v>
      </c>
      <c r="E26" s="31">
        <v>1</v>
      </c>
      <c r="F26" s="31" t="s">
        <v>5</v>
      </c>
      <c r="G26" s="25"/>
      <c r="H26" s="24"/>
      <c r="I26" s="30"/>
    </row>
    <row r="27" spans="1:12" ht="15" x14ac:dyDescent="0.2">
      <c r="A27" s="74">
        <v>702007</v>
      </c>
      <c r="B27" s="74" t="s">
        <v>63</v>
      </c>
      <c r="C27" s="28" t="s">
        <v>13</v>
      </c>
      <c r="D27" s="27" t="s">
        <v>12</v>
      </c>
      <c r="E27" s="26">
        <v>1</v>
      </c>
      <c r="F27" s="26" t="s">
        <v>5</v>
      </c>
      <c r="G27" s="25"/>
      <c r="H27" s="24"/>
      <c r="I27" s="23"/>
    </row>
    <row r="28" spans="1:12" ht="15" x14ac:dyDescent="0.2">
      <c r="A28" s="74">
        <v>702069</v>
      </c>
      <c r="B28" s="74" t="s">
        <v>64</v>
      </c>
      <c r="C28" s="28" t="s">
        <v>50</v>
      </c>
      <c r="D28" s="26" t="s">
        <v>22</v>
      </c>
      <c r="E28" s="68">
        <v>1</v>
      </c>
      <c r="F28" s="68" t="s">
        <v>5</v>
      </c>
      <c r="G28" s="25"/>
      <c r="H28" s="24"/>
      <c r="I28" s="71"/>
    </row>
    <row r="29" spans="1:12" ht="15" thickBot="1" x14ac:dyDescent="0.25">
      <c r="A29" s="585"/>
      <c r="B29" s="345" t="s">
        <v>354</v>
      </c>
      <c r="C29" s="579" t="s">
        <v>355</v>
      </c>
      <c r="D29" s="580"/>
      <c r="E29" s="581" t="s">
        <v>356</v>
      </c>
      <c r="F29" s="581" t="s">
        <v>5</v>
      </c>
      <c r="G29" s="581" t="s">
        <v>357</v>
      </c>
      <c r="H29" s="385"/>
      <c r="I29" s="24"/>
      <c r="L29" s="3"/>
    </row>
    <row r="30" spans="1:12" ht="15" thickBot="1" x14ac:dyDescent="0.25">
      <c r="A30" s="584"/>
      <c r="B30" s="41"/>
      <c r="C30" s="41"/>
      <c r="D30" s="577"/>
      <c r="E30" s="385"/>
      <c r="F30" s="385"/>
      <c r="G30" s="385"/>
      <c r="H30" s="385"/>
      <c r="I30" s="24"/>
      <c r="L30" s="3"/>
    </row>
    <row r="31" spans="1:12" ht="13.5" thickBot="1" x14ac:dyDescent="0.25">
      <c r="A31" s="17"/>
      <c r="B31" s="571"/>
      <c r="C31" s="572"/>
      <c r="D31" s="573" t="s">
        <v>11</v>
      </c>
      <c r="E31" s="574" t="s">
        <v>10</v>
      </c>
      <c r="F31" s="575"/>
      <c r="G31" s="572"/>
      <c r="H31" s="572"/>
      <c r="I31" s="576"/>
      <c r="L31" s="3"/>
    </row>
    <row r="32" spans="1:12" x14ac:dyDescent="0.2">
      <c r="A32" s="623" t="s">
        <v>9</v>
      </c>
      <c r="B32" s="624"/>
      <c r="C32" s="625"/>
      <c r="D32" s="11">
        <v>1533</v>
      </c>
      <c r="E32" s="10" t="s">
        <v>2</v>
      </c>
      <c r="F32" s="626"/>
      <c r="G32" s="626"/>
      <c r="H32" s="627"/>
      <c r="I32" s="628"/>
      <c r="L32" s="3"/>
    </row>
    <row r="33" spans="1:13" x14ac:dyDescent="0.2">
      <c r="A33" s="603" t="s">
        <v>8</v>
      </c>
      <c r="B33" s="604"/>
      <c r="C33" s="605"/>
      <c r="D33" s="9">
        <v>5</v>
      </c>
      <c r="E33" s="7" t="s">
        <v>7</v>
      </c>
      <c r="F33" s="619"/>
      <c r="G33" s="619"/>
      <c r="H33" s="608"/>
      <c r="I33" s="609"/>
      <c r="L33" s="3"/>
    </row>
    <row r="34" spans="1:13" x14ac:dyDescent="0.2">
      <c r="A34" s="603" t="s">
        <v>6</v>
      </c>
      <c r="B34" s="604"/>
      <c r="C34" s="605"/>
      <c r="D34" s="7">
        <v>1</v>
      </c>
      <c r="E34" s="7" t="s">
        <v>5</v>
      </c>
      <c r="F34" s="619"/>
      <c r="G34" s="619"/>
      <c r="H34" s="608"/>
      <c r="I34" s="609"/>
      <c r="L34" s="3"/>
    </row>
    <row r="35" spans="1:13" x14ac:dyDescent="0.2">
      <c r="A35" s="603" t="s">
        <v>4</v>
      </c>
      <c r="B35" s="604"/>
      <c r="C35" s="605"/>
      <c r="D35" s="8">
        <v>1533</v>
      </c>
      <c r="E35" s="7" t="s">
        <v>2</v>
      </c>
      <c r="F35" s="606"/>
      <c r="G35" s="607"/>
      <c r="H35" s="608"/>
      <c r="I35" s="609"/>
      <c r="L35" s="3"/>
      <c r="M35" s="6"/>
    </row>
    <row r="36" spans="1:13" ht="13.5" thickBot="1" x14ac:dyDescent="0.25">
      <c r="A36" s="610" t="s">
        <v>3</v>
      </c>
      <c r="B36" s="611"/>
      <c r="C36" s="612"/>
      <c r="D36" s="5">
        <v>2</v>
      </c>
      <c r="E36" s="4" t="s">
        <v>2</v>
      </c>
      <c r="F36" s="613"/>
      <c r="G36" s="613"/>
      <c r="H36" s="614"/>
      <c r="I36" s="615"/>
      <c r="L36" s="3"/>
    </row>
    <row r="37" spans="1:13" ht="13.5" thickBot="1" x14ac:dyDescent="0.25">
      <c r="A37" s="591" t="s">
        <v>1</v>
      </c>
      <c r="B37" s="592"/>
      <c r="C37" s="592"/>
      <c r="D37" s="592"/>
      <c r="E37" s="592"/>
      <c r="F37" s="592"/>
      <c r="G37" s="592"/>
      <c r="H37" s="592"/>
      <c r="I37" s="593"/>
    </row>
    <row r="38" spans="1:13" ht="15" x14ac:dyDescent="0.2">
      <c r="A38" s="616" t="s">
        <v>358</v>
      </c>
      <c r="B38" s="617"/>
      <c r="C38" s="617"/>
      <c r="D38" s="617"/>
      <c r="E38" s="617"/>
      <c r="F38" s="617"/>
      <c r="G38" s="617"/>
      <c r="H38" s="617"/>
      <c r="I38" s="618"/>
    </row>
    <row r="39" spans="1:13" ht="15" x14ac:dyDescent="0.25">
      <c r="A39" s="594" t="s">
        <v>359</v>
      </c>
      <c r="B39" s="595"/>
      <c r="C39" s="595"/>
      <c r="D39" s="595"/>
      <c r="E39" s="595"/>
      <c r="F39" s="595"/>
      <c r="G39" s="595"/>
      <c r="H39" s="595"/>
      <c r="I39" s="596"/>
    </row>
    <row r="40" spans="1:13" ht="15" x14ac:dyDescent="0.25">
      <c r="A40" s="594" t="s">
        <v>360</v>
      </c>
      <c r="B40" s="595"/>
      <c r="C40" s="595"/>
      <c r="D40" s="595"/>
      <c r="E40" s="595"/>
      <c r="F40" s="595"/>
      <c r="G40" s="595"/>
      <c r="H40" s="595"/>
      <c r="I40" s="596"/>
    </row>
    <row r="41" spans="1:13" ht="15" x14ac:dyDescent="0.25">
      <c r="A41" s="594" t="s">
        <v>363</v>
      </c>
      <c r="B41" s="595"/>
      <c r="C41" s="595"/>
      <c r="D41" s="595"/>
      <c r="E41" s="595"/>
      <c r="F41" s="595"/>
      <c r="G41" s="595"/>
      <c r="H41" s="595"/>
      <c r="I41" s="596"/>
    </row>
    <row r="42" spans="1:13" ht="15" x14ac:dyDescent="0.25">
      <c r="A42" s="594" t="s">
        <v>51</v>
      </c>
      <c r="B42" s="595"/>
      <c r="C42" s="595"/>
      <c r="D42" s="595"/>
      <c r="E42" s="595"/>
      <c r="F42" s="595"/>
      <c r="G42" s="595"/>
      <c r="H42" s="595"/>
      <c r="I42" s="596"/>
    </row>
    <row r="43" spans="1:13" ht="15" x14ac:dyDescent="0.25">
      <c r="A43" s="594"/>
      <c r="B43" s="595"/>
      <c r="C43" s="595"/>
      <c r="D43" s="595"/>
      <c r="E43" s="595"/>
      <c r="F43" s="595"/>
      <c r="G43" s="595"/>
      <c r="H43" s="595"/>
      <c r="I43" s="596"/>
    </row>
    <row r="44" spans="1:13" ht="14.25" x14ac:dyDescent="0.2">
      <c r="A44" s="597"/>
      <c r="B44" s="598"/>
      <c r="C44" s="598"/>
      <c r="D44" s="598"/>
      <c r="E44" s="598"/>
      <c r="F44" s="598"/>
      <c r="G44" s="598"/>
      <c r="H44" s="598"/>
      <c r="I44" s="599"/>
    </row>
    <row r="45" spans="1:13" ht="14.25" x14ac:dyDescent="0.2">
      <c r="A45" s="597"/>
      <c r="B45" s="598"/>
      <c r="C45" s="598"/>
      <c r="D45" s="598"/>
      <c r="E45" s="598"/>
      <c r="F45" s="598"/>
      <c r="G45" s="598"/>
      <c r="H45" s="598"/>
      <c r="I45" s="599"/>
    </row>
    <row r="46" spans="1:13" ht="15" thickBot="1" x14ac:dyDescent="0.25">
      <c r="A46" s="600"/>
      <c r="B46" s="601"/>
      <c r="C46" s="601"/>
      <c r="D46" s="601"/>
      <c r="E46" s="601"/>
      <c r="F46" s="601"/>
      <c r="G46" s="601"/>
      <c r="H46" s="601"/>
      <c r="I46" s="602"/>
    </row>
    <row r="47" spans="1:13" ht="13.5" thickBot="1" x14ac:dyDescent="0.25">
      <c r="A47" s="591" t="s">
        <v>52</v>
      </c>
      <c r="B47" s="592"/>
      <c r="C47" s="592"/>
      <c r="D47" s="592"/>
      <c r="E47" s="592"/>
      <c r="F47" s="592"/>
      <c r="G47" s="592"/>
      <c r="H47" s="592"/>
      <c r="I47" s="593"/>
    </row>
    <row r="48" spans="1:13" x14ac:dyDescent="0.2">
      <c r="A48" s="2"/>
      <c r="B48" s="2"/>
      <c r="C48" s="2"/>
    </row>
    <row r="49" spans="1:2" x14ac:dyDescent="0.2">
      <c r="A49" s="2"/>
      <c r="B49" s="2"/>
    </row>
    <row r="50" spans="1:2" x14ac:dyDescent="0.2">
      <c r="A50" s="76"/>
      <c r="B50" s="76"/>
    </row>
    <row r="51" spans="1:2" x14ac:dyDescent="0.2">
      <c r="A51" s="76"/>
      <c r="B51" s="76"/>
    </row>
    <row r="52" spans="1:2" x14ac:dyDescent="0.2">
      <c r="A52" s="76"/>
      <c r="B52" s="76"/>
    </row>
  </sheetData>
  <mergeCells count="43">
    <mergeCell ref="A46:I46"/>
    <mergeCell ref="A47:I47"/>
    <mergeCell ref="A40:I40"/>
    <mergeCell ref="A41:I41"/>
    <mergeCell ref="A42:I42"/>
    <mergeCell ref="A43:I43"/>
    <mergeCell ref="A44:I44"/>
    <mergeCell ref="A45:I45"/>
    <mergeCell ref="A39:I39"/>
    <mergeCell ref="A34:C34"/>
    <mergeCell ref="F34:G34"/>
    <mergeCell ref="H34:I34"/>
    <mergeCell ref="A35:C35"/>
    <mergeCell ref="F35:G35"/>
    <mergeCell ref="H35:I35"/>
    <mergeCell ref="A36:C36"/>
    <mergeCell ref="F36:G36"/>
    <mergeCell ref="H36:I36"/>
    <mergeCell ref="A37:I37"/>
    <mergeCell ref="A38:I38"/>
    <mergeCell ref="A32:C32"/>
    <mergeCell ref="F32:G32"/>
    <mergeCell ref="H32:I32"/>
    <mergeCell ref="A33:C33"/>
    <mergeCell ref="F33:G33"/>
    <mergeCell ref="H33:I33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2057B-B20C-4BC5-AA3C-6596FAA491AC}">
  <dimension ref="A1:M36"/>
  <sheetViews>
    <sheetView workbookViewId="0">
      <selection activeCell="B11" sqref="B11"/>
    </sheetView>
  </sheetViews>
  <sheetFormatPr baseColWidth="10" defaultColWidth="9.28515625" defaultRowHeight="12.75" x14ac:dyDescent="0.2"/>
  <cols>
    <col min="1" max="2" width="16.28515625" style="1" customWidth="1"/>
    <col min="3" max="3" width="40.5703125" style="1" customWidth="1"/>
    <col min="4" max="4" width="18.7109375" style="1" customWidth="1"/>
    <col min="5" max="5" width="9.28515625" style="1"/>
    <col min="6" max="6" width="13.28515625" style="1" customWidth="1"/>
    <col min="7" max="7" width="12.5703125" style="1" customWidth="1"/>
    <col min="8" max="8" width="15.5703125" style="1" customWidth="1"/>
    <col min="9" max="9" width="16" style="1" customWidth="1"/>
    <col min="10" max="16384" width="9.28515625" style="1"/>
  </cols>
  <sheetData>
    <row r="1" spans="1:12" ht="18" x14ac:dyDescent="0.25">
      <c r="A1" s="762"/>
      <c r="B1" s="762"/>
      <c r="C1" s="763" t="s">
        <v>49</v>
      </c>
      <c r="D1" s="649"/>
      <c r="E1" s="649"/>
      <c r="F1" s="649"/>
      <c r="G1" s="649"/>
      <c r="H1" s="67" t="s">
        <v>48</v>
      </c>
      <c r="I1" s="360" t="s">
        <v>247</v>
      </c>
    </row>
    <row r="2" spans="1:12" ht="18.75" thickBot="1" x14ac:dyDescent="0.3">
      <c r="A2" s="762"/>
      <c r="B2" s="762"/>
      <c r="C2" s="764" t="s">
        <v>47</v>
      </c>
      <c r="D2" s="765"/>
      <c r="E2" s="765"/>
      <c r="F2" s="765"/>
      <c r="G2" s="765"/>
      <c r="H2" s="65" t="s">
        <v>46</v>
      </c>
      <c r="I2" s="98" t="s">
        <v>248</v>
      </c>
    </row>
    <row r="3" spans="1:12" ht="15.75" thickBot="1" x14ac:dyDescent="0.25">
      <c r="A3" s="762"/>
      <c r="B3" s="762"/>
      <c r="C3" s="766" t="s">
        <v>249</v>
      </c>
      <c r="D3" s="766"/>
      <c r="E3" s="766"/>
      <c r="F3" s="766"/>
      <c r="G3" s="767"/>
      <c r="H3" s="768" t="s">
        <v>45</v>
      </c>
      <c r="I3" s="758">
        <v>45546</v>
      </c>
    </row>
    <row r="4" spans="1:12" ht="14.25" x14ac:dyDescent="0.2">
      <c r="A4" s="762"/>
      <c r="B4" s="762"/>
      <c r="C4" s="361" t="s">
        <v>44</v>
      </c>
      <c r="D4" s="760" t="s">
        <v>43</v>
      </c>
      <c r="E4" s="760"/>
      <c r="F4" s="760"/>
      <c r="G4" s="760"/>
      <c r="H4" s="654"/>
      <c r="I4" s="758"/>
    </row>
    <row r="5" spans="1:12" ht="15" thickBot="1" x14ac:dyDescent="0.25">
      <c r="A5" s="762"/>
      <c r="B5" s="762"/>
      <c r="C5" s="362" t="s">
        <v>42</v>
      </c>
      <c r="D5" s="761" t="s">
        <v>41</v>
      </c>
      <c r="E5" s="761"/>
      <c r="F5" s="761"/>
      <c r="G5" s="761"/>
      <c r="H5" s="655"/>
      <c r="I5" s="759"/>
    </row>
    <row r="6" spans="1:12" ht="18.75" thickBot="1" x14ac:dyDescent="0.3">
      <c r="A6" s="769" t="s">
        <v>40</v>
      </c>
      <c r="B6" s="635"/>
      <c r="C6" s="635"/>
      <c r="D6" s="636" t="s">
        <v>102</v>
      </c>
      <c r="E6" s="636"/>
      <c r="F6" s="636"/>
      <c r="G6" s="637" t="s">
        <v>39</v>
      </c>
      <c r="H6" s="637"/>
      <c r="I6" s="363" t="s">
        <v>102</v>
      </c>
    </row>
    <row r="7" spans="1:12" ht="25.5" x14ac:dyDescent="0.2">
      <c r="A7" s="638" t="s">
        <v>37</v>
      </c>
      <c r="B7" s="642" t="s">
        <v>54</v>
      </c>
      <c r="C7" s="640" t="s">
        <v>36</v>
      </c>
      <c r="D7" s="640" t="s">
        <v>35</v>
      </c>
      <c r="E7" s="640" t="s">
        <v>34</v>
      </c>
      <c r="F7" s="640"/>
      <c r="G7" s="640" t="s">
        <v>250</v>
      </c>
      <c r="H7" s="640"/>
      <c r="I7" s="56" t="s">
        <v>32</v>
      </c>
    </row>
    <row r="8" spans="1:12" ht="26.25" thickBot="1" x14ac:dyDescent="0.25">
      <c r="A8" s="724"/>
      <c r="B8" s="770"/>
      <c r="C8" s="725"/>
      <c r="D8" s="641"/>
      <c r="E8" s="55" t="s">
        <v>11</v>
      </c>
      <c r="F8" s="54" t="s">
        <v>31</v>
      </c>
      <c r="G8" s="55" t="s">
        <v>11</v>
      </c>
      <c r="H8" s="54" t="s">
        <v>31</v>
      </c>
      <c r="I8" s="53" t="s">
        <v>30</v>
      </c>
    </row>
    <row r="9" spans="1:12" ht="15" x14ac:dyDescent="0.25">
      <c r="A9" s="73" t="s">
        <v>251</v>
      </c>
      <c r="B9" s="73" t="s">
        <v>252</v>
      </c>
      <c r="C9" s="41" t="s">
        <v>253</v>
      </c>
      <c r="D9" s="364" t="s">
        <v>254</v>
      </c>
      <c r="E9" s="365">
        <v>2500</v>
      </c>
      <c r="F9" s="365" t="s">
        <v>2</v>
      </c>
      <c r="G9" s="366"/>
      <c r="H9" s="367"/>
      <c r="I9" s="368"/>
    </row>
    <row r="10" spans="1:12" ht="15" x14ac:dyDescent="0.25">
      <c r="A10" s="73" t="s">
        <v>255</v>
      </c>
      <c r="B10" s="73" t="s">
        <v>256</v>
      </c>
      <c r="C10" s="41" t="s">
        <v>257</v>
      </c>
      <c r="D10" s="364" t="s">
        <v>254</v>
      </c>
      <c r="E10" s="365">
        <v>1500</v>
      </c>
      <c r="F10" s="365" t="s">
        <v>2</v>
      </c>
      <c r="G10" s="369"/>
      <c r="H10" s="158"/>
      <c r="I10" s="370"/>
    </row>
    <row r="11" spans="1:12" ht="15" x14ac:dyDescent="0.25">
      <c r="A11" s="371" t="s">
        <v>258</v>
      </c>
      <c r="B11" s="372" t="s">
        <v>259</v>
      </c>
      <c r="C11" s="373" t="s">
        <v>260</v>
      </c>
      <c r="D11" s="364" t="s">
        <v>26</v>
      </c>
      <c r="E11" s="365">
        <v>1000</v>
      </c>
      <c r="F11" s="365" t="s">
        <v>2</v>
      </c>
      <c r="G11" s="771" t="s">
        <v>261</v>
      </c>
      <c r="H11" s="772"/>
      <c r="I11" s="773"/>
    </row>
    <row r="12" spans="1:12" ht="15" x14ac:dyDescent="0.25">
      <c r="A12" s="374" t="s">
        <v>68</v>
      </c>
      <c r="B12" s="374" t="s">
        <v>69</v>
      </c>
      <c r="C12" s="375" t="s">
        <v>262</v>
      </c>
      <c r="D12" s="364" t="s">
        <v>110</v>
      </c>
      <c r="E12" s="365">
        <v>3000</v>
      </c>
      <c r="F12" s="365" t="s">
        <v>2</v>
      </c>
      <c r="G12" s="376"/>
      <c r="H12" s="116"/>
      <c r="I12" s="377"/>
    </row>
    <row r="13" spans="1:12" ht="15" x14ac:dyDescent="0.25">
      <c r="A13" s="378">
        <v>101000073</v>
      </c>
      <c r="B13" s="378" t="s">
        <v>263</v>
      </c>
      <c r="C13" s="375" t="s">
        <v>264</v>
      </c>
      <c r="D13" s="364"/>
      <c r="E13" s="365">
        <v>1400</v>
      </c>
      <c r="F13" s="365" t="s">
        <v>2</v>
      </c>
      <c r="G13" s="376"/>
      <c r="H13" s="116"/>
      <c r="I13" s="377"/>
    </row>
    <row r="14" spans="1:12" ht="15" x14ac:dyDescent="0.25">
      <c r="A14" s="379" t="s">
        <v>88</v>
      </c>
      <c r="B14" s="379" t="s">
        <v>89</v>
      </c>
      <c r="C14" s="380" t="s">
        <v>111</v>
      </c>
      <c r="D14" s="364"/>
      <c r="E14" s="365">
        <v>10</v>
      </c>
      <c r="F14" s="365" t="s">
        <v>2</v>
      </c>
      <c r="G14" s="376"/>
      <c r="H14" s="116"/>
      <c r="I14" s="377"/>
    </row>
    <row r="15" spans="1:12" ht="15" x14ac:dyDescent="0.25">
      <c r="A15" s="381"/>
      <c r="B15" s="382"/>
      <c r="C15" s="383"/>
      <c r="D15" s="384"/>
      <c r="E15" s="25"/>
      <c r="F15" s="385"/>
      <c r="G15" s="366"/>
      <c r="H15" s="386"/>
      <c r="I15" s="368"/>
    </row>
    <row r="16" spans="1:12" ht="13.5" thickBot="1" x14ac:dyDescent="0.25">
      <c r="A16" s="387"/>
      <c r="B16" s="388"/>
      <c r="E16" s="389"/>
      <c r="F16" s="390"/>
      <c r="I16" s="391"/>
      <c r="L16" s="3"/>
    </row>
    <row r="17" spans="1:13" ht="13.5" thickBot="1" x14ac:dyDescent="0.25">
      <c r="A17" s="17"/>
      <c r="B17" s="87"/>
      <c r="C17" s="13"/>
      <c r="D17" s="16" t="s">
        <v>11</v>
      </c>
      <c r="E17" s="15" t="s">
        <v>10</v>
      </c>
      <c r="F17" s="14"/>
      <c r="G17" s="13"/>
      <c r="H17" s="13"/>
      <c r="I17" s="12"/>
      <c r="L17" s="3"/>
    </row>
    <row r="18" spans="1:13" ht="12.75" customHeight="1" x14ac:dyDescent="0.2">
      <c r="A18" s="623" t="s">
        <v>9</v>
      </c>
      <c r="B18" s="624"/>
      <c r="C18" s="625"/>
      <c r="D18" s="11">
        <v>9000</v>
      </c>
      <c r="E18" s="10" t="s">
        <v>2</v>
      </c>
      <c r="F18" s="774" t="s">
        <v>265</v>
      </c>
      <c r="G18" s="774"/>
      <c r="L18" s="3"/>
    </row>
    <row r="19" spans="1:13" ht="13.5" customHeight="1" x14ac:dyDescent="0.2">
      <c r="A19" s="603" t="s">
        <v>8</v>
      </c>
      <c r="B19" s="604"/>
      <c r="C19" s="605"/>
      <c r="D19" s="9">
        <v>15</v>
      </c>
      <c r="E19" s="392" t="s">
        <v>7</v>
      </c>
      <c r="F19" s="775" t="s">
        <v>266</v>
      </c>
      <c r="G19" s="775"/>
      <c r="H19" s="608"/>
      <c r="I19" s="609"/>
      <c r="L19" s="3"/>
      <c r="M19" s="6"/>
    </row>
    <row r="20" spans="1:13" ht="17.25" customHeight="1" x14ac:dyDescent="0.2">
      <c r="A20" s="603" t="s">
        <v>6</v>
      </c>
      <c r="B20" s="604"/>
      <c r="C20" s="605"/>
      <c r="D20" s="8">
        <f>D18/D21</f>
        <v>1</v>
      </c>
      <c r="E20" s="392" t="s">
        <v>130</v>
      </c>
      <c r="F20" s="775" t="s">
        <v>267</v>
      </c>
      <c r="G20" s="775"/>
      <c r="H20" s="608">
        <f>15/9</f>
        <v>1.6666666666666667</v>
      </c>
      <c r="I20" s="609"/>
      <c r="L20" s="3"/>
    </row>
    <row r="21" spans="1:13" ht="17.25" customHeight="1" x14ac:dyDescent="0.2">
      <c r="A21" s="603" t="s">
        <v>4</v>
      </c>
      <c r="B21" s="604"/>
      <c r="C21" s="605"/>
      <c r="D21" s="8">
        <v>9000</v>
      </c>
      <c r="E21" s="392" t="s">
        <v>2</v>
      </c>
      <c r="F21" s="775" t="s">
        <v>268</v>
      </c>
      <c r="G21" s="775"/>
      <c r="H21" s="608"/>
      <c r="I21" s="609"/>
    </row>
    <row r="22" spans="1:13" ht="13.5" thickBot="1" x14ac:dyDescent="0.25">
      <c r="A22" s="779" t="s">
        <v>3</v>
      </c>
      <c r="B22" s="780"/>
      <c r="C22" s="781"/>
      <c r="D22" s="5">
        <f>SUM(E9:E15)-D18</f>
        <v>410</v>
      </c>
      <c r="E22" s="393" t="s">
        <v>2</v>
      </c>
      <c r="F22" s="781"/>
      <c r="G22" s="781"/>
      <c r="H22" s="782"/>
      <c r="I22" s="783"/>
    </row>
    <row r="23" spans="1:13" ht="13.5" thickBot="1" x14ac:dyDescent="0.25">
      <c r="A23" s="784" t="s">
        <v>1</v>
      </c>
      <c r="B23" s="785"/>
      <c r="C23" s="785"/>
      <c r="D23" s="785"/>
      <c r="E23" s="785"/>
      <c r="F23" s="785"/>
      <c r="G23" s="785"/>
      <c r="H23" s="785"/>
      <c r="I23" s="786"/>
    </row>
    <row r="24" spans="1:13" ht="15" x14ac:dyDescent="0.25">
      <c r="A24" s="787" t="s">
        <v>269</v>
      </c>
      <c r="B24" s="788"/>
      <c r="C24" s="788"/>
      <c r="D24" s="788"/>
      <c r="E24" s="788"/>
      <c r="F24" s="788"/>
      <c r="G24" s="788"/>
      <c r="H24" s="788"/>
      <c r="I24" s="789"/>
    </row>
    <row r="25" spans="1:13" ht="15.75" hidden="1" x14ac:dyDescent="0.25">
      <c r="A25" s="776" t="s">
        <v>270</v>
      </c>
      <c r="B25" s="777"/>
      <c r="C25" s="777"/>
      <c r="D25" s="777"/>
      <c r="E25" s="777"/>
      <c r="F25" s="777"/>
      <c r="G25" s="777"/>
      <c r="H25" s="777"/>
      <c r="I25" s="778"/>
    </row>
    <row r="26" spans="1:13" ht="15" thickBot="1" x14ac:dyDescent="0.25">
      <c r="A26" s="597" t="s">
        <v>271</v>
      </c>
      <c r="B26" s="598"/>
      <c r="C26" s="598"/>
      <c r="D26" s="598"/>
      <c r="E26" s="598"/>
      <c r="F26" s="598"/>
      <c r="G26" s="598"/>
      <c r="H26" s="598"/>
      <c r="I26" s="599"/>
    </row>
    <row r="27" spans="1:13" ht="15" hidden="1" thickBot="1" x14ac:dyDescent="0.25">
      <c r="A27" s="597"/>
      <c r="B27" s="598"/>
      <c r="C27" s="598"/>
      <c r="D27" s="598"/>
      <c r="E27" s="598"/>
      <c r="F27" s="598"/>
      <c r="G27" s="598"/>
      <c r="H27" s="598"/>
      <c r="I27" s="599"/>
    </row>
    <row r="28" spans="1:13" ht="13.5" thickBot="1" x14ac:dyDescent="0.25">
      <c r="A28" s="784" t="s">
        <v>272</v>
      </c>
      <c r="B28" s="785"/>
      <c r="C28" s="785"/>
      <c r="D28" s="785"/>
      <c r="E28" s="785"/>
      <c r="F28" s="785"/>
      <c r="G28" s="785"/>
      <c r="H28" s="785"/>
      <c r="I28" s="786"/>
    </row>
    <row r="29" spans="1:13" ht="15" thickBot="1" x14ac:dyDescent="0.25">
      <c r="A29" s="600"/>
      <c r="B29" s="601"/>
      <c r="C29" s="601"/>
      <c r="D29" s="601"/>
      <c r="E29" s="601"/>
      <c r="F29" s="601"/>
      <c r="G29" s="601"/>
      <c r="H29" s="601"/>
      <c r="I29" s="602"/>
    </row>
    <row r="30" spans="1:13" ht="15" thickBot="1" x14ac:dyDescent="0.25">
      <c r="A30" s="790" t="s">
        <v>273</v>
      </c>
      <c r="B30" s="791"/>
      <c r="C30" s="791"/>
      <c r="D30" s="791"/>
      <c r="E30" s="791"/>
      <c r="F30" s="791"/>
      <c r="G30" s="791"/>
      <c r="H30" s="791"/>
      <c r="I30" s="792"/>
    </row>
    <row r="31" spans="1:13" ht="15" thickBot="1" x14ac:dyDescent="0.25">
      <c r="A31" s="790" t="s">
        <v>274</v>
      </c>
      <c r="B31" s="791"/>
      <c r="C31" s="791"/>
      <c r="D31" s="791"/>
      <c r="E31" s="791"/>
      <c r="F31" s="791"/>
      <c r="G31" s="791"/>
      <c r="H31" s="791"/>
      <c r="I31" s="792"/>
    </row>
    <row r="32" spans="1:13" ht="15" thickBot="1" x14ac:dyDescent="0.25">
      <c r="A32" s="790" t="s">
        <v>275</v>
      </c>
      <c r="B32" s="791"/>
      <c r="C32" s="791"/>
      <c r="D32" s="791"/>
      <c r="E32" s="791"/>
      <c r="F32" s="791"/>
      <c r="G32" s="791"/>
      <c r="H32" s="791"/>
      <c r="I32" s="792"/>
    </row>
    <row r="33" spans="1:1" x14ac:dyDescent="0.2">
      <c r="A33" s="1" t="s">
        <v>276</v>
      </c>
    </row>
    <row r="34" spans="1:1" x14ac:dyDescent="0.2">
      <c r="A34" s="1" t="s">
        <v>277</v>
      </c>
    </row>
    <row r="35" spans="1:1" x14ac:dyDescent="0.2">
      <c r="A35" s="1" t="s">
        <v>278</v>
      </c>
    </row>
    <row r="36" spans="1:1" x14ac:dyDescent="0.2">
      <c r="A36" s="1" t="s">
        <v>279</v>
      </c>
    </row>
  </sheetData>
  <mergeCells count="42">
    <mergeCell ref="A32:I32"/>
    <mergeCell ref="A26:I26"/>
    <mergeCell ref="A27:I27"/>
    <mergeCell ref="A28:I28"/>
    <mergeCell ref="A29:I29"/>
    <mergeCell ref="A30:I30"/>
    <mergeCell ref="A31:I31"/>
    <mergeCell ref="A25:I25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I23"/>
    <mergeCell ref="A24:I24"/>
    <mergeCell ref="G11:I11"/>
    <mergeCell ref="A18:C18"/>
    <mergeCell ref="F18:G18"/>
    <mergeCell ref="A19:C19"/>
    <mergeCell ref="F19:G19"/>
    <mergeCell ref="H19:I1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C61A1-5A3E-4F32-B483-F35A3FFA0ACA}">
  <dimension ref="A1:Q92"/>
  <sheetViews>
    <sheetView topLeftCell="A35" workbookViewId="0">
      <selection activeCell="D61" sqref="D61"/>
    </sheetView>
  </sheetViews>
  <sheetFormatPr baseColWidth="10" defaultColWidth="8.42578125" defaultRowHeight="12.75" x14ac:dyDescent="0.2"/>
  <cols>
    <col min="1" max="1" width="10" style="208" bestFit="1" customWidth="1"/>
    <col min="2" max="2" width="44.28515625" style="208" bestFit="1" customWidth="1"/>
    <col min="3" max="3" width="10.42578125" style="208" bestFit="1" customWidth="1"/>
    <col min="4" max="4" width="10.42578125" style="208" customWidth="1"/>
    <col min="5" max="5" width="9.7109375" style="208" bestFit="1" customWidth="1"/>
    <col min="6" max="6" width="9.5703125" style="208" bestFit="1" customWidth="1"/>
    <col min="7" max="7" width="9.5703125" style="290" bestFit="1" customWidth="1"/>
    <col min="8" max="8" width="10.42578125" style="281" bestFit="1" customWidth="1"/>
    <col min="9" max="9" width="4.5703125" style="281" customWidth="1"/>
    <col min="10" max="10" width="1.85546875" style="207" customWidth="1"/>
    <col min="11" max="11" width="7" style="208" bestFit="1" customWidth="1"/>
    <col min="12" max="12" width="6.28515625" style="208" customWidth="1"/>
    <col min="13" max="13" width="20.42578125" style="208" customWidth="1"/>
    <col min="14" max="14" width="6.42578125" style="208" bestFit="1" customWidth="1"/>
    <col min="15" max="15" width="9.28515625" style="208" bestFit="1" customWidth="1"/>
    <col min="16" max="16" width="8.42578125" style="208"/>
    <col min="17" max="17" width="3.28515625" style="208" customWidth="1"/>
    <col min="18" max="256" width="8.42578125" style="208"/>
    <col min="257" max="257" width="10" style="208" bestFit="1" customWidth="1"/>
    <col min="258" max="258" width="44.28515625" style="208" bestFit="1" customWidth="1"/>
    <col min="259" max="259" width="10.42578125" style="208" bestFit="1" customWidth="1"/>
    <col min="260" max="260" width="10.42578125" style="208" customWidth="1"/>
    <col min="261" max="261" width="9.7109375" style="208" bestFit="1" customWidth="1"/>
    <col min="262" max="263" width="9.5703125" style="208" bestFit="1" customWidth="1"/>
    <col min="264" max="264" width="10.42578125" style="208" bestFit="1" customWidth="1"/>
    <col min="265" max="265" width="4.5703125" style="208" customWidth="1"/>
    <col min="266" max="266" width="1.85546875" style="208" customWidth="1"/>
    <col min="267" max="267" width="7" style="208" bestFit="1" customWidth="1"/>
    <col min="268" max="268" width="6.28515625" style="208" customWidth="1"/>
    <col min="269" max="269" width="20.42578125" style="208" customWidth="1"/>
    <col min="270" max="270" width="6.42578125" style="208" bestFit="1" customWidth="1"/>
    <col min="271" max="272" width="8.42578125" style="208"/>
    <col min="273" max="273" width="3.28515625" style="208" customWidth="1"/>
    <col min="274" max="512" width="8.42578125" style="208"/>
    <col min="513" max="513" width="10" style="208" bestFit="1" customWidth="1"/>
    <col min="514" max="514" width="44.28515625" style="208" bestFit="1" customWidth="1"/>
    <col min="515" max="515" width="10.42578125" style="208" bestFit="1" customWidth="1"/>
    <col min="516" max="516" width="10.42578125" style="208" customWidth="1"/>
    <col min="517" max="517" width="9.7109375" style="208" bestFit="1" customWidth="1"/>
    <col min="518" max="519" width="9.5703125" style="208" bestFit="1" customWidth="1"/>
    <col min="520" max="520" width="10.42578125" style="208" bestFit="1" customWidth="1"/>
    <col min="521" max="521" width="4.5703125" style="208" customWidth="1"/>
    <col min="522" max="522" width="1.85546875" style="208" customWidth="1"/>
    <col min="523" max="523" width="7" style="208" bestFit="1" customWidth="1"/>
    <col min="524" max="524" width="6.28515625" style="208" customWidth="1"/>
    <col min="525" max="525" width="20.42578125" style="208" customWidth="1"/>
    <col min="526" max="526" width="6.42578125" style="208" bestFit="1" customWidth="1"/>
    <col min="527" max="528" width="8.42578125" style="208"/>
    <col min="529" max="529" width="3.28515625" style="208" customWidth="1"/>
    <col min="530" max="768" width="8.42578125" style="208"/>
    <col min="769" max="769" width="10" style="208" bestFit="1" customWidth="1"/>
    <col min="770" max="770" width="44.28515625" style="208" bestFit="1" customWidth="1"/>
    <col min="771" max="771" width="10.42578125" style="208" bestFit="1" customWidth="1"/>
    <col min="772" max="772" width="10.42578125" style="208" customWidth="1"/>
    <col min="773" max="773" width="9.7109375" style="208" bestFit="1" customWidth="1"/>
    <col min="774" max="775" width="9.5703125" style="208" bestFit="1" customWidth="1"/>
    <col min="776" max="776" width="10.42578125" style="208" bestFit="1" customWidth="1"/>
    <col min="777" max="777" width="4.5703125" style="208" customWidth="1"/>
    <col min="778" max="778" width="1.85546875" style="208" customWidth="1"/>
    <col min="779" max="779" width="7" style="208" bestFit="1" customWidth="1"/>
    <col min="780" max="780" width="6.28515625" style="208" customWidth="1"/>
    <col min="781" max="781" width="20.42578125" style="208" customWidth="1"/>
    <col min="782" max="782" width="6.42578125" style="208" bestFit="1" customWidth="1"/>
    <col min="783" max="784" width="8.42578125" style="208"/>
    <col min="785" max="785" width="3.28515625" style="208" customWidth="1"/>
    <col min="786" max="1024" width="8.42578125" style="208"/>
    <col min="1025" max="1025" width="10" style="208" bestFit="1" customWidth="1"/>
    <col min="1026" max="1026" width="44.28515625" style="208" bestFit="1" customWidth="1"/>
    <col min="1027" max="1027" width="10.42578125" style="208" bestFit="1" customWidth="1"/>
    <col min="1028" max="1028" width="10.42578125" style="208" customWidth="1"/>
    <col min="1029" max="1029" width="9.7109375" style="208" bestFit="1" customWidth="1"/>
    <col min="1030" max="1031" width="9.5703125" style="208" bestFit="1" customWidth="1"/>
    <col min="1032" max="1032" width="10.42578125" style="208" bestFit="1" customWidth="1"/>
    <col min="1033" max="1033" width="4.5703125" style="208" customWidth="1"/>
    <col min="1034" max="1034" width="1.85546875" style="208" customWidth="1"/>
    <col min="1035" max="1035" width="7" style="208" bestFit="1" customWidth="1"/>
    <col min="1036" max="1036" width="6.28515625" style="208" customWidth="1"/>
    <col min="1037" max="1037" width="20.42578125" style="208" customWidth="1"/>
    <col min="1038" max="1038" width="6.42578125" style="208" bestFit="1" customWidth="1"/>
    <col min="1039" max="1040" width="8.42578125" style="208"/>
    <col min="1041" max="1041" width="3.28515625" style="208" customWidth="1"/>
    <col min="1042" max="1280" width="8.42578125" style="208"/>
    <col min="1281" max="1281" width="10" style="208" bestFit="1" customWidth="1"/>
    <col min="1282" max="1282" width="44.28515625" style="208" bestFit="1" customWidth="1"/>
    <col min="1283" max="1283" width="10.42578125" style="208" bestFit="1" customWidth="1"/>
    <col min="1284" max="1284" width="10.42578125" style="208" customWidth="1"/>
    <col min="1285" max="1285" width="9.7109375" style="208" bestFit="1" customWidth="1"/>
    <col min="1286" max="1287" width="9.5703125" style="208" bestFit="1" customWidth="1"/>
    <col min="1288" max="1288" width="10.42578125" style="208" bestFit="1" customWidth="1"/>
    <col min="1289" max="1289" width="4.5703125" style="208" customWidth="1"/>
    <col min="1290" max="1290" width="1.85546875" style="208" customWidth="1"/>
    <col min="1291" max="1291" width="7" style="208" bestFit="1" customWidth="1"/>
    <col min="1292" max="1292" width="6.28515625" style="208" customWidth="1"/>
    <col min="1293" max="1293" width="20.42578125" style="208" customWidth="1"/>
    <col min="1294" max="1294" width="6.42578125" style="208" bestFit="1" customWidth="1"/>
    <col min="1295" max="1296" width="8.42578125" style="208"/>
    <col min="1297" max="1297" width="3.28515625" style="208" customWidth="1"/>
    <col min="1298" max="1536" width="8.42578125" style="208"/>
    <col min="1537" max="1537" width="10" style="208" bestFit="1" customWidth="1"/>
    <col min="1538" max="1538" width="44.28515625" style="208" bestFit="1" customWidth="1"/>
    <col min="1539" max="1539" width="10.42578125" style="208" bestFit="1" customWidth="1"/>
    <col min="1540" max="1540" width="10.42578125" style="208" customWidth="1"/>
    <col min="1541" max="1541" width="9.7109375" style="208" bestFit="1" customWidth="1"/>
    <col min="1542" max="1543" width="9.5703125" style="208" bestFit="1" customWidth="1"/>
    <col min="1544" max="1544" width="10.42578125" style="208" bestFit="1" customWidth="1"/>
    <col min="1545" max="1545" width="4.5703125" style="208" customWidth="1"/>
    <col min="1546" max="1546" width="1.85546875" style="208" customWidth="1"/>
    <col min="1547" max="1547" width="7" style="208" bestFit="1" customWidth="1"/>
    <col min="1548" max="1548" width="6.28515625" style="208" customWidth="1"/>
    <col min="1549" max="1549" width="20.42578125" style="208" customWidth="1"/>
    <col min="1550" max="1550" width="6.42578125" style="208" bestFit="1" customWidth="1"/>
    <col min="1551" max="1552" width="8.42578125" style="208"/>
    <col min="1553" max="1553" width="3.28515625" style="208" customWidth="1"/>
    <col min="1554" max="1792" width="8.42578125" style="208"/>
    <col min="1793" max="1793" width="10" style="208" bestFit="1" customWidth="1"/>
    <col min="1794" max="1794" width="44.28515625" style="208" bestFit="1" customWidth="1"/>
    <col min="1795" max="1795" width="10.42578125" style="208" bestFit="1" customWidth="1"/>
    <col min="1796" max="1796" width="10.42578125" style="208" customWidth="1"/>
    <col min="1797" max="1797" width="9.7109375" style="208" bestFit="1" customWidth="1"/>
    <col min="1798" max="1799" width="9.5703125" style="208" bestFit="1" customWidth="1"/>
    <col min="1800" max="1800" width="10.42578125" style="208" bestFit="1" customWidth="1"/>
    <col min="1801" max="1801" width="4.5703125" style="208" customWidth="1"/>
    <col min="1802" max="1802" width="1.85546875" style="208" customWidth="1"/>
    <col min="1803" max="1803" width="7" style="208" bestFit="1" customWidth="1"/>
    <col min="1804" max="1804" width="6.28515625" style="208" customWidth="1"/>
    <col min="1805" max="1805" width="20.42578125" style="208" customWidth="1"/>
    <col min="1806" max="1806" width="6.42578125" style="208" bestFit="1" customWidth="1"/>
    <col min="1807" max="1808" width="8.42578125" style="208"/>
    <col min="1809" max="1809" width="3.28515625" style="208" customWidth="1"/>
    <col min="1810" max="2048" width="8.42578125" style="208"/>
    <col min="2049" max="2049" width="10" style="208" bestFit="1" customWidth="1"/>
    <col min="2050" max="2050" width="44.28515625" style="208" bestFit="1" customWidth="1"/>
    <col min="2051" max="2051" width="10.42578125" style="208" bestFit="1" customWidth="1"/>
    <col min="2052" max="2052" width="10.42578125" style="208" customWidth="1"/>
    <col min="2053" max="2053" width="9.7109375" style="208" bestFit="1" customWidth="1"/>
    <col min="2054" max="2055" width="9.5703125" style="208" bestFit="1" customWidth="1"/>
    <col min="2056" max="2056" width="10.42578125" style="208" bestFit="1" customWidth="1"/>
    <col min="2057" max="2057" width="4.5703125" style="208" customWidth="1"/>
    <col min="2058" max="2058" width="1.85546875" style="208" customWidth="1"/>
    <col min="2059" max="2059" width="7" style="208" bestFit="1" customWidth="1"/>
    <col min="2060" max="2060" width="6.28515625" style="208" customWidth="1"/>
    <col min="2061" max="2061" width="20.42578125" style="208" customWidth="1"/>
    <col min="2062" max="2062" width="6.42578125" style="208" bestFit="1" customWidth="1"/>
    <col min="2063" max="2064" width="8.42578125" style="208"/>
    <col min="2065" max="2065" width="3.28515625" style="208" customWidth="1"/>
    <col min="2066" max="2304" width="8.42578125" style="208"/>
    <col min="2305" max="2305" width="10" style="208" bestFit="1" customWidth="1"/>
    <col min="2306" max="2306" width="44.28515625" style="208" bestFit="1" customWidth="1"/>
    <col min="2307" max="2307" width="10.42578125" style="208" bestFit="1" customWidth="1"/>
    <col min="2308" max="2308" width="10.42578125" style="208" customWidth="1"/>
    <col min="2309" max="2309" width="9.7109375" style="208" bestFit="1" customWidth="1"/>
    <col min="2310" max="2311" width="9.5703125" style="208" bestFit="1" customWidth="1"/>
    <col min="2312" max="2312" width="10.42578125" style="208" bestFit="1" customWidth="1"/>
    <col min="2313" max="2313" width="4.5703125" style="208" customWidth="1"/>
    <col min="2314" max="2314" width="1.85546875" style="208" customWidth="1"/>
    <col min="2315" max="2315" width="7" style="208" bestFit="1" customWidth="1"/>
    <col min="2316" max="2316" width="6.28515625" style="208" customWidth="1"/>
    <col min="2317" max="2317" width="20.42578125" style="208" customWidth="1"/>
    <col min="2318" max="2318" width="6.42578125" style="208" bestFit="1" customWidth="1"/>
    <col min="2319" max="2320" width="8.42578125" style="208"/>
    <col min="2321" max="2321" width="3.28515625" style="208" customWidth="1"/>
    <col min="2322" max="2560" width="8.42578125" style="208"/>
    <col min="2561" max="2561" width="10" style="208" bestFit="1" customWidth="1"/>
    <col min="2562" max="2562" width="44.28515625" style="208" bestFit="1" customWidth="1"/>
    <col min="2563" max="2563" width="10.42578125" style="208" bestFit="1" customWidth="1"/>
    <col min="2564" max="2564" width="10.42578125" style="208" customWidth="1"/>
    <col min="2565" max="2565" width="9.7109375" style="208" bestFit="1" customWidth="1"/>
    <col min="2566" max="2567" width="9.5703125" style="208" bestFit="1" customWidth="1"/>
    <col min="2568" max="2568" width="10.42578125" style="208" bestFit="1" customWidth="1"/>
    <col min="2569" max="2569" width="4.5703125" style="208" customWidth="1"/>
    <col min="2570" max="2570" width="1.85546875" style="208" customWidth="1"/>
    <col min="2571" max="2571" width="7" style="208" bestFit="1" customWidth="1"/>
    <col min="2572" max="2572" width="6.28515625" style="208" customWidth="1"/>
    <col min="2573" max="2573" width="20.42578125" style="208" customWidth="1"/>
    <col min="2574" max="2574" width="6.42578125" style="208" bestFit="1" customWidth="1"/>
    <col min="2575" max="2576" width="8.42578125" style="208"/>
    <col min="2577" max="2577" width="3.28515625" style="208" customWidth="1"/>
    <col min="2578" max="2816" width="8.42578125" style="208"/>
    <col min="2817" max="2817" width="10" style="208" bestFit="1" customWidth="1"/>
    <col min="2818" max="2818" width="44.28515625" style="208" bestFit="1" customWidth="1"/>
    <col min="2819" max="2819" width="10.42578125" style="208" bestFit="1" customWidth="1"/>
    <col min="2820" max="2820" width="10.42578125" style="208" customWidth="1"/>
    <col min="2821" max="2821" width="9.7109375" style="208" bestFit="1" customWidth="1"/>
    <col min="2822" max="2823" width="9.5703125" style="208" bestFit="1" customWidth="1"/>
    <col min="2824" max="2824" width="10.42578125" style="208" bestFit="1" customWidth="1"/>
    <col min="2825" max="2825" width="4.5703125" style="208" customWidth="1"/>
    <col min="2826" max="2826" width="1.85546875" style="208" customWidth="1"/>
    <col min="2827" max="2827" width="7" style="208" bestFit="1" customWidth="1"/>
    <col min="2828" max="2828" width="6.28515625" style="208" customWidth="1"/>
    <col min="2829" max="2829" width="20.42578125" style="208" customWidth="1"/>
    <col min="2830" max="2830" width="6.42578125" style="208" bestFit="1" customWidth="1"/>
    <col min="2831" max="2832" width="8.42578125" style="208"/>
    <col min="2833" max="2833" width="3.28515625" style="208" customWidth="1"/>
    <col min="2834" max="3072" width="8.42578125" style="208"/>
    <col min="3073" max="3073" width="10" style="208" bestFit="1" customWidth="1"/>
    <col min="3074" max="3074" width="44.28515625" style="208" bestFit="1" customWidth="1"/>
    <col min="3075" max="3075" width="10.42578125" style="208" bestFit="1" customWidth="1"/>
    <col min="3076" max="3076" width="10.42578125" style="208" customWidth="1"/>
    <col min="3077" max="3077" width="9.7109375" style="208" bestFit="1" customWidth="1"/>
    <col min="3078" max="3079" width="9.5703125" style="208" bestFit="1" customWidth="1"/>
    <col min="3080" max="3080" width="10.42578125" style="208" bestFit="1" customWidth="1"/>
    <col min="3081" max="3081" width="4.5703125" style="208" customWidth="1"/>
    <col min="3082" max="3082" width="1.85546875" style="208" customWidth="1"/>
    <col min="3083" max="3083" width="7" style="208" bestFit="1" customWidth="1"/>
    <col min="3084" max="3084" width="6.28515625" style="208" customWidth="1"/>
    <col min="3085" max="3085" width="20.42578125" style="208" customWidth="1"/>
    <col min="3086" max="3086" width="6.42578125" style="208" bestFit="1" customWidth="1"/>
    <col min="3087" max="3088" width="8.42578125" style="208"/>
    <col min="3089" max="3089" width="3.28515625" style="208" customWidth="1"/>
    <col min="3090" max="3328" width="8.42578125" style="208"/>
    <col min="3329" max="3329" width="10" style="208" bestFit="1" customWidth="1"/>
    <col min="3330" max="3330" width="44.28515625" style="208" bestFit="1" customWidth="1"/>
    <col min="3331" max="3331" width="10.42578125" style="208" bestFit="1" customWidth="1"/>
    <col min="3332" max="3332" width="10.42578125" style="208" customWidth="1"/>
    <col min="3333" max="3333" width="9.7109375" style="208" bestFit="1" customWidth="1"/>
    <col min="3334" max="3335" width="9.5703125" style="208" bestFit="1" customWidth="1"/>
    <col min="3336" max="3336" width="10.42578125" style="208" bestFit="1" customWidth="1"/>
    <col min="3337" max="3337" width="4.5703125" style="208" customWidth="1"/>
    <col min="3338" max="3338" width="1.85546875" style="208" customWidth="1"/>
    <col min="3339" max="3339" width="7" style="208" bestFit="1" customWidth="1"/>
    <col min="3340" max="3340" width="6.28515625" style="208" customWidth="1"/>
    <col min="3341" max="3341" width="20.42578125" style="208" customWidth="1"/>
    <col min="3342" max="3342" width="6.42578125" style="208" bestFit="1" customWidth="1"/>
    <col min="3343" max="3344" width="8.42578125" style="208"/>
    <col min="3345" max="3345" width="3.28515625" style="208" customWidth="1"/>
    <col min="3346" max="3584" width="8.42578125" style="208"/>
    <col min="3585" max="3585" width="10" style="208" bestFit="1" customWidth="1"/>
    <col min="3586" max="3586" width="44.28515625" style="208" bestFit="1" customWidth="1"/>
    <col min="3587" max="3587" width="10.42578125" style="208" bestFit="1" customWidth="1"/>
    <col min="3588" max="3588" width="10.42578125" style="208" customWidth="1"/>
    <col min="3589" max="3589" width="9.7109375" style="208" bestFit="1" customWidth="1"/>
    <col min="3590" max="3591" width="9.5703125" style="208" bestFit="1" customWidth="1"/>
    <col min="3592" max="3592" width="10.42578125" style="208" bestFit="1" customWidth="1"/>
    <col min="3593" max="3593" width="4.5703125" style="208" customWidth="1"/>
    <col min="3594" max="3594" width="1.85546875" style="208" customWidth="1"/>
    <col min="3595" max="3595" width="7" style="208" bestFit="1" customWidth="1"/>
    <col min="3596" max="3596" width="6.28515625" style="208" customWidth="1"/>
    <col min="3597" max="3597" width="20.42578125" style="208" customWidth="1"/>
    <col min="3598" max="3598" width="6.42578125" style="208" bestFit="1" customWidth="1"/>
    <col min="3599" max="3600" width="8.42578125" style="208"/>
    <col min="3601" max="3601" width="3.28515625" style="208" customWidth="1"/>
    <col min="3602" max="3840" width="8.42578125" style="208"/>
    <col min="3841" max="3841" width="10" style="208" bestFit="1" customWidth="1"/>
    <col min="3842" max="3842" width="44.28515625" style="208" bestFit="1" customWidth="1"/>
    <col min="3843" max="3843" width="10.42578125" style="208" bestFit="1" customWidth="1"/>
    <col min="3844" max="3844" width="10.42578125" style="208" customWidth="1"/>
    <col min="3845" max="3845" width="9.7109375" style="208" bestFit="1" customWidth="1"/>
    <col min="3846" max="3847" width="9.5703125" style="208" bestFit="1" customWidth="1"/>
    <col min="3848" max="3848" width="10.42578125" style="208" bestFit="1" customWidth="1"/>
    <col min="3849" max="3849" width="4.5703125" style="208" customWidth="1"/>
    <col min="3850" max="3850" width="1.85546875" style="208" customWidth="1"/>
    <col min="3851" max="3851" width="7" style="208" bestFit="1" customWidth="1"/>
    <col min="3852" max="3852" width="6.28515625" style="208" customWidth="1"/>
    <col min="3853" max="3853" width="20.42578125" style="208" customWidth="1"/>
    <col min="3854" max="3854" width="6.42578125" style="208" bestFit="1" customWidth="1"/>
    <col min="3855" max="3856" width="8.42578125" style="208"/>
    <col min="3857" max="3857" width="3.28515625" style="208" customWidth="1"/>
    <col min="3858" max="4096" width="8.42578125" style="208"/>
    <col min="4097" max="4097" width="10" style="208" bestFit="1" customWidth="1"/>
    <col min="4098" max="4098" width="44.28515625" style="208" bestFit="1" customWidth="1"/>
    <col min="4099" max="4099" width="10.42578125" style="208" bestFit="1" customWidth="1"/>
    <col min="4100" max="4100" width="10.42578125" style="208" customWidth="1"/>
    <col min="4101" max="4101" width="9.7109375" style="208" bestFit="1" customWidth="1"/>
    <col min="4102" max="4103" width="9.5703125" style="208" bestFit="1" customWidth="1"/>
    <col min="4104" max="4104" width="10.42578125" style="208" bestFit="1" customWidth="1"/>
    <col min="4105" max="4105" width="4.5703125" style="208" customWidth="1"/>
    <col min="4106" max="4106" width="1.85546875" style="208" customWidth="1"/>
    <col min="4107" max="4107" width="7" style="208" bestFit="1" customWidth="1"/>
    <col min="4108" max="4108" width="6.28515625" style="208" customWidth="1"/>
    <col min="4109" max="4109" width="20.42578125" style="208" customWidth="1"/>
    <col min="4110" max="4110" width="6.42578125" style="208" bestFit="1" customWidth="1"/>
    <col min="4111" max="4112" width="8.42578125" style="208"/>
    <col min="4113" max="4113" width="3.28515625" style="208" customWidth="1"/>
    <col min="4114" max="4352" width="8.42578125" style="208"/>
    <col min="4353" max="4353" width="10" style="208" bestFit="1" customWidth="1"/>
    <col min="4354" max="4354" width="44.28515625" style="208" bestFit="1" customWidth="1"/>
    <col min="4355" max="4355" width="10.42578125" style="208" bestFit="1" customWidth="1"/>
    <col min="4356" max="4356" width="10.42578125" style="208" customWidth="1"/>
    <col min="4357" max="4357" width="9.7109375" style="208" bestFit="1" customWidth="1"/>
    <col min="4358" max="4359" width="9.5703125" style="208" bestFit="1" customWidth="1"/>
    <col min="4360" max="4360" width="10.42578125" style="208" bestFit="1" customWidth="1"/>
    <col min="4361" max="4361" width="4.5703125" style="208" customWidth="1"/>
    <col min="4362" max="4362" width="1.85546875" style="208" customWidth="1"/>
    <col min="4363" max="4363" width="7" style="208" bestFit="1" customWidth="1"/>
    <col min="4364" max="4364" width="6.28515625" style="208" customWidth="1"/>
    <col min="4365" max="4365" width="20.42578125" style="208" customWidth="1"/>
    <col min="4366" max="4366" width="6.42578125" style="208" bestFit="1" customWidth="1"/>
    <col min="4367" max="4368" width="8.42578125" style="208"/>
    <col min="4369" max="4369" width="3.28515625" style="208" customWidth="1"/>
    <col min="4370" max="4608" width="8.42578125" style="208"/>
    <col min="4609" max="4609" width="10" style="208" bestFit="1" customWidth="1"/>
    <col min="4610" max="4610" width="44.28515625" style="208" bestFit="1" customWidth="1"/>
    <col min="4611" max="4611" width="10.42578125" style="208" bestFit="1" customWidth="1"/>
    <col min="4612" max="4612" width="10.42578125" style="208" customWidth="1"/>
    <col min="4613" max="4613" width="9.7109375" style="208" bestFit="1" customWidth="1"/>
    <col min="4614" max="4615" width="9.5703125" style="208" bestFit="1" customWidth="1"/>
    <col min="4616" max="4616" width="10.42578125" style="208" bestFit="1" customWidth="1"/>
    <col min="4617" max="4617" width="4.5703125" style="208" customWidth="1"/>
    <col min="4618" max="4618" width="1.85546875" style="208" customWidth="1"/>
    <col min="4619" max="4619" width="7" style="208" bestFit="1" customWidth="1"/>
    <col min="4620" max="4620" width="6.28515625" style="208" customWidth="1"/>
    <col min="4621" max="4621" width="20.42578125" style="208" customWidth="1"/>
    <col min="4622" max="4622" width="6.42578125" style="208" bestFit="1" customWidth="1"/>
    <col min="4623" max="4624" width="8.42578125" style="208"/>
    <col min="4625" max="4625" width="3.28515625" style="208" customWidth="1"/>
    <col min="4626" max="4864" width="8.42578125" style="208"/>
    <col min="4865" max="4865" width="10" style="208" bestFit="1" customWidth="1"/>
    <col min="4866" max="4866" width="44.28515625" style="208" bestFit="1" customWidth="1"/>
    <col min="4867" max="4867" width="10.42578125" style="208" bestFit="1" customWidth="1"/>
    <col min="4868" max="4868" width="10.42578125" style="208" customWidth="1"/>
    <col min="4869" max="4869" width="9.7109375" style="208" bestFit="1" customWidth="1"/>
    <col min="4870" max="4871" width="9.5703125" style="208" bestFit="1" customWidth="1"/>
    <col min="4872" max="4872" width="10.42578125" style="208" bestFit="1" customWidth="1"/>
    <col min="4873" max="4873" width="4.5703125" style="208" customWidth="1"/>
    <col min="4874" max="4874" width="1.85546875" style="208" customWidth="1"/>
    <col min="4875" max="4875" width="7" style="208" bestFit="1" customWidth="1"/>
    <col min="4876" max="4876" width="6.28515625" style="208" customWidth="1"/>
    <col min="4877" max="4877" width="20.42578125" style="208" customWidth="1"/>
    <col min="4878" max="4878" width="6.42578125" style="208" bestFit="1" customWidth="1"/>
    <col min="4879" max="4880" width="8.42578125" style="208"/>
    <col min="4881" max="4881" width="3.28515625" style="208" customWidth="1"/>
    <col min="4882" max="5120" width="8.42578125" style="208"/>
    <col min="5121" max="5121" width="10" style="208" bestFit="1" customWidth="1"/>
    <col min="5122" max="5122" width="44.28515625" style="208" bestFit="1" customWidth="1"/>
    <col min="5123" max="5123" width="10.42578125" style="208" bestFit="1" customWidth="1"/>
    <col min="5124" max="5124" width="10.42578125" style="208" customWidth="1"/>
    <col min="5125" max="5125" width="9.7109375" style="208" bestFit="1" customWidth="1"/>
    <col min="5126" max="5127" width="9.5703125" style="208" bestFit="1" customWidth="1"/>
    <col min="5128" max="5128" width="10.42578125" style="208" bestFit="1" customWidth="1"/>
    <col min="5129" max="5129" width="4.5703125" style="208" customWidth="1"/>
    <col min="5130" max="5130" width="1.85546875" style="208" customWidth="1"/>
    <col min="5131" max="5131" width="7" style="208" bestFit="1" customWidth="1"/>
    <col min="5132" max="5132" width="6.28515625" style="208" customWidth="1"/>
    <col min="5133" max="5133" width="20.42578125" style="208" customWidth="1"/>
    <col min="5134" max="5134" width="6.42578125" style="208" bestFit="1" customWidth="1"/>
    <col min="5135" max="5136" width="8.42578125" style="208"/>
    <col min="5137" max="5137" width="3.28515625" style="208" customWidth="1"/>
    <col min="5138" max="5376" width="8.42578125" style="208"/>
    <col min="5377" max="5377" width="10" style="208" bestFit="1" customWidth="1"/>
    <col min="5378" max="5378" width="44.28515625" style="208" bestFit="1" customWidth="1"/>
    <col min="5379" max="5379" width="10.42578125" style="208" bestFit="1" customWidth="1"/>
    <col min="5380" max="5380" width="10.42578125" style="208" customWidth="1"/>
    <col min="5381" max="5381" width="9.7109375" style="208" bestFit="1" customWidth="1"/>
    <col min="5382" max="5383" width="9.5703125" style="208" bestFit="1" customWidth="1"/>
    <col min="5384" max="5384" width="10.42578125" style="208" bestFit="1" customWidth="1"/>
    <col min="5385" max="5385" width="4.5703125" style="208" customWidth="1"/>
    <col min="5386" max="5386" width="1.85546875" style="208" customWidth="1"/>
    <col min="5387" max="5387" width="7" style="208" bestFit="1" customWidth="1"/>
    <col min="5388" max="5388" width="6.28515625" style="208" customWidth="1"/>
    <col min="5389" max="5389" width="20.42578125" style="208" customWidth="1"/>
    <col min="5390" max="5390" width="6.42578125" style="208" bestFit="1" customWidth="1"/>
    <col min="5391" max="5392" width="8.42578125" style="208"/>
    <col min="5393" max="5393" width="3.28515625" style="208" customWidth="1"/>
    <col min="5394" max="5632" width="8.42578125" style="208"/>
    <col min="5633" max="5633" width="10" style="208" bestFit="1" customWidth="1"/>
    <col min="5634" max="5634" width="44.28515625" style="208" bestFit="1" customWidth="1"/>
    <col min="5635" max="5635" width="10.42578125" style="208" bestFit="1" customWidth="1"/>
    <col min="5636" max="5636" width="10.42578125" style="208" customWidth="1"/>
    <col min="5637" max="5637" width="9.7109375" style="208" bestFit="1" customWidth="1"/>
    <col min="5638" max="5639" width="9.5703125" style="208" bestFit="1" customWidth="1"/>
    <col min="5640" max="5640" width="10.42578125" style="208" bestFit="1" customWidth="1"/>
    <col min="5641" max="5641" width="4.5703125" style="208" customWidth="1"/>
    <col min="5642" max="5642" width="1.85546875" style="208" customWidth="1"/>
    <col min="5643" max="5643" width="7" style="208" bestFit="1" customWidth="1"/>
    <col min="5644" max="5644" width="6.28515625" style="208" customWidth="1"/>
    <col min="5645" max="5645" width="20.42578125" style="208" customWidth="1"/>
    <col min="5646" max="5646" width="6.42578125" style="208" bestFit="1" customWidth="1"/>
    <col min="5647" max="5648" width="8.42578125" style="208"/>
    <col min="5649" max="5649" width="3.28515625" style="208" customWidth="1"/>
    <col min="5650" max="5888" width="8.42578125" style="208"/>
    <col min="5889" max="5889" width="10" style="208" bestFit="1" customWidth="1"/>
    <col min="5890" max="5890" width="44.28515625" style="208" bestFit="1" customWidth="1"/>
    <col min="5891" max="5891" width="10.42578125" style="208" bestFit="1" customWidth="1"/>
    <col min="5892" max="5892" width="10.42578125" style="208" customWidth="1"/>
    <col min="5893" max="5893" width="9.7109375" style="208" bestFit="1" customWidth="1"/>
    <col min="5894" max="5895" width="9.5703125" style="208" bestFit="1" customWidth="1"/>
    <col min="5896" max="5896" width="10.42578125" style="208" bestFit="1" customWidth="1"/>
    <col min="5897" max="5897" width="4.5703125" style="208" customWidth="1"/>
    <col min="5898" max="5898" width="1.85546875" style="208" customWidth="1"/>
    <col min="5899" max="5899" width="7" style="208" bestFit="1" customWidth="1"/>
    <col min="5900" max="5900" width="6.28515625" style="208" customWidth="1"/>
    <col min="5901" max="5901" width="20.42578125" style="208" customWidth="1"/>
    <col min="5902" max="5902" width="6.42578125" style="208" bestFit="1" customWidth="1"/>
    <col min="5903" max="5904" width="8.42578125" style="208"/>
    <col min="5905" max="5905" width="3.28515625" style="208" customWidth="1"/>
    <col min="5906" max="6144" width="8.42578125" style="208"/>
    <col min="6145" max="6145" width="10" style="208" bestFit="1" customWidth="1"/>
    <col min="6146" max="6146" width="44.28515625" style="208" bestFit="1" customWidth="1"/>
    <col min="6147" max="6147" width="10.42578125" style="208" bestFit="1" customWidth="1"/>
    <col min="6148" max="6148" width="10.42578125" style="208" customWidth="1"/>
    <col min="6149" max="6149" width="9.7109375" style="208" bestFit="1" customWidth="1"/>
    <col min="6150" max="6151" width="9.5703125" style="208" bestFit="1" customWidth="1"/>
    <col min="6152" max="6152" width="10.42578125" style="208" bestFit="1" customWidth="1"/>
    <col min="6153" max="6153" width="4.5703125" style="208" customWidth="1"/>
    <col min="6154" max="6154" width="1.85546875" style="208" customWidth="1"/>
    <col min="6155" max="6155" width="7" style="208" bestFit="1" customWidth="1"/>
    <col min="6156" max="6156" width="6.28515625" style="208" customWidth="1"/>
    <col min="6157" max="6157" width="20.42578125" style="208" customWidth="1"/>
    <col min="6158" max="6158" width="6.42578125" style="208" bestFit="1" customWidth="1"/>
    <col min="6159" max="6160" width="8.42578125" style="208"/>
    <col min="6161" max="6161" width="3.28515625" style="208" customWidth="1"/>
    <col min="6162" max="6400" width="8.42578125" style="208"/>
    <col min="6401" max="6401" width="10" style="208" bestFit="1" customWidth="1"/>
    <col min="6402" max="6402" width="44.28515625" style="208" bestFit="1" customWidth="1"/>
    <col min="6403" max="6403" width="10.42578125" style="208" bestFit="1" customWidth="1"/>
    <col min="6404" max="6404" width="10.42578125" style="208" customWidth="1"/>
    <col min="6405" max="6405" width="9.7109375" style="208" bestFit="1" customWidth="1"/>
    <col min="6406" max="6407" width="9.5703125" style="208" bestFit="1" customWidth="1"/>
    <col min="6408" max="6408" width="10.42578125" style="208" bestFit="1" customWidth="1"/>
    <col min="6409" max="6409" width="4.5703125" style="208" customWidth="1"/>
    <col min="6410" max="6410" width="1.85546875" style="208" customWidth="1"/>
    <col min="6411" max="6411" width="7" style="208" bestFit="1" customWidth="1"/>
    <col min="6412" max="6412" width="6.28515625" style="208" customWidth="1"/>
    <col min="6413" max="6413" width="20.42578125" style="208" customWidth="1"/>
    <col min="6414" max="6414" width="6.42578125" style="208" bestFit="1" customWidth="1"/>
    <col min="6415" max="6416" width="8.42578125" style="208"/>
    <col min="6417" max="6417" width="3.28515625" style="208" customWidth="1"/>
    <col min="6418" max="6656" width="8.42578125" style="208"/>
    <col min="6657" max="6657" width="10" style="208" bestFit="1" customWidth="1"/>
    <col min="6658" max="6658" width="44.28515625" style="208" bestFit="1" customWidth="1"/>
    <col min="6659" max="6659" width="10.42578125" style="208" bestFit="1" customWidth="1"/>
    <col min="6660" max="6660" width="10.42578125" style="208" customWidth="1"/>
    <col min="6661" max="6661" width="9.7109375" style="208" bestFit="1" customWidth="1"/>
    <col min="6662" max="6663" width="9.5703125" style="208" bestFit="1" customWidth="1"/>
    <col min="6664" max="6664" width="10.42578125" style="208" bestFit="1" customWidth="1"/>
    <col min="6665" max="6665" width="4.5703125" style="208" customWidth="1"/>
    <col min="6666" max="6666" width="1.85546875" style="208" customWidth="1"/>
    <col min="6667" max="6667" width="7" style="208" bestFit="1" customWidth="1"/>
    <col min="6668" max="6668" width="6.28515625" style="208" customWidth="1"/>
    <col min="6669" max="6669" width="20.42578125" style="208" customWidth="1"/>
    <col min="6670" max="6670" width="6.42578125" style="208" bestFit="1" customWidth="1"/>
    <col min="6671" max="6672" width="8.42578125" style="208"/>
    <col min="6673" max="6673" width="3.28515625" style="208" customWidth="1"/>
    <col min="6674" max="6912" width="8.42578125" style="208"/>
    <col min="6913" max="6913" width="10" style="208" bestFit="1" customWidth="1"/>
    <col min="6914" max="6914" width="44.28515625" style="208" bestFit="1" customWidth="1"/>
    <col min="6915" max="6915" width="10.42578125" style="208" bestFit="1" customWidth="1"/>
    <col min="6916" max="6916" width="10.42578125" style="208" customWidth="1"/>
    <col min="6917" max="6917" width="9.7109375" style="208" bestFit="1" customWidth="1"/>
    <col min="6918" max="6919" width="9.5703125" style="208" bestFit="1" customWidth="1"/>
    <col min="6920" max="6920" width="10.42578125" style="208" bestFit="1" customWidth="1"/>
    <col min="6921" max="6921" width="4.5703125" style="208" customWidth="1"/>
    <col min="6922" max="6922" width="1.85546875" style="208" customWidth="1"/>
    <col min="6923" max="6923" width="7" style="208" bestFit="1" customWidth="1"/>
    <col min="6924" max="6924" width="6.28515625" style="208" customWidth="1"/>
    <col min="6925" max="6925" width="20.42578125" style="208" customWidth="1"/>
    <col min="6926" max="6926" width="6.42578125" style="208" bestFit="1" customWidth="1"/>
    <col min="6927" max="6928" width="8.42578125" style="208"/>
    <col min="6929" max="6929" width="3.28515625" style="208" customWidth="1"/>
    <col min="6930" max="7168" width="8.42578125" style="208"/>
    <col min="7169" max="7169" width="10" style="208" bestFit="1" customWidth="1"/>
    <col min="7170" max="7170" width="44.28515625" style="208" bestFit="1" customWidth="1"/>
    <col min="7171" max="7171" width="10.42578125" style="208" bestFit="1" customWidth="1"/>
    <col min="7172" max="7172" width="10.42578125" style="208" customWidth="1"/>
    <col min="7173" max="7173" width="9.7109375" style="208" bestFit="1" customWidth="1"/>
    <col min="7174" max="7175" width="9.5703125" style="208" bestFit="1" customWidth="1"/>
    <col min="7176" max="7176" width="10.42578125" style="208" bestFit="1" customWidth="1"/>
    <col min="7177" max="7177" width="4.5703125" style="208" customWidth="1"/>
    <col min="7178" max="7178" width="1.85546875" style="208" customWidth="1"/>
    <col min="7179" max="7179" width="7" style="208" bestFit="1" customWidth="1"/>
    <col min="7180" max="7180" width="6.28515625" style="208" customWidth="1"/>
    <col min="7181" max="7181" width="20.42578125" style="208" customWidth="1"/>
    <col min="7182" max="7182" width="6.42578125" style="208" bestFit="1" customWidth="1"/>
    <col min="7183" max="7184" width="8.42578125" style="208"/>
    <col min="7185" max="7185" width="3.28515625" style="208" customWidth="1"/>
    <col min="7186" max="7424" width="8.42578125" style="208"/>
    <col min="7425" max="7425" width="10" style="208" bestFit="1" customWidth="1"/>
    <col min="7426" max="7426" width="44.28515625" style="208" bestFit="1" customWidth="1"/>
    <col min="7427" max="7427" width="10.42578125" style="208" bestFit="1" customWidth="1"/>
    <col min="7428" max="7428" width="10.42578125" style="208" customWidth="1"/>
    <col min="7429" max="7429" width="9.7109375" style="208" bestFit="1" customWidth="1"/>
    <col min="7430" max="7431" width="9.5703125" style="208" bestFit="1" customWidth="1"/>
    <col min="7432" max="7432" width="10.42578125" style="208" bestFit="1" customWidth="1"/>
    <col min="7433" max="7433" width="4.5703125" style="208" customWidth="1"/>
    <col min="7434" max="7434" width="1.85546875" style="208" customWidth="1"/>
    <col min="7435" max="7435" width="7" style="208" bestFit="1" customWidth="1"/>
    <col min="7436" max="7436" width="6.28515625" style="208" customWidth="1"/>
    <col min="7437" max="7437" width="20.42578125" style="208" customWidth="1"/>
    <col min="7438" max="7438" width="6.42578125" style="208" bestFit="1" customWidth="1"/>
    <col min="7439" max="7440" width="8.42578125" style="208"/>
    <col min="7441" max="7441" width="3.28515625" style="208" customWidth="1"/>
    <col min="7442" max="7680" width="8.42578125" style="208"/>
    <col min="7681" max="7681" width="10" style="208" bestFit="1" customWidth="1"/>
    <col min="7682" max="7682" width="44.28515625" style="208" bestFit="1" customWidth="1"/>
    <col min="7683" max="7683" width="10.42578125" style="208" bestFit="1" customWidth="1"/>
    <col min="7684" max="7684" width="10.42578125" style="208" customWidth="1"/>
    <col min="7685" max="7685" width="9.7109375" style="208" bestFit="1" customWidth="1"/>
    <col min="7686" max="7687" width="9.5703125" style="208" bestFit="1" customWidth="1"/>
    <col min="7688" max="7688" width="10.42578125" style="208" bestFit="1" customWidth="1"/>
    <col min="7689" max="7689" width="4.5703125" style="208" customWidth="1"/>
    <col min="7690" max="7690" width="1.85546875" style="208" customWidth="1"/>
    <col min="7691" max="7691" width="7" style="208" bestFit="1" customWidth="1"/>
    <col min="7692" max="7692" width="6.28515625" style="208" customWidth="1"/>
    <col min="7693" max="7693" width="20.42578125" style="208" customWidth="1"/>
    <col min="7694" max="7694" width="6.42578125" style="208" bestFit="1" customWidth="1"/>
    <col min="7695" max="7696" width="8.42578125" style="208"/>
    <col min="7697" max="7697" width="3.28515625" style="208" customWidth="1"/>
    <col min="7698" max="7936" width="8.42578125" style="208"/>
    <col min="7937" max="7937" width="10" style="208" bestFit="1" customWidth="1"/>
    <col min="7938" max="7938" width="44.28515625" style="208" bestFit="1" customWidth="1"/>
    <col min="7939" max="7939" width="10.42578125" style="208" bestFit="1" customWidth="1"/>
    <col min="7940" max="7940" width="10.42578125" style="208" customWidth="1"/>
    <col min="7941" max="7941" width="9.7109375" style="208" bestFit="1" customWidth="1"/>
    <col min="7942" max="7943" width="9.5703125" style="208" bestFit="1" customWidth="1"/>
    <col min="7944" max="7944" width="10.42578125" style="208" bestFit="1" customWidth="1"/>
    <col min="7945" max="7945" width="4.5703125" style="208" customWidth="1"/>
    <col min="7946" max="7946" width="1.85546875" style="208" customWidth="1"/>
    <col min="7947" max="7947" width="7" style="208" bestFit="1" customWidth="1"/>
    <col min="7948" max="7948" width="6.28515625" style="208" customWidth="1"/>
    <col min="7949" max="7949" width="20.42578125" style="208" customWidth="1"/>
    <col min="7950" max="7950" width="6.42578125" style="208" bestFit="1" customWidth="1"/>
    <col min="7951" max="7952" width="8.42578125" style="208"/>
    <col min="7953" max="7953" width="3.28515625" style="208" customWidth="1"/>
    <col min="7954" max="8192" width="8.42578125" style="208"/>
    <col min="8193" max="8193" width="10" style="208" bestFit="1" customWidth="1"/>
    <col min="8194" max="8194" width="44.28515625" style="208" bestFit="1" customWidth="1"/>
    <col min="8195" max="8195" width="10.42578125" style="208" bestFit="1" customWidth="1"/>
    <col min="8196" max="8196" width="10.42578125" style="208" customWidth="1"/>
    <col min="8197" max="8197" width="9.7109375" style="208" bestFit="1" customWidth="1"/>
    <col min="8198" max="8199" width="9.5703125" style="208" bestFit="1" customWidth="1"/>
    <col min="8200" max="8200" width="10.42578125" style="208" bestFit="1" customWidth="1"/>
    <col min="8201" max="8201" width="4.5703125" style="208" customWidth="1"/>
    <col min="8202" max="8202" width="1.85546875" style="208" customWidth="1"/>
    <col min="8203" max="8203" width="7" style="208" bestFit="1" customWidth="1"/>
    <col min="8204" max="8204" width="6.28515625" style="208" customWidth="1"/>
    <col min="8205" max="8205" width="20.42578125" style="208" customWidth="1"/>
    <col min="8206" max="8206" width="6.42578125" style="208" bestFit="1" customWidth="1"/>
    <col min="8207" max="8208" width="8.42578125" style="208"/>
    <col min="8209" max="8209" width="3.28515625" style="208" customWidth="1"/>
    <col min="8210" max="8448" width="8.42578125" style="208"/>
    <col min="8449" max="8449" width="10" style="208" bestFit="1" customWidth="1"/>
    <col min="8450" max="8450" width="44.28515625" style="208" bestFit="1" customWidth="1"/>
    <col min="8451" max="8451" width="10.42578125" style="208" bestFit="1" customWidth="1"/>
    <col min="8452" max="8452" width="10.42578125" style="208" customWidth="1"/>
    <col min="8453" max="8453" width="9.7109375" style="208" bestFit="1" customWidth="1"/>
    <col min="8454" max="8455" width="9.5703125" style="208" bestFit="1" customWidth="1"/>
    <col min="8456" max="8456" width="10.42578125" style="208" bestFit="1" customWidth="1"/>
    <col min="8457" max="8457" width="4.5703125" style="208" customWidth="1"/>
    <col min="8458" max="8458" width="1.85546875" style="208" customWidth="1"/>
    <col min="8459" max="8459" width="7" style="208" bestFit="1" customWidth="1"/>
    <col min="8460" max="8460" width="6.28515625" style="208" customWidth="1"/>
    <col min="8461" max="8461" width="20.42578125" style="208" customWidth="1"/>
    <col min="8462" max="8462" width="6.42578125" style="208" bestFit="1" customWidth="1"/>
    <col min="8463" max="8464" width="8.42578125" style="208"/>
    <col min="8465" max="8465" width="3.28515625" style="208" customWidth="1"/>
    <col min="8466" max="8704" width="8.42578125" style="208"/>
    <col min="8705" max="8705" width="10" style="208" bestFit="1" customWidth="1"/>
    <col min="8706" max="8706" width="44.28515625" style="208" bestFit="1" customWidth="1"/>
    <col min="8707" max="8707" width="10.42578125" style="208" bestFit="1" customWidth="1"/>
    <col min="8708" max="8708" width="10.42578125" style="208" customWidth="1"/>
    <col min="8709" max="8709" width="9.7109375" style="208" bestFit="1" customWidth="1"/>
    <col min="8710" max="8711" width="9.5703125" style="208" bestFit="1" customWidth="1"/>
    <col min="8712" max="8712" width="10.42578125" style="208" bestFit="1" customWidth="1"/>
    <col min="8713" max="8713" width="4.5703125" style="208" customWidth="1"/>
    <col min="8714" max="8714" width="1.85546875" style="208" customWidth="1"/>
    <col min="8715" max="8715" width="7" style="208" bestFit="1" customWidth="1"/>
    <col min="8716" max="8716" width="6.28515625" style="208" customWidth="1"/>
    <col min="8717" max="8717" width="20.42578125" style="208" customWidth="1"/>
    <col min="8718" max="8718" width="6.42578125" style="208" bestFit="1" customWidth="1"/>
    <col min="8719" max="8720" width="8.42578125" style="208"/>
    <col min="8721" max="8721" width="3.28515625" style="208" customWidth="1"/>
    <col min="8722" max="8960" width="8.42578125" style="208"/>
    <col min="8961" max="8961" width="10" style="208" bestFit="1" customWidth="1"/>
    <col min="8962" max="8962" width="44.28515625" style="208" bestFit="1" customWidth="1"/>
    <col min="8963" max="8963" width="10.42578125" style="208" bestFit="1" customWidth="1"/>
    <col min="8964" max="8964" width="10.42578125" style="208" customWidth="1"/>
    <col min="8965" max="8965" width="9.7109375" style="208" bestFit="1" customWidth="1"/>
    <col min="8966" max="8967" width="9.5703125" style="208" bestFit="1" customWidth="1"/>
    <col min="8968" max="8968" width="10.42578125" style="208" bestFit="1" customWidth="1"/>
    <col min="8969" max="8969" width="4.5703125" style="208" customWidth="1"/>
    <col min="8970" max="8970" width="1.85546875" style="208" customWidth="1"/>
    <col min="8971" max="8971" width="7" style="208" bestFit="1" customWidth="1"/>
    <col min="8972" max="8972" width="6.28515625" style="208" customWidth="1"/>
    <col min="8973" max="8973" width="20.42578125" style="208" customWidth="1"/>
    <col min="8974" max="8974" width="6.42578125" style="208" bestFit="1" customWidth="1"/>
    <col min="8975" max="8976" width="8.42578125" style="208"/>
    <col min="8977" max="8977" width="3.28515625" style="208" customWidth="1"/>
    <col min="8978" max="9216" width="8.42578125" style="208"/>
    <col min="9217" max="9217" width="10" style="208" bestFit="1" customWidth="1"/>
    <col min="9218" max="9218" width="44.28515625" style="208" bestFit="1" customWidth="1"/>
    <col min="9219" max="9219" width="10.42578125" style="208" bestFit="1" customWidth="1"/>
    <col min="9220" max="9220" width="10.42578125" style="208" customWidth="1"/>
    <col min="9221" max="9221" width="9.7109375" style="208" bestFit="1" customWidth="1"/>
    <col min="9222" max="9223" width="9.5703125" style="208" bestFit="1" customWidth="1"/>
    <col min="9224" max="9224" width="10.42578125" style="208" bestFit="1" customWidth="1"/>
    <col min="9225" max="9225" width="4.5703125" style="208" customWidth="1"/>
    <col min="9226" max="9226" width="1.85546875" style="208" customWidth="1"/>
    <col min="9227" max="9227" width="7" style="208" bestFit="1" customWidth="1"/>
    <col min="9228" max="9228" width="6.28515625" style="208" customWidth="1"/>
    <col min="9229" max="9229" width="20.42578125" style="208" customWidth="1"/>
    <col min="9230" max="9230" width="6.42578125" style="208" bestFit="1" customWidth="1"/>
    <col min="9231" max="9232" width="8.42578125" style="208"/>
    <col min="9233" max="9233" width="3.28515625" style="208" customWidth="1"/>
    <col min="9234" max="9472" width="8.42578125" style="208"/>
    <col min="9473" max="9473" width="10" style="208" bestFit="1" customWidth="1"/>
    <col min="9474" max="9474" width="44.28515625" style="208" bestFit="1" customWidth="1"/>
    <col min="9475" max="9475" width="10.42578125" style="208" bestFit="1" customWidth="1"/>
    <col min="9476" max="9476" width="10.42578125" style="208" customWidth="1"/>
    <col min="9477" max="9477" width="9.7109375" style="208" bestFit="1" customWidth="1"/>
    <col min="9478" max="9479" width="9.5703125" style="208" bestFit="1" customWidth="1"/>
    <col min="9480" max="9480" width="10.42578125" style="208" bestFit="1" customWidth="1"/>
    <col min="9481" max="9481" width="4.5703125" style="208" customWidth="1"/>
    <col min="9482" max="9482" width="1.85546875" style="208" customWidth="1"/>
    <col min="9483" max="9483" width="7" style="208" bestFit="1" customWidth="1"/>
    <col min="9484" max="9484" width="6.28515625" style="208" customWidth="1"/>
    <col min="9485" max="9485" width="20.42578125" style="208" customWidth="1"/>
    <col min="9486" max="9486" width="6.42578125" style="208" bestFit="1" customWidth="1"/>
    <col min="9487" max="9488" width="8.42578125" style="208"/>
    <col min="9489" max="9489" width="3.28515625" style="208" customWidth="1"/>
    <col min="9490" max="9728" width="8.42578125" style="208"/>
    <col min="9729" max="9729" width="10" style="208" bestFit="1" customWidth="1"/>
    <col min="9730" max="9730" width="44.28515625" style="208" bestFit="1" customWidth="1"/>
    <col min="9731" max="9731" width="10.42578125" style="208" bestFit="1" customWidth="1"/>
    <col min="9732" max="9732" width="10.42578125" style="208" customWidth="1"/>
    <col min="9733" max="9733" width="9.7109375" style="208" bestFit="1" customWidth="1"/>
    <col min="9734" max="9735" width="9.5703125" style="208" bestFit="1" customWidth="1"/>
    <col min="9736" max="9736" width="10.42578125" style="208" bestFit="1" customWidth="1"/>
    <col min="9737" max="9737" width="4.5703125" style="208" customWidth="1"/>
    <col min="9738" max="9738" width="1.85546875" style="208" customWidth="1"/>
    <col min="9739" max="9739" width="7" style="208" bestFit="1" customWidth="1"/>
    <col min="9740" max="9740" width="6.28515625" style="208" customWidth="1"/>
    <col min="9741" max="9741" width="20.42578125" style="208" customWidth="1"/>
    <col min="9742" max="9742" width="6.42578125" style="208" bestFit="1" customWidth="1"/>
    <col min="9743" max="9744" width="8.42578125" style="208"/>
    <col min="9745" max="9745" width="3.28515625" style="208" customWidth="1"/>
    <col min="9746" max="9984" width="8.42578125" style="208"/>
    <col min="9985" max="9985" width="10" style="208" bestFit="1" customWidth="1"/>
    <col min="9986" max="9986" width="44.28515625" style="208" bestFit="1" customWidth="1"/>
    <col min="9987" max="9987" width="10.42578125" style="208" bestFit="1" customWidth="1"/>
    <col min="9988" max="9988" width="10.42578125" style="208" customWidth="1"/>
    <col min="9989" max="9989" width="9.7109375" style="208" bestFit="1" customWidth="1"/>
    <col min="9990" max="9991" width="9.5703125" style="208" bestFit="1" customWidth="1"/>
    <col min="9992" max="9992" width="10.42578125" style="208" bestFit="1" customWidth="1"/>
    <col min="9993" max="9993" width="4.5703125" style="208" customWidth="1"/>
    <col min="9994" max="9994" width="1.85546875" style="208" customWidth="1"/>
    <col min="9995" max="9995" width="7" style="208" bestFit="1" customWidth="1"/>
    <col min="9996" max="9996" width="6.28515625" style="208" customWidth="1"/>
    <col min="9997" max="9997" width="20.42578125" style="208" customWidth="1"/>
    <col min="9998" max="9998" width="6.42578125" style="208" bestFit="1" customWidth="1"/>
    <col min="9999" max="10000" width="8.42578125" style="208"/>
    <col min="10001" max="10001" width="3.28515625" style="208" customWidth="1"/>
    <col min="10002" max="10240" width="8.42578125" style="208"/>
    <col min="10241" max="10241" width="10" style="208" bestFit="1" customWidth="1"/>
    <col min="10242" max="10242" width="44.28515625" style="208" bestFit="1" customWidth="1"/>
    <col min="10243" max="10243" width="10.42578125" style="208" bestFit="1" customWidth="1"/>
    <col min="10244" max="10244" width="10.42578125" style="208" customWidth="1"/>
    <col min="10245" max="10245" width="9.7109375" style="208" bestFit="1" customWidth="1"/>
    <col min="10246" max="10247" width="9.5703125" style="208" bestFit="1" customWidth="1"/>
    <col min="10248" max="10248" width="10.42578125" style="208" bestFit="1" customWidth="1"/>
    <col min="10249" max="10249" width="4.5703125" style="208" customWidth="1"/>
    <col min="10250" max="10250" width="1.85546875" style="208" customWidth="1"/>
    <col min="10251" max="10251" width="7" style="208" bestFit="1" customWidth="1"/>
    <col min="10252" max="10252" width="6.28515625" style="208" customWidth="1"/>
    <col min="10253" max="10253" width="20.42578125" style="208" customWidth="1"/>
    <col min="10254" max="10254" width="6.42578125" style="208" bestFit="1" customWidth="1"/>
    <col min="10255" max="10256" width="8.42578125" style="208"/>
    <col min="10257" max="10257" width="3.28515625" style="208" customWidth="1"/>
    <col min="10258" max="10496" width="8.42578125" style="208"/>
    <col min="10497" max="10497" width="10" style="208" bestFit="1" customWidth="1"/>
    <col min="10498" max="10498" width="44.28515625" style="208" bestFit="1" customWidth="1"/>
    <col min="10499" max="10499" width="10.42578125" style="208" bestFit="1" customWidth="1"/>
    <col min="10500" max="10500" width="10.42578125" style="208" customWidth="1"/>
    <col min="10501" max="10501" width="9.7109375" style="208" bestFit="1" customWidth="1"/>
    <col min="10502" max="10503" width="9.5703125" style="208" bestFit="1" customWidth="1"/>
    <col min="10504" max="10504" width="10.42578125" style="208" bestFit="1" customWidth="1"/>
    <col min="10505" max="10505" width="4.5703125" style="208" customWidth="1"/>
    <col min="10506" max="10506" width="1.85546875" style="208" customWidth="1"/>
    <col min="10507" max="10507" width="7" style="208" bestFit="1" customWidth="1"/>
    <col min="10508" max="10508" width="6.28515625" style="208" customWidth="1"/>
    <col min="10509" max="10509" width="20.42578125" style="208" customWidth="1"/>
    <col min="10510" max="10510" width="6.42578125" style="208" bestFit="1" customWidth="1"/>
    <col min="10511" max="10512" width="8.42578125" style="208"/>
    <col min="10513" max="10513" width="3.28515625" style="208" customWidth="1"/>
    <col min="10514" max="10752" width="8.42578125" style="208"/>
    <col min="10753" max="10753" width="10" style="208" bestFit="1" customWidth="1"/>
    <col min="10754" max="10754" width="44.28515625" style="208" bestFit="1" customWidth="1"/>
    <col min="10755" max="10755" width="10.42578125" style="208" bestFit="1" customWidth="1"/>
    <col min="10756" max="10756" width="10.42578125" style="208" customWidth="1"/>
    <col min="10757" max="10757" width="9.7109375" style="208" bestFit="1" customWidth="1"/>
    <col min="10758" max="10759" width="9.5703125" style="208" bestFit="1" customWidth="1"/>
    <col min="10760" max="10760" width="10.42578125" style="208" bestFit="1" customWidth="1"/>
    <col min="10761" max="10761" width="4.5703125" style="208" customWidth="1"/>
    <col min="10762" max="10762" width="1.85546875" style="208" customWidth="1"/>
    <col min="10763" max="10763" width="7" style="208" bestFit="1" customWidth="1"/>
    <col min="10764" max="10764" width="6.28515625" style="208" customWidth="1"/>
    <col min="10765" max="10765" width="20.42578125" style="208" customWidth="1"/>
    <col min="10766" max="10766" width="6.42578125" style="208" bestFit="1" customWidth="1"/>
    <col min="10767" max="10768" width="8.42578125" style="208"/>
    <col min="10769" max="10769" width="3.28515625" style="208" customWidth="1"/>
    <col min="10770" max="11008" width="8.42578125" style="208"/>
    <col min="11009" max="11009" width="10" style="208" bestFit="1" customWidth="1"/>
    <col min="11010" max="11010" width="44.28515625" style="208" bestFit="1" customWidth="1"/>
    <col min="11011" max="11011" width="10.42578125" style="208" bestFit="1" customWidth="1"/>
    <col min="11012" max="11012" width="10.42578125" style="208" customWidth="1"/>
    <col min="11013" max="11013" width="9.7109375" style="208" bestFit="1" customWidth="1"/>
    <col min="11014" max="11015" width="9.5703125" style="208" bestFit="1" customWidth="1"/>
    <col min="11016" max="11016" width="10.42578125" style="208" bestFit="1" customWidth="1"/>
    <col min="11017" max="11017" width="4.5703125" style="208" customWidth="1"/>
    <col min="11018" max="11018" width="1.85546875" style="208" customWidth="1"/>
    <col min="11019" max="11019" width="7" style="208" bestFit="1" customWidth="1"/>
    <col min="11020" max="11020" width="6.28515625" style="208" customWidth="1"/>
    <col min="11021" max="11021" width="20.42578125" style="208" customWidth="1"/>
    <col min="11022" max="11022" width="6.42578125" style="208" bestFit="1" customWidth="1"/>
    <col min="11023" max="11024" width="8.42578125" style="208"/>
    <col min="11025" max="11025" width="3.28515625" style="208" customWidth="1"/>
    <col min="11026" max="11264" width="8.42578125" style="208"/>
    <col min="11265" max="11265" width="10" style="208" bestFit="1" customWidth="1"/>
    <col min="11266" max="11266" width="44.28515625" style="208" bestFit="1" customWidth="1"/>
    <col min="11267" max="11267" width="10.42578125" style="208" bestFit="1" customWidth="1"/>
    <col min="11268" max="11268" width="10.42578125" style="208" customWidth="1"/>
    <col min="11269" max="11269" width="9.7109375" style="208" bestFit="1" customWidth="1"/>
    <col min="11270" max="11271" width="9.5703125" style="208" bestFit="1" customWidth="1"/>
    <col min="11272" max="11272" width="10.42578125" style="208" bestFit="1" customWidth="1"/>
    <col min="11273" max="11273" width="4.5703125" style="208" customWidth="1"/>
    <col min="11274" max="11274" width="1.85546875" style="208" customWidth="1"/>
    <col min="11275" max="11275" width="7" style="208" bestFit="1" customWidth="1"/>
    <col min="11276" max="11276" width="6.28515625" style="208" customWidth="1"/>
    <col min="11277" max="11277" width="20.42578125" style="208" customWidth="1"/>
    <col min="11278" max="11278" width="6.42578125" style="208" bestFit="1" customWidth="1"/>
    <col min="11279" max="11280" width="8.42578125" style="208"/>
    <col min="11281" max="11281" width="3.28515625" style="208" customWidth="1"/>
    <col min="11282" max="11520" width="8.42578125" style="208"/>
    <col min="11521" max="11521" width="10" style="208" bestFit="1" customWidth="1"/>
    <col min="11522" max="11522" width="44.28515625" style="208" bestFit="1" customWidth="1"/>
    <col min="11523" max="11523" width="10.42578125" style="208" bestFit="1" customWidth="1"/>
    <col min="11524" max="11524" width="10.42578125" style="208" customWidth="1"/>
    <col min="11525" max="11525" width="9.7109375" style="208" bestFit="1" customWidth="1"/>
    <col min="11526" max="11527" width="9.5703125" style="208" bestFit="1" customWidth="1"/>
    <col min="11528" max="11528" width="10.42578125" style="208" bestFit="1" customWidth="1"/>
    <col min="11529" max="11529" width="4.5703125" style="208" customWidth="1"/>
    <col min="11530" max="11530" width="1.85546875" style="208" customWidth="1"/>
    <col min="11531" max="11531" width="7" style="208" bestFit="1" customWidth="1"/>
    <col min="11532" max="11532" width="6.28515625" style="208" customWidth="1"/>
    <col min="11533" max="11533" width="20.42578125" style="208" customWidth="1"/>
    <col min="11534" max="11534" width="6.42578125" style="208" bestFit="1" customWidth="1"/>
    <col min="11535" max="11536" width="8.42578125" style="208"/>
    <col min="11537" max="11537" width="3.28515625" style="208" customWidth="1"/>
    <col min="11538" max="11776" width="8.42578125" style="208"/>
    <col min="11777" max="11777" width="10" style="208" bestFit="1" customWidth="1"/>
    <col min="11778" max="11778" width="44.28515625" style="208" bestFit="1" customWidth="1"/>
    <col min="11779" max="11779" width="10.42578125" style="208" bestFit="1" customWidth="1"/>
    <col min="11780" max="11780" width="10.42578125" style="208" customWidth="1"/>
    <col min="11781" max="11781" width="9.7109375" style="208" bestFit="1" customWidth="1"/>
    <col min="11782" max="11783" width="9.5703125" style="208" bestFit="1" customWidth="1"/>
    <col min="11784" max="11784" width="10.42578125" style="208" bestFit="1" customWidth="1"/>
    <col min="11785" max="11785" width="4.5703125" style="208" customWidth="1"/>
    <col min="11786" max="11786" width="1.85546875" style="208" customWidth="1"/>
    <col min="11787" max="11787" width="7" style="208" bestFit="1" customWidth="1"/>
    <col min="11788" max="11788" width="6.28515625" style="208" customWidth="1"/>
    <col min="11789" max="11789" width="20.42578125" style="208" customWidth="1"/>
    <col min="11790" max="11790" width="6.42578125" style="208" bestFit="1" customWidth="1"/>
    <col min="11791" max="11792" width="8.42578125" style="208"/>
    <col min="11793" max="11793" width="3.28515625" style="208" customWidth="1"/>
    <col min="11794" max="12032" width="8.42578125" style="208"/>
    <col min="12033" max="12033" width="10" style="208" bestFit="1" customWidth="1"/>
    <col min="12034" max="12034" width="44.28515625" style="208" bestFit="1" customWidth="1"/>
    <col min="12035" max="12035" width="10.42578125" style="208" bestFit="1" customWidth="1"/>
    <col min="12036" max="12036" width="10.42578125" style="208" customWidth="1"/>
    <col min="12037" max="12037" width="9.7109375" style="208" bestFit="1" customWidth="1"/>
    <col min="12038" max="12039" width="9.5703125" style="208" bestFit="1" customWidth="1"/>
    <col min="12040" max="12040" width="10.42578125" style="208" bestFit="1" customWidth="1"/>
    <col min="12041" max="12041" width="4.5703125" style="208" customWidth="1"/>
    <col min="12042" max="12042" width="1.85546875" style="208" customWidth="1"/>
    <col min="12043" max="12043" width="7" style="208" bestFit="1" customWidth="1"/>
    <col min="12044" max="12044" width="6.28515625" style="208" customWidth="1"/>
    <col min="12045" max="12045" width="20.42578125" style="208" customWidth="1"/>
    <col min="12046" max="12046" width="6.42578125" style="208" bestFit="1" customWidth="1"/>
    <col min="12047" max="12048" width="8.42578125" style="208"/>
    <col min="12049" max="12049" width="3.28515625" style="208" customWidth="1"/>
    <col min="12050" max="12288" width="8.42578125" style="208"/>
    <col min="12289" max="12289" width="10" style="208" bestFit="1" customWidth="1"/>
    <col min="12290" max="12290" width="44.28515625" style="208" bestFit="1" customWidth="1"/>
    <col min="12291" max="12291" width="10.42578125" style="208" bestFit="1" customWidth="1"/>
    <col min="12292" max="12292" width="10.42578125" style="208" customWidth="1"/>
    <col min="12293" max="12293" width="9.7109375" style="208" bestFit="1" customWidth="1"/>
    <col min="12294" max="12295" width="9.5703125" style="208" bestFit="1" customWidth="1"/>
    <col min="12296" max="12296" width="10.42578125" style="208" bestFit="1" customWidth="1"/>
    <col min="12297" max="12297" width="4.5703125" style="208" customWidth="1"/>
    <col min="12298" max="12298" width="1.85546875" style="208" customWidth="1"/>
    <col min="12299" max="12299" width="7" style="208" bestFit="1" customWidth="1"/>
    <col min="12300" max="12300" width="6.28515625" style="208" customWidth="1"/>
    <col min="12301" max="12301" width="20.42578125" style="208" customWidth="1"/>
    <col min="12302" max="12302" width="6.42578125" style="208" bestFit="1" customWidth="1"/>
    <col min="12303" max="12304" width="8.42578125" style="208"/>
    <col min="12305" max="12305" width="3.28515625" style="208" customWidth="1"/>
    <col min="12306" max="12544" width="8.42578125" style="208"/>
    <col min="12545" max="12545" width="10" style="208" bestFit="1" customWidth="1"/>
    <col min="12546" max="12546" width="44.28515625" style="208" bestFit="1" customWidth="1"/>
    <col min="12547" max="12547" width="10.42578125" style="208" bestFit="1" customWidth="1"/>
    <col min="12548" max="12548" width="10.42578125" style="208" customWidth="1"/>
    <col min="12549" max="12549" width="9.7109375" style="208" bestFit="1" customWidth="1"/>
    <col min="12550" max="12551" width="9.5703125" style="208" bestFit="1" customWidth="1"/>
    <col min="12552" max="12552" width="10.42578125" style="208" bestFit="1" customWidth="1"/>
    <col min="12553" max="12553" width="4.5703125" style="208" customWidth="1"/>
    <col min="12554" max="12554" width="1.85546875" style="208" customWidth="1"/>
    <col min="12555" max="12555" width="7" style="208" bestFit="1" customWidth="1"/>
    <col min="12556" max="12556" width="6.28515625" style="208" customWidth="1"/>
    <col min="12557" max="12557" width="20.42578125" style="208" customWidth="1"/>
    <col min="12558" max="12558" width="6.42578125" style="208" bestFit="1" customWidth="1"/>
    <col min="12559" max="12560" width="8.42578125" style="208"/>
    <col min="12561" max="12561" width="3.28515625" style="208" customWidth="1"/>
    <col min="12562" max="12800" width="8.42578125" style="208"/>
    <col min="12801" max="12801" width="10" style="208" bestFit="1" customWidth="1"/>
    <col min="12802" max="12802" width="44.28515625" style="208" bestFit="1" customWidth="1"/>
    <col min="12803" max="12803" width="10.42578125" style="208" bestFit="1" customWidth="1"/>
    <col min="12804" max="12804" width="10.42578125" style="208" customWidth="1"/>
    <col min="12805" max="12805" width="9.7109375" style="208" bestFit="1" customWidth="1"/>
    <col min="12806" max="12807" width="9.5703125" style="208" bestFit="1" customWidth="1"/>
    <col min="12808" max="12808" width="10.42578125" style="208" bestFit="1" customWidth="1"/>
    <col min="12809" max="12809" width="4.5703125" style="208" customWidth="1"/>
    <col min="12810" max="12810" width="1.85546875" style="208" customWidth="1"/>
    <col min="12811" max="12811" width="7" style="208" bestFit="1" customWidth="1"/>
    <col min="12812" max="12812" width="6.28515625" style="208" customWidth="1"/>
    <col min="12813" max="12813" width="20.42578125" style="208" customWidth="1"/>
    <col min="12814" max="12814" width="6.42578125" style="208" bestFit="1" customWidth="1"/>
    <col min="12815" max="12816" width="8.42578125" style="208"/>
    <col min="12817" max="12817" width="3.28515625" style="208" customWidth="1"/>
    <col min="12818" max="13056" width="8.42578125" style="208"/>
    <col min="13057" max="13057" width="10" style="208" bestFit="1" customWidth="1"/>
    <col min="13058" max="13058" width="44.28515625" style="208" bestFit="1" customWidth="1"/>
    <col min="13059" max="13059" width="10.42578125" style="208" bestFit="1" customWidth="1"/>
    <col min="13060" max="13060" width="10.42578125" style="208" customWidth="1"/>
    <col min="13061" max="13061" width="9.7109375" style="208" bestFit="1" customWidth="1"/>
    <col min="13062" max="13063" width="9.5703125" style="208" bestFit="1" customWidth="1"/>
    <col min="13064" max="13064" width="10.42578125" style="208" bestFit="1" customWidth="1"/>
    <col min="13065" max="13065" width="4.5703125" style="208" customWidth="1"/>
    <col min="13066" max="13066" width="1.85546875" style="208" customWidth="1"/>
    <col min="13067" max="13067" width="7" style="208" bestFit="1" customWidth="1"/>
    <col min="13068" max="13068" width="6.28515625" style="208" customWidth="1"/>
    <col min="13069" max="13069" width="20.42578125" style="208" customWidth="1"/>
    <col min="13070" max="13070" width="6.42578125" style="208" bestFit="1" customWidth="1"/>
    <col min="13071" max="13072" width="8.42578125" style="208"/>
    <col min="13073" max="13073" width="3.28515625" style="208" customWidth="1"/>
    <col min="13074" max="13312" width="8.42578125" style="208"/>
    <col min="13313" max="13313" width="10" style="208" bestFit="1" customWidth="1"/>
    <col min="13314" max="13314" width="44.28515625" style="208" bestFit="1" customWidth="1"/>
    <col min="13315" max="13315" width="10.42578125" style="208" bestFit="1" customWidth="1"/>
    <col min="13316" max="13316" width="10.42578125" style="208" customWidth="1"/>
    <col min="13317" max="13317" width="9.7109375" style="208" bestFit="1" customWidth="1"/>
    <col min="13318" max="13319" width="9.5703125" style="208" bestFit="1" customWidth="1"/>
    <col min="13320" max="13320" width="10.42578125" style="208" bestFit="1" customWidth="1"/>
    <col min="13321" max="13321" width="4.5703125" style="208" customWidth="1"/>
    <col min="13322" max="13322" width="1.85546875" style="208" customWidth="1"/>
    <col min="13323" max="13323" width="7" style="208" bestFit="1" customWidth="1"/>
    <col min="13324" max="13324" width="6.28515625" style="208" customWidth="1"/>
    <col min="13325" max="13325" width="20.42578125" style="208" customWidth="1"/>
    <col min="13326" max="13326" width="6.42578125" style="208" bestFit="1" customWidth="1"/>
    <col min="13327" max="13328" width="8.42578125" style="208"/>
    <col min="13329" max="13329" width="3.28515625" style="208" customWidth="1"/>
    <col min="13330" max="13568" width="8.42578125" style="208"/>
    <col min="13569" max="13569" width="10" style="208" bestFit="1" customWidth="1"/>
    <col min="13570" max="13570" width="44.28515625" style="208" bestFit="1" customWidth="1"/>
    <col min="13571" max="13571" width="10.42578125" style="208" bestFit="1" customWidth="1"/>
    <col min="13572" max="13572" width="10.42578125" style="208" customWidth="1"/>
    <col min="13573" max="13573" width="9.7109375" style="208" bestFit="1" customWidth="1"/>
    <col min="13574" max="13575" width="9.5703125" style="208" bestFit="1" customWidth="1"/>
    <col min="13576" max="13576" width="10.42578125" style="208" bestFit="1" customWidth="1"/>
    <col min="13577" max="13577" width="4.5703125" style="208" customWidth="1"/>
    <col min="13578" max="13578" width="1.85546875" style="208" customWidth="1"/>
    <col min="13579" max="13579" width="7" style="208" bestFit="1" customWidth="1"/>
    <col min="13580" max="13580" width="6.28515625" style="208" customWidth="1"/>
    <col min="13581" max="13581" width="20.42578125" style="208" customWidth="1"/>
    <col min="13582" max="13582" width="6.42578125" style="208" bestFit="1" customWidth="1"/>
    <col min="13583" max="13584" width="8.42578125" style="208"/>
    <col min="13585" max="13585" width="3.28515625" style="208" customWidth="1"/>
    <col min="13586" max="13824" width="8.42578125" style="208"/>
    <col min="13825" max="13825" width="10" style="208" bestFit="1" customWidth="1"/>
    <col min="13826" max="13826" width="44.28515625" style="208" bestFit="1" customWidth="1"/>
    <col min="13827" max="13827" width="10.42578125" style="208" bestFit="1" customWidth="1"/>
    <col min="13828" max="13828" width="10.42578125" style="208" customWidth="1"/>
    <col min="13829" max="13829" width="9.7109375" style="208" bestFit="1" customWidth="1"/>
    <col min="13830" max="13831" width="9.5703125" style="208" bestFit="1" customWidth="1"/>
    <col min="13832" max="13832" width="10.42578125" style="208" bestFit="1" customWidth="1"/>
    <col min="13833" max="13833" width="4.5703125" style="208" customWidth="1"/>
    <col min="13834" max="13834" width="1.85546875" style="208" customWidth="1"/>
    <col min="13835" max="13835" width="7" style="208" bestFit="1" customWidth="1"/>
    <col min="13836" max="13836" width="6.28515625" style="208" customWidth="1"/>
    <col min="13837" max="13837" width="20.42578125" style="208" customWidth="1"/>
    <col min="13838" max="13838" width="6.42578125" style="208" bestFit="1" customWidth="1"/>
    <col min="13839" max="13840" width="8.42578125" style="208"/>
    <col min="13841" max="13841" width="3.28515625" style="208" customWidth="1"/>
    <col min="13842" max="14080" width="8.42578125" style="208"/>
    <col min="14081" max="14081" width="10" style="208" bestFit="1" customWidth="1"/>
    <col min="14082" max="14082" width="44.28515625" style="208" bestFit="1" customWidth="1"/>
    <col min="14083" max="14083" width="10.42578125" style="208" bestFit="1" customWidth="1"/>
    <col min="14084" max="14084" width="10.42578125" style="208" customWidth="1"/>
    <col min="14085" max="14085" width="9.7109375" style="208" bestFit="1" customWidth="1"/>
    <col min="14086" max="14087" width="9.5703125" style="208" bestFit="1" customWidth="1"/>
    <col min="14088" max="14088" width="10.42578125" style="208" bestFit="1" customWidth="1"/>
    <col min="14089" max="14089" width="4.5703125" style="208" customWidth="1"/>
    <col min="14090" max="14090" width="1.85546875" style="208" customWidth="1"/>
    <col min="14091" max="14091" width="7" style="208" bestFit="1" customWidth="1"/>
    <col min="14092" max="14092" width="6.28515625" style="208" customWidth="1"/>
    <col min="14093" max="14093" width="20.42578125" style="208" customWidth="1"/>
    <col min="14094" max="14094" width="6.42578125" style="208" bestFit="1" customWidth="1"/>
    <col min="14095" max="14096" width="8.42578125" style="208"/>
    <col min="14097" max="14097" width="3.28515625" style="208" customWidth="1"/>
    <col min="14098" max="14336" width="8.42578125" style="208"/>
    <col min="14337" max="14337" width="10" style="208" bestFit="1" customWidth="1"/>
    <col min="14338" max="14338" width="44.28515625" style="208" bestFit="1" customWidth="1"/>
    <col min="14339" max="14339" width="10.42578125" style="208" bestFit="1" customWidth="1"/>
    <col min="14340" max="14340" width="10.42578125" style="208" customWidth="1"/>
    <col min="14341" max="14341" width="9.7109375" style="208" bestFit="1" customWidth="1"/>
    <col min="14342" max="14343" width="9.5703125" style="208" bestFit="1" customWidth="1"/>
    <col min="14344" max="14344" width="10.42578125" style="208" bestFit="1" customWidth="1"/>
    <col min="14345" max="14345" width="4.5703125" style="208" customWidth="1"/>
    <col min="14346" max="14346" width="1.85546875" style="208" customWidth="1"/>
    <col min="14347" max="14347" width="7" style="208" bestFit="1" customWidth="1"/>
    <col min="14348" max="14348" width="6.28515625" style="208" customWidth="1"/>
    <col min="14349" max="14349" width="20.42578125" style="208" customWidth="1"/>
    <col min="14350" max="14350" width="6.42578125" style="208" bestFit="1" customWidth="1"/>
    <col min="14351" max="14352" width="8.42578125" style="208"/>
    <col min="14353" max="14353" width="3.28515625" style="208" customWidth="1"/>
    <col min="14354" max="14592" width="8.42578125" style="208"/>
    <col min="14593" max="14593" width="10" style="208" bestFit="1" customWidth="1"/>
    <col min="14594" max="14594" width="44.28515625" style="208" bestFit="1" customWidth="1"/>
    <col min="14595" max="14595" width="10.42578125" style="208" bestFit="1" customWidth="1"/>
    <col min="14596" max="14596" width="10.42578125" style="208" customWidth="1"/>
    <col min="14597" max="14597" width="9.7109375" style="208" bestFit="1" customWidth="1"/>
    <col min="14598" max="14599" width="9.5703125" style="208" bestFit="1" customWidth="1"/>
    <col min="14600" max="14600" width="10.42578125" style="208" bestFit="1" customWidth="1"/>
    <col min="14601" max="14601" width="4.5703125" style="208" customWidth="1"/>
    <col min="14602" max="14602" width="1.85546875" style="208" customWidth="1"/>
    <col min="14603" max="14603" width="7" style="208" bestFit="1" customWidth="1"/>
    <col min="14604" max="14604" width="6.28515625" style="208" customWidth="1"/>
    <col min="14605" max="14605" width="20.42578125" style="208" customWidth="1"/>
    <col min="14606" max="14606" width="6.42578125" style="208" bestFit="1" customWidth="1"/>
    <col min="14607" max="14608" width="8.42578125" style="208"/>
    <col min="14609" max="14609" width="3.28515625" style="208" customWidth="1"/>
    <col min="14610" max="14848" width="8.42578125" style="208"/>
    <col min="14849" max="14849" width="10" style="208" bestFit="1" customWidth="1"/>
    <col min="14850" max="14850" width="44.28515625" style="208" bestFit="1" customWidth="1"/>
    <col min="14851" max="14851" width="10.42578125" style="208" bestFit="1" customWidth="1"/>
    <col min="14852" max="14852" width="10.42578125" style="208" customWidth="1"/>
    <col min="14853" max="14853" width="9.7109375" style="208" bestFit="1" customWidth="1"/>
    <col min="14854" max="14855" width="9.5703125" style="208" bestFit="1" customWidth="1"/>
    <col min="14856" max="14856" width="10.42578125" style="208" bestFit="1" customWidth="1"/>
    <col min="14857" max="14857" width="4.5703125" style="208" customWidth="1"/>
    <col min="14858" max="14858" width="1.85546875" style="208" customWidth="1"/>
    <col min="14859" max="14859" width="7" style="208" bestFit="1" customWidth="1"/>
    <col min="14860" max="14860" width="6.28515625" style="208" customWidth="1"/>
    <col min="14861" max="14861" width="20.42578125" style="208" customWidth="1"/>
    <col min="14862" max="14862" width="6.42578125" style="208" bestFit="1" customWidth="1"/>
    <col min="14863" max="14864" width="8.42578125" style="208"/>
    <col min="14865" max="14865" width="3.28515625" style="208" customWidth="1"/>
    <col min="14866" max="15104" width="8.42578125" style="208"/>
    <col min="15105" max="15105" width="10" style="208" bestFit="1" customWidth="1"/>
    <col min="15106" max="15106" width="44.28515625" style="208" bestFit="1" customWidth="1"/>
    <col min="15107" max="15107" width="10.42578125" style="208" bestFit="1" customWidth="1"/>
    <col min="15108" max="15108" width="10.42578125" style="208" customWidth="1"/>
    <col min="15109" max="15109" width="9.7109375" style="208" bestFit="1" customWidth="1"/>
    <col min="15110" max="15111" width="9.5703125" style="208" bestFit="1" customWidth="1"/>
    <col min="15112" max="15112" width="10.42578125" style="208" bestFit="1" customWidth="1"/>
    <col min="15113" max="15113" width="4.5703125" style="208" customWidth="1"/>
    <col min="15114" max="15114" width="1.85546875" style="208" customWidth="1"/>
    <col min="15115" max="15115" width="7" style="208" bestFit="1" customWidth="1"/>
    <col min="15116" max="15116" width="6.28515625" style="208" customWidth="1"/>
    <col min="15117" max="15117" width="20.42578125" style="208" customWidth="1"/>
    <col min="15118" max="15118" width="6.42578125" style="208" bestFit="1" customWidth="1"/>
    <col min="15119" max="15120" width="8.42578125" style="208"/>
    <col min="15121" max="15121" width="3.28515625" style="208" customWidth="1"/>
    <col min="15122" max="15360" width="8.42578125" style="208"/>
    <col min="15361" max="15361" width="10" style="208" bestFit="1" customWidth="1"/>
    <col min="15362" max="15362" width="44.28515625" style="208" bestFit="1" customWidth="1"/>
    <col min="15363" max="15363" width="10.42578125" style="208" bestFit="1" customWidth="1"/>
    <col min="15364" max="15364" width="10.42578125" style="208" customWidth="1"/>
    <col min="15365" max="15365" width="9.7109375" style="208" bestFit="1" customWidth="1"/>
    <col min="15366" max="15367" width="9.5703125" style="208" bestFit="1" customWidth="1"/>
    <col min="15368" max="15368" width="10.42578125" style="208" bestFit="1" customWidth="1"/>
    <col min="15369" max="15369" width="4.5703125" style="208" customWidth="1"/>
    <col min="15370" max="15370" width="1.85546875" style="208" customWidth="1"/>
    <col min="15371" max="15371" width="7" style="208" bestFit="1" customWidth="1"/>
    <col min="15372" max="15372" width="6.28515625" style="208" customWidth="1"/>
    <col min="15373" max="15373" width="20.42578125" style="208" customWidth="1"/>
    <col min="15374" max="15374" width="6.42578125" style="208" bestFit="1" customWidth="1"/>
    <col min="15375" max="15376" width="8.42578125" style="208"/>
    <col min="15377" max="15377" width="3.28515625" style="208" customWidth="1"/>
    <col min="15378" max="15616" width="8.42578125" style="208"/>
    <col min="15617" max="15617" width="10" style="208" bestFit="1" customWidth="1"/>
    <col min="15618" max="15618" width="44.28515625" style="208" bestFit="1" customWidth="1"/>
    <col min="15619" max="15619" width="10.42578125" style="208" bestFit="1" customWidth="1"/>
    <col min="15620" max="15620" width="10.42578125" style="208" customWidth="1"/>
    <col min="15621" max="15621" width="9.7109375" style="208" bestFit="1" customWidth="1"/>
    <col min="15622" max="15623" width="9.5703125" style="208" bestFit="1" customWidth="1"/>
    <col min="15624" max="15624" width="10.42578125" style="208" bestFit="1" customWidth="1"/>
    <col min="15625" max="15625" width="4.5703125" style="208" customWidth="1"/>
    <col min="15626" max="15626" width="1.85546875" style="208" customWidth="1"/>
    <col min="15627" max="15627" width="7" style="208" bestFit="1" customWidth="1"/>
    <col min="15628" max="15628" width="6.28515625" style="208" customWidth="1"/>
    <col min="15629" max="15629" width="20.42578125" style="208" customWidth="1"/>
    <col min="15630" max="15630" width="6.42578125" style="208" bestFit="1" customWidth="1"/>
    <col min="15631" max="15632" width="8.42578125" style="208"/>
    <col min="15633" max="15633" width="3.28515625" style="208" customWidth="1"/>
    <col min="15634" max="15872" width="8.42578125" style="208"/>
    <col min="15873" max="15873" width="10" style="208" bestFit="1" customWidth="1"/>
    <col min="15874" max="15874" width="44.28515625" style="208" bestFit="1" customWidth="1"/>
    <col min="15875" max="15875" width="10.42578125" style="208" bestFit="1" customWidth="1"/>
    <col min="15876" max="15876" width="10.42578125" style="208" customWidth="1"/>
    <col min="15877" max="15877" width="9.7109375" style="208" bestFit="1" customWidth="1"/>
    <col min="15878" max="15879" width="9.5703125" style="208" bestFit="1" customWidth="1"/>
    <col min="15880" max="15880" width="10.42578125" style="208" bestFit="1" customWidth="1"/>
    <col min="15881" max="15881" width="4.5703125" style="208" customWidth="1"/>
    <col min="15882" max="15882" width="1.85546875" style="208" customWidth="1"/>
    <col min="15883" max="15883" width="7" style="208" bestFit="1" customWidth="1"/>
    <col min="15884" max="15884" width="6.28515625" style="208" customWidth="1"/>
    <col min="15885" max="15885" width="20.42578125" style="208" customWidth="1"/>
    <col min="15886" max="15886" width="6.42578125" style="208" bestFit="1" customWidth="1"/>
    <col min="15887" max="15888" width="8.42578125" style="208"/>
    <col min="15889" max="15889" width="3.28515625" style="208" customWidth="1"/>
    <col min="15890" max="16128" width="8.42578125" style="208"/>
    <col min="16129" max="16129" width="10" style="208" bestFit="1" customWidth="1"/>
    <col min="16130" max="16130" width="44.28515625" style="208" bestFit="1" customWidth="1"/>
    <col min="16131" max="16131" width="10.42578125" style="208" bestFit="1" customWidth="1"/>
    <col min="16132" max="16132" width="10.42578125" style="208" customWidth="1"/>
    <col min="16133" max="16133" width="9.7109375" style="208" bestFit="1" customWidth="1"/>
    <col min="16134" max="16135" width="9.5703125" style="208" bestFit="1" customWidth="1"/>
    <col min="16136" max="16136" width="10.42578125" style="208" bestFit="1" customWidth="1"/>
    <col min="16137" max="16137" width="4.5703125" style="208" customWidth="1"/>
    <col min="16138" max="16138" width="1.85546875" style="208" customWidth="1"/>
    <col min="16139" max="16139" width="7" style="208" bestFit="1" customWidth="1"/>
    <col min="16140" max="16140" width="6.28515625" style="208" customWidth="1"/>
    <col min="16141" max="16141" width="20.42578125" style="208" customWidth="1"/>
    <col min="16142" max="16142" width="6.42578125" style="208" bestFit="1" customWidth="1"/>
    <col min="16143" max="16144" width="8.42578125" style="208"/>
    <col min="16145" max="16145" width="3.28515625" style="208" customWidth="1"/>
    <col min="16146" max="16384" width="8.42578125" style="208"/>
  </cols>
  <sheetData>
    <row r="1" spans="1:15" ht="27.75" customHeight="1" x14ac:dyDescent="0.2">
      <c r="A1" s="203"/>
      <c r="B1" s="203"/>
      <c r="C1" s="203"/>
      <c r="D1" s="203"/>
      <c r="E1" s="204" t="s">
        <v>172</v>
      </c>
      <c r="F1" s="205" t="s">
        <v>173</v>
      </c>
      <c r="G1" s="205" t="s">
        <v>174</v>
      </c>
      <c r="H1" s="205" t="s">
        <v>175</v>
      </c>
      <c r="I1" s="206"/>
    </row>
    <row r="2" spans="1:15" ht="30.75" customHeight="1" x14ac:dyDescent="0.2">
      <c r="A2" s="203"/>
      <c r="B2" s="203"/>
      <c r="C2" s="203"/>
      <c r="D2" s="203"/>
      <c r="E2" s="209">
        <f>IFERROR(O63,"")</f>
        <v>5901.5793468277152</v>
      </c>
      <c r="F2" s="209">
        <f>IFERROR(H54,"")</f>
        <v>4340.7684519311033</v>
      </c>
      <c r="G2" s="209">
        <f>IFERROR(H55,"")</f>
        <v>509.85020353930338</v>
      </c>
      <c r="H2" s="209">
        <f>IFERROR(H57,"")</f>
        <v>573.92888818803397</v>
      </c>
      <c r="I2" s="210"/>
    </row>
    <row r="3" spans="1:15" ht="15" customHeight="1" x14ac:dyDescent="0.2">
      <c r="A3" s="203"/>
      <c r="B3" s="203"/>
      <c r="C3" s="203"/>
      <c r="D3" s="203"/>
      <c r="E3" s="203"/>
      <c r="F3" s="211"/>
      <c r="G3" s="211"/>
      <c r="H3" s="211"/>
      <c r="I3" s="211"/>
    </row>
    <row r="4" spans="1:15" ht="24.75" customHeight="1" thickBot="1" x14ac:dyDescent="0.25">
      <c r="A4" s="728"/>
      <c r="B4" s="728"/>
      <c r="C4" s="728"/>
      <c r="D4" s="728"/>
      <c r="E4" s="728"/>
      <c r="F4" s="728"/>
      <c r="G4" s="728"/>
      <c r="H4" s="728"/>
      <c r="I4" s="212"/>
    </row>
    <row r="5" spans="1:15" ht="19.5" customHeight="1" thickBot="1" x14ac:dyDescent="0.25">
      <c r="A5" s="729" t="s">
        <v>176</v>
      </c>
      <c r="B5" s="730"/>
      <c r="C5" s="730"/>
      <c r="D5" s="730"/>
      <c r="E5" s="730"/>
      <c r="F5" s="730"/>
      <c r="G5" s="730"/>
      <c r="H5" s="731"/>
      <c r="I5" s="213"/>
    </row>
    <row r="6" spans="1:15" ht="19.5" thickBot="1" x14ac:dyDescent="0.25">
      <c r="A6" s="213"/>
      <c r="B6" s="213"/>
      <c r="C6" s="213"/>
      <c r="D6" s="213"/>
      <c r="E6" s="213"/>
      <c r="F6" s="732" t="s">
        <v>177</v>
      </c>
      <c r="G6" s="732"/>
      <c r="H6" s="214">
        <f ca="1">TODAY()</f>
        <v>45831</v>
      </c>
      <c r="I6" s="214"/>
    </row>
    <row r="7" spans="1:15" ht="26.25" thickBot="1" x14ac:dyDescent="0.25">
      <c r="A7" s="215" t="s">
        <v>178</v>
      </c>
      <c r="B7" s="216" t="s">
        <v>179</v>
      </c>
      <c r="C7" s="216" t="s">
        <v>178</v>
      </c>
      <c r="D7" s="217" t="s">
        <v>180</v>
      </c>
      <c r="E7" s="217" t="s">
        <v>181</v>
      </c>
      <c r="F7" s="217" t="s">
        <v>182</v>
      </c>
      <c r="G7" s="217" t="s">
        <v>183</v>
      </c>
      <c r="H7" s="218" t="s">
        <v>184</v>
      </c>
      <c r="I7" s="219"/>
    </row>
    <row r="8" spans="1:15" ht="13.5" x14ac:dyDescent="0.25">
      <c r="A8" s="220">
        <v>50</v>
      </c>
      <c r="B8" s="208" t="s">
        <v>137</v>
      </c>
      <c r="C8" s="221">
        <f>+A8</f>
        <v>50</v>
      </c>
      <c r="D8" s="222" t="s">
        <v>231</v>
      </c>
      <c r="E8" s="222">
        <v>2.27</v>
      </c>
      <c r="F8" s="222">
        <f>IFERROR(C8*E8,"")</f>
        <v>113.5</v>
      </c>
      <c r="G8" s="223">
        <f t="shared" ref="G8:G14" si="0">IFERROR(F8/$F$67,"")</f>
        <v>2.1324829857420336E-2</v>
      </c>
      <c r="H8" s="224" t="s">
        <v>232</v>
      </c>
      <c r="I8" s="224"/>
      <c r="J8" s="225"/>
      <c r="M8" s="208">
        <v>156</v>
      </c>
      <c r="N8" s="208">
        <v>60</v>
      </c>
      <c r="O8" s="208">
        <f>+M8-N8</f>
        <v>96</v>
      </c>
    </row>
    <row r="9" spans="1:15" ht="13.5" x14ac:dyDescent="0.25">
      <c r="A9" s="220">
        <v>35</v>
      </c>
      <c r="B9" s="208" t="s">
        <v>106</v>
      </c>
      <c r="C9" s="221">
        <f t="shared" ref="C9:C14" si="1">+A9</f>
        <v>35</v>
      </c>
      <c r="D9" s="222" t="s">
        <v>231</v>
      </c>
      <c r="E9" s="222">
        <v>8.4700000000000006</v>
      </c>
      <c r="F9" s="222">
        <f t="shared" ref="F9:F14" si="2">IFERROR(C9*E9,"")</f>
        <v>296.45000000000005</v>
      </c>
      <c r="G9" s="223">
        <f t="shared" si="0"/>
        <v>5.5698200980019909E-2</v>
      </c>
      <c r="H9" s="224" t="s">
        <v>105</v>
      </c>
      <c r="I9" s="224"/>
      <c r="J9" s="225"/>
      <c r="M9" s="208">
        <v>750</v>
      </c>
      <c r="N9" s="208">
        <v>500</v>
      </c>
    </row>
    <row r="10" spans="1:15" ht="13.5" x14ac:dyDescent="0.25">
      <c r="A10" s="220">
        <v>10</v>
      </c>
      <c r="B10" s="208" t="s">
        <v>365</v>
      </c>
      <c r="C10" s="221">
        <f t="shared" si="1"/>
        <v>10</v>
      </c>
      <c r="D10" s="222" t="s">
        <v>231</v>
      </c>
      <c r="E10" s="222">
        <v>2.56</v>
      </c>
      <c r="F10" s="222">
        <f t="shared" si="2"/>
        <v>25.6</v>
      </c>
      <c r="G10" s="223">
        <f t="shared" si="0"/>
        <v>4.80982946563842E-3</v>
      </c>
      <c r="H10" s="224"/>
      <c r="I10" s="224"/>
      <c r="J10" s="225"/>
    </row>
    <row r="11" spans="1:15" ht="13.5" hidden="1" x14ac:dyDescent="0.25">
      <c r="A11" s="220"/>
      <c r="B11" s="208" t="str">
        <f>IFERROR(VLOOKUP(H11,'[1]Consolidado MP Planta'!$A$2:$M$823,3,0),"")</f>
        <v/>
      </c>
      <c r="C11" s="221">
        <f t="shared" si="1"/>
        <v>0</v>
      </c>
      <c r="D11" s="222" t="str">
        <f>IFERROR(VLOOKUP(H11,'[1]Consolidado MP Planta'!$A$2:$M$823,13,0),"")</f>
        <v/>
      </c>
      <c r="E11" s="222" t="str">
        <f>IFERROR(VLOOKUP(H11,'[1]Consolidado MP Planta'!$A$2:$M$823,12,0),"")</f>
        <v/>
      </c>
      <c r="F11" s="222" t="str">
        <f t="shared" si="2"/>
        <v/>
      </c>
      <c r="G11" s="223" t="str">
        <f t="shared" si="0"/>
        <v/>
      </c>
      <c r="H11" s="224"/>
      <c r="I11" s="224"/>
      <c r="J11" s="225"/>
    </row>
    <row r="12" spans="1:15" ht="13.5" hidden="1" x14ac:dyDescent="0.25">
      <c r="A12" s="220"/>
      <c r="B12" s="208" t="str">
        <f>IFERROR(VLOOKUP(H12,'[1]Consolidado MP Planta'!$A$2:$M$823,3,0),"")</f>
        <v/>
      </c>
      <c r="C12" s="221">
        <f t="shared" si="1"/>
        <v>0</v>
      </c>
      <c r="D12" s="222" t="str">
        <f>IFERROR(VLOOKUP(H12,'[1]Consolidado MP Planta'!$A$2:$M$823,13,0),"")</f>
        <v/>
      </c>
      <c r="E12" s="222" t="str">
        <f>IFERROR(VLOOKUP(H12,'[1]Consolidado MP Planta'!$A$2:$M$823,12,0),"")</f>
        <v/>
      </c>
      <c r="F12" s="222" t="str">
        <f t="shared" si="2"/>
        <v/>
      </c>
      <c r="G12" s="223" t="str">
        <f t="shared" si="0"/>
        <v/>
      </c>
      <c r="H12" s="224"/>
      <c r="I12" s="224"/>
      <c r="J12" s="225"/>
    </row>
    <row r="13" spans="1:15" ht="13.5" hidden="1" x14ac:dyDescent="0.25">
      <c r="A13" s="220"/>
      <c r="B13" s="208" t="str">
        <f>IFERROR(VLOOKUP(H13,'[1]Consolidado MP Planta'!$A$2:$M$823,3,0),"")</f>
        <v/>
      </c>
      <c r="C13" s="221">
        <f t="shared" si="1"/>
        <v>0</v>
      </c>
      <c r="D13" s="222" t="str">
        <f>IFERROR(VLOOKUP(H13,'[1]Consolidado MP Planta'!$A$2:$M$823,13,0),"")</f>
        <v/>
      </c>
      <c r="E13" s="222" t="str">
        <f>IFERROR(VLOOKUP(H13,'[1]Consolidado MP Planta'!$A$2:$M$823,12,0),"")</f>
        <v/>
      </c>
      <c r="F13" s="222" t="str">
        <f t="shared" si="2"/>
        <v/>
      </c>
      <c r="G13" s="223" t="str">
        <f t="shared" si="0"/>
        <v/>
      </c>
      <c r="H13" s="224"/>
      <c r="I13" s="224"/>
      <c r="J13" s="225"/>
    </row>
    <row r="14" spans="1:15" ht="13.5" hidden="1" x14ac:dyDescent="0.25">
      <c r="A14" s="220"/>
      <c r="B14" s="208" t="str">
        <f>IFERROR(VLOOKUP(H14,'[1]Consolidado MP Planta'!$A$2:$M$823,3,0),"")</f>
        <v/>
      </c>
      <c r="C14" s="221">
        <f t="shared" si="1"/>
        <v>0</v>
      </c>
      <c r="D14" s="222" t="str">
        <f>IFERROR(VLOOKUP(H14,'[1]Consolidado MP Planta'!$A$2:$M$823,13,0),"")</f>
        <v/>
      </c>
      <c r="E14" s="222" t="str">
        <f>IFERROR(VLOOKUP(H14,'[1]Consolidado MP Planta'!$A$2:$M$823,12,0),"")</f>
        <v/>
      </c>
      <c r="F14" s="222" t="str">
        <f t="shared" si="2"/>
        <v/>
      </c>
      <c r="G14" s="223" t="str">
        <f t="shared" si="0"/>
        <v/>
      </c>
      <c r="H14" s="224"/>
      <c r="I14" s="224"/>
      <c r="J14" s="225"/>
    </row>
    <row r="15" spans="1:15" ht="14.25" thickBot="1" x14ac:dyDescent="0.3">
      <c r="A15" s="220"/>
      <c r="B15" s="208" t="str">
        <f>IFERROR(VLOOKUP(H15,'[2]ARTICULOS MP PLANTA'!$A$2:$G$589,2,0),"")</f>
        <v/>
      </c>
      <c r="C15" s="221"/>
      <c r="D15" s="222"/>
      <c r="E15" s="222"/>
      <c r="F15" s="222"/>
      <c r="G15" s="223"/>
      <c r="H15" s="224"/>
      <c r="I15" s="224"/>
      <c r="J15" s="225"/>
    </row>
    <row r="16" spans="1:15" ht="26.25" thickBot="1" x14ac:dyDescent="0.25">
      <c r="A16" s="215" t="s">
        <v>178</v>
      </c>
      <c r="B16" s="216" t="s">
        <v>185</v>
      </c>
      <c r="C16" s="216" t="s">
        <v>178</v>
      </c>
      <c r="D16" s="217" t="s">
        <v>180</v>
      </c>
      <c r="E16" s="217" t="s">
        <v>181</v>
      </c>
      <c r="F16" s="217" t="s">
        <v>182</v>
      </c>
      <c r="G16" s="217" t="s">
        <v>183</v>
      </c>
      <c r="H16" s="218" t="s">
        <v>184</v>
      </c>
      <c r="I16" s="219"/>
      <c r="J16" s="225"/>
      <c r="O16" s="208">
        <f>96+250</f>
        <v>346</v>
      </c>
    </row>
    <row r="17" spans="1:12" ht="13.5" x14ac:dyDescent="0.25">
      <c r="A17" s="220">
        <v>200</v>
      </c>
      <c r="B17" s="208" t="str">
        <f>IFERROR(VLOOKUP(H17,[1]SEMIELABORADOS!$A$2:$M$6000,2,0),"")</f>
        <v>BASE GALLETA P/CHEESE CAKE (KILO)</v>
      </c>
      <c r="C17" s="221">
        <f>+A17</f>
        <v>200</v>
      </c>
      <c r="D17" s="221" t="str">
        <f>IFERROR(VLOOKUP(H17,[1]SEMIELABORADOS!$A$2:$M$6000,6,0),"")</f>
        <v>Gramo</v>
      </c>
      <c r="E17" s="222">
        <v>2.5</v>
      </c>
      <c r="F17" s="222">
        <f>IFERROR(E17*C17,"")</f>
        <v>500</v>
      </c>
      <c r="G17" s="223">
        <f t="shared" ref="G17:G24" si="3">IFERROR(F17/$F$67,"")</f>
        <v>9.3941981750750372E-2</v>
      </c>
      <c r="H17" s="224" t="s">
        <v>29</v>
      </c>
      <c r="I17" s="224"/>
      <c r="J17" s="225"/>
    </row>
    <row r="18" spans="1:12" ht="13.5" x14ac:dyDescent="0.25">
      <c r="A18" s="220">
        <v>280</v>
      </c>
      <c r="B18" s="208" t="s">
        <v>67</v>
      </c>
      <c r="C18" s="221">
        <f t="shared" ref="C18:C24" si="4">+A18</f>
        <v>280</v>
      </c>
      <c r="D18" s="221" t="s">
        <v>231</v>
      </c>
      <c r="E18" s="222">
        <f>+'Costo Relleno CK Premium'!E75</f>
        <v>2.6380849999999998</v>
      </c>
      <c r="F18" s="222">
        <f t="shared" ref="F18:F24" si="5">IFERROR(E18*C18,"")</f>
        <v>738.66379999999992</v>
      </c>
      <c r="G18" s="223">
        <f t="shared" si="3"/>
        <v>0.13878308243907983</v>
      </c>
      <c r="H18" s="224" t="s">
        <v>230</v>
      </c>
      <c r="I18" s="224"/>
      <c r="J18" s="225"/>
    </row>
    <row r="19" spans="1:12" ht="13.5" x14ac:dyDescent="0.25">
      <c r="A19" s="220">
        <v>700</v>
      </c>
      <c r="B19" s="208" t="s">
        <v>238</v>
      </c>
      <c r="C19" s="221">
        <f>+A19</f>
        <v>700</v>
      </c>
      <c r="D19" s="221" t="s">
        <v>231</v>
      </c>
      <c r="E19" s="222">
        <f>+'Costo relleno CK y Manjar '!E75</f>
        <v>2.5338070919252265</v>
      </c>
      <c r="F19" s="222">
        <f>IFERROR(E19*C19,"")</f>
        <v>1773.6649643476585</v>
      </c>
      <c r="G19" s="223">
        <f t="shared" si="3"/>
        <v>0.3332432034253861</v>
      </c>
      <c r="H19" s="224" t="s">
        <v>230</v>
      </c>
      <c r="I19" s="224"/>
      <c r="J19" s="225"/>
    </row>
    <row r="20" spans="1:12" ht="13.5" x14ac:dyDescent="0.25">
      <c r="A20" s="220">
        <v>180</v>
      </c>
      <c r="B20" s="208" t="s">
        <v>139</v>
      </c>
      <c r="C20" s="221">
        <f>+A20</f>
        <v>180</v>
      </c>
      <c r="D20" s="221" t="s">
        <v>231</v>
      </c>
      <c r="E20" s="222">
        <f>+'Costo Topping caramelo pecana '!E69</f>
        <v>4.9604982643524691</v>
      </c>
      <c r="F20" s="222">
        <f>IFERROR(E20*C20,"")</f>
        <v>892.88968758344447</v>
      </c>
      <c r="G20" s="223">
        <f t="shared" si="3"/>
        <v>0.16775965347279428</v>
      </c>
      <c r="H20" s="224"/>
      <c r="I20" s="224"/>
      <c r="J20" s="225"/>
    </row>
    <row r="21" spans="1:12" ht="13.5" hidden="1" x14ac:dyDescent="0.25">
      <c r="A21" s="220"/>
      <c r="B21" s="208" t="str">
        <f>IFERROR(VLOOKUP(H21,[1]SEMIELABORADOS!$A$2:$M$6000,2,0),"")</f>
        <v/>
      </c>
      <c r="C21" s="221">
        <f>+A21</f>
        <v>0</v>
      </c>
      <c r="D21" s="221" t="str">
        <f>IFERROR(VLOOKUP(H21,[1]SEMIELABORADOS!$A$2:$M$6000,6,0),"")</f>
        <v/>
      </c>
      <c r="E21" s="222" t="str">
        <f>IFERROR(VLOOKUP(H21,[1]SEMIELABORADOS!$A$2:$H$65536,8,0),"")</f>
        <v/>
      </c>
      <c r="F21" s="222" t="str">
        <f>IFERROR(E21*C21,"")</f>
        <v/>
      </c>
      <c r="G21" s="223" t="str">
        <f t="shared" si="3"/>
        <v/>
      </c>
      <c r="H21" s="224"/>
      <c r="I21" s="224"/>
      <c r="J21" s="225"/>
    </row>
    <row r="22" spans="1:12" ht="13.5" hidden="1" x14ac:dyDescent="0.25">
      <c r="A22" s="220"/>
      <c r="B22" s="208" t="str">
        <f>IFERROR(VLOOKUP(H22,[1]SEMIELABORADOS!$A$2:$M$6000,2,0),"")</f>
        <v/>
      </c>
      <c r="C22" s="221">
        <f t="shared" si="4"/>
        <v>0</v>
      </c>
      <c r="D22" s="221" t="str">
        <f>IFERROR(VLOOKUP(H22,[1]SEMIELABORADOS!$A$2:$M$6000,6,0),"")</f>
        <v/>
      </c>
      <c r="E22" s="222" t="str">
        <f>IFERROR(VLOOKUP(H22,[1]SEMIELABORADOS!$A$2:$H$65536,8,0),"")</f>
        <v/>
      </c>
      <c r="F22" s="222" t="str">
        <f t="shared" si="5"/>
        <v/>
      </c>
      <c r="G22" s="223" t="str">
        <f t="shared" si="3"/>
        <v/>
      </c>
      <c r="H22" s="224"/>
      <c r="I22" s="224"/>
      <c r="J22" s="225"/>
    </row>
    <row r="23" spans="1:12" ht="13.5" hidden="1" x14ac:dyDescent="0.25">
      <c r="A23" s="220"/>
      <c r="B23" s="208" t="str">
        <f>IFERROR(VLOOKUP(H23,[1]SEMIELABORADOS!$A$2:$M$6000,2,0),"")</f>
        <v/>
      </c>
      <c r="C23" s="221">
        <f t="shared" si="4"/>
        <v>0</v>
      </c>
      <c r="D23" s="221" t="str">
        <f>IFERROR(VLOOKUP(H23,[1]SEMIELABORADOS!$A$2:$M$6000,6,0),"")</f>
        <v/>
      </c>
      <c r="E23" s="222" t="str">
        <f>IFERROR(VLOOKUP(H23,[1]SEMIELABORADOS!$A$2:$H$65536,8,0),"")</f>
        <v/>
      </c>
      <c r="F23" s="222" t="str">
        <f t="shared" si="5"/>
        <v/>
      </c>
      <c r="G23" s="223" t="str">
        <f t="shared" si="3"/>
        <v/>
      </c>
      <c r="H23" s="224"/>
      <c r="I23" s="224"/>
      <c r="J23" s="225"/>
    </row>
    <row r="24" spans="1:12" ht="13.5" hidden="1" x14ac:dyDescent="0.25">
      <c r="A24" s="220"/>
      <c r="B24" s="208" t="str">
        <f>IFERROR(VLOOKUP(H24,[1]SEMIELABORADOS!$A$2:$M$6000,2,0),"")</f>
        <v/>
      </c>
      <c r="C24" s="221">
        <f t="shared" si="4"/>
        <v>0</v>
      </c>
      <c r="D24" s="221" t="str">
        <f>IFERROR(VLOOKUP(H24,[1]SEMIELABORADOS!$A$2:$M$6000,6,0),"")</f>
        <v/>
      </c>
      <c r="E24" s="222" t="str">
        <f>IFERROR(VLOOKUP(H24,[1]SEMIELABORADOS!$A$2:$H$65536,8,0),"")</f>
        <v/>
      </c>
      <c r="F24" s="222" t="str">
        <f t="shared" si="5"/>
        <v/>
      </c>
      <c r="G24" s="223" t="str">
        <f t="shared" si="3"/>
        <v/>
      </c>
      <c r="H24" s="224"/>
      <c r="I24" s="224"/>
      <c r="J24" s="225"/>
    </row>
    <row r="25" spans="1:12" ht="14.25" thickBot="1" x14ac:dyDescent="0.3">
      <c r="A25" s="220"/>
      <c r="C25" s="221"/>
      <c r="D25" s="221"/>
      <c r="E25" s="222"/>
      <c r="F25" s="222"/>
      <c r="G25" s="223"/>
      <c r="H25" s="224"/>
      <c r="I25" s="224"/>
      <c r="J25" s="225"/>
    </row>
    <row r="26" spans="1:12" ht="26.25" thickBot="1" x14ac:dyDescent="0.25">
      <c r="A26" s="215" t="s">
        <v>178</v>
      </c>
      <c r="B26" s="216" t="s">
        <v>24</v>
      </c>
      <c r="C26" s="216" t="s">
        <v>178</v>
      </c>
      <c r="D26" s="217" t="s">
        <v>180</v>
      </c>
      <c r="E26" s="217" t="s">
        <v>181</v>
      </c>
      <c r="F26" s="217" t="s">
        <v>182</v>
      </c>
      <c r="G26" s="217" t="s">
        <v>183</v>
      </c>
      <c r="H26" s="218" t="s">
        <v>184</v>
      </c>
      <c r="I26" s="219"/>
    </row>
    <row r="27" spans="1:12" ht="13.5" x14ac:dyDescent="0.25">
      <c r="A27" s="220">
        <v>1</v>
      </c>
      <c r="B27" s="226" t="str">
        <f>IFERROR(VLOOKUP(H27,'[1]Consolidado MP Planta'!$A$2:$M$823,3,0),"")</f>
        <v>ORLA #9  DORADA (UND)</v>
      </c>
      <c r="C27" s="221">
        <f t="shared" ref="C27:C33" si="6">+A27</f>
        <v>1</v>
      </c>
      <c r="D27" s="222" t="str">
        <f>IFERROR(VLOOKUP(H27,'[1]Consolidado MP Planta'!$A$2:$M$823,13,0),"")</f>
        <v>Und</v>
      </c>
      <c r="E27" s="222">
        <v>111</v>
      </c>
      <c r="F27" s="222">
        <f t="shared" ref="F27:F33" si="7">IFERROR(C27*E27,"")</f>
        <v>111</v>
      </c>
      <c r="G27" s="223">
        <f t="shared" ref="G27:G33" si="8">IFERROR(F27/$F$67,"")</f>
        <v>2.0855119948666585E-2</v>
      </c>
      <c r="H27" s="227" t="s">
        <v>233</v>
      </c>
      <c r="I27" s="227"/>
      <c r="J27" s="225"/>
      <c r="K27" s="727"/>
      <c r="L27" s="727"/>
    </row>
    <row r="28" spans="1:12" ht="13.5" x14ac:dyDescent="0.25">
      <c r="A28" s="220">
        <v>1</v>
      </c>
      <c r="B28" s="226" t="str">
        <f>IFERROR(VLOOKUP(H28,'[1]Consolidado MP Planta'!$A$2:$M$823,3,0),"")</f>
        <v>QUEQUERA RED C/BASE ALTA 9" (CAJA:100 U)</v>
      </c>
      <c r="C28" s="221">
        <f t="shared" si="6"/>
        <v>1</v>
      </c>
      <c r="D28" s="222" t="str">
        <f>IFERROR(VLOOKUP(H28,'[1]Consolidado MP Planta'!$A$2:$M$823,13,0),"")</f>
        <v>Und</v>
      </c>
      <c r="E28" s="222">
        <v>340.21</v>
      </c>
      <c r="F28" s="222">
        <f t="shared" si="7"/>
        <v>340.21</v>
      </c>
      <c r="G28" s="223">
        <f t="shared" si="8"/>
        <v>6.3920003222845564E-2</v>
      </c>
      <c r="H28" s="227" t="s">
        <v>234</v>
      </c>
      <c r="I28" s="227"/>
      <c r="J28" s="225"/>
      <c r="K28" s="727"/>
      <c r="L28" s="727"/>
    </row>
    <row r="29" spans="1:12" ht="13.5" x14ac:dyDescent="0.25">
      <c r="A29" s="220">
        <v>1</v>
      </c>
      <c r="B29" s="226" t="str">
        <f>IFERROR(VLOOKUP(H29,'[1]Consolidado MP Planta'!$A$2:$M$823,3,0),"")</f>
        <v>ETIQUETA BLANCA 2 5/8X1 15/16 (UND)</v>
      </c>
      <c r="C29" s="221">
        <f t="shared" si="6"/>
        <v>1</v>
      </c>
      <c r="D29" s="222" t="str">
        <f>IFERROR(VLOOKUP(H29,'[1]Consolidado MP Planta'!$A$2:$M$823,13,0),"")</f>
        <v>Und</v>
      </c>
      <c r="E29" s="222">
        <v>2.13</v>
      </c>
      <c r="F29" s="222">
        <f t="shared" si="7"/>
        <v>2.13</v>
      </c>
      <c r="G29" s="223">
        <f t="shared" si="8"/>
        <v>4.0019284225819657E-4</v>
      </c>
      <c r="H29" s="227" t="s">
        <v>227</v>
      </c>
      <c r="I29" s="227"/>
      <c r="J29" s="225"/>
      <c r="K29" s="727"/>
      <c r="L29" s="727"/>
    </row>
    <row r="30" spans="1:12" ht="13.5" x14ac:dyDescent="0.25">
      <c r="A30" s="220">
        <v>1</v>
      </c>
      <c r="B30" s="226" t="str">
        <f>IFERROR(VLOOKUP(H30,'[1]Consolidado MP Planta'!$A$2:$M$823,3,0),"")</f>
        <v>ETIQUETA BLANCA R-153 (UND)</v>
      </c>
      <c r="C30" s="221">
        <f t="shared" si="6"/>
        <v>1</v>
      </c>
      <c r="D30" s="222" t="str">
        <f>IFERROR(VLOOKUP(H30,'[1]Consolidado MP Planta'!$A$2:$M$823,13,0),"")</f>
        <v>Und</v>
      </c>
      <c r="E30" s="222">
        <v>0.39</v>
      </c>
      <c r="F30" s="222">
        <f t="shared" si="7"/>
        <v>0.39</v>
      </c>
      <c r="G30" s="223">
        <f t="shared" si="8"/>
        <v>7.3274745765585303E-5</v>
      </c>
      <c r="H30" s="227" t="s">
        <v>235</v>
      </c>
      <c r="I30" s="227"/>
      <c r="J30" s="225"/>
      <c r="K30" s="727"/>
      <c r="L30" s="727"/>
    </row>
    <row r="31" spans="1:12" ht="13.5" x14ac:dyDescent="0.25">
      <c r="A31" s="220">
        <v>1</v>
      </c>
      <c r="B31" s="226" t="str">
        <f>IFERROR(VLOOKUP(H31,'[1]Consolidado MP Planta'!$A$2:$M$823,3,0),"")</f>
        <v>ETIQ.FECHA VENCIMIENTO BLANCO (ROLLO)</v>
      </c>
      <c r="C31" s="221">
        <f t="shared" si="6"/>
        <v>1</v>
      </c>
      <c r="D31" s="222" t="str">
        <f>IFERROR(VLOOKUP(H31,'[1]Consolidado MP Planta'!$A$2:$M$823,13,0),"")</f>
        <v>Gramos</v>
      </c>
      <c r="E31" s="222">
        <v>0.33</v>
      </c>
      <c r="F31" s="222">
        <f t="shared" si="7"/>
        <v>0.33</v>
      </c>
      <c r="G31" s="223">
        <f t="shared" si="8"/>
        <v>6.2001707955495257E-5</v>
      </c>
      <c r="H31" s="227" t="s">
        <v>236</v>
      </c>
      <c r="I31" s="227"/>
      <c r="J31" s="225"/>
      <c r="K31" s="228"/>
      <c r="L31" s="229"/>
    </row>
    <row r="32" spans="1:12" ht="13.5" x14ac:dyDescent="0.25">
      <c r="A32" s="220">
        <v>1</v>
      </c>
      <c r="B32" s="226" t="str">
        <f>IFERROR(VLOOKUP(H32,'[1]Consolidado MP Planta'!$A$2:$M$823,3,0),"")</f>
        <v>ETIQUETA IMPRES SPOON GRANDE V-272 (UND)</v>
      </c>
      <c r="C32" s="221">
        <f t="shared" si="6"/>
        <v>1</v>
      </c>
      <c r="D32" s="222" t="str">
        <f>IFERROR(VLOOKUP(H32,'[1]Consolidado MP Planta'!$A$2:$M$823,13,0),"")</f>
        <v>Und</v>
      </c>
      <c r="E32" s="222">
        <v>52.31</v>
      </c>
      <c r="F32" s="222">
        <f t="shared" si="7"/>
        <v>52.31</v>
      </c>
      <c r="G32" s="223">
        <f t="shared" si="8"/>
        <v>9.8282101307635046E-3</v>
      </c>
      <c r="H32" s="227" t="s">
        <v>237</v>
      </c>
      <c r="I32" s="227"/>
      <c r="J32" s="225"/>
      <c r="K32" s="228"/>
      <c r="L32" s="229"/>
    </row>
    <row r="33" spans="1:13" ht="13.5" x14ac:dyDescent="0.25">
      <c r="A33" s="220">
        <v>1</v>
      </c>
      <c r="B33" s="226" t="str">
        <f>IFERROR(VLOOKUP(H33,'[1]Consolidado MP Planta'!$A$2:$M$823,3,0),"")</f>
        <v>ETIQ.BLANCA 1 1/4 * 3/4 (UND)</v>
      </c>
      <c r="C33" s="221">
        <f t="shared" si="6"/>
        <v>1</v>
      </c>
      <c r="D33" s="222" t="str">
        <f>IFERROR(VLOOKUP(H33,'[1]Consolidado MP Planta'!$A$2:$M$823,13,0),"")</f>
        <v>Und</v>
      </c>
      <c r="E33" s="222">
        <v>0.57999999999999996</v>
      </c>
      <c r="F33" s="222">
        <f t="shared" si="7"/>
        <v>0.57999999999999996</v>
      </c>
      <c r="G33" s="223">
        <f t="shared" si="8"/>
        <v>1.0897269883087044E-4</v>
      </c>
      <c r="H33" s="227" t="s">
        <v>116</v>
      </c>
      <c r="I33" s="227"/>
      <c r="J33" s="225"/>
    </row>
    <row r="34" spans="1:13" ht="14.25" thickBot="1" x14ac:dyDescent="0.3">
      <c r="A34" s="220"/>
      <c r="B34" s="226"/>
      <c r="C34" s="221"/>
      <c r="D34" s="222"/>
      <c r="E34" s="222"/>
      <c r="F34" s="222"/>
      <c r="G34" s="223"/>
      <c r="H34" s="227"/>
      <c r="I34" s="227"/>
      <c r="J34" s="225"/>
    </row>
    <row r="35" spans="1:13" ht="26.25" thickBot="1" x14ac:dyDescent="0.25">
      <c r="A35" s="215" t="s">
        <v>178</v>
      </c>
      <c r="B35" s="216" t="s">
        <v>186</v>
      </c>
      <c r="C35" s="216" t="s">
        <v>178</v>
      </c>
      <c r="D35" s="217" t="s">
        <v>180</v>
      </c>
      <c r="E35" s="217" t="s">
        <v>181</v>
      </c>
      <c r="F35" s="217" t="s">
        <v>182</v>
      </c>
      <c r="G35" s="217" t="s">
        <v>183</v>
      </c>
      <c r="H35" s="218" t="s">
        <v>184</v>
      </c>
      <c r="I35" s="227"/>
      <c r="J35" s="225"/>
    </row>
    <row r="36" spans="1:13" ht="13.5" x14ac:dyDescent="0.25">
      <c r="A36" s="220">
        <f t="shared" ref="A36:A42" si="9">+A17</f>
        <v>200</v>
      </c>
      <c r="B36" s="226" t="str">
        <f>IFERROR(VLOOKUP(H36,[1]SEMIELABORADOS!$A$2:$M$6000,2,0),"")</f>
        <v>BASE GALLETA P/CHEESE CAKE (KILO)</v>
      </c>
      <c r="C36" s="221">
        <f>+A36</f>
        <v>200</v>
      </c>
      <c r="D36" s="222" t="str">
        <f>IFERROR(VLOOKUP(H36,[1]SEMIELABORADOS!$A$2:$M$6000,6,0),"")</f>
        <v>Gramo</v>
      </c>
      <c r="E36" s="222">
        <f>IFERROR(VLOOKUP(H36,[1]SEMIELABORADOS!$A$2:$M$65536,10,0),"")</f>
        <v>1.6634562011900926E-3</v>
      </c>
      <c r="F36" s="222">
        <f>IFERROR(E36*C36,"")</f>
        <v>0.33269124023801849</v>
      </c>
      <c r="G36" s="223">
        <f t="shared" ref="G36:G42" si="10">IFERROR(F36/$F$67,"")</f>
        <v>6.2507348838148881E-5</v>
      </c>
      <c r="H36" s="227" t="s">
        <v>29</v>
      </c>
      <c r="I36" s="227"/>
      <c r="J36" s="225"/>
    </row>
    <row r="37" spans="1:13" ht="13.5" x14ac:dyDescent="0.25">
      <c r="A37" s="220">
        <f t="shared" si="9"/>
        <v>280</v>
      </c>
      <c r="B37" s="226" t="s">
        <v>67</v>
      </c>
      <c r="C37" s="221">
        <f t="shared" ref="C37:C42" si="11">+A37</f>
        <v>280</v>
      </c>
      <c r="D37" s="222" t="s">
        <v>231</v>
      </c>
      <c r="E37" s="222">
        <f>+'Costo relleno pie pecanas'!E82</f>
        <v>5.3176000000000005E-3</v>
      </c>
      <c r="F37" s="222">
        <f t="shared" ref="F37:F42" si="12">IFERROR(E37*C37,"")</f>
        <v>1.488928</v>
      </c>
      <c r="G37" s="223">
        <f t="shared" si="10"/>
        <v>2.7974569400836252E-4</v>
      </c>
      <c r="H37" s="227" t="s">
        <v>230</v>
      </c>
      <c r="I37" s="227"/>
      <c r="J37" s="225"/>
    </row>
    <row r="38" spans="1:13" ht="13.5" x14ac:dyDescent="0.25">
      <c r="A38" s="220">
        <f t="shared" si="9"/>
        <v>700</v>
      </c>
      <c r="B38" s="208" t="s">
        <v>238</v>
      </c>
      <c r="C38" s="221">
        <f t="shared" si="11"/>
        <v>700</v>
      </c>
      <c r="D38" s="222" t="s">
        <v>231</v>
      </c>
      <c r="E38" s="222">
        <f>+'Costo Relleno CK Premium'!E82</f>
        <v>5.7999999999999994E-5</v>
      </c>
      <c r="F38" s="222">
        <f t="shared" si="12"/>
        <v>4.0599999999999997E-2</v>
      </c>
      <c r="G38" s="223">
        <f t="shared" si="10"/>
        <v>7.62808891816093E-6</v>
      </c>
      <c r="H38" s="227" t="s">
        <v>230</v>
      </c>
      <c r="I38" s="227"/>
      <c r="J38" s="225"/>
    </row>
    <row r="39" spans="1:13" ht="13.5" x14ac:dyDescent="0.25">
      <c r="A39" s="220">
        <f t="shared" si="9"/>
        <v>180</v>
      </c>
      <c r="B39" s="226" t="s">
        <v>139</v>
      </c>
      <c r="C39" s="221">
        <f>+A39</f>
        <v>180</v>
      </c>
      <c r="D39" s="222" t="s">
        <v>231</v>
      </c>
      <c r="E39" s="222">
        <f>+'Costo Topping caramelo pecana '!E76</f>
        <v>5.7665794392523367E-3</v>
      </c>
      <c r="F39" s="222">
        <f>IFERROR(E39*C39,"")</f>
        <v>1.0379842990654207</v>
      </c>
      <c r="G39" s="223">
        <f t="shared" si="10"/>
        <v>1.9502060416073835E-4</v>
      </c>
      <c r="H39" s="227"/>
      <c r="I39" s="227"/>
      <c r="J39" s="225"/>
    </row>
    <row r="40" spans="1:13" ht="13.5" hidden="1" x14ac:dyDescent="0.25">
      <c r="A40" s="220">
        <f t="shared" si="9"/>
        <v>0</v>
      </c>
      <c r="B40" s="226" t="str">
        <f>IFERROR(VLOOKUP(H40,[1]SEMIELABORADOS!$A$2:$M$6000,2,0),"")</f>
        <v/>
      </c>
      <c r="C40" s="221">
        <f>+A40</f>
        <v>0</v>
      </c>
      <c r="D40" s="222" t="str">
        <f>IFERROR(VLOOKUP(H40,[1]SEMIELABORADOS!$A$2:$M$6000,6,0),"")</f>
        <v/>
      </c>
      <c r="E40" s="222" t="str">
        <f>IFERROR(VLOOKUP(H40,[1]SEMIELABORADOS!$A$2:$M$65536,10,0),"")</f>
        <v/>
      </c>
      <c r="F40" s="222" t="str">
        <f>IFERROR(E40*C40,"")</f>
        <v/>
      </c>
      <c r="G40" s="223" t="str">
        <f t="shared" si="10"/>
        <v/>
      </c>
      <c r="H40" s="227"/>
      <c r="I40" s="227"/>
      <c r="J40" s="225"/>
    </row>
    <row r="41" spans="1:13" ht="13.5" hidden="1" x14ac:dyDescent="0.25">
      <c r="A41" s="220">
        <f t="shared" si="9"/>
        <v>0</v>
      </c>
      <c r="B41" s="226" t="str">
        <f>IFERROR(VLOOKUP(H41,[1]SEMIELABORADOS!$A$2:$M$6000,2,0),"")</f>
        <v/>
      </c>
      <c r="C41" s="221">
        <f t="shared" si="11"/>
        <v>0</v>
      </c>
      <c r="D41" s="222" t="str">
        <f>IFERROR(VLOOKUP(H41,[1]SEMIELABORADOS!$A$2:$M$6000,6,0),"")</f>
        <v/>
      </c>
      <c r="E41" s="222" t="str">
        <f>IFERROR(VLOOKUP(H41,[1]SEMIELABORADOS!$A$2:$M$65536,10,0),"")</f>
        <v/>
      </c>
      <c r="F41" s="222" t="str">
        <f t="shared" si="12"/>
        <v/>
      </c>
      <c r="G41" s="223" t="str">
        <f t="shared" si="10"/>
        <v/>
      </c>
      <c r="H41" s="227"/>
      <c r="I41" s="227"/>
      <c r="J41" s="225"/>
    </row>
    <row r="42" spans="1:13" ht="13.5" hidden="1" x14ac:dyDescent="0.25">
      <c r="A42" s="220">
        <f t="shared" si="9"/>
        <v>0</v>
      </c>
      <c r="B42" s="226" t="str">
        <f>IFERROR(VLOOKUP(H42,[1]SEMIELABORADOS!$A$2:$M$6000,2,0),"")</f>
        <v/>
      </c>
      <c r="C42" s="221">
        <f t="shared" si="11"/>
        <v>0</v>
      </c>
      <c r="D42" s="222" t="str">
        <f>IFERROR(VLOOKUP(H42,[1]SEMIELABORADOS!$A$2:$M$6000,6,0),"")</f>
        <v/>
      </c>
      <c r="E42" s="222" t="str">
        <f>IFERROR(VLOOKUP(H42,[1]SEMIELABORADOS!$A$2:$M$65536,10,0),"")</f>
        <v/>
      </c>
      <c r="F42" s="222" t="str">
        <f t="shared" si="12"/>
        <v/>
      </c>
      <c r="G42" s="223" t="str">
        <f t="shared" si="10"/>
        <v/>
      </c>
      <c r="H42" s="227"/>
      <c r="I42" s="227"/>
      <c r="J42" s="225"/>
    </row>
    <row r="43" spans="1:13" ht="14.25" thickBot="1" x14ac:dyDescent="0.3">
      <c r="A43" s="220"/>
      <c r="B43" s="226"/>
      <c r="C43" s="221"/>
      <c r="D43" s="222"/>
      <c r="E43" s="222"/>
      <c r="F43" s="222"/>
      <c r="G43" s="223"/>
      <c r="H43" s="227"/>
      <c r="I43" s="227"/>
      <c r="J43" s="225"/>
    </row>
    <row r="44" spans="1:13" ht="26.25" thickBot="1" x14ac:dyDescent="0.25">
      <c r="A44" s="215" t="s">
        <v>178</v>
      </c>
      <c r="B44" s="216" t="s">
        <v>187</v>
      </c>
      <c r="C44" s="216" t="s">
        <v>178</v>
      </c>
      <c r="D44" s="217" t="s">
        <v>180</v>
      </c>
      <c r="E44" s="217" t="s">
        <v>181</v>
      </c>
      <c r="F44" s="217" t="s">
        <v>182</v>
      </c>
      <c r="G44" s="217" t="s">
        <v>183</v>
      </c>
      <c r="H44" s="218" t="s">
        <v>184</v>
      </c>
      <c r="I44" s="219"/>
      <c r="J44" s="225"/>
    </row>
    <row r="45" spans="1:13" ht="13.5" x14ac:dyDescent="0.25">
      <c r="A45" s="220">
        <f>+A36</f>
        <v>200</v>
      </c>
      <c r="B45" s="226" t="str">
        <f>IFERROR(VLOOKUP(H45,[1]SEMIELABORADOS!$A$2:$M$6000,2,0),"")</f>
        <v>BASE GALLETA P/CHEESE CAKE (KILO)</v>
      </c>
      <c r="C45" s="221">
        <f>+A45</f>
        <v>200</v>
      </c>
      <c r="D45" s="222" t="str">
        <f>IFERROR(VLOOKUP(H45,[1]SEMIELABORADOS!$A$2:$M$6000,6,0),"")</f>
        <v>Gramo</v>
      </c>
      <c r="E45" s="222">
        <f>IFERROR(VLOOKUP(H45,[1]SEMIELABORADOS!$A$2:$M$65536,12,0),"")</f>
        <v>0.46147166924457594</v>
      </c>
      <c r="F45" s="222">
        <f>IFERROR(E45*C45,"")</f>
        <v>92.294333848915187</v>
      </c>
      <c r="G45" s="223">
        <f>IFERROR(F45/$F$67,"")</f>
        <v>1.7340625252264905E-2</v>
      </c>
      <c r="H45" s="227" t="s">
        <v>29</v>
      </c>
      <c r="I45" s="219"/>
      <c r="J45" s="225"/>
    </row>
    <row r="46" spans="1:13" ht="13.5" x14ac:dyDescent="0.25">
      <c r="A46" s="220">
        <f t="shared" ref="A46:A51" si="13">+A37</f>
        <v>280</v>
      </c>
      <c r="B46" s="226" t="s">
        <v>67</v>
      </c>
      <c r="C46" s="221">
        <f t="shared" ref="C46:C51" si="14">+A46</f>
        <v>280</v>
      </c>
      <c r="D46" s="222" t="s">
        <v>231</v>
      </c>
      <c r="E46" s="222">
        <f>+'Costo relleno pie pecanas'!E80</f>
        <v>9.5210000000000003E-2</v>
      </c>
      <c r="F46" s="222">
        <f t="shared" ref="F46:F51" si="15">IFERROR(E46*C46,"")</f>
        <v>26.658799999999999</v>
      </c>
      <c r="G46" s="223">
        <f t="shared" ref="G46:G51" si="16">IFERROR(F46/$F$67,"")</f>
        <v>5.0087610061938081E-3</v>
      </c>
      <c r="H46" s="227" t="s">
        <v>230</v>
      </c>
      <c r="I46" s="219"/>
      <c r="J46" s="225"/>
      <c r="M46" s="230"/>
    </row>
    <row r="47" spans="1:13" ht="13.5" x14ac:dyDescent="0.25">
      <c r="A47" s="220">
        <f t="shared" si="13"/>
        <v>700</v>
      </c>
      <c r="B47" s="208" t="s">
        <v>238</v>
      </c>
      <c r="C47" s="221">
        <f t="shared" si="14"/>
        <v>700</v>
      </c>
      <c r="D47" s="222" t="s">
        <v>231</v>
      </c>
      <c r="E47" s="222">
        <f>+'Costo Relleno CK Premium'!E80</f>
        <v>7.6999999999999999E-2</v>
      </c>
      <c r="F47" s="222">
        <f t="shared" si="15"/>
        <v>53.9</v>
      </c>
      <c r="G47" s="223">
        <f t="shared" si="16"/>
        <v>1.012694563273089E-2</v>
      </c>
      <c r="H47" s="227" t="s">
        <v>230</v>
      </c>
      <c r="I47" s="219"/>
      <c r="J47" s="225"/>
    </row>
    <row r="48" spans="1:13" ht="13.5" x14ac:dyDescent="0.25">
      <c r="A48" s="220">
        <f t="shared" si="13"/>
        <v>180</v>
      </c>
      <c r="B48" s="226" t="s">
        <v>139</v>
      </c>
      <c r="C48" s="221">
        <f t="shared" si="14"/>
        <v>180</v>
      </c>
      <c r="D48" s="222" t="s">
        <v>231</v>
      </c>
      <c r="E48" s="222">
        <f>+'Costo Topping caramelo pecana '!E74</f>
        <v>8.9309746328437925E-2</v>
      </c>
      <c r="F48" s="222">
        <f t="shared" si="15"/>
        <v>16.075754339118827</v>
      </c>
      <c r="G48" s="223">
        <f t="shared" si="16"/>
        <v>3.0203764415100941E-3</v>
      </c>
      <c r="H48" s="227"/>
      <c r="I48" s="219"/>
      <c r="J48" s="225"/>
    </row>
    <row r="49" spans="1:17" ht="13.5" hidden="1" x14ac:dyDescent="0.25">
      <c r="A49" s="220">
        <f t="shared" si="13"/>
        <v>0</v>
      </c>
      <c r="B49" s="226" t="str">
        <f>IFERROR(VLOOKUP(H49,[1]SEMIELABORADOS!$A$2:$M$6000,2,0),"")</f>
        <v/>
      </c>
      <c r="C49" s="221">
        <f t="shared" si="14"/>
        <v>0</v>
      </c>
      <c r="D49" s="222" t="str">
        <f>IFERROR(VLOOKUP(H49,[1]SEMIELABORADOS!$A$2:$M$6000,6,0),"")</f>
        <v/>
      </c>
      <c r="E49" s="222" t="str">
        <f>IFERROR(VLOOKUP(H49,[1]SEMIELABORADOS!$A$2:$M$65536,12,0),"")</f>
        <v/>
      </c>
      <c r="F49" s="222" t="str">
        <f t="shared" si="15"/>
        <v/>
      </c>
      <c r="G49" s="223" t="str">
        <f t="shared" si="16"/>
        <v/>
      </c>
      <c r="H49" s="227"/>
      <c r="I49" s="219"/>
      <c r="J49" s="225"/>
    </row>
    <row r="50" spans="1:17" ht="13.5" hidden="1" x14ac:dyDescent="0.25">
      <c r="A50" s="220">
        <f t="shared" si="13"/>
        <v>0</v>
      </c>
      <c r="B50" s="226" t="str">
        <f>IFERROR(VLOOKUP(H50,[1]SEMIELABORADOS!$A$2:$M$6000,2,0),"")</f>
        <v/>
      </c>
      <c r="C50" s="221">
        <f t="shared" si="14"/>
        <v>0</v>
      </c>
      <c r="D50" s="222" t="str">
        <f>IFERROR(VLOOKUP(H50,[1]SEMIELABORADOS!$A$2:$M$6000,6,0),"")</f>
        <v/>
      </c>
      <c r="E50" s="222" t="str">
        <f>IFERROR(VLOOKUP(H50,[1]SEMIELABORADOS!$A$2:$M$65536,12,0),"")</f>
        <v/>
      </c>
      <c r="F50" s="222" t="str">
        <f t="shared" si="15"/>
        <v/>
      </c>
      <c r="G50" s="223" t="str">
        <f t="shared" si="16"/>
        <v/>
      </c>
      <c r="H50" s="227"/>
      <c r="I50" s="219"/>
      <c r="J50" s="225"/>
    </row>
    <row r="51" spans="1:17" ht="13.5" hidden="1" x14ac:dyDescent="0.25">
      <c r="A51" s="220">
        <f t="shared" si="13"/>
        <v>0</v>
      </c>
      <c r="B51" s="226" t="str">
        <f>IFERROR(VLOOKUP(H51,[1]SEMIELABORADOS!$A$2:$M$6000,2,0),"")</f>
        <v/>
      </c>
      <c r="C51" s="221">
        <f t="shared" si="14"/>
        <v>0</v>
      </c>
      <c r="D51" s="222" t="str">
        <f>IFERROR(VLOOKUP(H51,[1]SEMIELABORADOS!$A$2:$M$6000,6,0),"")</f>
        <v/>
      </c>
      <c r="E51" s="222" t="str">
        <f>IFERROR(VLOOKUP(H51,[1]SEMIELABORADOS!$A$2:$M$65536,12,0),"")</f>
        <v/>
      </c>
      <c r="F51" s="222" t="str">
        <f t="shared" si="15"/>
        <v/>
      </c>
      <c r="G51" s="223" t="str">
        <f t="shared" si="16"/>
        <v/>
      </c>
      <c r="H51" s="226"/>
      <c r="I51" s="219"/>
      <c r="J51" s="225"/>
    </row>
    <row r="52" spans="1:17" ht="13.5" x14ac:dyDescent="0.25">
      <c r="A52" s="220">
        <v>1</v>
      </c>
      <c r="B52" s="226" t="s">
        <v>188</v>
      </c>
      <c r="C52" s="221">
        <f>+A52</f>
        <v>1</v>
      </c>
      <c r="D52" s="221" t="s">
        <v>189</v>
      </c>
      <c r="E52" s="222">
        <f>+F66</f>
        <v>385</v>
      </c>
      <c r="F52" s="222">
        <f>IFERROR(C52*E52,"")</f>
        <v>385</v>
      </c>
      <c r="G52" s="223">
        <f>IFERROR(F52/$F$67,"")</f>
        <v>7.2335325948077789E-2</v>
      </c>
      <c r="H52" s="231"/>
      <c r="I52" s="231"/>
      <c r="J52" s="225"/>
    </row>
    <row r="53" spans="1:17" ht="14.25" thickBot="1" x14ac:dyDescent="0.3">
      <c r="A53" s="220"/>
      <c r="B53" s="226"/>
      <c r="C53" s="221"/>
      <c r="D53" s="221"/>
      <c r="E53" s="222"/>
      <c r="F53" s="222"/>
      <c r="G53" s="223"/>
      <c r="H53" s="231"/>
      <c r="I53" s="231"/>
      <c r="J53" s="225"/>
    </row>
    <row r="54" spans="1:17" ht="13.5" thickBot="1" x14ac:dyDescent="0.25">
      <c r="A54" s="232"/>
      <c r="B54" s="737" t="s">
        <v>190</v>
      </c>
      <c r="C54" s="737"/>
      <c r="D54" s="737"/>
      <c r="E54" s="737"/>
      <c r="F54" s="234">
        <f>SUM(F8:F14,F17:F24)</f>
        <v>4340.7684519311033</v>
      </c>
      <c r="G54" s="223">
        <f>+F54/$F$67</f>
        <v>0.81556078139108934</v>
      </c>
      <c r="H54" s="235">
        <f>+F54/$D$61</f>
        <v>4340.7684519311033</v>
      </c>
      <c r="I54" s="235"/>
      <c r="J54" s="236"/>
      <c r="K54" s="237"/>
      <c r="L54" s="237"/>
      <c r="M54" s="237"/>
      <c r="N54" s="237"/>
      <c r="O54" s="237"/>
      <c r="P54" s="237"/>
      <c r="Q54" s="238"/>
    </row>
    <row r="55" spans="1:17" x14ac:dyDescent="0.2">
      <c r="A55" s="232"/>
      <c r="B55" s="737" t="s">
        <v>191</v>
      </c>
      <c r="C55" s="737"/>
      <c r="D55" s="737"/>
      <c r="E55" s="737"/>
      <c r="F55" s="234">
        <f>SUM(F27:F33,F36:F42)</f>
        <v>509.85020353930338</v>
      </c>
      <c r="G55" s="223">
        <f>+F55/$F$67</f>
        <v>9.5792677033011212E-2</v>
      </c>
      <c r="H55" s="235">
        <f>+F55/$D$61</f>
        <v>509.85020353930338</v>
      </c>
      <c r="I55" s="235"/>
      <c r="J55" s="239"/>
      <c r="K55" s="738" t="s">
        <v>192</v>
      </c>
      <c r="L55" s="739"/>
      <c r="M55" s="739"/>
      <c r="N55" s="739"/>
      <c r="O55" s="240">
        <f>+F56</f>
        <v>4850.6186554704063</v>
      </c>
      <c r="P55" s="240"/>
      <c r="Q55" s="241"/>
    </row>
    <row r="56" spans="1:17" x14ac:dyDescent="0.2">
      <c r="A56" s="232"/>
      <c r="B56" s="737" t="s">
        <v>193</v>
      </c>
      <c r="C56" s="737"/>
      <c r="D56" s="737"/>
      <c r="E56" s="737"/>
      <c r="F56" s="234">
        <f>+F54+F55</f>
        <v>4850.6186554704063</v>
      </c>
      <c r="G56" s="223">
        <f>+F56/$F$67</f>
        <v>0.91135345842410054</v>
      </c>
      <c r="H56" s="235">
        <f>+F56/$D$61</f>
        <v>4850.6186554704063</v>
      </c>
      <c r="I56" s="235"/>
      <c r="J56" s="242"/>
      <c r="K56" s="243"/>
      <c r="M56" s="244" t="s">
        <v>194</v>
      </c>
      <c r="N56" s="245"/>
      <c r="O56" s="240">
        <f>+H57</f>
        <v>573.92888818803397</v>
      </c>
      <c r="P56" s="240"/>
      <c r="Q56" s="241"/>
    </row>
    <row r="57" spans="1:17" ht="13.5" thickBot="1" x14ac:dyDescent="0.25">
      <c r="A57" s="232"/>
      <c r="B57" s="233"/>
      <c r="C57" s="737" t="s">
        <v>195</v>
      </c>
      <c r="D57" s="737"/>
      <c r="E57" s="737"/>
      <c r="F57" s="234">
        <f>SUM(F45:F52)</f>
        <v>573.92888818803397</v>
      </c>
      <c r="G57" s="223">
        <f>+F57/$F$67</f>
        <v>0.10783203428077748</v>
      </c>
      <c r="H57" s="235">
        <f>+F57/$D$61</f>
        <v>573.92888818803397</v>
      </c>
      <c r="I57" s="235"/>
      <c r="J57" s="242"/>
      <c r="K57" s="243"/>
      <c r="L57" s="243"/>
      <c r="M57" s="243" t="s">
        <v>196</v>
      </c>
      <c r="N57" s="246"/>
      <c r="O57" s="240">
        <f>O55*N57</f>
        <v>0</v>
      </c>
      <c r="P57" s="240"/>
      <c r="Q57" s="241"/>
    </row>
    <row r="58" spans="1:17" ht="13.5" thickBot="1" x14ac:dyDescent="0.25">
      <c r="A58" s="232"/>
      <c r="B58" s="247"/>
      <c r="C58" s="247"/>
      <c r="D58" s="247"/>
      <c r="E58" s="247"/>
      <c r="F58" s="248"/>
      <c r="G58" s="223"/>
      <c r="H58" s="249"/>
      <c r="I58" s="235"/>
      <c r="J58" s="242"/>
      <c r="K58" s="250"/>
      <c r="M58" s="251" t="s">
        <v>197</v>
      </c>
      <c r="N58" s="252"/>
      <c r="O58" s="253">
        <f>SUM(O55:O57)</f>
        <v>5424.5475436584402</v>
      </c>
      <c r="P58" s="254"/>
      <c r="Q58" s="241"/>
    </row>
    <row r="59" spans="1:17" x14ac:dyDescent="0.2">
      <c r="B59" s="740" t="s">
        <v>198</v>
      </c>
      <c r="C59" s="740"/>
      <c r="D59" s="255">
        <v>1417</v>
      </c>
      <c r="E59" s="256"/>
      <c r="G59" s="223"/>
      <c r="H59" s="249">
        <f>+H57/77</f>
        <v>7.453621924519922</v>
      </c>
      <c r="I59" s="257"/>
      <c r="J59" s="242"/>
      <c r="K59" s="250"/>
      <c r="L59" s="243"/>
      <c r="M59" s="243" t="s">
        <v>199</v>
      </c>
      <c r="N59" s="258"/>
      <c r="O59" s="240">
        <f>+H60</f>
        <v>477.03180316927501</v>
      </c>
      <c r="P59" s="240"/>
      <c r="Q59" s="241"/>
    </row>
    <row r="60" spans="1:17" x14ac:dyDescent="0.2">
      <c r="B60" s="740" t="s">
        <v>200</v>
      </c>
      <c r="C60" s="740"/>
      <c r="D60" s="259">
        <v>1417</v>
      </c>
      <c r="E60" s="256"/>
      <c r="G60" s="223"/>
      <c r="H60" s="249">
        <f>+H59*64</f>
        <v>477.03180316927501</v>
      </c>
      <c r="I60" s="257"/>
      <c r="J60" s="242"/>
      <c r="K60" s="250"/>
      <c r="L60" s="243"/>
      <c r="M60" s="741" t="s">
        <v>197</v>
      </c>
      <c r="N60" s="741"/>
      <c r="O60" s="240">
        <f>SUM(O58:O59)</f>
        <v>5901.5793468277152</v>
      </c>
      <c r="P60" s="240"/>
      <c r="Q60" s="241"/>
    </row>
    <row r="61" spans="1:17" ht="13.5" thickBot="1" x14ac:dyDescent="0.25">
      <c r="B61" s="733" t="s">
        <v>201</v>
      </c>
      <c r="C61" s="733"/>
      <c r="D61" s="255">
        <f>+D59/D60</f>
        <v>1</v>
      </c>
      <c r="E61" s="256"/>
      <c r="F61" s="260"/>
      <c r="G61" s="223"/>
      <c r="H61" s="249"/>
      <c r="I61" s="257"/>
      <c r="J61" s="242"/>
      <c r="K61" s="250"/>
      <c r="L61" s="741"/>
      <c r="M61" s="741"/>
      <c r="N61" s="258"/>
      <c r="O61" s="240">
        <f>+O60*N61</f>
        <v>0</v>
      </c>
      <c r="P61" s="240"/>
      <c r="Q61" s="241"/>
    </row>
    <row r="62" spans="1:17" ht="13.5" thickBot="1" x14ac:dyDescent="0.25">
      <c r="B62" s="733" t="s">
        <v>202</v>
      </c>
      <c r="C62" s="733"/>
      <c r="D62" s="261"/>
      <c r="E62" s="256"/>
      <c r="F62" s="260"/>
      <c r="G62" s="223"/>
      <c r="H62" s="249"/>
      <c r="I62" s="257"/>
      <c r="J62" s="242"/>
      <c r="K62" s="734" t="s">
        <v>203</v>
      </c>
      <c r="L62" s="735"/>
      <c r="M62" s="735"/>
      <c r="N62" s="736"/>
      <c r="O62" s="253">
        <f>SUM(O60:O61)</f>
        <v>5901.5793468277152</v>
      </c>
      <c r="P62" s="262" t="s">
        <v>204</v>
      </c>
      <c r="Q62" s="241"/>
    </row>
    <row r="63" spans="1:17" ht="13.5" thickBot="1" x14ac:dyDescent="0.25">
      <c r="C63" s="232" t="s">
        <v>205</v>
      </c>
      <c r="D63" s="263"/>
      <c r="E63" s="206" t="s">
        <v>206</v>
      </c>
      <c r="F63" s="264" t="s">
        <v>207</v>
      </c>
      <c r="G63" s="223"/>
      <c r="H63" s="249"/>
      <c r="I63" s="257"/>
      <c r="J63" s="265"/>
      <c r="K63" s="266"/>
      <c r="L63" s="747" t="s">
        <v>208</v>
      </c>
      <c r="M63" s="747"/>
      <c r="N63" s="747"/>
      <c r="O63" s="267">
        <f>+O62/D61</f>
        <v>5901.5793468277152</v>
      </c>
      <c r="P63" s="268">
        <f>+O63/D60</f>
        <v>4.1648407528777103</v>
      </c>
      <c r="Q63" s="269"/>
    </row>
    <row r="64" spans="1:17" ht="13.5" thickBot="1" x14ac:dyDescent="0.25">
      <c r="B64" s="748" t="s">
        <v>193</v>
      </c>
      <c r="C64" s="748"/>
      <c r="D64" s="748"/>
      <c r="E64" s="270">
        <f>+F64/F64</f>
        <v>1</v>
      </c>
      <c r="F64" s="271">
        <f>SUM(F56)</f>
        <v>4850.6186554704063</v>
      </c>
      <c r="G64" s="223">
        <f>+F64/$F$67</f>
        <v>0.91135345842410054</v>
      </c>
      <c r="H64" s="249"/>
      <c r="I64" s="257"/>
      <c r="K64" s="749"/>
      <c r="L64" s="750"/>
      <c r="M64" s="750"/>
      <c r="N64" s="750"/>
      <c r="O64" s="272"/>
      <c r="P64" s="273"/>
    </row>
    <row r="65" spans="2:16" ht="13.5" thickBot="1" x14ac:dyDescent="0.25">
      <c r="B65" s="751" t="s">
        <v>209</v>
      </c>
      <c r="C65" s="751"/>
      <c r="D65" s="751"/>
      <c r="E65" s="274">
        <v>0.02</v>
      </c>
      <c r="F65" s="271">
        <f>+F54*E65</f>
        <v>86.815369038622066</v>
      </c>
      <c r="G65" s="223">
        <f>+F65/$F$67</f>
        <v>1.6311215627821788E-2</v>
      </c>
      <c r="H65" s="235"/>
      <c r="I65" s="257"/>
      <c r="J65" s="275"/>
      <c r="N65" s="208">
        <v>1</v>
      </c>
      <c r="O65" s="276">
        <v>6276.05</v>
      </c>
      <c r="P65" s="233"/>
    </row>
    <row r="66" spans="2:16" ht="13.5" thickBot="1" x14ac:dyDescent="0.25">
      <c r="B66" s="752" t="s">
        <v>210</v>
      </c>
      <c r="C66" s="753"/>
      <c r="D66" s="277">
        <v>5</v>
      </c>
      <c r="E66" s="278">
        <v>77</v>
      </c>
      <c r="F66" s="271">
        <f>+E66*D66</f>
        <v>385</v>
      </c>
      <c r="G66" s="223">
        <f>+F66/$F$67</f>
        <v>7.2335325948077789E-2</v>
      </c>
      <c r="H66" s="235"/>
      <c r="I66" s="235"/>
      <c r="J66" s="225"/>
      <c r="N66" s="208">
        <v>2</v>
      </c>
      <c r="O66" s="208">
        <v>5831.47</v>
      </c>
    </row>
    <row r="67" spans="2:16" ht="13.5" thickBot="1" x14ac:dyDescent="0.25">
      <c r="B67" s="754" t="s">
        <v>211</v>
      </c>
      <c r="C67" s="755"/>
      <c r="D67" s="755"/>
      <c r="E67" s="756"/>
      <c r="F67" s="248">
        <f>SUM(F64:F66)</f>
        <v>5322.4340245090279</v>
      </c>
      <c r="G67" s="223">
        <f>+F67/$F$67</f>
        <v>1</v>
      </c>
      <c r="H67" s="757"/>
      <c r="I67" s="235"/>
      <c r="J67" s="225"/>
      <c r="M67" s="208" t="s">
        <v>212</v>
      </c>
      <c r="N67" s="208">
        <v>3</v>
      </c>
      <c r="O67" s="208">
        <v>6321.16</v>
      </c>
    </row>
    <row r="68" spans="2:16" x14ac:dyDescent="0.2">
      <c r="C68" s="230"/>
      <c r="D68" s="230"/>
      <c r="E68" s="280"/>
      <c r="F68" s="271"/>
      <c r="G68" s="223"/>
      <c r="H68" s="757"/>
      <c r="I68" s="279"/>
      <c r="J68" s="208"/>
      <c r="M68" s="208" t="s">
        <v>213</v>
      </c>
    </row>
    <row r="69" spans="2:16" ht="13.5" thickBot="1" x14ac:dyDescent="0.25">
      <c r="B69" s="742" t="s">
        <v>214</v>
      </c>
      <c r="C69" s="742"/>
      <c r="D69" s="742"/>
      <c r="E69" s="742"/>
      <c r="F69" s="742"/>
      <c r="G69" s="223"/>
      <c r="H69" s="282"/>
      <c r="I69" s="279"/>
      <c r="J69" s="208"/>
      <c r="M69" s="208" t="s">
        <v>215</v>
      </c>
      <c r="O69" s="586">
        <f>+O62-250</f>
        <v>5651.5793468277152</v>
      </c>
    </row>
    <row r="70" spans="2:16" ht="13.5" thickBot="1" x14ac:dyDescent="0.25">
      <c r="B70" s="283" t="s">
        <v>216</v>
      </c>
      <c r="C70" s="284">
        <f>+F54</f>
        <v>4340.7684519311033</v>
      </c>
      <c r="D70" s="284">
        <f>+D59</f>
        <v>1417</v>
      </c>
      <c r="E70" s="285">
        <f>+C70/D70</f>
        <v>3.063351059937264</v>
      </c>
      <c r="F70" s="223"/>
      <c r="G70" s="282"/>
      <c r="H70" s="225"/>
      <c r="I70" s="282"/>
      <c r="J70" s="208"/>
    </row>
    <row r="71" spans="2:16" x14ac:dyDescent="0.2">
      <c r="B71" s="286"/>
      <c r="C71" s="287"/>
      <c r="D71" s="288"/>
      <c r="E71" s="271"/>
      <c r="F71" s="223"/>
      <c r="G71" s="282"/>
      <c r="H71" s="225"/>
      <c r="I71" s="225"/>
      <c r="J71" s="208"/>
      <c r="O71" s="208">
        <f>5831-6321</f>
        <v>-490</v>
      </c>
    </row>
    <row r="72" spans="2:16" x14ac:dyDescent="0.2">
      <c r="B72" s="283" t="s">
        <v>217</v>
      </c>
      <c r="C72" s="284">
        <f>SUM(F64:F65)</f>
        <v>4937.4340245090279</v>
      </c>
      <c r="D72" s="284">
        <f>+D59</f>
        <v>1417</v>
      </c>
      <c r="E72" s="289">
        <f>+C72/D72</f>
        <v>3.4844276813754607</v>
      </c>
      <c r="F72" s="223"/>
      <c r="G72" s="282"/>
      <c r="H72" s="225"/>
      <c r="I72" s="225"/>
      <c r="J72" s="208"/>
    </row>
    <row r="73" spans="2:16" x14ac:dyDescent="0.2">
      <c r="B73" s="283"/>
      <c r="C73" s="284"/>
      <c r="D73" s="284"/>
      <c r="E73" s="289"/>
      <c r="F73" s="223"/>
      <c r="G73" s="282"/>
      <c r="H73" s="225"/>
      <c r="I73" s="225"/>
      <c r="J73" s="208"/>
    </row>
    <row r="74" spans="2:16" ht="13.5" thickBot="1" x14ac:dyDescent="0.25">
      <c r="B74" s="283" t="s">
        <v>218</v>
      </c>
      <c r="C74" s="284">
        <f>+F66</f>
        <v>385</v>
      </c>
      <c r="D74" s="284">
        <f>+D59</f>
        <v>1417</v>
      </c>
      <c r="E74" s="289">
        <f>+C74/D74</f>
        <v>0.27170077628793227</v>
      </c>
      <c r="F74" s="223"/>
      <c r="G74" s="282"/>
      <c r="H74" s="225"/>
      <c r="I74" s="225"/>
      <c r="J74" s="208"/>
    </row>
    <row r="75" spans="2:16" ht="13.5" thickBot="1" x14ac:dyDescent="0.25">
      <c r="B75" s="283" t="s">
        <v>219</v>
      </c>
      <c r="C75" s="284">
        <f>+F57</f>
        <v>573.92888818803397</v>
      </c>
      <c r="D75" s="284">
        <f>+D74</f>
        <v>1417</v>
      </c>
      <c r="E75" s="285">
        <f>+C75/D75</f>
        <v>0.40503097260976284</v>
      </c>
      <c r="F75" s="223"/>
      <c r="G75" s="282"/>
      <c r="H75" s="225"/>
      <c r="I75" s="225"/>
      <c r="J75" s="208"/>
    </row>
    <row r="76" spans="2:16" ht="13.5" thickBot="1" x14ac:dyDescent="0.25">
      <c r="B76" s="247"/>
      <c r="C76" s="248"/>
      <c r="D76" s="248"/>
      <c r="E76" s="289"/>
      <c r="F76" s="223"/>
      <c r="G76" s="282"/>
      <c r="H76" s="225"/>
      <c r="I76" s="225"/>
      <c r="J76" s="208"/>
    </row>
    <row r="77" spans="2:16" ht="13.5" thickBot="1" x14ac:dyDescent="0.25">
      <c r="B77" s="283" t="s">
        <v>220</v>
      </c>
      <c r="C77" s="284">
        <f>+F55</f>
        <v>509.85020353930338</v>
      </c>
      <c r="D77" s="284">
        <f>+D75</f>
        <v>1417</v>
      </c>
      <c r="E77" s="285">
        <f>+C77/D77</f>
        <v>0.35980960023945191</v>
      </c>
      <c r="F77" s="223"/>
      <c r="G77" s="282"/>
      <c r="H77" s="225"/>
      <c r="I77" s="225"/>
      <c r="J77" s="225"/>
    </row>
    <row r="78" spans="2:16" ht="13.5" thickBot="1" x14ac:dyDescent="0.25">
      <c r="B78" s="247"/>
      <c r="C78" s="248"/>
      <c r="D78" s="248"/>
      <c r="E78" s="289"/>
      <c r="F78" s="223"/>
      <c r="G78" s="282"/>
      <c r="H78" s="225"/>
      <c r="I78" s="225"/>
    </row>
    <row r="79" spans="2:16" ht="13.5" thickBot="1" x14ac:dyDescent="0.25">
      <c r="B79" s="743" t="s">
        <v>221</v>
      </c>
      <c r="C79" s="744"/>
      <c r="D79" s="745"/>
      <c r="E79" s="285">
        <f>+E70+E75</f>
        <v>3.4683820325470269</v>
      </c>
      <c r="G79" s="223"/>
      <c r="H79" s="282"/>
      <c r="I79" s="225"/>
      <c r="J79" s="289"/>
    </row>
    <row r="80" spans="2:16" x14ac:dyDescent="0.2">
      <c r="I80" s="282"/>
      <c r="J80" s="208"/>
    </row>
    <row r="81" spans="1:10" ht="13.5" thickBot="1" x14ac:dyDescent="0.25">
      <c r="B81" s="742" t="s">
        <v>222</v>
      </c>
      <c r="C81" s="742"/>
      <c r="D81" s="742"/>
      <c r="E81" s="742"/>
      <c r="F81" s="742"/>
      <c r="G81" s="223"/>
      <c r="H81" s="282"/>
      <c r="J81" s="208"/>
    </row>
    <row r="82" spans="1:10" ht="13.5" thickBot="1" x14ac:dyDescent="0.25">
      <c r="B82" s="283" t="s">
        <v>216</v>
      </c>
      <c r="C82" s="284">
        <f>+C70</f>
        <v>4340.7684519311033</v>
      </c>
      <c r="D82" s="284">
        <f>+D61</f>
        <v>1</v>
      </c>
      <c r="E82" s="285">
        <f>+C82/D82</f>
        <v>4340.7684519311033</v>
      </c>
      <c r="F82" s="223"/>
      <c r="G82" s="282"/>
      <c r="H82" s="225"/>
      <c r="I82" s="282"/>
      <c r="J82" s="208"/>
    </row>
    <row r="83" spans="1:10" x14ac:dyDescent="0.2">
      <c r="B83" s="286"/>
      <c r="C83" s="287"/>
      <c r="D83" s="288"/>
      <c r="E83" s="271"/>
      <c r="F83" s="223"/>
      <c r="G83" s="282"/>
      <c r="H83" s="225"/>
      <c r="I83" s="225"/>
      <c r="J83" s="208"/>
    </row>
    <row r="84" spans="1:10" x14ac:dyDescent="0.2">
      <c r="B84" s="283" t="s">
        <v>217</v>
      </c>
      <c r="C84" s="284">
        <f>+C72</f>
        <v>4937.4340245090279</v>
      </c>
      <c r="D84" s="284">
        <f>+D61</f>
        <v>1</v>
      </c>
      <c r="E84" s="289">
        <f>+C84/D84</f>
        <v>4937.4340245090279</v>
      </c>
      <c r="F84" s="223"/>
      <c r="G84" s="282"/>
      <c r="H84" s="225"/>
      <c r="I84" s="225"/>
      <c r="J84" s="208"/>
    </row>
    <row r="85" spans="1:10" x14ac:dyDescent="0.2">
      <c r="B85" s="283"/>
      <c r="C85" s="284"/>
      <c r="D85" s="284"/>
      <c r="E85" s="289"/>
      <c r="F85" s="223"/>
      <c r="G85" s="282"/>
      <c r="H85" s="225"/>
      <c r="I85" s="225"/>
      <c r="J85" s="208"/>
    </row>
    <row r="86" spans="1:10" ht="13.5" thickBot="1" x14ac:dyDescent="0.25">
      <c r="B86" s="283" t="s">
        <v>219</v>
      </c>
      <c r="C86" s="284">
        <f>+C74</f>
        <v>385</v>
      </c>
      <c r="D86" s="284">
        <f>+D61</f>
        <v>1</v>
      </c>
      <c r="E86" s="289">
        <f>+C86/D86</f>
        <v>385</v>
      </c>
      <c r="F86" s="291"/>
      <c r="G86" s="281"/>
      <c r="H86" s="207"/>
      <c r="I86" s="225"/>
    </row>
    <row r="87" spans="1:10" ht="13.5" thickBot="1" x14ac:dyDescent="0.25">
      <c r="B87" s="283" t="s">
        <v>219</v>
      </c>
      <c r="C87" s="284">
        <f>+C75</f>
        <v>573.92888818803397</v>
      </c>
      <c r="D87" s="284">
        <f>+D86</f>
        <v>1</v>
      </c>
      <c r="E87" s="285">
        <f>+C87/D87</f>
        <v>573.92888818803397</v>
      </c>
      <c r="F87" s="290"/>
      <c r="G87" s="281"/>
      <c r="H87" s="207"/>
      <c r="I87" s="207"/>
    </row>
    <row r="88" spans="1:10" x14ac:dyDescent="0.2">
      <c r="I88" s="207"/>
    </row>
    <row r="89" spans="1:10" x14ac:dyDescent="0.2">
      <c r="A89" s="746"/>
      <c r="B89" s="746"/>
      <c r="C89" s="292"/>
      <c r="D89" s="292"/>
      <c r="E89" s="293"/>
      <c r="G89" s="294"/>
    </row>
    <row r="90" spans="1:10" x14ac:dyDescent="0.2">
      <c r="A90" s="226"/>
      <c r="B90" s="295"/>
      <c r="C90" s="296"/>
      <c r="D90" s="296"/>
      <c r="E90" s="297"/>
      <c r="G90" s="294"/>
    </row>
    <row r="91" spans="1:10" x14ac:dyDescent="0.2">
      <c r="A91" s="226"/>
      <c r="B91" s="295"/>
      <c r="C91" s="298"/>
      <c r="D91" s="298"/>
      <c r="E91" s="226"/>
      <c r="G91" s="294"/>
    </row>
    <row r="92" spans="1:10" x14ac:dyDescent="0.2">
      <c r="A92" s="226"/>
      <c r="B92" s="295"/>
      <c r="C92" s="299"/>
      <c r="D92" s="299"/>
      <c r="E92" s="226"/>
      <c r="G92" s="294"/>
    </row>
  </sheetData>
  <mergeCells count="30">
    <mergeCell ref="K30:L30"/>
    <mergeCell ref="B54:E54"/>
    <mergeCell ref="B55:E55"/>
    <mergeCell ref="B59:C59"/>
    <mergeCell ref="B60:C60"/>
    <mergeCell ref="K55:N55"/>
    <mergeCell ref="B56:E56"/>
    <mergeCell ref="C57:E57"/>
    <mergeCell ref="K29:L29"/>
    <mergeCell ref="A4:H4"/>
    <mergeCell ref="A5:H5"/>
    <mergeCell ref="F6:G6"/>
    <mergeCell ref="K27:L27"/>
    <mergeCell ref="K28:L28"/>
    <mergeCell ref="B69:F69"/>
    <mergeCell ref="B79:D79"/>
    <mergeCell ref="B81:F81"/>
    <mergeCell ref="A89:B89"/>
    <mergeCell ref="M60:N60"/>
    <mergeCell ref="L61:M61"/>
    <mergeCell ref="B62:C62"/>
    <mergeCell ref="K62:N62"/>
    <mergeCell ref="L63:N63"/>
    <mergeCell ref="B61:C61"/>
    <mergeCell ref="B64:D64"/>
    <mergeCell ref="K64:N64"/>
    <mergeCell ref="B65:D65"/>
    <mergeCell ref="B66:C66"/>
    <mergeCell ref="B67:E67"/>
    <mergeCell ref="H67:H6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8F30-067B-40CC-BF76-753D72FEFB53}">
  <dimension ref="A1:I53"/>
  <sheetViews>
    <sheetView workbookViewId="0">
      <selection activeCell="B10" sqref="B10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802"/>
      <c r="B1" s="803"/>
      <c r="C1" s="808" t="s">
        <v>49</v>
      </c>
      <c r="D1" s="808"/>
      <c r="E1" s="808"/>
      <c r="F1" s="808"/>
      <c r="G1" s="808"/>
      <c r="H1" s="92" t="s">
        <v>48</v>
      </c>
      <c r="I1" s="150" t="s">
        <v>280</v>
      </c>
    </row>
    <row r="2" spans="1:9" ht="18" customHeight="1" thickBot="1" x14ac:dyDescent="0.3">
      <c r="A2" s="804"/>
      <c r="B2" s="805"/>
      <c r="C2" s="809" t="s">
        <v>47</v>
      </c>
      <c r="D2" s="810"/>
      <c r="E2" s="810"/>
      <c r="F2" s="810"/>
      <c r="G2" s="811"/>
      <c r="H2" s="97" t="s">
        <v>46</v>
      </c>
      <c r="I2" s="152" t="s">
        <v>281</v>
      </c>
    </row>
    <row r="3" spans="1:9" ht="31.5" customHeight="1" thickBot="1" x14ac:dyDescent="0.25">
      <c r="A3" s="804"/>
      <c r="B3" s="805"/>
      <c r="C3" s="812" t="s">
        <v>282</v>
      </c>
      <c r="D3" s="813"/>
      <c r="E3" s="813"/>
      <c r="F3" s="813"/>
      <c r="G3" s="814"/>
      <c r="H3" s="815" t="s">
        <v>45</v>
      </c>
      <c r="I3" s="793">
        <v>45611</v>
      </c>
    </row>
    <row r="4" spans="1:9" ht="18" customHeight="1" x14ac:dyDescent="0.25">
      <c r="A4" s="804"/>
      <c r="B4" s="805"/>
      <c r="C4" s="99" t="s">
        <v>44</v>
      </c>
      <c r="D4" s="796" t="s">
        <v>43</v>
      </c>
      <c r="E4" s="797"/>
      <c r="F4" s="797"/>
      <c r="G4" s="798"/>
      <c r="H4" s="816"/>
      <c r="I4" s="794"/>
    </row>
    <row r="5" spans="1:9" ht="14.25" thickBot="1" x14ac:dyDescent="0.3">
      <c r="A5" s="806"/>
      <c r="B5" s="807"/>
      <c r="C5" s="102" t="s">
        <v>42</v>
      </c>
      <c r="D5" s="799" t="s">
        <v>41</v>
      </c>
      <c r="E5" s="800"/>
      <c r="F5" s="800"/>
      <c r="G5" s="801"/>
      <c r="H5" s="817"/>
      <c r="I5" s="795"/>
    </row>
    <row r="6" spans="1:9" ht="18.75" thickBot="1" x14ac:dyDescent="0.3">
      <c r="A6" s="635" t="s">
        <v>40</v>
      </c>
      <c r="B6" s="635"/>
      <c r="C6" s="635"/>
      <c r="D6" s="636" t="s">
        <v>283</v>
      </c>
      <c r="E6" s="636"/>
      <c r="F6" s="636"/>
      <c r="G6" s="637" t="s">
        <v>39</v>
      </c>
      <c r="H6" s="637"/>
      <c r="I6" s="57" t="s">
        <v>283</v>
      </c>
    </row>
    <row r="7" spans="1:9" ht="25.5" x14ac:dyDescent="0.2">
      <c r="A7" s="818" t="s">
        <v>37</v>
      </c>
      <c r="B7" s="820" t="s">
        <v>284</v>
      </c>
      <c r="C7" s="822" t="s">
        <v>36</v>
      </c>
      <c r="D7" s="822" t="s">
        <v>35</v>
      </c>
      <c r="E7" s="822" t="s">
        <v>34</v>
      </c>
      <c r="F7" s="822"/>
      <c r="G7" s="822" t="s">
        <v>33</v>
      </c>
      <c r="H7" s="822"/>
      <c r="I7" s="104" t="s">
        <v>32</v>
      </c>
    </row>
    <row r="8" spans="1:9" ht="26.25" thickBot="1" x14ac:dyDescent="0.25">
      <c r="A8" s="819"/>
      <c r="B8" s="821"/>
      <c r="C8" s="823"/>
      <c r="D8" s="823"/>
      <c r="E8" s="105" t="s">
        <v>11</v>
      </c>
      <c r="F8" s="106" t="s">
        <v>31</v>
      </c>
      <c r="G8" s="105" t="s">
        <v>11</v>
      </c>
      <c r="H8" s="106" t="s">
        <v>31</v>
      </c>
      <c r="I8" s="107" t="s">
        <v>30</v>
      </c>
    </row>
    <row r="9" spans="1:9" ht="15" x14ac:dyDescent="0.25">
      <c r="A9" s="394"/>
      <c r="B9" s="395"/>
      <c r="C9" s="396" t="s">
        <v>285</v>
      </c>
      <c r="D9" s="397"/>
      <c r="E9" s="398"/>
      <c r="F9" s="399"/>
      <c r="G9" s="398"/>
      <c r="H9" s="399"/>
      <c r="I9" s="400"/>
    </row>
    <row r="10" spans="1:9" ht="18" customHeight="1" x14ac:dyDescent="0.25">
      <c r="A10" s="401" t="s">
        <v>286</v>
      </c>
      <c r="B10" s="88" t="s">
        <v>287</v>
      </c>
      <c r="C10" s="358" t="s">
        <v>288</v>
      </c>
      <c r="D10" s="386" t="s">
        <v>26</v>
      </c>
      <c r="E10" s="198">
        <v>1001</v>
      </c>
      <c r="F10" s="198" t="s">
        <v>2</v>
      </c>
      <c r="G10" s="181"/>
      <c r="H10" s="198"/>
      <c r="I10" s="400"/>
    </row>
    <row r="11" spans="1:9" ht="15" x14ac:dyDescent="0.25">
      <c r="A11" s="402" t="s">
        <v>289</v>
      </c>
      <c r="B11" s="402" t="s">
        <v>290</v>
      </c>
      <c r="C11" s="403" t="s">
        <v>291</v>
      </c>
      <c r="D11" s="116" t="s">
        <v>26</v>
      </c>
      <c r="E11" s="116">
        <v>20</v>
      </c>
      <c r="F11" s="357" t="s">
        <v>2</v>
      </c>
      <c r="G11" s="404"/>
      <c r="H11" s="405"/>
      <c r="I11" s="400"/>
    </row>
    <row r="12" spans="1:9" ht="15" x14ac:dyDescent="0.25">
      <c r="A12" s="88"/>
      <c r="B12" s="88"/>
      <c r="C12" s="406"/>
      <c r="D12" s="407"/>
      <c r="E12" s="183"/>
      <c r="F12" s="183"/>
      <c r="G12" s="404"/>
      <c r="H12" s="405"/>
      <c r="I12" s="400"/>
    </row>
    <row r="13" spans="1:9" ht="15" x14ac:dyDescent="0.25">
      <c r="A13" s="88"/>
      <c r="B13" s="88"/>
      <c r="D13" s="407"/>
      <c r="E13" s="407"/>
      <c r="F13" s="408"/>
      <c r="G13" s="404"/>
      <c r="H13" s="409"/>
      <c r="I13" s="400"/>
    </row>
    <row r="14" spans="1:9" ht="15" x14ac:dyDescent="0.25">
      <c r="A14" s="410"/>
      <c r="B14" s="88"/>
      <c r="C14" s="411"/>
      <c r="D14" s="116"/>
      <c r="E14" s="116"/>
      <c r="F14" s="357"/>
      <c r="G14" s="404"/>
      <c r="H14" s="409"/>
      <c r="I14" s="400"/>
    </row>
    <row r="15" spans="1:9" ht="15" x14ac:dyDescent="0.25">
      <c r="A15" s="412"/>
      <c r="B15" s="88"/>
      <c r="C15" s="406"/>
      <c r="D15" s="116"/>
      <c r="E15" s="116"/>
      <c r="F15" s="357"/>
      <c r="G15" s="404"/>
      <c r="H15" s="409"/>
      <c r="I15" s="400"/>
    </row>
    <row r="16" spans="1:9" ht="15" x14ac:dyDescent="0.25">
      <c r="A16" s="413"/>
      <c r="B16" s="73"/>
      <c r="C16" s="41"/>
      <c r="D16" s="24"/>
      <c r="E16" s="24"/>
      <c r="F16" s="24"/>
      <c r="G16" s="404"/>
      <c r="H16" s="409"/>
      <c r="I16" s="400"/>
    </row>
    <row r="17" spans="1:9" ht="15" x14ac:dyDescent="0.25">
      <c r="A17" s="73"/>
      <c r="B17" s="73"/>
      <c r="C17" s="414"/>
      <c r="D17" s="113"/>
      <c r="E17" s="113"/>
      <c r="F17" s="114"/>
      <c r="G17" s="398"/>
      <c r="H17" s="399"/>
      <c r="I17" s="400"/>
    </row>
    <row r="18" spans="1:9" ht="15.75" x14ac:dyDescent="0.25">
      <c r="A18" s="371"/>
      <c r="B18" s="415"/>
      <c r="C18" s="416" t="s">
        <v>292</v>
      </c>
      <c r="D18" s="112"/>
      <c r="E18" s="417"/>
      <c r="F18" s="114"/>
      <c r="G18" s="398"/>
      <c r="H18" s="399"/>
      <c r="I18" s="400"/>
    </row>
    <row r="19" spans="1:9" ht="15" x14ac:dyDescent="0.25">
      <c r="A19" s="418"/>
      <c r="B19" s="24"/>
      <c r="C19" s="419"/>
      <c r="D19" s="420"/>
      <c r="E19" s="113"/>
      <c r="F19" s="114"/>
      <c r="G19" s="398"/>
      <c r="H19" s="399"/>
      <c r="I19" s="400"/>
    </row>
    <row r="20" spans="1:9" ht="15" x14ac:dyDescent="0.25">
      <c r="A20" s="73"/>
      <c r="B20" s="73"/>
      <c r="C20" s="414"/>
      <c r="D20" s="420"/>
      <c r="E20" s="113"/>
      <c r="F20" s="114"/>
      <c r="G20" s="398"/>
      <c r="H20" s="399"/>
      <c r="I20" s="400"/>
    </row>
    <row r="21" spans="1:9" ht="15" x14ac:dyDescent="0.25">
      <c r="A21" s="421"/>
      <c r="B21" s="421"/>
      <c r="C21" s="419"/>
      <c r="D21" s="420"/>
      <c r="E21" s="113"/>
      <c r="F21" s="114"/>
      <c r="G21" s="398"/>
      <c r="H21" s="399"/>
      <c r="I21" s="400"/>
    </row>
    <row r="22" spans="1:9" ht="15" x14ac:dyDescent="0.25">
      <c r="A22" s="73"/>
      <c r="B22" s="73"/>
      <c r="C22" s="414"/>
      <c r="D22" s="113"/>
      <c r="E22" s="112"/>
      <c r="F22" s="114"/>
      <c r="G22" s="398"/>
      <c r="H22" s="399"/>
      <c r="I22" s="400"/>
    </row>
    <row r="23" spans="1:9" ht="15" x14ac:dyDescent="0.25">
      <c r="A23" s="73"/>
      <c r="B23" s="73"/>
      <c r="C23" s="414"/>
      <c r="D23" s="200"/>
      <c r="E23" s="422"/>
      <c r="F23" s="423"/>
      <c r="G23" s="398"/>
      <c r="H23" s="399"/>
      <c r="I23" s="400"/>
    </row>
    <row r="24" spans="1:9" ht="15.75" x14ac:dyDescent="0.25">
      <c r="A24" s="424"/>
      <c r="B24" s="425"/>
      <c r="C24" s="426" t="s">
        <v>293</v>
      </c>
      <c r="D24" s="427"/>
      <c r="E24" s="428"/>
      <c r="F24" s="399"/>
      <c r="G24" s="398"/>
      <c r="I24" s="400"/>
    </row>
    <row r="25" spans="1:9" ht="15" x14ac:dyDescent="0.25">
      <c r="A25" s="402"/>
      <c r="B25" s="402"/>
      <c r="C25" s="403"/>
      <c r="D25" s="116"/>
      <c r="E25" s="116"/>
      <c r="F25" s="357"/>
      <c r="G25" s="429"/>
      <c r="H25" s="399"/>
      <c r="I25" s="400"/>
    </row>
    <row r="26" spans="1:9" ht="15" x14ac:dyDescent="0.25">
      <c r="A26" s="412"/>
      <c r="B26" s="88"/>
      <c r="C26" s="406"/>
      <c r="D26" s="116"/>
      <c r="E26" s="116"/>
      <c r="F26" s="357"/>
      <c r="G26" s="429"/>
      <c r="H26" s="399"/>
      <c r="I26" s="400"/>
    </row>
    <row r="27" spans="1:9" ht="15" x14ac:dyDescent="0.25">
      <c r="A27" s="160"/>
      <c r="B27" s="160"/>
      <c r="C27" s="161"/>
      <c r="D27" s="116"/>
      <c r="E27" s="166"/>
      <c r="F27" s="198"/>
      <c r="G27" s="429"/>
      <c r="H27" s="399"/>
      <c r="I27" s="400"/>
    </row>
    <row r="28" spans="1:9" ht="15" x14ac:dyDescent="0.25">
      <c r="A28" s="160"/>
      <c r="B28" s="88"/>
      <c r="C28" s="161"/>
      <c r="D28" s="116"/>
      <c r="E28" s="430"/>
      <c r="F28" s="198"/>
      <c r="G28" s="398"/>
      <c r="H28" s="399"/>
      <c r="I28" s="400"/>
    </row>
    <row r="29" spans="1:9" ht="15" x14ac:dyDescent="0.25">
      <c r="A29" s="431"/>
      <c r="B29" s="432"/>
      <c r="C29" s="433"/>
      <c r="D29" s="116"/>
      <c r="E29" s="434"/>
      <c r="F29" s="435"/>
      <c r="G29" s="398"/>
      <c r="H29" s="399"/>
      <c r="I29" s="400"/>
    </row>
    <row r="30" spans="1:9" ht="15" x14ac:dyDescent="0.25">
      <c r="A30" s="436"/>
      <c r="B30" s="372"/>
      <c r="C30" s="373"/>
      <c r="D30" s="116"/>
      <c r="E30" s="113"/>
      <c r="F30" s="114"/>
      <c r="G30" s="437"/>
      <c r="H30" s="112"/>
      <c r="I30" s="400"/>
    </row>
    <row r="31" spans="1:9" ht="15" x14ac:dyDescent="0.25">
      <c r="A31" s="371"/>
      <c r="B31" s="415"/>
      <c r="C31" s="109"/>
      <c r="D31" s="116"/>
      <c r="E31" s="113"/>
      <c r="F31" s="114"/>
      <c r="G31" s="113"/>
      <c r="H31" s="112"/>
      <c r="I31" s="400"/>
    </row>
    <row r="32" spans="1:9" ht="15.75" x14ac:dyDescent="0.25">
      <c r="A32" s="371"/>
      <c r="B32" s="415"/>
      <c r="C32" s="109"/>
      <c r="D32" s="116"/>
      <c r="E32" s="113"/>
      <c r="F32" s="114"/>
      <c r="G32" s="194"/>
      <c r="H32" s="114"/>
      <c r="I32" s="400"/>
    </row>
    <row r="33" spans="1:9" ht="15.75" x14ac:dyDescent="0.25">
      <c r="A33" s="371"/>
      <c r="B33" s="415"/>
      <c r="C33" s="109"/>
      <c r="D33" s="112"/>
      <c r="E33" s="112"/>
      <c r="F33" s="114"/>
      <c r="G33" s="31"/>
      <c r="H33" s="31"/>
      <c r="I33" s="400"/>
    </row>
    <row r="34" spans="1:9" ht="14.25" thickBot="1" x14ac:dyDescent="0.3">
      <c r="A34" s="131"/>
      <c r="B34" s="132"/>
      <c r="C34" s="94"/>
      <c r="D34" s="94"/>
      <c r="E34" s="133"/>
      <c r="F34" s="134"/>
      <c r="G34" s="94"/>
      <c r="H34" s="94"/>
      <c r="I34" s="136"/>
    </row>
    <row r="35" spans="1:9" ht="14.25" thickBot="1" x14ac:dyDescent="0.3">
      <c r="A35" s="138"/>
      <c r="B35" s="139"/>
      <c r="C35" s="140"/>
      <c r="D35" s="141" t="s">
        <v>11</v>
      </c>
      <c r="E35" s="142" t="s">
        <v>10</v>
      </c>
      <c r="F35" s="143"/>
      <c r="G35" s="140"/>
      <c r="H35" s="140"/>
      <c r="I35" s="144"/>
    </row>
    <row r="36" spans="1:9" ht="13.5" x14ac:dyDescent="0.25">
      <c r="A36" s="824" t="s">
        <v>9</v>
      </c>
      <c r="B36" s="825"/>
      <c r="C36" s="826"/>
      <c r="D36" s="181">
        <v>1001</v>
      </c>
      <c r="E36" s="182" t="s">
        <v>2</v>
      </c>
      <c r="F36" s="827" t="s">
        <v>93</v>
      </c>
      <c r="G36" s="827"/>
      <c r="H36" s="828"/>
      <c r="I36" s="829"/>
    </row>
    <row r="37" spans="1:9" ht="13.5" x14ac:dyDescent="0.25">
      <c r="A37" s="830" t="s">
        <v>8</v>
      </c>
      <c r="B37" s="831"/>
      <c r="C37" s="832"/>
      <c r="D37" s="438">
        <v>2</v>
      </c>
      <c r="E37" s="183" t="s">
        <v>7</v>
      </c>
      <c r="F37" s="833" t="s">
        <v>94</v>
      </c>
      <c r="G37" s="833"/>
      <c r="H37" s="834"/>
      <c r="I37" s="835"/>
    </row>
    <row r="38" spans="1:9" ht="13.5" x14ac:dyDescent="0.25">
      <c r="A38" s="830" t="s">
        <v>6</v>
      </c>
      <c r="B38" s="831"/>
      <c r="C38" s="832"/>
      <c r="D38" s="183">
        <v>7</v>
      </c>
      <c r="E38" s="183" t="s">
        <v>294</v>
      </c>
      <c r="F38" s="833" t="s">
        <v>96</v>
      </c>
      <c r="G38" s="833"/>
      <c r="H38" s="834"/>
      <c r="I38" s="835"/>
    </row>
    <row r="39" spans="1:9" ht="13.5" x14ac:dyDescent="0.25">
      <c r="A39" s="830" t="s">
        <v>4</v>
      </c>
      <c r="B39" s="831"/>
      <c r="C39" s="832"/>
      <c r="D39" s="184">
        <v>143</v>
      </c>
      <c r="E39" s="183" t="s">
        <v>2</v>
      </c>
      <c r="F39" s="839" t="s">
        <v>97</v>
      </c>
      <c r="G39" s="840"/>
      <c r="H39" s="834"/>
      <c r="I39" s="835"/>
    </row>
    <row r="40" spans="1:9" ht="14.25" thickBot="1" x14ac:dyDescent="0.3">
      <c r="A40" s="841" t="s">
        <v>3</v>
      </c>
      <c r="B40" s="842"/>
      <c r="C40" s="843"/>
      <c r="D40" s="186">
        <v>0</v>
      </c>
      <c r="E40" s="187" t="s">
        <v>2</v>
      </c>
      <c r="F40" s="844"/>
      <c r="G40" s="844"/>
      <c r="H40" s="845"/>
      <c r="I40" s="846"/>
    </row>
    <row r="41" spans="1:9" ht="13.5" thickBot="1" x14ac:dyDescent="0.25">
      <c r="A41" s="847" t="s">
        <v>1</v>
      </c>
      <c r="B41" s="848"/>
      <c r="C41" s="848"/>
      <c r="D41" s="848"/>
      <c r="E41" s="848"/>
      <c r="F41" s="848"/>
      <c r="G41" s="848"/>
      <c r="H41" s="848"/>
      <c r="I41" s="849"/>
    </row>
    <row r="42" spans="1:9" ht="18.399999999999999" customHeight="1" x14ac:dyDescent="0.25">
      <c r="A42" s="850" t="s">
        <v>295</v>
      </c>
      <c r="B42" s="851"/>
      <c r="C42" s="851"/>
      <c r="D42" s="851"/>
      <c r="E42" s="851"/>
      <c r="F42" s="851"/>
      <c r="G42" s="851"/>
      <c r="H42" s="851"/>
      <c r="I42" s="852"/>
    </row>
    <row r="43" spans="1:9" ht="14.65" customHeight="1" x14ac:dyDescent="0.25">
      <c r="A43" s="836" t="s">
        <v>296</v>
      </c>
      <c r="B43" s="837"/>
      <c r="C43" s="837"/>
      <c r="D43" s="837"/>
      <c r="E43" s="837"/>
      <c r="F43" s="837"/>
      <c r="G43" s="837"/>
      <c r="H43" s="837"/>
      <c r="I43" s="838"/>
    </row>
    <row r="44" spans="1:9" ht="14.65" customHeight="1" x14ac:dyDescent="0.25">
      <c r="A44" s="836" t="s">
        <v>297</v>
      </c>
      <c r="B44" s="837"/>
      <c r="C44" s="837"/>
      <c r="D44" s="837"/>
      <c r="E44" s="837"/>
      <c r="F44" s="837"/>
      <c r="G44" s="837"/>
      <c r="H44" s="837"/>
      <c r="I44" s="838"/>
    </row>
    <row r="45" spans="1:9" ht="14.65" customHeight="1" x14ac:dyDescent="0.25">
      <c r="A45" s="776" t="s">
        <v>298</v>
      </c>
      <c r="B45" s="777"/>
      <c r="C45" s="777"/>
      <c r="D45" s="777"/>
      <c r="E45" s="777"/>
      <c r="F45" s="777"/>
      <c r="G45" s="777"/>
      <c r="H45" s="777"/>
      <c r="I45" s="778"/>
    </row>
    <row r="46" spans="1:9" ht="14.65" customHeight="1" x14ac:dyDescent="0.2">
      <c r="A46" s="860"/>
      <c r="B46" s="861"/>
      <c r="C46" s="861"/>
      <c r="D46" s="861"/>
      <c r="E46" s="861"/>
      <c r="F46" s="861"/>
      <c r="G46" s="861"/>
      <c r="H46" s="861"/>
      <c r="I46" s="862"/>
    </row>
    <row r="47" spans="1:9" ht="15" x14ac:dyDescent="0.25">
      <c r="A47" s="594"/>
      <c r="B47" s="595"/>
      <c r="C47" s="595"/>
      <c r="D47" s="595"/>
      <c r="E47" s="595"/>
      <c r="F47" s="595"/>
      <c r="G47" s="595"/>
      <c r="H47" s="595"/>
      <c r="I47" s="596"/>
    </row>
    <row r="48" spans="1:9" ht="18" customHeight="1" x14ac:dyDescent="0.2">
      <c r="A48" s="860"/>
      <c r="B48" s="861"/>
      <c r="C48" s="861"/>
      <c r="D48" s="861"/>
      <c r="E48" s="861"/>
      <c r="F48" s="861"/>
      <c r="G48" s="861"/>
      <c r="H48" s="861"/>
      <c r="I48" s="862"/>
    </row>
    <row r="49" spans="1:9" ht="13.5" x14ac:dyDescent="0.25">
      <c r="A49" s="863"/>
      <c r="B49" s="864"/>
      <c r="C49" s="864"/>
      <c r="D49" s="864"/>
      <c r="E49" s="864"/>
      <c r="F49" s="864"/>
      <c r="G49" s="864"/>
      <c r="H49" s="864"/>
      <c r="I49" s="865"/>
    </row>
    <row r="50" spans="1:9" ht="14.25" thickBot="1" x14ac:dyDescent="0.3">
      <c r="A50" s="853"/>
      <c r="B50" s="854"/>
      <c r="C50" s="854"/>
      <c r="D50" s="854"/>
      <c r="E50" s="854"/>
      <c r="F50" s="854"/>
      <c r="G50" s="854"/>
      <c r="H50" s="854"/>
      <c r="I50" s="855"/>
    </row>
    <row r="51" spans="1:9" x14ac:dyDescent="0.2">
      <c r="A51" s="856" t="s">
        <v>272</v>
      </c>
      <c r="B51" s="857"/>
      <c r="C51" s="857"/>
      <c r="D51" s="857"/>
      <c r="E51" s="857"/>
      <c r="F51" s="857"/>
      <c r="G51" s="857"/>
      <c r="H51" s="857"/>
      <c r="I51" s="857"/>
    </row>
    <row r="52" spans="1:9" ht="13.5" x14ac:dyDescent="0.25">
      <c r="A52" s="858"/>
      <c r="B52" s="859"/>
      <c r="C52" s="859"/>
      <c r="D52" s="859"/>
      <c r="E52" s="859"/>
      <c r="F52" s="859"/>
      <c r="G52" s="859"/>
      <c r="H52" s="859"/>
      <c r="I52" s="859"/>
    </row>
    <row r="53" spans="1:9" ht="13.5" x14ac:dyDescent="0.25">
      <c r="A53" s="858"/>
      <c r="B53" s="859"/>
      <c r="C53" s="859"/>
      <c r="D53" s="859"/>
      <c r="E53" s="859"/>
      <c r="F53" s="859"/>
      <c r="G53" s="859"/>
      <c r="H53" s="859"/>
      <c r="I53" s="859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1DCBB-A439-4CE1-AF07-2C39FFD10FCD}">
  <dimension ref="A1:I51"/>
  <sheetViews>
    <sheetView workbookViewId="0">
      <selection activeCell="C14" sqref="C14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802"/>
      <c r="B1" s="803"/>
      <c r="C1" s="808" t="s">
        <v>49</v>
      </c>
      <c r="D1" s="808"/>
      <c r="E1" s="808"/>
      <c r="F1" s="808"/>
      <c r="G1" s="808"/>
      <c r="H1" s="92" t="s">
        <v>48</v>
      </c>
      <c r="I1" s="150" t="s">
        <v>299</v>
      </c>
    </row>
    <row r="2" spans="1:9" ht="18" customHeight="1" thickBot="1" x14ac:dyDescent="0.3">
      <c r="A2" s="804"/>
      <c r="B2" s="805"/>
      <c r="C2" s="809" t="s">
        <v>47</v>
      </c>
      <c r="D2" s="810"/>
      <c r="E2" s="810"/>
      <c r="F2" s="810"/>
      <c r="G2" s="811"/>
      <c r="H2" s="97" t="s">
        <v>46</v>
      </c>
      <c r="I2" s="152" t="s">
        <v>281</v>
      </c>
    </row>
    <row r="3" spans="1:9" ht="31.5" customHeight="1" thickBot="1" x14ac:dyDescent="0.25">
      <c r="A3" s="804"/>
      <c r="B3" s="805"/>
      <c r="C3" s="812" t="s">
        <v>300</v>
      </c>
      <c r="D3" s="813"/>
      <c r="E3" s="813"/>
      <c r="F3" s="813"/>
      <c r="G3" s="814"/>
      <c r="H3" s="815" t="s">
        <v>45</v>
      </c>
      <c r="I3" s="793">
        <v>45611</v>
      </c>
    </row>
    <row r="4" spans="1:9" ht="18" customHeight="1" x14ac:dyDescent="0.25">
      <c r="A4" s="804"/>
      <c r="B4" s="805"/>
      <c r="C4" s="99" t="s">
        <v>44</v>
      </c>
      <c r="D4" s="796" t="s">
        <v>43</v>
      </c>
      <c r="E4" s="797"/>
      <c r="F4" s="797"/>
      <c r="G4" s="798"/>
      <c r="H4" s="816"/>
      <c r="I4" s="794"/>
    </row>
    <row r="5" spans="1:9" ht="14.25" thickBot="1" x14ac:dyDescent="0.3">
      <c r="A5" s="806"/>
      <c r="B5" s="807"/>
      <c r="C5" s="102" t="s">
        <v>42</v>
      </c>
      <c r="D5" s="799" t="s">
        <v>41</v>
      </c>
      <c r="E5" s="800"/>
      <c r="F5" s="800"/>
      <c r="G5" s="801"/>
      <c r="H5" s="817"/>
      <c r="I5" s="795"/>
    </row>
    <row r="6" spans="1:9" ht="18.75" thickBot="1" x14ac:dyDescent="0.3">
      <c r="A6" s="635" t="s">
        <v>40</v>
      </c>
      <c r="B6" s="635"/>
      <c r="C6" s="635"/>
      <c r="D6" s="636" t="s">
        <v>283</v>
      </c>
      <c r="E6" s="636"/>
      <c r="F6" s="636"/>
      <c r="G6" s="637" t="s">
        <v>39</v>
      </c>
      <c r="H6" s="637"/>
      <c r="I6" s="57" t="s">
        <v>283</v>
      </c>
    </row>
    <row r="7" spans="1:9" ht="25.5" x14ac:dyDescent="0.2">
      <c r="A7" s="818" t="s">
        <v>37</v>
      </c>
      <c r="B7" s="820" t="s">
        <v>284</v>
      </c>
      <c r="C7" s="822" t="s">
        <v>36</v>
      </c>
      <c r="D7" s="822" t="s">
        <v>35</v>
      </c>
      <c r="E7" s="822" t="s">
        <v>34</v>
      </c>
      <c r="F7" s="822"/>
      <c r="G7" s="822" t="s">
        <v>33</v>
      </c>
      <c r="H7" s="822"/>
      <c r="I7" s="104" t="s">
        <v>32</v>
      </c>
    </row>
    <row r="8" spans="1:9" ht="26.25" thickBot="1" x14ac:dyDescent="0.25">
      <c r="A8" s="819"/>
      <c r="B8" s="821"/>
      <c r="C8" s="823"/>
      <c r="D8" s="823"/>
      <c r="E8" s="105" t="s">
        <v>11</v>
      </c>
      <c r="F8" s="106" t="s">
        <v>31</v>
      </c>
      <c r="G8" s="105" t="s">
        <v>11</v>
      </c>
      <c r="H8" s="106" t="s">
        <v>31</v>
      </c>
      <c r="I8" s="107" t="s">
        <v>30</v>
      </c>
    </row>
    <row r="9" spans="1:9" ht="15" x14ac:dyDescent="0.25">
      <c r="A9" s="394"/>
      <c r="B9" s="395"/>
      <c r="C9" s="396" t="s">
        <v>285</v>
      </c>
      <c r="D9" s="397"/>
      <c r="E9" s="398"/>
      <c r="F9" s="399"/>
      <c r="G9" s="398"/>
      <c r="H9" s="399"/>
      <c r="I9" s="400"/>
    </row>
    <row r="10" spans="1:9" ht="18" customHeight="1" x14ac:dyDescent="0.25">
      <c r="A10" s="88">
        <v>901000014</v>
      </c>
      <c r="B10" s="439" t="s">
        <v>301</v>
      </c>
      <c r="C10" t="s">
        <v>302</v>
      </c>
      <c r="D10" s="440" t="s">
        <v>303</v>
      </c>
      <c r="E10" s="119">
        <v>23524</v>
      </c>
      <c r="F10" s="128" t="s">
        <v>2</v>
      </c>
      <c r="G10" s="181"/>
      <c r="H10" s="198"/>
      <c r="I10" s="400"/>
    </row>
    <row r="11" spans="1:9" ht="15" x14ac:dyDescent="0.25">
      <c r="A11" s="402"/>
      <c r="B11" s="402"/>
      <c r="C11" s="403"/>
      <c r="D11" s="407"/>
      <c r="E11" s="183"/>
      <c r="F11" s="183"/>
      <c r="G11" s="404"/>
      <c r="H11" s="405"/>
      <c r="I11" s="400"/>
    </row>
    <row r="12" spans="1:9" ht="15" x14ac:dyDescent="0.25">
      <c r="A12" s="88"/>
      <c r="B12" s="88"/>
      <c r="C12" s="406"/>
      <c r="D12" s="407"/>
      <c r="E12" s="183"/>
      <c r="F12" s="183"/>
      <c r="G12" s="404"/>
      <c r="H12" s="405"/>
      <c r="I12" s="400"/>
    </row>
    <row r="13" spans="1:9" ht="15" x14ac:dyDescent="0.25">
      <c r="A13" s="88"/>
      <c r="B13" s="88"/>
      <c r="D13" s="407"/>
      <c r="E13" s="407"/>
      <c r="F13" s="408"/>
      <c r="G13" s="404"/>
      <c r="H13" s="409"/>
      <c r="I13" s="400"/>
    </row>
    <row r="14" spans="1:9" ht="15" x14ac:dyDescent="0.25">
      <c r="A14" s="410"/>
      <c r="B14" s="88"/>
      <c r="C14" s="411"/>
      <c r="D14" s="116"/>
      <c r="E14" s="116"/>
      <c r="F14" s="357"/>
      <c r="G14" s="404"/>
      <c r="H14" s="409"/>
      <c r="I14" s="400"/>
    </row>
    <row r="15" spans="1:9" ht="15" x14ac:dyDescent="0.25">
      <c r="A15" s="73"/>
      <c r="B15" s="73"/>
      <c r="C15" s="414"/>
      <c r="D15" s="113"/>
      <c r="E15" s="113"/>
      <c r="F15" s="114"/>
      <c r="G15" s="398"/>
      <c r="H15" s="399"/>
      <c r="I15" s="400"/>
    </row>
    <row r="16" spans="1:9" ht="15.75" x14ac:dyDescent="0.25">
      <c r="A16" s="371"/>
      <c r="B16" s="415"/>
      <c r="C16" s="416" t="s">
        <v>292</v>
      </c>
      <c r="D16" s="112"/>
      <c r="E16" s="417"/>
      <c r="F16" s="114"/>
      <c r="G16" s="398"/>
      <c r="H16" s="399"/>
      <c r="I16" s="400"/>
    </row>
    <row r="17" spans="1:9" ht="15" x14ac:dyDescent="0.25">
      <c r="A17" s="418"/>
      <c r="B17" s="24"/>
      <c r="C17" s="419"/>
      <c r="D17" s="420"/>
      <c r="E17" s="113"/>
      <c r="F17" s="114"/>
      <c r="G17" s="398"/>
      <c r="H17" s="399"/>
      <c r="I17" s="400"/>
    </row>
    <row r="18" spans="1:9" ht="15" x14ac:dyDescent="0.25">
      <c r="A18" s="73"/>
      <c r="B18" s="73"/>
      <c r="C18" s="414"/>
      <c r="D18" s="420"/>
      <c r="E18" s="113"/>
      <c r="F18" s="114"/>
      <c r="G18" s="398"/>
      <c r="H18" s="399"/>
      <c r="I18" s="400"/>
    </row>
    <row r="19" spans="1:9" ht="15" x14ac:dyDescent="0.25">
      <c r="A19" s="421"/>
      <c r="B19" s="421"/>
      <c r="C19" s="419"/>
      <c r="D19" s="420"/>
      <c r="E19" s="113"/>
      <c r="F19" s="114"/>
      <c r="G19" s="398"/>
      <c r="H19" s="399"/>
      <c r="I19" s="400"/>
    </row>
    <row r="20" spans="1:9" ht="15" x14ac:dyDescent="0.25">
      <c r="A20" s="73"/>
      <c r="B20" s="73"/>
      <c r="C20" s="414"/>
      <c r="D20" s="113"/>
      <c r="E20" s="112"/>
      <c r="F20" s="114"/>
      <c r="G20" s="398"/>
      <c r="H20" s="399"/>
      <c r="I20" s="400"/>
    </row>
    <row r="21" spans="1:9" ht="15" x14ac:dyDescent="0.25">
      <c r="A21" s="73"/>
      <c r="B21" s="73"/>
      <c r="C21" s="414"/>
      <c r="D21" s="200"/>
      <c r="E21" s="422"/>
      <c r="F21" s="423"/>
      <c r="G21" s="398"/>
      <c r="H21" s="399"/>
      <c r="I21" s="400"/>
    </row>
    <row r="22" spans="1:9" ht="15.75" x14ac:dyDescent="0.25">
      <c r="A22" s="424"/>
      <c r="B22" s="425"/>
      <c r="C22" s="426" t="s">
        <v>293</v>
      </c>
      <c r="D22" s="427"/>
      <c r="E22" s="428"/>
      <c r="F22" s="399"/>
      <c r="G22" s="398"/>
      <c r="I22" s="400"/>
    </row>
    <row r="23" spans="1:9" ht="15" x14ac:dyDescent="0.25">
      <c r="A23" s="402"/>
      <c r="B23" s="402"/>
      <c r="C23" s="403"/>
      <c r="D23" s="116"/>
      <c r="E23" s="116"/>
      <c r="F23" s="357"/>
      <c r="G23" s="429"/>
      <c r="H23" s="399"/>
      <c r="I23" s="400"/>
    </row>
    <row r="24" spans="1:9" ht="15" x14ac:dyDescent="0.25">
      <c r="A24" s="412"/>
      <c r="B24" s="88"/>
      <c r="C24" s="406"/>
      <c r="D24" s="116"/>
      <c r="E24" s="116"/>
      <c r="F24" s="357"/>
      <c r="G24" s="429"/>
      <c r="H24" s="399"/>
      <c r="I24" s="400"/>
    </row>
    <row r="25" spans="1:9" ht="15" x14ac:dyDescent="0.25">
      <c r="A25" s="160"/>
      <c r="B25" s="160"/>
      <c r="C25" s="161"/>
      <c r="D25" s="116"/>
      <c r="E25" s="166"/>
      <c r="F25" s="198"/>
      <c r="G25" s="429"/>
      <c r="H25" s="399"/>
      <c r="I25" s="400"/>
    </row>
    <row r="26" spans="1:9" ht="15" x14ac:dyDescent="0.25">
      <c r="A26" s="160"/>
      <c r="B26" s="88"/>
      <c r="C26" s="161"/>
      <c r="D26" s="116"/>
      <c r="E26" s="430"/>
      <c r="F26" s="198"/>
      <c r="G26" s="398"/>
      <c r="H26" s="399"/>
      <c r="I26" s="400"/>
    </row>
    <row r="27" spans="1:9" ht="15" x14ac:dyDescent="0.25">
      <c r="A27" s="431"/>
      <c r="B27" s="432"/>
      <c r="C27" s="433"/>
      <c r="D27" s="116"/>
      <c r="E27" s="434"/>
      <c r="F27" s="435"/>
      <c r="G27" s="398"/>
      <c r="H27" s="399"/>
      <c r="I27" s="400"/>
    </row>
    <row r="28" spans="1:9" ht="15" x14ac:dyDescent="0.25">
      <c r="A28" s="436"/>
      <c r="B28" s="372"/>
      <c r="C28" s="373"/>
      <c r="D28" s="116"/>
      <c r="E28" s="113"/>
      <c r="F28" s="114"/>
      <c r="G28" s="437"/>
      <c r="H28" s="112"/>
      <c r="I28" s="400"/>
    </row>
    <row r="29" spans="1:9" ht="15" x14ac:dyDescent="0.25">
      <c r="A29" s="371"/>
      <c r="B29" s="415"/>
      <c r="C29" s="109"/>
      <c r="D29" s="116"/>
      <c r="E29" s="113"/>
      <c r="F29" s="114"/>
      <c r="G29" s="113"/>
      <c r="H29" s="112"/>
      <c r="I29" s="400"/>
    </row>
    <row r="30" spans="1:9" ht="15.75" x14ac:dyDescent="0.25">
      <c r="A30" s="371"/>
      <c r="B30" s="415"/>
      <c r="C30" s="109"/>
      <c r="D30" s="116"/>
      <c r="E30" s="113"/>
      <c r="F30" s="114"/>
      <c r="G30" s="194"/>
      <c r="H30" s="114"/>
      <c r="I30" s="400"/>
    </row>
    <row r="31" spans="1:9" ht="15.75" x14ac:dyDescent="0.25">
      <c r="A31" s="371"/>
      <c r="B31" s="415"/>
      <c r="C31" s="109"/>
      <c r="D31" s="112"/>
      <c r="E31" s="112"/>
      <c r="F31" s="114"/>
      <c r="G31" s="31"/>
      <c r="H31" s="31"/>
      <c r="I31" s="400"/>
    </row>
    <row r="32" spans="1:9" ht="14.25" thickBot="1" x14ac:dyDescent="0.3">
      <c r="A32" s="131"/>
      <c r="B32" s="132"/>
      <c r="C32" s="94"/>
      <c r="D32" s="94"/>
      <c r="E32" s="133"/>
      <c r="F32" s="134"/>
      <c r="G32" s="94"/>
      <c r="H32" s="94"/>
      <c r="I32" s="136"/>
    </row>
    <row r="33" spans="1:9" ht="14.25" thickBot="1" x14ac:dyDescent="0.3">
      <c r="A33" s="138"/>
      <c r="B33" s="139"/>
      <c r="C33" s="140"/>
      <c r="D33" s="141" t="s">
        <v>11</v>
      </c>
      <c r="E33" s="142" t="s">
        <v>10</v>
      </c>
      <c r="F33" s="143"/>
      <c r="G33" s="140"/>
      <c r="H33" s="140"/>
      <c r="I33" s="144"/>
    </row>
    <row r="34" spans="1:9" ht="13.5" x14ac:dyDescent="0.25">
      <c r="A34" s="824" t="s">
        <v>9</v>
      </c>
      <c r="B34" s="825"/>
      <c r="C34" s="826"/>
      <c r="D34" s="181">
        <v>23300</v>
      </c>
      <c r="E34" s="182" t="s">
        <v>2</v>
      </c>
      <c r="F34" s="827" t="s">
        <v>93</v>
      </c>
      <c r="G34" s="827"/>
      <c r="H34" s="828" t="s">
        <v>304</v>
      </c>
      <c r="I34" s="829"/>
    </row>
    <row r="35" spans="1:9" ht="13.5" x14ac:dyDescent="0.25">
      <c r="A35" s="830" t="s">
        <v>8</v>
      </c>
      <c r="B35" s="831"/>
      <c r="C35" s="832"/>
      <c r="D35" s="438">
        <v>8</v>
      </c>
      <c r="E35" s="183" t="s">
        <v>7</v>
      </c>
      <c r="F35" s="833" t="s">
        <v>94</v>
      </c>
      <c r="G35" s="833"/>
      <c r="H35" s="834" t="s">
        <v>305</v>
      </c>
      <c r="I35" s="835"/>
    </row>
    <row r="36" spans="1:9" ht="13.5" x14ac:dyDescent="0.25">
      <c r="A36" s="830" t="s">
        <v>6</v>
      </c>
      <c r="B36" s="831"/>
      <c r="C36" s="832"/>
      <c r="D36" s="183">
        <v>1</v>
      </c>
      <c r="E36" s="183" t="s">
        <v>130</v>
      </c>
      <c r="F36" s="833" t="s">
        <v>96</v>
      </c>
      <c r="G36" s="833"/>
      <c r="H36" s="834" t="s">
        <v>306</v>
      </c>
      <c r="I36" s="835"/>
    </row>
    <row r="37" spans="1:9" ht="13.5" x14ac:dyDescent="0.25">
      <c r="A37" s="830" t="s">
        <v>4</v>
      </c>
      <c r="B37" s="831"/>
      <c r="C37" s="832"/>
      <c r="D37" s="184">
        <v>23300</v>
      </c>
      <c r="E37" s="183" t="s">
        <v>2</v>
      </c>
      <c r="F37" s="839" t="s">
        <v>97</v>
      </c>
      <c r="G37" s="840"/>
      <c r="H37" s="834"/>
      <c r="I37" s="835"/>
    </row>
    <row r="38" spans="1:9" ht="14.25" thickBot="1" x14ac:dyDescent="0.3">
      <c r="A38" s="841" t="s">
        <v>3</v>
      </c>
      <c r="B38" s="842"/>
      <c r="C38" s="843"/>
      <c r="D38" s="186">
        <v>224</v>
      </c>
      <c r="E38" s="187" t="s">
        <v>2</v>
      </c>
      <c r="F38" s="844"/>
      <c r="G38" s="844"/>
      <c r="H38" s="845"/>
      <c r="I38" s="846"/>
    </row>
    <row r="39" spans="1:9" ht="13.5" thickBot="1" x14ac:dyDescent="0.25">
      <c r="A39" s="847" t="s">
        <v>1</v>
      </c>
      <c r="B39" s="848"/>
      <c r="C39" s="848"/>
      <c r="D39" s="848"/>
      <c r="E39" s="848"/>
      <c r="F39" s="848"/>
      <c r="G39" s="848"/>
      <c r="H39" s="848"/>
      <c r="I39" s="849"/>
    </row>
    <row r="40" spans="1:9" ht="18.399999999999999" customHeight="1" x14ac:dyDescent="0.25">
      <c r="A40" s="776" t="s">
        <v>307</v>
      </c>
      <c r="B40" s="777"/>
      <c r="C40" s="777"/>
      <c r="D40" s="777"/>
      <c r="E40" s="777"/>
      <c r="F40" s="777"/>
      <c r="G40" s="777"/>
      <c r="H40" s="777"/>
      <c r="I40" s="778"/>
    </row>
    <row r="41" spans="1:9" ht="14.65" customHeight="1" x14ac:dyDescent="0.25">
      <c r="A41" s="776" t="s">
        <v>308</v>
      </c>
      <c r="B41" s="777"/>
      <c r="C41" s="777"/>
      <c r="D41" s="777"/>
      <c r="E41" s="777"/>
      <c r="F41" s="777"/>
      <c r="G41" s="777"/>
      <c r="H41" s="777"/>
      <c r="I41" s="778"/>
    </row>
    <row r="42" spans="1:9" ht="14.65" customHeight="1" x14ac:dyDescent="0.2">
      <c r="A42" s="869"/>
      <c r="B42" s="870"/>
      <c r="C42" s="870"/>
      <c r="D42" s="870"/>
      <c r="E42" s="870"/>
      <c r="F42" s="870"/>
      <c r="G42" s="870"/>
      <c r="H42" s="870"/>
      <c r="I42" s="871"/>
    </row>
    <row r="43" spans="1:9" ht="14.25" x14ac:dyDescent="0.2">
      <c r="A43" s="872"/>
      <c r="B43" s="873"/>
      <c r="C43" s="874"/>
      <c r="D43" s="874"/>
      <c r="E43" s="874"/>
      <c r="F43" s="874"/>
      <c r="G43" s="874"/>
      <c r="H43" s="874"/>
      <c r="I43" s="875"/>
    </row>
    <row r="44" spans="1:9" ht="14.65" customHeight="1" x14ac:dyDescent="0.2">
      <c r="A44" s="872"/>
      <c r="B44" s="873"/>
      <c r="C44" s="874"/>
      <c r="D44" s="874"/>
      <c r="E44" s="874"/>
      <c r="F44" s="874"/>
      <c r="G44" s="874"/>
      <c r="H44" s="874"/>
      <c r="I44" s="875"/>
    </row>
    <row r="45" spans="1:9" ht="14.65" customHeight="1" x14ac:dyDescent="0.2">
      <c r="A45" s="876"/>
      <c r="B45" s="877"/>
      <c r="C45" s="877"/>
      <c r="D45" s="877"/>
      <c r="E45" s="877"/>
      <c r="F45" s="877"/>
      <c r="G45" s="877"/>
      <c r="H45" s="877"/>
      <c r="I45" s="878"/>
    </row>
    <row r="46" spans="1:9" ht="18" customHeight="1" x14ac:dyDescent="0.2">
      <c r="A46" s="866"/>
      <c r="B46" s="867"/>
      <c r="C46" s="867"/>
      <c r="D46" s="867"/>
      <c r="E46" s="867"/>
      <c r="F46" s="867"/>
      <c r="G46" s="867"/>
      <c r="H46" s="867"/>
      <c r="I46" s="868"/>
    </row>
    <row r="47" spans="1:9" ht="14.25" x14ac:dyDescent="0.2">
      <c r="A47" s="866"/>
      <c r="B47" s="867"/>
      <c r="C47" s="867"/>
      <c r="D47" s="867"/>
      <c r="E47" s="867"/>
      <c r="F47" s="867"/>
      <c r="G47" s="867"/>
      <c r="H47" s="867"/>
      <c r="I47" s="868"/>
    </row>
    <row r="48" spans="1:9" ht="15" thickBot="1" x14ac:dyDescent="0.25">
      <c r="A48" s="866"/>
      <c r="B48" s="867"/>
      <c r="C48" s="867"/>
      <c r="D48" s="867"/>
      <c r="E48" s="867"/>
      <c r="F48" s="867"/>
      <c r="G48" s="867"/>
      <c r="H48" s="867"/>
      <c r="I48" s="868"/>
    </row>
    <row r="49" spans="1:9" x14ac:dyDescent="0.2">
      <c r="A49" s="856" t="s">
        <v>272</v>
      </c>
      <c r="B49" s="857"/>
      <c r="C49" s="857"/>
      <c r="D49" s="857"/>
      <c r="E49" s="857"/>
      <c r="F49" s="857"/>
      <c r="G49" s="857"/>
      <c r="H49" s="857"/>
      <c r="I49" s="857"/>
    </row>
    <row r="50" spans="1:9" ht="13.5" x14ac:dyDescent="0.25">
      <c r="A50" s="858"/>
      <c r="B50" s="859"/>
      <c r="C50" s="859"/>
      <c r="D50" s="859"/>
      <c r="E50" s="859"/>
      <c r="F50" s="859"/>
      <c r="G50" s="859"/>
      <c r="H50" s="859"/>
      <c r="I50" s="859"/>
    </row>
    <row r="51" spans="1:9" ht="13.5" x14ac:dyDescent="0.25">
      <c r="A51" s="858"/>
      <c r="B51" s="859"/>
      <c r="C51" s="859"/>
      <c r="D51" s="859"/>
      <c r="E51" s="859"/>
      <c r="F51" s="859"/>
      <c r="G51" s="859"/>
      <c r="H51" s="859"/>
      <c r="I51" s="859"/>
    </row>
  </sheetData>
  <mergeCells count="45">
    <mergeCell ref="A48:I48"/>
    <mergeCell ref="A49:I49"/>
    <mergeCell ref="A50:I50"/>
    <mergeCell ref="A51:I51"/>
    <mergeCell ref="A42:I42"/>
    <mergeCell ref="A43:I43"/>
    <mergeCell ref="A44:I44"/>
    <mergeCell ref="A45:I45"/>
    <mergeCell ref="A46:I46"/>
    <mergeCell ref="A47:I47"/>
    <mergeCell ref="A41:I41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39:I39"/>
    <mergeCell ref="A40:I40"/>
    <mergeCell ref="A34:C34"/>
    <mergeCell ref="F34:G34"/>
    <mergeCell ref="H34:I34"/>
    <mergeCell ref="A35:C35"/>
    <mergeCell ref="F35:G35"/>
    <mergeCell ref="H35:I3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F6A3B-9A70-4EBF-8B99-D0802817CFC5}">
  <dimension ref="A1:I55"/>
  <sheetViews>
    <sheetView workbookViewId="0">
      <selection activeCell="D13" sqref="D13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802"/>
      <c r="B1" s="803"/>
      <c r="C1" s="808" t="s">
        <v>49</v>
      </c>
      <c r="D1" s="808"/>
      <c r="E1" s="808"/>
      <c r="F1" s="808"/>
      <c r="G1" s="808"/>
      <c r="H1" s="92" t="s">
        <v>48</v>
      </c>
      <c r="I1" s="150" t="s">
        <v>309</v>
      </c>
    </row>
    <row r="2" spans="1:9" ht="18" customHeight="1" thickBot="1" x14ac:dyDescent="0.3">
      <c r="A2" s="804"/>
      <c r="B2" s="805"/>
      <c r="C2" s="809" t="s">
        <v>47</v>
      </c>
      <c r="D2" s="810"/>
      <c r="E2" s="810"/>
      <c r="F2" s="810"/>
      <c r="G2" s="811"/>
      <c r="H2" s="97" t="s">
        <v>46</v>
      </c>
      <c r="I2" s="152" t="s">
        <v>281</v>
      </c>
    </row>
    <row r="3" spans="1:9" ht="31.5" customHeight="1" thickBot="1" x14ac:dyDescent="0.25">
      <c r="A3" s="804"/>
      <c r="B3" s="805"/>
      <c r="C3" s="812" t="s">
        <v>310</v>
      </c>
      <c r="D3" s="813"/>
      <c r="E3" s="813"/>
      <c r="F3" s="813"/>
      <c r="G3" s="814"/>
      <c r="H3" s="815" t="s">
        <v>45</v>
      </c>
      <c r="I3" s="793">
        <v>45616</v>
      </c>
    </row>
    <row r="4" spans="1:9" ht="18" customHeight="1" x14ac:dyDescent="0.25">
      <c r="A4" s="804"/>
      <c r="B4" s="805"/>
      <c r="C4" s="99" t="s">
        <v>44</v>
      </c>
      <c r="D4" s="796" t="s">
        <v>43</v>
      </c>
      <c r="E4" s="797"/>
      <c r="F4" s="797"/>
      <c r="G4" s="798"/>
      <c r="H4" s="816"/>
      <c r="I4" s="794"/>
    </row>
    <row r="5" spans="1:9" ht="14.25" thickBot="1" x14ac:dyDescent="0.3">
      <c r="A5" s="806"/>
      <c r="B5" s="807"/>
      <c r="C5" s="102" t="s">
        <v>42</v>
      </c>
      <c r="D5" s="799" t="s">
        <v>41</v>
      </c>
      <c r="E5" s="800"/>
      <c r="F5" s="800"/>
      <c r="G5" s="801"/>
      <c r="H5" s="817"/>
      <c r="I5" s="795"/>
    </row>
    <row r="6" spans="1:9" ht="18.75" thickBot="1" x14ac:dyDescent="0.3">
      <c r="A6" s="635" t="s">
        <v>40</v>
      </c>
      <c r="B6" s="635"/>
      <c r="C6" s="635"/>
      <c r="D6" s="636" t="s">
        <v>311</v>
      </c>
      <c r="E6" s="636"/>
      <c r="F6" s="636"/>
      <c r="G6" s="637" t="s">
        <v>39</v>
      </c>
      <c r="H6" s="637"/>
      <c r="I6" s="57" t="s">
        <v>311</v>
      </c>
    </row>
    <row r="7" spans="1:9" x14ac:dyDescent="0.2">
      <c r="A7" s="818" t="s">
        <v>37</v>
      </c>
      <c r="B7" s="820" t="s">
        <v>284</v>
      </c>
      <c r="C7" s="822" t="s">
        <v>36</v>
      </c>
      <c r="D7" s="822" t="s">
        <v>35</v>
      </c>
      <c r="E7" s="822" t="s">
        <v>34</v>
      </c>
      <c r="F7" s="822"/>
      <c r="G7" s="822" t="s">
        <v>33</v>
      </c>
      <c r="H7" s="822"/>
      <c r="I7" s="104" t="s">
        <v>32</v>
      </c>
    </row>
    <row r="8" spans="1:9" ht="26.25" thickBot="1" x14ac:dyDescent="0.25">
      <c r="A8" s="819"/>
      <c r="B8" s="821"/>
      <c r="C8" s="823"/>
      <c r="D8" s="823"/>
      <c r="E8" s="105" t="s">
        <v>11</v>
      </c>
      <c r="F8" s="106" t="s">
        <v>31</v>
      </c>
      <c r="G8" s="105" t="s">
        <v>11</v>
      </c>
      <c r="H8" s="106" t="s">
        <v>31</v>
      </c>
      <c r="I8" s="107" t="s">
        <v>30</v>
      </c>
    </row>
    <row r="9" spans="1:9" ht="18.399999999999999" customHeight="1" x14ac:dyDescent="0.25">
      <c r="A9" s="394"/>
      <c r="B9" s="395"/>
      <c r="C9" s="396" t="s">
        <v>285</v>
      </c>
      <c r="D9" s="397"/>
      <c r="E9" s="398"/>
      <c r="F9" s="399"/>
      <c r="G9" s="398"/>
      <c r="H9" s="399"/>
      <c r="I9" s="400"/>
    </row>
    <row r="10" spans="1:9" ht="18" customHeight="1" x14ac:dyDescent="0.25">
      <c r="A10" s="441"/>
      <c r="B10" s="441" t="s">
        <v>312</v>
      </c>
      <c r="C10" s="442" t="s">
        <v>313</v>
      </c>
      <c r="D10" s="386" t="s">
        <v>314</v>
      </c>
      <c r="E10" s="443">
        <v>9000</v>
      </c>
      <c r="F10" s="444" t="s">
        <v>2</v>
      </c>
      <c r="G10" s="445"/>
      <c r="H10" s="446"/>
      <c r="I10" s="400"/>
    </row>
    <row r="11" spans="1:9" ht="15" x14ac:dyDescent="0.25">
      <c r="A11" s="441"/>
      <c r="B11" s="441" t="s">
        <v>315</v>
      </c>
      <c r="C11" s="442" t="s">
        <v>316</v>
      </c>
      <c r="D11" s="116" t="s">
        <v>317</v>
      </c>
      <c r="E11" s="119">
        <v>1</v>
      </c>
      <c r="F11" s="128" t="s">
        <v>318</v>
      </c>
      <c r="G11" s="445"/>
      <c r="H11" s="446"/>
      <c r="I11" s="400"/>
    </row>
    <row r="12" spans="1:9" ht="15.75" x14ac:dyDescent="0.25">
      <c r="A12" s="441"/>
      <c r="B12" s="441" t="s">
        <v>319</v>
      </c>
      <c r="C12" s="442" t="s">
        <v>320</v>
      </c>
      <c r="D12" s="327" t="s">
        <v>321</v>
      </c>
      <c r="E12" s="327">
        <v>12000</v>
      </c>
      <c r="F12" s="327" t="s">
        <v>2</v>
      </c>
      <c r="G12" s="183"/>
      <c r="H12" s="446"/>
      <c r="I12" s="400"/>
    </row>
    <row r="13" spans="1:9" ht="15.75" x14ac:dyDescent="0.25">
      <c r="A13" s="73"/>
      <c r="B13" s="73" t="s">
        <v>89</v>
      </c>
      <c r="C13" s="338" t="s">
        <v>111</v>
      </c>
      <c r="D13" s="327" t="s">
        <v>112</v>
      </c>
      <c r="E13" s="327">
        <v>24</v>
      </c>
      <c r="F13" s="327" t="s">
        <v>2</v>
      </c>
      <c r="G13" s="183"/>
      <c r="H13" s="446"/>
      <c r="I13" s="400"/>
    </row>
    <row r="14" spans="1:9" ht="15.75" x14ac:dyDescent="0.25">
      <c r="A14" s="441"/>
      <c r="B14" s="441"/>
      <c r="C14" s="447"/>
      <c r="D14" s="327"/>
      <c r="E14" s="327"/>
      <c r="F14" s="327"/>
      <c r="G14" s="183"/>
      <c r="H14" s="446"/>
      <c r="I14" s="400"/>
    </row>
    <row r="15" spans="1:9" ht="15.75" x14ac:dyDescent="0.25">
      <c r="A15" s="73"/>
      <c r="B15" s="73"/>
      <c r="C15" s="41"/>
      <c r="D15" s="327"/>
      <c r="E15" s="327"/>
      <c r="F15" s="327"/>
      <c r="G15" s="183"/>
      <c r="H15" s="446"/>
      <c r="I15" s="400"/>
    </row>
    <row r="16" spans="1:9" ht="15.75" x14ac:dyDescent="0.25">
      <c r="A16" s="73"/>
      <c r="B16" s="73"/>
      <c r="C16" s="41"/>
      <c r="D16" s="327"/>
      <c r="E16" s="327"/>
      <c r="F16" s="327"/>
      <c r="G16" s="183"/>
      <c r="H16" s="446"/>
      <c r="I16" s="400"/>
    </row>
    <row r="17" spans="1:9" ht="15.75" x14ac:dyDescent="0.25">
      <c r="A17" s="73"/>
      <c r="B17" s="73"/>
      <c r="C17" s="41"/>
      <c r="D17" s="327"/>
      <c r="E17" s="327"/>
      <c r="F17" s="327"/>
      <c r="G17" s="183"/>
      <c r="H17" s="446"/>
      <c r="I17" s="400"/>
    </row>
    <row r="18" spans="1:9" ht="15.75" x14ac:dyDescent="0.25">
      <c r="A18" s="371"/>
      <c r="B18" s="415"/>
      <c r="C18" s="416" t="s">
        <v>292</v>
      </c>
      <c r="D18" s="448"/>
      <c r="E18" s="448"/>
      <c r="F18" s="448"/>
      <c r="G18" s="398"/>
      <c r="H18" s="446"/>
      <c r="I18" s="400"/>
    </row>
    <row r="19" spans="1:9" ht="15.75" x14ac:dyDescent="0.25">
      <c r="A19" s="371"/>
      <c r="B19" s="415"/>
      <c r="C19" s="416"/>
      <c r="D19" s="112"/>
      <c r="E19" s="417"/>
      <c r="F19" s="114"/>
      <c r="G19" s="398"/>
      <c r="H19" s="446"/>
      <c r="I19" s="400"/>
    </row>
    <row r="20" spans="1:9" ht="15" x14ac:dyDescent="0.25">
      <c r="A20" s="449"/>
      <c r="B20" s="450"/>
      <c r="C20" s="451"/>
      <c r="D20" s="452"/>
      <c r="E20" s="453"/>
      <c r="F20" s="454"/>
      <c r="G20" s="398"/>
      <c r="H20" s="446"/>
      <c r="I20" s="400"/>
    </row>
    <row r="21" spans="1:9" ht="15" x14ac:dyDescent="0.25">
      <c r="A21" s="449"/>
      <c r="B21" s="450"/>
      <c r="C21" s="451"/>
      <c r="D21" s="452"/>
      <c r="E21" s="455"/>
      <c r="F21" s="454"/>
      <c r="G21" s="398"/>
      <c r="H21" s="399"/>
      <c r="I21" s="400"/>
    </row>
    <row r="22" spans="1:9" ht="15" x14ac:dyDescent="0.25">
      <c r="A22" s="449"/>
      <c r="B22" s="450"/>
      <c r="C22" s="451"/>
      <c r="D22" s="452"/>
      <c r="E22" s="453"/>
      <c r="F22" s="454"/>
      <c r="G22" s="398"/>
      <c r="H22" s="399"/>
      <c r="I22" s="400"/>
    </row>
    <row r="23" spans="1:9" ht="15" x14ac:dyDescent="0.25">
      <c r="A23" s="449"/>
      <c r="B23" s="450"/>
      <c r="C23" s="451"/>
      <c r="D23" s="452"/>
      <c r="E23" s="456"/>
      <c r="F23" s="457"/>
      <c r="G23" s="398"/>
      <c r="H23" s="399"/>
      <c r="I23" s="400"/>
    </row>
    <row r="24" spans="1:9" ht="15" x14ac:dyDescent="0.25">
      <c r="A24" s="73"/>
      <c r="B24" s="73"/>
      <c r="C24" s="41"/>
      <c r="D24" s="458"/>
      <c r="E24" s="184"/>
      <c r="F24" s="166"/>
      <c r="G24" s="398"/>
      <c r="H24" s="399"/>
      <c r="I24" s="400"/>
    </row>
    <row r="25" spans="1:9" ht="15.75" x14ac:dyDescent="0.25">
      <c r="A25" s="424"/>
      <c r="B25" s="425"/>
      <c r="C25" s="426" t="s">
        <v>293</v>
      </c>
      <c r="D25" s="427"/>
      <c r="E25" s="428"/>
      <c r="F25" s="399"/>
      <c r="G25" s="398"/>
      <c r="I25" s="400"/>
    </row>
    <row r="26" spans="1:9" ht="15" x14ac:dyDescent="0.25">
      <c r="A26" s="459"/>
      <c r="B26" s="460" t="s">
        <v>61</v>
      </c>
      <c r="C26" s="461" t="s">
        <v>16</v>
      </c>
      <c r="D26" s="116" t="s">
        <v>22</v>
      </c>
      <c r="E26" s="119">
        <v>2</v>
      </c>
      <c r="F26" s="128" t="s">
        <v>5</v>
      </c>
      <c r="G26" s="429"/>
      <c r="H26" s="399"/>
      <c r="I26" s="400"/>
    </row>
    <row r="27" spans="1:9" ht="15" x14ac:dyDescent="0.25">
      <c r="A27" s="459"/>
      <c r="B27" s="460" t="s">
        <v>322</v>
      </c>
      <c r="C27" s="461" t="s">
        <v>323</v>
      </c>
      <c r="D27" s="116" t="s">
        <v>324</v>
      </c>
      <c r="E27" s="119">
        <v>2</v>
      </c>
      <c r="F27" s="128" t="s">
        <v>5</v>
      </c>
      <c r="G27" s="429"/>
      <c r="H27" s="399"/>
      <c r="I27" s="400"/>
    </row>
    <row r="28" spans="1:9" ht="15" x14ac:dyDescent="0.25">
      <c r="A28" s="462"/>
      <c r="B28" s="463" t="s">
        <v>325</v>
      </c>
      <c r="C28" s="464" t="s">
        <v>326</v>
      </c>
      <c r="D28" s="116" t="s">
        <v>22</v>
      </c>
      <c r="E28" s="119">
        <v>1</v>
      </c>
      <c r="F28" s="128" t="s">
        <v>5</v>
      </c>
      <c r="G28" s="429"/>
      <c r="H28" s="399"/>
      <c r="I28" s="400"/>
    </row>
    <row r="29" spans="1:9" ht="15" x14ac:dyDescent="0.25">
      <c r="A29" s="74"/>
      <c r="B29" s="74" t="s">
        <v>327</v>
      </c>
      <c r="C29" s="28" t="s">
        <v>328</v>
      </c>
      <c r="D29" s="116" t="s">
        <v>329</v>
      </c>
      <c r="E29" s="119">
        <v>2</v>
      </c>
      <c r="F29" s="128" t="s">
        <v>5</v>
      </c>
      <c r="G29" s="398"/>
      <c r="H29" s="399"/>
      <c r="I29" s="400"/>
    </row>
    <row r="30" spans="1:9" ht="15" x14ac:dyDescent="0.25">
      <c r="A30" s="74"/>
      <c r="B30" s="74"/>
      <c r="C30" s="28"/>
      <c r="D30" s="116"/>
      <c r="E30" s="119"/>
      <c r="F30" s="128"/>
      <c r="G30" s="398"/>
      <c r="H30" s="399"/>
      <c r="I30" s="400"/>
    </row>
    <row r="31" spans="1:9" ht="15" x14ac:dyDescent="0.25">
      <c r="A31" s="74"/>
      <c r="B31" s="74"/>
      <c r="C31" s="28"/>
      <c r="D31" s="116"/>
      <c r="E31" s="119"/>
      <c r="F31" s="128"/>
      <c r="G31" s="437"/>
      <c r="H31" s="399"/>
      <c r="I31" s="400"/>
    </row>
    <row r="32" spans="1:9" ht="15.75" x14ac:dyDescent="0.25">
      <c r="A32" s="74"/>
      <c r="B32" s="74"/>
      <c r="C32" s="28"/>
      <c r="D32" s="327"/>
      <c r="E32" s="119"/>
      <c r="F32" s="128"/>
      <c r="G32" s="113"/>
      <c r="H32" s="399"/>
      <c r="I32" s="400"/>
    </row>
    <row r="33" spans="1:9" ht="15" x14ac:dyDescent="0.25">
      <c r="A33" s="465"/>
      <c r="B33" s="465"/>
      <c r="C33" s="164"/>
      <c r="D33" s="116"/>
      <c r="E33" s="166"/>
      <c r="F33" s="166"/>
      <c r="G33" s="113"/>
      <c r="H33" s="399"/>
      <c r="I33" s="400"/>
    </row>
    <row r="34" spans="1:9" ht="15" x14ac:dyDescent="0.25">
      <c r="A34" s="160"/>
      <c r="B34" s="73"/>
      <c r="C34" s="161"/>
      <c r="D34" s="200"/>
      <c r="E34" s="184"/>
      <c r="F34" s="183"/>
      <c r="G34" s="113"/>
      <c r="H34" s="399"/>
      <c r="I34" s="400"/>
    </row>
    <row r="35" spans="1:9" ht="15.75" x14ac:dyDescent="0.25">
      <c r="A35" s="74"/>
      <c r="B35" s="74"/>
      <c r="C35" s="28"/>
      <c r="D35" s="116"/>
      <c r="E35" s="184"/>
      <c r="F35" s="183"/>
      <c r="G35" s="194"/>
      <c r="H35" s="399"/>
      <c r="I35" s="400"/>
    </row>
    <row r="36" spans="1:9" ht="15.75" x14ac:dyDescent="0.25">
      <c r="A36" s="371"/>
      <c r="B36" s="415"/>
      <c r="C36" s="109"/>
      <c r="D36" s="112"/>
      <c r="E36" s="112"/>
      <c r="F36" s="114"/>
      <c r="G36" s="31"/>
      <c r="H36" s="31"/>
      <c r="I36" s="400"/>
    </row>
    <row r="37" spans="1:9" ht="14.25" thickBot="1" x14ac:dyDescent="0.3">
      <c r="A37" s="131"/>
      <c r="B37" s="132"/>
      <c r="C37" s="94"/>
      <c r="D37" s="94"/>
      <c r="E37" s="133"/>
      <c r="F37" s="134"/>
      <c r="G37" s="94"/>
      <c r="H37" s="94"/>
      <c r="I37" s="136"/>
    </row>
    <row r="38" spans="1:9" ht="14.25" thickBot="1" x14ac:dyDescent="0.3">
      <c r="A38" s="138"/>
      <c r="B38" s="139"/>
      <c r="C38" s="140"/>
      <c r="D38" s="141" t="s">
        <v>11</v>
      </c>
      <c r="E38" s="142" t="s">
        <v>10</v>
      </c>
      <c r="F38" s="143"/>
      <c r="G38" s="140"/>
      <c r="H38" s="140"/>
      <c r="I38" s="144"/>
    </row>
    <row r="39" spans="1:9" ht="13.5" x14ac:dyDescent="0.25">
      <c r="A39" s="824" t="s">
        <v>9</v>
      </c>
      <c r="B39" s="825"/>
      <c r="C39" s="826"/>
      <c r="D39" s="181">
        <v>23524</v>
      </c>
      <c r="E39" s="182" t="s">
        <v>2</v>
      </c>
      <c r="F39" s="827" t="s">
        <v>93</v>
      </c>
      <c r="G39" s="827"/>
      <c r="H39" s="828"/>
      <c r="I39" s="829"/>
    </row>
    <row r="40" spans="1:9" ht="13.5" x14ac:dyDescent="0.25">
      <c r="A40" s="830" t="s">
        <v>8</v>
      </c>
      <c r="B40" s="831"/>
      <c r="C40" s="832"/>
      <c r="D40" s="466">
        <v>0.14583333333333334</v>
      </c>
      <c r="E40" s="183" t="s">
        <v>330</v>
      </c>
      <c r="F40" s="833" t="s">
        <v>94</v>
      </c>
      <c r="G40" s="833"/>
      <c r="H40" s="834"/>
      <c r="I40" s="835"/>
    </row>
    <row r="41" spans="1:9" ht="13.5" x14ac:dyDescent="0.25">
      <c r="A41" s="830" t="s">
        <v>6</v>
      </c>
      <c r="B41" s="831"/>
      <c r="C41" s="832"/>
      <c r="D41" s="184">
        <v>1</v>
      </c>
      <c r="E41" s="183" t="s">
        <v>130</v>
      </c>
      <c r="F41" s="833" t="s">
        <v>96</v>
      </c>
      <c r="G41" s="833"/>
      <c r="H41" s="834"/>
      <c r="I41" s="835"/>
    </row>
    <row r="42" spans="1:9" ht="13.5" x14ac:dyDescent="0.25">
      <c r="A42" s="830" t="s">
        <v>4</v>
      </c>
      <c r="B42" s="831"/>
      <c r="C42" s="832"/>
      <c r="D42" s="184">
        <v>23524</v>
      </c>
      <c r="E42" s="183" t="s">
        <v>2</v>
      </c>
      <c r="F42" s="839" t="s">
        <v>97</v>
      </c>
      <c r="G42" s="840"/>
      <c r="H42" s="883"/>
      <c r="I42" s="884"/>
    </row>
    <row r="43" spans="1:9" ht="14.25" thickBot="1" x14ac:dyDescent="0.3">
      <c r="A43" s="841" t="s">
        <v>3</v>
      </c>
      <c r="B43" s="842"/>
      <c r="C43" s="843"/>
      <c r="D43" s="186">
        <v>0</v>
      </c>
      <c r="E43" s="187" t="s">
        <v>2</v>
      </c>
      <c r="F43" s="844"/>
      <c r="G43" s="844"/>
      <c r="H43" s="834"/>
      <c r="I43" s="835"/>
    </row>
    <row r="44" spans="1:9" ht="13.5" thickBot="1" x14ac:dyDescent="0.25">
      <c r="A44" s="847" t="s">
        <v>1</v>
      </c>
      <c r="B44" s="848"/>
      <c r="C44" s="848"/>
      <c r="D44" s="848"/>
      <c r="E44" s="848"/>
      <c r="F44" s="848"/>
      <c r="G44" s="848"/>
      <c r="H44" s="848"/>
      <c r="I44" s="849"/>
    </row>
    <row r="45" spans="1:9" ht="14.65" customHeight="1" x14ac:dyDescent="0.25">
      <c r="A45" s="885" t="s">
        <v>331</v>
      </c>
      <c r="B45" s="886"/>
      <c r="C45" s="886"/>
      <c r="D45" s="886"/>
      <c r="E45" s="886"/>
      <c r="F45" s="886"/>
      <c r="G45" s="886"/>
      <c r="H45" s="886"/>
      <c r="I45" s="887"/>
    </row>
    <row r="46" spans="1:9" ht="15.4" customHeight="1" x14ac:dyDescent="0.25">
      <c r="A46" s="879" t="s">
        <v>332</v>
      </c>
      <c r="B46" s="880"/>
      <c r="C46" s="881"/>
      <c r="D46" s="881"/>
      <c r="E46" s="881"/>
      <c r="F46" s="881"/>
      <c r="G46" s="881"/>
      <c r="H46" s="881"/>
      <c r="I46" s="882"/>
    </row>
    <row r="47" spans="1:9" ht="14.65" customHeight="1" thickBot="1" x14ac:dyDescent="0.3">
      <c r="A47" s="888" t="s">
        <v>333</v>
      </c>
      <c r="B47" s="889"/>
      <c r="C47" s="889"/>
      <c r="D47" s="889"/>
      <c r="E47" s="889"/>
      <c r="F47" s="889"/>
      <c r="G47" s="889"/>
      <c r="H47" s="889"/>
      <c r="I47" s="890"/>
    </row>
    <row r="48" spans="1:9" ht="14.65" customHeight="1" x14ac:dyDescent="0.25">
      <c r="A48" s="879"/>
      <c r="B48" s="880"/>
      <c r="C48" s="881"/>
      <c r="D48" s="881"/>
      <c r="E48" s="881"/>
      <c r="F48" s="881"/>
      <c r="G48" s="881"/>
      <c r="H48" s="881"/>
      <c r="I48" s="882"/>
    </row>
    <row r="49" spans="1:9" ht="14.65" customHeight="1" x14ac:dyDescent="0.25">
      <c r="A49" s="879"/>
      <c r="B49" s="880"/>
      <c r="C49" s="881"/>
      <c r="D49" s="881"/>
      <c r="E49" s="881"/>
      <c r="F49" s="881"/>
      <c r="G49" s="881"/>
      <c r="H49" s="881"/>
      <c r="I49" s="882"/>
    </row>
    <row r="50" spans="1:9" ht="18" customHeight="1" thickBot="1" x14ac:dyDescent="0.3">
      <c r="A50" s="891"/>
      <c r="B50" s="892"/>
      <c r="C50" s="893"/>
      <c r="D50" s="893"/>
      <c r="E50" s="893"/>
      <c r="F50" s="893"/>
      <c r="G50" s="893"/>
      <c r="H50" s="893"/>
      <c r="I50" s="894"/>
    </row>
    <row r="51" spans="1:9" ht="15.75" x14ac:dyDescent="0.25">
      <c r="A51" s="895"/>
      <c r="B51" s="896"/>
      <c r="C51" s="896"/>
      <c r="D51" s="896"/>
      <c r="E51" s="896"/>
      <c r="F51" s="896"/>
      <c r="G51" s="896"/>
      <c r="H51" s="896"/>
      <c r="I51" s="897"/>
    </row>
    <row r="52" spans="1:9" ht="15" thickBot="1" x14ac:dyDescent="0.25">
      <c r="A52" s="597"/>
      <c r="B52" s="598"/>
      <c r="C52" s="598"/>
      <c r="D52" s="598"/>
      <c r="E52" s="598"/>
      <c r="F52" s="598"/>
      <c r="G52" s="598"/>
      <c r="H52" s="598"/>
      <c r="I52" s="599"/>
    </row>
    <row r="53" spans="1:9" x14ac:dyDescent="0.2">
      <c r="A53" s="856" t="s">
        <v>272</v>
      </c>
      <c r="B53" s="857"/>
      <c r="C53" s="857"/>
      <c r="D53" s="857"/>
      <c r="E53" s="857"/>
      <c r="F53" s="857"/>
      <c r="G53" s="857"/>
      <c r="H53" s="857"/>
      <c r="I53" s="857"/>
    </row>
    <row r="54" spans="1:9" ht="13.5" x14ac:dyDescent="0.25">
      <c r="A54" s="858"/>
      <c r="B54" s="859"/>
      <c r="C54" s="859"/>
      <c r="D54" s="859"/>
      <c r="E54" s="859"/>
      <c r="F54" s="859"/>
      <c r="G54" s="859"/>
      <c r="H54" s="859"/>
      <c r="I54" s="859"/>
    </row>
    <row r="55" spans="1:9" ht="13.5" x14ac:dyDescent="0.25">
      <c r="A55" s="858"/>
      <c r="B55" s="859"/>
      <c r="C55" s="859"/>
      <c r="D55" s="859"/>
      <c r="E55" s="859"/>
      <c r="F55" s="859"/>
      <c r="G55" s="859"/>
      <c r="H55" s="859"/>
      <c r="I55" s="859"/>
    </row>
  </sheetData>
  <mergeCells count="44">
    <mergeCell ref="A53:I53"/>
    <mergeCell ref="A54:I54"/>
    <mergeCell ref="A55:I55"/>
    <mergeCell ref="A47:I47"/>
    <mergeCell ref="A48:I48"/>
    <mergeCell ref="A49:I49"/>
    <mergeCell ref="A50:I50"/>
    <mergeCell ref="A51:I51"/>
    <mergeCell ref="A52:I52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9B89A-A32C-4FB7-AF43-60E47457E245}">
  <dimension ref="A1:I58"/>
  <sheetViews>
    <sheetView workbookViewId="0">
      <selection activeCell="D12" sqref="D12"/>
    </sheetView>
  </sheetViews>
  <sheetFormatPr baseColWidth="10" defaultRowHeight="12.75" x14ac:dyDescent="0.2"/>
  <cols>
    <col min="2" max="2" width="13.42578125" bestFit="1" customWidth="1"/>
    <col min="3" max="3" width="49" customWidth="1"/>
    <col min="4" max="4" width="34.28515625" bestFit="1" customWidth="1"/>
    <col min="8" max="8" width="33.7109375" bestFit="1" customWidth="1"/>
    <col min="9" max="9" width="22.28515625" bestFit="1" customWidth="1"/>
  </cols>
  <sheetData>
    <row r="1" spans="1:9" ht="17.25" x14ac:dyDescent="0.3">
      <c r="A1" s="907"/>
      <c r="B1" s="908"/>
      <c r="C1" s="808" t="s">
        <v>49</v>
      </c>
      <c r="D1" s="808"/>
      <c r="E1" s="808"/>
      <c r="F1" s="808"/>
      <c r="G1" s="808"/>
      <c r="H1" s="467" t="s">
        <v>48</v>
      </c>
      <c r="I1" s="468" t="s">
        <v>334</v>
      </c>
    </row>
    <row r="2" spans="1:9" ht="18" customHeight="1" thickBot="1" x14ac:dyDescent="0.35">
      <c r="A2" s="909"/>
      <c r="B2" s="910"/>
      <c r="C2" s="809" t="s">
        <v>47</v>
      </c>
      <c r="D2" s="810"/>
      <c r="E2" s="810"/>
      <c r="F2" s="810"/>
      <c r="G2" s="811"/>
      <c r="H2" s="469" t="s">
        <v>46</v>
      </c>
      <c r="I2" s="470" t="s">
        <v>335</v>
      </c>
    </row>
    <row r="3" spans="1:9" ht="31.5" customHeight="1" thickBot="1" x14ac:dyDescent="0.25">
      <c r="A3" s="909"/>
      <c r="B3" s="910"/>
      <c r="C3" s="913" t="s">
        <v>336</v>
      </c>
      <c r="D3" s="914"/>
      <c r="E3" s="914"/>
      <c r="F3" s="914"/>
      <c r="G3" s="915"/>
      <c r="H3" s="916" t="s">
        <v>45</v>
      </c>
      <c r="I3" s="898">
        <v>45613</v>
      </c>
    </row>
    <row r="4" spans="1:9" ht="18" customHeight="1" x14ac:dyDescent="0.3">
      <c r="A4" s="909"/>
      <c r="B4" s="910"/>
      <c r="C4" s="471" t="s">
        <v>44</v>
      </c>
      <c r="D4" s="901" t="s">
        <v>43</v>
      </c>
      <c r="E4" s="902"/>
      <c r="F4" s="902"/>
      <c r="G4" s="903"/>
      <c r="H4" s="917"/>
      <c r="I4" s="899"/>
    </row>
    <row r="5" spans="1:9" ht="18" thickBot="1" x14ac:dyDescent="0.35">
      <c r="A5" s="911"/>
      <c r="B5" s="912"/>
      <c r="C5" s="472" t="s">
        <v>42</v>
      </c>
      <c r="D5" s="904" t="s">
        <v>41</v>
      </c>
      <c r="E5" s="905"/>
      <c r="F5" s="905"/>
      <c r="G5" s="906"/>
      <c r="H5" s="918"/>
      <c r="I5" s="900"/>
    </row>
    <row r="6" spans="1:9" ht="16.5" thickBot="1" x14ac:dyDescent="0.3">
      <c r="A6" s="919" t="s">
        <v>40</v>
      </c>
      <c r="B6" s="919"/>
      <c r="C6" s="919"/>
      <c r="D6" s="920" t="s">
        <v>292</v>
      </c>
      <c r="E6" s="920"/>
      <c r="F6" s="920"/>
      <c r="G6" s="921" t="s">
        <v>39</v>
      </c>
      <c r="H6" s="921"/>
      <c r="I6" s="473" t="s">
        <v>337</v>
      </c>
    </row>
    <row r="7" spans="1:9" ht="15" x14ac:dyDescent="0.2">
      <c r="A7" s="922" t="s">
        <v>37</v>
      </c>
      <c r="B7" s="924" t="s">
        <v>284</v>
      </c>
      <c r="C7" s="926" t="s">
        <v>36</v>
      </c>
      <c r="D7" s="926" t="s">
        <v>35</v>
      </c>
      <c r="E7" s="926" t="s">
        <v>34</v>
      </c>
      <c r="F7" s="926"/>
      <c r="G7" s="926" t="s">
        <v>33</v>
      </c>
      <c r="H7" s="926"/>
      <c r="I7" s="474" t="s">
        <v>32</v>
      </c>
    </row>
    <row r="8" spans="1:9" ht="30.75" thickBot="1" x14ac:dyDescent="0.25">
      <c r="A8" s="923"/>
      <c r="B8" s="925"/>
      <c r="C8" s="927"/>
      <c r="D8" s="927"/>
      <c r="E8" s="475" t="s">
        <v>11</v>
      </c>
      <c r="F8" s="476" t="s">
        <v>31</v>
      </c>
      <c r="G8" s="475" t="s">
        <v>11</v>
      </c>
      <c r="H8" s="476" t="s">
        <v>31</v>
      </c>
      <c r="I8" s="477" t="s">
        <v>30</v>
      </c>
    </row>
    <row r="9" spans="1:9" ht="15.75" x14ac:dyDescent="0.25">
      <c r="A9" s="478"/>
      <c r="B9" s="479"/>
      <c r="C9" s="480" t="s">
        <v>285</v>
      </c>
      <c r="D9" s="481"/>
      <c r="E9" s="482"/>
      <c r="F9" s="483"/>
      <c r="G9" s="482"/>
      <c r="H9" s="483"/>
      <c r="I9" s="484"/>
    </row>
    <row r="10" spans="1:9" ht="18" customHeight="1" x14ac:dyDescent="0.3">
      <c r="A10" s="485">
        <v>11400029</v>
      </c>
      <c r="B10" s="486" t="s">
        <v>338</v>
      </c>
      <c r="C10" s="487" t="s">
        <v>339</v>
      </c>
      <c r="D10" s="488" t="s">
        <v>170</v>
      </c>
      <c r="E10" s="489">
        <v>16000</v>
      </c>
      <c r="F10" s="490" t="s">
        <v>2</v>
      </c>
      <c r="G10" s="491"/>
      <c r="H10" s="492" t="s">
        <v>340</v>
      </c>
      <c r="I10" s="484"/>
    </row>
    <row r="11" spans="1:9" ht="17.25" x14ac:dyDescent="0.3">
      <c r="A11" s="485">
        <v>11400031</v>
      </c>
      <c r="B11" s="493" t="s">
        <v>168</v>
      </c>
      <c r="C11" s="494" t="s">
        <v>341</v>
      </c>
      <c r="D11" s="488" t="s">
        <v>170</v>
      </c>
      <c r="E11" s="495">
        <v>8000</v>
      </c>
      <c r="F11" s="496" t="s">
        <v>2</v>
      </c>
      <c r="G11" s="491"/>
      <c r="H11" s="492" t="s">
        <v>342</v>
      </c>
      <c r="I11" s="484"/>
    </row>
    <row r="12" spans="1:9" ht="17.25" x14ac:dyDescent="0.3">
      <c r="A12" s="485" t="s">
        <v>343</v>
      </c>
      <c r="B12" s="493"/>
      <c r="C12" s="494" t="s">
        <v>344</v>
      </c>
      <c r="D12" s="488" t="s">
        <v>26</v>
      </c>
      <c r="E12" s="495">
        <v>1000</v>
      </c>
      <c r="F12" s="496" t="s">
        <v>2</v>
      </c>
      <c r="G12" s="497"/>
      <c r="H12" s="492"/>
      <c r="I12" s="484"/>
    </row>
    <row r="13" spans="1:9" ht="17.25" x14ac:dyDescent="0.3">
      <c r="A13" s="485">
        <v>1212410</v>
      </c>
      <c r="B13" s="493" t="s">
        <v>89</v>
      </c>
      <c r="C13" s="494" t="s">
        <v>111</v>
      </c>
      <c r="D13" s="488" t="s">
        <v>112</v>
      </c>
      <c r="E13" s="495">
        <v>22</v>
      </c>
      <c r="F13" s="496" t="s">
        <v>2</v>
      </c>
      <c r="G13" s="497"/>
      <c r="H13" s="492"/>
      <c r="I13" s="484"/>
    </row>
    <row r="14" spans="1:9" ht="17.25" x14ac:dyDescent="0.3">
      <c r="A14" s="498"/>
      <c r="B14" s="499"/>
      <c r="C14" s="500"/>
      <c r="D14" s="497"/>
      <c r="E14" s="497"/>
      <c r="F14" s="501"/>
      <c r="G14" s="497"/>
      <c r="H14" s="492"/>
      <c r="I14" s="484"/>
    </row>
    <row r="15" spans="1:9" ht="17.25" x14ac:dyDescent="0.3">
      <c r="A15" s="502"/>
      <c r="B15" s="499"/>
      <c r="C15" s="503"/>
      <c r="D15" s="497"/>
      <c r="E15" s="497"/>
      <c r="F15" s="501"/>
      <c r="G15" s="497"/>
      <c r="H15" s="492"/>
      <c r="I15" s="484"/>
    </row>
    <row r="16" spans="1:9" ht="17.25" x14ac:dyDescent="0.3">
      <c r="A16" s="497"/>
      <c r="B16" s="497"/>
      <c r="C16" s="504"/>
      <c r="D16" s="505"/>
      <c r="E16" s="505"/>
      <c r="F16" s="491"/>
      <c r="G16" s="497"/>
      <c r="H16" s="492"/>
      <c r="I16" s="484"/>
    </row>
    <row r="17" spans="1:9" ht="17.25" x14ac:dyDescent="0.3">
      <c r="A17" s="499"/>
      <c r="B17" s="499"/>
      <c r="C17" s="506"/>
      <c r="D17" s="497"/>
      <c r="E17" s="497"/>
      <c r="F17" s="501"/>
      <c r="G17" s="497"/>
      <c r="H17" s="492"/>
      <c r="I17" s="484"/>
    </row>
    <row r="18" spans="1:9" ht="17.25" x14ac:dyDescent="0.3">
      <c r="A18" s="498"/>
      <c r="B18" s="499"/>
      <c r="C18" s="500"/>
      <c r="D18" s="497"/>
      <c r="E18" s="497"/>
      <c r="F18" s="501"/>
      <c r="G18" s="497"/>
      <c r="H18" s="492"/>
      <c r="I18" s="484"/>
    </row>
    <row r="19" spans="1:9" ht="17.25" x14ac:dyDescent="0.3">
      <c r="A19" s="334"/>
      <c r="B19" s="334"/>
      <c r="C19" s="337"/>
      <c r="D19" s="507"/>
      <c r="E19" s="508"/>
      <c r="F19" s="509"/>
      <c r="G19" s="482"/>
      <c r="H19" s="492"/>
      <c r="I19" s="484"/>
    </row>
    <row r="20" spans="1:9" ht="15.75" x14ac:dyDescent="0.25">
      <c r="A20" s="510"/>
      <c r="B20" s="511"/>
      <c r="C20" s="416" t="s">
        <v>292</v>
      </c>
      <c r="D20" s="31"/>
      <c r="E20" s="512"/>
      <c r="F20" s="513"/>
      <c r="G20" s="482"/>
      <c r="H20" s="483"/>
      <c r="I20" s="484"/>
    </row>
    <row r="21" spans="1:9" ht="17.25" x14ac:dyDescent="0.3">
      <c r="A21" s="485"/>
      <c r="B21" s="514"/>
      <c r="C21" s="487"/>
      <c r="D21" s="488"/>
      <c r="E21" s="495"/>
      <c r="F21" s="496"/>
      <c r="G21" s="482"/>
      <c r="H21" s="483"/>
      <c r="I21" s="484"/>
    </row>
    <row r="22" spans="1:9" ht="17.25" x14ac:dyDescent="0.3">
      <c r="A22" s="485"/>
      <c r="B22" s="514"/>
      <c r="C22" s="487"/>
      <c r="D22" s="488"/>
      <c r="E22" s="515"/>
      <c r="F22" s="496"/>
      <c r="G22" s="482"/>
      <c r="H22" s="483"/>
      <c r="I22" s="484"/>
    </row>
    <row r="23" spans="1:9" ht="17.25" x14ac:dyDescent="0.3">
      <c r="A23" s="485"/>
      <c r="B23" s="514"/>
      <c r="C23" s="487"/>
      <c r="D23" s="488"/>
      <c r="E23" s="495"/>
      <c r="F23" s="496"/>
      <c r="G23" s="482"/>
      <c r="H23" s="483"/>
      <c r="I23" s="484"/>
    </row>
    <row r="24" spans="1:9" ht="17.25" x14ac:dyDescent="0.3">
      <c r="A24" s="485"/>
      <c r="B24" s="514"/>
      <c r="C24" s="487"/>
      <c r="D24" s="488"/>
      <c r="E24" s="516"/>
      <c r="F24" s="517"/>
      <c r="G24" s="482"/>
      <c r="H24" s="483"/>
      <c r="I24" s="484"/>
    </row>
    <row r="25" spans="1:9" ht="17.25" x14ac:dyDescent="0.3">
      <c r="A25" s="485"/>
      <c r="B25" s="514"/>
      <c r="C25" s="487"/>
      <c r="D25" s="488"/>
      <c r="E25" s="489"/>
      <c r="F25" s="517"/>
      <c r="G25" s="482"/>
      <c r="H25" s="483"/>
      <c r="I25" s="484"/>
    </row>
    <row r="26" spans="1:9" ht="17.25" x14ac:dyDescent="0.3">
      <c r="A26" s="518"/>
      <c r="B26" s="518"/>
      <c r="C26" s="519"/>
      <c r="D26" s="520"/>
      <c r="E26" s="521"/>
      <c r="F26" s="522"/>
      <c r="G26" s="482"/>
      <c r="H26" s="483"/>
      <c r="I26" s="484"/>
    </row>
    <row r="27" spans="1:9" ht="17.25" x14ac:dyDescent="0.3">
      <c r="A27" s="334"/>
      <c r="B27" s="334"/>
      <c r="C27" s="337"/>
      <c r="D27" s="523"/>
      <c r="E27" s="524"/>
      <c r="F27" s="522"/>
      <c r="G27" s="482"/>
      <c r="H27" s="483"/>
      <c r="I27" s="484"/>
    </row>
    <row r="28" spans="1:9" ht="17.25" x14ac:dyDescent="0.3">
      <c r="A28" s="334"/>
      <c r="B28" s="334"/>
      <c r="C28" s="337"/>
      <c r="D28" s="523"/>
      <c r="E28" s="515"/>
      <c r="F28" s="525"/>
      <c r="G28" s="482"/>
      <c r="H28" s="483"/>
      <c r="I28" s="484"/>
    </row>
    <row r="29" spans="1:9" ht="15.75" x14ac:dyDescent="0.25">
      <c r="A29" s="526"/>
      <c r="B29" s="527"/>
      <c r="C29" s="426" t="s">
        <v>293</v>
      </c>
      <c r="D29" s="528"/>
      <c r="E29" s="529"/>
      <c r="F29" s="483"/>
      <c r="G29" s="482"/>
      <c r="H29" s="519"/>
      <c r="I29" s="484"/>
    </row>
    <row r="30" spans="1:9" ht="17.25" x14ac:dyDescent="0.3">
      <c r="A30" s="530">
        <v>702123</v>
      </c>
      <c r="B30" s="530" t="s">
        <v>61</v>
      </c>
      <c r="C30" s="531" t="s">
        <v>16</v>
      </c>
      <c r="D30" s="532"/>
      <c r="E30" s="533">
        <v>1</v>
      </c>
      <c r="F30" s="534" t="s">
        <v>5</v>
      </c>
      <c r="G30" s="535"/>
      <c r="H30" s="483"/>
      <c r="I30" s="484"/>
    </row>
    <row r="31" spans="1:9" ht="17.25" x14ac:dyDescent="0.3">
      <c r="A31" s="530"/>
      <c r="B31" s="530"/>
      <c r="C31" s="531"/>
      <c r="D31" s="532"/>
      <c r="E31" s="533"/>
      <c r="F31" s="534"/>
      <c r="G31" s="535"/>
      <c r="H31" s="483"/>
      <c r="I31" s="484"/>
    </row>
    <row r="32" spans="1:9" ht="17.25" x14ac:dyDescent="0.3">
      <c r="A32" s="530"/>
      <c r="B32" s="530"/>
      <c r="C32" s="531"/>
      <c r="D32" s="532"/>
      <c r="E32" s="533"/>
      <c r="F32" s="534"/>
      <c r="G32" s="535"/>
      <c r="H32" s="483"/>
      <c r="I32" s="484"/>
    </row>
    <row r="33" spans="1:9" ht="15.75" x14ac:dyDescent="0.25">
      <c r="A33" s="536"/>
      <c r="B33" s="536"/>
      <c r="C33" s="537"/>
      <c r="D33" s="327"/>
      <c r="E33" s="538"/>
      <c r="F33" s="539"/>
      <c r="G33" s="482"/>
      <c r="H33" s="483"/>
      <c r="I33" s="484"/>
    </row>
    <row r="34" spans="1:9" ht="15.75" x14ac:dyDescent="0.25">
      <c r="A34" s="536"/>
      <c r="B34" s="536"/>
      <c r="C34" s="540"/>
      <c r="D34" s="327"/>
      <c r="E34" s="327"/>
      <c r="F34" s="539"/>
      <c r="G34" s="482"/>
      <c r="H34" s="483"/>
      <c r="I34" s="484"/>
    </row>
    <row r="35" spans="1:9" ht="15.75" x14ac:dyDescent="0.25">
      <c r="A35" s="536"/>
      <c r="B35" s="536"/>
      <c r="C35" s="540"/>
      <c r="D35" s="327"/>
      <c r="E35" s="327"/>
      <c r="F35" s="539"/>
      <c r="G35" s="541"/>
      <c r="H35" s="483"/>
      <c r="I35" s="484"/>
    </row>
    <row r="36" spans="1:9" ht="15.75" x14ac:dyDescent="0.25">
      <c r="A36" s="542"/>
      <c r="B36" s="543"/>
      <c r="C36" s="544"/>
      <c r="D36" s="545"/>
      <c r="E36" s="545"/>
      <c r="F36" s="546"/>
      <c r="G36" s="194"/>
      <c r="H36" s="483"/>
      <c r="I36" s="484"/>
    </row>
    <row r="37" spans="1:9" ht="15.75" x14ac:dyDescent="0.25">
      <c r="A37" s="510"/>
      <c r="B37" s="511"/>
      <c r="C37" s="531"/>
      <c r="D37" s="327"/>
      <c r="E37" s="194"/>
      <c r="F37" s="513"/>
      <c r="G37" s="194"/>
      <c r="H37" s="483"/>
      <c r="I37" s="484"/>
    </row>
    <row r="38" spans="1:9" ht="15.75" x14ac:dyDescent="0.25">
      <c r="A38" s="510"/>
      <c r="B38" s="511"/>
      <c r="C38" s="531"/>
      <c r="D38" s="31"/>
      <c r="E38" s="31"/>
      <c r="F38" s="513"/>
      <c r="G38" s="31"/>
      <c r="H38" s="31"/>
      <c r="I38" s="484"/>
    </row>
    <row r="39" spans="1:9" ht="18" thickBot="1" x14ac:dyDescent="0.35">
      <c r="A39" s="547"/>
      <c r="B39" s="548"/>
      <c r="C39" s="549"/>
      <c r="D39" s="549"/>
      <c r="E39" s="550"/>
      <c r="F39" s="551"/>
      <c r="G39" s="549"/>
      <c r="H39" s="549"/>
      <c r="I39" s="552"/>
    </row>
    <row r="40" spans="1:9" ht="18" thickBot="1" x14ac:dyDescent="0.35">
      <c r="A40" s="553"/>
      <c r="B40" s="554"/>
      <c r="C40" s="555"/>
      <c r="D40" s="556" t="s">
        <v>11</v>
      </c>
      <c r="E40" s="557" t="s">
        <v>10</v>
      </c>
      <c r="F40" s="558"/>
      <c r="G40" s="555"/>
      <c r="H40" s="555"/>
      <c r="I40" s="559"/>
    </row>
    <row r="41" spans="1:9" ht="17.25" x14ac:dyDescent="0.3">
      <c r="A41" s="928" t="s">
        <v>9</v>
      </c>
      <c r="B41" s="929"/>
      <c r="C41" s="930"/>
      <c r="D41" s="524">
        <v>24500</v>
      </c>
      <c r="E41" s="560" t="s">
        <v>2</v>
      </c>
      <c r="F41" s="931" t="s">
        <v>93</v>
      </c>
      <c r="G41" s="931"/>
      <c r="H41" s="932"/>
      <c r="I41" s="933"/>
    </row>
    <row r="42" spans="1:9" ht="17.25" x14ac:dyDescent="0.3">
      <c r="A42" s="934" t="s">
        <v>8</v>
      </c>
      <c r="B42" s="935"/>
      <c r="C42" s="936"/>
      <c r="D42" s="497">
        <v>21</v>
      </c>
      <c r="E42" s="497" t="s">
        <v>7</v>
      </c>
      <c r="F42" s="937" t="s">
        <v>94</v>
      </c>
      <c r="G42" s="937"/>
      <c r="H42" s="938"/>
      <c r="I42" s="939"/>
    </row>
    <row r="43" spans="1:9" ht="17.25" x14ac:dyDescent="0.3">
      <c r="A43" s="934" t="s">
        <v>6</v>
      </c>
      <c r="B43" s="935"/>
      <c r="C43" s="936"/>
      <c r="D43" s="497">
        <v>1</v>
      </c>
      <c r="E43" s="497" t="s">
        <v>5</v>
      </c>
      <c r="F43" s="937" t="s">
        <v>96</v>
      </c>
      <c r="G43" s="937"/>
      <c r="H43" s="938"/>
      <c r="I43" s="939"/>
    </row>
    <row r="44" spans="1:9" ht="17.25" x14ac:dyDescent="0.3">
      <c r="A44" s="934" t="s">
        <v>4</v>
      </c>
      <c r="B44" s="935"/>
      <c r="C44" s="936"/>
      <c r="D44" s="515">
        <v>24500</v>
      </c>
      <c r="E44" s="497" t="s">
        <v>2</v>
      </c>
      <c r="F44" s="944" t="s">
        <v>97</v>
      </c>
      <c r="G44" s="945"/>
      <c r="H44" s="946"/>
      <c r="I44" s="947"/>
    </row>
    <row r="45" spans="1:9" ht="18" thickBot="1" x14ac:dyDescent="0.35">
      <c r="A45" s="948" t="s">
        <v>3</v>
      </c>
      <c r="B45" s="949"/>
      <c r="C45" s="950"/>
      <c r="D45" s="561">
        <v>500</v>
      </c>
      <c r="E45" s="562" t="s">
        <v>2</v>
      </c>
      <c r="F45" s="951"/>
      <c r="G45" s="951"/>
      <c r="H45" s="938"/>
      <c r="I45" s="939"/>
    </row>
    <row r="46" spans="1:9" ht="15.75" thickBot="1" x14ac:dyDescent="0.25">
      <c r="A46" s="952" t="s">
        <v>1</v>
      </c>
      <c r="B46" s="953"/>
      <c r="C46" s="953"/>
      <c r="D46" s="953"/>
      <c r="E46" s="953"/>
      <c r="F46" s="953"/>
      <c r="G46" s="953"/>
      <c r="H46" s="953"/>
      <c r="I46" s="954"/>
    </row>
    <row r="47" spans="1:9" ht="18.399999999999999" customHeight="1" x14ac:dyDescent="0.3">
      <c r="A47" s="940" t="s">
        <v>345</v>
      </c>
      <c r="B47" s="941"/>
      <c r="C47" s="942"/>
      <c r="D47" s="942"/>
      <c r="E47" s="942"/>
      <c r="F47" s="942"/>
      <c r="G47" s="942"/>
      <c r="H47" s="942"/>
      <c r="I47" s="943"/>
    </row>
    <row r="48" spans="1:9" ht="14.65" customHeight="1" x14ac:dyDescent="0.3">
      <c r="A48" s="940" t="s">
        <v>346</v>
      </c>
      <c r="B48" s="941"/>
      <c r="C48" s="942"/>
      <c r="D48" s="942"/>
      <c r="E48" s="942"/>
      <c r="F48" s="942"/>
      <c r="G48" s="942"/>
      <c r="H48" s="942"/>
      <c r="I48" s="943"/>
    </row>
    <row r="49" spans="1:9" ht="14.65" customHeight="1" x14ac:dyDescent="0.3">
      <c r="A49" s="962" t="s">
        <v>347</v>
      </c>
      <c r="B49" s="963"/>
      <c r="C49" s="963"/>
      <c r="D49" s="963"/>
      <c r="E49" s="963"/>
      <c r="F49" s="963"/>
      <c r="G49" s="963"/>
      <c r="H49" s="963"/>
      <c r="I49" s="964"/>
    </row>
    <row r="50" spans="1:9" ht="14.65" customHeight="1" x14ac:dyDescent="0.25">
      <c r="A50" s="836"/>
      <c r="B50" s="837"/>
      <c r="C50" s="837"/>
      <c r="D50" s="837"/>
      <c r="E50" s="837"/>
      <c r="F50" s="837"/>
      <c r="G50" s="837"/>
      <c r="H50" s="837"/>
      <c r="I50" s="838"/>
    </row>
    <row r="51" spans="1:9" ht="14.65" customHeight="1" x14ac:dyDescent="0.25">
      <c r="A51" s="836"/>
      <c r="B51" s="837"/>
      <c r="C51" s="837"/>
      <c r="D51" s="837"/>
      <c r="E51" s="837"/>
      <c r="F51" s="837"/>
      <c r="G51" s="837"/>
      <c r="H51" s="837"/>
      <c r="I51" s="838"/>
    </row>
    <row r="52" spans="1:9" ht="14.65" customHeight="1" thickBot="1" x14ac:dyDescent="0.3">
      <c r="A52" s="888"/>
      <c r="B52" s="889"/>
      <c r="C52" s="889"/>
      <c r="D52" s="889"/>
      <c r="E52" s="889"/>
      <c r="F52" s="889"/>
      <c r="G52" s="889"/>
      <c r="H52" s="889"/>
      <c r="I52" s="890"/>
    </row>
    <row r="53" spans="1:9" ht="18" customHeight="1" x14ac:dyDescent="0.3">
      <c r="A53" s="965"/>
      <c r="B53" s="966"/>
      <c r="C53" s="966"/>
      <c r="D53" s="966"/>
      <c r="E53" s="966"/>
      <c r="F53" s="966"/>
      <c r="G53" s="966"/>
      <c r="H53" s="966"/>
      <c r="I53" s="967"/>
    </row>
    <row r="54" spans="1:9" ht="18" thickBot="1" x14ac:dyDescent="0.35">
      <c r="A54" s="968"/>
      <c r="B54" s="969"/>
      <c r="C54" s="969"/>
      <c r="D54" s="969"/>
      <c r="E54" s="969"/>
      <c r="F54" s="969"/>
      <c r="G54" s="969"/>
      <c r="H54" s="969"/>
      <c r="I54" s="970"/>
    </row>
    <row r="55" spans="1:9" ht="15.75" x14ac:dyDescent="0.25">
      <c r="A55" s="955"/>
      <c r="B55" s="956"/>
      <c r="C55" s="956"/>
      <c r="D55" s="956"/>
      <c r="E55" s="956"/>
      <c r="F55" s="956"/>
      <c r="G55" s="956"/>
      <c r="H55" s="956"/>
      <c r="I55" s="957"/>
    </row>
    <row r="56" spans="1:9" ht="15.75" thickBot="1" x14ac:dyDescent="0.25">
      <c r="A56" s="519"/>
      <c r="B56" s="519"/>
      <c r="C56" s="519"/>
      <c r="D56" s="519"/>
      <c r="E56" s="519"/>
      <c r="F56" s="519"/>
      <c r="G56" s="519"/>
      <c r="H56" s="519"/>
      <c r="I56" s="519"/>
    </row>
    <row r="57" spans="1:9" ht="15" x14ac:dyDescent="0.2">
      <c r="A57" s="958" t="s">
        <v>348</v>
      </c>
      <c r="B57" s="959"/>
      <c r="C57" s="959"/>
      <c r="D57" s="959"/>
      <c r="E57" s="959"/>
      <c r="F57" s="959"/>
      <c r="G57" s="959"/>
      <c r="H57" s="959"/>
      <c r="I57" s="959"/>
    </row>
    <row r="58" spans="1:9" ht="17.25" x14ac:dyDescent="0.3">
      <c r="A58" s="960"/>
      <c r="B58" s="961"/>
      <c r="C58" s="961"/>
      <c r="D58" s="961"/>
      <c r="E58" s="961"/>
      <c r="F58" s="961"/>
      <c r="G58" s="961"/>
      <c r="H58" s="961"/>
      <c r="I58" s="961"/>
    </row>
  </sheetData>
  <mergeCells count="44">
    <mergeCell ref="A55:I55"/>
    <mergeCell ref="A57:I57"/>
    <mergeCell ref="A58:I58"/>
    <mergeCell ref="A49:I49"/>
    <mergeCell ref="A50:I50"/>
    <mergeCell ref="A51:I51"/>
    <mergeCell ref="A52:I52"/>
    <mergeCell ref="A53:I53"/>
    <mergeCell ref="A54:I54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9FA99-86B1-4ECB-82E9-E263FFD6C9E5}">
  <sheetPr>
    <pageSetUpPr fitToPage="1"/>
  </sheetPr>
  <dimension ref="A1:M39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6.28515625" style="1" customWidth="1"/>
    <col min="2" max="2" width="14.5703125" style="1" customWidth="1"/>
    <col min="3" max="3" width="48.28515625" style="1" customWidth="1"/>
    <col min="4" max="4" width="15.5703125" style="1" customWidth="1"/>
    <col min="5" max="5" width="11.42578125" style="1"/>
    <col min="6" max="6" width="13.28515625" style="1" customWidth="1"/>
    <col min="7" max="7" width="12.5703125" style="1" customWidth="1"/>
    <col min="8" max="8" width="15.5703125" style="1" customWidth="1"/>
    <col min="9" max="9" width="16" style="1" customWidth="1"/>
    <col min="10" max="16384" width="11.42578125" style="1"/>
  </cols>
  <sheetData>
    <row r="1" spans="1:11" ht="18" x14ac:dyDescent="0.25">
      <c r="A1" s="629"/>
      <c r="B1" s="630"/>
      <c r="C1" s="649" t="s">
        <v>49</v>
      </c>
      <c r="D1" s="649"/>
      <c r="E1" s="649"/>
      <c r="F1" s="649"/>
      <c r="G1" s="649"/>
      <c r="H1" s="67" t="s">
        <v>48</v>
      </c>
      <c r="I1" s="66"/>
    </row>
    <row r="2" spans="1:11" ht="18" x14ac:dyDescent="0.25">
      <c r="A2" s="631"/>
      <c r="B2" s="632"/>
      <c r="C2" s="650" t="s">
        <v>47</v>
      </c>
      <c r="D2" s="650"/>
      <c r="E2" s="650"/>
      <c r="F2" s="650"/>
      <c r="G2" s="650"/>
      <c r="H2" s="65" t="s">
        <v>46</v>
      </c>
      <c r="I2" s="75"/>
    </row>
    <row r="3" spans="1:11" ht="15" x14ac:dyDescent="0.2">
      <c r="A3" s="631"/>
      <c r="B3" s="632"/>
      <c r="C3" s="651" t="s">
        <v>140</v>
      </c>
      <c r="D3" s="652"/>
      <c r="E3" s="652"/>
      <c r="F3" s="652"/>
      <c r="G3" s="653"/>
      <c r="H3" s="654" t="s">
        <v>45</v>
      </c>
      <c r="I3" s="644"/>
    </row>
    <row r="4" spans="1:11" x14ac:dyDescent="0.2">
      <c r="A4" s="631"/>
      <c r="B4" s="632"/>
      <c r="C4" s="64" t="s">
        <v>44</v>
      </c>
      <c r="D4" s="647" t="s">
        <v>43</v>
      </c>
      <c r="E4" s="647"/>
      <c r="F4" s="647"/>
      <c r="G4" s="647"/>
      <c r="H4" s="654"/>
      <c r="I4" s="645"/>
    </row>
    <row r="5" spans="1:11" ht="15" customHeight="1" thickBot="1" x14ac:dyDescent="0.25">
      <c r="A5" s="633"/>
      <c r="B5" s="634"/>
      <c r="C5" s="63" t="s">
        <v>42</v>
      </c>
      <c r="D5" s="648" t="s">
        <v>41</v>
      </c>
      <c r="E5" s="648"/>
      <c r="F5" s="648"/>
      <c r="G5" s="648"/>
      <c r="H5" s="655"/>
      <c r="I5" s="646"/>
    </row>
    <row r="6" spans="1:11" ht="15" customHeight="1" x14ac:dyDescent="0.2">
      <c r="A6" s="62"/>
      <c r="B6" s="62"/>
      <c r="C6" s="61"/>
      <c r="D6" s="60"/>
      <c r="E6" s="60"/>
      <c r="F6" s="60"/>
      <c r="G6" s="60"/>
      <c r="H6" s="59"/>
      <c r="I6" s="58"/>
    </row>
    <row r="7" spans="1:11" ht="21" customHeight="1" thickBot="1" x14ac:dyDescent="0.3">
      <c r="A7" s="635" t="s">
        <v>40</v>
      </c>
      <c r="B7" s="635"/>
      <c r="C7" s="635"/>
      <c r="D7" s="636" t="s">
        <v>38</v>
      </c>
      <c r="E7" s="636"/>
      <c r="F7" s="636"/>
      <c r="G7" s="637" t="s">
        <v>39</v>
      </c>
      <c r="H7" s="637"/>
      <c r="I7" s="57" t="s">
        <v>38</v>
      </c>
    </row>
    <row r="8" spans="1:11" ht="25.5" x14ac:dyDescent="0.2">
      <c r="A8" s="638" t="s">
        <v>37</v>
      </c>
      <c r="B8" s="642" t="s">
        <v>54</v>
      </c>
      <c r="C8" s="640" t="s">
        <v>36</v>
      </c>
      <c r="D8" s="640" t="s">
        <v>35</v>
      </c>
      <c r="E8" s="640" t="s">
        <v>34</v>
      </c>
      <c r="F8" s="640"/>
      <c r="G8" s="640" t="s">
        <v>33</v>
      </c>
      <c r="H8" s="640"/>
      <c r="I8" s="56" t="s">
        <v>32</v>
      </c>
    </row>
    <row r="9" spans="1:11" ht="26.25" thickBot="1" x14ac:dyDescent="0.25">
      <c r="A9" s="639"/>
      <c r="B9" s="643"/>
      <c r="C9" s="641"/>
      <c r="D9" s="641"/>
      <c r="E9" s="55" t="s">
        <v>11</v>
      </c>
      <c r="F9" s="54" t="s">
        <v>31</v>
      </c>
      <c r="G9" s="55" t="s">
        <v>11</v>
      </c>
      <c r="H9" s="54" t="s">
        <v>31</v>
      </c>
      <c r="I9" s="53" t="s">
        <v>30</v>
      </c>
    </row>
    <row r="10" spans="1:11" ht="16.5" thickBot="1" x14ac:dyDescent="0.3">
      <c r="A10" s="52"/>
      <c r="B10" s="78"/>
      <c r="C10" s="51" t="s">
        <v>150</v>
      </c>
      <c r="D10" s="50" t="s">
        <v>26</v>
      </c>
      <c r="E10" s="50">
        <v>4400</v>
      </c>
      <c r="F10" s="50" t="s">
        <v>2</v>
      </c>
      <c r="G10" s="49"/>
      <c r="H10" s="48"/>
      <c r="I10" s="47"/>
    </row>
    <row r="11" spans="1:11" ht="16.5" thickBot="1" x14ac:dyDescent="0.3">
      <c r="A11" s="73" t="s">
        <v>141</v>
      </c>
      <c r="B11" s="73" t="s">
        <v>142</v>
      </c>
      <c r="C11" s="41" t="s">
        <v>143</v>
      </c>
      <c r="D11" s="31" t="s">
        <v>145</v>
      </c>
      <c r="E11" s="194">
        <v>3000</v>
      </c>
      <c r="F11" s="31" t="s">
        <v>2</v>
      </c>
      <c r="G11" s="49"/>
      <c r="H11" s="192"/>
      <c r="I11" s="193"/>
      <c r="K11" s="1">
        <f>SUM(E10:E12)</f>
        <v>10400</v>
      </c>
    </row>
    <row r="12" spans="1:11" ht="15" x14ac:dyDescent="0.2">
      <c r="A12" s="73"/>
      <c r="B12" s="73"/>
      <c r="C12" s="41" t="s">
        <v>144</v>
      </c>
      <c r="D12" s="43" t="s">
        <v>26</v>
      </c>
      <c r="E12" s="43">
        <v>3000</v>
      </c>
      <c r="F12" s="43" t="s">
        <v>2</v>
      </c>
      <c r="G12" s="49"/>
      <c r="H12" s="24"/>
      <c r="I12" s="30"/>
    </row>
    <row r="13" spans="1:11" ht="15" x14ac:dyDescent="0.2">
      <c r="A13" s="45"/>
      <c r="B13" s="79"/>
      <c r="C13" s="44"/>
      <c r="D13" s="43"/>
      <c r="E13" s="43"/>
      <c r="F13" s="43"/>
      <c r="G13" s="25"/>
      <c r="H13" s="24"/>
      <c r="I13" s="30"/>
    </row>
    <row r="14" spans="1:11" ht="15" x14ac:dyDescent="0.2">
      <c r="A14" s="42"/>
      <c r="B14" s="80"/>
      <c r="C14" s="41"/>
      <c r="D14" s="26"/>
      <c r="E14" s="26"/>
      <c r="F14" s="26"/>
      <c r="G14" s="622"/>
      <c r="H14" s="620"/>
      <c r="I14" s="621"/>
    </row>
    <row r="15" spans="1:11" ht="15.75" x14ac:dyDescent="0.25">
      <c r="A15" s="29"/>
      <c r="B15" s="84"/>
      <c r="C15" s="28"/>
      <c r="D15" s="31"/>
      <c r="E15" s="31"/>
      <c r="F15" s="31"/>
      <c r="G15" s="25"/>
      <c r="H15" s="24"/>
      <c r="I15" s="30"/>
    </row>
    <row r="16" spans="1:11" ht="15.75" x14ac:dyDescent="0.25">
      <c r="A16" s="29"/>
      <c r="B16" s="84"/>
      <c r="C16" s="28"/>
      <c r="D16" s="31"/>
      <c r="E16" s="31"/>
      <c r="F16" s="31"/>
      <c r="G16" s="25"/>
      <c r="H16" s="24"/>
      <c r="I16" s="30"/>
    </row>
    <row r="17" spans="1:13" ht="15" thickBot="1" x14ac:dyDescent="0.25">
      <c r="A17" s="22"/>
      <c r="B17" s="86"/>
      <c r="C17" s="21"/>
      <c r="D17" s="20"/>
      <c r="E17" s="19"/>
      <c r="F17" s="19"/>
      <c r="G17" s="19"/>
      <c r="H17" s="19"/>
      <c r="I17" s="18"/>
      <c r="L17" s="3"/>
    </row>
    <row r="18" spans="1:13" ht="13.5" thickBot="1" x14ac:dyDescent="0.25">
      <c r="A18" s="17"/>
      <c r="B18" s="87"/>
      <c r="C18" s="13"/>
      <c r="D18" s="16" t="s">
        <v>11</v>
      </c>
      <c r="E18" s="15" t="s">
        <v>10</v>
      </c>
      <c r="F18" s="14"/>
      <c r="G18" s="13"/>
      <c r="H18" s="13"/>
      <c r="I18" s="12"/>
      <c r="L18" s="3"/>
    </row>
    <row r="19" spans="1:13" x14ac:dyDescent="0.2">
      <c r="A19" s="623" t="s">
        <v>9</v>
      </c>
      <c r="B19" s="624"/>
      <c r="C19" s="625"/>
      <c r="D19" s="11">
        <v>10400</v>
      </c>
      <c r="E19" s="10" t="s">
        <v>2</v>
      </c>
      <c r="F19" s="626"/>
      <c r="G19" s="626"/>
      <c r="H19" s="627"/>
      <c r="I19" s="628"/>
      <c r="L19" s="3"/>
    </row>
    <row r="20" spans="1:13" x14ac:dyDescent="0.2">
      <c r="A20" s="603" t="s">
        <v>8</v>
      </c>
      <c r="B20" s="604"/>
      <c r="C20" s="605"/>
      <c r="D20" s="9">
        <v>5</v>
      </c>
      <c r="E20" s="7" t="s">
        <v>7</v>
      </c>
      <c r="F20" s="619"/>
      <c r="G20" s="619"/>
      <c r="H20" s="608"/>
      <c r="I20" s="609"/>
      <c r="L20" s="3"/>
    </row>
    <row r="21" spans="1:13" x14ac:dyDescent="0.2">
      <c r="A21" s="603" t="s">
        <v>6</v>
      </c>
      <c r="B21" s="604"/>
      <c r="C21" s="605"/>
      <c r="D21" s="7">
        <v>1</v>
      </c>
      <c r="E21" s="7" t="s">
        <v>5</v>
      </c>
      <c r="F21" s="619"/>
      <c r="G21" s="619"/>
      <c r="H21" s="608"/>
      <c r="I21" s="609"/>
      <c r="L21" s="3"/>
    </row>
    <row r="22" spans="1:13" x14ac:dyDescent="0.2">
      <c r="A22" s="603" t="s">
        <v>4</v>
      </c>
      <c r="B22" s="604"/>
      <c r="C22" s="605"/>
      <c r="D22" s="8">
        <f>+D19</f>
        <v>10400</v>
      </c>
      <c r="E22" s="7" t="s">
        <v>2</v>
      </c>
      <c r="F22" s="606"/>
      <c r="G22" s="607"/>
      <c r="H22" s="608"/>
      <c r="I22" s="609"/>
      <c r="L22" s="3"/>
      <c r="M22" s="6"/>
    </row>
    <row r="23" spans="1:13" ht="13.5" thickBot="1" x14ac:dyDescent="0.25">
      <c r="A23" s="610" t="s">
        <v>3</v>
      </c>
      <c r="B23" s="611"/>
      <c r="C23" s="612"/>
      <c r="D23" s="5">
        <f>SUM(E10:E14)-D19</f>
        <v>0</v>
      </c>
      <c r="E23" s="4" t="s">
        <v>2</v>
      </c>
      <c r="F23" s="613"/>
      <c r="G23" s="613"/>
      <c r="H23" s="614"/>
      <c r="I23" s="615"/>
      <c r="L23" s="3"/>
    </row>
    <row r="24" spans="1:13" ht="13.5" thickBot="1" x14ac:dyDescent="0.25">
      <c r="A24" s="591" t="s">
        <v>1</v>
      </c>
      <c r="B24" s="592"/>
      <c r="C24" s="592"/>
      <c r="D24" s="592"/>
      <c r="E24" s="592"/>
      <c r="F24" s="592"/>
      <c r="G24" s="592"/>
      <c r="H24" s="592"/>
      <c r="I24" s="593"/>
    </row>
    <row r="25" spans="1:13" ht="32.25" customHeight="1" x14ac:dyDescent="0.2">
      <c r="A25" s="616" t="s">
        <v>146</v>
      </c>
      <c r="B25" s="617"/>
      <c r="C25" s="617"/>
      <c r="D25" s="617"/>
      <c r="E25" s="617"/>
      <c r="F25" s="617"/>
      <c r="G25" s="617"/>
      <c r="H25" s="617"/>
      <c r="I25" s="618"/>
    </row>
    <row r="26" spans="1:13" ht="34.5" customHeight="1" x14ac:dyDescent="0.25">
      <c r="A26" s="594"/>
      <c r="B26" s="595"/>
      <c r="C26" s="595"/>
      <c r="D26" s="595"/>
      <c r="E26" s="595"/>
      <c r="F26" s="595"/>
      <c r="G26" s="595"/>
      <c r="H26" s="595"/>
      <c r="I26" s="596"/>
    </row>
    <row r="27" spans="1:13" ht="15" x14ac:dyDescent="0.25">
      <c r="A27" s="594"/>
      <c r="B27" s="595"/>
      <c r="C27" s="595"/>
      <c r="D27" s="595"/>
      <c r="E27" s="595"/>
      <c r="F27" s="595"/>
      <c r="G27" s="595"/>
      <c r="H27" s="595"/>
      <c r="I27" s="596"/>
    </row>
    <row r="28" spans="1:13" ht="30" customHeight="1" x14ac:dyDescent="0.25">
      <c r="A28" s="594"/>
      <c r="B28" s="595"/>
      <c r="C28" s="595"/>
      <c r="D28" s="595"/>
      <c r="E28" s="595"/>
      <c r="F28" s="595"/>
      <c r="G28" s="595"/>
      <c r="H28" s="595"/>
      <c r="I28" s="596"/>
    </row>
    <row r="29" spans="1:13" ht="15" x14ac:dyDescent="0.25">
      <c r="A29" s="594"/>
      <c r="B29" s="595"/>
      <c r="C29" s="595"/>
      <c r="D29" s="595"/>
      <c r="E29" s="595"/>
      <c r="F29" s="595"/>
      <c r="G29" s="595"/>
      <c r="H29" s="595"/>
      <c r="I29" s="596"/>
    </row>
    <row r="30" spans="1:13" ht="15" x14ac:dyDescent="0.25">
      <c r="A30" s="594"/>
      <c r="B30" s="595"/>
      <c r="C30" s="595"/>
      <c r="D30" s="595"/>
      <c r="E30" s="595"/>
      <c r="F30" s="595"/>
      <c r="G30" s="595"/>
      <c r="H30" s="595"/>
      <c r="I30" s="596"/>
    </row>
    <row r="31" spans="1:13" ht="16.5" customHeight="1" x14ac:dyDescent="0.2">
      <c r="A31" s="597"/>
      <c r="B31" s="598"/>
      <c r="C31" s="598"/>
      <c r="D31" s="598"/>
      <c r="E31" s="598"/>
      <c r="F31" s="598"/>
      <c r="G31" s="598"/>
      <c r="H31" s="598"/>
      <c r="I31" s="599"/>
    </row>
    <row r="32" spans="1:13" ht="16.5" customHeight="1" x14ac:dyDescent="0.2">
      <c r="A32" s="597"/>
      <c r="B32" s="598"/>
      <c r="C32" s="598"/>
      <c r="D32" s="598"/>
      <c r="E32" s="598"/>
      <c r="F32" s="598"/>
      <c r="G32" s="598"/>
      <c r="H32" s="598"/>
      <c r="I32" s="599"/>
    </row>
    <row r="33" spans="1:9" ht="16.5" customHeight="1" thickBot="1" x14ac:dyDescent="0.25">
      <c r="A33" s="600"/>
      <c r="B33" s="601"/>
      <c r="C33" s="601"/>
      <c r="D33" s="601"/>
      <c r="E33" s="601"/>
      <c r="F33" s="601"/>
      <c r="G33" s="601"/>
      <c r="H33" s="601"/>
      <c r="I33" s="602"/>
    </row>
    <row r="34" spans="1:9" ht="13.5" thickBot="1" x14ac:dyDescent="0.25">
      <c r="A34" s="591" t="s">
        <v>52</v>
      </c>
      <c r="B34" s="592"/>
      <c r="C34" s="592"/>
      <c r="D34" s="592"/>
      <c r="E34" s="592"/>
      <c r="F34" s="592"/>
      <c r="G34" s="592"/>
      <c r="H34" s="592"/>
      <c r="I34" s="593"/>
    </row>
    <row r="35" spans="1:9" x14ac:dyDescent="0.2">
      <c r="A35" s="2"/>
      <c r="B35" s="2"/>
      <c r="C35" s="2"/>
    </row>
    <row r="36" spans="1:9" x14ac:dyDescent="0.2">
      <c r="A36" s="2"/>
      <c r="B36" s="2"/>
    </row>
    <row r="37" spans="1:9" x14ac:dyDescent="0.2">
      <c r="A37" s="76"/>
      <c r="B37" s="76"/>
    </row>
    <row r="38" spans="1:9" x14ac:dyDescent="0.2">
      <c r="A38" s="76"/>
      <c r="B38" s="76"/>
    </row>
    <row r="39" spans="1:9" x14ac:dyDescent="0.2">
      <c r="A39" s="76"/>
      <c r="B39" s="76"/>
    </row>
  </sheetData>
  <mergeCells count="44">
    <mergeCell ref="A30:I30"/>
    <mergeCell ref="A31:I31"/>
    <mergeCell ref="A32:I32"/>
    <mergeCell ref="A33:I33"/>
    <mergeCell ref="A34:I34"/>
    <mergeCell ref="A29:I29"/>
    <mergeCell ref="A22:C22"/>
    <mergeCell ref="F22:G22"/>
    <mergeCell ref="H22:I22"/>
    <mergeCell ref="A23:C23"/>
    <mergeCell ref="F23:G23"/>
    <mergeCell ref="H23:I23"/>
    <mergeCell ref="A24:I24"/>
    <mergeCell ref="A25:I25"/>
    <mergeCell ref="A26:I26"/>
    <mergeCell ref="A27:I27"/>
    <mergeCell ref="A28:I28"/>
    <mergeCell ref="A20:C20"/>
    <mergeCell ref="F20:G20"/>
    <mergeCell ref="H20:I20"/>
    <mergeCell ref="A21:C21"/>
    <mergeCell ref="F21:G21"/>
    <mergeCell ref="H21:I21"/>
    <mergeCell ref="G14:I14"/>
    <mergeCell ref="A19:C19"/>
    <mergeCell ref="F19:G19"/>
    <mergeCell ref="H19:I19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54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5F27B-AB18-44C6-8C74-B5B258C8E307}">
  <dimension ref="A1:Q91"/>
  <sheetViews>
    <sheetView topLeftCell="A25" workbookViewId="0">
      <selection activeCell="D60" sqref="D60"/>
    </sheetView>
  </sheetViews>
  <sheetFormatPr baseColWidth="10" defaultColWidth="8.42578125" defaultRowHeight="12.75" x14ac:dyDescent="0.2"/>
  <cols>
    <col min="1" max="1" width="10" style="208" bestFit="1" customWidth="1"/>
    <col min="2" max="2" width="44.28515625" style="208" bestFit="1" customWidth="1"/>
    <col min="3" max="3" width="10.42578125" style="208" bestFit="1" customWidth="1"/>
    <col min="4" max="4" width="10.42578125" style="208" customWidth="1"/>
    <col min="5" max="5" width="9.7109375" style="208" bestFit="1" customWidth="1"/>
    <col min="6" max="6" width="9.5703125" style="208" bestFit="1" customWidth="1"/>
    <col min="7" max="7" width="9.5703125" style="290" bestFit="1" customWidth="1"/>
    <col min="8" max="8" width="10.42578125" style="281" bestFit="1" customWidth="1"/>
    <col min="9" max="9" width="4.5703125" style="281" customWidth="1"/>
    <col min="10" max="10" width="1.85546875" style="207" customWidth="1"/>
    <col min="11" max="11" width="7" style="208" bestFit="1" customWidth="1"/>
    <col min="12" max="12" width="6.28515625" style="208" customWidth="1"/>
    <col min="13" max="13" width="20.42578125" style="208" customWidth="1"/>
    <col min="14" max="14" width="6.42578125" style="208" bestFit="1" customWidth="1"/>
    <col min="15" max="16" width="8.42578125" style="208"/>
    <col min="17" max="17" width="3.28515625" style="208" customWidth="1"/>
    <col min="18" max="256" width="8.42578125" style="208"/>
    <col min="257" max="257" width="10" style="208" bestFit="1" customWidth="1"/>
    <col min="258" max="258" width="44.28515625" style="208" bestFit="1" customWidth="1"/>
    <col min="259" max="259" width="10.42578125" style="208" bestFit="1" customWidth="1"/>
    <col min="260" max="260" width="10.42578125" style="208" customWidth="1"/>
    <col min="261" max="261" width="9.7109375" style="208" bestFit="1" customWidth="1"/>
    <col min="262" max="263" width="9.5703125" style="208" bestFit="1" customWidth="1"/>
    <col min="264" max="264" width="10.42578125" style="208" bestFit="1" customWidth="1"/>
    <col min="265" max="265" width="4.5703125" style="208" customWidth="1"/>
    <col min="266" max="266" width="1.85546875" style="208" customWidth="1"/>
    <col min="267" max="267" width="7" style="208" bestFit="1" customWidth="1"/>
    <col min="268" max="268" width="6.28515625" style="208" customWidth="1"/>
    <col min="269" max="269" width="20.42578125" style="208" customWidth="1"/>
    <col min="270" max="270" width="6.42578125" style="208" bestFit="1" customWidth="1"/>
    <col min="271" max="272" width="8.42578125" style="208"/>
    <col min="273" max="273" width="3.28515625" style="208" customWidth="1"/>
    <col min="274" max="512" width="8.42578125" style="208"/>
    <col min="513" max="513" width="10" style="208" bestFit="1" customWidth="1"/>
    <col min="514" max="514" width="44.28515625" style="208" bestFit="1" customWidth="1"/>
    <col min="515" max="515" width="10.42578125" style="208" bestFit="1" customWidth="1"/>
    <col min="516" max="516" width="10.42578125" style="208" customWidth="1"/>
    <col min="517" max="517" width="9.7109375" style="208" bestFit="1" customWidth="1"/>
    <col min="518" max="519" width="9.5703125" style="208" bestFit="1" customWidth="1"/>
    <col min="520" max="520" width="10.42578125" style="208" bestFit="1" customWidth="1"/>
    <col min="521" max="521" width="4.5703125" style="208" customWidth="1"/>
    <col min="522" max="522" width="1.85546875" style="208" customWidth="1"/>
    <col min="523" max="523" width="7" style="208" bestFit="1" customWidth="1"/>
    <col min="524" max="524" width="6.28515625" style="208" customWidth="1"/>
    <col min="525" max="525" width="20.42578125" style="208" customWidth="1"/>
    <col min="526" max="526" width="6.42578125" style="208" bestFit="1" customWidth="1"/>
    <col min="527" max="528" width="8.42578125" style="208"/>
    <col min="529" max="529" width="3.28515625" style="208" customWidth="1"/>
    <col min="530" max="768" width="8.42578125" style="208"/>
    <col min="769" max="769" width="10" style="208" bestFit="1" customWidth="1"/>
    <col min="770" max="770" width="44.28515625" style="208" bestFit="1" customWidth="1"/>
    <col min="771" max="771" width="10.42578125" style="208" bestFit="1" customWidth="1"/>
    <col min="772" max="772" width="10.42578125" style="208" customWidth="1"/>
    <col min="773" max="773" width="9.7109375" style="208" bestFit="1" customWidth="1"/>
    <col min="774" max="775" width="9.5703125" style="208" bestFit="1" customWidth="1"/>
    <col min="776" max="776" width="10.42578125" style="208" bestFit="1" customWidth="1"/>
    <col min="777" max="777" width="4.5703125" style="208" customWidth="1"/>
    <col min="778" max="778" width="1.85546875" style="208" customWidth="1"/>
    <col min="779" max="779" width="7" style="208" bestFit="1" customWidth="1"/>
    <col min="780" max="780" width="6.28515625" style="208" customWidth="1"/>
    <col min="781" max="781" width="20.42578125" style="208" customWidth="1"/>
    <col min="782" max="782" width="6.42578125" style="208" bestFit="1" customWidth="1"/>
    <col min="783" max="784" width="8.42578125" style="208"/>
    <col min="785" max="785" width="3.28515625" style="208" customWidth="1"/>
    <col min="786" max="1024" width="8.42578125" style="208"/>
    <col min="1025" max="1025" width="10" style="208" bestFit="1" customWidth="1"/>
    <col min="1026" max="1026" width="44.28515625" style="208" bestFit="1" customWidth="1"/>
    <col min="1027" max="1027" width="10.42578125" style="208" bestFit="1" customWidth="1"/>
    <col min="1028" max="1028" width="10.42578125" style="208" customWidth="1"/>
    <col min="1029" max="1029" width="9.7109375" style="208" bestFit="1" customWidth="1"/>
    <col min="1030" max="1031" width="9.5703125" style="208" bestFit="1" customWidth="1"/>
    <col min="1032" max="1032" width="10.42578125" style="208" bestFit="1" customWidth="1"/>
    <col min="1033" max="1033" width="4.5703125" style="208" customWidth="1"/>
    <col min="1034" max="1034" width="1.85546875" style="208" customWidth="1"/>
    <col min="1035" max="1035" width="7" style="208" bestFit="1" customWidth="1"/>
    <col min="1036" max="1036" width="6.28515625" style="208" customWidth="1"/>
    <col min="1037" max="1037" width="20.42578125" style="208" customWidth="1"/>
    <col min="1038" max="1038" width="6.42578125" style="208" bestFit="1" customWidth="1"/>
    <col min="1039" max="1040" width="8.42578125" style="208"/>
    <col min="1041" max="1041" width="3.28515625" style="208" customWidth="1"/>
    <col min="1042" max="1280" width="8.42578125" style="208"/>
    <col min="1281" max="1281" width="10" style="208" bestFit="1" customWidth="1"/>
    <col min="1282" max="1282" width="44.28515625" style="208" bestFit="1" customWidth="1"/>
    <col min="1283" max="1283" width="10.42578125" style="208" bestFit="1" customWidth="1"/>
    <col min="1284" max="1284" width="10.42578125" style="208" customWidth="1"/>
    <col min="1285" max="1285" width="9.7109375" style="208" bestFit="1" customWidth="1"/>
    <col min="1286" max="1287" width="9.5703125" style="208" bestFit="1" customWidth="1"/>
    <col min="1288" max="1288" width="10.42578125" style="208" bestFit="1" customWidth="1"/>
    <col min="1289" max="1289" width="4.5703125" style="208" customWidth="1"/>
    <col min="1290" max="1290" width="1.85546875" style="208" customWidth="1"/>
    <col min="1291" max="1291" width="7" style="208" bestFit="1" customWidth="1"/>
    <col min="1292" max="1292" width="6.28515625" style="208" customWidth="1"/>
    <col min="1293" max="1293" width="20.42578125" style="208" customWidth="1"/>
    <col min="1294" max="1294" width="6.42578125" style="208" bestFit="1" customWidth="1"/>
    <col min="1295" max="1296" width="8.42578125" style="208"/>
    <col min="1297" max="1297" width="3.28515625" style="208" customWidth="1"/>
    <col min="1298" max="1536" width="8.42578125" style="208"/>
    <col min="1537" max="1537" width="10" style="208" bestFit="1" customWidth="1"/>
    <col min="1538" max="1538" width="44.28515625" style="208" bestFit="1" customWidth="1"/>
    <col min="1539" max="1539" width="10.42578125" style="208" bestFit="1" customWidth="1"/>
    <col min="1540" max="1540" width="10.42578125" style="208" customWidth="1"/>
    <col min="1541" max="1541" width="9.7109375" style="208" bestFit="1" customWidth="1"/>
    <col min="1542" max="1543" width="9.5703125" style="208" bestFit="1" customWidth="1"/>
    <col min="1544" max="1544" width="10.42578125" style="208" bestFit="1" customWidth="1"/>
    <col min="1545" max="1545" width="4.5703125" style="208" customWidth="1"/>
    <col min="1546" max="1546" width="1.85546875" style="208" customWidth="1"/>
    <col min="1547" max="1547" width="7" style="208" bestFit="1" customWidth="1"/>
    <col min="1548" max="1548" width="6.28515625" style="208" customWidth="1"/>
    <col min="1549" max="1549" width="20.42578125" style="208" customWidth="1"/>
    <col min="1550" max="1550" width="6.42578125" style="208" bestFit="1" customWidth="1"/>
    <col min="1551" max="1552" width="8.42578125" style="208"/>
    <col min="1553" max="1553" width="3.28515625" style="208" customWidth="1"/>
    <col min="1554" max="1792" width="8.42578125" style="208"/>
    <col min="1793" max="1793" width="10" style="208" bestFit="1" customWidth="1"/>
    <col min="1794" max="1794" width="44.28515625" style="208" bestFit="1" customWidth="1"/>
    <col min="1795" max="1795" width="10.42578125" style="208" bestFit="1" customWidth="1"/>
    <col min="1796" max="1796" width="10.42578125" style="208" customWidth="1"/>
    <col min="1797" max="1797" width="9.7109375" style="208" bestFit="1" customWidth="1"/>
    <col min="1798" max="1799" width="9.5703125" style="208" bestFit="1" customWidth="1"/>
    <col min="1800" max="1800" width="10.42578125" style="208" bestFit="1" customWidth="1"/>
    <col min="1801" max="1801" width="4.5703125" style="208" customWidth="1"/>
    <col min="1802" max="1802" width="1.85546875" style="208" customWidth="1"/>
    <col min="1803" max="1803" width="7" style="208" bestFit="1" customWidth="1"/>
    <col min="1804" max="1804" width="6.28515625" style="208" customWidth="1"/>
    <col min="1805" max="1805" width="20.42578125" style="208" customWidth="1"/>
    <col min="1806" max="1806" width="6.42578125" style="208" bestFit="1" customWidth="1"/>
    <col min="1807" max="1808" width="8.42578125" style="208"/>
    <col min="1809" max="1809" width="3.28515625" style="208" customWidth="1"/>
    <col min="1810" max="2048" width="8.42578125" style="208"/>
    <col min="2049" max="2049" width="10" style="208" bestFit="1" customWidth="1"/>
    <col min="2050" max="2050" width="44.28515625" style="208" bestFit="1" customWidth="1"/>
    <col min="2051" max="2051" width="10.42578125" style="208" bestFit="1" customWidth="1"/>
    <col min="2052" max="2052" width="10.42578125" style="208" customWidth="1"/>
    <col min="2053" max="2053" width="9.7109375" style="208" bestFit="1" customWidth="1"/>
    <col min="2054" max="2055" width="9.5703125" style="208" bestFit="1" customWidth="1"/>
    <col min="2056" max="2056" width="10.42578125" style="208" bestFit="1" customWidth="1"/>
    <col min="2057" max="2057" width="4.5703125" style="208" customWidth="1"/>
    <col min="2058" max="2058" width="1.85546875" style="208" customWidth="1"/>
    <col min="2059" max="2059" width="7" style="208" bestFit="1" customWidth="1"/>
    <col min="2060" max="2060" width="6.28515625" style="208" customWidth="1"/>
    <col min="2061" max="2061" width="20.42578125" style="208" customWidth="1"/>
    <col min="2062" max="2062" width="6.42578125" style="208" bestFit="1" customWidth="1"/>
    <col min="2063" max="2064" width="8.42578125" style="208"/>
    <col min="2065" max="2065" width="3.28515625" style="208" customWidth="1"/>
    <col min="2066" max="2304" width="8.42578125" style="208"/>
    <col min="2305" max="2305" width="10" style="208" bestFit="1" customWidth="1"/>
    <col min="2306" max="2306" width="44.28515625" style="208" bestFit="1" customWidth="1"/>
    <col min="2307" max="2307" width="10.42578125" style="208" bestFit="1" customWidth="1"/>
    <col min="2308" max="2308" width="10.42578125" style="208" customWidth="1"/>
    <col min="2309" max="2309" width="9.7109375" style="208" bestFit="1" customWidth="1"/>
    <col min="2310" max="2311" width="9.5703125" style="208" bestFit="1" customWidth="1"/>
    <col min="2312" max="2312" width="10.42578125" style="208" bestFit="1" customWidth="1"/>
    <col min="2313" max="2313" width="4.5703125" style="208" customWidth="1"/>
    <col min="2314" max="2314" width="1.85546875" style="208" customWidth="1"/>
    <col min="2315" max="2315" width="7" style="208" bestFit="1" customWidth="1"/>
    <col min="2316" max="2316" width="6.28515625" style="208" customWidth="1"/>
    <col min="2317" max="2317" width="20.42578125" style="208" customWidth="1"/>
    <col min="2318" max="2318" width="6.42578125" style="208" bestFit="1" customWidth="1"/>
    <col min="2319" max="2320" width="8.42578125" style="208"/>
    <col min="2321" max="2321" width="3.28515625" style="208" customWidth="1"/>
    <col min="2322" max="2560" width="8.42578125" style="208"/>
    <col min="2561" max="2561" width="10" style="208" bestFit="1" customWidth="1"/>
    <col min="2562" max="2562" width="44.28515625" style="208" bestFit="1" customWidth="1"/>
    <col min="2563" max="2563" width="10.42578125" style="208" bestFit="1" customWidth="1"/>
    <col min="2564" max="2564" width="10.42578125" style="208" customWidth="1"/>
    <col min="2565" max="2565" width="9.7109375" style="208" bestFit="1" customWidth="1"/>
    <col min="2566" max="2567" width="9.5703125" style="208" bestFit="1" customWidth="1"/>
    <col min="2568" max="2568" width="10.42578125" style="208" bestFit="1" customWidth="1"/>
    <col min="2569" max="2569" width="4.5703125" style="208" customWidth="1"/>
    <col min="2570" max="2570" width="1.85546875" style="208" customWidth="1"/>
    <col min="2571" max="2571" width="7" style="208" bestFit="1" customWidth="1"/>
    <col min="2572" max="2572" width="6.28515625" style="208" customWidth="1"/>
    <col min="2573" max="2573" width="20.42578125" style="208" customWidth="1"/>
    <col min="2574" max="2574" width="6.42578125" style="208" bestFit="1" customWidth="1"/>
    <col min="2575" max="2576" width="8.42578125" style="208"/>
    <col min="2577" max="2577" width="3.28515625" style="208" customWidth="1"/>
    <col min="2578" max="2816" width="8.42578125" style="208"/>
    <col min="2817" max="2817" width="10" style="208" bestFit="1" customWidth="1"/>
    <col min="2818" max="2818" width="44.28515625" style="208" bestFit="1" customWidth="1"/>
    <col min="2819" max="2819" width="10.42578125" style="208" bestFit="1" customWidth="1"/>
    <col min="2820" max="2820" width="10.42578125" style="208" customWidth="1"/>
    <col min="2821" max="2821" width="9.7109375" style="208" bestFit="1" customWidth="1"/>
    <col min="2822" max="2823" width="9.5703125" style="208" bestFit="1" customWidth="1"/>
    <col min="2824" max="2824" width="10.42578125" style="208" bestFit="1" customWidth="1"/>
    <col min="2825" max="2825" width="4.5703125" style="208" customWidth="1"/>
    <col min="2826" max="2826" width="1.85546875" style="208" customWidth="1"/>
    <col min="2827" max="2827" width="7" style="208" bestFit="1" customWidth="1"/>
    <col min="2828" max="2828" width="6.28515625" style="208" customWidth="1"/>
    <col min="2829" max="2829" width="20.42578125" style="208" customWidth="1"/>
    <col min="2830" max="2830" width="6.42578125" style="208" bestFit="1" customWidth="1"/>
    <col min="2831" max="2832" width="8.42578125" style="208"/>
    <col min="2833" max="2833" width="3.28515625" style="208" customWidth="1"/>
    <col min="2834" max="3072" width="8.42578125" style="208"/>
    <col min="3073" max="3073" width="10" style="208" bestFit="1" customWidth="1"/>
    <col min="3074" max="3074" width="44.28515625" style="208" bestFit="1" customWidth="1"/>
    <col min="3075" max="3075" width="10.42578125" style="208" bestFit="1" customWidth="1"/>
    <col min="3076" max="3076" width="10.42578125" style="208" customWidth="1"/>
    <col min="3077" max="3077" width="9.7109375" style="208" bestFit="1" customWidth="1"/>
    <col min="3078" max="3079" width="9.5703125" style="208" bestFit="1" customWidth="1"/>
    <col min="3080" max="3080" width="10.42578125" style="208" bestFit="1" customWidth="1"/>
    <col min="3081" max="3081" width="4.5703125" style="208" customWidth="1"/>
    <col min="3082" max="3082" width="1.85546875" style="208" customWidth="1"/>
    <col min="3083" max="3083" width="7" style="208" bestFit="1" customWidth="1"/>
    <col min="3084" max="3084" width="6.28515625" style="208" customWidth="1"/>
    <col min="3085" max="3085" width="20.42578125" style="208" customWidth="1"/>
    <col min="3086" max="3086" width="6.42578125" style="208" bestFit="1" customWidth="1"/>
    <col min="3087" max="3088" width="8.42578125" style="208"/>
    <col min="3089" max="3089" width="3.28515625" style="208" customWidth="1"/>
    <col min="3090" max="3328" width="8.42578125" style="208"/>
    <col min="3329" max="3329" width="10" style="208" bestFit="1" customWidth="1"/>
    <col min="3330" max="3330" width="44.28515625" style="208" bestFit="1" customWidth="1"/>
    <col min="3331" max="3331" width="10.42578125" style="208" bestFit="1" customWidth="1"/>
    <col min="3332" max="3332" width="10.42578125" style="208" customWidth="1"/>
    <col min="3333" max="3333" width="9.7109375" style="208" bestFit="1" customWidth="1"/>
    <col min="3334" max="3335" width="9.5703125" style="208" bestFit="1" customWidth="1"/>
    <col min="3336" max="3336" width="10.42578125" style="208" bestFit="1" customWidth="1"/>
    <col min="3337" max="3337" width="4.5703125" style="208" customWidth="1"/>
    <col min="3338" max="3338" width="1.85546875" style="208" customWidth="1"/>
    <col min="3339" max="3339" width="7" style="208" bestFit="1" customWidth="1"/>
    <col min="3340" max="3340" width="6.28515625" style="208" customWidth="1"/>
    <col min="3341" max="3341" width="20.42578125" style="208" customWidth="1"/>
    <col min="3342" max="3342" width="6.42578125" style="208" bestFit="1" customWidth="1"/>
    <col min="3343" max="3344" width="8.42578125" style="208"/>
    <col min="3345" max="3345" width="3.28515625" style="208" customWidth="1"/>
    <col min="3346" max="3584" width="8.42578125" style="208"/>
    <col min="3585" max="3585" width="10" style="208" bestFit="1" customWidth="1"/>
    <col min="3586" max="3586" width="44.28515625" style="208" bestFit="1" customWidth="1"/>
    <col min="3587" max="3587" width="10.42578125" style="208" bestFit="1" customWidth="1"/>
    <col min="3588" max="3588" width="10.42578125" style="208" customWidth="1"/>
    <col min="3589" max="3589" width="9.7109375" style="208" bestFit="1" customWidth="1"/>
    <col min="3590" max="3591" width="9.5703125" style="208" bestFit="1" customWidth="1"/>
    <col min="3592" max="3592" width="10.42578125" style="208" bestFit="1" customWidth="1"/>
    <col min="3593" max="3593" width="4.5703125" style="208" customWidth="1"/>
    <col min="3594" max="3594" width="1.85546875" style="208" customWidth="1"/>
    <col min="3595" max="3595" width="7" style="208" bestFit="1" customWidth="1"/>
    <col min="3596" max="3596" width="6.28515625" style="208" customWidth="1"/>
    <col min="3597" max="3597" width="20.42578125" style="208" customWidth="1"/>
    <col min="3598" max="3598" width="6.42578125" style="208" bestFit="1" customWidth="1"/>
    <col min="3599" max="3600" width="8.42578125" style="208"/>
    <col min="3601" max="3601" width="3.28515625" style="208" customWidth="1"/>
    <col min="3602" max="3840" width="8.42578125" style="208"/>
    <col min="3841" max="3841" width="10" style="208" bestFit="1" customWidth="1"/>
    <col min="3842" max="3842" width="44.28515625" style="208" bestFit="1" customWidth="1"/>
    <col min="3843" max="3843" width="10.42578125" style="208" bestFit="1" customWidth="1"/>
    <col min="3844" max="3844" width="10.42578125" style="208" customWidth="1"/>
    <col min="3845" max="3845" width="9.7109375" style="208" bestFit="1" customWidth="1"/>
    <col min="3846" max="3847" width="9.5703125" style="208" bestFit="1" customWidth="1"/>
    <col min="3848" max="3848" width="10.42578125" style="208" bestFit="1" customWidth="1"/>
    <col min="3849" max="3849" width="4.5703125" style="208" customWidth="1"/>
    <col min="3850" max="3850" width="1.85546875" style="208" customWidth="1"/>
    <col min="3851" max="3851" width="7" style="208" bestFit="1" customWidth="1"/>
    <col min="3852" max="3852" width="6.28515625" style="208" customWidth="1"/>
    <col min="3853" max="3853" width="20.42578125" style="208" customWidth="1"/>
    <col min="3854" max="3854" width="6.42578125" style="208" bestFit="1" customWidth="1"/>
    <col min="3855" max="3856" width="8.42578125" style="208"/>
    <col min="3857" max="3857" width="3.28515625" style="208" customWidth="1"/>
    <col min="3858" max="4096" width="8.42578125" style="208"/>
    <col min="4097" max="4097" width="10" style="208" bestFit="1" customWidth="1"/>
    <col min="4098" max="4098" width="44.28515625" style="208" bestFit="1" customWidth="1"/>
    <col min="4099" max="4099" width="10.42578125" style="208" bestFit="1" customWidth="1"/>
    <col min="4100" max="4100" width="10.42578125" style="208" customWidth="1"/>
    <col min="4101" max="4101" width="9.7109375" style="208" bestFit="1" customWidth="1"/>
    <col min="4102" max="4103" width="9.5703125" style="208" bestFit="1" customWidth="1"/>
    <col min="4104" max="4104" width="10.42578125" style="208" bestFit="1" customWidth="1"/>
    <col min="4105" max="4105" width="4.5703125" style="208" customWidth="1"/>
    <col min="4106" max="4106" width="1.85546875" style="208" customWidth="1"/>
    <col min="4107" max="4107" width="7" style="208" bestFit="1" customWidth="1"/>
    <col min="4108" max="4108" width="6.28515625" style="208" customWidth="1"/>
    <col min="4109" max="4109" width="20.42578125" style="208" customWidth="1"/>
    <col min="4110" max="4110" width="6.42578125" style="208" bestFit="1" customWidth="1"/>
    <col min="4111" max="4112" width="8.42578125" style="208"/>
    <col min="4113" max="4113" width="3.28515625" style="208" customWidth="1"/>
    <col min="4114" max="4352" width="8.42578125" style="208"/>
    <col min="4353" max="4353" width="10" style="208" bestFit="1" customWidth="1"/>
    <col min="4354" max="4354" width="44.28515625" style="208" bestFit="1" customWidth="1"/>
    <col min="4355" max="4355" width="10.42578125" style="208" bestFit="1" customWidth="1"/>
    <col min="4356" max="4356" width="10.42578125" style="208" customWidth="1"/>
    <col min="4357" max="4357" width="9.7109375" style="208" bestFit="1" customWidth="1"/>
    <col min="4358" max="4359" width="9.5703125" style="208" bestFit="1" customWidth="1"/>
    <col min="4360" max="4360" width="10.42578125" style="208" bestFit="1" customWidth="1"/>
    <col min="4361" max="4361" width="4.5703125" style="208" customWidth="1"/>
    <col min="4362" max="4362" width="1.85546875" style="208" customWidth="1"/>
    <col min="4363" max="4363" width="7" style="208" bestFit="1" customWidth="1"/>
    <col min="4364" max="4364" width="6.28515625" style="208" customWidth="1"/>
    <col min="4365" max="4365" width="20.42578125" style="208" customWidth="1"/>
    <col min="4366" max="4366" width="6.42578125" style="208" bestFit="1" customWidth="1"/>
    <col min="4367" max="4368" width="8.42578125" style="208"/>
    <col min="4369" max="4369" width="3.28515625" style="208" customWidth="1"/>
    <col min="4370" max="4608" width="8.42578125" style="208"/>
    <col min="4609" max="4609" width="10" style="208" bestFit="1" customWidth="1"/>
    <col min="4610" max="4610" width="44.28515625" style="208" bestFit="1" customWidth="1"/>
    <col min="4611" max="4611" width="10.42578125" style="208" bestFit="1" customWidth="1"/>
    <col min="4612" max="4612" width="10.42578125" style="208" customWidth="1"/>
    <col min="4613" max="4613" width="9.7109375" style="208" bestFit="1" customWidth="1"/>
    <col min="4614" max="4615" width="9.5703125" style="208" bestFit="1" customWidth="1"/>
    <col min="4616" max="4616" width="10.42578125" style="208" bestFit="1" customWidth="1"/>
    <col min="4617" max="4617" width="4.5703125" style="208" customWidth="1"/>
    <col min="4618" max="4618" width="1.85546875" style="208" customWidth="1"/>
    <col min="4619" max="4619" width="7" style="208" bestFit="1" customWidth="1"/>
    <col min="4620" max="4620" width="6.28515625" style="208" customWidth="1"/>
    <col min="4621" max="4621" width="20.42578125" style="208" customWidth="1"/>
    <col min="4622" max="4622" width="6.42578125" style="208" bestFit="1" customWidth="1"/>
    <col min="4623" max="4624" width="8.42578125" style="208"/>
    <col min="4625" max="4625" width="3.28515625" style="208" customWidth="1"/>
    <col min="4626" max="4864" width="8.42578125" style="208"/>
    <col min="4865" max="4865" width="10" style="208" bestFit="1" customWidth="1"/>
    <col min="4866" max="4866" width="44.28515625" style="208" bestFit="1" customWidth="1"/>
    <col min="4867" max="4867" width="10.42578125" style="208" bestFit="1" customWidth="1"/>
    <col min="4868" max="4868" width="10.42578125" style="208" customWidth="1"/>
    <col min="4869" max="4869" width="9.7109375" style="208" bestFit="1" customWidth="1"/>
    <col min="4870" max="4871" width="9.5703125" style="208" bestFit="1" customWidth="1"/>
    <col min="4872" max="4872" width="10.42578125" style="208" bestFit="1" customWidth="1"/>
    <col min="4873" max="4873" width="4.5703125" style="208" customWidth="1"/>
    <col min="4874" max="4874" width="1.85546875" style="208" customWidth="1"/>
    <col min="4875" max="4875" width="7" style="208" bestFit="1" customWidth="1"/>
    <col min="4876" max="4876" width="6.28515625" style="208" customWidth="1"/>
    <col min="4877" max="4877" width="20.42578125" style="208" customWidth="1"/>
    <col min="4878" max="4878" width="6.42578125" style="208" bestFit="1" customWidth="1"/>
    <col min="4879" max="4880" width="8.42578125" style="208"/>
    <col min="4881" max="4881" width="3.28515625" style="208" customWidth="1"/>
    <col min="4882" max="5120" width="8.42578125" style="208"/>
    <col min="5121" max="5121" width="10" style="208" bestFit="1" customWidth="1"/>
    <col min="5122" max="5122" width="44.28515625" style="208" bestFit="1" customWidth="1"/>
    <col min="5123" max="5123" width="10.42578125" style="208" bestFit="1" customWidth="1"/>
    <col min="5124" max="5124" width="10.42578125" style="208" customWidth="1"/>
    <col min="5125" max="5125" width="9.7109375" style="208" bestFit="1" customWidth="1"/>
    <col min="5126" max="5127" width="9.5703125" style="208" bestFit="1" customWidth="1"/>
    <col min="5128" max="5128" width="10.42578125" style="208" bestFit="1" customWidth="1"/>
    <col min="5129" max="5129" width="4.5703125" style="208" customWidth="1"/>
    <col min="5130" max="5130" width="1.85546875" style="208" customWidth="1"/>
    <col min="5131" max="5131" width="7" style="208" bestFit="1" customWidth="1"/>
    <col min="5132" max="5132" width="6.28515625" style="208" customWidth="1"/>
    <col min="5133" max="5133" width="20.42578125" style="208" customWidth="1"/>
    <col min="5134" max="5134" width="6.42578125" style="208" bestFit="1" customWidth="1"/>
    <col min="5135" max="5136" width="8.42578125" style="208"/>
    <col min="5137" max="5137" width="3.28515625" style="208" customWidth="1"/>
    <col min="5138" max="5376" width="8.42578125" style="208"/>
    <col min="5377" max="5377" width="10" style="208" bestFit="1" customWidth="1"/>
    <col min="5378" max="5378" width="44.28515625" style="208" bestFit="1" customWidth="1"/>
    <col min="5379" max="5379" width="10.42578125" style="208" bestFit="1" customWidth="1"/>
    <col min="5380" max="5380" width="10.42578125" style="208" customWidth="1"/>
    <col min="5381" max="5381" width="9.7109375" style="208" bestFit="1" customWidth="1"/>
    <col min="5382" max="5383" width="9.5703125" style="208" bestFit="1" customWidth="1"/>
    <col min="5384" max="5384" width="10.42578125" style="208" bestFit="1" customWidth="1"/>
    <col min="5385" max="5385" width="4.5703125" style="208" customWidth="1"/>
    <col min="5386" max="5386" width="1.85546875" style="208" customWidth="1"/>
    <col min="5387" max="5387" width="7" style="208" bestFit="1" customWidth="1"/>
    <col min="5388" max="5388" width="6.28515625" style="208" customWidth="1"/>
    <col min="5389" max="5389" width="20.42578125" style="208" customWidth="1"/>
    <col min="5390" max="5390" width="6.42578125" style="208" bestFit="1" customWidth="1"/>
    <col min="5391" max="5392" width="8.42578125" style="208"/>
    <col min="5393" max="5393" width="3.28515625" style="208" customWidth="1"/>
    <col min="5394" max="5632" width="8.42578125" style="208"/>
    <col min="5633" max="5633" width="10" style="208" bestFit="1" customWidth="1"/>
    <col min="5634" max="5634" width="44.28515625" style="208" bestFit="1" customWidth="1"/>
    <col min="5635" max="5635" width="10.42578125" style="208" bestFit="1" customWidth="1"/>
    <col min="5636" max="5636" width="10.42578125" style="208" customWidth="1"/>
    <col min="5637" max="5637" width="9.7109375" style="208" bestFit="1" customWidth="1"/>
    <col min="5638" max="5639" width="9.5703125" style="208" bestFit="1" customWidth="1"/>
    <col min="5640" max="5640" width="10.42578125" style="208" bestFit="1" customWidth="1"/>
    <col min="5641" max="5641" width="4.5703125" style="208" customWidth="1"/>
    <col min="5642" max="5642" width="1.85546875" style="208" customWidth="1"/>
    <col min="5643" max="5643" width="7" style="208" bestFit="1" customWidth="1"/>
    <col min="5644" max="5644" width="6.28515625" style="208" customWidth="1"/>
    <col min="5645" max="5645" width="20.42578125" style="208" customWidth="1"/>
    <col min="5646" max="5646" width="6.42578125" style="208" bestFit="1" customWidth="1"/>
    <col min="5647" max="5648" width="8.42578125" style="208"/>
    <col min="5649" max="5649" width="3.28515625" style="208" customWidth="1"/>
    <col min="5650" max="5888" width="8.42578125" style="208"/>
    <col min="5889" max="5889" width="10" style="208" bestFit="1" customWidth="1"/>
    <col min="5890" max="5890" width="44.28515625" style="208" bestFit="1" customWidth="1"/>
    <col min="5891" max="5891" width="10.42578125" style="208" bestFit="1" customWidth="1"/>
    <col min="5892" max="5892" width="10.42578125" style="208" customWidth="1"/>
    <col min="5893" max="5893" width="9.7109375" style="208" bestFit="1" customWidth="1"/>
    <col min="5894" max="5895" width="9.5703125" style="208" bestFit="1" customWidth="1"/>
    <col min="5896" max="5896" width="10.42578125" style="208" bestFit="1" customWidth="1"/>
    <col min="5897" max="5897" width="4.5703125" style="208" customWidth="1"/>
    <col min="5898" max="5898" width="1.85546875" style="208" customWidth="1"/>
    <col min="5899" max="5899" width="7" style="208" bestFit="1" customWidth="1"/>
    <col min="5900" max="5900" width="6.28515625" style="208" customWidth="1"/>
    <col min="5901" max="5901" width="20.42578125" style="208" customWidth="1"/>
    <col min="5902" max="5902" width="6.42578125" style="208" bestFit="1" customWidth="1"/>
    <col min="5903" max="5904" width="8.42578125" style="208"/>
    <col min="5905" max="5905" width="3.28515625" style="208" customWidth="1"/>
    <col min="5906" max="6144" width="8.42578125" style="208"/>
    <col min="6145" max="6145" width="10" style="208" bestFit="1" customWidth="1"/>
    <col min="6146" max="6146" width="44.28515625" style="208" bestFit="1" customWidth="1"/>
    <col min="6147" max="6147" width="10.42578125" style="208" bestFit="1" customWidth="1"/>
    <col min="6148" max="6148" width="10.42578125" style="208" customWidth="1"/>
    <col min="6149" max="6149" width="9.7109375" style="208" bestFit="1" customWidth="1"/>
    <col min="6150" max="6151" width="9.5703125" style="208" bestFit="1" customWidth="1"/>
    <col min="6152" max="6152" width="10.42578125" style="208" bestFit="1" customWidth="1"/>
    <col min="6153" max="6153" width="4.5703125" style="208" customWidth="1"/>
    <col min="6154" max="6154" width="1.85546875" style="208" customWidth="1"/>
    <col min="6155" max="6155" width="7" style="208" bestFit="1" customWidth="1"/>
    <col min="6156" max="6156" width="6.28515625" style="208" customWidth="1"/>
    <col min="6157" max="6157" width="20.42578125" style="208" customWidth="1"/>
    <col min="6158" max="6158" width="6.42578125" style="208" bestFit="1" customWidth="1"/>
    <col min="6159" max="6160" width="8.42578125" style="208"/>
    <col min="6161" max="6161" width="3.28515625" style="208" customWidth="1"/>
    <col min="6162" max="6400" width="8.42578125" style="208"/>
    <col min="6401" max="6401" width="10" style="208" bestFit="1" customWidth="1"/>
    <col min="6402" max="6402" width="44.28515625" style="208" bestFit="1" customWidth="1"/>
    <col min="6403" max="6403" width="10.42578125" style="208" bestFit="1" customWidth="1"/>
    <col min="6404" max="6404" width="10.42578125" style="208" customWidth="1"/>
    <col min="6405" max="6405" width="9.7109375" style="208" bestFit="1" customWidth="1"/>
    <col min="6406" max="6407" width="9.5703125" style="208" bestFit="1" customWidth="1"/>
    <col min="6408" max="6408" width="10.42578125" style="208" bestFit="1" customWidth="1"/>
    <col min="6409" max="6409" width="4.5703125" style="208" customWidth="1"/>
    <col min="6410" max="6410" width="1.85546875" style="208" customWidth="1"/>
    <col min="6411" max="6411" width="7" style="208" bestFit="1" customWidth="1"/>
    <col min="6412" max="6412" width="6.28515625" style="208" customWidth="1"/>
    <col min="6413" max="6413" width="20.42578125" style="208" customWidth="1"/>
    <col min="6414" max="6414" width="6.42578125" style="208" bestFit="1" customWidth="1"/>
    <col min="6415" max="6416" width="8.42578125" style="208"/>
    <col min="6417" max="6417" width="3.28515625" style="208" customWidth="1"/>
    <col min="6418" max="6656" width="8.42578125" style="208"/>
    <col min="6657" max="6657" width="10" style="208" bestFit="1" customWidth="1"/>
    <col min="6658" max="6658" width="44.28515625" style="208" bestFit="1" customWidth="1"/>
    <col min="6659" max="6659" width="10.42578125" style="208" bestFit="1" customWidth="1"/>
    <col min="6660" max="6660" width="10.42578125" style="208" customWidth="1"/>
    <col min="6661" max="6661" width="9.7109375" style="208" bestFit="1" customWidth="1"/>
    <col min="6662" max="6663" width="9.5703125" style="208" bestFit="1" customWidth="1"/>
    <col min="6664" max="6664" width="10.42578125" style="208" bestFit="1" customWidth="1"/>
    <col min="6665" max="6665" width="4.5703125" style="208" customWidth="1"/>
    <col min="6666" max="6666" width="1.85546875" style="208" customWidth="1"/>
    <col min="6667" max="6667" width="7" style="208" bestFit="1" customWidth="1"/>
    <col min="6668" max="6668" width="6.28515625" style="208" customWidth="1"/>
    <col min="6669" max="6669" width="20.42578125" style="208" customWidth="1"/>
    <col min="6670" max="6670" width="6.42578125" style="208" bestFit="1" customWidth="1"/>
    <col min="6671" max="6672" width="8.42578125" style="208"/>
    <col min="6673" max="6673" width="3.28515625" style="208" customWidth="1"/>
    <col min="6674" max="6912" width="8.42578125" style="208"/>
    <col min="6913" max="6913" width="10" style="208" bestFit="1" customWidth="1"/>
    <col min="6914" max="6914" width="44.28515625" style="208" bestFit="1" customWidth="1"/>
    <col min="6915" max="6915" width="10.42578125" style="208" bestFit="1" customWidth="1"/>
    <col min="6916" max="6916" width="10.42578125" style="208" customWidth="1"/>
    <col min="6917" max="6917" width="9.7109375" style="208" bestFit="1" customWidth="1"/>
    <col min="6918" max="6919" width="9.5703125" style="208" bestFit="1" customWidth="1"/>
    <col min="6920" max="6920" width="10.42578125" style="208" bestFit="1" customWidth="1"/>
    <col min="6921" max="6921" width="4.5703125" style="208" customWidth="1"/>
    <col min="6922" max="6922" width="1.85546875" style="208" customWidth="1"/>
    <col min="6923" max="6923" width="7" style="208" bestFit="1" customWidth="1"/>
    <col min="6924" max="6924" width="6.28515625" style="208" customWidth="1"/>
    <col min="6925" max="6925" width="20.42578125" style="208" customWidth="1"/>
    <col min="6926" max="6926" width="6.42578125" style="208" bestFit="1" customWidth="1"/>
    <col min="6927" max="6928" width="8.42578125" style="208"/>
    <col min="6929" max="6929" width="3.28515625" style="208" customWidth="1"/>
    <col min="6930" max="7168" width="8.42578125" style="208"/>
    <col min="7169" max="7169" width="10" style="208" bestFit="1" customWidth="1"/>
    <col min="7170" max="7170" width="44.28515625" style="208" bestFit="1" customWidth="1"/>
    <col min="7171" max="7171" width="10.42578125" style="208" bestFit="1" customWidth="1"/>
    <col min="7172" max="7172" width="10.42578125" style="208" customWidth="1"/>
    <col min="7173" max="7173" width="9.7109375" style="208" bestFit="1" customWidth="1"/>
    <col min="7174" max="7175" width="9.5703125" style="208" bestFit="1" customWidth="1"/>
    <col min="7176" max="7176" width="10.42578125" style="208" bestFit="1" customWidth="1"/>
    <col min="7177" max="7177" width="4.5703125" style="208" customWidth="1"/>
    <col min="7178" max="7178" width="1.85546875" style="208" customWidth="1"/>
    <col min="7179" max="7179" width="7" style="208" bestFit="1" customWidth="1"/>
    <col min="7180" max="7180" width="6.28515625" style="208" customWidth="1"/>
    <col min="7181" max="7181" width="20.42578125" style="208" customWidth="1"/>
    <col min="7182" max="7182" width="6.42578125" style="208" bestFit="1" customWidth="1"/>
    <col min="7183" max="7184" width="8.42578125" style="208"/>
    <col min="7185" max="7185" width="3.28515625" style="208" customWidth="1"/>
    <col min="7186" max="7424" width="8.42578125" style="208"/>
    <col min="7425" max="7425" width="10" style="208" bestFit="1" customWidth="1"/>
    <col min="7426" max="7426" width="44.28515625" style="208" bestFit="1" customWidth="1"/>
    <col min="7427" max="7427" width="10.42578125" style="208" bestFit="1" customWidth="1"/>
    <col min="7428" max="7428" width="10.42578125" style="208" customWidth="1"/>
    <col min="7429" max="7429" width="9.7109375" style="208" bestFit="1" customWidth="1"/>
    <col min="7430" max="7431" width="9.5703125" style="208" bestFit="1" customWidth="1"/>
    <col min="7432" max="7432" width="10.42578125" style="208" bestFit="1" customWidth="1"/>
    <col min="7433" max="7433" width="4.5703125" style="208" customWidth="1"/>
    <col min="7434" max="7434" width="1.85546875" style="208" customWidth="1"/>
    <col min="7435" max="7435" width="7" style="208" bestFit="1" customWidth="1"/>
    <col min="7436" max="7436" width="6.28515625" style="208" customWidth="1"/>
    <col min="7437" max="7437" width="20.42578125" style="208" customWidth="1"/>
    <col min="7438" max="7438" width="6.42578125" style="208" bestFit="1" customWidth="1"/>
    <col min="7439" max="7440" width="8.42578125" style="208"/>
    <col min="7441" max="7441" width="3.28515625" style="208" customWidth="1"/>
    <col min="7442" max="7680" width="8.42578125" style="208"/>
    <col min="7681" max="7681" width="10" style="208" bestFit="1" customWidth="1"/>
    <col min="7682" max="7682" width="44.28515625" style="208" bestFit="1" customWidth="1"/>
    <col min="7683" max="7683" width="10.42578125" style="208" bestFit="1" customWidth="1"/>
    <col min="7684" max="7684" width="10.42578125" style="208" customWidth="1"/>
    <col min="7685" max="7685" width="9.7109375" style="208" bestFit="1" customWidth="1"/>
    <col min="7686" max="7687" width="9.5703125" style="208" bestFit="1" customWidth="1"/>
    <col min="7688" max="7688" width="10.42578125" style="208" bestFit="1" customWidth="1"/>
    <col min="7689" max="7689" width="4.5703125" style="208" customWidth="1"/>
    <col min="7690" max="7690" width="1.85546875" style="208" customWidth="1"/>
    <col min="7691" max="7691" width="7" style="208" bestFit="1" customWidth="1"/>
    <col min="7692" max="7692" width="6.28515625" style="208" customWidth="1"/>
    <col min="7693" max="7693" width="20.42578125" style="208" customWidth="1"/>
    <col min="7694" max="7694" width="6.42578125" style="208" bestFit="1" customWidth="1"/>
    <col min="7695" max="7696" width="8.42578125" style="208"/>
    <col min="7697" max="7697" width="3.28515625" style="208" customWidth="1"/>
    <col min="7698" max="7936" width="8.42578125" style="208"/>
    <col min="7937" max="7937" width="10" style="208" bestFit="1" customWidth="1"/>
    <col min="7938" max="7938" width="44.28515625" style="208" bestFit="1" customWidth="1"/>
    <col min="7939" max="7939" width="10.42578125" style="208" bestFit="1" customWidth="1"/>
    <col min="7940" max="7940" width="10.42578125" style="208" customWidth="1"/>
    <col min="7941" max="7941" width="9.7109375" style="208" bestFit="1" customWidth="1"/>
    <col min="7942" max="7943" width="9.5703125" style="208" bestFit="1" customWidth="1"/>
    <col min="7944" max="7944" width="10.42578125" style="208" bestFit="1" customWidth="1"/>
    <col min="7945" max="7945" width="4.5703125" style="208" customWidth="1"/>
    <col min="7946" max="7946" width="1.85546875" style="208" customWidth="1"/>
    <col min="7947" max="7947" width="7" style="208" bestFit="1" customWidth="1"/>
    <col min="7948" max="7948" width="6.28515625" style="208" customWidth="1"/>
    <col min="7949" max="7949" width="20.42578125" style="208" customWidth="1"/>
    <col min="7950" max="7950" width="6.42578125" style="208" bestFit="1" customWidth="1"/>
    <col min="7951" max="7952" width="8.42578125" style="208"/>
    <col min="7953" max="7953" width="3.28515625" style="208" customWidth="1"/>
    <col min="7954" max="8192" width="8.42578125" style="208"/>
    <col min="8193" max="8193" width="10" style="208" bestFit="1" customWidth="1"/>
    <col min="8194" max="8194" width="44.28515625" style="208" bestFit="1" customWidth="1"/>
    <col min="8195" max="8195" width="10.42578125" style="208" bestFit="1" customWidth="1"/>
    <col min="8196" max="8196" width="10.42578125" style="208" customWidth="1"/>
    <col min="8197" max="8197" width="9.7109375" style="208" bestFit="1" customWidth="1"/>
    <col min="8198" max="8199" width="9.5703125" style="208" bestFit="1" customWidth="1"/>
    <col min="8200" max="8200" width="10.42578125" style="208" bestFit="1" customWidth="1"/>
    <col min="8201" max="8201" width="4.5703125" style="208" customWidth="1"/>
    <col min="8202" max="8202" width="1.85546875" style="208" customWidth="1"/>
    <col min="8203" max="8203" width="7" style="208" bestFit="1" customWidth="1"/>
    <col min="8204" max="8204" width="6.28515625" style="208" customWidth="1"/>
    <col min="8205" max="8205" width="20.42578125" style="208" customWidth="1"/>
    <col min="8206" max="8206" width="6.42578125" style="208" bestFit="1" customWidth="1"/>
    <col min="8207" max="8208" width="8.42578125" style="208"/>
    <col min="8209" max="8209" width="3.28515625" style="208" customWidth="1"/>
    <col min="8210" max="8448" width="8.42578125" style="208"/>
    <col min="8449" max="8449" width="10" style="208" bestFit="1" customWidth="1"/>
    <col min="8450" max="8450" width="44.28515625" style="208" bestFit="1" customWidth="1"/>
    <col min="8451" max="8451" width="10.42578125" style="208" bestFit="1" customWidth="1"/>
    <col min="8452" max="8452" width="10.42578125" style="208" customWidth="1"/>
    <col min="8453" max="8453" width="9.7109375" style="208" bestFit="1" customWidth="1"/>
    <col min="8454" max="8455" width="9.5703125" style="208" bestFit="1" customWidth="1"/>
    <col min="8456" max="8456" width="10.42578125" style="208" bestFit="1" customWidth="1"/>
    <col min="8457" max="8457" width="4.5703125" style="208" customWidth="1"/>
    <col min="8458" max="8458" width="1.85546875" style="208" customWidth="1"/>
    <col min="8459" max="8459" width="7" style="208" bestFit="1" customWidth="1"/>
    <col min="8460" max="8460" width="6.28515625" style="208" customWidth="1"/>
    <col min="8461" max="8461" width="20.42578125" style="208" customWidth="1"/>
    <col min="8462" max="8462" width="6.42578125" style="208" bestFit="1" customWidth="1"/>
    <col min="8463" max="8464" width="8.42578125" style="208"/>
    <col min="8465" max="8465" width="3.28515625" style="208" customWidth="1"/>
    <col min="8466" max="8704" width="8.42578125" style="208"/>
    <col min="8705" max="8705" width="10" style="208" bestFit="1" customWidth="1"/>
    <col min="8706" max="8706" width="44.28515625" style="208" bestFit="1" customWidth="1"/>
    <col min="8707" max="8707" width="10.42578125" style="208" bestFit="1" customWidth="1"/>
    <col min="8708" max="8708" width="10.42578125" style="208" customWidth="1"/>
    <col min="8709" max="8709" width="9.7109375" style="208" bestFit="1" customWidth="1"/>
    <col min="8710" max="8711" width="9.5703125" style="208" bestFit="1" customWidth="1"/>
    <col min="8712" max="8712" width="10.42578125" style="208" bestFit="1" customWidth="1"/>
    <col min="8713" max="8713" width="4.5703125" style="208" customWidth="1"/>
    <col min="8714" max="8714" width="1.85546875" style="208" customWidth="1"/>
    <col min="8715" max="8715" width="7" style="208" bestFit="1" customWidth="1"/>
    <col min="8716" max="8716" width="6.28515625" style="208" customWidth="1"/>
    <col min="8717" max="8717" width="20.42578125" style="208" customWidth="1"/>
    <col min="8718" max="8718" width="6.42578125" style="208" bestFit="1" customWidth="1"/>
    <col min="8719" max="8720" width="8.42578125" style="208"/>
    <col min="8721" max="8721" width="3.28515625" style="208" customWidth="1"/>
    <col min="8722" max="8960" width="8.42578125" style="208"/>
    <col min="8961" max="8961" width="10" style="208" bestFit="1" customWidth="1"/>
    <col min="8962" max="8962" width="44.28515625" style="208" bestFit="1" customWidth="1"/>
    <col min="8963" max="8963" width="10.42578125" style="208" bestFit="1" customWidth="1"/>
    <col min="8964" max="8964" width="10.42578125" style="208" customWidth="1"/>
    <col min="8965" max="8965" width="9.7109375" style="208" bestFit="1" customWidth="1"/>
    <col min="8966" max="8967" width="9.5703125" style="208" bestFit="1" customWidth="1"/>
    <col min="8968" max="8968" width="10.42578125" style="208" bestFit="1" customWidth="1"/>
    <col min="8969" max="8969" width="4.5703125" style="208" customWidth="1"/>
    <col min="8970" max="8970" width="1.85546875" style="208" customWidth="1"/>
    <col min="8971" max="8971" width="7" style="208" bestFit="1" customWidth="1"/>
    <col min="8972" max="8972" width="6.28515625" style="208" customWidth="1"/>
    <col min="8973" max="8973" width="20.42578125" style="208" customWidth="1"/>
    <col min="8974" max="8974" width="6.42578125" style="208" bestFit="1" customWidth="1"/>
    <col min="8975" max="8976" width="8.42578125" style="208"/>
    <col min="8977" max="8977" width="3.28515625" style="208" customWidth="1"/>
    <col min="8978" max="9216" width="8.42578125" style="208"/>
    <col min="9217" max="9217" width="10" style="208" bestFit="1" customWidth="1"/>
    <col min="9218" max="9218" width="44.28515625" style="208" bestFit="1" customWidth="1"/>
    <col min="9219" max="9219" width="10.42578125" style="208" bestFit="1" customWidth="1"/>
    <col min="9220" max="9220" width="10.42578125" style="208" customWidth="1"/>
    <col min="9221" max="9221" width="9.7109375" style="208" bestFit="1" customWidth="1"/>
    <col min="9222" max="9223" width="9.5703125" style="208" bestFit="1" customWidth="1"/>
    <col min="9224" max="9224" width="10.42578125" style="208" bestFit="1" customWidth="1"/>
    <col min="9225" max="9225" width="4.5703125" style="208" customWidth="1"/>
    <col min="9226" max="9226" width="1.85546875" style="208" customWidth="1"/>
    <col min="9227" max="9227" width="7" style="208" bestFit="1" customWidth="1"/>
    <col min="9228" max="9228" width="6.28515625" style="208" customWidth="1"/>
    <col min="9229" max="9229" width="20.42578125" style="208" customWidth="1"/>
    <col min="9230" max="9230" width="6.42578125" style="208" bestFit="1" customWidth="1"/>
    <col min="9231" max="9232" width="8.42578125" style="208"/>
    <col min="9233" max="9233" width="3.28515625" style="208" customWidth="1"/>
    <col min="9234" max="9472" width="8.42578125" style="208"/>
    <col min="9473" max="9473" width="10" style="208" bestFit="1" customWidth="1"/>
    <col min="9474" max="9474" width="44.28515625" style="208" bestFit="1" customWidth="1"/>
    <col min="9475" max="9475" width="10.42578125" style="208" bestFit="1" customWidth="1"/>
    <col min="9476" max="9476" width="10.42578125" style="208" customWidth="1"/>
    <col min="9477" max="9477" width="9.7109375" style="208" bestFit="1" customWidth="1"/>
    <col min="9478" max="9479" width="9.5703125" style="208" bestFit="1" customWidth="1"/>
    <col min="9480" max="9480" width="10.42578125" style="208" bestFit="1" customWidth="1"/>
    <col min="9481" max="9481" width="4.5703125" style="208" customWidth="1"/>
    <col min="9482" max="9482" width="1.85546875" style="208" customWidth="1"/>
    <col min="9483" max="9483" width="7" style="208" bestFit="1" customWidth="1"/>
    <col min="9484" max="9484" width="6.28515625" style="208" customWidth="1"/>
    <col min="9485" max="9485" width="20.42578125" style="208" customWidth="1"/>
    <col min="9486" max="9486" width="6.42578125" style="208" bestFit="1" customWidth="1"/>
    <col min="9487" max="9488" width="8.42578125" style="208"/>
    <col min="9489" max="9489" width="3.28515625" style="208" customWidth="1"/>
    <col min="9490" max="9728" width="8.42578125" style="208"/>
    <col min="9729" max="9729" width="10" style="208" bestFit="1" customWidth="1"/>
    <col min="9730" max="9730" width="44.28515625" style="208" bestFit="1" customWidth="1"/>
    <col min="9731" max="9731" width="10.42578125" style="208" bestFit="1" customWidth="1"/>
    <col min="9732" max="9732" width="10.42578125" style="208" customWidth="1"/>
    <col min="9733" max="9733" width="9.7109375" style="208" bestFit="1" customWidth="1"/>
    <col min="9734" max="9735" width="9.5703125" style="208" bestFit="1" customWidth="1"/>
    <col min="9736" max="9736" width="10.42578125" style="208" bestFit="1" customWidth="1"/>
    <col min="9737" max="9737" width="4.5703125" style="208" customWidth="1"/>
    <col min="9738" max="9738" width="1.85546875" style="208" customWidth="1"/>
    <col min="9739" max="9739" width="7" style="208" bestFit="1" customWidth="1"/>
    <col min="9740" max="9740" width="6.28515625" style="208" customWidth="1"/>
    <col min="9741" max="9741" width="20.42578125" style="208" customWidth="1"/>
    <col min="9742" max="9742" width="6.42578125" style="208" bestFit="1" customWidth="1"/>
    <col min="9743" max="9744" width="8.42578125" style="208"/>
    <col min="9745" max="9745" width="3.28515625" style="208" customWidth="1"/>
    <col min="9746" max="9984" width="8.42578125" style="208"/>
    <col min="9985" max="9985" width="10" style="208" bestFit="1" customWidth="1"/>
    <col min="9986" max="9986" width="44.28515625" style="208" bestFit="1" customWidth="1"/>
    <col min="9987" max="9987" width="10.42578125" style="208" bestFit="1" customWidth="1"/>
    <col min="9988" max="9988" width="10.42578125" style="208" customWidth="1"/>
    <col min="9989" max="9989" width="9.7109375" style="208" bestFit="1" customWidth="1"/>
    <col min="9990" max="9991" width="9.5703125" style="208" bestFit="1" customWidth="1"/>
    <col min="9992" max="9992" width="10.42578125" style="208" bestFit="1" customWidth="1"/>
    <col min="9993" max="9993" width="4.5703125" style="208" customWidth="1"/>
    <col min="9994" max="9994" width="1.85546875" style="208" customWidth="1"/>
    <col min="9995" max="9995" width="7" style="208" bestFit="1" customWidth="1"/>
    <col min="9996" max="9996" width="6.28515625" style="208" customWidth="1"/>
    <col min="9997" max="9997" width="20.42578125" style="208" customWidth="1"/>
    <col min="9998" max="9998" width="6.42578125" style="208" bestFit="1" customWidth="1"/>
    <col min="9999" max="10000" width="8.42578125" style="208"/>
    <col min="10001" max="10001" width="3.28515625" style="208" customWidth="1"/>
    <col min="10002" max="10240" width="8.42578125" style="208"/>
    <col min="10241" max="10241" width="10" style="208" bestFit="1" customWidth="1"/>
    <col min="10242" max="10242" width="44.28515625" style="208" bestFit="1" customWidth="1"/>
    <col min="10243" max="10243" width="10.42578125" style="208" bestFit="1" customWidth="1"/>
    <col min="10244" max="10244" width="10.42578125" style="208" customWidth="1"/>
    <col min="10245" max="10245" width="9.7109375" style="208" bestFit="1" customWidth="1"/>
    <col min="10246" max="10247" width="9.5703125" style="208" bestFit="1" customWidth="1"/>
    <col min="10248" max="10248" width="10.42578125" style="208" bestFit="1" customWidth="1"/>
    <col min="10249" max="10249" width="4.5703125" style="208" customWidth="1"/>
    <col min="10250" max="10250" width="1.85546875" style="208" customWidth="1"/>
    <col min="10251" max="10251" width="7" style="208" bestFit="1" customWidth="1"/>
    <col min="10252" max="10252" width="6.28515625" style="208" customWidth="1"/>
    <col min="10253" max="10253" width="20.42578125" style="208" customWidth="1"/>
    <col min="10254" max="10254" width="6.42578125" style="208" bestFit="1" customWidth="1"/>
    <col min="10255" max="10256" width="8.42578125" style="208"/>
    <col min="10257" max="10257" width="3.28515625" style="208" customWidth="1"/>
    <col min="10258" max="10496" width="8.42578125" style="208"/>
    <col min="10497" max="10497" width="10" style="208" bestFit="1" customWidth="1"/>
    <col min="10498" max="10498" width="44.28515625" style="208" bestFit="1" customWidth="1"/>
    <col min="10499" max="10499" width="10.42578125" style="208" bestFit="1" customWidth="1"/>
    <col min="10500" max="10500" width="10.42578125" style="208" customWidth="1"/>
    <col min="10501" max="10501" width="9.7109375" style="208" bestFit="1" customWidth="1"/>
    <col min="10502" max="10503" width="9.5703125" style="208" bestFit="1" customWidth="1"/>
    <col min="10504" max="10504" width="10.42578125" style="208" bestFit="1" customWidth="1"/>
    <col min="10505" max="10505" width="4.5703125" style="208" customWidth="1"/>
    <col min="10506" max="10506" width="1.85546875" style="208" customWidth="1"/>
    <col min="10507" max="10507" width="7" style="208" bestFit="1" customWidth="1"/>
    <col min="10508" max="10508" width="6.28515625" style="208" customWidth="1"/>
    <col min="10509" max="10509" width="20.42578125" style="208" customWidth="1"/>
    <col min="10510" max="10510" width="6.42578125" style="208" bestFit="1" customWidth="1"/>
    <col min="10511" max="10512" width="8.42578125" style="208"/>
    <col min="10513" max="10513" width="3.28515625" style="208" customWidth="1"/>
    <col min="10514" max="10752" width="8.42578125" style="208"/>
    <col min="10753" max="10753" width="10" style="208" bestFit="1" customWidth="1"/>
    <col min="10754" max="10754" width="44.28515625" style="208" bestFit="1" customWidth="1"/>
    <col min="10755" max="10755" width="10.42578125" style="208" bestFit="1" customWidth="1"/>
    <col min="10756" max="10756" width="10.42578125" style="208" customWidth="1"/>
    <col min="10757" max="10757" width="9.7109375" style="208" bestFit="1" customWidth="1"/>
    <col min="10758" max="10759" width="9.5703125" style="208" bestFit="1" customWidth="1"/>
    <col min="10760" max="10760" width="10.42578125" style="208" bestFit="1" customWidth="1"/>
    <col min="10761" max="10761" width="4.5703125" style="208" customWidth="1"/>
    <col min="10762" max="10762" width="1.85546875" style="208" customWidth="1"/>
    <col min="10763" max="10763" width="7" style="208" bestFit="1" customWidth="1"/>
    <col min="10764" max="10764" width="6.28515625" style="208" customWidth="1"/>
    <col min="10765" max="10765" width="20.42578125" style="208" customWidth="1"/>
    <col min="10766" max="10766" width="6.42578125" style="208" bestFit="1" customWidth="1"/>
    <col min="10767" max="10768" width="8.42578125" style="208"/>
    <col min="10769" max="10769" width="3.28515625" style="208" customWidth="1"/>
    <col min="10770" max="11008" width="8.42578125" style="208"/>
    <col min="11009" max="11009" width="10" style="208" bestFit="1" customWidth="1"/>
    <col min="11010" max="11010" width="44.28515625" style="208" bestFit="1" customWidth="1"/>
    <col min="11011" max="11011" width="10.42578125" style="208" bestFit="1" customWidth="1"/>
    <col min="11012" max="11012" width="10.42578125" style="208" customWidth="1"/>
    <col min="11013" max="11013" width="9.7109375" style="208" bestFit="1" customWidth="1"/>
    <col min="11014" max="11015" width="9.5703125" style="208" bestFit="1" customWidth="1"/>
    <col min="11016" max="11016" width="10.42578125" style="208" bestFit="1" customWidth="1"/>
    <col min="11017" max="11017" width="4.5703125" style="208" customWidth="1"/>
    <col min="11018" max="11018" width="1.85546875" style="208" customWidth="1"/>
    <col min="11019" max="11019" width="7" style="208" bestFit="1" customWidth="1"/>
    <col min="11020" max="11020" width="6.28515625" style="208" customWidth="1"/>
    <col min="11021" max="11021" width="20.42578125" style="208" customWidth="1"/>
    <col min="11022" max="11022" width="6.42578125" style="208" bestFit="1" customWidth="1"/>
    <col min="11023" max="11024" width="8.42578125" style="208"/>
    <col min="11025" max="11025" width="3.28515625" style="208" customWidth="1"/>
    <col min="11026" max="11264" width="8.42578125" style="208"/>
    <col min="11265" max="11265" width="10" style="208" bestFit="1" customWidth="1"/>
    <col min="11266" max="11266" width="44.28515625" style="208" bestFit="1" customWidth="1"/>
    <col min="11267" max="11267" width="10.42578125" style="208" bestFit="1" customWidth="1"/>
    <col min="11268" max="11268" width="10.42578125" style="208" customWidth="1"/>
    <col min="11269" max="11269" width="9.7109375" style="208" bestFit="1" customWidth="1"/>
    <col min="11270" max="11271" width="9.5703125" style="208" bestFit="1" customWidth="1"/>
    <col min="11272" max="11272" width="10.42578125" style="208" bestFit="1" customWidth="1"/>
    <col min="11273" max="11273" width="4.5703125" style="208" customWidth="1"/>
    <col min="11274" max="11274" width="1.85546875" style="208" customWidth="1"/>
    <col min="11275" max="11275" width="7" style="208" bestFit="1" customWidth="1"/>
    <col min="11276" max="11276" width="6.28515625" style="208" customWidth="1"/>
    <col min="11277" max="11277" width="20.42578125" style="208" customWidth="1"/>
    <col min="11278" max="11278" width="6.42578125" style="208" bestFit="1" customWidth="1"/>
    <col min="11279" max="11280" width="8.42578125" style="208"/>
    <col min="11281" max="11281" width="3.28515625" style="208" customWidth="1"/>
    <col min="11282" max="11520" width="8.42578125" style="208"/>
    <col min="11521" max="11521" width="10" style="208" bestFit="1" customWidth="1"/>
    <col min="11522" max="11522" width="44.28515625" style="208" bestFit="1" customWidth="1"/>
    <col min="11523" max="11523" width="10.42578125" style="208" bestFit="1" customWidth="1"/>
    <col min="11524" max="11524" width="10.42578125" style="208" customWidth="1"/>
    <col min="11525" max="11525" width="9.7109375" style="208" bestFit="1" customWidth="1"/>
    <col min="11526" max="11527" width="9.5703125" style="208" bestFit="1" customWidth="1"/>
    <col min="11528" max="11528" width="10.42578125" style="208" bestFit="1" customWidth="1"/>
    <col min="11529" max="11529" width="4.5703125" style="208" customWidth="1"/>
    <col min="11530" max="11530" width="1.85546875" style="208" customWidth="1"/>
    <col min="11531" max="11531" width="7" style="208" bestFit="1" customWidth="1"/>
    <col min="11532" max="11532" width="6.28515625" style="208" customWidth="1"/>
    <col min="11533" max="11533" width="20.42578125" style="208" customWidth="1"/>
    <col min="11534" max="11534" width="6.42578125" style="208" bestFit="1" customWidth="1"/>
    <col min="11535" max="11536" width="8.42578125" style="208"/>
    <col min="11537" max="11537" width="3.28515625" style="208" customWidth="1"/>
    <col min="11538" max="11776" width="8.42578125" style="208"/>
    <col min="11777" max="11777" width="10" style="208" bestFit="1" customWidth="1"/>
    <col min="11778" max="11778" width="44.28515625" style="208" bestFit="1" customWidth="1"/>
    <col min="11779" max="11779" width="10.42578125" style="208" bestFit="1" customWidth="1"/>
    <col min="11780" max="11780" width="10.42578125" style="208" customWidth="1"/>
    <col min="11781" max="11781" width="9.7109375" style="208" bestFit="1" customWidth="1"/>
    <col min="11782" max="11783" width="9.5703125" style="208" bestFit="1" customWidth="1"/>
    <col min="11784" max="11784" width="10.42578125" style="208" bestFit="1" customWidth="1"/>
    <col min="11785" max="11785" width="4.5703125" style="208" customWidth="1"/>
    <col min="11786" max="11786" width="1.85546875" style="208" customWidth="1"/>
    <col min="11787" max="11787" width="7" style="208" bestFit="1" customWidth="1"/>
    <col min="11788" max="11788" width="6.28515625" style="208" customWidth="1"/>
    <col min="11789" max="11789" width="20.42578125" style="208" customWidth="1"/>
    <col min="11790" max="11790" width="6.42578125" style="208" bestFit="1" customWidth="1"/>
    <col min="11791" max="11792" width="8.42578125" style="208"/>
    <col min="11793" max="11793" width="3.28515625" style="208" customWidth="1"/>
    <col min="11794" max="12032" width="8.42578125" style="208"/>
    <col min="12033" max="12033" width="10" style="208" bestFit="1" customWidth="1"/>
    <col min="12034" max="12034" width="44.28515625" style="208" bestFit="1" customWidth="1"/>
    <col min="12035" max="12035" width="10.42578125" style="208" bestFit="1" customWidth="1"/>
    <col min="12036" max="12036" width="10.42578125" style="208" customWidth="1"/>
    <col min="12037" max="12037" width="9.7109375" style="208" bestFit="1" customWidth="1"/>
    <col min="12038" max="12039" width="9.5703125" style="208" bestFit="1" customWidth="1"/>
    <col min="12040" max="12040" width="10.42578125" style="208" bestFit="1" customWidth="1"/>
    <col min="12041" max="12041" width="4.5703125" style="208" customWidth="1"/>
    <col min="12042" max="12042" width="1.85546875" style="208" customWidth="1"/>
    <col min="12043" max="12043" width="7" style="208" bestFit="1" customWidth="1"/>
    <col min="12044" max="12044" width="6.28515625" style="208" customWidth="1"/>
    <col min="12045" max="12045" width="20.42578125" style="208" customWidth="1"/>
    <col min="12046" max="12046" width="6.42578125" style="208" bestFit="1" customWidth="1"/>
    <col min="12047" max="12048" width="8.42578125" style="208"/>
    <col min="12049" max="12049" width="3.28515625" style="208" customWidth="1"/>
    <col min="12050" max="12288" width="8.42578125" style="208"/>
    <col min="12289" max="12289" width="10" style="208" bestFit="1" customWidth="1"/>
    <col min="12290" max="12290" width="44.28515625" style="208" bestFit="1" customWidth="1"/>
    <col min="12291" max="12291" width="10.42578125" style="208" bestFit="1" customWidth="1"/>
    <col min="12292" max="12292" width="10.42578125" style="208" customWidth="1"/>
    <col min="12293" max="12293" width="9.7109375" style="208" bestFit="1" customWidth="1"/>
    <col min="12294" max="12295" width="9.5703125" style="208" bestFit="1" customWidth="1"/>
    <col min="12296" max="12296" width="10.42578125" style="208" bestFit="1" customWidth="1"/>
    <col min="12297" max="12297" width="4.5703125" style="208" customWidth="1"/>
    <col min="12298" max="12298" width="1.85546875" style="208" customWidth="1"/>
    <col min="12299" max="12299" width="7" style="208" bestFit="1" customWidth="1"/>
    <col min="12300" max="12300" width="6.28515625" style="208" customWidth="1"/>
    <col min="12301" max="12301" width="20.42578125" style="208" customWidth="1"/>
    <col min="12302" max="12302" width="6.42578125" style="208" bestFit="1" customWidth="1"/>
    <col min="12303" max="12304" width="8.42578125" style="208"/>
    <col min="12305" max="12305" width="3.28515625" style="208" customWidth="1"/>
    <col min="12306" max="12544" width="8.42578125" style="208"/>
    <col min="12545" max="12545" width="10" style="208" bestFit="1" customWidth="1"/>
    <col min="12546" max="12546" width="44.28515625" style="208" bestFit="1" customWidth="1"/>
    <col min="12547" max="12547" width="10.42578125" style="208" bestFit="1" customWidth="1"/>
    <col min="12548" max="12548" width="10.42578125" style="208" customWidth="1"/>
    <col min="12549" max="12549" width="9.7109375" style="208" bestFit="1" customWidth="1"/>
    <col min="12550" max="12551" width="9.5703125" style="208" bestFit="1" customWidth="1"/>
    <col min="12552" max="12552" width="10.42578125" style="208" bestFit="1" customWidth="1"/>
    <col min="12553" max="12553" width="4.5703125" style="208" customWidth="1"/>
    <col min="12554" max="12554" width="1.85546875" style="208" customWidth="1"/>
    <col min="12555" max="12555" width="7" style="208" bestFit="1" customWidth="1"/>
    <col min="12556" max="12556" width="6.28515625" style="208" customWidth="1"/>
    <col min="12557" max="12557" width="20.42578125" style="208" customWidth="1"/>
    <col min="12558" max="12558" width="6.42578125" style="208" bestFit="1" customWidth="1"/>
    <col min="12559" max="12560" width="8.42578125" style="208"/>
    <col min="12561" max="12561" width="3.28515625" style="208" customWidth="1"/>
    <col min="12562" max="12800" width="8.42578125" style="208"/>
    <col min="12801" max="12801" width="10" style="208" bestFit="1" customWidth="1"/>
    <col min="12802" max="12802" width="44.28515625" style="208" bestFit="1" customWidth="1"/>
    <col min="12803" max="12803" width="10.42578125" style="208" bestFit="1" customWidth="1"/>
    <col min="12804" max="12804" width="10.42578125" style="208" customWidth="1"/>
    <col min="12805" max="12805" width="9.7109375" style="208" bestFit="1" customWidth="1"/>
    <col min="12806" max="12807" width="9.5703125" style="208" bestFit="1" customWidth="1"/>
    <col min="12808" max="12808" width="10.42578125" style="208" bestFit="1" customWidth="1"/>
    <col min="12809" max="12809" width="4.5703125" style="208" customWidth="1"/>
    <col min="12810" max="12810" width="1.85546875" style="208" customWidth="1"/>
    <col min="12811" max="12811" width="7" style="208" bestFit="1" customWidth="1"/>
    <col min="12812" max="12812" width="6.28515625" style="208" customWidth="1"/>
    <col min="12813" max="12813" width="20.42578125" style="208" customWidth="1"/>
    <col min="12814" max="12814" width="6.42578125" style="208" bestFit="1" customWidth="1"/>
    <col min="12815" max="12816" width="8.42578125" style="208"/>
    <col min="12817" max="12817" width="3.28515625" style="208" customWidth="1"/>
    <col min="12818" max="13056" width="8.42578125" style="208"/>
    <col min="13057" max="13057" width="10" style="208" bestFit="1" customWidth="1"/>
    <col min="13058" max="13058" width="44.28515625" style="208" bestFit="1" customWidth="1"/>
    <col min="13059" max="13059" width="10.42578125" style="208" bestFit="1" customWidth="1"/>
    <col min="13060" max="13060" width="10.42578125" style="208" customWidth="1"/>
    <col min="13061" max="13061" width="9.7109375" style="208" bestFit="1" customWidth="1"/>
    <col min="13062" max="13063" width="9.5703125" style="208" bestFit="1" customWidth="1"/>
    <col min="13064" max="13064" width="10.42578125" style="208" bestFit="1" customWidth="1"/>
    <col min="13065" max="13065" width="4.5703125" style="208" customWidth="1"/>
    <col min="13066" max="13066" width="1.85546875" style="208" customWidth="1"/>
    <col min="13067" max="13067" width="7" style="208" bestFit="1" customWidth="1"/>
    <col min="13068" max="13068" width="6.28515625" style="208" customWidth="1"/>
    <col min="13069" max="13069" width="20.42578125" style="208" customWidth="1"/>
    <col min="13070" max="13070" width="6.42578125" style="208" bestFit="1" customWidth="1"/>
    <col min="13071" max="13072" width="8.42578125" style="208"/>
    <col min="13073" max="13073" width="3.28515625" style="208" customWidth="1"/>
    <col min="13074" max="13312" width="8.42578125" style="208"/>
    <col min="13313" max="13313" width="10" style="208" bestFit="1" customWidth="1"/>
    <col min="13314" max="13314" width="44.28515625" style="208" bestFit="1" customWidth="1"/>
    <col min="13315" max="13315" width="10.42578125" style="208" bestFit="1" customWidth="1"/>
    <col min="13316" max="13316" width="10.42578125" style="208" customWidth="1"/>
    <col min="13317" max="13317" width="9.7109375" style="208" bestFit="1" customWidth="1"/>
    <col min="13318" max="13319" width="9.5703125" style="208" bestFit="1" customWidth="1"/>
    <col min="13320" max="13320" width="10.42578125" style="208" bestFit="1" customWidth="1"/>
    <col min="13321" max="13321" width="4.5703125" style="208" customWidth="1"/>
    <col min="13322" max="13322" width="1.85546875" style="208" customWidth="1"/>
    <col min="13323" max="13323" width="7" style="208" bestFit="1" customWidth="1"/>
    <col min="13324" max="13324" width="6.28515625" style="208" customWidth="1"/>
    <col min="13325" max="13325" width="20.42578125" style="208" customWidth="1"/>
    <col min="13326" max="13326" width="6.42578125" style="208" bestFit="1" customWidth="1"/>
    <col min="13327" max="13328" width="8.42578125" style="208"/>
    <col min="13329" max="13329" width="3.28515625" style="208" customWidth="1"/>
    <col min="13330" max="13568" width="8.42578125" style="208"/>
    <col min="13569" max="13569" width="10" style="208" bestFit="1" customWidth="1"/>
    <col min="13570" max="13570" width="44.28515625" style="208" bestFit="1" customWidth="1"/>
    <col min="13571" max="13571" width="10.42578125" style="208" bestFit="1" customWidth="1"/>
    <col min="13572" max="13572" width="10.42578125" style="208" customWidth="1"/>
    <col min="13573" max="13573" width="9.7109375" style="208" bestFit="1" customWidth="1"/>
    <col min="13574" max="13575" width="9.5703125" style="208" bestFit="1" customWidth="1"/>
    <col min="13576" max="13576" width="10.42578125" style="208" bestFit="1" customWidth="1"/>
    <col min="13577" max="13577" width="4.5703125" style="208" customWidth="1"/>
    <col min="13578" max="13578" width="1.85546875" style="208" customWidth="1"/>
    <col min="13579" max="13579" width="7" style="208" bestFit="1" customWidth="1"/>
    <col min="13580" max="13580" width="6.28515625" style="208" customWidth="1"/>
    <col min="13581" max="13581" width="20.42578125" style="208" customWidth="1"/>
    <col min="13582" max="13582" width="6.42578125" style="208" bestFit="1" customWidth="1"/>
    <col min="13583" max="13584" width="8.42578125" style="208"/>
    <col min="13585" max="13585" width="3.28515625" style="208" customWidth="1"/>
    <col min="13586" max="13824" width="8.42578125" style="208"/>
    <col min="13825" max="13825" width="10" style="208" bestFit="1" customWidth="1"/>
    <col min="13826" max="13826" width="44.28515625" style="208" bestFit="1" customWidth="1"/>
    <col min="13827" max="13827" width="10.42578125" style="208" bestFit="1" customWidth="1"/>
    <col min="13828" max="13828" width="10.42578125" style="208" customWidth="1"/>
    <col min="13829" max="13829" width="9.7109375" style="208" bestFit="1" customWidth="1"/>
    <col min="13830" max="13831" width="9.5703125" style="208" bestFit="1" customWidth="1"/>
    <col min="13832" max="13832" width="10.42578125" style="208" bestFit="1" customWidth="1"/>
    <col min="13833" max="13833" width="4.5703125" style="208" customWidth="1"/>
    <col min="13834" max="13834" width="1.85546875" style="208" customWidth="1"/>
    <col min="13835" max="13835" width="7" style="208" bestFit="1" customWidth="1"/>
    <col min="13836" max="13836" width="6.28515625" style="208" customWidth="1"/>
    <col min="13837" max="13837" width="20.42578125" style="208" customWidth="1"/>
    <col min="13838" max="13838" width="6.42578125" style="208" bestFit="1" customWidth="1"/>
    <col min="13839" max="13840" width="8.42578125" style="208"/>
    <col min="13841" max="13841" width="3.28515625" style="208" customWidth="1"/>
    <col min="13842" max="14080" width="8.42578125" style="208"/>
    <col min="14081" max="14081" width="10" style="208" bestFit="1" customWidth="1"/>
    <col min="14082" max="14082" width="44.28515625" style="208" bestFit="1" customWidth="1"/>
    <col min="14083" max="14083" width="10.42578125" style="208" bestFit="1" customWidth="1"/>
    <col min="14084" max="14084" width="10.42578125" style="208" customWidth="1"/>
    <col min="14085" max="14085" width="9.7109375" style="208" bestFit="1" customWidth="1"/>
    <col min="14086" max="14087" width="9.5703125" style="208" bestFit="1" customWidth="1"/>
    <col min="14088" max="14088" width="10.42578125" style="208" bestFit="1" customWidth="1"/>
    <col min="14089" max="14089" width="4.5703125" style="208" customWidth="1"/>
    <col min="14090" max="14090" width="1.85546875" style="208" customWidth="1"/>
    <col min="14091" max="14091" width="7" style="208" bestFit="1" customWidth="1"/>
    <col min="14092" max="14092" width="6.28515625" style="208" customWidth="1"/>
    <col min="14093" max="14093" width="20.42578125" style="208" customWidth="1"/>
    <col min="14094" max="14094" width="6.42578125" style="208" bestFit="1" customWidth="1"/>
    <col min="14095" max="14096" width="8.42578125" style="208"/>
    <col min="14097" max="14097" width="3.28515625" style="208" customWidth="1"/>
    <col min="14098" max="14336" width="8.42578125" style="208"/>
    <col min="14337" max="14337" width="10" style="208" bestFit="1" customWidth="1"/>
    <col min="14338" max="14338" width="44.28515625" style="208" bestFit="1" customWidth="1"/>
    <col min="14339" max="14339" width="10.42578125" style="208" bestFit="1" customWidth="1"/>
    <col min="14340" max="14340" width="10.42578125" style="208" customWidth="1"/>
    <col min="14341" max="14341" width="9.7109375" style="208" bestFit="1" customWidth="1"/>
    <col min="14342" max="14343" width="9.5703125" style="208" bestFit="1" customWidth="1"/>
    <col min="14344" max="14344" width="10.42578125" style="208" bestFit="1" customWidth="1"/>
    <col min="14345" max="14345" width="4.5703125" style="208" customWidth="1"/>
    <col min="14346" max="14346" width="1.85546875" style="208" customWidth="1"/>
    <col min="14347" max="14347" width="7" style="208" bestFit="1" customWidth="1"/>
    <col min="14348" max="14348" width="6.28515625" style="208" customWidth="1"/>
    <col min="14349" max="14349" width="20.42578125" style="208" customWidth="1"/>
    <col min="14350" max="14350" width="6.42578125" style="208" bestFit="1" customWidth="1"/>
    <col min="14351" max="14352" width="8.42578125" style="208"/>
    <col min="14353" max="14353" width="3.28515625" style="208" customWidth="1"/>
    <col min="14354" max="14592" width="8.42578125" style="208"/>
    <col min="14593" max="14593" width="10" style="208" bestFit="1" customWidth="1"/>
    <col min="14594" max="14594" width="44.28515625" style="208" bestFit="1" customWidth="1"/>
    <col min="14595" max="14595" width="10.42578125" style="208" bestFit="1" customWidth="1"/>
    <col min="14596" max="14596" width="10.42578125" style="208" customWidth="1"/>
    <col min="14597" max="14597" width="9.7109375" style="208" bestFit="1" customWidth="1"/>
    <col min="14598" max="14599" width="9.5703125" style="208" bestFit="1" customWidth="1"/>
    <col min="14600" max="14600" width="10.42578125" style="208" bestFit="1" customWidth="1"/>
    <col min="14601" max="14601" width="4.5703125" style="208" customWidth="1"/>
    <col min="14602" max="14602" width="1.85546875" style="208" customWidth="1"/>
    <col min="14603" max="14603" width="7" style="208" bestFit="1" customWidth="1"/>
    <col min="14604" max="14604" width="6.28515625" style="208" customWidth="1"/>
    <col min="14605" max="14605" width="20.42578125" style="208" customWidth="1"/>
    <col min="14606" max="14606" width="6.42578125" style="208" bestFit="1" customWidth="1"/>
    <col min="14607" max="14608" width="8.42578125" style="208"/>
    <col min="14609" max="14609" width="3.28515625" style="208" customWidth="1"/>
    <col min="14610" max="14848" width="8.42578125" style="208"/>
    <col min="14849" max="14849" width="10" style="208" bestFit="1" customWidth="1"/>
    <col min="14850" max="14850" width="44.28515625" style="208" bestFit="1" customWidth="1"/>
    <col min="14851" max="14851" width="10.42578125" style="208" bestFit="1" customWidth="1"/>
    <col min="14852" max="14852" width="10.42578125" style="208" customWidth="1"/>
    <col min="14853" max="14853" width="9.7109375" style="208" bestFit="1" customWidth="1"/>
    <col min="14854" max="14855" width="9.5703125" style="208" bestFit="1" customWidth="1"/>
    <col min="14856" max="14856" width="10.42578125" style="208" bestFit="1" customWidth="1"/>
    <col min="14857" max="14857" width="4.5703125" style="208" customWidth="1"/>
    <col min="14858" max="14858" width="1.85546875" style="208" customWidth="1"/>
    <col min="14859" max="14859" width="7" style="208" bestFit="1" customWidth="1"/>
    <col min="14860" max="14860" width="6.28515625" style="208" customWidth="1"/>
    <col min="14861" max="14861" width="20.42578125" style="208" customWidth="1"/>
    <col min="14862" max="14862" width="6.42578125" style="208" bestFit="1" customWidth="1"/>
    <col min="14863" max="14864" width="8.42578125" style="208"/>
    <col min="14865" max="14865" width="3.28515625" style="208" customWidth="1"/>
    <col min="14866" max="15104" width="8.42578125" style="208"/>
    <col min="15105" max="15105" width="10" style="208" bestFit="1" customWidth="1"/>
    <col min="15106" max="15106" width="44.28515625" style="208" bestFit="1" customWidth="1"/>
    <col min="15107" max="15107" width="10.42578125" style="208" bestFit="1" customWidth="1"/>
    <col min="15108" max="15108" width="10.42578125" style="208" customWidth="1"/>
    <col min="15109" max="15109" width="9.7109375" style="208" bestFit="1" customWidth="1"/>
    <col min="15110" max="15111" width="9.5703125" style="208" bestFit="1" customWidth="1"/>
    <col min="15112" max="15112" width="10.42578125" style="208" bestFit="1" customWidth="1"/>
    <col min="15113" max="15113" width="4.5703125" style="208" customWidth="1"/>
    <col min="15114" max="15114" width="1.85546875" style="208" customWidth="1"/>
    <col min="15115" max="15115" width="7" style="208" bestFit="1" customWidth="1"/>
    <col min="15116" max="15116" width="6.28515625" style="208" customWidth="1"/>
    <col min="15117" max="15117" width="20.42578125" style="208" customWidth="1"/>
    <col min="15118" max="15118" width="6.42578125" style="208" bestFit="1" customWidth="1"/>
    <col min="15119" max="15120" width="8.42578125" style="208"/>
    <col min="15121" max="15121" width="3.28515625" style="208" customWidth="1"/>
    <col min="15122" max="15360" width="8.42578125" style="208"/>
    <col min="15361" max="15361" width="10" style="208" bestFit="1" customWidth="1"/>
    <col min="15362" max="15362" width="44.28515625" style="208" bestFit="1" customWidth="1"/>
    <col min="15363" max="15363" width="10.42578125" style="208" bestFit="1" customWidth="1"/>
    <col min="15364" max="15364" width="10.42578125" style="208" customWidth="1"/>
    <col min="15365" max="15365" width="9.7109375" style="208" bestFit="1" customWidth="1"/>
    <col min="15366" max="15367" width="9.5703125" style="208" bestFit="1" customWidth="1"/>
    <col min="15368" max="15368" width="10.42578125" style="208" bestFit="1" customWidth="1"/>
    <col min="15369" max="15369" width="4.5703125" style="208" customWidth="1"/>
    <col min="15370" max="15370" width="1.85546875" style="208" customWidth="1"/>
    <col min="15371" max="15371" width="7" style="208" bestFit="1" customWidth="1"/>
    <col min="15372" max="15372" width="6.28515625" style="208" customWidth="1"/>
    <col min="15373" max="15373" width="20.42578125" style="208" customWidth="1"/>
    <col min="15374" max="15374" width="6.42578125" style="208" bestFit="1" customWidth="1"/>
    <col min="15375" max="15376" width="8.42578125" style="208"/>
    <col min="15377" max="15377" width="3.28515625" style="208" customWidth="1"/>
    <col min="15378" max="15616" width="8.42578125" style="208"/>
    <col min="15617" max="15617" width="10" style="208" bestFit="1" customWidth="1"/>
    <col min="15618" max="15618" width="44.28515625" style="208" bestFit="1" customWidth="1"/>
    <col min="15619" max="15619" width="10.42578125" style="208" bestFit="1" customWidth="1"/>
    <col min="15620" max="15620" width="10.42578125" style="208" customWidth="1"/>
    <col min="15621" max="15621" width="9.7109375" style="208" bestFit="1" customWidth="1"/>
    <col min="15622" max="15623" width="9.5703125" style="208" bestFit="1" customWidth="1"/>
    <col min="15624" max="15624" width="10.42578125" style="208" bestFit="1" customWidth="1"/>
    <col min="15625" max="15625" width="4.5703125" style="208" customWidth="1"/>
    <col min="15626" max="15626" width="1.85546875" style="208" customWidth="1"/>
    <col min="15627" max="15627" width="7" style="208" bestFit="1" customWidth="1"/>
    <col min="15628" max="15628" width="6.28515625" style="208" customWidth="1"/>
    <col min="15629" max="15629" width="20.42578125" style="208" customWidth="1"/>
    <col min="15630" max="15630" width="6.42578125" style="208" bestFit="1" customWidth="1"/>
    <col min="15631" max="15632" width="8.42578125" style="208"/>
    <col min="15633" max="15633" width="3.28515625" style="208" customWidth="1"/>
    <col min="15634" max="15872" width="8.42578125" style="208"/>
    <col min="15873" max="15873" width="10" style="208" bestFit="1" customWidth="1"/>
    <col min="15874" max="15874" width="44.28515625" style="208" bestFit="1" customWidth="1"/>
    <col min="15875" max="15875" width="10.42578125" style="208" bestFit="1" customWidth="1"/>
    <col min="15876" max="15876" width="10.42578125" style="208" customWidth="1"/>
    <col min="15877" max="15877" width="9.7109375" style="208" bestFit="1" customWidth="1"/>
    <col min="15878" max="15879" width="9.5703125" style="208" bestFit="1" customWidth="1"/>
    <col min="15880" max="15880" width="10.42578125" style="208" bestFit="1" customWidth="1"/>
    <col min="15881" max="15881" width="4.5703125" style="208" customWidth="1"/>
    <col min="15882" max="15882" width="1.85546875" style="208" customWidth="1"/>
    <col min="15883" max="15883" width="7" style="208" bestFit="1" customWidth="1"/>
    <col min="15884" max="15884" width="6.28515625" style="208" customWidth="1"/>
    <col min="15885" max="15885" width="20.42578125" style="208" customWidth="1"/>
    <col min="15886" max="15886" width="6.42578125" style="208" bestFit="1" customWidth="1"/>
    <col min="15887" max="15888" width="8.42578125" style="208"/>
    <col min="15889" max="15889" width="3.28515625" style="208" customWidth="1"/>
    <col min="15890" max="16128" width="8.42578125" style="208"/>
    <col min="16129" max="16129" width="10" style="208" bestFit="1" customWidth="1"/>
    <col min="16130" max="16130" width="44.28515625" style="208" bestFit="1" customWidth="1"/>
    <col min="16131" max="16131" width="10.42578125" style="208" bestFit="1" customWidth="1"/>
    <col min="16132" max="16132" width="10.42578125" style="208" customWidth="1"/>
    <col min="16133" max="16133" width="9.7109375" style="208" bestFit="1" customWidth="1"/>
    <col min="16134" max="16135" width="9.5703125" style="208" bestFit="1" customWidth="1"/>
    <col min="16136" max="16136" width="10.42578125" style="208" bestFit="1" customWidth="1"/>
    <col min="16137" max="16137" width="4.5703125" style="208" customWidth="1"/>
    <col min="16138" max="16138" width="1.85546875" style="208" customWidth="1"/>
    <col min="16139" max="16139" width="7" style="208" bestFit="1" customWidth="1"/>
    <col min="16140" max="16140" width="6.28515625" style="208" customWidth="1"/>
    <col min="16141" max="16141" width="20.42578125" style="208" customWidth="1"/>
    <col min="16142" max="16142" width="6.42578125" style="208" bestFit="1" customWidth="1"/>
    <col min="16143" max="16144" width="8.42578125" style="208"/>
    <col min="16145" max="16145" width="3.28515625" style="208" customWidth="1"/>
    <col min="16146" max="16384" width="8.42578125" style="208"/>
  </cols>
  <sheetData>
    <row r="1" spans="1:10" ht="27.75" customHeight="1" x14ac:dyDescent="0.2">
      <c r="A1" s="203"/>
      <c r="B1" s="203"/>
      <c r="C1" s="203"/>
      <c r="D1" s="203"/>
      <c r="E1" s="204" t="s">
        <v>172</v>
      </c>
      <c r="F1" s="205" t="s">
        <v>173</v>
      </c>
      <c r="G1" s="205" t="s">
        <v>174</v>
      </c>
      <c r="H1" s="205" t="s">
        <v>175</v>
      </c>
      <c r="I1" s="206"/>
    </row>
    <row r="2" spans="1:10" ht="30.75" customHeight="1" x14ac:dyDescent="0.2">
      <c r="A2" s="203"/>
      <c r="B2" s="203"/>
      <c r="C2" s="203"/>
      <c r="D2" s="203"/>
      <c r="E2" s="209">
        <f>IFERROR(O62,"")</f>
        <v>51298.060675879526</v>
      </c>
      <c r="F2" s="209">
        <f>IFERROR(H53,"")</f>
        <v>49604.982643524694</v>
      </c>
      <c r="G2" s="209">
        <f>IFERROR(H54,"")</f>
        <v>57.665794392523367</v>
      </c>
      <c r="H2" s="209">
        <f>IFERROR(H56,"")</f>
        <v>893.09746328437927</v>
      </c>
      <c r="I2" s="210"/>
    </row>
    <row r="3" spans="1:10" ht="15" customHeight="1" x14ac:dyDescent="0.2">
      <c r="A3" s="203"/>
      <c r="B3" s="203"/>
      <c r="C3" s="203"/>
      <c r="D3" s="203"/>
      <c r="E3" s="203"/>
      <c r="F3" s="211"/>
      <c r="G3" s="211"/>
      <c r="H3" s="211"/>
      <c r="I3" s="211"/>
    </row>
    <row r="4" spans="1:10" ht="24.75" customHeight="1" thickBot="1" x14ac:dyDescent="0.25">
      <c r="A4" s="728"/>
      <c r="B4" s="728"/>
      <c r="C4" s="728"/>
      <c r="D4" s="728"/>
      <c r="E4" s="728"/>
      <c r="F4" s="728"/>
      <c r="G4" s="728"/>
      <c r="H4" s="728"/>
      <c r="I4" s="212"/>
    </row>
    <row r="5" spans="1:10" ht="19.5" customHeight="1" thickBot="1" x14ac:dyDescent="0.25">
      <c r="A5" s="729" t="s">
        <v>176</v>
      </c>
      <c r="B5" s="730"/>
      <c r="C5" s="730"/>
      <c r="D5" s="730"/>
      <c r="E5" s="730"/>
      <c r="F5" s="730"/>
      <c r="G5" s="730"/>
      <c r="H5" s="731"/>
      <c r="I5" s="213"/>
    </row>
    <row r="6" spans="1:10" ht="19.5" thickBot="1" x14ac:dyDescent="0.25">
      <c r="A6" s="213"/>
      <c r="B6" s="213"/>
      <c r="C6" s="213"/>
      <c r="D6" s="213"/>
      <c r="E6" s="213"/>
      <c r="F6" s="732" t="s">
        <v>177</v>
      </c>
      <c r="G6" s="732"/>
      <c r="H6" s="214">
        <f ca="1">TODAY()</f>
        <v>45831</v>
      </c>
      <c r="I6" s="214"/>
    </row>
    <row r="7" spans="1:10" ht="26.25" thickBot="1" x14ac:dyDescent="0.25">
      <c r="A7" s="215" t="s">
        <v>178</v>
      </c>
      <c r="B7" s="216" t="s">
        <v>179</v>
      </c>
      <c r="C7" s="216" t="s">
        <v>178</v>
      </c>
      <c r="D7" s="217" t="s">
        <v>180</v>
      </c>
      <c r="E7" s="217" t="s">
        <v>181</v>
      </c>
      <c r="F7" s="217" t="s">
        <v>182</v>
      </c>
      <c r="G7" s="217" t="s">
        <v>183</v>
      </c>
      <c r="H7" s="218" t="s">
        <v>184</v>
      </c>
      <c r="I7" s="219"/>
    </row>
    <row r="8" spans="1:10" ht="13.5" x14ac:dyDescent="0.25">
      <c r="A8" s="220">
        <v>3200</v>
      </c>
      <c r="B8" s="208" t="str">
        <f>IFERROR(VLOOKUP(H8,'[1]Consolidado MP Planta'!$A$2:$M$823,3,0),"")</f>
        <v>BRILLO GLIT (UND:5 KILOS)</v>
      </c>
      <c r="C8" s="221">
        <f>+A8</f>
        <v>3200</v>
      </c>
      <c r="D8" s="222">
        <f>IFERROR(VLOOKUP(H8,'[1]Consolidado MP Planta'!$A$2:$M$823,13,0),"")</f>
        <v>0</v>
      </c>
      <c r="E8" s="222">
        <v>4.59</v>
      </c>
      <c r="F8" s="222">
        <f>IFERROR(C8*E8,"")</f>
        <v>14688</v>
      </c>
      <c r="G8" s="223">
        <f t="shared" ref="G8:G14" si="0">IFERROR(F8/$F$66,"")</f>
        <v>0.28777571499517401</v>
      </c>
      <c r="H8" s="224" t="s">
        <v>142</v>
      </c>
      <c r="I8" s="224"/>
      <c r="J8" s="225"/>
    </row>
    <row r="9" spans="1:10" ht="13.5" hidden="1" x14ac:dyDescent="0.25">
      <c r="A9" s="220"/>
      <c r="B9" s="208" t="str">
        <f>IFERROR(VLOOKUP(H9,'[1]Consolidado MP Planta'!$A$2:$M$823,3,0),"")</f>
        <v/>
      </c>
      <c r="C9" s="221">
        <f t="shared" ref="C9:C14" si="1">+A9</f>
        <v>0</v>
      </c>
      <c r="D9" s="222" t="str">
        <f>IFERROR(VLOOKUP(H9,'[1]Consolidado MP Planta'!$A$2:$M$823,13,0),"")</f>
        <v/>
      </c>
      <c r="E9" s="222" t="str">
        <f>IFERROR(VLOOKUP(H9,'[1]Consolidado MP Planta'!$A$2:$M$823,12,0),"")</f>
        <v/>
      </c>
      <c r="F9" s="222" t="str">
        <f t="shared" ref="F9:F14" si="2">IFERROR(C9*E9,"")</f>
        <v/>
      </c>
      <c r="G9" s="223" t="str">
        <f t="shared" si="0"/>
        <v/>
      </c>
      <c r="H9" s="224"/>
      <c r="I9" s="224"/>
      <c r="J9" s="225"/>
    </row>
    <row r="10" spans="1:10" ht="13.5" hidden="1" x14ac:dyDescent="0.25">
      <c r="A10" s="220"/>
      <c r="B10" s="208" t="str">
        <f>IFERROR(VLOOKUP(H10,'[1]Consolidado MP Planta'!$A$2:$M$823,3,0),"")</f>
        <v/>
      </c>
      <c r="C10" s="221">
        <f t="shared" si="1"/>
        <v>0</v>
      </c>
      <c r="D10" s="222" t="str">
        <f>IFERROR(VLOOKUP(H10,'[1]Consolidado MP Planta'!$A$2:$M$823,13,0),"")</f>
        <v/>
      </c>
      <c r="E10" s="222" t="str">
        <f>IFERROR(VLOOKUP(H10,'[1]Consolidado MP Planta'!$A$2:$M$823,12,0),"")</f>
        <v/>
      </c>
      <c r="F10" s="222" t="str">
        <f t="shared" si="2"/>
        <v/>
      </c>
      <c r="G10" s="223" t="str">
        <f t="shared" si="0"/>
        <v/>
      </c>
      <c r="H10" s="224"/>
      <c r="I10" s="224"/>
      <c r="J10" s="225"/>
    </row>
    <row r="11" spans="1:10" ht="13.5" hidden="1" x14ac:dyDescent="0.25">
      <c r="A11" s="220"/>
      <c r="B11" s="208" t="str">
        <f>IFERROR(VLOOKUP(H11,'[1]Consolidado MP Planta'!$A$2:$M$823,3,0),"")</f>
        <v/>
      </c>
      <c r="C11" s="221">
        <f t="shared" si="1"/>
        <v>0</v>
      </c>
      <c r="D11" s="222" t="str">
        <f>IFERROR(VLOOKUP(H11,'[1]Consolidado MP Planta'!$A$2:$M$823,13,0),"")</f>
        <v/>
      </c>
      <c r="E11" s="222" t="str">
        <f>IFERROR(VLOOKUP(H11,'[1]Consolidado MP Planta'!$A$2:$M$823,12,0),"")</f>
        <v/>
      </c>
      <c r="F11" s="222" t="str">
        <f t="shared" si="2"/>
        <v/>
      </c>
      <c r="G11" s="223" t="str">
        <f t="shared" si="0"/>
        <v/>
      </c>
      <c r="H11" s="224"/>
      <c r="I11" s="224"/>
      <c r="J11" s="225"/>
    </row>
    <row r="12" spans="1:10" ht="13.5" hidden="1" x14ac:dyDescent="0.25">
      <c r="A12" s="220"/>
      <c r="B12" s="208" t="str">
        <f>IFERROR(VLOOKUP(H12,'[1]Consolidado MP Planta'!$A$2:$M$823,3,0),"")</f>
        <v/>
      </c>
      <c r="C12" s="221">
        <f t="shared" si="1"/>
        <v>0</v>
      </c>
      <c r="D12" s="222" t="str">
        <f>IFERROR(VLOOKUP(H12,'[1]Consolidado MP Planta'!$A$2:$M$823,13,0),"")</f>
        <v/>
      </c>
      <c r="E12" s="222" t="str">
        <f>IFERROR(VLOOKUP(H12,'[1]Consolidado MP Planta'!$A$2:$M$823,12,0),"")</f>
        <v/>
      </c>
      <c r="F12" s="222" t="str">
        <f t="shared" si="2"/>
        <v/>
      </c>
      <c r="G12" s="223" t="str">
        <f t="shared" si="0"/>
        <v/>
      </c>
      <c r="H12" s="224"/>
      <c r="I12" s="224"/>
      <c r="J12" s="225"/>
    </row>
    <row r="13" spans="1:10" ht="13.5" hidden="1" x14ac:dyDescent="0.25">
      <c r="A13" s="220"/>
      <c r="B13" s="208" t="str">
        <f>IFERROR(VLOOKUP(H13,'[1]Consolidado MP Planta'!$A$2:$M$823,3,0),"")</f>
        <v/>
      </c>
      <c r="C13" s="221">
        <f t="shared" si="1"/>
        <v>0</v>
      </c>
      <c r="D13" s="222" t="str">
        <f>IFERROR(VLOOKUP(H13,'[1]Consolidado MP Planta'!$A$2:$M$823,13,0),"")</f>
        <v/>
      </c>
      <c r="E13" s="222" t="str">
        <f>IFERROR(VLOOKUP(H13,'[1]Consolidado MP Planta'!$A$2:$M$823,12,0),"")</f>
        <v/>
      </c>
      <c r="F13" s="222" t="str">
        <f t="shared" si="2"/>
        <v/>
      </c>
      <c r="G13" s="223" t="str">
        <f t="shared" si="0"/>
        <v/>
      </c>
      <c r="H13" s="224"/>
      <c r="I13" s="224"/>
      <c r="J13" s="225"/>
    </row>
    <row r="14" spans="1:10" ht="13.5" hidden="1" x14ac:dyDescent="0.25">
      <c r="A14" s="220"/>
      <c r="B14" s="208" t="str">
        <f>IFERROR(VLOOKUP(H14,'[1]Consolidado MP Planta'!$A$2:$M$823,3,0),"")</f>
        <v/>
      </c>
      <c r="C14" s="221">
        <f t="shared" si="1"/>
        <v>0</v>
      </c>
      <c r="D14" s="222" t="str">
        <f>IFERROR(VLOOKUP(H14,'[1]Consolidado MP Planta'!$A$2:$M$823,13,0),"")</f>
        <v/>
      </c>
      <c r="E14" s="222" t="str">
        <f>IFERROR(VLOOKUP(H14,'[1]Consolidado MP Planta'!$A$2:$M$823,12,0),"")</f>
        <v/>
      </c>
      <c r="F14" s="222" t="str">
        <f t="shared" si="2"/>
        <v/>
      </c>
      <c r="G14" s="223" t="str">
        <f t="shared" si="0"/>
        <v/>
      </c>
      <c r="H14" s="224"/>
      <c r="I14" s="224"/>
      <c r="J14" s="225"/>
    </row>
    <row r="15" spans="1:10" ht="14.25" thickBot="1" x14ac:dyDescent="0.3">
      <c r="A15" s="220"/>
      <c r="B15" s="208" t="str">
        <f>IFERROR(VLOOKUP(H15,'[2]ARTICULOS MP PLANTA'!$A$2:$G$589,2,0),"")</f>
        <v/>
      </c>
      <c r="C15" s="221"/>
      <c r="D15" s="222"/>
      <c r="E15" s="222"/>
      <c r="F15" s="222"/>
      <c r="G15" s="223"/>
      <c r="H15" s="224"/>
      <c r="I15" s="224"/>
      <c r="J15" s="225"/>
    </row>
    <row r="16" spans="1:10" ht="26.25" thickBot="1" x14ac:dyDescent="0.25">
      <c r="A16" s="215" t="s">
        <v>178</v>
      </c>
      <c r="B16" s="216" t="s">
        <v>185</v>
      </c>
      <c r="C16" s="216" t="s">
        <v>178</v>
      </c>
      <c r="D16" s="217" t="s">
        <v>180</v>
      </c>
      <c r="E16" s="217" t="s">
        <v>181</v>
      </c>
      <c r="F16" s="217" t="s">
        <v>182</v>
      </c>
      <c r="G16" s="217" t="s">
        <v>183</v>
      </c>
      <c r="H16" s="218" t="s">
        <v>184</v>
      </c>
      <c r="I16" s="219"/>
      <c r="J16" s="225"/>
    </row>
    <row r="17" spans="1:12" ht="13.5" x14ac:dyDescent="0.25">
      <c r="A17" s="220">
        <v>4000</v>
      </c>
      <c r="B17" s="208" t="s">
        <v>150</v>
      </c>
      <c r="C17" s="221">
        <f>+A17</f>
        <v>4000</v>
      </c>
      <c r="D17" s="221" t="s">
        <v>223</v>
      </c>
      <c r="E17" s="222">
        <f>+'Costo Salsa Caramelo'!E69</f>
        <v>2.2471028037383176</v>
      </c>
      <c r="F17" s="222">
        <f>IFERROR(E17*C17,"")</f>
        <v>8988.4112149532702</v>
      </c>
      <c r="G17" s="223">
        <f t="shared" ref="G17:G24" si="3">IFERROR(F17/$F$66,"")</f>
        <v>0.17610610457882747</v>
      </c>
      <c r="H17" s="224" t="s">
        <v>230</v>
      </c>
      <c r="I17" s="224"/>
      <c r="J17" s="225"/>
    </row>
    <row r="18" spans="1:12" ht="13.5" x14ac:dyDescent="0.25">
      <c r="A18" s="220">
        <v>3000</v>
      </c>
      <c r="B18" s="208" t="s">
        <v>144</v>
      </c>
      <c r="C18" s="221">
        <f t="shared" ref="C18:C24" si="4">+A18</f>
        <v>3000</v>
      </c>
      <c r="D18" s="221" t="s">
        <v>223</v>
      </c>
      <c r="E18" s="222">
        <f>+'Costo Pecana Tostada'!E69</f>
        <v>8.6428571428571423</v>
      </c>
      <c r="F18" s="222">
        <f t="shared" ref="F18:F24" si="5">IFERROR(E18*C18,"")</f>
        <v>25928.571428571428</v>
      </c>
      <c r="G18" s="223">
        <f t="shared" si="3"/>
        <v>0.50800743339192422</v>
      </c>
      <c r="H18" s="224" t="s">
        <v>230</v>
      </c>
      <c r="I18" s="224"/>
      <c r="J18" s="225"/>
    </row>
    <row r="19" spans="1:12" ht="13.5" hidden="1" x14ac:dyDescent="0.25">
      <c r="A19" s="220"/>
      <c r="B19" s="208" t="str">
        <f>IFERROR(VLOOKUP(H19,[1]SEMIELABORADOS!$A$2:$M$6000,2,0),"")</f>
        <v/>
      </c>
      <c r="C19" s="221">
        <f>+A19</f>
        <v>0</v>
      </c>
      <c r="D19" s="221" t="str">
        <f>IFERROR(VLOOKUP(H19,[1]SEMIELABORADOS!$A$2:$M$6000,6,0),"")</f>
        <v/>
      </c>
      <c r="E19" s="222" t="str">
        <f>IFERROR(VLOOKUP(H19,[1]SEMIELABORADOS!$A$2:$H$65536,8,0),"")</f>
        <v/>
      </c>
      <c r="F19" s="222" t="str">
        <f>IFERROR(E19*C19,"")</f>
        <v/>
      </c>
      <c r="G19" s="223" t="str">
        <f t="shared" si="3"/>
        <v/>
      </c>
      <c r="H19" s="224"/>
      <c r="I19" s="224"/>
      <c r="J19" s="225"/>
    </row>
    <row r="20" spans="1:12" ht="13.5" hidden="1" x14ac:dyDescent="0.25">
      <c r="A20" s="220"/>
      <c r="B20" s="208" t="str">
        <f>IFERROR(VLOOKUP(H20,[1]SEMIELABORADOS!$A$2:$M$6000,2,0),"")</f>
        <v/>
      </c>
      <c r="C20" s="221">
        <f>+A20</f>
        <v>0</v>
      </c>
      <c r="D20" s="221" t="str">
        <f>IFERROR(VLOOKUP(H20,[1]SEMIELABORADOS!$A$2:$M$6000,6,0),"")</f>
        <v/>
      </c>
      <c r="E20" s="222" t="str">
        <f>IFERROR(VLOOKUP(H20,[1]SEMIELABORADOS!$A$2:$H$65536,8,0),"")</f>
        <v/>
      </c>
      <c r="F20" s="222" t="str">
        <f>IFERROR(E20*C20,"")</f>
        <v/>
      </c>
      <c r="G20" s="223" t="str">
        <f t="shared" si="3"/>
        <v/>
      </c>
      <c r="H20" s="224"/>
      <c r="I20" s="224"/>
      <c r="J20" s="225"/>
    </row>
    <row r="21" spans="1:12" ht="13.5" hidden="1" x14ac:dyDescent="0.25">
      <c r="A21" s="220"/>
      <c r="B21" s="208" t="str">
        <f>IFERROR(VLOOKUP(H21,[1]SEMIELABORADOS!$A$2:$M$6000,2,0),"")</f>
        <v/>
      </c>
      <c r="C21" s="221">
        <f>+A21</f>
        <v>0</v>
      </c>
      <c r="D21" s="221" t="str">
        <f>IFERROR(VLOOKUP(H21,[1]SEMIELABORADOS!$A$2:$M$6000,6,0),"")</f>
        <v/>
      </c>
      <c r="E21" s="222" t="str">
        <f>IFERROR(VLOOKUP(H21,[1]SEMIELABORADOS!$A$2:$H$65536,8,0),"")</f>
        <v/>
      </c>
      <c r="F21" s="222" t="str">
        <f>IFERROR(E21*C21,"")</f>
        <v/>
      </c>
      <c r="G21" s="223" t="str">
        <f t="shared" si="3"/>
        <v/>
      </c>
      <c r="H21" s="224"/>
      <c r="I21" s="224"/>
      <c r="J21" s="225"/>
    </row>
    <row r="22" spans="1:12" ht="13.5" hidden="1" x14ac:dyDescent="0.25">
      <c r="A22" s="220"/>
      <c r="B22" s="208" t="str">
        <f>IFERROR(VLOOKUP(H22,[1]SEMIELABORADOS!$A$2:$M$6000,2,0),"")</f>
        <v/>
      </c>
      <c r="C22" s="221">
        <f t="shared" si="4"/>
        <v>0</v>
      </c>
      <c r="D22" s="221" t="str">
        <f>IFERROR(VLOOKUP(H22,[1]SEMIELABORADOS!$A$2:$M$6000,6,0),"")</f>
        <v/>
      </c>
      <c r="E22" s="222" t="str">
        <f>IFERROR(VLOOKUP(H22,[1]SEMIELABORADOS!$A$2:$H$65536,8,0),"")</f>
        <v/>
      </c>
      <c r="F22" s="222" t="str">
        <f t="shared" si="5"/>
        <v/>
      </c>
      <c r="G22" s="223" t="str">
        <f t="shared" si="3"/>
        <v/>
      </c>
      <c r="H22" s="224"/>
      <c r="I22" s="224"/>
      <c r="J22" s="225"/>
    </row>
    <row r="23" spans="1:12" ht="13.5" hidden="1" x14ac:dyDescent="0.25">
      <c r="A23" s="220"/>
      <c r="B23" s="208" t="str">
        <f>IFERROR(VLOOKUP(H23,[1]SEMIELABORADOS!$A$2:$M$6000,2,0),"")</f>
        <v/>
      </c>
      <c r="C23" s="221">
        <f t="shared" si="4"/>
        <v>0</v>
      </c>
      <c r="D23" s="221" t="str">
        <f>IFERROR(VLOOKUP(H23,[1]SEMIELABORADOS!$A$2:$M$6000,6,0),"")</f>
        <v/>
      </c>
      <c r="E23" s="222" t="str">
        <f>IFERROR(VLOOKUP(H23,[1]SEMIELABORADOS!$A$2:$H$65536,8,0),"")</f>
        <v/>
      </c>
      <c r="F23" s="222" t="str">
        <f t="shared" si="5"/>
        <v/>
      </c>
      <c r="G23" s="223" t="str">
        <f t="shared" si="3"/>
        <v/>
      </c>
      <c r="H23" s="224"/>
      <c r="I23" s="224"/>
      <c r="J23" s="225"/>
    </row>
    <row r="24" spans="1:12" ht="13.5" hidden="1" x14ac:dyDescent="0.25">
      <c r="A24" s="220"/>
      <c r="B24" s="208" t="str">
        <f>IFERROR(VLOOKUP(H24,[1]SEMIELABORADOS!$A$2:$M$6000,2,0),"")</f>
        <v/>
      </c>
      <c r="C24" s="221">
        <f t="shared" si="4"/>
        <v>0</v>
      </c>
      <c r="D24" s="221" t="str">
        <f>IFERROR(VLOOKUP(H24,[1]SEMIELABORADOS!$A$2:$M$6000,6,0),"")</f>
        <v/>
      </c>
      <c r="E24" s="222" t="str">
        <f>IFERROR(VLOOKUP(H24,[1]SEMIELABORADOS!$A$2:$H$65536,8,0),"")</f>
        <v/>
      </c>
      <c r="F24" s="222" t="str">
        <f t="shared" si="5"/>
        <v/>
      </c>
      <c r="G24" s="223" t="str">
        <f t="shared" si="3"/>
        <v/>
      </c>
      <c r="H24" s="224"/>
      <c r="I24" s="224"/>
      <c r="J24" s="225"/>
    </row>
    <row r="25" spans="1:12" ht="14.25" thickBot="1" x14ac:dyDescent="0.3">
      <c r="A25" s="220"/>
      <c r="C25" s="221"/>
      <c r="D25" s="221"/>
      <c r="E25" s="222"/>
      <c r="F25" s="222"/>
      <c r="G25" s="223"/>
      <c r="H25" s="224"/>
      <c r="I25" s="224"/>
      <c r="J25" s="225"/>
    </row>
    <row r="26" spans="1:12" ht="26.25" hidden="1" thickBot="1" x14ac:dyDescent="0.25">
      <c r="A26" s="215" t="s">
        <v>178</v>
      </c>
      <c r="B26" s="216" t="s">
        <v>24</v>
      </c>
      <c r="C26" s="216" t="s">
        <v>178</v>
      </c>
      <c r="D26" s="217" t="s">
        <v>180</v>
      </c>
      <c r="E26" s="217" t="s">
        <v>181</v>
      </c>
      <c r="F26" s="217" t="s">
        <v>182</v>
      </c>
      <c r="G26" s="217" t="s">
        <v>183</v>
      </c>
      <c r="H26" s="218" t="s">
        <v>184</v>
      </c>
      <c r="I26" s="219"/>
    </row>
    <row r="27" spans="1:12" ht="13.5" hidden="1" x14ac:dyDescent="0.25">
      <c r="A27" s="220">
        <v>0</v>
      </c>
      <c r="B27" s="226" t="str">
        <f>IFERROR(VLOOKUP(H27,'[1]Consolidado MP Planta'!$A$2:$M$823,3,0),"")</f>
        <v/>
      </c>
      <c r="C27" s="221">
        <f t="shared" ref="C27:C32" si="6">+A27</f>
        <v>0</v>
      </c>
      <c r="D27" s="222" t="str">
        <f>IFERROR(VLOOKUP(H27,'[1]Consolidado MP Planta'!$A$2:$M$823,13,0),"")</f>
        <v/>
      </c>
      <c r="E27" s="222" t="str">
        <f>IFERROR(VLOOKUP(H27,'[1]Consolidado MP Planta'!$A$2:$M$823,12,0),"")</f>
        <v/>
      </c>
      <c r="F27" s="222" t="str">
        <f t="shared" ref="F27:F32" si="7">IFERROR(C27*E27,"")</f>
        <v/>
      </c>
      <c r="G27" s="223" t="str">
        <f t="shared" ref="G27:G32" si="8">IFERROR(F27/$F$66,"")</f>
        <v/>
      </c>
      <c r="H27" s="227"/>
      <c r="I27" s="227"/>
      <c r="J27" s="225"/>
      <c r="K27" s="727"/>
      <c r="L27" s="727"/>
    </row>
    <row r="28" spans="1:12" ht="13.5" hidden="1" x14ac:dyDescent="0.25">
      <c r="A28" s="220"/>
      <c r="B28" s="226" t="str">
        <f>IFERROR(VLOOKUP(H28,'[1]Consolidado MP Planta'!$A$2:$M$823,3,0),"")</f>
        <v/>
      </c>
      <c r="C28" s="221">
        <f t="shared" si="6"/>
        <v>0</v>
      </c>
      <c r="D28" s="222" t="str">
        <f>IFERROR(VLOOKUP(H28,'[1]Consolidado MP Planta'!$A$2:$M$823,13,0),"")</f>
        <v/>
      </c>
      <c r="E28" s="222" t="str">
        <f>IFERROR(VLOOKUP(H28,'[1]Consolidado MP Planta'!$A$2:$M$823,12,0),"")</f>
        <v/>
      </c>
      <c r="F28" s="222" t="str">
        <f t="shared" si="7"/>
        <v/>
      </c>
      <c r="G28" s="223" t="str">
        <f t="shared" si="8"/>
        <v/>
      </c>
      <c r="H28" s="227"/>
      <c r="I28" s="227"/>
      <c r="J28" s="225"/>
      <c r="K28" s="727"/>
      <c r="L28" s="727"/>
    </row>
    <row r="29" spans="1:12" ht="13.5" hidden="1" x14ac:dyDescent="0.25">
      <c r="A29" s="220"/>
      <c r="B29" s="226" t="str">
        <f>IFERROR(VLOOKUP(H29,'[1]Consolidado MP Planta'!$A$2:$M$823,3,0),"")</f>
        <v/>
      </c>
      <c r="C29" s="221">
        <f t="shared" si="6"/>
        <v>0</v>
      </c>
      <c r="D29" s="222" t="str">
        <f>IFERROR(VLOOKUP(H29,'[1]Consolidado MP Planta'!$A$2:$M$823,13,0),"")</f>
        <v/>
      </c>
      <c r="E29" s="222" t="str">
        <f>IFERROR(VLOOKUP(H29,'[1]Consolidado MP Planta'!$A$2:$M$823,12,0),"")</f>
        <v/>
      </c>
      <c r="F29" s="222" t="str">
        <f t="shared" si="7"/>
        <v/>
      </c>
      <c r="G29" s="223" t="str">
        <f t="shared" si="8"/>
        <v/>
      </c>
      <c r="H29" s="227"/>
      <c r="I29" s="227"/>
      <c r="J29" s="225"/>
      <c r="K29" s="727"/>
      <c r="L29" s="727"/>
    </row>
    <row r="30" spans="1:12" ht="13.5" hidden="1" x14ac:dyDescent="0.25">
      <c r="A30" s="220"/>
      <c r="B30" s="226" t="str">
        <f>IFERROR(VLOOKUP(H30,'[1]Consolidado MP Planta'!$A$2:$M$823,3,0),"")</f>
        <v/>
      </c>
      <c r="C30" s="221">
        <f t="shared" si="6"/>
        <v>0</v>
      </c>
      <c r="D30" s="222" t="str">
        <f>IFERROR(VLOOKUP(H30,'[1]Consolidado MP Planta'!$A$2:$M$823,13,0),"")</f>
        <v/>
      </c>
      <c r="E30" s="222" t="str">
        <f>IFERROR(VLOOKUP(H30,'[1]Consolidado MP Planta'!$A$2:$M$823,12,0),"")</f>
        <v/>
      </c>
      <c r="F30" s="222" t="str">
        <f t="shared" si="7"/>
        <v/>
      </c>
      <c r="G30" s="223" t="str">
        <f t="shared" si="8"/>
        <v/>
      </c>
      <c r="H30" s="227"/>
      <c r="I30" s="227"/>
      <c r="J30" s="225"/>
      <c r="K30" s="727"/>
      <c r="L30" s="727"/>
    </row>
    <row r="31" spans="1:12" ht="13.5" hidden="1" x14ac:dyDescent="0.25">
      <c r="A31" s="220"/>
      <c r="B31" s="226" t="str">
        <f>IFERROR(VLOOKUP(H31,'[1]Consolidado MP Planta'!$A$2:$M$823,3,0),"")</f>
        <v/>
      </c>
      <c r="C31" s="221">
        <f t="shared" si="6"/>
        <v>0</v>
      </c>
      <c r="D31" s="222" t="str">
        <f>IFERROR(VLOOKUP(H31,'[1]Consolidado MP Planta'!$A$2:$M$823,13,0),"")</f>
        <v/>
      </c>
      <c r="E31" s="222" t="str">
        <f>IFERROR(VLOOKUP(H31,'[1]Consolidado MP Planta'!$A$2:$M$823,12,0),"")</f>
        <v/>
      </c>
      <c r="F31" s="222" t="str">
        <f t="shared" si="7"/>
        <v/>
      </c>
      <c r="G31" s="223" t="str">
        <f t="shared" si="8"/>
        <v/>
      </c>
      <c r="H31" s="227"/>
      <c r="I31" s="227"/>
      <c r="J31" s="225"/>
      <c r="K31" s="228"/>
      <c r="L31" s="229"/>
    </row>
    <row r="32" spans="1:12" ht="13.5" hidden="1" x14ac:dyDescent="0.25">
      <c r="A32" s="220"/>
      <c r="B32" s="226" t="str">
        <f>IFERROR(VLOOKUP(H32,'[1]Consolidado MP Planta'!$A$2:$M$823,3,0),"")</f>
        <v/>
      </c>
      <c r="C32" s="221">
        <f t="shared" si="6"/>
        <v>0</v>
      </c>
      <c r="D32" s="222" t="str">
        <f>IFERROR(VLOOKUP(H32,'[1]Consolidado MP Planta'!$A$2:$M$823,13,0),"")</f>
        <v/>
      </c>
      <c r="E32" s="222" t="str">
        <f>IFERROR(VLOOKUP(H32,'[1]Consolidado MP Planta'!$A$2:$M$823,12,0),"")</f>
        <v/>
      </c>
      <c r="F32" s="222" t="str">
        <f t="shared" si="7"/>
        <v/>
      </c>
      <c r="G32" s="223" t="str">
        <f t="shared" si="8"/>
        <v/>
      </c>
      <c r="H32" s="227"/>
      <c r="I32" s="227"/>
      <c r="J32" s="225"/>
    </row>
    <row r="33" spans="1:13" ht="14.25" hidden="1" thickBot="1" x14ac:dyDescent="0.3">
      <c r="A33" s="220"/>
      <c r="B33" s="226"/>
      <c r="C33" s="221"/>
      <c r="D33" s="222"/>
      <c r="E33" s="222"/>
      <c r="F33" s="222"/>
      <c r="G33" s="223"/>
      <c r="H33" s="227"/>
      <c r="I33" s="227"/>
      <c r="J33" s="225"/>
    </row>
    <row r="34" spans="1:13" ht="26.25" thickBot="1" x14ac:dyDescent="0.25">
      <c r="A34" s="215" t="s">
        <v>178</v>
      </c>
      <c r="B34" s="216" t="s">
        <v>186</v>
      </c>
      <c r="C34" s="216" t="s">
        <v>178</v>
      </c>
      <c r="D34" s="217" t="s">
        <v>180</v>
      </c>
      <c r="E34" s="217" t="s">
        <v>181</v>
      </c>
      <c r="F34" s="217" t="s">
        <v>182</v>
      </c>
      <c r="G34" s="217" t="s">
        <v>183</v>
      </c>
      <c r="H34" s="218" t="s">
        <v>184</v>
      </c>
      <c r="I34" s="227"/>
      <c r="J34" s="225"/>
    </row>
    <row r="35" spans="1:13" ht="13.5" x14ac:dyDescent="0.25">
      <c r="A35" s="220">
        <f>+A17</f>
        <v>4000</v>
      </c>
      <c r="B35" s="226" t="s">
        <v>150</v>
      </c>
      <c r="C35" s="221">
        <f>+A35</f>
        <v>4000</v>
      </c>
      <c r="D35" s="222" t="s">
        <v>223</v>
      </c>
      <c r="E35" s="222">
        <f>+'Costo Salsa Caramelo'!E76</f>
        <v>1.4416448598130842E-2</v>
      </c>
      <c r="F35" s="222">
        <f>IFERROR(E35*C35,"")</f>
        <v>57.665794392523367</v>
      </c>
      <c r="G35" s="223">
        <f t="shared" ref="G35:G41" si="9">IFERROR(F35/$F$66,"")</f>
        <v>1.1298212971182671E-3</v>
      </c>
      <c r="H35" s="224" t="s">
        <v>230</v>
      </c>
      <c r="I35" s="227"/>
      <c r="J35" s="225"/>
    </row>
    <row r="36" spans="1:13" ht="13.5" x14ac:dyDescent="0.25">
      <c r="A36" s="220">
        <f t="shared" ref="A36:A41" si="10">+A18</f>
        <v>3000</v>
      </c>
      <c r="B36" s="226" t="s">
        <v>144</v>
      </c>
      <c r="C36" s="221">
        <f t="shared" ref="C36:C41" si="11">+A36</f>
        <v>3000</v>
      </c>
      <c r="D36" s="222" t="s">
        <v>223</v>
      </c>
      <c r="E36" s="222">
        <f>+'Costo Pecana Tostada'!E76</f>
        <v>0</v>
      </c>
      <c r="F36" s="222">
        <f t="shared" ref="F36:F41" si="12">IFERROR(E36*C36,"")</f>
        <v>0</v>
      </c>
      <c r="G36" s="223">
        <f t="shared" si="9"/>
        <v>0</v>
      </c>
      <c r="H36" s="227"/>
      <c r="I36" s="227"/>
      <c r="J36" s="225"/>
    </row>
    <row r="37" spans="1:13" ht="13.5" hidden="1" x14ac:dyDescent="0.25">
      <c r="A37" s="220">
        <f t="shared" si="10"/>
        <v>0</v>
      </c>
      <c r="B37" s="226" t="str">
        <f>IFERROR(VLOOKUP(H37,[1]SEMIELABORADOS!$A$2:$M$6000,2,0),"")</f>
        <v/>
      </c>
      <c r="C37" s="221">
        <f t="shared" si="11"/>
        <v>0</v>
      </c>
      <c r="D37" s="222" t="str">
        <f>IFERROR(VLOOKUP(H37,[1]SEMIELABORADOS!$A$2:$M$6000,6,0),"")</f>
        <v/>
      </c>
      <c r="E37" s="222" t="str">
        <f>IFERROR(VLOOKUP(H37,[1]SEMIELABORADOS!$A$2:$M$65536,10,0),"")</f>
        <v/>
      </c>
      <c r="F37" s="222" t="str">
        <f t="shared" si="12"/>
        <v/>
      </c>
      <c r="G37" s="223" t="str">
        <f t="shared" si="9"/>
        <v/>
      </c>
      <c r="H37" s="227"/>
      <c r="I37" s="227"/>
      <c r="J37" s="225"/>
    </row>
    <row r="38" spans="1:13" ht="13.5" hidden="1" x14ac:dyDescent="0.25">
      <c r="A38" s="220">
        <f t="shared" si="10"/>
        <v>0</v>
      </c>
      <c r="B38" s="226" t="str">
        <f>IFERROR(VLOOKUP(H38,[1]SEMIELABORADOS!$A$2:$M$6000,2,0),"")</f>
        <v/>
      </c>
      <c r="C38" s="221">
        <f>+A38</f>
        <v>0</v>
      </c>
      <c r="D38" s="222" t="str">
        <f>IFERROR(VLOOKUP(H38,[1]SEMIELABORADOS!$A$2:$M$6000,6,0),"")</f>
        <v/>
      </c>
      <c r="E38" s="222" t="str">
        <f>IFERROR(VLOOKUP(H38,[1]SEMIELABORADOS!$A$2:$M$65536,10,0),"")</f>
        <v/>
      </c>
      <c r="F38" s="222" t="str">
        <f>IFERROR(E38*C38,"")</f>
        <v/>
      </c>
      <c r="G38" s="223" t="str">
        <f t="shared" si="9"/>
        <v/>
      </c>
      <c r="H38" s="227"/>
      <c r="I38" s="227"/>
      <c r="J38" s="225"/>
    </row>
    <row r="39" spans="1:13" ht="13.5" hidden="1" x14ac:dyDescent="0.25">
      <c r="A39" s="220">
        <f t="shared" si="10"/>
        <v>0</v>
      </c>
      <c r="B39" s="226" t="str">
        <f>IFERROR(VLOOKUP(H39,[1]SEMIELABORADOS!$A$2:$M$6000,2,0),"")</f>
        <v/>
      </c>
      <c r="C39" s="221">
        <f>+A39</f>
        <v>0</v>
      </c>
      <c r="D39" s="222" t="str">
        <f>IFERROR(VLOOKUP(H39,[1]SEMIELABORADOS!$A$2:$M$6000,6,0),"")</f>
        <v/>
      </c>
      <c r="E39" s="222" t="str">
        <f>IFERROR(VLOOKUP(H39,[1]SEMIELABORADOS!$A$2:$M$65536,10,0),"")</f>
        <v/>
      </c>
      <c r="F39" s="222" t="str">
        <f>IFERROR(E39*C39,"")</f>
        <v/>
      </c>
      <c r="G39" s="223" t="str">
        <f t="shared" si="9"/>
        <v/>
      </c>
      <c r="H39" s="227"/>
      <c r="I39" s="227"/>
      <c r="J39" s="225"/>
    </row>
    <row r="40" spans="1:13" ht="13.5" hidden="1" x14ac:dyDescent="0.25">
      <c r="A40" s="220">
        <f t="shared" si="10"/>
        <v>0</v>
      </c>
      <c r="B40" s="226" t="str">
        <f>IFERROR(VLOOKUP(H40,[1]SEMIELABORADOS!$A$2:$M$6000,2,0),"")</f>
        <v/>
      </c>
      <c r="C40" s="221">
        <f t="shared" si="11"/>
        <v>0</v>
      </c>
      <c r="D40" s="222" t="str">
        <f>IFERROR(VLOOKUP(H40,[1]SEMIELABORADOS!$A$2:$M$6000,6,0),"")</f>
        <v/>
      </c>
      <c r="E40" s="222" t="str">
        <f>IFERROR(VLOOKUP(H40,[1]SEMIELABORADOS!$A$2:$M$65536,10,0),"")</f>
        <v/>
      </c>
      <c r="F40" s="222" t="str">
        <f t="shared" si="12"/>
        <v/>
      </c>
      <c r="G40" s="223" t="str">
        <f t="shared" si="9"/>
        <v/>
      </c>
      <c r="H40" s="227"/>
      <c r="I40" s="227"/>
      <c r="J40" s="225"/>
    </row>
    <row r="41" spans="1:13" ht="13.5" hidden="1" x14ac:dyDescent="0.25">
      <c r="A41" s="220">
        <f t="shared" si="10"/>
        <v>0</v>
      </c>
      <c r="B41" s="226" t="str">
        <f>IFERROR(VLOOKUP(H41,[1]SEMIELABORADOS!$A$2:$M$6000,2,0),"")</f>
        <v/>
      </c>
      <c r="C41" s="221">
        <f t="shared" si="11"/>
        <v>0</v>
      </c>
      <c r="D41" s="222" t="str">
        <f>IFERROR(VLOOKUP(H41,[1]SEMIELABORADOS!$A$2:$M$6000,6,0),"")</f>
        <v/>
      </c>
      <c r="E41" s="222" t="str">
        <f>IFERROR(VLOOKUP(H41,[1]SEMIELABORADOS!$A$2:$M$65536,10,0),"")</f>
        <v/>
      </c>
      <c r="F41" s="222" t="str">
        <f t="shared" si="12"/>
        <v/>
      </c>
      <c r="G41" s="223" t="str">
        <f t="shared" si="9"/>
        <v/>
      </c>
      <c r="H41" s="227"/>
      <c r="I41" s="227"/>
      <c r="J41" s="225"/>
    </row>
    <row r="42" spans="1:13" ht="14.25" thickBot="1" x14ac:dyDescent="0.3">
      <c r="A42" s="220"/>
      <c r="B42" s="226"/>
      <c r="C42" s="221"/>
      <c r="D42" s="222"/>
      <c r="E42" s="222"/>
      <c r="F42" s="222"/>
      <c r="G42" s="223"/>
      <c r="H42" s="227"/>
      <c r="I42" s="227"/>
      <c r="J42" s="225"/>
    </row>
    <row r="43" spans="1:13" ht="26.25" thickBot="1" x14ac:dyDescent="0.25">
      <c r="A43" s="215" t="s">
        <v>178</v>
      </c>
      <c r="B43" s="216" t="s">
        <v>187</v>
      </c>
      <c r="C43" s="216" t="s">
        <v>178</v>
      </c>
      <c r="D43" s="217" t="s">
        <v>180</v>
      </c>
      <c r="E43" s="217" t="s">
        <v>181</v>
      </c>
      <c r="F43" s="217" t="s">
        <v>182</v>
      </c>
      <c r="G43" s="217" t="s">
        <v>183</v>
      </c>
      <c r="H43" s="218" t="s">
        <v>184</v>
      </c>
      <c r="I43" s="219"/>
      <c r="J43" s="225"/>
    </row>
    <row r="44" spans="1:13" ht="13.5" x14ac:dyDescent="0.25">
      <c r="A44" s="220">
        <f>+A35</f>
        <v>4000</v>
      </c>
      <c r="B44" s="226" t="s">
        <v>150</v>
      </c>
      <c r="C44" s="221">
        <f>+A44</f>
        <v>4000</v>
      </c>
      <c r="D44" s="222" t="s">
        <v>223</v>
      </c>
      <c r="E44" s="222">
        <f>+'Costo Salsa Caramelo'!E74</f>
        <v>0.10934579439252337</v>
      </c>
      <c r="F44" s="222">
        <f>IFERROR(E44*C44,"")</f>
        <v>437.38317757009349</v>
      </c>
      <c r="G44" s="223">
        <f>IFERROR(F44/$F$66,"")</f>
        <v>8.5694619180347771E-3</v>
      </c>
      <c r="H44" s="224" t="s">
        <v>230</v>
      </c>
      <c r="I44" s="219"/>
      <c r="J44" s="225"/>
    </row>
    <row r="45" spans="1:13" ht="13.5" x14ac:dyDescent="0.25">
      <c r="A45" s="220">
        <f t="shared" ref="A45:A50" si="13">+A36</f>
        <v>3000</v>
      </c>
      <c r="B45" s="226" t="s">
        <v>144</v>
      </c>
      <c r="C45" s="221">
        <f t="shared" ref="C45:C50" si="14">+A45</f>
        <v>3000</v>
      </c>
      <c r="D45" s="222" t="s">
        <v>223</v>
      </c>
      <c r="E45" s="222">
        <f>+'Costo Pecana Tostada'!E74</f>
        <v>2.3571428571428573E-2</v>
      </c>
      <c r="F45" s="222">
        <f t="shared" ref="F45:F50" si="15">IFERROR(E45*C45,"")</f>
        <v>70.714285714285722</v>
      </c>
      <c r="G45" s="223">
        <f t="shared" ref="G45:G50" si="16">IFERROR(F45/$F$66,"")</f>
        <v>1.3854748183416115E-3</v>
      </c>
      <c r="H45" s="227"/>
      <c r="I45" s="219"/>
      <c r="J45" s="225"/>
      <c r="M45" s="230"/>
    </row>
    <row r="46" spans="1:13" ht="13.5" hidden="1" x14ac:dyDescent="0.25">
      <c r="A46" s="220">
        <f t="shared" si="13"/>
        <v>0</v>
      </c>
      <c r="B46" s="226" t="str">
        <f>IFERROR(VLOOKUP(H46,[1]SEMIELABORADOS!$A$2:$M$6000,2,0),"")</f>
        <v/>
      </c>
      <c r="C46" s="221">
        <f t="shared" si="14"/>
        <v>0</v>
      </c>
      <c r="D46" s="222" t="str">
        <f>IFERROR(VLOOKUP(H46,[1]SEMIELABORADOS!$A$2:$M$6000,6,0),"")</f>
        <v/>
      </c>
      <c r="E46" s="222" t="str">
        <f>IFERROR(VLOOKUP(H46,[1]SEMIELABORADOS!$A$2:$M$65536,12,0),"")</f>
        <v/>
      </c>
      <c r="F46" s="222" t="str">
        <f t="shared" si="15"/>
        <v/>
      </c>
      <c r="G46" s="223" t="str">
        <f t="shared" si="16"/>
        <v/>
      </c>
      <c r="H46" s="227"/>
      <c r="I46" s="219"/>
      <c r="J46" s="225"/>
    </row>
    <row r="47" spans="1:13" ht="13.5" hidden="1" x14ac:dyDescent="0.25">
      <c r="A47" s="220">
        <f t="shared" si="13"/>
        <v>0</v>
      </c>
      <c r="B47" s="226" t="str">
        <f>IFERROR(VLOOKUP(H47,[1]SEMIELABORADOS!$A$2:$M$6000,2,0),"")</f>
        <v/>
      </c>
      <c r="C47" s="221">
        <f t="shared" si="14"/>
        <v>0</v>
      </c>
      <c r="D47" s="222" t="str">
        <f>IFERROR(VLOOKUP(H47,[1]SEMIELABORADOS!$A$2:$M$6000,6,0),"")</f>
        <v/>
      </c>
      <c r="E47" s="222" t="str">
        <f>IFERROR(VLOOKUP(H47,[1]SEMIELABORADOS!$A$2:$M$65536,12,0),"")</f>
        <v/>
      </c>
      <c r="F47" s="222" t="str">
        <f t="shared" si="15"/>
        <v/>
      </c>
      <c r="G47" s="223" t="str">
        <f t="shared" si="16"/>
        <v/>
      </c>
      <c r="H47" s="227"/>
      <c r="I47" s="219"/>
      <c r="J47" s="225"/>
    </row>
    <row r="48" spans="1:13" ht="13.5" hidden="1" x14ac:dyDescent="0.25">
      <c r="A48" s="220">
        <f t="shared" si="13"/>
        <v>0</v>
      </c>
      <c r="B48" s="226" t="str">
        <f>IFERROR(VLOOKUP(H48,[1]SEMIELABORADOS!$A$2:$M$6000,2,0),"")</f>
        <v/>
      </c>
      <c r="C48" s="221">
        <f t="shared" si="14"/>
        <v>0</v>
      </c>
      <c r="D48" s="222" t="str">
        <f>IFERROR(VLOOKUP(H48,[1]SEMIELABORADOS!$A$2:$M$6000,6,0),"")</f>
        <v/>
      </c>
      <c r="E48" s="222" t="str">
        <f>IFERROR(VLOOKUP(H48,[1]SEMIELABORADOS!$A$2:$M$65536,12,0),"")</f>
        <v/>
      </c>
      <c r="F48" s="222" t="str">
        <f t="shared" si="15"/>
        <v/>
      </c>
      <c r="G48" s="223" t="str">
        <f t="shared" si="16"/>
        <v/>
      </c>
      <c r="H48" s="227"/>
      <c r="I48" s="219"/>
      <c r="J48" s="225"/>
    </row>
    <row r="49" spans="1:17" ht="13.5" hidden="1" x14ac:dyDescent="0.25">
      <c r="A49" s="220">
        <f t="shared" si="13"/>
        <v>0</v>
      </c>
      <c r="B49" s="226" t="str">
        <f>IFERROR(VLOOKUP(H49,[1]SEMIELABORADOS!$A$2:$M$6000,2,0),"")</f>
        <v/>
      </c>
      <c r="C49" s="221">
        <f t="shared" si="14"/>
        <v>0</v>
      </c>
      <c r="D49" s="222" t="str">
        <f>IFERROR(VLOOKUP(H49,[1]SEMIELABORADOS!$A$2:$M$6000,6,0),"")</f>
        <v/>
      </c>
      <c r="E49" s="222" t="str">
        <f>IFERROR(VLOOKUP(H49,[1]SEMIELABORADOS!$A$2:$M$65536,12,0),"")</f>
        <v/>
      </c>
      <c r="F49" s="222" t="str">
        <f t="shared" si="15"/>
        <v/>
      </c>
      <c r="G49" s="223" t="str">
        <f t="shared" si="16"/>
        <v/>
      </c>
      <c r="H49" s="227"/>
      <c r="I49" s="219"/>
      <c r="J49" s="225"/>
    </row>
    <row r="50" spans="1:17" ht="13.5" hidden="1" x14ac:dyDescent="0.25">
      <c r="A50" s="220">
        <f t="shared" si="13"/>
        <v>0</v>
      </c>
      <c r="B50" s="226" t="str">
        <f>IFERROR(VLOOKUP(H50,[1]SEMIELABORADOS!$A$2:$M$6000,2,0),"")</f>
        <v/>
      </c>
      <c r="C50" s="221">
        <f t="shared" si="14"/>
        <v>0</v>
      </c>
      <c r="D50" s="222" t="str">
        <f>IFERROR(VLOOKUP(H50,[1]SEMIELABORADOS!$A$2:$M$6000,6,0),"")</f>
        <v/>
      </c>
      <c r="E50" s="222" t="str">
        <f>IFERROR(VLOOKUP(H50,[1]SEMIELABORADOS!$A$2:$M$65536,12,0),"")</f>
        <v/>
      </c>
      <c r="F50" s="222" t="str">
        <f t="shared" si="15"/>
        <v/>
      </c>
      <c r="G50" s="223" t="str">
        <f t="shared" si="16"/>
        <v/>
      </c>
      <c r="H50" s="226"/>
      <c r="I50" s="219"/>
      <c r="J50" s="225"/>
    </row>
    <row r="51" spans="1:17" ht="13.5" x14ac:dyDescent="0.25">
      <c r="A51" s="220">
        <v>1</v>
      </c>
      <c r="B51" s="226" t="s">
        <v>188</v>
      </c>
      <c r="C51" s="221">
        <f>+A51</f>
        <v>1</v>
      </c>
      <c r="D51" s="221" t="s">
        <v>189</v>
      </c>
      <c r="E51" s="222">
        <f>+F65</f>
        <v>385</v>
      </c>
      <c r="F51" s="222">
        <f>IFERROR(C51*E51,"")</f>
        <v>385</v>
      </c>
      <c r="G51" s="223">
        <f>IFERROR(F51/$F$66,"")</f>
        <v>7.5431406776376624E-3</v>
      </c>
      <c r="H51" s="231"/>
      <c r="I51" s="231"/>
      <c r="J51" s="225"/>
    </row>
    <row r="52" spans="1:17" ht="14.25" thickBot="1" x14ac:dyDescent="0.3">
      <c r="A52" s="220"/>
      <c r="B52" s="226"/>
      <c r="C52" s="221"/>
      <c r="D52" s="221"/>
      <c r="E52" s="222"/>
      <c r="F52" s="222"/>
      <c r="G52" s="223"/>
      <c r="H52" s="231"/>
      <c r="I52" s="231"/>
      <c r="J52" s="225"/>
    </row>
    <row r="53" spans="1:17" ht="13.5" thickBot="1" x14ac:dyDescent="0.25">
      <c r="A53" s="232"/>
      <c r="B53" s="737" t="s">
        <v>190</v>
      </c>
      <c r="C53" s="737"/>
      <c r="D53" s="737"/>
      <c r="E53" s="737"/>
      <c r="F53" s="234">
        <f>SUM(F8:F14,F17:F24)</f>
        <v>49604.982643524694</v>
      </c>
      <c r="G53" s="223">
        <f>+F53/$F$66</f>
        <v>0.97188925296592554</v>
      </c>
      <c r="H53" s="235">
        <f>+F53/$D$60</f>
        <v>49604.982643524694</v>
      </c>
      <c r="I53" s="235"/>
      <c r="J53" s="236"/>
      <c r="K53" s="237"/>
      <c r="L53" s="237"/>
      <c r="M53" s="237"/>
      <c r="N53" s="237"/>
      <c r="O53" s="237"/>
      <c r="P53" s="237"/>
      <c r="Q53" s="238"/>
    </row>
    <row r="54" spans="1:17" x14ac:dyDescent="0.2">
      <c r="A54" s="232"/>
      <c r="B54" s="737" t="s">
        <v>191</v>
      </c>
      <c r="C54" s="737"/>
      <c r="D54" s="737"/>
      <c r="E54" s="737"/>
      <c r="F54" s="234">
        <f>SUM(F27:F32,F35:F41)</f>
        <v>57.665794392523367</v>
      </c>
      <c r="G54" s="223">
        <f>+F54/$F$66</f>
        <v>1.1298212971182671E-3</v>
      </c>
      <c r="H54" s="235">
        <f>+F54/$D$60</f>
        <v>57.665794392523367</v>
      </c>
      <c r="I54" s="235"/>
      <c r="J54" s="239"/>
      <c r="K54" s="738" t="s">
        <v>192</v>
      </c>
      <c r="L54" s="739"/>
      <c r="M54" s="739"/>
      <c r="N54" s="739"/>
      <c r="O54" s="240">
        <f>+F55</f>
        <v>49662.648437917218</v>
      </c>
      <c r="P54" s="240"/>
      <c r="Q54" s="241"/>
    </row>
    <row r="55" spans="1:17" x14ac:dyDescent="0.2">
      <c r="A55" s="232"/>
      <c r="B55" s="737" t="s">
        <v>193</v>
      </c>
      <c r="C55" s="737"/>
      <c r="D55" s="737"/>
      <c r="E55" s="737"/>
      <c r="F55" s="234">
        <f>+F53+F54</f>
        <v>49662.648437917218</v>
      </c>
      <c r="G55" s="223">
        <f>+F55/$F$66</f>
        <v>0.9730190742630439</v>
      </c>
      <c r="H55" s="235">
        <f>+F55/$D$60</f>
        <v>49662.648437917218</v>
      </c>
      <c r="I55" s="235"/>
      <c r="J55" s="242"/>
      <c r="K55" s="243"/>
      <c r="M55" s="244" t="s">
        <v>194</v>
      </c>
      <c r="N55" s="245"/>
      <c r="O55" s="240">
        <f>+H56</f>
        <v>893.09746328437927</v>
      </c>
      <c r="P55" s="240"/>
      <c r="Q55" s="241"/>
    </row>
    <row r="56" spans="1:17" ht="13.5" thickBot="1" x14ac:dyDescent="0.25">
      <c r="A56" s="232"/>
      <c r="B56" s="233"/>
      <c r="C56" s="737" t="s">
        <v>195</v>
      </c>
      <c r="D56" s="737"/>
      <c r="E56" s="737"/>
      <c r="F56" s="234">
        <f>SUM(F44:F51)</f>
        <v>893.09746328437927</v>
      </c>
      <c r="G56" s="223">
        <f>+F56/$F$66</f>
        <v>1.7498077414014053E-2</v>
      </c>
      <c r="H56" s="235">
        <f>+F56/$D$60</f>
        <v>893.09746328437927</v>
      </c>
      <c r="I56" s="235"/>
      <c r="J56" s="242"/>
      <c r="K56" s="243"/>
      <c r="L56" s="243"/>
      <c r="M56" s="243" t="s">
        <v>196</v>
      </c>
      <c r="N56" s="246"/>
      <c r="O56" s="240">
        <f>O54*N56</f>
        <v>0</v>
      </c>
      <c r="P56" s="240"/>
      <c r="Q56" s="241"/>
    </row>
    <row r="57" spans="1:17" ht="13.5" thickBot="1" x14ac:dyDescent="0.25">
      <c r="A57" s="232"/>
      <c r="B57" s="247"/>
      <c r="C57" s="247"/>
      <c r="D57" s="247"/>
      <c r="E57" s="247"/>
      <c r="F57" s="248"/>
      <c r="G57" s="223"/>
      <c r="H57" s="249"/>
      <c r="I57" s="235"/>
      <c r="J57" s="242"/>
      <c r="K57" s="250"/>
      <c r="M57" s="251" t="s">
        <v>197</v>
      </c>
      <c r="N57" s="252"/>
      <c r="O57" s="253">
        <f>SUM(O54:O56)</f>
        <v>50555.745901201597</v>
      </c>
      <c r="P57" s="254"/>
      <c r="Q57" s="241"/>
    </row>
    <row r="58" spans="1:17" x14ac:dyDescent="0.2">
      <c r="B58" s="740" t="s">
        <v>198</v>
      </c>
      <c r="C58" s="740"/>
      <c r="D58" s="255">
        <v>10000</v>
      </c>
      <c r="E58" s="256"/>
      <c r="G58" s="223"/>
      <c r="H58" s="249">
        <f>+H56/77</f>
        <v>11.598668354342587</v>
      </c>
      <c r="I58" s="257"/>
      <c r="J58" s="242"/>
      <c r="K58" s="250"/>
      <c r="L58" s="243"/>
      <c r="M58" s="243" t="s">
        <v>199</v>
      </c>
      <c r="N58" s="258"/>
      <c r="O58" s="240">
        <f>+H59</f>
        <v>742.31477467792558</v>
      </c>
      <c r="P58" s="240"/>
      <c r="Q58" s="241"/>
    </row>
    <row r="59" spans="1:17" x14ac:dyDescent="0.2">
      <c r="B59" s="740" t="s">
        <v>200</v>
      </c>
      <c r="C59" s="740"/>
      <c r="D59" s="259">
        <v>10000</v>
      </c>
      <c r="E59" s="256"/>
      <c r="G59" s="223"/>
      <c r="H59" s="249">
        <f>+H58*64</f>
        <v>742.31477467792558</v>
      </c>
      <c r="I59" s="257"/>
      <c r="J59" s="242"/>
      <c r="K59" s="250"/>
      <c r="L59" s="243"/>
      <c r="M59" s="741" t="s">
        <v>197</v>
      </c>
      <c r="N59" s="741"/>
      <c r="O59" s="240">
        <f>SUM(O57:O58)</f>
        <v>51298.060675879526</v>
      </c>
      <c r="P59" s="240"/>
      <c r="Q59" s="241"/>
    </row>
    <row r="60" spans="1:17" ht="13.5" thickBot="1" x14ac:dyDescent="0.25">
      <c r="B60" s="733" t="s">
        <v>201</v>
      </c>
      <c r="C60" s="733"/>
      <c r="D60" s="255">
        <f>+D58/D59</f>
        <v>1</v>
      </c>
      <c r="E60" s="256"/>
      <c r="F60" s="260"/>
      <c r="G60" s="223"/>
      <c r="H60" s="249"/>
      <c r="I60" s="257"/>
      <c r="J60" s="242"/>
      <c r="K60" s="250"/>
      <c r="L60" s="741"/>
      <c r="M60" s="741"/>
      <c r="N60" s="258"/>
      <c r="O60" s="240">
        <f>+O59*N60</f>
        <v>0</v>
      </c>
      <c r="P60" s="240"/>
      <c r="Q60" s="241"/>
    </row>
    <row r="61" spans="1:17" ht="13.5" thickBot="1" x14ac:dyDescent="0.25">
      <c r="B61" s="733" t="s">
        <v>202</v>
      </c>
      <c r="C61" s="733"/>
      <c r="D61" s="261"/>
      <c r="E61" s="256"/>
      <c r="F61" s="260"/>
      <c r="G61" s="223"/>
      <c r="H61" s="249"/>
      <c r="I61" s="257"/>
      <c r="J61" s="242"/>
      <c r="K61" s="734" t="s">
        <v>203</v>
      </c>
      <c r="L61" s="735"/>
      <c r="M61" s="735"/>
      <c r="N61" s="736"/>
      <c r="O61" s="253">
        <f>SUM(O59:O60)</f>
        <v>51298.060675879526</v>
      </c>
      <c r="P61" s="262" t="s">
        <v>204</v>
      </c>
      <c r="Q61" s="241"/>
    </row>
    <row r="62" spans="1:17" ht="13.5" thickBot="1" x14ac:dyDescent="0.25">
      <c r="C62" s="232" t="s">
        <v>205</v>
      </c>
      <c r="D62" s="263"/>
      <c r="E62" s="206" t="s">
        <v>206</v>
      </c>
      <c r="F62" s="264" t="s">
        <v>207</v>
      </c>
      <c r="G62" s="223"/>
      <c r="H62" s="249"/>
      <c r="I62" s="257"/>
      <c r="J62" s="265"/>
      <c r="K62" s="266"/>
      <c r="L62" s="747" t="s">
        <v>208</v>
      </c>
      <c r="M62" s="747"/>
      <c r="N62" s="747"/>
      <c r="O62" s="267">
        <f>+O61/D60</f>
        <v>51298.060675879526</v>
      </c>
      <c r="P62" s="268">
        <f>+O62/D59</f>
        <v>5.1298060675879524</v>
      </c>
      <c r="Q62" s="269"/>
    </row>
    <row r="63" spans="1:17" ht="13.5" thickBot="1" x14ac:dyDescent="0.25">
      <c r="B63" s="748" t="s">
        <v>193</v>
      </c>
      <c r="C63" s="748"/>
      <c r="D63" s="748"/>
      <c r="E63" s="270">
        <f>+F63/F63</f>
        <v>1</v>
      </c>
      <c r="F63" s="271">
        <f>SUM(F55)</f>
        <v>49662.648437917218</v>
      </c>
      <c r="G63" s="223">
        <f>+F63/$F$66</f>
        <v>0.9730190742630439</v>
      </c>
      <c r="H63" s="249"/>
      <c r="I63" s="257"/>
      <c r="K63" s="749"/>
      <c r="L63" s="750"/>
      <c r="M63" s="750"/>
      <c r="N63" s="750"/>
      <c r="O63" s="272"/>
      <c r="P63" s="273"/>
    </row>
    <row r="64" spans="1:17" ht="13.5" thickBot="1" x14ac:dyDescent="0.25">
      <c r="B64" s="751" t="s">
        <v>209</v>
      </c>
      <c r="C64" s="751"/>
      <c r="D64" s="751"/>
      <c r="E64" s="274">
        <v>0.02</v>
      </c>
      <c r="F64" s="271">
        <f>+F53*E64</f>
        <v>992.09965287049386</v>
      </c>
      <c r="G64" s="223">
        <f>+F64/$F$66</f>
        <v>1.9437785059318511E-2</v>
      </c>
      <c r="H64" s="235"/>
      <c r="I64" s="257"/>
      <c r="J64" s="275"/>
      <c r="O64" s="276"/>
      <c r="P64" s="233"/>
    </row>
    <row r="65" spans="2:13" ht="13.5" thickBot="1" x14ac:dyDescent="0.25">
      <c r="B65" s="752" t="s">
        <v>210</v>
      </c>
      <c r="C65" s="753"/>
      <c r="D65" s="277">
        <v>5</v>
      </c>
      <c r="E65" s="278">
        <v>77</v>
      </c>
      <c r="F65" s="271">
        <f>+E65*D65</f>
        <v>385</v>
      </c>
      <c r="G65" s="223">
        <f>+F65/$F$66</f>
        <v>7.5431406776376624E-3</v>
      </c>
      <c r="H65" s="235"/>
      <c r="I65" s="235"/>
      <c r="J65" s="225"/>
    </row>
    <row r="66" spans="2:13" ht="13.5" thickBot="1" x14ac:dyDescent="0.25">
      <c r="B66" s="754" t="s">
        <v>211</v>
      </c>
      <c r="C66" s="755"/>
      <c r="D66" s="755"/>
      <c r="E66" s="756"/>
      <c r="F66" s="248">
        <f>SUM(F63:F65)</f>
        <v>51039.748090787711</v>
      </c>
      <c r="G66" s="223">
        <f>+F66/$F$66</f>
        <v>1</v>
      </c>
      <c r="H66" s="757"/>
      <c r="I66" s="235"/>
      <c r="J66" s="225"/>
      <c r="M66" s="208" t="s">
        <v>212</v>
      </c>
    </row>
    <row r="67" spans="2:13" x14ac:dyDescent="0.2">
      <c r="C67" s="230"/>
      <c r="D67" s="230"/>
      <c r="E67" s="280"/>
      <c r="F67" s="271"/>
      <c r="G67" s="223"/>
      <c r="H67" s="757"/>
      <c r="I67" s="279"/>
      <c r="J67" s="208"/>
      <c r="M67" s="208" t="s">
        <v>213</v>
      </c>
    </row>
    <row r="68" spans="2:13" ht="13.5" thickBot="1" x14ac:dyDescent="0.25">
      <c r="B68" s="742" t="s">
        <v>214</v>
      </c>
      <c r="C68" s="742"/>
      <c r="D68" s="742"/>
      <c r="E68" s="742"/>
      <c r="F68" s="742"/>
      <c r="G68" s="223"/>
      <c r="H68" s="282"/>
      <c r="I68" s="279"/>
      <c r="J68" s="208"/>
      <c r="M68" s="208" t="s">
        <v>215</v>
      </c>
    </row>
    <row r="69" spans="2:13" ht="13.5" thickBot="1" x14ac:dyDescent="0.25">
      <c r="B69" s="283" t="s">
        <v>216</v>
      </c>
      <c r="C69" s="284">
        <f>+F53</f>
        <v>49604.982643524694</v>
      </c>
      <c r="D69" s="284">
        <f>+D58</f>
        <v>10000</v>
      </c>
      <c r="E69" s="285">
        <f>+C69/D69</f>
        <v>4.9604982643524691</v>
      </c>
      <c r="F69" s="223"/>
      <c r="G69" s="282"/>
      <c r="H69" s="225"/>
      <c r="I69" s="282"/>
      <c r="J69" s="208"/>
    </row>
    <row r="70" spans="2:13" x14ac:dyDescent="0.2">
      <c r="B70" s="286"/>
      <c r="C70" s="287"/>
      <c r="D70" s="288"/>
      <c r="E70" s="271"/>
      <c r="F70" s="223"/>
      <c r="G70" s="282"/>
      <c r="H70" s="225"/>
      <c r="I70" s="225"/>
      <c r="J70" s="208"/>
    </row>
    <row r="71" spans="2:13" x14ac:dyDescent="0.2">
      <c r="B71" s="283" t="s">
        <v>217</v>
      </c>
      <c r="C71" s="284">
        <f>SUM(F63:F64)</f>
        <v>50654.748090787711</v>
      </c>
      <c r="D71" s="284">
        <f>+D58</f>
        <v>10000</v>
      </c>
      <c r="E71" s="289">
        <f>+C71/D71</f>
        <v>5.0654748090787711</v>
      </c>
      <c r="F71" s="223"/>
      <c r="G71" s="282"/>
      <c r="H71" s="225"/>
      <c r="I71" s="225"/>
      <c r="J71" s="208"/>
    </row>
    <row r="72" spans="2:13" x14ac:dyDescent="0.2">
      <c r="B72" s="283"/>
      <c r="C72" s="284"/>
      <c r="D72" s="284"/>
      <c r="E72" s="289"/>
      <c r="F72" s="223"/>
      <c r="G72" s="282"/>
      <c r="H72" s="225"/>
      <c r="I72" s="225"/>
      <c r="J72" s="208"/>
    </row>
    <row r="73" spans="2:13" ht="13.5" thickBot="1" x14ac:dyDescent="0.25">
      <c r="B73" s="283" t="s">
        <v>218</v>
      </c>
      <c r="C73" s="284">
        <f>+F65</f>
        <v>385</v>
      </c>
      <c r="D73" s="284">
        <f>+D58</f>
        <v>10000</v>
      </c>
      <c r="E73" s="289">
        <f>+C73/D73</f>
        <v>3.85E-2</v>
      </c>
      <c r="F73" s="223"/>
      <c r="G73" s="282"/>
      <c r="H73" s="225"/>
      <c r="I73" s="225"/>
      <c r="J73" s="208"/>
    </row>
    <row r="74" spans="2:13" ht="13.5" thickBot="1" x14ac:dyDescent="0.25">
      <c r="B74" s="283" t="s">
        <v>219</v>
      </c>
      <c r="C74" s="284">
        <f>+F56</f>
        <v>893.09746328437927</v>
      </c>
      <c r="D74" s="284">
        <f>+D73</f>
        <v>10000</v>
      </c>
      <c r="E74" s="285">
        <f>+C74/D74</f>
        <v>8.9309746328437925E-2</v>
      </c>
      <c r="F74" s="223"/>
      <c r="G74" s="282"/>
      <c r="H74" s="225"/>
      <c r="I74" s="225"/>
      <c r="J74" s="208"/>
    </row>
    <row r="75" spans="2:13" ht="13.5" thickBot="1" x14ac:dyDescent="0.25">
      <c r="B75" s="247"/>
      <c r="C75" s="248"/>
      <c r="D75" s="248"/>
      <c r="E75" s="289"/>
      <c r="F75" s="223"/>
      <c r="G75" s="282"/>
      <c r="H75" s="225"/>
      <c r="I75" s="225"/>
      <c r="J75" s="208"/>
    </row>
    <row r="76" spans="2:13" ht="13.5" thickBot="1" x14ac:dyDescent="0.25">
      <c r="B76" s="283" t="s">
        <v>220</v>
      </c>
      <c r="C76" s="284">
        <f>+F54</f>
        <v>57.665794392523367</v>
      </c>
      <c r="D76" s="284">
        <f>+D74</f>
        <v>10000</v>
      </c>
      <c r="E76" s="285">
        <f>+C76/D76</f>
        <v>5.7665794392523367E-3</v>
      </c>
      <c r="F76" s="223"/>
      <c r="G76" s="282"/>
      <c r="H76" s="225"/>
      <c r="I76" s="225"/>
      <c r="J76" s="225"/>
    </row>
    <row r="77" spans="2:13" ht="13.5" thickBot="1" x14ac:dyDescent="0.25">
      <c r="B77" s="247"/>
      <c r="C77" s="248"/>
      <c r="D77" s="248"/>
      <c r="E77" s="289"/>
      <c r="F77" s="223"/>
      <c r="G77" s="282"/>
      <c r="H77" s="225"/>
      <c r="I77" s="225"/>
    </row>
    <row r="78" spans="2:13" ht="13.5" thickBot="1" x14ac:dyDescent="0.25">
      <c r="B78" s="743" t="s">
        <v>221</v>
      </c>
      <c r="C78" s="744"/>
      <c r="D78" s="745"/>
      <c r="E78" s="285">
        <f>+E69+E74</f>
        <v>5.0498080106809073</v>
      </c>
      <c r="G78" s="223"/>
      <c r="H78" s="282"/>
      <c r="I78" s="225"/>
      <c r="J78" s="289"/>
    </row>
    <row r="79" spans="2:13" x14ac:dyDescent="0.2">
      <c r="I79" s="282"/>
      <c r="J79" s="208"/>
    </row>
    <row r="80" spans="2:13" ht="13.5" thickBot="1" x14ac:dyDescent="0.25">
      <c r="B80" s="742" t="s">
        <v>222</v>
      </c>
      <c r="C80" s="742"/>
      <c r="D80" s="742"/>
      <c r="E80" s="742"/>
      <c r="F80" s="742"/>
      <c r="G80" s="223"/>
      <c r="H80" s="282"/>
      <c r="J80" s="208"/>
    </row>
    <row r="81" spans="1:10" ht="13.5" thickBot="1" x14ac:dyDescent="0.25">
      <c r="B81" s="283" t="s">
        <v>216</v>
      </c>
      <c r="C81" s="284">
        <f>+C69</f>
        <v>49604.982643524694</v>
      </c>
      <c r="D81" s="284">
        <f>+D60</f>
        <v>1</v>
      </c>
      <c r="E81" s="285">
        <f>+C81/D81</f>
        <v>49604.982643524694</v>
      </c>
      <c r="F81" s="223"/>
      <c r="G81" s="282"/>
      <c r="H81" s="225"/>
      <c r="I81" s="282"/>
      <c r="J81" s="208"/>
    </row>
    <row r="82" spans="1:10" x14ac:dyDescent="0.2">
      <c r="B82" s="286"/>
      <c r="C82" s="287"/>
      <c r="D82" s="288"/>
      <c r="E82" s="271"/>
      <c r="F82" s="223"/>
      <c r="G82" s="282"/>
      <c r="H82" s="225"/>
      <c r="I82" s="225"/>
      <c r="J82" s="208"/>
    </row>
    <row r="83" spans="1:10" x14ac:dyDescent="0.2">
      <c r="B83" s="283" t="s">
        <v>217</v>
      </c>
      <c r="C83" s="284">
        <f>+C71</f>
        <v>50654.748090787711</v>
      </c>
      <c r="D83" s="284">
        <f>+D60</f>
        <v>1</v>
      </c>
      <c r="E83" s="289">
        <f>+C83/D83</f>
        <v>50654.748090787711</v>
      </c>
      <c r="F83" s="223"/>
      <c r="G83" s="282"/>
      <c r="H83" s="225"/>
      <c r="I83" s="225"/>
      <c r="J83" s="208"/>
    </row>
    <row r="84" spans="1:10" x14ac:dyDescent="0.2">
      <c r="B84" s="283"/>
      <c r="C84" s="284"/>
      <c r="D84" s="284"/>
      <c r="E84" s="289"/>
      <c r="F84" s="223"/>
      <c r="G84" s="282"/>
      <c r="H84" s="225"/>
      <c r="I84" s="225"/>
      <c r="J84" s="208"/>
    </row>
    <row r="85" spans="1:10" ht="13.5" thickBot="1" x14ac:dyDescent="0.25">
      <c r="B85" s="283" t="s">
        <v>219</v>
      </c>
      <c r="C85" s="284">
        <f>+C73</f>
        <v>385</v>
      </c>
      <c r="D85" s="284">
        <f>+D60</f>
        <v>1</v>
      </c>
      <c r="E85" s="289">
        <f>+C85/D85</f>
        <v>385</v>
      </c>
      <c r="F85" s="291"/>
      <c r="G85" s="281"/>
      <c r="H85" s="207"/>
      <c r="I85" s="225"/>
    </row>
    <row r="86" spans="1:10" ht="13.5" thickBot="1" x14ac:dyDescent="0.25">
      <c r="B86" s="283" t="s">
        <v>219</v>
      </c>
      <c r="C86" s="284">
        <f>+C74</f>
        <v>893.09746328437927</v>
      </c>
      <c r="D86" s="284">
        <f>+D85</f>
        <v>1</v>
      </c>
      <c r="E86" s="285">
        <f>+C86/D86</f>
        <v>893.09746328437927</v>
      </c>
      <c r="F86" s="290"/>
      <c r="G86" s="281"/>
      <c r="H86" s="207"/>
      <c r="I86" s="207"/>
    </row>
    <row r="87" spans="1:10" x14ac:dyDescent="0.2">
      <c r="I87" s="207"/>
    </row>
    <row r="88" spans="1:10" x14ac:dyDescent="0.2">
      <c r="A88" s="746"/>
      <c r="B88" s="746"/>
      <c r="C88" s="292"/>
      <c r="D88" s="292"/>
      <c r="E88" s="293"/>
      <c r="G88" s="294"/>
    </row>
    <row r="89" spans="1:10" x14ac:dyDescent="0.2">
      <c r="A89" s="226"/>
      <c r="B89" s="295"/>
      <c r="C89" s="296"/>
      <c r="D89" s="296"/>
      <c r="E89" s="297"/>
      <c r="G89" s="294"/>
    </row>
    <row r="90" spans="1:10" x14ac:dyDescent="0.2">
      <c r="A90" s="226"/>
      <c r="B90" s="295"/>
      <c r="C90" s="298"/>
      <c r="D90" s="298"/>
      <c r="E90" s="226"/>
      <c r="G90" s="294"/>
    </row>
    <row r="91" spans="1:10" x14ac:dyDescent="0.2">
      <c r="A91" s="226"/>
      <c r="B91" s="295"/>
      <c r="C91" s="299"/>
      <c r="D91" s="299"/>
      <c r="E91" s="226"/>
      <c r="G91" s="294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9E577-747E-4EC8-8A13-4F261023D906}">
  <sheetPr>
    <pageSetUpPr fitToPage="1"/>
  </sheetPr>
  <dimension ref="A1:M39"/>
  <sheetViews>
    <sheetView topLeftCell="A3" workbookViewId="0">
      <selection activeCell="F13" sqref="F13"/>
    </sheetView>
  </sheetViews>
  <sheetFormatPr baseColWidth="10" defaultColWidth="11.42578125" defaultRowHeight="12.75" x14ac:dyDescent="0.2"/>
  <cols>
    <col min="1" max="1" width="16.28515625" style="1" customWidth="1"/>
    <col min="2" max="2" width="14.5703125" style="1" customWidth="1"/>
    <col min="3" max="3" width="48.28515625" style="1" customWidth="1"/>
    <col min="4" max="4" width="15.5703125" style="1" customWidth="1"/>
    <col min="5" max="5" width="11.42578125" style="1"/>
    <col min="6" max="6" width="13.28515625" style="1" customWidth="1"/>
    <col min="7" max="7" width="12.5703125" style="1" customWidth="1"/>
    <col min="8" max="8" width="15.5703125" style="1" customWidth="1"/>
    <col min="9" max="9" width="16" style="1" customWidth="1"/>
    <col min="10" max="16384" width="11.42578125" style="1"/>
  </cols>
  <sheetData>
    <row r="1" spans="1:10" ht="18" x14ac:dyDescent="0.25">
      <c r="A1" s="629"/>
      <c r="B1" s="630"/>
      <c r="C1" s="649" t="s">
        <v>49</v>
      </c>
      <c r="D1" s="649"/>
      <c r="E1" s="649"/>
      <c r="F1" s="649"/>
      <c r="G1" s="649"/>
      <c r="H1" s="67" t="s">
        <v>48</v>
      </c>
      <c r="I1" s="66"/>
    </row>
    <row r="2" spans="1:10" ht="18" x14ac:dyDescent="0.25">
      <c r="A2" s="631"/>
      <c r="B2" s="632"/>
      <c r="C2" s="650" t="s">
        <v>47</v>
      </c>
      <c r="D2" s="650"/>
      <c r="E2" s="650"/>
      <c r="F2" s="650"/>
      <c r="G2" s="650"/>
      <c r="H2" s="65" t="s">
        <v>46</v>
      </c>
      <c r="I2" s="75"/>
    </row>
    <row r="3" spans="1:10" ht="15" x14ac:dyDescent="0.2">
      <c r="A3" s="631"/>
      <c r="B3" s="632"/>
      <c r="C3" s="651" t="s">
        <v>150</v>
      </c>
      <c r="D3" s="652"/>
      <c r="E3" s="652"/>
      <c r="F3" s="652"/>
      <c r="G3" s="653"/>
      <c r="H3" s="654" t="s">
        <v>45</v>
      </c>
      <c r="I3" s="644"/>
    </row>
    <row r="4" spans="1:10" x14ac:dyDescent="0.2">
      <c r="A4" s="631"/>
      <c r="B4" s="632"/>
      <c r="C4" s="64" t="s">
        <v>44</v>
      </c>
      <c r="D4" s="647" t="s">
        <v>43</v>
      </c>
      <c r="E4" s="647"/>
      <c r="F4" s="647"/>
      <c r="G4" s="647"/>
      <c r="H4" s="654"/>
      <c r="I4" s="645"/>
    </row>
    <row r="5" spans="1:10" ht="15" customHeight="1" thickBot="1" x14ac:dyDescent="0.25">
      <c r="A5" s="633"/>
      <c r="B5" s="634"/>
      <c r="C5" s="63" t="s">
        <v>42</v>
      </c>
      <c r="D5" s="648" t="s">
        <v>41</v>
      </c>
      <c r="E5" s="648"/>
      <c r="F5" s="648"/>
      <c r="G5" s="648"/>
      <c r="H5" s="655"/>
      <c r="I5" s="646"/>
    </row>
    <row r="6" spans="1:10" ht="15" customHeight="1" x14ac:dyDescent="0.2">
      <c r="A6" s="62"/>
      <c r="B6" s="62"/>
      <c r="C6" s="61"/>
      <c r="D6" s="60"/>
      <c r="E6" s="60"/>
      <c r="F6" s="60"/>
      <c r="G6" s="60"/>
      <c r="H6" s="59"/>
      <c r="I6" s="58"/>
    </row>
    <row r="7" spans="1:10" ht="21" customHeight="1" thickBot="1" x14ac:dyDescent="0.3">
      <c r="A7" s="635" t="s">
        <v>40</v>
      </c>
      <c r="B7" s="635"/>
      <c r="C7" s="635"/>
      <c r="D7" s="636" t="s">
        <v>38</v>
      </c>
      <c r="E7" s="636"/>
      <c r="F7" s="636"/>
      <c r="G7" s="637" t="s">
        <v>39</v>
      </c>
      <c r="H7" s="637"/>
      <c r="I7" s="57" t="s">
        <v>38</v>
      </c>
    </row>
    <row r="8" spans="1:10" ht="25.5" x14ac:dyDescent="0.2">
      <c r="A8" s="638" t="s">
        <v>37</v>
      </c>
      <c r="B8" s="642" t="s">
        <v>54</v>
      </c>
      <c r="C8" s="640" t="s">
        <v>36</v>
      </c>
      <c r="D8" s="640" t="s">
        <v>35</v>
      </c>
      <c r="E8" s="640" t="s">
        <v>34</v>
      </c>
      <c r="F8" s="640"/>
      <c r="G8" s="640" t="s">
        <v>33</v>
      </c>
      <c r="H8" s="640"/>
      <c r="I8" s="56" t="s">
        <v>32</v>
      </c>
    </row>
    <row r="9" spans="1:10" ht="26.25" thickBot="1" x14ac:dyDescent="0.25">
      <c r="A9" s="639"/>
      <c r="B9" s="643"/>
      <c r="C9" s="641"/>
      <c r="D9" s="641"/>
      <c r="E9" s="55" t="s">
        <v>11</v>
      </c>
      <c r="F9" s="197" t="s">
        <v>31</v>
      </c>
      <c r="G9" s="196" t="s">
        <v>11</v>
      </c>
      <c r="H9" s="54" t="s">
        <v>31</v>
      </c>
      <c r="I9" s="53" t="s">
        <v>30</v>
      </c>
    </row>
    <row r="10" spans="1:10" ht="15.75" x14ac:dyDescent="0.25">
      <c r="A10" s="73">
        <v>90100132</v>
      </c>
      <c r="B10" s="73" t="s">
        <v>72</v>
      </c>
      <c r="C10" s="41" t="s">
        <v>73</v>
      </c>
      <c r="D10" s="112" t="s">
        <v>26</v>
      </c>
      <c r="E10" s="113">
        <v>5000</v>
      </c>
      <c r="F10" s="31" t="s">
        <v>2</v>
      </c>
      <c r="G10" s="25"/>
      <c r="H10" s="78"/>
      <c r="I10" s="47"/>
    </row>
    <row r="11" spans="1:10" ht="15.75" x14ac:dyDescent="0.25">
      <c r="A11" s="108" t="s">
        <v>68</v>
      </c>
      <c r="B11" s="108" t="s">
        <v>69</v>
      </c>
      <c r="C11" s="109" t="s">
        <v>70</v>
      </c>
      <c r="D11" s="112" t="s">
        <v>71</v>
      </c>
      <c r="E11" s="113">
        <v>1000</v>
      </c>
      <c r="F11" s="31" t="s">
        <v>2</v>
      </c>
      <c r="G11" s="25"/>
      <c r="H11" s="195"/>
      <c r="I11" s="193"/>
    </row>
    <row r="12" spans="1:10" ht="15.75" x14ac:dyDescent="0.25">
      <c r="A12" s="73" t="s">
        <v>152</v>
      </c>
      <c r="B12" s="73" t="s">
        <v>151</v>
      </c>
      <c r="C12" s="41" t="s">
        <v>153</v>
      </c>
      <c r="D12" s="43" t="s">
        <v>154</v>
      </c>
      <c r="E12" s="43">
        <v>3000</v>
      </c>
      <c r="F12" s="31"/>
      <c r="G12" s="25"/>
      <c r="H12" s="82"/>
      <c r="I12" s="30"/>
      <c r="J12" s="201">
        <f>SUM(E10:E14)</f>
        <v>13020</v>
      </c>
    </row>
    <row r="13" spans="1:10" ht="15.75" x14ac:dyDescent="0.25">
      <c r="A13" s="73" t="s">
        <v>156</v>
      </c>
      <c r="B13" s="73" t="s">
        <v>155</v>
      </c>
      <c r="C13" s="41" t="s">
        <v>157</v>
      </c>
      <c r="D13" s="43" t="s">
        <v>25</v>
      </c>
      <c r="E13" s="43">
        <v>4000</v>
      </c>
      <c r="F13" s="31" t="s">
        <v>2</v>
      </c>
      <c r="G13" s="25"/>
      <c r="H13" s="82"/>
      <c r="I13" s="30"/>
    </row>
    <row r="14" spans="1:10" ht="15.75" x14ac:dyDescent="0.25">
      <c r="A14" s="73" t="s">
        <v>159</v>
      </c>
      <c r="B14" s="73" t="s">
        <v>158</v>
      </c>
      <c r="C14" s="41" t="s">
        <v>160</v>
      </c>
      <c r="D14" s="26" t="s">
        <v>161</v>
      </c>
      <c r="E14" s="26">
        <v>20</v>
      </c>
      <c r="F14" s="31" t="s">
        <v>2</v>
      </c>
      <c r="G14" s="971"/>
      <c r="H14" s="620"/>
      <c r="I14" s="621"/>
    </row>
    <row r="15" spans="1:10" ht="15" x14ac:dyDescent="0.25">
      <c r="A15" s="74">
        <v>51600050</v>
      </c>
      <c r="B15" s="74" t="s">
        <v>165</v>
      </c>
      <c r="C15" s="28" t="s">
        <v>166</v>
      </c>
      <c r="D15" s="199"/>
      <c r="E15" s="181">
        <v>2</v>
      </c>
      <c r="F15" s="198" t="s">
        <v>5</v>
      </c>
      <c r="G15" s="25"/>
      <c r="H15" s="24"/>
      <c r="I15" s="30"/>
    </row>
    <row r="16" spans="1:10" ht="15" x14ac:dyDescent="0.25">
      <c r="A16" s="74">
        <v>702123</v>
      </c>
      <c r="B16" s="74" t="s">
        <v>61</v>
      </c>
      <c r="C16" s="28" t="s">
        <v>16</v>
      </c>
      <c r="D16" s="200" t="s">
        <v>167</v>
      </c>
      <c r="E16" s="184">
        <v>2</v>
      </c>
      <c r="F16" s="198" t="s">
        <v>5</v>
      </c>
      <c r="G16" s="25"/>
      <c r="H16" s="24"/>
      <c r="I16" s="30"/>
    </row>
    <row r="17" spans="1:13" ht="15" thickBot="1" x14ac:dyDescent="0.25">
      <c r="A17" s="22"/>
      <c r="B17" s="86"/>
      <c r="C17" s="21"/>
      <c r="D17" s="20"/>
      <c r="E17" s="19"/>
      <c r="F17" s="19"/>
      <c r="G17" s="19"/>
      <c r="H17" s="19"/>
      <c r="I17" s="18"/>
      <c r="L17" s="3"/>
    </row>
    <row r="18" spans="1:13" ht="13.5" thickBot="1" x14ac:dyDescent="0.25">
      <c r="A18" s="17"/>
      <c r="B18" s="87"/>
      <c r="C18" s="13"/>
      <c r="D18" s="16" t="s">
        <v>11</v>
      </c>
      <c r="E18" s="15" t="s">
        <v>10</v>
      </c>
      <c r="F18" s="14"/>
      <c r="G18" s="13"/>
      <c r="H18" s="13"/>
      <c r="I18" s="12"/>
      <c r="L18" s="3"/>
    </row>
    <row r="19" spans="1:13" x14ac:dyDescent="0.2">
      <c r="A19" s="623" t="s">
        <v>9</v>
      </c>
      <c r="B19" s="624"/>
      <c r="C19" s="625"/>
      <c r="D19" s="11">
        <v>13020</v>
      </c>
      <c r="E19" s="10" t="s">
        <v>2</v>
      </c>
      <c r="F19" s="626"/>
      <c r="G19" s="626"/>
      <c r="H19" s="627"/>
      <c r="I19" s="628"/>
      <c r="L19" s="3"/>
    </row>
    <row r="20" spans="1:13" x14ac:dyDescent="0.2">
      <c r="A20" s="603" t="s">
        <v>8</v>
      </c>
      <c r="B20" s="604"/>
      <c r="C20" s="605"/>
      <c r="D20" s="9">
        <v>10</v>
      </c>
      <c r="E20" s="7" t="s">
        <v>7</v>
      </c>
      <c r="F20" s="619"/>
      <c r="G20" s="619"/>
      <c r="H20" s="608"/>
      <c r="I20" s="609"/>
      <c r="L20" s="3"/>
    </row>
    <row r="21" spans="1:13" x14ac:dyDescent="0.2">
      <c r="A21" s="603" t="s">
        <v>6</v>
      </c>
      <c r="B21" s="604"/>
      <c r="C21" s="605"/>
      <c r="D21" s="7">
        <v>1</v>
      </c>
      <c r="E21" s="7" t="s">
        <v>5</v>
      </c>
      <c r="F21" s="619"/>
      <c r="G21" s="619"/>
      <c r="H21" s="608"/>
      <c r="I21" s="609"/>
      <c r="L21" s="3"/>
    </row>
    <row r="22" spans="1:13" x14ac:dyDescent="0.2">
      <c r="A22" s="603" t="s">
        <v>4</v>
      </c>
      <c r="B22" s="604"/>
      <c r="C22" s="605"/>
      <c r="D22" s="8">
        <f>+D19</f>
        <v>13020</v>
      </c>
      <c r="E22" s="7" t="s">
        <v>2</v>
      </c>
      <c r="F22" s="606"/>
      <c r="G22" s="607"/>
      <c r="H22" s="608"/>
      <c r="I22" s="609"/>
      <c r="L22" s="3"/>
      <c r="M22" s="6"/>
    </row>
    <row r="23" spans="1:13" ht="13.5" thickBot="1" x14ac:dyDescent="0.25">
      <c r="A23" s="610" t="s">
        <v>3</v>
      </c>
      <c r="B23" s="611"/>
      <c r="C23" s="612"/>
      <c r="D23" s="5">
        <f>SUM(E10:E14)-D19</f>
        <v>0</v>
      </c>
      <c r="E23" s="4" t="s">
        <v>2</v>
      </c>
      <c r="F23" s="613"/>
      <c r="G23" s="613"/>
      <c r="H23" s="614"/>
      <c r="I23" s="615"/>
      <c r="L23" s="3"/>
    </row>
    <row r="24" spans="1:13" ht="13.5" thickBot="1" x14ac:dyDescent="0.25">
      <c r="A24" s="591" t="s">
        <v>1</v>
      </c>
      <c r="B24" s="592"/>
      <c r="C24" s="592"/>
      <c r="D24" s="592"/>
      <c r="E24" s="592"/>
      <c r="F24" s="592"/>
      <c r="G24" s="592"/>
      <c r="H24" s="592"/>
      <c r="I24" s="593"/>
    </row>
    <row r="25" spans="1:13" ht="15" x14ac:dyDescent="0.2">
      <c r="A25" s="616" t="s">
        <v>162</v>
      </c>
      <c r="B25" s="617"/>
      <c r="C25" s="617"/>
      <c r="D25" s="617"/>
      <c r="E25" s="617"/>
      <c r="F25" s="617"/>
      <c r="G25" s="617"/>
      <c r="H25" s="617"/>
      <c r="I25" s="618"/>
    </row>
    <row r="26" spans="1:13" ht="15" x14ac:dyDescent="0.25">
      <c r="A26" s="594" t="s">
        <v>163</v>
      </c>
      <c r="B26" s="595"/>
      <c r="C26" s="595"/>
      <c r="D26" s="595"/>
      <c r="E26" s="595"/>
      <c r="F26" s="595"/>
      <c r="G26" s="595"/>
      <c r="H26" s="595"/>
      <c r="I26" s="596"/>
    </row>
    <row r="27" spans="1:13" ht="15" x14ac:dyDescent="0.25">
      <c r="A27" s="594" t="s">
        <v>164</v>
      </c>
      <c r="B27" s="595"/>
      <c r="C27" s="595"/>
      <c r="D27" s="595"/>
      <c r="E27" s="595"/>
      <c r="F27" s="595"/>
      <c r="G27" s="595"/>
      <c r="H27" s="595"/>
      <c r="I27" s="596"/>
    </row>
    <row r="28" spans="1:13" ht="30" customHeight="1" x14ac:dyDescent="0.25">
      <c r="A28" s="594"/>
      <c r="B28" s="595"/>
      <c r="C28" s="595"/>
      <c r="D28" s="595"/>
      <c r="E28" s="595"/>
      <c r="F28" s="595"/>
      <c r="G28" s="595"/>
      <c r="H28" s="595"/>
      <c r="I28" s="596"/>
    </row>
    <row r="29" spans="1:13" ht="15" x14ac:dyDescent="0.25">
      <c r="A29" s="594"/>
      <c r="B29" s="595"/>
      <c r="C29" s="595"/>
      <c r="D29" s="595"/>
      <c r="E29" s="595"/>
      <c r="F29" s="595"/>
      <c r="G29" s="595"/>
      <c r="H29" s="595"/>
      <c r="I29" s="596"/>
    </row>
    <row r="30" spans="1:13" ht="15" x14ac:dyDescent="0.25">
      <c r="A30" s="594"/>
      <c r="B30" s="595"/>
      <c r="C30" s="595"/>
      <c r="D30" s="595"/>
      <c r="E30" s="595"/>
      <c r="F30" s="595"/>
      <c r="G30" s="595"/>
      <c r="H30" s="595"/>
      <c r="I30" s="596"/>
    </row>
    <row r="31" spans="1:13" ht="16.5" customHeight="1" x14ac:dyDescent="0.2">
      <c r="A31" s="597"/>
      <c r="B31" s="598"/>
      <c r="C31" s="598"/>
      <c r="D31" s="598"/>
      <c r="E31" s="598"/>
      <c r="F31" s="598"/>
      <c r="G31" s="598"/>
      <c r="H31" s="598"/>
      <c r="I31" s="599"/>
    </row>
    <row r="32" spans="1:13" ht="16.5" customHeight="1" x14ac:dyDescent="0.2">
      <c r="A32" s="597"/>
      <c r="B32" s="598"/>
      <c r="C32" s="598"/>
      <c r="D32" s="598"/>
      <c r="E32" s="598"/>
      <c r="F32" s="598"/>
      <c r="G32" s="598"/>
      <c r="H32" s="598"/>
      <c r="I32" s="599"/>
    </row>
    <row r="33" spans="1:9" ht="16.5" customHeight="1" thickBot="1" x14ac:dyDescent="0.25">
      <c r="A33" s="600"/>
      <c r="B33" s="601"/>
      <c r="C33" s="601"/>
      <c r="D33" s="601"/>
      <c r="E33" s="601"/>
      <c r="F33" s="601"/>
      <c r="G33" s="601"/>
      <c r="H33" s="601"/>
      <c r="I33" s="602"/>
    </row>
    <row r="34" spans="1:9" ht="13.5" thickBot="1" x14ac:dyDescent="0.25">
      <c r="A34" s="591" t="s">
        <v>52</v>
      </c>
      <c r="B34" s="592"/>
      <c r="C34" s="592"/>
      <c r="D34" s="592"/>
      <c r="E34" s="592"/>
      <c r="F34" s="592"/>
      <c r="G34" s="592"/>
      <c r="H34" s="592"/>
      <c r="I34" s="593"/>
    </row>
    <row r="35" spans="1:9" x14ac:dyDescent="0.2">
      <c r="A35" s="2"/>
      <c r="B35" s="2"/>
      <c r="C35" s="2"/>
    </row>
    <row r="36" spans="1:9" x14ac:dyDescent="0.2">
      <c r="A36" s="2"/>
      <c r="B36" s="2"/>
    </row>
    <row r="37" spans="1:9" x14ac:dyDescent="0.2">
      <c r="A37" s="76"/>
      <c r="B37" s="76"/>
    </row>
    <row r="38" spans="1:9" x14ac:dyDescent="0.2">
      <c r="A38" s="76"/>
      <c r="B38" s="76"/>
    </row>
    <row r="39" spans="1:9" x14ac:dyDescent="0.2">
      <c r="A39" s="76"/>
      <c r="B39" s="76"/>
    </row>
  </sheetData>
  <mergeCells count="44">
    <mergeCell ref="A33:I33"/>
    <mergeCell ref="A34:I34"/>
    <mergeCell ref="A27:I27"/>
    <mergeCell ref="A28:I28"/>
    <mergeCell ref="A29:I29"/>
    <mergeCell ref="A30:I30"/>
    <mergeCell ref="A31:I31"/>
    <mergeCell ref="A32:I32"/>
    <mergeCell ref="A26:I26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4:I24"/>
    <mergeCell ref="A25:I25"/>
    <mergeCell ref="G14:I14"/>
    <mergeCell ref="A19:C19"/>
    <mergeCell ref="F19:G19"/>
    <mergeCell ref="H19:I19"/>
    <mergeCell ref="A20:C20"/>
    <mergeCell ref="F20:G20"/>
    <mergeCell ref="H20:I20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54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2101A-E109-48AA-AE3D-C6FC6FD71694}">
  <dimension ref="A1:Q91"/>
  <sheetViews>
    <sheetView topLeftCell="A6" workbookViewId="0">
      <selection activeCell="D60" sqref="D60"/>
    </sheetView>
  </sheetViews>
  <sheetFormatPr baseColWidth="10" defaultColWidth="8.42578125" defaultRowHeight="12.75" x14ac:dyDescent="0.2"/>
  <cols>
    <col min="1" max="1" width="10" style="208" bestFit="1" customWidth="1"/>
    <col min="2" max="2" width="44.28515625" style="208" bestFit="1" customWidth="1"/>
    <col min="3" max="3" width="10.42578125" style="208" bestFit="1" customWidth="1"/>
    <col min="4" max="4" width="10.42578125" style="208" customWidth="1"/>
    <col min="5" max="5" width="9.7109375" style="208" bestFit="1" customWidth="1"/>
    <col min="6" max="6" width="9.5703125" style="208" bestFit="1" customWidth="1"/>
    <col min="7" max="7" width="9.5703125" style="290" bestFit="1" customWidth="1"/>
    <col min="8" max="8" width="10.42578125" style="281" bestFit="1" customWidth="1"/>
    <col min="9" max="9" width="4.5703125" style="281" customWidth="1"/>
    <col min="10" max="10" width="1.85546875" style="207" customWidth="1"/>
    <col min="11" max="11" width="7" style="208" bestFit="1" customWidth="1"/>
    <col min="12" max="12" width="6.28515625" style="208" customWidth="1"/>
    <col min="13" max="13" width="20.42578125" style="208" customWidth="1"/>
    <col min="14" max="14" width="6.42578125" style="208" bestFit="1" customWidth="1"/>
    <col min="15" max="16" width="8.42578125" style="208"/>
    <col min="17" max="17" width="3.28515625" style="208" customWidth="1"/>
    <col min="18" max="256" width="8.42578125" style="208"/>
    <col min="257" max="257" width="10" style="208" bestFit="1" customWidth="1"/>
    <col min="258" max="258" width="44.28515625" style="208" bestFit="1" customWidth="1"/>
    <col min="259" max="259" width="10.42578125" style="208" bestFit="1" customWidth="1"/>
    <col min="260" max="260" width="10.42578125" style="208" customWidth="1"/>
    <col min="261" max="261" width="9.7109375" style="208" bestFit="1" customWidth="1"/>
    <col min="262" max="263" width="9.5703125" style="208" bestFit="1" customWidth="1"/>
    <col min="264" max="264" width="10.42578125" style="208" bestFit="1" customWidth="1"/>
    <col min="265" max="265" width="4.5703125" style="208" customWidth="1"/>
    <col min="266" max="266" width="1.85546875" style="208" customWidth="1"/>
    <col min="267" max="267" width="7" style="208" bestFit="1" customWidth="1"/>
    <col min="268" max="268" width="6.28515625" style="208" customWidth="1"/>
    <col min="269" max="269" width="20.42578125" style="208" customWidth="1"/>
    <col min="270" max="270" width="6.42578125" style="208" bestFit="1" customWidth="1"/>
    <col min="271" max="272" width="8.42578125" style="208"/>
    <col min="273" max="273" width="3.28515625" style="208" customWidth="1"/>
    <col min="274" max="512" width="8.42578125" style="208"/>
    <col min="513" max="513" width="10" style="208" bestFit="1" customWidth="1"/>
    <col min="514" max="514" width="44.28515625" style="208" bestFit="1" customWidth="1"/>
    <col min="515" max="515" width="10.42578125" style="208" bestFit="1" customWidth="1"/>
    <col min="516" max="516" width="10.42578125" style="208" customWidth="1"/>
    <col min="517" max="517" width="9.7109375" style="208" bestFit="1" customWidth="1"/>
    <col min="518" max="519" width="9.5703125" style="208" bestFit="1" customWidth="1"/>
    <col min="520" max="520" width="10.42578125" style="208" bestFit="1" customWidth="1"/>
    <col min="521" max="521" width="4.5703125" style="208" customWidth="1"/>
    <col min="522" max="522" width="1.85546875" style="208" customWidth="1"/>
    <col min="523" max="523" width="7" style="208" bestFit="1" customWidth="1"/>
    <col min="524" max="524" width="6.28515625" style="208" customWidth="1"/>
    <col min="525" max="525" width="20.42578125" style="208" customWidth="1"/>
    <col min="526" max="526" width="6.42578125" style="208" bestFit="1" customWidth="1"/>
    <col min="527" max="528" width="8.42578125" style="208"/>
    <col min="529" max="529" width="3.28515625" style="208" customWidth="1"/>
    <col min="530" max="768" width="8.42578125" style="208"/>
    <col min="769" max="769" width="10" style="208" bestFit="1" customWidth="1"/>
    <col min="770" max="770" width="44.28515625" style="208" bestFit="1" customWidth="1"/>
    <col min="771" max="771" width="10.42578125" style="208" bestFit="1" customWidth="1"/>
    <col min="772" max="772" width="10.42578125" style="208" customWidth="1"/>
    <col min="773" max="773" width="9.7109375" style="208" bestFit="1" customWidth="1"/>
    <col min="774" max="775" width="9.5703125" style="208" bestFit="1" customWidth="1"/>
    <col min="776" max="776" width="10.42578125" style="208" bestFit="1" customWidth="1"/>
    <col min="777" max="777" width="4.5703125" style="208" customWidth="1"/>
    <col min="778" max="778" width="1.85546875" style="208" customWidth="1"/>
    <col min="779" max="779" width="7" style="208" bestFit="1" customWidth="1"/>
    <col min="780" max="780" width="6.28515625" style="208" customWidth="1"/>
    <col min="781" max="781" width="20.42578125" style="208" customWidth="1"/>
    <col min="782" max="782" width="6.42578125" style="208" bestFit="1" customWidth="1"/>
    <col min="783" max="784" width="8.42578125" style="208"/>
    <col min="785" max="785" width="3.28515625" style="208" customWidth="1"/>
    <col min="786" max="1024" width="8.42578125" style="208"/>
    <col min="1025" max="1025" width="10" style="208" bestFit="1" customWidth="1"/>
    <col min="1026" max="1026" width="44.28515625" style="208" bestFit="1" customWidth="1"/>
    <col min="1027" max="1027" width="10.42578125" style="208" bestFit="1" customWidth="1"/>
    <col min="1028" max="1028" width="10.42578125" style="208" customWidth="1"/>
    <col min="1029" max="1029" width="9.7109375" style="208" bestFit="1" customWidth="1"/>
    <col min="1030" max="1031" width="9.5703125" style="208" bestFit="1" customWidth="1"/>
    <col min="1032" max="1032" width="10.42578125" style="208" bestFit="1" customWidth="1"/>
    <col min="1033" max="1033" width="4.5703125" style="208" customWidth="1"/>
    <col min="1034" max="1034" width="1.85546875" style="208" customWidth="1"/>
    <col min="1035" max="1035" width="7" style="208" bestFit="1" customWidth="1"/>
    <col min="1036" max="1036" width="6.28515625" style="208" customWidth="1"/>
    <col min="1037" max="1037" width="20.42578125" style="208" customWidth="1"/>
    <col min="1038" max="1038" width="6.42578125" style="208" bestFit="1" customWidth="1"/>
    <col min="1039" max="1040" width="8.42578125" style="208"/>
    <col min="1041" max="1041" width="3.28515625" style="208" customWidth="1"/>
    <col min="1042" max="1280" width="8.42578125" style="208"/>
    <col min="1281" max="1281" width="10" style="208" bestFit="1" customWidth="1"/>
    <col min="1282" max="1282" width="44.28515625" style="208" bestFit="1" customWidth="1"/>
    <col min="1283" max="1283" width="10.42578125" style="208" bestFit="1" customWidth="1"/>
    <col min="1284" max="1284" width="10.42578125" style="208" customWidth="1"/>
    <col min="1285" max="1285" width="9.7109375" style="208" bestFit="1" customWidth="1"/>
    <col min="1286" max="1287" width="9.5703125" style="208" bestFit="1" customWidth="1"/>
    <col min="1288" max="1288" width="10.42578125" style="208" bestFit="1" customWidth="1"/>
    <col min="1289" max="1289" width="4.5703125" style="208" customWidth="1"/>
    <col min="1290" max="1290" width="1.85546875" style="208" customWidth="1"/>
    <col min="1291" max="1291" width="7" style="208" bestFit="1" customWidth="1"/>
    <col min="1292" max="1292" width="6.28515625" style="208" customWidth="1"/>
    <col min="1293" max="1293" width="20.42578125" style="208" customWidth="1"/>
    <col min="1294" max="1294" width="6.42578125" style="208" bestFit="1" customWidth="1"/>
    <col min="1295" max="1296" width="8.42578125" style="208"/>
    <col min="1297" max="1297" width="3.28515625" style="208" customWidth="1"/>
    <col min="1298" max="1536" width="8.42578125" style="208"/>
    <col min="1537" max="1537" width="10" style="208" bestFit="1" customWidth="1"/>
    <col min="1538" max="1538" width="44.28515625" style="208" bestFit="1" customWidth="1"/>
    <col min="1539" max="1539" width="10.42578125" style="208" bestFit="1" customWidth="1"/>
    <col min="1540" max="1540" width="10.42578125" style="208" customWidth="1"/>
    <col min="1541" max="1541" width="9.7109375" style="208" bestFit="1" customWidth="1"/>
    <col min="1542" max="1543" width="9.5703125" style="208" bestFit="1" customWidth="1"/>
    <col min="1544" max="1544" width="10.42578125" style="208" bestFit="1" customWidth="1"/>
    <col min="1545" max="1545" width="4.5703125" style="208" customWidth="1"/>
    <col min="1546" max="1546" width="1.85546875" style="208" customWidth="1"/>
    <col min="1547" max="1547" width="7" style="208" bestFit="1" customWidth="1"/>
    <col min="1548" max="1548" width="6.28515625" style="208" customWidth="1"/>
    <col min="1549" max="1549" width="20.42578125" style="208" customWidth="1"/>
    <col min="1550" max="1550" width="6.42578125" style="208" bestFit="1" customWidth="1"/>
    <col min="1551" max="1552" width="8.42578125" style="208"/>
    <col min="1553" max="1553" width="3.28515625" style="208" customWidth="1"/>
    <col min="1554" max="1792" width="8.42578125" style="208"/>
    <col min="1793" max="1793" width="10" style="208" bestFit="1" customWidth="1"/>
    <col min="1794" max="1794" width="44.28515625" style="208" bestFit="1" customWidth="1"/>
    <col min="1795" max="1795" width="10.42578125" style="208" bestFit="1" customWidth="1"/>
    <col min="1796" max="1796" width="10.42578125" style="208" customWidth="1"/>
    <col min="1797" max="1797" width="9.7109375" style="208" bestFit="1" customWidth="1"/>
    <col min="1798" max="1799" width="9.5703125" style="208" bestFit="1" customWidth="1"/>
    <col min="1800" max="1800" width="10.42578125" style="208" bestFit="1" customWidth="1"/>
    <col min="1801" max="1801" width="4.5703125" style="208" customWidth="1"/>
    <col min="1802" max="1802" width="1.85546875" style="208" customWidth="1"/>
    <col min="1803" max="1803" width="7" style="208" bestFit="1" customWidth="1"/>
    <col min="1804" max="1804" width="6.28515625" style="208" customWidth="1"/>
    <col min="1805" max="1805" width="20.42578125" style="208" customWidth="1"/>
    <col min="1806" max="1806" width="6.42578125" style="208" bestFit="1" customWidth="1"/>
    <col min="1807" max="1808" width="8.42578125" style="208"/>
    <col min="1809" max="1809" width="3.28515625" style="208" customWidth="1"/>
    <col min="1810" max="2048" width="8.42578125" style="208"/>
    <col min="2049" max="2049" width="10" style="208" bestFit="1" customWidth="1"/>
    <col min="2050" max="2050" width="44.28515625" style="208" bestFit="1" customWidth="1"/>
    <col min="2051" max="2051" width="10.42578125" style="208" bestFit="1" customWidth="1"/>
    <col min="2052" max="2052" width="10.42578125" style="208" customWidth="1"/>
    <col min="2053" max="2053" width="9.7109375" style="208" bestFit="1" customWidth="1"/>
    <col min="2054" max="2055" width="9.5703125" style="208" bestFit="1" customWidth="1"/>
    <col min="2056" max="2056" width="10.42578125" style="208" bestFit="1" customWidth="1"/>
    <col min="2057" max="2057" width="4.5703125" style="208" customWidth="1"/>
    <col min="2058" max="2058" width="1.85546875" style="208" customWidth="1"/>
    <col min="2059" max="2059" width="7" style="208" bestFit="1" customWidth="1"/>
    <col min="2060" max="2060" width="6.28515625" style="208" customWidth="1"/>
    <col min="2061" max="2061" width="20.42578125" style="208" customWidth="1"/>
    <col min="2062" max="2062" width="6.42578125" style="208" bestFit="1" customWidth="1"/>
    <col min="2063" max="2064" width="8.42578125" style="208"/>
    <col min="2065" max="2065" width="3.28515625" style="208" customWidth="1"/>
    <col min="2066" max="2304" width="8.42578125" style="208"/>
    <col min="2305" max="2305" width="10" style="208" bestFit="1" customWidth="1"/>
    <col min="2306" max="2306" width="44.28515625" style="208" bestFit="1" customWidth="1"/>
    <col min="2307" max="2307" width="10.42578125" style="208" bestFit="1" customWidth="1"/>
    <col min="2308" max="2308" width="10.42578125" style="208" customWidth="1"/>
    <col min="2309" max="2309" width="9.7109375" style="208" bestFit="1" customWidth="1"/>
    <col min="2310" max="2311" width="9.5703125" style="208" bestFit="1" customWidth="1"/>
    <col min="2312" max="2312" width="10.42578125" style="208" bestFit="1" customWidth="1"/>
    <col min="2313" max="2313" width="4.5703125" style="208" customWidth="1"/>
    <col min="2314" max="2314" width="1.85546875" style="208" customWidth="1"/>
    <col min="2315" max="2315" width="7" style="208" bestFit="1" customWidth="1"/>
    <col min="2316" max="2316" width="6.28515625" style="208" customWidth="1"/>
    <col min="2317" max="2317" width="20.42578125" style="208" customWidth="1"/>
    <col min="2318" max="2318" width="6.42578125" style="208" bestFit="1" customWidth="1"/>
    <col min="2319" max="2320" width="8.42578125" style="208"/>
    <col min="2321" max="2321" width="3.28515625" style="208" customWidth="1"/>
    <col min="2322" max="2560" width="8.42578125" style="208"/>
    <col min="2561" max="2561" width="10" style="208" bestFit="1" customWidth="1"/>
    <col min="2562" max="2562" width="44.28515625" style="208" bestFit="1" customWidth="1"/>
    <col min="2563" max="2563" width="10.42578125" style="208" bestFit="1" customWidth="1"/>
    <col min="2564" max="2564" width="10.42578125" style="208" customWidth="1"/>
    <col min="2565" max="2565" width="9.7109375" style="208" bestFit="1" customWidth="1"/>
    <col min="2566" max="2567" width="9.5703125" style="208" bestFit="1" customWidth="1"/>
    <col min="2568" max="2568" width="10.42578125" style="208" bestFit="1" customWidth="1"/>
    <col min="2569" max="2569" width="4.5703125" style="208" customWidth="1"/>
    <col min="2570" max="2570" width="1.85546875" style="208" customWidth="1"/>
    <col min="2571" max="2571" width="7" style="208" bestFit="1" customWidth="1"/>
    <col min="2572" max="2572" width="6.28515625" style="208" customWidth="1"/>
    <col min="2573" max="2573" width="20.42578125" style="208" customWidth="1"/>
    <col min="2574" max="2574" width="6.42578125" style="208" bestFit="1" customWidth="1"/>
    <col min="2575" max="2576" width="8.42578125" style="208"/>
    <col min="2577" max="2577" width="3.28515625" style="208" customWidth="1"/>
    <col min="2578" max="2816" width="8.42578125" style="208"/>
    <col min="2817" max="2817" width="10" style="208" bestFit="1" customWidth="1"/>
    <col min="2818" max="2818" width="44.28515625" style="208" bestFit="1" customWidth="1"/>
    <col min="2819" max="2819" width="10.42578125" style="208" bestFit="1" customWidth="1"/>
    <col min="2820" max="2820" width="10.42578125" style="208" customWidth="1"/>
    <col min="2821" max="2821" width="9.7109375" style="208" bestFit="1" customWidth="1"/>
    <col min="2822" max="2823" width="9.5703125" style="208" bestFit="1" customWidth="1"/>
    <col min="2824" max="2824" width="10.42578125" style="208" bestFit="1" customWidth="1"/>
    <col min="2825" max="2825" width="4.5703125" style="208" customWidth="1"/>
    <col min="2826" max="2826" width="1.85546875" style="208" customWidth="1"/>
    <col min="2827" max="2827" width="7" style="208" bestFit="1" customWidth="1"/>
    <col min="2828" max="2828" width="6.28515625" style="208" customWidth="1"/>
    <col min="2829" max="2829" width="20.42578125" style="208" customWidth="1"/>
    <col min="2830" max="2830" width="6.42578125" style="208" bestFit="1" customWidth="1"/>
    <col min="2831" max="2832" width="8.42578125" style="208"/>
    <col min="2833" max="2833" width="3.28515625" style="208" customWidth="1"/>
    <col min="2834" max="3072" width="8.42578125" style="208"/>
    <col min="3073" max="3073" width="10" style="208" bestFit="1" customWidth="1"/>
    <col min="3074" max="3074" width="44.28515625" style="208" bestFit="1" customWidth="1"/>
    <col min="3075" max="3075" width="10.42578125" style="208" bestFit="1" customWidth="1"/>
    <col min="3076" max="3076" width="10.42578125" style="208" customWidth="1"/>
    <col min="3077" max="3077" width="9.7109375" style="208" bestFit="1" customWidth="1"/>
    <col min="3078" max="3079" width="9.5703125" style="208" bestFit="1" customWidth="1"/>
    <col min="3080" max="3080" width="10.42578125" style="208" bestFit="1" customWidth="1"/>
    <col min="3081" max="3081" width="4.5703125" style="208" customWidth="1"/>
    <col min="3082" max="3082" width="1.85546875" style="208" customWidth="1"/>
    <col min="3083" max="3083" width="7" style="208" bestFit="1" customWidth="1"/>
    <col min="3084" max="3084" width="6.28515625" style="208" customWidth="1"/>
    <col min="3085" max="3085" width="20.42578125" style="208" customWidth="1"/>
    <col min="3086" max="3086" width="6.42578125" style="208" bestFit="1" customWidth="1"/>
    <col min="3087" max="3088" width="8.42578125" style="208"/>
    <col min="3089" max="3089" width="3.28515625" style="208" customWidth="1"/>
    <col min="3090" max="3328" width="8.42578125" style="208"/>
    <col min="3329" max="3329" width="10" style="208" bestFit="1" customWidth="1"/>
    <col min="3330" max="3330" width="44.28515625" style="208" bestFit="1" customWidth="1"/>
    <col min="3331" max="3331" width="10.42578125" style="208" bestFit="1" customWidth="1"/>
    <col min="3332" max="3332" width="10.42578125" style="208" customWidth="1"/>
    <col min="3333" max="3333" width="9.7109375" style="208" bestFit="1" customWidth="1"/>
    <col min="3334" max="3335" width="9.5703125" style="208" bestFit="1" customWidth="1"/>
    <col min="3336" max="3336" width="10.42578125" style="208" bestFit="1" customWidth="1"/>
    <col min="3337" max="3337" width="4.5703125" style="208" customWidth="1"/>
    <col min="3338" max="3338" width="1.85546875" style="208" customWidth="1"/>
    <col min="3339" max="3339" width="7" style="208" bestFit="1" customWidth="1"/>
    <col min="3340" max="3340" width="6.28515625" style="208" customWidth="1"/>
    <col min="3341" max="3341" width="20.42578125" style="208" customWidth="1"/>
    <col min="3342" max="3342" width="6.42578125" style="208" bestFit="1" customWidth="1"/>
    <col min="3343" max="3344" width="8.42578125" style="208"/>
    <col min="3345" max="3345" width="3.28515625" style="208" customWidth="1"/>
    <col min="3346" max="3584" width="8.42578125" style="208"/>
    <col min="3585" max="3585" width="10" style="208" bestFit="1" customWidth="1"/>
    <col min="3586" max="3586" width="44.28515625" style="208" bestFit="1" customWidth="1"/>
    <col min="3587" max="3587" width="10.42578125" style="208" bestFit="1" customWidth="1"/>
    <col min="3588" max="3588" width="10.42578125" style="208" customWidth="1"/>
    <col min="3589" max="3589" width="9.7109375" style="208" bestFit="1" customWidth="1"/>
    <col min="3590" max="3591" width="9.5703125" style="208" bestFit="1" customWidth="1"/>
    <col min="3592" max="3592" width="10.42578125" style="208" bestFit="1" customWidth="1"/>
    <col min="3593" max="3593" width="4.5703125" style="208" customWidth="1"/>
    <col min="3594" max="3594" width="1.85546875" style="208" customWidth="1"/>
    <col min="3595" max="3595" width="7" style="208" bestFit="1" customWidth="1"/>
    <col min="3596" max="3596" width="6.28515625" style="208" customWidth="1"/>
    <col min="3597" max="3597" width="20.42578125" style="208" customWidth="1"/>
    <col min="3598" max="3598" width="6.42578125" style="208" bestFit="1" customWidth="1"/>
    <col min="3599" max="3600" width="8.42578125" style="208"/>
    <col min="3601" max="3601" width="3.28515625" style="208" customWidth="1"/>
    <col min="3602" max="3840" width="8.42578125" style="208"/>
    <col min="3841" max="3841" width="10" style="208" bestFit="1" customWidth="1"/>
    <col min="3842" max="3842" width="44.28515625" style="208" bestFit="1" customWidth="1"/>
    <col min="3843" max="3843" width="10.42578125" style="208" bestFit="1" customWidth="1"/>
    <col min="3844" max="3844" width="10.42578125" style="208" customWidth="1"/>
    <col min="3845" max="3845" width="9.7109375" style="208" bestFit="1" customWidth="1"/>
    <col min="3846" max="3847" width="9.5703125" style="208" bestFit="1" customWidth="1"/>
    <col min="3848" max="3848" width="10.42578125" style="208" bestFit="1" customWidth="1"/>
    <col min="3849" max="3849" width="4.5703125" style="208" customWidth="1"/>
    <col min="3850" max="3850" width="1.85546875" style="208" customWidth="1"/>
    <col min="3851" max="3851" width="7" style="208" bestFit="1" customWidth="1"/>
    <col min="3852" max="3852" width="6.28515625" style="208" customWidth="1"/>
    <col min="3853" max="3853" width="20.42578125" style="208" customWidth="1"/>
    <col min="3854" max="3854" width="6.42578125" style="208" bestFit="1" customWidth="1"/>
    <col min="3855" max="3856" width="8.42578125" style="208"/>
    <col min="3857" max="3857" width="3.28515625" style="208" customWidth="1"/>
    <col min="3858" max="4096" width="8.42578125" style="208"/>
    <col min="4097" max="4097" width="10" style="208" bestFit="1" customWidth="1"/>
    <col min="4098" max="4098" width="44.28515625" style="208" bestFit="1" customWidth="1"/>
    <col min="4099" max="4099" width="10.42578125" style="208" bestFit="1" customWidth="1"/>
    <col min="4100" max="4100" width="10.42578125" style="208" customWidth="1"/>
    <col min="4101" max="4101" width="9.7109375" style="208" bestFit="1" customWidth="1"/>
    <col min="4102" max="4103" width="9.5703125" style="208" bestFit="1" customWidth="1"/>
    <col min="4104" max="4104" width="10.42578125" style="208" bestFit="1" customWidth="1"/>
    <col min="4105" max="4105" width="4.5703125" style="208" customWidth="1"/>
    <col min="4106" max="4106" width="1.85546875" style="208" customWidth="1"/>
    <col min="4107" max="4107" width="7" style="208" bestFit="1" customWidth="1"/>
    <col min="4108" max="4108" width="6.28515625" style="208" customWidth="1"/>
    <col min="4109" max="4109" width="20.42578125" style="208" customWidth="1"/>
    <col min="4110" max="4110" width="6.42578125" style="208" bestFit="1" customWidth="1"/>
    <col min="4111" max="4112" width="8.42578125" style="208"/>
    <col min="4113" max="4113" width="3.28515625" style="208" customWidth="1"/>
    <col min="4114" max="4352" width="8.42578125" style="208"/>
    <col min="4353" max="4353" width="10" style="208" bestFit="1" customWidth="1"/>
    <col min="4354" max="4354" width="44.28515625" style="208" bestFit="1" customWidth="1"/>
    <col min="4355" max="4355" width="10.42578125" style="208" bestFit="1" customWidth="1"/>
    <col min="4356" max="4356" width="10.42578125" style="208" customWidth="1"/>
    <col min="4357" max="4357" width="9.7109375" style="208" bestFit="1" customWidth="1"/>
    <col min="4358" max="4359" width="9.5703125" style="208" bestFit="1" customWidth="1"/>
    <col min="4360" max="4360" width="10.42578125" style="208" bestFit="1" customWidth="1"/>
    <col min="4361" max="4361" width="4.5703125" style="208" customWidth="1"/>
    <col min="4362" max="4362" width="1.85546875" style="208" customWidth="1"/>
    <col min="4363" max="4363" width="7" style="208" bestFit="1" customWidth="1"/>
    <col min="4364" max="4364" width="6.28515625" style="208" customWidth="1"/>
    <col min="4365" max="4365" width="20.42578125" style="208" customWidth="1"/>
    <col min="4366" max="4366" width="6.42578125" style="208" bestFit="1" customWidth="1"/>
    <col min="4367" max="4368" width="8.42578125" style="208"/>
    <col min="4369" max="4369" width="3.28515625" style="208" customWidth="1"/>
    <col min="4370" max="4608" width="8.42578125" style="208"/>
    <col min="4609" max="4609" width="10" style="208" bestFit="1" customWidth="1"/>
    <col min="4610" max="4610" width="44.28515625" style="208" bestFit="1" customWidth="1"/>
    <col min="4611" max="4611" width="10.42578125" style="208" bestFit="1" customWidth="1"/>
    <col min="4612" max="4612" width="10.42578125" style="208" customWidth="1"/>
    <col min="4613" max="4613" width="9.7109375" style="208" bestFit="1" customWidth="1"/>
    <col min="4614" max="4615" width="9.5703125" style="208" bestFit="1" customWidth="1"/>
    <col min="4616" max="4616" width="10.42578125" style="208" bestFit="1" customWidth="1"/>
    <col min="4617" max="4617" width="4.5703125" style="208" customWidth="1"/>
    <col min="4618" max="4618" width="1.85546875" style="208" customWidth="1"/>
    <col min="4619" max="4619" width="7" style="208" bestFit="1" customWidth="1"/>
    <col min="4620" max="4620" width="6.28515625" style="208" customWidth="1"/>
    <col min="4621" max="4621" width="20.42578125" style="208" customWidth="1"/>
    <col min="4622" max="4622" width="6.42578125" style="208" bestFit="1" customWidth="1"/>
    <col min="4623" max="4624" width="8.42578125" style="208"/>
    <col min="4625" max="4625" width="3.28515625" style="208" customWidth="1"/>
    <col min="4626" max="4864" width="8.42578125" style="208"/>
    <col min="4865" max="4865" width="10" style="208" bestFit="1" customWidth="1"/>
    <col min="4866" max="4866" width="44.28515625" style="208" bestFit="1" customWidth="1"/>
    <col min="4867" max="4867" width="10.42578125" style="208" bestFit="1" customWidth="1"/>
    <col min="4868" max="4868" width="10.42578125" style="208" customWidth="1"/>
    <col min="4869" max="4869" width="9.7109375" style="208" bestFit="1" customWidth="1"/>
    <col min="4870" max="4871" width="9.5703125" style="208" bestFit="1" customWidth="1"/>
    <col min="4872" max="4872" width="10.42578125" style="208" bestFit="1" customWidth="1"/>
    <col min="4873" max="4873" width="4.5703125" style="208" customWidth="1"/>
    <col min="4874" max="4874" width="1.85546875" style="208" customWidth="1"/>
    <col min="4875" max="4875" width="7" style="208" bestFit="1" customWidth="1"/>
    <col min="4876" max="4876" width="6.28515625" style="208" customWidth="1"/>
    <col min="4877" max="4877" width="20.42578125" style="208" customWidth="1"/>
    <col min="4878" max="4878" width="6.42578125" style="208" bestFit="1" customWidth="1"/>
    <col min="4879" max="4880" width="8.42578125" style="208"/>
    <col min="4881" max="4881" width="3.28515625" style="208" customWidth="1"/>
    <col min="4882" max="5120" width="8.42578125" style="208"/>
    <col min="5121" max="5121" width="10" style="208" bestFit="1" customWidth="1"/>
    <col min="5122" max="5122" width="44.28515625" style="208" bestFit="1" customWidth="1"/>
    <col min="5123" max="5123" width="10.42578125" style="208" bestFit="1" customWidth="1"/>
    <col min="5124" max="5124" width="10.42578125" style="208" customWidth="1"/>
    <col min="5125" max="5125" width="9.7109375" style="208" bestFit="1" customWidth="1"/>
    <col min="5126" max="5127" width="9.5703125" style="208" bestFit="1" customWidth="1"/>
    <col min="5128" max="5128" width="10.42578125" style="208" bestFit="1" customWidth="1"/>
    <col min="5129" max="5129" width="4.5703125" style="208" customWidth="1"/>
    <col min="5130" max="5130" width="1.85546875" style="208" customWidth="1"/>
    <col min="5131" max="5131" width="7" style="208" bestFit="1" customWidth="1"/>
    <col min="5132" max="5132" width="6.28515625" style="208" customWidth="1"/>
    <col min="5133" max="5133" width="20.42578125" style="208" customWidth="1"/>
    <col min="5134" max="5134" width="6.42578125" style="208" bestFit="1" customWidth="1"/>
    <col min="5135" max="5136" width="8.42578125" style="208"/>
    <col min="5137" max="5137" width="3.28515625" style="208" customWidth="1"/>
    <col min="5138" max="5376" width="8.42578125" style="208"/>
    <col min="5377" max="5377" width="10" style="208" bestFit="1" customWidth="1"/>
    <col min="5378" max="5378" width="44.28515625" style="208" bestFit="1" customWidth="1"/>
    <col min="5379" max="5379" width="10.42578125" style="208" bestFit="1" customWidth="1"/>
    <col min="5380" max="5380" width="10.42578125" style="208" customWidth="1"/>
    <col min="5381" max="5381" width="9.7109375" style="208" bestFit="1" customWidth="1"/>
    <col min="5382" max="5383" width="9.5703125" style="208" bestFit="1" customWidth="1"/>
    <col min="5384" max="5384" width="10.42578125" style="208" bestFit="1" customWidth="1"/>
    <col min="5385" max="5385" width="4.5703125" style="208" customWidth="1"/>
    <col min="5386" max="5386" width="1.85546875" style="208" customWidth="1"/>
    <col min="5387" max="5387" width="7" style="208" bestFit="1" customWidth="1"/>
    <col min="5388" max="5388" width="6.28515625" style="208" customWidth="1"/>
    <col min="5389" max="5389" width="20.42578125" style="208" customWidth="1"/>
    <col min="5390" max="5390" width="6.42578125" style="208" bestFit="1" customWidth="1"/>
    <col min="5391" max="5392" width="8.42578125" style="208"/>
    <col min="5393" max="5393" width="3.28515625" style="208" customWidth="1"/>
    <col min="5394" max="5632" width="8.42578125" style="208"/>
    <col min="5633" max="5633" width="10" style="208" bestFit="1" customWidth="1"/>
    <col min="5634" max="5634" width="44.28515625" style="208" bestFit="1" customWidth="1"/>
    <col min="5635" max="5635" width="10.42578125" style="208" bestFit="1" customWidth="1"/>
    <col min="5636" max="5636" width="10.42578125" style="208" customWidth="1"/>
    <col min="5637" max="5637" width="9.7109375" style="208" bestFit="1" customWidth="1"/>
    <col min="5638" max="5639" width="9.5703125" style="208" bestFit="1" customWidth="1"/>
    <col min="5640" max="5640" width="10.42578125" style="208" bestFit="1" customWidth="1"/>
    <col min="5641" max="5641" width="4.5703125" style="208" customWidth="1"/>
    <col min="5642" max="5642" width="1.85546875" style="208" customWidth="1"/>
    <col min="5643" max="5643" width="7" style="208" bestFit="1" customWidth="1"/>
    <col min="5644" max="5644" width="6.28515625" style="208" customWidth="1"/>
    <col min="5645" max="5645" width="20.42578125" style="208" customWidth="1"/>
    <col min="5646" max="5646" width="6.42578125" style="208" bestFit="1" customWidth="1"/>
    <col min="5647" max="5648" width="8.42578125" style="208"/>
    <col min="5649" max="5649" width="3.28515625" style="208" customWidth="1"/>
    <col min="5650" max="5888" width="8.42578125" style="208"/>
    <col min="5889" max="5889" width="10" style="208" bestFit="1" customWidth="1"/>
    <col min="5890" max="5890" width="44.28515625" style="208" bestFit="1" customWidth="1"/>
    <col min="5891" max="5891" width="10.42578125" style="208" bestFit="1" customWidth="1"/>
    <col min="5892" max="5892" width="10.42578125" style="208" customWidth="1"/>
    <col min="5893" max="5893" width="9.7109375" style="208" bestFit="1" customWidth="1"/>
    <col min="5894" max="5895" width="9.5703125" style="208" bestFit="1" customWidth="1"/>
    <col min="5896" max="5896" width="10.42578125" style="208" bestFit="1" customWidth="1"/>
    <col min="5897" max="5897" width="4.5703125" style="208" customWidth="1"/>
    <col min="5898" max="5898" width="1.85546875" style="208" customWidth="1"/>
    <col min="5899" max="5899" width="7" style="208" bestFit="1" customWidth="1"/>
    <col min="5900" max="5900" width="6.28515625" style="208" customWidth="1"/>
    <col min="5901" max="5901" width="20.42578125" style="208" customWidth="1"/>
    <col min="5902" max="5902" width="6.42578125" style="208" bestFit="1" customWidth="1"/>
    <col min="5903" max="5904" width="8.42578125" style="208"/>
    <col min="5905" max="5905" width="3.28515625" style="208" customWidth="1"/>
    <col min="5906" max="6144" width="8.42578125" style="208"/>
    <col min="6145" max="6145" width="10" style="208" bestFit="1" customWidth="1"/>
    <col min="6146" max="6146" width="44.28515625" style="208" bestFit="1" customWidth="1"/>
    <col min="6147" max="6147" width="10.42578125" style="208" bestFit="1" customWidth="1"/>
    <col min="6148" max="6148" width="10.42578125" style="208" customWidth="1"/>
    <col min="6149" max="6149" width="9.7109375" style="208" bestFit="1" customWidth="1"/>
    <col min="6150" max="6151" width="9.5703125" style="208" bestFit="1" customWidth="1"/>
    <col min="6152" max="6152" width="10.42578125" style="208" bestFit="1" customWidth="1"/>
    <col min="6153" max="6153" width="4.5703125" style="208" customWidth="1"/>
    <col min="6154" max="6154" width="1.85546875" style="208" customWidth="1"/>
    <col min="6155" max="6155" width="7" style="208" bestFit="1" customWidth="1"/>
    <col min="6156" max="6156" width="6.28515625" style="208" customWidth="1"/>
    <col min="6157" max="6157" width="20.42578125" style="208" customWidth="1"/>
    <col min="6158" max="6158" width="6.42578125" style="208" bestFit="1" customWidth="1"/>
    <col min="6159" max="6160" width="8.42578125" style="208"/>
    <col min="6161" max="6161" width="3.28515625" style="208" customWidth="1"/>
    <col min="6162" max="6400" width="8.42578125" style="208"/>
    <col min="6401" max="6401" width="10" style="208" bestFit="1" customWidth="1"/>
    <col min="6402" max="6402" width="44.28515625" style="208" bestFit="1" customWidth="1"/>
    <col min="6403" max="6403" width="10.42578125" style="208" bestFit="1" customWidth="1"/>
    <col min="6404" max="6404" width="10.42578125" style="208" customWidth="1"/>
    <col min="6405" max="6405" width="9.7109375" style="208" bestFit="1" customWidth="1"/>
    <col min="6406" max="6407" width="9.5703125" style="208" bestFit="1" customWidth="1"/>
    <col min="6408" max="6408" width="10.42578125" style="208" bestFit="1" customWidth="1"/>
    <col min="6409" max="6409" width="4.5703125" style="208" customWidth="1"/>
    <col min="6410" max="6410" width="1.85546875" style="208" customWidth="1"/>
    <col min="6411" max="6411" width="7" style="208" bestFit="1" customWidth="1"/>
    <col min="6412" max="6412" width="6.28515625" style="208" customWidth="1"/>
    <col min="6413" max="6413" width="20.42578125" style="208" customWidth="1"/>
    <col min="6414" max="6414" width="6.42578125" style="208" bestFit="1" customWidth="1"/>
    <col min="6415" max="6416" width="8.42578125" style="208"/>
    <col min="6417" max="6417" width="3.28515625" style="208" customWidth="1"/>
    <col min="6418" max="6656" width="8.42578125" style="208"/>
    <col min="6657" max="6657" width="10" style="208" bestFit="1" customWidth="1"/>
    <col min="6658" max="6658" width="44.28515625" style="208" bestFit="1" customWidth="1"/>
    <col min="6659" max="6659" width="10.42578125" style="208" bestFit="1" customWidth="1"/>
    <col min="6660" max="6660" width="10.42578125" style="208" customWidth="1"/>
    <col min="6661" max="6661" width="9.7109375" style="208" bestFit="1" customWidth="1"/>
    <col min="6662" max="6663" width="9.5703125" style="208" bestFit="1" customWidth="1"/>
    <col min="6664" max="6664" width="10.42578125" style="208" bestFit="1" customWidth="1"/>
    <col min="6665" max="6665" width="4.5703125" style="208" customWidth="1"/>
    <col min="6666" max="6666" width="1.85546875" style="208" customWidth="1"/>
    <col min="6667" max="6667" width="7" style="208" bestFit="1" customWidth="1"/>
    <col min="6668" max="6668" width="6.28515625" style="208" customWidth="1"/>
    <col min="6669" max="6669" width="20.42578125" style="208" customWidth="1"/>
    <col min="6670" max="6670" width="6.42578125" style="208" bestFit="1" customWidth="1"/>
    <col min="6671" max="6672" width="8.42578125" style="208"/>
    <col min="6673" max="6673" width="3.28515625" style="208" customWidth="1"/>
    <col min="6674" max="6912" width="8.42578125" style="208"/>
    <col min="6913" max="6913" width="10" style="208" bestFit="1" customWidth="1"/>
    <col min="6914" max="6914" width="44.28515625" style="208" bestFit="1" customWidth="1"/>
    <col min="6915" max="6915" width="10.42578125" style="208" bestFit="1" customWidth="1"/>
    <col min="6916" max="6916" width="10.42578125" style="208" customWidth="1"/>
    <col min="6917" max="6917" width="9.7109375" style="208" bestFit="1" customWidth="1"/>
    <col min="6918" max="6919" width="9.5703125" style="208" bestFit="1" customWidth="1"/>
    <col min="6920" max="6920" width="10.42578125" style="208" bestFit="1" customWidth="1"/>
    <col min="6921" max="6921" width="4.5703125" style="208" customWidth="1"/>
    <col min="6922" max="6922" width="1.85546875" style="208" customWidth="1"/>
    <col min="6923" max="6923" width="7" style="208" bestFit="1" customWidth="1"/>
    <col min="6924" max="6924" width="6.28515625" style="208" customWidth="1"/>
    <col min="6925" max="6925" width="20.42578125" style="208" customWidth="1"/>
    <col min="6926" max="6926" width="6.42578125" style="208" bestFit="1" customWidth="1"/>
    <col min="6927" max="6928" width="8.42578125" style="208"/>
    <col min="6929" max="6929" width="3.28515625" style="208" customWidth="1"/>
    <col min="6930" max="7168" width="8.42578125" style="208"/>
    <col min="7169" max="7169" width="10" style="208" bestFit="1" customWidth="1"/>
    <col min="7170" max="7170" width="44.28515625" style="208" bestFit="1" customWidth="1"/>
    <col min="7171" max="7171" width="10.42578125" style="208" bestFit="1" customWidth="1"/>
    <col min="7172" max="7172" width="10.42578125" style="208" customWidth="1"/>
    <col min="7173" max="7173" width="9.7109375" style="208" bestFit="1" customWidth="1"/>
    <col min="7174" max="7175" width="9.5703125" style="208" bestFit="1" customWidth="1"/>
    <col min="7176" max="7176" width="10.42578125" style="208" bestFit="1" customWidth="1"/>
    <col min="7177" max="7177" width="4.5703125" style="208" customWidth="1"/>
    <col min="7178" max="7178" width="1.85546875" style="208" customWidth="1"/>
    <col min="7179" max="7179" width="7" style="208" bestFit="1" customWidth="1"/>
    <col min="7180" max="7180" width="6.28515625" style="208" customWidth="1"/>
    <col min="7181" max="7181" width="20.42578125" style="208" customWidth="1"/>
    <col min="7182" max="7182" width="6.42578125" style="208" bestFit="1" customWidth="1"/>
    <col min="7183" max="7184" width="8.42578125" style="208"/>
    <col min="7185" max="7185" width="3.28515625" style="208" customWidth="1"/>
    <col min="7186" max="7424" width="8.42578125" style="208"/>
    <col min="7425" max="7425" width="10" style="208" bestFit="1" customWidth="1"/>
    <col min="7426" max="7426" width="44.28515625" style="208" bestFit="1" customWidth="1"/>
    <col min="7427" max="7427" width="10.42578125" style="208" bestFit="1" customWidth="1"/>
    <col min="7428" max="7428" width="10.42578125" style="208" customWidth="1"/>
    <col min="7429" max="7429" width="9.7109375" style="208" bestFit="1" customWidth="1"/>
    <col min="7430" max="7431" width="9.5703125" style="208" bestFit="1" customWidth="1"/>
    <col min="7432" max="7432" width="10.42578125" style="208" bestFit="1" customWidth="1"/>
    <col min="7433" max="7433" width="4.5703125" style="208" customWidth="1"/>
    <col min="7434" max="7434" width="1.85546875" style="208" customWidth="1"/>
    <col min="7435" max="7435" width="7" style="208" bestFit="1" customWidth="1"/>
    <col min="7436" max="7436" width="6.28515625" style="208" customWidth="1"/>
    <col min="7437" max="7437" width="20.42578125" style="208" customWidth="1"/>
    <col min="7438" max="7438" width="6.42578125" style="208" bestFit="1" customWidth="1"/>
    <col min="7439" max="7440" width="8.42578125" style="208"/>
    <col min="7441" max="7441" width="3.28515625" style="208" customWidth="1"/>
    <col min="7442" max="7680" width="8.42578125" style="208"/>
    <col min="7681" max="7681" width="10" style="208" bestFit="1" customWidth="1"/>
    <col min="7682" max="7682" width="44.28515625" style="208" bestFit="1" customWidth="1"/>
    <col min="7683" max="7683" width="10.42578125" style="208" bestFit="1" customWidth="1"/>
    <col min="7684" max="7684" width="10.42578125" style="208" customWidth="1"/>
    <col min="7685" max="7685" width="9.7109375" style="208" bestFit="1" customWidth="1"/>
    <col min="7686" max="7687" width="9.5703125" style="208" bestFit="1" customWidth="1"/>
    <col min="7688" max="7688" width="10.42578125" style="208" bestFit="1" customWidth="1"/>
    <col min="7689" max="7689" width="4.5703125" style="208" customWidth="1"/>
    <col min="7690" max="7690" width="1.85546875" style="208" customWidth="1"/>
    <col min="7691" max="7691" width="7" style="208" bestFit="1" customWidth="1"/>
    <col min="7692" max="7692" width="6.28515625" style="208" customWidth="1"/>
    <col min="7693" max="7693" width="20.42578125" style="208" customWidth="1"/>
    <col min="7694" max="7694" width="6.42578125" style="208" bestFit="1" customWidth="1"/>
    <col min="7695" max="7696" width="8.42578125" style="208"/>
    <col min="7697" max="7697" width="3.28515625" style="208" customWidth="1"/>
    <col min="7698" max="7936" width="8.42578125" style="208"/>
    <col min="7937" max="7937" width="10" style="208" bestFit="1" customWidth="1"/>
    <col min="7938" max="7938" width="44.28515625" style="208" bestFit="1" customWidth="1"/>
    <col min="7939" max="7939" width="10.42578125" style="208" bestFit="1" customWidth="1"/>
    <col min="7940" max="7940" width="10.42578125" style="208" customWidth="1"/>
    <col min="7941" max="7941" width="9.7109375" style="208" bestFit="1" customWidth="1"/>
    <col min="7942" max="7943" width="9.5703125" style="208" bestFit="1" customWidth="1"/>
    <col min="7944" max="7944" width="10.42578125" style="208" bestFit="1" customWidth="1"/>
    <col min="7945" max="7945" width="4.5703125" style="208" customWidth="1"/>
    <col min="7946" max="7946" width="1.85546875" style="208" customWidth="1"/>
    <col min="7947" max="7947" width="7" style="208" bestFit="1" customWidth="1"/>
    <col min="7948" max="7948" width="6.28515625" style="208" customWidth="1"/>
    <col min="7949" max="7949" width="20.42578125" style="208" customWidth="1"/>
    <col min="7950" max="7950" width="6.42578125" style="208" bestFit="1" customWidth="1"/>
    <col min="7951" max="7952" width="8.42578125" style="208"/>
    <col min="7953" max="7953" width="3.28515625" style="208" customWidth="1"/>
    <col min="7954" max="8192" width="8.42578125" style="208"/>
    <col min="8193" max="8193" width="10" style="208" bestFit="1" customWidth="1"/>
    <col min="8194" max="8194" width="44.28515625" style="208" bestFit="1" customWidth="1"/>
    <col min="8195" max="8195" width="10.42578125" style="208" bestFit="1" customWidth="1"/>
    <col min="8196" max="8196" width="10.42578125" style="208" customWidth="1"/>
    <col min="8197" max="8197" width="9.7109375" style="208" bestFit="1" customWidth="1"/>
    <col min="8198" max="8199" width="9.5703125" style="208" bestFit="1" customWidth="1"/>
    <col min="8200" max="8200" width="10.42578125" style="208" bestFit="1" customWidth="1"/>
    <col min="8201" max="8201" width="4.5703125" style="208" customWidth="1"/>
    <col min="8202" max="8202" width="1.85546875" style="208" customWidth="1"/>
    <col min="8203" max="8203" width="7" style="208" bestFit="1" customWidth="1"/>
    <col min="8204" max="8204" width="6.28515625" style="208" customWidth="1"/>
    <col min="8205" max="8205" width="20.42578125" style="208" customWidth="1"/>
    <col min="8206" max="8206" width="6.42578125" style="208" bestFit="1" customWidth="1"/>
    <col min="8207" max="8208" width="8.42578125" style="208"/>
    <col min="8209" max="8209" width="3.28515625" style="208" customWidth="1"/>
    <col min="8210" max="8448" width="8.42578125" style="208"/>
    <col min="8449" max="8449" width="10" style="208" bestFit="1" customWidth="1"/>
    <col min="8450" max="8450" width="44.28515625" style="208" bestFit="1" customWidth="1"/>
    <col min="8451" max="8451" width="10.42578125" style="208" bestFit="1" customWidth="1"/>
    <col min="8452" max="8452" width="10.42578125" style="208" customWidth="1"/>
    <col min="8453" max="8453" width="9.7109375" style="208" bestFit="1" customWidth="1"/>
    <col min="8454" max="8455" width="9.5703125" style="208" bestFit="1" customWidth="1"/>
    <col min="8456" max="8456" width="10.42578125" style="208" bestFit="1" customWidth="1"/>
    <col min="8457" max="8457" width="4.5703125" style="208" customWidth="1"/>
    <col min="8458" max="8458" width="1.85546875" style="208" customWidth="1"/>
    <col min="8459" max="8459" width="7" style="208" bestFit="1" customWidth="1"/>
    <col min="8460" max="8460" width="6.28515625" style="208" customWidth="1"/>
    <col min="8461" max="8461" width="20.42578125" style="208" customWidth="1"/>
    <col min="8462" max="8462" width="6.42578125" style="208" bestFit="1" customWidth="1"/>
    <col min="8463" max="8464" width="8.42578125" style="208"/>
    <col min="8465" max="8465" width="3.28515625" style="208" customWidth="1"/>
    <col min="8466" max="8704" width="8.42578125" style="208"/>
    <col min="8705" max="8705" width="10" style="208" bestFit="1" customWidth="1"/>
    <col min="8706" max="8706" width="44.28515625" style="208" bestFit="1" customWidth="1"/>
    <col min="8707" max="8707" width="10.42578125" style="208" bestFit="1" customWidth="1"/>
    <col min="8708" max="8708" width="10.42578125" style="208" customWidth="1"/>
    <col min="8709" max="8709" width="9.7109375" style="208" bestFit="1" customWidth="1"/>
    <col min="8710" max="8711" width="9.5703125" style="208" bestFit="1" customWidth="1"/>
    <col min="8712" max="8712" width="10.42578125" style="208" bestFit="1" customWidth="1"/>
    <col min="8713" max="8713" width="4.5703125" style="208" customWidth="1"/>
    <col min="8714" max="8714" width="1.85546875" style="208" customWidth="1"/>
    <col min="8715" max="8715" width="7" style="208" bestFit="1" customWidth="1"/>
    <col min="8716" max="8716" width="6.28515625" style="208" customWidth="1"/>
    <col min="8717" max="8717" width="20.42578125" style="208" customWidth="1"/>
    <col min="8718" max="8718" width="6.42578125" style="208" bestFit="1" customWidth="1"/>
    <col min="8719" max="8720" width="8.42578125" style="208"/>
    <col min="8721" max="8721" width="3.28515625" style="208" customWidth="1"/>
    <col min="8722" max="8960" width="8.42578125" style="208"/>
    <col min="8961" max="8961" width="10" style="208" bestFit="1" customWidth="1"/>
    <col min="8962" max="8962" width="44.28515625" style="208" bestFit="1" customWidth="1"/>
    <col min="8963" max="8963" width="10.42578125" style="208" bestFit="1" customWidth="1"/>
    <col min="8964" max="8964" width="10.42578125" style="208" customWidth="1"/>
    <col min="8965" max="8965" width="9.7109375" style="208" bestFit="1" customWidth="1"/>
    <col min="8966" max="8967" width="9.5703125" style="208" bestFit="1" customWidth="1"/>
    <col min="8968" max="8968" width="10.42578125" style="208" bestFit="1" customWidth="1"/>
    <col min="8969" max="8969" width="4.5703125" style="208" customWidth="1"/>
    <col min="8970" max="8970" width="1.85546875" style="208" customWidth="1"/>
    <col min="8971" max="8971" width="7" style="208" bestFit="1" customWidth="1"/>
    <col min="8972" max="8972" width="6.28515625" style="208" customWidth="1"/>
    <col min="8973" max="8973" width="20.42578125" style="208" customWidth="1"/>
    <col min="8974" max="8974" width="6.42578125" style="208" bestFit="1" customWidth="1"/>
    <col min="8975" max="8976" width="8.42578125" style="208"/>
    <col min="8977" max="8977" width="3.28515625" style="208" customWidth="1"/>
    <col min="8978" max="9216" width="8.42578125" style="208"/>
    <col min="9217" max="9217" width="10" style="208" bestFit="1" customWidth="1"/>
    <col min="9218" max="9218" width="44.28515625" style="208" bestFit="1" customWidth="1"/>
    <col min="9219" max="9219" width="10.42578125" style="208" bestFit="1" customWidth="1"/>
    <col min="9220" max="9220" width="10.42578125" style="208" customWidth="1"/>
    <col min="9221" max="9221" width="9.7109375" style="208" bestFit="1" customWidth="1"/>
    <col min="9222" max="9223" width="9.5703125" style="208" bestFit="1" customWidth="1"/>
    <col min="9224" max="9224" width="10.42578125" style="208" bestFit="1" customWidth="1"/>
    <col min="9225" max="9225" width="4.5703125" style="208" customWidth="1"/>
    <col min="9226" max="9226" width="1.85546875" style="208" customWidth="1"/>
    <col min="9227" max="9227" width="7" style="208" bestFit="1" customWidth="1"/>
    <col min="9228" max="9228" width="6.28515625" style="208" customWidth="1"/>
    <col min="9229" max="9229" width="20.42578125" style="208" customWidth="1"/>
    <col min="9230" max="9230" width="6.42578125" style="208" bestFit="1" customWidth="1"/>
    <col min="9231" max="9232" width="8.42578125" style="208"/>
    <col min="9233" max="9233" width="3.28515625" style="208" customWidth="1"/>
    <col min="9234" max="9472" width="8.42578125" style="208"/>
    <col min="9473" max="9473" width="10" style="208" bestFit="1" customWidth="1"/>
    <col min="9474" max="9474" width="44.28515625" style="208" bestFit="1" customWidth="1"/>
    <col min="9475" max="9475" width="10.42578125" style="208" bestFit="1" customWidth="1"/>
    <col min="9476" max="9476" width="10.42578125" style="208" customWidth="1"/>
    <col min="9477" max="9477" width="9.7109375" style="208" bestFit="1" customWidth="1"/>
    <col min="9478" max="9479" width="9.5703125" style="208" bestFit="1" customWidth="1"/>
    <col min="9480" max="9480" width="10.42578125" style="208" bestFit="1" customWidth="1"/>
    <col min="9481" max="9481" width="4.5703125" style="208" customWidth="1"/>
    <col min="9482" max="9482" width="1.85546875" style="208" customWidth="1"/>
    <col min="9483" max="9483" width="7" style="208" bestFit="1" customWidth="1"/>
    <col min="9484" max="9484" width="6.28515625" style="208" customWidth="1"/>
    <col min="9485" max="9485" width="20.42578125" style="208" customWidth="1"/>
    <col min="9486" max="9486" width="6.42578125" style="208" bestFit="1" customWidth="1"/>
    <col min="9487" max="9488" width="8.42578125" style="208"/>
    <col min="9489" max="9489" width="3.28515625" style="208" customWidth="1"/>
    <col min="9490" max="9728" width="8.42578125" style="208"/>
    <col min="9729" max="9729" width="10" style="208" bestFit="1" customWidth="1"/>
    <col min="9730" max="9730" width="44.28515625" style="208" bestFit="1" customWidth="1"/>
    <col min="9731" max="9731" width="10.42578125" style="208" bestFit="1" customWidth="1"/>
    <col min="9732" max="9732" width="10.42578125" style="208" customWidth="1"/>
    <col min="9733" max="9733" width="9.7109375" style="208" bestFit="1" customWidth="1"/>
    <col min="9734" max="9735" width="9.5703125" style="208" bestFit="1" customWidth="1"/>
    <col min="9736" max="9736" width="10.42578125" style="208" bestFit="1" customWidth="1"/>
    <col min="9737" max="9737" width="4.5703125" style="208" customWidth="1"/>
    <col min="9738" max="9738" width="1.85546875" style="208" customWidth="1"/>
    <col min="9739" max="9739" width="7" style="208" bestFit="1" customWidth="1"/>
    <col min="9740" max="9740" width="6.28515625" style="208" customWidth="1"/>
    <col min="9741" max="9741" width="20.42578125" style="208" customWidth="1"/>
    <col min="9742" max="9742" width="6.42578125" style="208" bestFit="1" customWidth="1"/>
    <col min="9743" max="9744" width="8.42578125" style="208"/>
    <col min="9745" max="9745" width="3.28515625" style="208" customWidth="1"/>
    <col min="9746" max="9984" width="8.42578125" style="208"/>
    <col min="9985" max="9985" width="10" style="208" bestFit="1" customWidth="1"/>
    <col min="9986" max="9986" width="44.28515625" style="208" bestFit="1" customWidth="1"/>
    <col min="9987" max="9987" width="10.42578125" style="208" bestFit="1" customWidth="1"/>
    <col min="9988" max="9988" width="10.42578125" style="208" customWidth="1"/>
    <col min="9989" max="9989" width="9.7109375" style="208" bestFit="1" customWidth="1"/>
    <col min="9990" max="9991" width="9.5703125" style="208" bestFit="1" customWidth="1"/>
    <col min="9992" max="9992" width="10.42578125" style="208" bestFit="1" customWidth="1"/>
    <col min="9993" max="9993" width="4.5703125" style="208" customWidth="1"/>
    <col min="9994" max="9994" width="1.85546875" style="208" customWidth="1"/>
    <col min="9995" max="9995" width="7" style="208" bestFit="1" customWidth="1"/>
    <col min="9996" max="9996" width="6.28515625" style="208" customWidth="1"/>
    <col min="9997" max="9997" width="20.42578125" style="208" customWidth="1"/>
    <col min="9998" max="9998" width="6.42578125" style="208" bestFit="1" customWidth="1"/>
    <col min="9999" max="10000" width="8.42578125" style="208"/>
    <col min="10001" max="10001" width="3.28515625" style="208" customWidth="1"/>
    <col min="10002" max="10240" width="8.42578125" style="208"/>
    <col min="10241" max="10241" width="10" style="208" bestFit="1" customWidth="1"/>
    <col min="10242" max="10242" width="44.28515625" style="208" bestFit="1" customWidth="1"/>
    <col min="10243" max="10243" width="10.42578125" style="208" bestFit="1" customWidth="1"/>
    <col min="10244" max="10244" width="10.42578125" style="208" customWidth="1"/>
    <col min="10245" max="10245" width="9.7109375" style="208" bestFit="1" customWidth="1"/>
    <col min="10246" max="10247" width="9.5703125" style="208" bestFit="1" customWidth="1"/>
    <col min="10248" max="10248" width="10.42578125" style="208" bestFit="1" customWidth="1"/>
    <col min="10249" max="10249" width="4.5703125" style="208" customWidth="1"/>
    <col min="10250" max="10250" width="1.85546875" style="208" customWidth="1"/>
    <col min="10251" max="10251" width="7" style="208" bestFit="1" customWidth="1"/>
    <col min="10252" max="10252" width="6.28515625" style="208" customWidth="1"/>
    <col min="10253" max="10253" width="20.42578125" style="208" customWidth="1"/>
    <col min="10254" max="10254" width="6.42578125" style="208" bestFit="1" customWidth="1"/>
    <col min="10255" max="10256" width="8.42578125" style="208"/>
    <col min="10257" max="10257" width="3.28515625" style="208" customWidth="1"/>
    <col min="10258" max="10496" width="8.42578125" style="208"/>
    <col min="10497" max="10497" width="10" style="208" bestFit="1" customWidth="1"/>
    <col min="10498" max="10498" width="44.28515625" style="208" bestFit="1" customWidth="1"/>
    <col min="10499" max="10499" width="10.42578125" style="208" bestFit="1" customWidth="1"/>
    <col min="10500" max="10500" width="10.42578125" style="208" customWidth="1"/>
    <col min="10501" max="10501" width="9.7109375" style="208" bestFit="1" customWidth="1"/>
    <col min="10502" max="10503" width="9.5703125" style="208" bestFit="1" customWidth="1"/>
    <col min="10504" max="10504" width="10.42578125" style="208" bestFit="1" customWidth="1"/>
    <col min="10505" max="10505" width="4.5703125" style="208" customWidth="1"/>
    <col min="10506" max="10506" width="1.85546875" style="208" customWidth="1"/>
    <col min="10507" max="10507" width="7" style="208" bestFit="1" customWidth="1"/>
    <col min="10508" max="10508" width="6.28515625" style="208" customWidth="1"/>
    <col min="10509" max="10509" width="20.42578125" style="208" customWidth="1"/>
    <col min="10510" max="10510" width="6.42578125" style="208" bestFit="1" customWidth="1"/>
    <col min="10511" max="10512" width="8.42578125" style="208"/>
    <col min="10513" max="10513" width="3.28515625" style="208" customWidth="1"/>
    <col min="10514" max="10752" width="8.42578125" style="208"/>
    <col min="10753" max="10753" width="10" style="208" bestFit="1" customWidth="1"/>
    <col min="10754" max="10754" width="44.28515625" style="208" bestFit="1" customWidth="1"/>
    <col min="10755" max="10755" width="10.42578125" style="208" bestFit="1" customWidth="1"/>
    <col min="10756" max="10756" width="10.42578125" style="208" customWidth="1"/>
    <col min="10757" max="10757" width="9.7109375" style="208" bestFit="1" customWidth="1"/>
    <col min="10758" max="10759" width="9.5703125" style="208" bestFit="1" customWidth="1"/>
    <col min="10760" max="10760" width="10.42578125" style="208" bestFit="1" customWidth="1"/>
    <col min="10761" max="10761" width="4.5703125" style="208" customWidth="1"/>
    <col min="10762" max="10762" width="1.85546875" style="208" customWidth="1"/>
    <col min="10763" max="10763" width="7" style="208" bestFit="1" customWidth="1"/>
    <col min="10764" max="10764" width="6.28515625" style="208" customWidth="1"/>
    <col min="10765" max="10765" width="20.42578125" style="208" customWidth="1"/>
    <col min="10766" max="10766" width="6.42578125" style="208" bestFit="1" customWidth="1"/>
    <col min="10767" max="10768" width="8.42578125" style="208"/>
    <col min="10769" max="10769" width="3.28515625" style="208" customWidth="1"/>
    <col min="10770" max="11008" width="8.42578125" style="208"/>
    <col min="11009" max="11009" width="10" style="208" bestFit="1" customWidth="1"/>
    <col min="11010" max="11010" width="44.28515625" style="208" bestFit="1" customWidth="1"/>
    <col min="11011" max="11011" width="10.42578125" style="208" bestFit="1" customWidth="1"/>
    <col min="11012" max="11012" width="10.42578125" style="208" customWidth="1"/>
    <col min="11013" max="11013" width="9.7109375" style="208" bestFit="1" customWidth="1"/>
    <col min="11014" max="11015" width="9.5703125" style="208" bestFit="1" customWidth="1"/>
    <col min="11016" max="11016" width="10.42578125" style="208" bestFit="1" customWidth="1"/>
    <col min="11017" max="11017" width="4.5703125" style="208" customWidth="1"/>
    <col min="11018" max="11018" width="1.85546875" style="208" customWidth="1"/>
    <col min="11019" max="11019" width="7" style="208" bestFit="1" customWidth="1"/>
    <col min="11020" max="11020" width="6.28515625" style="208" customWidth="1"/>
    <col min="11021" max="11021" width="20.42578125" style="208" customWidth="1"/>
    <col min="11022" max="11022" width="6.42578125" style="208" bestFit="1" customWidth="1"/>
    <col min="11023" max="11024" width="8.42578125" style="208"/>
    <col min="11025" max="11025" width="3.28515625" style="208" customWidth="1"/>
    <col min="11026" max="11264" width="8.42578125" style="208"/>
    <col min="11265" max="11265" width="10" style="208" bestFit="1" customWidth="1"/>
    <col min="11266" max="11266" width="44.28515625" style="208" bestFit="1" customWidth="1"/>
    <col min="11267" max="11267" width="10.42578125" style="208" bestFit="1" customWidth="1"/>
    <col min="11268" max="11268" width="10.42578125" style="208" customWidth="1"/>
    <col min="11269" max="11269" width="9.7109375" style="208" bestFit="1" customWidth="1"/>
    <col min="11270" max="11271" width="9.5703125" style="208" bestFit="1" customWidth="1"/>
    <col min="11272" max="11272" width="10.42578125" style="208" bestFit="1" customWidth="1"/>
    <col min="11273" max="11273" width="4.5703125" style="208" customWidth="1"/>
    <col min="11274" max="11274" width="1.85546875" style="208" customWidth="1"/>
    <col min="11275" max="11275" width="7" style="208" bestFit="1" customWidth="1"/>
    <col min="11276" max="11276" width="6.28515625" style="208" customWidth="1"/>
    <col min="11277" max="11277" width="20.42578125" style="208" customWidth="1"/>
    <col min="11278" max="11278" width="6.42578125" style="208" bestFit="1" customWidth="1"/>
    <col min="11279" max="11280" width="8.42578125" style="208"/>
    <col min="11281" max="11281" width="3.28515625" style="208" customWidth="1"/>
    <col min="11282" max="11520" width="8.42578125" style="208"/>
    <col min="11521" max="11521" width="10" style="208" bestFit="1" customWidth="1"/>
    <col min="11522" max="11522" width="44.28515625" style="208" bestFit="1" customWidth="1"/>
    <col min="11523" max="11523" width="10.42578125" style="208" bestFit="1" customWidth="1"/>
    <col min="11524" max="11524" width="10.42578125" style="208" customWidth="1"/>
    <col min="11525" max="11525" width="9.7109375" style="208" bestFit="1" customWidth="1"/>
    <col min="11526" max="11527" width="9.5703125" style="208" bestFit="1" customWidth="1"/>
    <col min="11528" max="11528" width="10.42578125" style="208" bestFit="1" customWidth="1"/>
    <col min="11529" max="11529" width="4.5703125" style="208" customWidth="1"/>
    <col min="11530" max="11530" width="1.85546875" style="208" customWidth="1"/>
    <col min="11531" max="11531" width="7" style="208" bestFit="1" customWidth="1"/>
    <col min="11532" max="11532" width="6.28515625" style="208" customWidth="1"/>
    <col min="11533" max="11533" width="20.42578125" style="208" customWidth="1"/>
    <col min="11534" max="11534" width="6.42578125" style="208" bestFit="1" customWidth="1"/>
    <col min="11535" max="11536" width="8.42578125" style="208"/>
    <col min="11537" max="11537" width="3.28515625" style="208" customWidth="1"/>
    <col min="11538" max="11776" width="8.42578125" style="208"/>
    <col min="11777" max="11777" width="10" style="208" bestFit="1" customWidth="1"/>
    <col min="11778" max="11778" width="44.28515625" style="208" bestFit="1" customWidth="1"/>
    <col min="11779" max="11779" width="10.42578125" style="208" bestFit="1" customWidth="1"/>
    <col min="11780" max="11780" width="10.42578125" style="208" customWidth="1"/>
    <col min="11781" max="11781" width="9.7109375" style="208" bestFit="1" customWidth="1"/>
    <col min="11782" max="11783" width="9.5703125" style="208" bestFit="1" customWidth="1"/>
    <col min="11784" max="11784" width="10.42578125" style="208" bestFit="1" customWidth="1"/>
    <col min="11785" max="11785" width="4.5703125" style="208" customWidth="1"/>
    <col min="11786" max="11786" width="1.85546875" style="208" customWidth="1"/>
    <col min="11787" max="11787" width="7" style="208" bestFit="1" customWidth="1"/>
    <col min="11788" max="11788" width="6.28515625" style="208" customWidth="1"/>
    <col min="11789" max="11789" width="20.42578125" style="208" customWidth="1"/>
    <col min="11790" max="11790" width="6.42578125" style="208" bestFit="1" customWidth="1"/>
    <col min="11791" max="11792" width="8.42578125" style="208"/>
    <col min="11793" max="11793" width="3.28515625" style="208" customWidth="1"/>
    <col min="11794" max="12032" width="8.42578125" style="208"/>
    <col min="12033" max="12033" width="10" style="208" bestFit="1" customWidth="1"/>
    <col min="12034" max="12034" width="44.28515625" style="208" bestFit="1" customWidth="1"/>
    <col min="12035" max="12035" width="10.42578125" style="208" bestFit="1" customWidth="1"/>
    <col min="12036" max="12036" width="10.42578125" style="208" customWidth="1"/>
    <col min="12037" max="12037" width="9.7109375" style="208" bestFit="1" customWidth="1"/>
    <col min="12038" max="12039" width="9.5703125" style="208" bestFit="1" customWidth="1"/>
    <col min="12040" max="12040" width="10.42578125" style="208" bestFit="1" customWidth="1"/>
    <col min="12041" max="12041" width="4.5703125" style="208" customWidth="1"/>
    <col min="12042" max="12042" width="1.85546875" style="208" customWidth="1"/>
    <col min="12043" max="12043" width="7" style="208" bestFit="1" customWidth="1"/>
    <col min="12044" max="12044" width="6.28515625" style="208" customWidth="1"/>
    <col min="12045" max="12045" width="20.42578125" style="208" customWidth="1"/>
    <col min="12046" max="12046" width="6.42578125" style="208" bestFit="1" customWidth="1"/>
    <col min="12047" max="12048" width="8.42578125" style="208"/>
    <col min="12049" max="12049" width="3.28515625" style="208" customWidth="1"/>
    <col min="12050" max="12288" width="8.42578125" style="208"/>
    <col min="12289" max="12289" width="10" style="208" bestFit="1" customWidth="1"/>
    <col min="12290" max="12290" width="44.28515625" style="208" bestFit="1" customWidth="1"/>
    <col min="12291" max="12291" width="10.42578125" style="208" bestFit="1" customWidth="1"/>
    <col min="12292" max="12292" width="10.42578125" style="208" customWidth="1"/>
    <col min="12293" max="12293" width="9.7109375" style="208" bestFit="1" customWidth="1"/>
    <col min="12294" max="12295" width="9.5703125" style="208" bestFit="1" customWidth="1"/>
    <col min="12296" max="12296" width="10.42578125" style="208" bestFit="1" customWidth="1"/>
    <col min="12297" max="12297" width="4.5703125" style="208" customWidth="1"/>
    <col min="12298" max="12298" width="1.85546875" style="208" customWidth="1"/>
    <col min="12299" max="12299" width="7" style="208" bestFit="1" customWidth="1"/>
    <col min="12300" max="12300" width="6.28515625" style="208" customWidth="1"/>
    <col min="12301" max="12301" width="20.42578125" style="208" customWidth="1"/>
    <col min="12302" max="12302" width="6.42578125" style="208" bestFit="1" customWidth="1"/>
    <col min="12303" max="12304" width="8.42578125" style="208"/>
    <col min="12305" max="12305" width="3.28515625" style="208" customWidth="1"/>
    <col min="12306" max="12544" width="8.42578125" style="208"/>
    <col min="12545" max="12545" width="10" style="208" bestFit="1" customWidth="1"/>
    <col min="12546" max="12546" width="44.28515625" style="208" bestFit="1" customWidth="1"/>
    <col min="12547" max="12547" width="10.42578125" style="208" bestFit="1" customWidth="1"/>
    <col min="12548" max="12548" width="10.42578125" style="208" customWidth="1"/>
    <col min="12549" max="12549" width="9.7109375" style="208" bestFit="1" customWidth="1"/>
    <col min="12550" max="12551" width="9.5703125" style="208" bestFit="1" customWidth="1"/>
    <col min="12552" max="12552" width="10.42578125" style="208" bestFit="1" customWidth="1"/>
    <col min="12553" max="12553" width="4.5703125" style="208" customWidth="1"/>
    <col min="12554" max="12554" width="1.85546875" style="208" customWidth="1"/>
    <col min="12555" max="12555" width="7" style="208" bestFit="1" customWidth="1"/>
    <col min="12556" max="12556" width="6.28515625" style="208" customWidth="1"/>
    <col min="12557" max="12557" width="20.42578125" style="208" customWidth="1"/>
    <col min="12558" max="12558" width="6.42578125" style="208" bestFit="1" customWidth="1"/>
    <col min="12559" max="12560" width="8.42578125" style="208"/>
    <col min="12561" max="12561" width="3.28515625" style="208" customWidth="1"/>
    <col min="12562" max="12800" width="8.42578125" style="208"/>
    <col min="12801" max="12801" width="10" style="208" bestFit="1" customWidth="1"/>
    <col min="12802" max="12802" width="44.28515625" style="208" bestFit="1" customWidth="1"/>
    <col min="12803" max="12803" width="10.42578125" style="208" bestFit="1" customWidth="1"/>
    <col min="12804" max="12804" width="10.42578125" style="208" customWidth="1"/>
    <col min="12805" max="12805" width="9.7109375" style="208" bestFit="1" customWidth="1"/>
    <col min="12806" max="12807" width="9.5703125" style="208" bestFit="1" customWidth="1"/>
    <col min="12808" max="12808" width="10.42578125" style="208" bestFit="1" customWidth="1"/>
    <col min="12809" max="12809" width="4.5703125" style="208" customWidth="1"/>
    <col min="12810" max="12810" width="1.85546875" style="208" customWidth="1"/>
    <col min="12811" max="12811" width="7" style="208" bestFit="1" customWidth="1"/>
    <col min="12812" max="12812" width="6.28515625" style="208" customWidth="1"/>
    <col min="12813" max="12813" width="20.42578125" style="208" customWidth="1"/>
    <col min="12814" max="12814" width="6.42578125" style="208" bestFit="1" customWidth="1"/>
    <col min="12815" max="12816" width="8.42578125" style="208"/>
    <col min="12817" max="12817" width="3.28515625" style="208" customWidth="1"/>
    <col min="12818" max="13056" width="8.42578125" style="208"/>
    <col min="13057" max="13057" width="10" style="208" bestFit="1" customWidth="1"/>
    <col min="13058" max="13058" width="44.28515625" style="208" bestFit="1" customWidth="1"/>
    <col min="13059" max="13059" width="10.42578125" style="208" bestFit="1" customWidth="1"/>
    <col min="13060" max="13060" width="10.42578125" style="208" customWidth="1"/>
    <col min="13061" max="13061" width="9.7109375" style="208" bestFit="1" customWidth="1"/>
    <col min="13062" max="13063" width="9.5703125" style="208" bestFit="1" customWidth="1"/>
    <col min="13064" max="13064" width="10.42578125" style="208" bestFit="1" customWidth="1"/>
    <col min="13065" max="13065" width="4.5703125" style="208" customWidth="1"/>
    <col min="13066" max="13066" width="1.85546875" style="208" customWidth="1"/>
    <col min="13067" max="13067" width="7" style="208" bestFit="1" customWidth="1"/>
    <col min="13068" max="13068" width="6.28515625" style="208" customWidth="1"/>
    <col min="13069" max="13069" width="20.42578125" style="208" customWidth="1"/>
    <col min="13070" max="13070" width="6.42578125" style="208" bestFit="1" customWidth="1"/>
    <col min="13071" max="13072" width="8.42578125" style="208"/>
    <col min="13073" max="13073" width="3.28515625" style="208" customWidth="1"/>
    <col min="13074" max="13312" width="8.42578125" style="208"/>
    <col min="13313" max="13313" width="10" style="208" bestFit="1" customWidth="1"/>
    <col min="13314" max="13314" width="44.28515625" style="208" bestFit="1" customWidth="1"/>
    <col min="13315" max="13315" width="10.42578125" style="208" bestFit="1" customWidth="1"/>
    <col min="13316" max="13316" width="10.42578125" style="208" customWidth="1"/>
    <col min="13317" max="13317" width="9.7109375" style="208" bestFit="1" customWidth="1"/>
    <col min="13318" max="13319" width="9.5703125" style="208" bestFit="1" customWidth="1"/>
    <col min="13320" max="13320" width="10.42578125" style="208" bestFit="1" customWidth="1"/>
    <col min="13321" max="13321" width="4.5703125" style="208" customWidth="1"/>
    <col min="13322" max="13322" width="1.85546875" style="208" customWidth="1"/>
    <col min="13323" max="13323" width="7" style="208" bestFit="1" customWidth="1"/>
    <col min="13324" max="13324" width="6.28515625" style="208" customWidth="1"/>
    <col min="13325" max="13325" width="20.42578125" style="208" customWidth="1"/>
    <col min="13326" max="13326" width="6.42578125" style="208" bestFit="1" customWidth="1"/>
    <col min="13327" max="13328" width="8.42578125" style="208"/>
    <col min="13329" max="13329" width="3.28515625" style="208" customWidth="1"/>
    <col min="13330" max="13568" width="8.42578125" style="208"/>
    <col min="13569" max="13569" width="10" style="208" bestFit="1" customWidth="1"/>
    <col min="13570" max="13570" width="44.28515625" style="208" bestFit="1" customWidth="1"/>
    <col min="13571" max="13571" width="10.42578125" style="208" bestFit="1" customWidth="1"/>
    <col min="13572" max="13572" width="10.42578125" style="208" customWidth="1"/>
    <col min="13573" max="13573" width="9.7109375" style="208" bestFit="1" customWidth="1"/>
    <col min="13574" max="13575" width="9.5703125" style="208" bestFit="1" customWidth="1"/>
    <col min="13576" max="13576" width="10.42578125" style="208" bestFit="1" customWidth="1"/>
    <col min="13577" max="13577" width="4.5703125" style="208" customWidth="1"/>
    <col min="13578" max="13578" width="1.85546875" style="208" customWidth="1"/>
    <col min="13579" max="13579" width="7" style="208" bestFit="1" customWidth="1"/>
    <col min="13580" max="13580" width="6.28515625" style="208" customWidth="1"/>
    <col min="13581" max="13581" width="20.42578125" style="208" customWidth="1"/>
    <col min="13582" max="13582" width="6.42578125" style="208" bestFit="1" customWidth="1"/>
    <col min="13583" max="13584" width="8.42578125" style="208"/>
    <col min="13585" max="13585" width="3.28515625" style="208" customWidth="1"/>
    <col min="13586" max="13824" width="8.42578125" style="208"/>
    <col min="13825" max="13825" width="10" style="208" bestFit="1" customWidth="1"/>
    <col min="13826" max="13826" width="44.28515625" style="208" bestFit="1" customWidth="1"/>
    <col min="13827" max="13827" width="10.42578125" style="208" bestFit="1" customWidth="1"/>
    <col min="13828" max="13828" width="10.42578125" style="208" customWidth="1"/>
    <col min="13829" max="13829" width="9.7109375" style="208" bestFit="1" customWidth="1"/>
    <col min="13830" max="13831" width="9.5703125" style="208" bestFit="1" customWidth="1"/>
    <col min="13832" max="13832" width="10.42578125" style="208" bestFit="1" customWidth="1"/>
    <col min="13833" max="13833" width="4.5703125" style="208" customWidth="1"/>
    <col min="13834" max="13834" width="1.85546875" style="208" customWidth="1"/>
    <col min="13835" max="13835" width="7" style="208" bestFit="1" customWidth="1"/>
    <col min="13836" max="13836" width="6.28515625" style="208" customWidth="1"/>
    <col min="13837" max="13837" width="20.42578125" style="208" customWidth="1"/>
    <col min="13838" max="13838" width="6.42578125" style="208" bestFit="1" customWidth="1"/>
    <col min="13839" max="13840" width="8.42578125" style="208"/>
    <col min="13841" max="13841" width="3.28515625" style="208" customWidth="1"/>
    <col min="13842" max="14080" width="8.42578125" style="208"/>
    <col min="14081" max="14081" width="10" style="208" bestFit="1" customWidth="1"/>
    <col min="14082" max="14082" width="44.28515625" style="208" bestFit="1" customWidth="1"/>
    <col min="14083" max="14083" width="10.42578125" style="208" bestFit="1" customWidth="1"/>
    <col min="14084" max="14084" width="10.42578125" style="208" customWidth="1"/>
    <col min="14085" max="14085" width="9.7109375" style="208" bestFit="1" customWidth="1"/>
    <col min="14086" max="14087" width="9.5703125" style="208" bestFit="1" customWidth="1"/>
    <col min="14088" max="14088" width="10.42578125" style="208" bestFit="1" customWidth="1"/>
    <col min="14089" max="14089" width="4.5703125" style="208" customWidth="1"/>
    <col min="14090" max="14090" width="1.85546875" style="208" customWidth="1"/>
    <col min="14091" max="14091" width="7" style="208" bestFit="1" customWidth="1"/>
    <col min="14092" max="14092" width="6.28515625" style="208" customWidth="1"/>
    <col min="14093" max="14093" width="20.42578125" style="208" customWidth="1"/>
    <col min="14094" max="14094" width="6.42578125" style="208" bestFit="1" customWidth="1"/>
    <col min="14095" max="14096" width="8.42578125" style="208"/>
    <col min="14097" max="14097" width="3.28515625" style="208" customWidth="1"/>
    <col min="14098" max="14336" width="8.42578125" style="208"/>
    <col min="14337" max="14337" width="10" style="208" bestFit="1" customWidth="1"/>
    <col min="14338" max="14338" width="44.28515625" style="208" bestFit="1" customWidth="1"/>
    <col min="14339" max="14339" width="10.42578125" style="208" bestFit="1" customWidth="1"/>
    <col min="14340" max="14340" width="10.42578125" style="208" customWidth="1"/>
    <col min="14341" max="14341" width="9.7109375" style="208" bestFit="1" customWidth="1"/>
    <col min="14342" max="14343" width="9.5703125" style="208" bestFit="1" customWidth="1"/>
    <col min="14344" max="14344" width="10.42578125" style="208" bestFit="1" customWidth="1"/>
    <col min="14345" max="14345" width="4.5703125" style="208" customWidth="1"/>
    <col min="14346" max="14346" width="1.85546875" style="208" customWidth="1"/>
    <col min="14347" max="14347" width="7" style="208" bestFit="1" customWidth="1"/>
    <col min="14348" max="14348" width="6.28515625" style="208" customWidth="1"/>
    <col min="14349" max="14349" width="20.42578125" style="208" customWidth="1"/>
    <col min="14350" max="14350" width="6.42578125" style="208" bestFit="1" customWidth="1"/>
    <col min="14351" max="14352" width="8.42578125" style="208"/>
    <col min="14353" max="14353" width="3.28515625" style="208" customWidth="1"/>
    <col min="14354" max="14592" width="8.42578125" style="208"/>
    <col min="14593" max="14593" width="10" style="208" bestFit="1" customWidth="1"/>
    <col min="14594" max="14594" width="44.28515625" style="208" bestFit="1" customWidth="1"/>
    <col min="14595" max="14595" width="10.42578125" style="208" bestFit="1" customWidth="1"/>
    <col min="14596" max="14596" width="10.42578125" style="208" customWidth="1"/>
    <col min="14597" max="14597" width="9.7109375" style="208" bestFit="1" customWidth="1"/>
    <col min="14598" max="14599" width="9.5703125" style="208" bestFit="1" customWidth="1"/>
    <col min="14600" max="14600" width="10.42578125" style="208" bestFit="1" customWidth="1"/>
    <col min="14601" max="14601" width="4.5703125" style="208" customWidth="1"/>
    <col min="14602" max="14602" width="1.85546875" style="208" customWidth="1"/>
    <col min="14603" max="14603" width="7" style="208" bestFit="1" customWidth="1"/>
    <col min="14604" max="14604" width="6.28515625" style="208" customWidth="1"/>
    <col min="14605" max="14605" width="20.42578125" style="208" customWidth="1"/>
    <col min="14606" max="14606" width="6.42578125" style="208" bestFit="1" customWidth="1"/>
    <col min="14607" max="14608" width="8.42578125" style="208"/>
    <col min="14609" max="14609" width="3.28515625" style="208" customWidth="1"/>
    <col min="14610" max="14848" width="8.42578125" style="208"/>
    <col min="14849" max="14849" width="10" style="208" bestFit="1" customWidth="1"/>
    <col min="14850" max="14850" width="44.28515625" style="208" bestFit="1" customWidth="1"/>
    <col min="14851" max="14851" width="10.42578125" style="208" bestFit="1" customWidth="1"/>
    <col min="14852" max="14852" width="10.42578125" style="208" customWidth="1"/>
    <col min="14853" max="14853" width="9.7109375" style="208" bestFit="1" customWidth="1"/>
    <col min="14854" max="14855" width="9.5703125" style="208" bestFit="1" customWidth="1"/>
    <col min="14856" max="14856" width="10.42578125" style="208" bestFit="1" customWidth="1"/>
    <col min="14857" max="14857" width="4.5703125" style="208" customWidth="1"/>
    <col min="14858" max="14858" width="1.85546875" style="208" customWidth="1"/>
    <col min="14859" max="14859" width="7" style="208" bestFit="1" customWidth="1"/>
    <col min="14860" max="14860" width="6.28515625" style="208" customWidth="1"/>
    <col min="14861" max="14861" width="20.42578125" style="208" customWidth="1"/>
    <col min="14862" max="14862" width="6.42578125" style="208" bestFit="1" customWidth="1"/>
    <col min="14863" max="14864" width="8.42578125" style="208"/>
    <col min="14865" max="14865" width="3.28515625" style="208" customWidth="1"/>
    <col min="14866" max="15104" width="8.42578125" style="208"/>
    <col min="15105" max="15105" width="10" style="208" bestFit="1" customWidth="1"/>
    <col min="15106" max="15106" width="44.28515625" style="208" bestFit="1" customWidth="1"/>
    <col min="15107" max="15107" width="10.42578125" style="208" bestFit="1" customWidth="1"/>
    <col min="15108" max="15108" width="10.42578125" style="208" customWidth="1"/>
    <col min="15109" max="15109" width="9.7109375" style="208" bestFit="1" customWidth="1"/>
    <col min="15110" max="15111" width="9.5703125" style="208" bestFit="1" customWidth="1"/>
    <col min="15112" max="15112" width="10.42578125" style="208" bestFit="1" customWidth="1"/>
    <col min="15113" max="15113" width="4.5703125" style="208" customWidth="1"/>
    <col min="15114" max="15114" width="1.85546875" style="208" customWidth="1"/>
    <col min="15115" max="15115" width="7" style="208" bestFit="1" customWidth="1"/>
    <col min="15116" max="15116" width="6.28515625" style="208" customWidth="1"/>
    <col min="15117" max="15117" width="20.42578125" style="208" customWidth="1"/>
    <col min="15118" max="15118" width="6.42578125" style="208" bestFit="1" customWidth="1"/>
    <col min="15119" max="15120" width="8.42578125" style="208"/>
    <col min="15121" max="15121" width="3.28515625" style="208" customWidth="1"/>
    <col min="15122" max="15360" width="8.42578125" style="208"/>
    <col min="15361" max="15361" width="10" style="208" bestFit="1" customWidth="1"/>
    <col min="15362" max="15362" width="44.28515625" style="208" bestFit="1" customWidth="1"/>
    <col min="15363" max="15363" width="10.42578125" style="208" bestFit="1" customWidth="1"/>
    <col min="15364" max="15364" width="10.42578125" style="208" customWidth="1"/>
    <col min="15365" max="15365" width="9.7109375" style="208" bestFit="1" customWidth="1"/>
    <col min="15366" max="15367" width="9.5703125" style="208" bestFit="1" customWidth="1"/>
    <col min="15368" max="15368" width="10.42578125" style="208" bestFit="1" customWidth="1"/>
    <col min="15369" max="15369" width="4.5703125" style="208" customWidth="1"/>
    <col min="15370" max="15370" width="1.85546875" style="208" customWidth="1"/>
    <col min="15371" max="15371" width="7" style="208" bestFit="1" customWidth="1"/>
    <col min="15372" max="15372" width="6.28515625" style="208" customWidth="1"/>
    <col min="15373" max="15373" width="20.42578125" style="208" customWidth="1"/>
    <col min="15374" max="15374" width="6.42578125" style="208" bestFit="1" customWidth="1"/>
    <col min="15375" max="15376" width="8.42578125" style="208"/>
    <col min="15377" max="15377" width="3.28515625" style="208" customWidth="1"/>
    <col min="15378" max="15616" width="8.42578125" style="208"/>
    <col min="15617" max="15617" width="10" style="208" bestFit="1" customWidth="1"/>
    <col min="15618" max="15618" width="44.28515625" style="208" bestFit="1" customWidth="1"/>
    <col min="15619" max="15619" width="10.42578125" style="208" bestFit="1" customWidth="1"/>
    <col min="15620" max="15620" width="10.42578125" style="208" customWidth="1"/>
    <col min="15621" max="15621" width="9.7109375" style="208" bestFit="1" customWidth="1"/>
    <col min="15622" max="15623" width="9.5703125" style="208" bestFit="1" customWidth="1"/>
    <col min="15624" max="15624" width="10.42578125" style="208" bestFit="1" customWidth="1"/>
    <col min="15625" max="15625" width="4.5703125" style="208" customWidth="1"/>
    <col min="15626" max="15626" width="1.85546875" style="208" customWidth="1"/>
    <col min="15627" max="15627" width="7" style="208" bestFit="1" customWidth="1"/>
    <col min="15628" max="15628" width="6.28515625" style="208" customWidth="1"/>
    <col min="15629" max="15629" width="20.42578125" style="208" customWidth="1"/>
    <col min="15630" max="15630" width="6.42578125" style="208" bestFit="1" customWidth="1"/>
    <col min="15631" max="15632" width="8.42578125" style="208"/>
    <col min="15633" max="15633" width="3.28515625" style="208" customWidth="1"/>
    <col min="15634" max="15872" width="8.42578125" style="208"/>
    <col min="15873" max="15873" width="10" style="208" bestFit="1" customWidth="1"/>
    <col min="15874" max="15874" width="44.28515625" style="208" bestFit="1" customWidth="1"/>
    <col min="15875" max="15875" width="10.42578125" style="208" bestFit="1" customWidth="1"/>
    <col min="15876" max="15876" width="10.42578125" style="208" customWidth="1"/>
    <col min="15877" max="15877" width="9.7109375" style="208" bestFit="1" customWidth="1"/>
    <col min="15878" max="15879" width="9.5703125" style="208" bestFit="1" customWidth="1"/>
    <col min="15880" max="15880" width="10.42578125" style="208" bestFit="1" customWidth="1"/>
    <col min="15881" max="15881" width="4.5703125" style="208" customWidth="1"/>
    <col min="15882" max="15882" width="1.85546875" style="208" customWidth="1"/>
    <col min="15883" max="15883" width="7" style="208" bestFit="1" customWidth="1"/>
    <col min="15884" max="15884" width="6.28515625" style="208" customWidth="1"/>
    <col min="15885" max="15885" width="20.42578125" style="208" customWidth="1"/>
    <col min="15886" max="15886" width="6.42578125" style="208" bestFit="1" customWidth="1"/>
    <col min="15887" max="15888" width="8.42578125" style="208"/>
    <col min="15889" max="15889" width="3.28515625" style="208" customWidth="1"/>
    <col min="15890" max="16128" width="8.42578125" style="208"/>
    <col min="16129" max="16129" width="10" style="208" bestFit="1" customWidth="1"/>
    <col min="16130" max="16130" width="44.28515625" style="208" bestFit="1" customWidth="1"/>
    <col min="16131" max="16131" width="10.42578125" style="208" bestFit="1" customWidth="1"/>
    <col min="16132" max="16132" width="10.42578125" style="208" customWidth="1"/>
    <col min="16133" max="16133" width="9.7109375" style="208" bestFit="1" customWidth="1"/>
    <col min="16134" max="16135" width="9.5703125" style="208" bestFit="1" customWidth="1"/>
    <col min="16136" max="16136" width="10.42578125" style="208" bestFit="1" customWidth="1"/>
    <col min="16137" max="16137" width="4.5703125" style="208" customWidth="1"/>
    <col min="16138" max="16138" width="1.85546875" style="208" customWidth="1"/>
    <col min="16139" max="16139" width="7" style="208" bestFit="1" customWidth="1"/>
    <col min="16140" max="16140" width="6.28515625" style="208" customWidth="1"/>
    <col min="16141" max="16141" width="20.42578125" style="208" customWidth="1"/>
    <col min="16142" max="16142" width="6.42578125" style="208" bestFit="1" customWidth="1"/>
    <col min="16143" max="16144" width="8.42578125" style="208"/>
    <col min="16145" max="16145" width="3.28515625" style="208" customWidth="1"/>
    <col min="16146" max="16384" width="8.42578125" style="208"/>
  </cols>
  <sheetData>
    <row r="1" spans="1:10" ht="27.75" customHeight="1" x14ac:dyDescent="0.2">
      <c r="A1" s="203"/>
      <c r="B1" s="203"/>
      <c r="C1" s="203"/>
      <c r="D1" s="203"/>
      <c r="E1" s="204" t="s">
        <v>172</v>
      </c>
      <c r="F1" s="205" t="s">
        <v>173</v>
      </c>
      <c r="G1" s="205" t="s">
        <v>174</v>
      </c>
      <c r="H1" s="205" t="s">
        <v>175</v>
      </c>
      <c r="I1" s="206"/>
    </row>
    <row r="2" spans="1:10" ht="30.75" customHeight="1" x14ac:dyDescent="0.2">
      <c r="A2" s="203"/>
      <c r="B2" s="203"/>
      <c r="C2" s="203"/>
      <c r="D2" s="203"/>
      <c r="E2" s="209">
        <f>IFERROR(O62,"")</f>
        <v>26340.723532467535</v>
      </c>
      <c r="F2" s="209">
        <f>IFERROR(H53,"")</f>
        <v>24044</v>
      </c>
      <c r="G2" s="209">
        <f>IFERROR(H54,"")</f>
        <v>154.256</v>
      </c>
      <c r="H2" s="209">
        <f>IFERROR(H56,"")</f>
        <v>1170</v>
      </c>
      <c r="I2" s="210"/>
    </row>
    <row r="3" spans="1:10" ht="15" customHeight="1" x14ac:dyDescent="0.2">
      <c r="A3" s="203"/>
      <c r="B3" s="203"/>
      <c r="C3" s="203"/>
      <c r="D3" s="203"/>
      <c r="E3" s="203"/>
      <c r="F3" s="211"/>
      <c r="G3" s="211"/>
      <c r="H3" s="211"/>
      <c r="I3" s="211"/>
    </row>
    <row r="4" spans="1:10" ht="24.75" customHeight="1" thickBot="1" x14ac:dyDescent="0.25">
      <c r="A4" s="728"/>
      <c r="B4" s="728"/>
      <c r="C4" s="728"/>
      <c r="D4" s="728"/>
      <c r="E4" s="728"/>
      <c r="F4" s="728"/>
      <c r="G4" s="728"/>
      <c r="H4" s="728"/>
      <c r="I4" s="212"/>
    </row>
    <row r="5" spans="1:10" ht="19.5" customHeight="1" thickBot="1" x14ac:dyDescent="0.25">
      <c r="A5" s="729" t="s">
        <v>176</v>
      </c>
      <c r="B5" s="730"/>
      <c r="C5" s="730"/>
      <c r="D5" s="730"/>
      <c r="E5" s="730"/>
      <c r="F5" s="730"/>
      <c r="G5" s="730"/>
      <c r="H5" s="731"/>
      <c r="I5" s="213"/>
    </row>
    <row r="6" spans="1:10" ht="19.5" thickBot="1" x14ac:dyDescent="0.25">
      <c r="A6" s="213"/>
      <c r="B6" s="213"/>
      <c r="C6" s="213"/>
      <c r="D6" s="213"/>
      <c r="E6" s="213"/>
      <c r="F6" s="732" t="s">
        <v>177</v>
      </c>
      <c r="G6" s="732"/>
      <c r="H6" s="214">
        <f ca="1">TODAY()</f>
        <v>45831</v>
      </c>
      <c r="I6" s="214"/>
    </row>
    <row r="7" spans="1:10" ht="26.25" thickBot="1" x14ac:dyDescent="0.25">
      <c r="A7" s="215" t="s">
        <v>178</v>
      </c>
      <c r="B7" s="216" t="s">
        <v>179</v>
      </c>
      <c r="C7" s="216" t="s">
        <v>178</v>
      </c>
      <c r="D7" s="217" t="s">
        <v>180</v>
      </c>
      <c r="E7" s="217" t="s">
        <v>181</v>
      </c>
      <c r="F7" s="217" t="s">
        <v>182</v>
      </c>
      <c r="G7" s="217" t="s">
        <v>183</v>
      </c>
      <c r="H7" s="218" t="s">
        <v>184</v>
      </c>
      <c r="I7" s="219"/>
    </row>
    <row r="8" spans="1:10" ht="13.5" x14ac:dyDescent="0.25">
      <c r="A8" s="220">
        <v>1000</v>
      </c>
      <c r="B8" s="208" t="str">
        <f>IFERROR(VLOOKUP(H8,'[1]Consolidado MP Planta'!$A$2:$M$823,3,0),"")</f>
        <v>LACTOCREMA GRANEL (CAJA:25 KG)</v>
      </c>
      <c r="C8" s="221">
        <f>+A8</f>
        <v>1000</v>
      </c>
      <c r="D8" s="222" t="str">
        <f>IFERROR(VLOOKUP(H8,'[1]Consolidado MP Planta'!$A$2:$M$823,13,0),"")</f>
        <v>Gramos</v>
      </c>
      <c r="E8" s="222">
        <v>3.5</v>
      </c>
      <c r="F8" s="222">
        <f>IFERROR(C8*E8,"")</f>
        <v>3500</v>
      </c>
      <c r="G8" s="223">
        <f t="shared" ref="G8:G14" si="0">IFERROR(F8/$F$66,"")</f>
        <v>0.13752922692542488</v>
      </c>
      <c r="H8" s="224" t="s">
        <v>68</v>
      </c>
      <c r="I8" s="224"/>
      <c r="J8" s="225"/>
    </row>
    <row r="9" spans="1:10" ht="13.5" x14ac:dyDescent="0.25">
      <c r="A9" s="220">
        <v>3000</v>
      </c>
      <c r="B9" s="208" t="s">
        <v>153</v>
      </c>
      <c r="C9" s="221">
        <f t="shared" ref="C9:C14" si="1">+A9</f>
        <v>3000</v>
      </c>
      <c r="D9" s="222" t="s">
        <v>223</v>
      </c>
      <c r="E9" s="222">
        <v>3.33</v>
      </c>
      <c r="F9" s="222">
        <f t="shared" ref="F9:F14" si="2">IFERROR(C9*E9,"")</f>
        <v>9990</v>
      </c>
      <c r="G9" s="223">
        <f t="shared" si="0"/>
        <v>0.39254770770999847</v>
      </c>
      <c r="H9" s="224" t="s">
        <v>152</v>
      </c>
      <c r="I9" s="224"/>
      <c r="J9" s="225"/>
    </row>
    <row r="10" spans="1:10" ht="13.5" x14ac:dyDescent="0.25">
      <c r="A10" s="220">
        <v>4000</v>
      </c>
      <c r="B10" s="208" t="str">
        <f>IFERROR(VLOOKUP(H10,'[1]Consolidado MP Planta'!$A$2:$M$823,3,0),"")</f>
        <v>LECHE EVAPORADA (UND: 1 L)</v>
      </c>
      <c r="C10" s="221">
        <f t="shared" si="1"/>
        <v>4000</v>
      </c>
      <c r="D10" s="222" t="str">
        <f>IFERROR(VLOOKUP(H10,'[1]Consolidado MP Planta'!$A$2:$M$823,13,0),"")</f>
        <v>Mililitros</v>
      </c>
      <c r="E10" s="222">
        <v>1.97</v>
      </c>
      <c r="F10" s="222">
        <f t="shared" si="2"/>
        <v>7880</v>
      </c>
      <c r="G10" s="223">
        <f t="shared" si="0"/>
        <v>0.30963723090638517</v>
      </c>
      <c r="H10" s="224" t="s">
        <v>156</v>
      </c>
      <c r="I10" s="224"/>
      <c r="J10" s="225"/>
    </row>
    <row r="11" spans="1:10" ht="13.5" x14ac:dyDescent="0.25">
      <c r="A11" s="220">
        <v>20</v>
      </c>
      <c r="B11" s="208" t="str">
        <f>IFERROR(VLOOKUP(H11,'[1]Consolidado MP Planta'!$A$2:$M$823,3,0),"")</f>
        <v>PRESERVANTE 1017S (PAQ=5 KILO)</v>
      </c>
      <c r="C11" s="221">
        <f t="shared" si="1"/>
        <v>20</v>
      </c>
      <c r="D11" s="222" t="str">
        <f>IFERROR(VLOOKUP(H11,'[1]Consolidado MP Planta'!$A$2:$M$823,13,0),"")</f>
        <v>Gramos</v>
      </c>
      <c r="E11" s="222">
        <v>8.6999999999999993</v>
      </c>
      <c r="F11" s="222">
        <f t="shared" si="2"/>
        <v>174</v>
      </c>
      <c r="G11" s="223">
        <f t="shared" si="0"/>
        <v>6.8371672814354087E-3</v>
      </c>
      <c r="H11" s="224" t="s">
        <v>159</v>
      </c>
      <c r="I11" s="224"/>
      <c r="J11" s="225"/>
    </row>
    <row r="12" spans="1:10" ht="13.5" hidden="1" x14ac:dyDescent="0.25">
      <c r="A12" s="220"/>
      <c r="B12" s="208" t="str">
        <f>IFERROR(VLOOKUP(H12,'[1]Consolidado MP Planta'!$A$2:$M$823,3,0),"")</f>
        <v/>
      </c>
      <c r="C12" s="221">
        <f t="shared" si="1"/>
        <v>0</v>
      </c>
      <c r="D12" s="222" t="str">
        <f>IFERROR(VLOOKUP(H12,'[1]Consolidado MP Planta'!$A$2:$M$823,13,0),"")</f>
        <v/>
      </c>
      <c r="E12" s="222" t="str">
        <f>IFERROR(VLOOKUP(H12,'[1]Consolidado MP Planta'!$A$2:$M$823,12,0),"")</f>
        <v/>
      </c>
      <c r="F12" s="222" t="str">
        <f t="shared" si="2"/>
        <v/>
      </c>
      <c r="G12" s="223" t="str">
        <f t="shared" si="0"/>
        <v/>
      </c>
      <c r="H12" s="224"/>
      <c r="I12" s="224"/>
      <c r="J12" s="225"/>
    </row>
    <row r="13" spans="1:10" ht="13.5" hidden="1" x14ac:dyDescent="0.25">
      <c r="A13" s="220"/>
      <c r="B13" s="208" t="str">
        <f>IFERROR(VLOOKUP(H13,'[1]Consolidado MP Planta'!$A$2:$M$823,3,0),"")</f>
        <v/>
      </c>
      <c r="C13" s="221">
        <f t="shared" si="1"/>
        <v>0</v>
      </c>
      <c r="D13" s="222" t="str">
        <f>IFERROR(VLOOKUP(H13,'[1]Consolidado MP Planta'!$A$2:$M$823,13,0),"")</f>
        <v/>
      </c>
      <c r="E13" s="222" t="str">
        <f>IFERROR(VLOOKUP(H13,'[1]Consolidado MP Planta'!$A$2:$M$823,12,0),"")</f>
        <v/>
      </c>
      <c r="F13" s="222" t="str">
        <f t="shared" si="2"/>
        <v/>
      </c>
      <c r="G13" s="223" t="str">
        <f t="shared" si="0"/>
        <v/>
      </c>
      <c r="H13" s="224"/>
      <c r="I13" s="224"/>
      <c r="J13" s="225"/>
    </row>
    <row r="14" spans="1:10" ht="13.5" hidden="1" x14ac:dyDescent="0.25">
      <c r="A14" s="220"/>
      <c r="B14" s="208" t="str">
        <f>IFERROR(VLOOKUP(H14,'[1]Consolidado MP Planta'!$A$2:$M$823,3,0),"")</f>
        <v/>
      </c>
      <c r="C14" s="221">
        <f t="shared" si="1"/>
        <v>0</v>
      </c>
      <c r="D14" s="222" t="str">
        <f>IFERROR(VLOOKUP(H14,'[1]Consolidado MP Planta'!$A$2:$M$823,13,0),"")</f>
        <v/>
      </c>
      <c r="E14" s="222" t="str">
        <f>IFERROR(VLOOKUP(H14,'[1]Consolidado MP Planta'!$A$2:$M$823,12,0),"")</f>
        <v/>
      </c>
      <c r="F14" s="222" t="str">
        <f t="shared" si="2"/>
        <v/>
      </c>
      <c r="G14" s="223" t="str">
        <f t="shared" si="0"/>
        <v/>
      </c>
      <c r="H14" s="224"/>
      <c r="I14" s="224"/>
      <c r="J14" s="225"/>
    </row>
    <row r="15" spans="1:10" ht="14.25" thickBot="1" x14ac:dyDescent="0.3">
      <c r="A15" s="220"/>
      <c r="B15" s="208" t="str">
        <f>IFERROR(VLOOKUP(H15,'[2]ARTICULOS MP PLANTA'!$A$2:$G$589,2,0),"")</f>
        <v/>
      </c>
      <c r="C15" s="221"/>
      <c r="D15" s="222"/>
      <c r="E15" s="222"/>
      <c r="F15" s="222"/>
      <c r="G15" s="223"/>
      <c r="H15" s="224"/>
      <c r="I15" s="224"/>
      <c r="J15" s="225"/>
    </row>
    <row r="16" spans="1:10" ht="26.25" thickBot="1" x14ac:dyDescent="0.25">
      <c r="A16" s="215" t="s">
        <v>178</v>
      </c>
      <c r="B16" s="216" t="s">
        <v>185</v>
      </c>
      <c r="C16" s="216" t="s">
        <v>178</v>
      </c>
      <c r="D16" s="217" t="s">
        <v>180</v>
      </c>
      <c r="E16" s="217" t="s">
        <v>181</v>
      </c>
      <c r="F16" s="217" t="s">
        <v>182</v>
      </c>
      <c r="G16" s="217" t="s">
        <v>183</v>
      </c>
      <c r="H16" s="218" t="s">
        <v>184</v>
      </c>
      <c r="I16" s="219"/>
      <c r="J16" s="225"/>
    </row>
    <row r="17" spans="1:12" ht="13.5" x14ac:dyDescent="0.25">
      <c r="A17" s="220">
        <v>5000</v>
      </c>
      <c r="B17" s="208" t="str">
        <f>IFERROR(VLOOKUP(H17,[1]SEMIELABORADOS!$A$2:$M$6000,2,0),"")</f>
        <v xml:space="preserve">AZUCAR REFINADA (BOLSA:1500g) </v>
      </c>
      <c r="C17" s="221">
        <f>+A17</f>
        <v>5000</v>
      </c>
      <c r="D17" s="221" t="str">
        <f>IFERROR(VLOOKUP(H17,[1]SEMIELABORADOS!$A$2:$M$6000,6,0),"")</f>
        <v>Gramo</v>
      </c>
      <c r="E17" s="222">
        <v>0.5</v>
      </c>
      <c r="F17" s="222">
        <f>IFERROR(E17*C17,"")</f>
        <v>2500</v>
      </c>
      <c r="G17" s="223">
        <f t="shared" ref="G17:G24" si="3">IFERROR(F17/$F$66,"")</f>
        <v>9.8235162089589198E-2</v>
      </c>
      <c r="H17" s="224" t="s">
        <v>225</v>
      </c>
      <c r="I17" s="224"/>
      <c r="J17" s="225"/>
    </row>
    <row r="18" spans="1:12" ht="13.5" hidden="1" x14ac:dyDescent="0.25">
      <c r="A18" s="220"/>
      <c r="B18" s="208" t="str">
        <f>IFERROR(VLOOKUP(H18,[1]SEMIELABORADOS!$A$2:$M$6000,2,0),"")</f>
        <v/>
      </c>
      <c r="C18" s="221">
        <f t="shared" ref="C18:C24" si="4">+A18</f>
        <v>0</v>
      </c>
      <c r="D18" s="221" t="str">
        <f>IFERROR(VLOOKUP(H18,[1]SEMIELABORADOS!$A$2:$M$6000,6,0),"")</f>
        <v/>
      </c>
      <c r="E18" s="222" t="str">
        <f>IFERROR(VLOOKUP(H18,[1]SEMIELABORADOS!$A$2:$H$65536,8,0),"")</f>
        <v/>
      </c>
      <c r="F18" s="222" t="str">
        <f t="shared" ref="F18:F24" si="5">IFERROR(E18*C18,"")</f>
        <v/>
      </c>
      <c r="G18" s="223" t="str">
        <f t="shared" si="3"/>
        <v/>
      </c>
      <c r="H18" s="224"/>
      <c r="I18" s="224"/>
      <c r="J18" s="225"/>
    </row>
    <row r="19" spans="1:12" ht="13.5" hidden="1" x14ac:dyDescent="0.25">
      <c r="A19" s="220"/>
      <c r="B19" s="208" t="str">
        <f>IFERROR(VLOOKUP(H19,[1]SEMIELABORADOS!$A$2:$M$6000,2,0),"")</f>
        <v/>
      </c>
      <c r="C19" s="221">
        <f>+A19</f>
        <v>0</v>
      </c>
      <c r="D19" s="221" t="str">
        <f>IFERROR(VLOOKUP(H19,[1]SEMIELABORADOS!$A$2:$M$6000,6,0),"")</f>
        <v/>
      </c>
      <c r="E19" s="222" t="str">
        <f>IFERROR(VLOOKUP(H19,[1]SEMIELABORADOS!$A$2:$H$65536,8,0),"")</f>
        <v/>
      </c>
      <c r="F19" s="222" t="str">
        <f>IFERROR(E19*C19,"")</f>
        <v/>
      </c>
      <c r="G19" s="223" t="str">
        <f t="shared" si="3"/>
        <v/>
      </c>
      <c r="H19" s="224"/>
      <c r="I19" s="224"/>
      <c r="J19" s="225"/>
    </row>
    <row r="20" spans="1:12" ht="13.5" hidden="1" x14ac:dyDescent="0.25">
      <c r="A20" s="220"/>
      <c r="B20" s="208" t="str">
        <f>IFERROR(VLOOKUP(H20,[1]SEMIELABORADOS!$A$2:$M$6000,2,0),"")</f>
        <v/>
      </c>
      <c r="C20" s="221">
        <f>+A20</f>
        <v>0</v>
      </c>
      <c r="D20" s="221" t="str">
        <f>IFERROR(VLOOKUP(H20,[1]SEMIELABORADOS!$A$2:$M$6000,6,0),"")</f>
        <v/>
      </c>
      <c r="E20" s="222" t="str">
        <f>IFERROR(VLOOKUP(H20,[1]SEMIELABORADOS!$A$2:$H$65536,8,0),"")</f>
        <v/>
      </c>
      <c r="F20" s="222" t="str">
        <f>IFERROR(E20*C20,"")</f>
        <v/>
      </c>
      <c r="G20" s="223" t="str">
        <f t="shared" si="3"/>
        <v/>
      </c>
      <c r="H20" s="224"/>
      <c r="I20" s="224"/>
      <c r="J20" s="225"/>
    </row>
    <row r="21" spans="1:12" ht="13.5" hidden="1" x14ac:dyDescent="0.25">
      <c r="A21" s="220"/>
      <c r="B21" s="208" t="str">
        <f>IFERROR(VLOOKUP(H21,[1]SEMIELABORADOS!$A$2:$M$6000,2,0),"")</f>
        <v/>
      </c>
      <c r="C21" s="221">
        <f>+A21</f>
        <v>0</v>
      </c>
      <c r="D21" s="221" t="str">
        <f>IFERROR(VLOOKUP(H21,[1]SEMIELABORADOS!$A$2:$M$6000,6,0),"")</f>
        <v/>
      </c>
      <c r="E21" s="222" t="str">
        <f>IFERROR(VLOOKUP(H21,[1]SEMIELABORADOS!$A$2:$H$65536,8,0),"")</f>
        <v/>
      </c>
      <c r="F21" s="222" t="str">
        <f>IFERROR(E21*C21,"")</f>
        <v/>
      </c>
      <c r="G21" s="223" t="str">
        <f t="shared" si="3"/>
        <v/>
      </c>
      <c r="H21" s="224"/>
      <c r="I21" s="224"/>
      <c r="J21" s="225"/>
    </row>
    <row r="22" spans="1:12" ht="13.5" hidden="1" x14ac:dyDescent="0.25">
      <c r="A22" s="220"/>
      <c r="B22" s="208" t="str">
        <f>IFERROR(VLOOKUP(H22,[1]SEMIELABORADOS!$A$2:$M$6000,2,0),"")</f>
        <v/>
      </c>
      <c r="C22" s="221">
        <f t="shared" si="4"/>
        <v>0</v>
      </c>
      <c r="D22" s="221" t="str">
        <f>IFERROR(VLOOKUP(H22,[1]SEMIELABORADOS!$A$2:$M$6000,6,0),"")</f>
        <v/>
      </c>
      <c r="E22" s="222" t="str">
        <f>IFERROR(VLOOKUP(H22,[1]SEMIELABORADOS!$A$2:$H$65536,8,0),"")</f>
        <v/>
      </c>
      <c r="F22" s="222" t="str">
        <f t="shared" si="5"/>
        <v/>
      </c>
      <c r="G22" s="223" t="str">
        <f t="shared" si="3"/>
        <v/>
      </c>
      <c r="H22" s="224"/>
      <c r="I22" s="224"/>
      <c r="J22" s="225"/>
    </row>
    <row r="23" spans="1:12" ht="13.5" hidden="1" x14ac:dyDescent="0.25">
      <c r="A23" s="220"/>
      <c r="B23" s="208" t="str">
        <f>IFERROR(VLOOKUP(H23,[1]SEMIELABORADOS!$A$2:$M$6000,2,0),"")</f>
        <v/>
      </c>
      <c r="C23" s="221">
        <f t="shared" si="4"/>
        <v>0</v>
      </c>
      <c r="D23" s="221" t="str">
        <f>IFERROR(VLOOKUP(H23,[1]SEMIELABORADOS!$A$2:$M$6000,6,0),"")</f>
        <v/>
      </c>
      <c r="E23" s="222" t="str">
        <f>IFERROR(VLOOKUP(H23,[1]SEMIELABORADOS!$A$2:$H$65536,8,0),"")</f>
        <v/>
      </c>
      <c r="F23" s="222" t="str">
        <f t="shared" si="5"/>
        <v/>
      </c>
      <c r="G23" s="223" t="str">
        <f t="shared" si="3"/>
        <v/>
      </c>
      <c r="H23" s="224"/>
      <c r="I23" s="224"/>
      <c r="J23" s="225"/>
    </row>
    <row r="24" spans="1:12" ht="13.5" hidden="1" x14ac:dyDescent="0.25">
      <c r="A24" s="220"/>
      <c r="B24" s="208" t="str">
        <f>IFERROR(VLOOKUP(H24,[1]SEMIELABORADOS!$A$2:$M$6000,2,0),"")</f>
        <v/>
      </c>
      <c r="C24" s="221">
        <f t="shared" si="4"/>
        <v>0</v>
      </c>
      <c r="D24" s="221" t="str">
        <f>IFERROR(VLOOKUP(H24,[1]SEMIELABORADOS!$A$2:$M$6000,6,0),"")</f>
        <v/>
      </c>
      <c r="E24" s="222" t="str">
        <f>IFERROR(VLOOKUP(H24,[1]SEMIELABORADOS!$A$2:$H$65536,8,0),"")</f>
        <v/>
      </c>
      <c r="F24" s="222" t="str">
        <f t="shared" si="5"/>
        <v/>
      </c>
      <c r="G24" s="223" t="str">
        <f t="shared" si="3"/>
        <v/>
      </c>
      <c r="H24" s="224"/>
      <c r="I24" s="224"/>
      <c r="J24" s="225"/>
    </row>
    <row r="25" spans="1:12" ht="14.25" thickBot="1" x14ac:dyDescent="0.3">
      <c r="A25" s="220"/>
      <c r="C25" s="221"/>
      <c r="D25" s="221"/>
      <c r="E25" s="222"/>
      <c r="F25" s="222"/>
      <c r="G25" s="223"/>
      <c r="H25" s="224"/>
      <c r="I25" s="224"/>
      <c r="J25" s="225"/>
    </row>
    <row r="26" spans="1:12" ht="26.25" thickBot="1" x14ac:dyDescent="0.25">
      <c r="A26" s="215" t="s">
        <v>178</v>
      </c>
      <c r="B26" s="216" t="s">
        <v>24</v>
      </c>
      <c r="C26" s="216" t="s">
        <v>178</v>
      </c>
      <c r="D26" s="217" t="s">
        <v>180</v>
      </c>
      <c r="E26" s="217" t="s">
        <v>181</v>
      </c>
      <c r="F26" s="217" t="s">
        <v>182</v>
      </c>
      <c r="G26" s="217" t="s">
        <v>183</v>
      </c>
      <c r="H26" s="218" t="s">
        <v>184</v>
      </c>
      <c r="I26" s="219"/>
    </row>
    <row r="27" spans="1:12" ht="13.5" x14ac:dyDescent="0.25">
      <c r="A27" s="220">
        <v>2</v>
      </c>
      <c r="B27" s="226" t="s">
        <v>166</v>
      </c>
      <c r="C27" s="221">
        <f t="shared" ref="C27:C32" si="6">+A27</f>
        <v>2</v>
      </c>
      <c r="D27" s="222" t="s">
        <v>229</v>
      </c>
      <c r="E27" s="222">
        <v>25</v>
      </c>
      <c r="F27" s="222">
        <f t="shared" ref="F27:F32" si="7">IFERROR(C27*E27,"")</f>
        <v>50</v>
      </c>
      <c r="G27" s="223">
        <f t="shared" ref="G27:G32" si="8">IFERROR(F27/$F$66,"")</f>
        <v>1.964703241791784E-3</v>
      </c>
      <c r="H27" s="227" t="s">
        <v>228</v>
      </c>
      <c r="I27" s="227"/>
      <c r="J27" s="225"/>
      <c r="K27" s="727"/>
      <c r="L27" s="727"/>
    </row>
    <row r="28" spans="1:12" ht="13.5" x14ac:dyDescent="0.25">
      <c r="A28" s="220">
        <v>2</v>
      </c>
      <c r="B28" s="226" t="str">
        <f>IFERROR(VLOOKUP(H28,'[1]Consolidado MP Planta'!$A$2:$M$823,3,0),"")</f>
        <v>ETIQUETA BLANCA 2 5/8X1 15/16 (UND)</v>
      </c>
      <c r="C28" s="221">
        <f t="shared" si="6"/>
        <v>2</v>
      </c>
      <c r="D28" s="222" t="str">
        <f>IFERROR(VLOOKUP(H28,'[1]Consolidado MP Planta'!$A$2:$M$823,13,0),"")</f>
        <v>Und</v>
      </c>
      <c r="E28" s="222">
        <f>IFERROR(VLOOKUP(H28,'[1]Consolidado MP Planta'!$A$2:$M$823,12,0),"")</f>
        <v>2.1280000000000001</v>
      </c>
      <c r="F28" s="222">
        <f t="shared" si="7"/>
        <v>4.2560000000000002</v>
      </c>
      <c r="G28" s="223">
        <f t="shared" si="8"/>
        <v>1.6723553994131665E-4</v>
      </c>
      <c r="H28" s="227" t="s">
        <v>227</v>
      </c>
      <c r="I28" s="227"/>
      <c r="J28" s="225"/>
      <c r="K28" s="727"/>
      <c r="L28" s="727"/>
    </row>
    <row r="29" spans="1:12" ht="13.5" hidden="1" x14ac:dyDescent="0.25">
      <c r="A29" s="220"/>
      <c r="B29" s="226" t="str">
        <f>IFERROR(VLOOKUP(H29,'[1]Consolidado MP Planta'!$A$2:$M$823,3,0),"")</f>
        <v/>
      </c>
      <c r="C29" s="221">
        <f t="shared" si="6"/>
        <v>0</v>
      </c>
      <c r="D29" s="222" t="str">
        <f>IFERROR(VLOOKUP(H29,'[1]Consolidado MP Planta'!$A$2:$M$823,13,0),"")</f>
        <v/>
      </c>
      <c r="E29" s="222" t="str">
        <f>IFERROR(VLOOKUP(H29,'[1]Consolidado MP Planta'!$A$2:$M$823,12,0),"")</f>
        <v/>
      </c>
      <c r="F29" s="222" t="str">
        <f t="shared" si="7"/>
        <v/>
      </c>
      <c r="G29" s="223" t="str">
        <f t="shared" si="8"/>
        <v/>
      </c>
      <c r="H29" s="227"/>
      <c r="I29" s="227"/>
      <c r="J29" s="225"/>
      <c r="K29" s="727"/>
      <c r="L29" s="727"/>
    </row>
    <row r="30" spans="1:12" ht="13.5" hidden="1" x14ac:dyDescent="0.25">
      <c r="A30" s="220"/>
      <c r="B30" s="226" t="str">
        <f>IFERROR(VLOOKUP(H30,'[1]Consolidado MP Planta'!$A$2:$M$823,3,0),"")</f>
        <v/>
      </c>
      <c r="C30" s="221">
        <f t="shared" si="6"/>
        <v>0</v>
      </c>
      <c r="D30" s="222" t="str">
        <f>IFERROR(VLOOKUP(H30,'[1]Consolidado MP Planta'!$A$2:$M$823,13,0),"")</f>
        <v/>
      </c>
      <c r="E30" s="222" t="str">
        <f>IFERROR(VLOOKUP(H30,'[1]Consolidado MP Planta'!$A$2:$M$823,12,0),"")</f>
        <v/>
      </c>
      <c r="F30" s="222" t="str">
        <f t="shared" si="7"/>
        <v/>
      </c>
      <c r="G30" s="223" t="str">
        <f t="shared" si="8"/>
        <v/>
      </c>
      <c r="H30" s="227"/>
      <c r="I30" s="227"/>
      <c r="J30" s="225"/>
      <c r="K30" s="727"/>
      <c r="L30" s="727"/>
    </row>
    <row r="31" spans="1:12" ht="13.5" hidden="1" x14ac:dyDescent="0.25">
      <c r="A31" s="220"/>
      <c r="B31" s="226" t="str">
        <f>IFERROR(VLOOKUP(H31,'[1]Consolidado MP Planta'!$A$2:$M$823,3,0),"")</f>
        <v/>
      </c>
      <c r="C31" s="221">
        <f t="shared" si="6"/>
        <v>0</v>
      </c>
      <c r="D31" s="222" t="str">
        <f>IFERROR(VLOOKUP(H31,'[1]Consolidado MP Planta'!$A$2:$M$823,13,0),"")</f>
        <v/>
      </c>
      <c r="E31" s="222" t="str">
        <f>IFERROR(VLOOKUP(H31,'[1]Consolidado MP Planta'!$A$2:$M$823,12,0),"")</f>
        <v/>
      </c>
      <c r="F31" s="222" t="str">
        <f t="shared" si="7"/>
        <v/>
      </c>
      <c r="G31" s="223" t="str">
        <f t="shared" si="8"/>
        <v/>
      </c>
      <c r="H31" s="227"/>
      <c r="I31" s="227"/>
      <c r="J31" s="225"/>
      <c r="K31" s="228"/>
      <c r="L31" s="229"/>
    </row>
    <row r="32" spans="1:12" ht="13.5" hidden="1" x14ac:dyDescent="0.25">
      <c r="A32" s="220"/>
      <c r="B32" s="226" t="str">
        <f>IFERROR(VLOOKUP(H32,'[1]Consolidado MP Planta'!$A$2:$M$823,3,0),"")</f>
        <v/>
      </c>
      <c r="C32" s="221">
        <f t="shared" si="6"/>
        <v>0</v>
      </c>
      <c r="D32" s="222" t="str">
        <f>IFERROR(VLOOKUP(H32,'[1]Consolidado MP Planta'!$A$2:$M$823,13,0),"")</f>
        <v/>
      </c>
      <c r="E32" s="222" t="str">
        <f>IFERROR(VLOOKUP(H32,'[1]Consolidado MP Planta'!$A$2:$M$823,12,0),"")</f>
        <v/>
      </c>
      <c r="F32" s="222" t="str">
        <f t="shared" si="7"/>
        <v/>
      </c>
      <c r="G32" s="223" t="str">
        <f t="shared" si="8"/>
        <v/>
      </c>
      <c r="H32" s="227"/>
      <c r="I32" s="227"/>
      <c r="J32" s="225"/>
    </row>
    <row r="33" spans="1:13" ht="14.25" thickBot="1" x14ac:dyDescent="0.3">
      <c r="A33" s="220"/>
      <c r="B33" s="226"/>
      <c r="C33" s="221"/>
      <c r="D33" s="222"/>
      <c r="E33" s="222"/>
      <c r="F33" s="222"/>
      <c r="G33" s="223"/>
      <c r="H33" s="227"/>
      <c r="I33" s="227"/>
      <c r="J33" s="225"/>
    </row>
    <row r="34" spans="1:13" ht="26.25" thickBot="1" x14ac:dyDescent="0.25">
      <c r="A34" s="215" t="s">
        <v>178</v>
      </c>
      <c r="B34" s="216" t="s">
        <v>186</v>
      </c>
      <c r="C34" s="216" t="s">
        <v>178</v>
      </c>
      <c r="D34" s="217" t="s">
        <v>180</v>
      </c>
      <c r="E34" s="217" t="s">
        <v>181</v>
      </c>
      <c r="F34" s="217" t="s">
        <v>182</v>
      </c>
      <c r="G34" s="217" t="s">
        <v>183</v>
      </c>
      <c r="H34" s="218" t="s">
        <v>184</v>
      </c>
      <c r="I34" s="227"/>
      <c r="J34" s="225"/>
    </row>
    <row r="35" spans="1:13" ht="13.5" x14ac:dyDescent="0.25">
      <c r="A35" s="220">
        <f>+A17</f>
        <v>5000</v>
      </c>
      <c r="B35" s="226" t="str">
        <f>IFERROR(VLOOKUP(H35,[1]SEMIELABORADOS!$A$2:$M$6000,2,0),"")</f>
        <v xml:space="preserve">AZUCAR REFINADA (BOLSA:1500g) </v>
      </c>
      <c r="C35" s="221">
        <f>+A35</f>
        <v>5000</v>
      </c>
      <c r="D35" s="222" t="str">
        <f>IFERROR(VLOOKUP(H35,[1]SEMIELABORADOS!$A$2:$M$6000,6,0),"")</f>
        <v>Gramo</v>
      </c>
      <c r="E35" s="222">
        <v>0.02</v>
      </c>
      <c r="F35" s="222">
        <f>IFERROR(E35*C35,"")</f>
        <v>100</v>
      </c>
      <c r="G35" s="223">
        <f t="shared" ref="G35:G41" si="9">IFERROR(F35/$F$66,"")</f>
        <v>3.929406483583568E-3</v>
      </c>
      <c r="H35" s="227" t="s">
        <v>225</v>
      </c>
      <c r="I35" s="227"/>
      <c r="J35" s="225"/>
    </row>
    <row r="36" spans="1:13" ht="13.5" hidden="1" x14ac:dyDescent="0.25">
      <c r="A36" s="220">
        <f t="shared" ref="A36:A41" si="10">+A18</f>
        <v>0</v>
      </c>
      <c r="B36" s="226" t="str">
        <f>IFERROR(VLOOKUP(H36,[1]SEMIELABORADOS!$A$2:$M$6000,2,0),"")</f>
        <v/>
      </c>
      <c r="C36" s="221">
        <f t="shared" ref="C36:C41" si="11">+A36</f>
        <v>0</v>
      </c>
      <c r="D36" s="222" t="str">
        <f>IFERROR(VLOOKUP(H36,[1]SEMIELABORADOS!$A$2:$M$6000,6,0),"")</f>
        <v/>
      </c>
      <c r="E36" s="222" t="str">
        <f>IFERROR(VLOOKUP(H36,[1]SEMIELABORADOS!$A$2:$M$65536,10,0),"")</f>
        <v/>
      </c>
      <c r="F36" s="222" t="str">
        <f t="shared" ref="F36:F41" si="12">IFERROR(E36*C36,"")</f>
        <v/>
      </c>
      <c r="G36" s="223" t="str">
        <f t="shared" si="9"/>
        <v/>
      </c>
      <c r="H36" s="227"/>
      <c r="I36" s="227"/>
      <c r="J36" s="225"/>
    </row>
    <row r="37" spans="1:13" ht="13.5" hidden="1" x14ac:dyDescent="0.25">
      <c r="A37" s="220">
        <f t="shared" si="10"/>
        <v>0</v>
      </c>
      <c r="B37" s="226" t="str">
        <f>IFERROR(VLOOKUP(H37,[1]SEMIELABORADOS!$A$2:$M$6000,2,0),"")</f>
        <v/>
      </c>
      <c r="C37" s="221">
        <f t="shared" si="11"/>
        <v>0</v>
      </c>
      <c r="D37" s="222" t="str">
        <f>IFERROR(VLOOKUP(H37,[1]SEMIELABORADOS!$A$2:$M$6000,6,0),"")</f>
        <v/>
      </c>
      <c r="E37" s="222" t="str">
        <f>IFERROR(VLOOKUP(H37,[1]SEMIELABORADOS!$A$2:$M$65536,10,0),"")</f>
        <v/>
      </c>
      <c r="F37" s="222" t="str">
        <f t="shared" si="12"/>
        <v/>
      </c>
      <c r="G37" s="223" t="str">
        <f t="shared" si="9"/>
        <v/>
      </c>
      <c r="H37" s="227"/>
      <c r="I37" s="227"/>
      <c r="J37" s="225"/>
    </row>
    <row r="38" spans="1:13" ht="13.5" hidden="1" x14ac:dyDescent="0.25">
      <c r="A38" s="220">
        <f t="shared" si="10"/>
        <v>0</v>
      </c>
      <c r="B38" s="226" t="str">
        <f>IFERROR(VLOOKUP(H38,[1]SEMIELABORADOS!$A$2:$M$6000,2,0),"")</f>
        <v/>
      </c>
      <c r="C38" s="221">
        <f>+A38</f>
        <v>0</v>
      </c>
      <c r="D38" s="222" t="str">
        <f>IFERROR(VLOOKUP(H38,[1]SEMIELABORADOS!$A$2:$M$6000,6,0),"")</f>
        <v/>
      </c>
      <c r="E38" s="222" t="str">
        <f>IFERROR(VLOOKUP(H38,[1]SEMIELABORADOS!$A$2:$M$65536,10,0),"")</f>
        <v/>
      </c>
      <c r="F38" s="222" t="str">
        <f>IFERROR(E38*C38,"")</f>
        <v/>
      </c>
      <c r="G38" s="223" t="str">
        <f t="shared" si="9"/>
        <v/>
      </c>
      <c r="H38" s="227"/>
      <c r="I38" s="227"/>
      <c r="J38" s="225"/>
    </row>
    <row r="39" spans="1:13" ht="13.5" hidden="1" x14ac:dyDescent="0.25">
      <c r="A39" s="220">
        <f t="shared" si="10"/>
        <v>0</v>
      </c>
      <c r="B39" s="226" t="str">
        <f>IFERROR(VLOOKUP(H39,[1]SEMIELABORADOS!$A$2:$M$6000,2,0),"")</f>
        <v/>
      </c>
      <c r="C39" s="221">
        <f>+A39</f>
        <v>0</v>
      </c>
      <c r="D39" s="222" t="str">
        <f>IFERROR(VLOOKUP(H39,[1]SEMIELABORADOS!$A$2:$M$6000,6,0),"")</f>
        <v/>
      </c>
      <c r="E39" s="222" t="str">
        <f>IFERROR(VLOOKUP(H39,[1]SEMIELABORADOS!$A$2:$M$65536,10,0),"")</f>
        <v/>
      </c>
      <c r="F39" s="222" t="str">
        <f>IFERROR(E39*C39,"")</f>
        <v/>
      </c>
      <c r="G39" s="223" t="str">
        <f t="shared" si="9"/>
        <v/>
      </c>
      <c r="H39" s="227"/>
      <c r="I39" s="227"/>
      <c r="J39" s="225"/>
    </row>
    <row r="40" spans="1:13" ht="13.5" hidden="1" x14ac:dyDescent="0.25">
      <c r="A40" s="220">
        <f t="shared" si="10"/>
        <v>0</v>
      </c>
      <c r="B40" s="226" t="str">
        <f>IFERROR(VLOOKUP(H40,[1]SEMIELABORADOS!$A$2:$M$6000,2,0),"")</f>
        <v/>
      </c>
      <c r="C40" s="221">
        <f t="shared" si="11"/>
        <v>0</v>
      </c>
      <c r="D40" s="222" t="str">
        <f>IFERROR(VLOOKUP(H40,[1]SEMIELABORADOS!$A$2:$M$6000,6,0),"")</f>
        <v/>
      </c>
      <c r="E40" s="222" t="str">
        <f>IFERROR(VLOOKUP(H40,[1]SEMIELABORADOS!$A$2:$M$65536,10,0),"")</f>
        <v/>
      </c>
      <c r="F40" s="222" t="str">
        <f t="shared" si="12"/>
        <v/>
      </c>
      <c r="G40" s="223" t="str">
        <f t="shared" si="9"/>
        <v/>
      </c>
      <c r="H40" s="227"/>
      <c r="I40" s="227"/>
      <c r="J40" s="225"/>
    </row>
    <row r="41" spans="1:13" ht="13.5" hidden="1" x14ac:dyDescent="0.25">
      <c r="A41" s="220">
        <f t="shared" si="10"/>
        <v>0</v>
      </c>
      <c r="B41" s="226" t="str">
        <f>IFERROR(VLOOKUP(H41,[1]SEMIELABORADOS!$A$2:$M$6000,2,0),"")</f>
        <v/>
      </c>
      <c r="C41" s="221">
        <f t="shared" si="11"/>
        <v>0</v>
      </c>
      <c r="D41" s="222" t="str">
        <f>IFERROR(VLOOKUP(H41,[1]SEMIELABORADOS!$A$2:$M$6000,6,0),"")</f>
        <v/>
      </c>
      <c r="E41" s="222" t="str">
        <f>IFERROR(VLOOKUP(H41,[1]SEMIELABORADOS!$A$2:$M$65536,10,0),"")</f>
        <v/>
      </c>
      <c r="F41" s="222" t="str">
        <f t="shared" si="12"/>
        <v/>
      </c>
      <c r="G41" s="223" t="str">
        <f t="shared" si="9"/>
        <v/>
      </c>
      <c r="H41" s="227"/>
      <c r="I41" s="227"/>
      <c r="J41" s="225"/>
    </row>
    <row r="42" spans="1:13" ht="14.25" thickBot="1" x14ac:dyDescent="0.3">
      <c r="A42" s="220"/>
      <c r="B42" s="226"/>
      <c r="C42" s="221"/>
      <c r="D42" s="222"/>
      <c r="E42" s="222"/>
      <c r="F42" s="222"/>
      <c r="G42" s="223"/>
      <c r="H42" s="227"/>
      <c r="I42" s="227"/>
      <c r="J42" s="225"/>
    </row>
    <row r="43" spans="1:13" ht="26.25" thickBot="1" x14ac:dyDescent="0.25">
      <c r="A43" s="215" t="s">
        <v>178</v>
      </c>
      <c r="B43" s="216" t="s">
        <v>187</v>
      </c>
      <c r="C43" s="216" t="s">
        <v>178</v>
      </c>
      <c r="D43" s="217" t="s">
        <v>180</v>
      </c>
      <c r="E43" s="217" t="s">
        <v>181</v>
      </c>
      <c r="F43" s="217" t="s">
        <v>182</v>
      </c>
      <c r="G43" s="217" t="s">
        <v>183</v>
      </c>
      <c r="H43" s="218" t="s">
        <v>184</v>
      </c>
      <c r="I43" s="219"/>
      <c r="J43" s="225"/>
    </row>
    <row r="44" spans="1:13" ht="13.5" x14ac:dyDescent="0.25">
      <c r="A44" s="220">
        <f>+A35</f>
        <v>5000</v>
      </c>
      <c r="B44" s="226" t="str">
        <f>IFERROR(VLOOKUP(H44,[1]SEMIELABORADOS!$A$2:$M$6000,2,0),"")</f>
        <v xml:space="preserve">AZUCAR REFINADA (BOLSA:1500g) </v>
      </c>
      <c r="C44" s="221">
        <f>+A44</f>
        <v>5000</v>
      </c>
      <c r="D44" s="222" t="str">
        <f>IFERROR(VLOOKUP(H44,[1]SEMIELABORADOS!$A$2:$M$6000,6,0),"")</f>
        <v>Gramo</v>
      </c>
      <c r="E44" s="222">
        <v>0.08</v>
      </c>
      <c r="F44" s="222">
        <f>IFERROR(E44*C44,"")</f>
        <v>400</v>
      </c>
      <c r="G44" s="223">
        <f>IFERROR(F44/$F$66,"")</f>
        <v>1.5717625934334272E-2</v>
      </c>
      <c r="H44" s="227" t="s">
        <v>225</v>
      </c>
      <c r="I44" s="219"/>
      <c r="J44" s="225"/>
    </row>
    <row r="45" spans="1:13" ht="13.5" hidden="1" x14ac:dyDescent="0.25">
      <c r="A45" s="220">
        <f t="shared" ref="A45:A50" si="13">+A36</f>
        <v>0</v>
      </c>
      <c r="B45" s="226" t="str">
        <f>IFERROR(VLOOKUP(H45,[1]SEMIELABORADOS!$A$2:$M$6000,2,0),"")</f>
        <v/>
      </c>
      <c r="C45" s="221">
        <f t="shared" ref="C45:C50" si="14">+A45</f>
        <v>0</v>
      </c>
      <c r="D45" s="222" t="str">
        <f>IFERROR(VLOOKUP(H45,[1]SEMIELABORADOS!$A$2:$M$6000,6,0),"")</f>
        <v/>
      </c>
      <c r="E45" s="222" t="str">
        <f>IFERROR(VLOOKUP(H45,[1]SEMIELABORADOS!$A$2:$M$65536,12,0),"")</f>
        <v/>
      </c>
      <c r="F45" s="222" t="str">
        <f t="shared" ref="F45:F50" si="15">IFERROR(E45*C45,"")</f>
        <v/>
      </c>
      <c r="G45" s="223" t="str">
        <f t="shared" ref="G45:G50" si="16">IFERROR(F45/$F$66,"")</f>
        <v/>
      </c>
      <c r="H45" s="227"/>
      <c r="I45" s="219"/>
      <c r="J45" s="225"/>
      <c r="M45" s="230"/>
    </row>
    <row r="46" spans="1:13" ht="13.5" hidden="1" x14ac:dyDescent="0.25">
      <c r="A46" s="220">
        <f t="shared" si="13"/>
        <v>0</v>
      </c>
      <c r="B46" s="226" t="str">
        <f>IFERROR(VLOOKUP(H46,[1]SEMIELABORADOS!$A$2:$M$6000,2,0),"")</f>
        <v/>
      </c>
      <c r="C46" s="221">
        <f t="shared" si="14"/>
        <v>0</v>
      </c>
      <c r="D46" s="222" t="str">
        <f>IFERROR(VLOOKUP(H46,[1]SEMIELABORADOS!$A$2:$M$6000,6,0),"")</f>
        <v/>
      </c>
      <c r="E46" s="222" t="str">
        <f>IFERROR(VLOOKUP(H46,[1]SEMIELABORADOS!$A$2:$M$65536,12,0),"")</f>
        <v/>
      </c>
      <c r="F46" s="222" t="str">
        <f t="shared" si="15"/>
        <v/>
      </c>
      <c r="G46" s="223" t="str">
        <f t="shared" si="16"/>
        <v/>
      </c>
      <c r="H46" s="227"/>
      <c r="I46" s="219"/>
      <c r="J46" s="225"/>
    </row>
    <row r="47" spans="1:13" ht="13.5" hidden="1" x14ac:dyDescent="0.25">
      <c r="A47" s="220">
        <f t="shared" si="13"/>
        <v>0</v>
      </c>
      <c r="B47" s="226" t="str">
        <f>IFERROR(VLOOKUP(H47,[1]SEMIELABORADOS!$A$2:$M$6000,2,0),"")</f>
        <v/>
      </c>
      <c r="C47" s="221">
        <f t="shared" si="14"/>
        <v>0</v>
      </c>
      <c r="D47" s="222" t="str">
        <f>IFERROR(VLOOKUP(H47,[1]SEMIELABORADOS!$A$2:$M$6000,6,0),"")</f>
        <v/>
      </c>
      <c r="E47" s="222" t="str">
        <f>IFERROR(VLOOKUP(H47,[1]SEMIELABORADOS!$A$2:$M$65536,12,0),"")</f>
        <v/>
      </c>
      <c r="F47" s="222" t="str">
        <f t="shared" si="15"/>
        <v/>
      </c>
      <c r="G47" s="223" t="str">
        <f t="shared" si="16"/>
        <v/>
      </c>
      <c r="H47" s="227"/>
      <c r="I47" s="219"/>
      <c r="J47" s="225"/>
    </row>
    <row r="48" spans="1:13" ht="13.5" hidden="1" x14ac:dyDescent="0.25">
      <c r="A48" s="220">
        <f t="shared" si="13"/>
        <v>0</v>
      </c>
      <c r="B48" s="226" t="str">
        <f>IFERROR(VLOOKUP(H48,[1]SEMIELABORADOS!$A$2:$M$6000,2,0),"")</f>
        <v/>
      </c>
      <c r="C48" s="221">
        <f t="shared" si="14"/>
        <v>0</v>
      </c>
      <c r="D48" s="222" t="str">
        <f>IFERROR(VLOOKUP(H48,[1]SEMIELABORADOS!$A$2:$M$6000,6,0),"")</f>
        <v/>
      </c>
      <c r="E48" s="222" t="str">
        <f>IFERROR(VLOOKUP(H48,[1]SEMIELABORADOS!$A$2:$M$65536,12,0),"")</f>
        <v/>
      </c>
      <c r="F48" s="222" t="str">
        <f t="shared" si="15"/>
        <v/>
      </c>
      <c r="G48" s="223" t="str">
        <f t="shared" si="16"/>
        <v/>
      </c>
      <c r="H48" s="227"/>
      <c r="I48" s="219"/>
      <c r="J48" s="225"/>
    </row>
    <row r="49" spans="1:17" ht="13.5" hidden="1" x14ac:dyDescent="0.25">
      <c r="A49" s="220">
        <f t="shared" si="13"/>
        <v>0</v>
      </c>
      <c r="B49" s="226" t="str">
        <f>IFERROR(VLOOKUP(H49,[1]SEMIELABORADOS!$A$2:$M$6000,2,0),"")</f>
        <v/>
      </c>
      <c r="C49" s="221">
        <f t="shared" si="14"/>
        <v>0</v>
      </c>
      <c r="D49" s="222" t="str">
        <f>IFERROR(VLOOKUP(H49,[1]SEMIELABORADOS!$A$2:$M$6000,6,0),"")</f>
        <v/>
      </c>
      <c r="E49" s="222" t="str">
        <f>IFERROR(VLOOKUP(H49,[1]SEMIELABORADOS!$A$2:$M$65536,12,0),"")</f>
        <v/>
      </c>
      <c r="F49" s="222" t="str">
        <f t="shared" si="15"/>
        <v/>
      </c>
      <c r="G49" s="223" t="str">
        <f t="shared" si="16"/>
        <v/>
      </c>
      <c r="H49" s="227"/>
      <c r="I49" s="219"/>
      <c r="J49" s="225"/>
    </row>
    <row r="50" spans="1:17" ht="13.5" hidden="1" x14ac:dyDescent="0.25">
      <c r="A50" s="220">
        <f t="shared" si="13"/>
        <v>0</v>
      </c>
      <c r="B50" s="226" t="str">
        <f>IFERROR(VLOOKUP(H50,[1]SEMIELABORADOS!$A$2:$M$6000,2,0),"")</f>
        <v/>
      </c>
      <c r="C50" s="221">
        <f t="shared" si="14"/>
        <v>0</v>
      </c>
      <c r="D50" s="222" t="str">
        <f>IFERROR(VLOOKUP(H50,[1]SEMIELABORADOS!$A$2:$M$6000,6,0),"")</f>
        <v/>
      </c>
      <c r="E50" s="222" t="str">
        <f>IFERROR(VLOOKUP(H50,[1]SEMIELABORADOS!$A$2:$M$65536,12,0),"")</f>
        <v/>
      </c>
      <c r="F50" s="222" t="str">
        <f t="shared" si="15"/>
        <v/>
      </c>
      <c r="G50" s="223" t="str">
        <f t="shared" si="16"/>
        <v/>
      </c>
      <c r="H50" s="226"/>
      <c r="I50" s="219"/>
      <c r="J50" s="225"/>
    </row>
    <row r="51" spans="1:17" ht="13.5" x14ac:dyDescent="0.25">
      <c r="A51" s="220">
        <v>1</v>
      </c>
      <c r="B51" s="226" t="s">
        <v>188</v>
      </c>
      <c r="C51" s="221">
        <f>+A51</f>
        <v>1</v>
      </c>
      <c r="D51" s="221" t="s">
        <v>189</v>
      </c>
      <c r="E51" s="222">
        <f>+F65</f>
        <v>770</v>
      </c>
      <c r="F51" s="222">
        <f>IFERROR(C51*E51,"")</f>
        <v>770</v>
      </c>
      <c r="G51" s="223">
        <f>IFERROR(F51/$F$66,"")</f>
        <v>3.0256429923593474E-2</v>
      </c>
      <c r="H51" s="231"/>
      <c r="I51" s="231"/>
      <c r="J51" s="225"/>
    </row>
    <row r="52" spans="1:17" ht="14.25" thickBot="1" x14ac:dyDescent="0.3">
      <c r="A52" s="220"/>
      <c r="B52" s="226"/>
      <c r="C52" s="221"/>
      <c r="D52" s="221"/>
      <c r="E52" s="222"/>
      <c r="F52" s="222"/>
      <c r="G52" s="223"/>
      <c r="H52" s="231"/>
      <c r="I52" s="231"/>
      <c r="J52" s="225"/>
    </row>
    <row r="53" spans="1:17" ht="13.5" thickBot="1" x14ac:dyDescent="0.25">
      <c r="A53" s="232"/>
      <c r="B53" s="737" t="s">
        <v>190</v>
      </c>
      <c r="C53" s="737"/>
      <c r="D53" s="737"/>
      <c r="E53" s="737"/>
      <c r="F53" s="234">
        <f>SUM(F8:F14,F17:F24)</f>
        <v>24044</v>
      </c>
      <c r="G53" s="223">
        <f>+F53/$F$66</f>
        <v>0.94478649491283306</v>
      </c>
      <c r="H53" s="235">
        <f>+F53/$D$60</f>
        <v>24044</v>
      </c>
      <c r="I53" s="235"/>
      <c r="J53" s="236"/>
      <c r="K53" s="237"/>
      <c r="L53" s="237"/>
      <c r="M53" s="237"/>
      <c r="N53" s="237"/>
      <c r="O53" s="237"/>
      <c r="P53" s="237"/>
      <c r="Q53" s="238"/>
    </row>
    <row r="54" spans="1:17" x14ac:dyDescent="0.2">
      <c r="A54" s="232"/>
      <c r="B54" s="737" t="s">
        <v>191</v>
      </c>
      <c r="C54" s="737"/>
      <c r="D54" s="737"/>
      <c r="E54" s="737"/>
      <c r="F54" s="234">
        <f>SUM(F27:F32,F35:F41)</f>
        <v>154.256</v>
      </c>
      <c r="G54" s="223">
        <f>+F54/$F$66</f>
        <v>6.0613452653166689E-3</v>
      </c>
      <c r="H54" s="235">
        <f>+F54/$D$60</f>
        <v>154.256</v>
      </c>
      <c r="I54" s="235"/>
      <c r="J54" s="239"/>
      <c r="K54" s="738" t="s">
        <v>192</v>
      </c>
      <c r="L54" s="739"/>
      <c r="M54" s="739"/>
      <c r="N54" s="739"/>
      <c r="O54" s="240">
        <f>+F55</f>
        <v>24198.256000000001</v>
      </c>
      <c r="P54" s="240"/>
      <c r="Q54" s="241"/>
    </row>
    <row r="55" spans="1:17" x14ac:dyDescent="0.2">
      <c r="A55" s="232"/>
      <c r="B55" s="737" t="s">
        <v>193</v>
      </c>
      <c r="C55" s="737"/>
      <c r="D55" s="737"/>
      <c r="E55" s="737"/>
      <c r="F55" s="234">
        <f>+F53+F54</f>
        <v>24198.256000000001</v>
      </c>
      <c r="G55" s="223">
        <f>+F55/$F$66</f>
        <v>0.95084784017814983</v>
      </c>
      <c r="H55" s="235">
        <f>+F55/$D$60</f>
        <v>24198.256000000001</v>
      </c>
      <c r="I55" s="235"/>
      <c r="J55" s="242"/>
      <c r="K55" s="243"/>
      <c r="M55" s="244" t="s">
        <v>194</v>
      </c>
      <c r="N55" s="245"/>
      <c r="O55" s="240">
        <f>+H56</f>
        <v>1170</v>
      </c>
      <c r="P55" s="240"/>
      <c r="Q55" s="241"/>
    </row>
    <row r="56" spans="1:17" ht="13.5" thickBot="1" x14ac:dyDescent="0.25">
      <c r="A56" s="232"/>
      <c r="B56" s="233"/>
      <c r="C56" s="737" t="s">
        <v>195</v>
      </c>
      <c r="D56" s="737"/>
      <c r="E56" s="737"/>
      <c r="F56" s="234">
        <f>SUM(F44:F51)</f>
        <v>1170</v>
      </c>
      <c r="G56" s="223">
        <f>+F56/$F$66</f>
        <v>4.5974055857927749E-2</v>
      </c>
      <c r="H56" s="235">
        <f>+F56/$D$60</f>
        <v>1170</v>
      </c>
      <c r="I56" s="235"/>
      <c r="J56" s="242"/>
      <c r="K56" s="243"/>
      <c r="L56" s="243"/>
      <c r="M56" s="243" t="s">
        <v>196</v>
      </c>
      <c r="N56" s="246"/>
      <c r="O56" s="240">
        <f>O54*N56</f>
        <v>0</v>
      </c>
      <c r="P56" s="240"/>
      <c r="Q56" s="241"/>
    </row>
    <row r="57" spans="1:17" ht="13.5" thickBot="1" x14ac:dyDescent="0.25">
      <c r="A57" s="232"/>
      <c r="B57" s="247"/>
      <c r="C57" s="247"/>
      <c r="D57" s="247"/>
      <c r="E57" s="247"/>
      <c r="F57" s="248"/>
      <c r="G57" s="223"/>
      <c r="H57" s="249"/>
      <c r="I57" s="235"/>
      <c r="J57" s="242"/>
      <c r="K57" s="250"/>
      <c r="M57" s="251" t="s">
        <v>197</v>
      </c>
      <c r="N57" s="252"/>
      <c r="O57" s="253">
        <f>SUM(O54:O56)</f>
        <v>25368.256000000001</v>
      </c>
      <c r="P57" s="254"/>
      <c r="Q57" s="241"/>
    </row>
    <row r="58" spans="1:17" x14ac:dyDescent="0.2">
      <c r="B58" s="740" t="s">
        <v>198</v>
      </c>
      <c r="C58" s="740"/>
      <c r="D58" s="255">
        <v>10700</v>
      </c>
      <c r="E58" s="256"/>
      <c r="G58" s="223"/>
      <c r="H58" s="249">
        <f>+H56/77</f>
        <v>15.194805194805195</v>
      </c>
      <c r="I58" s="257"/>
      <c r="J58" s="242"/>
      <c r="K58" s="250"/>
      <c r="L58" s="243"/>
      <c r="M58" s="243" t="s">
        <v>199</v>
      </c>
      <c r="N58" s="258"/>
      <c r="O58" s="240">
        <f>+H59</f>
        <v>972.46753246753246</v>
      </c>
      <c r="P58" s="240"/>
      <c r="Q58" s="241"/>
    </row>
    <row r="59" spans="1:17" x14ac:dyDescent="0.2">
      <c r="B59" s="740" t="s">
        <v>200</v>
      </c>
      <c r="C59" s="740"/>
      <c r="D59" s="259">
        <v>10700</v>
      </c>
      <c r="E59" s="256"/>
      <c r="G59" s="223"/>
      <c r="H59" s="249">
        <f>+H58*64</f>
        <v>972.46753246753246</v>
      </c>
      <c r="I59" s="257"/>
      <c r="J59" s="242"/>
      <c r="K59" s="250"/>
      <c r="L59" s="243"/>
      <c r="M59" s="741" t="s">
        <v>197</v>
      </c>
      <c r="N59" s="741"/>
      <c r="O59" s="240">
        <f>SUM(O57:O58)</f>
        <v>26340.723532467535</v>
      </c>
      <c r="P59" s="240"/>
      <c r="Q59" s="241"/>
    </row>
    <row r="60" spans="1:17" ht="13.5" thickBot="1" x14ac:dyDescent="0.25">
      <c r="B60" s="733" t="s">
        <v>201</v>
      </c>
      <c r="C60" s="733"/>
      <c r="D60" s="255">
        <f>+D58/D59</f>
        <v>1</v>
      </c>
      <c r="E60" s="256"/>
      <c r="F60" s="260"/>
      <c r="G60" s="223"/>
      <c r="H60" s="249"/>
      <c r="I60" s="257"/>
      <c r="J60" s="242"/>
      <c r="K60" s="250"/>
      <c r="L60" s="741"/>
      <c r="M60" s="741"/>
      <c r="N60" s="258"/>
      <c r="O60" s="240">
        <f>+O59*N60</f>
        <v>0</v>
      </c>
      <c r="P60" s="240"/>
      <c r="Q60" s="241"/>
    </row>
    <row r="61" spans="1:17" ht="13.5" thickBot="1" x14ac:dyDescent="0.25">
      <c r="B61" s="733" t="s">
        <v>202</v>
      </c>
      <c r="C61" s="733"/>
      <c r="D61" s="261"/>
      <c r="E61" s="256"/>
      <c r="F61" s="260"/>
      <c r="G61" s="223"/>
      <c r="H61" s="249"/>
      <c r="I61" s="257"/>
      <c r="J61" s="242"/>
      <c r="K61" s="734" t="s">
        <v>203</v>
      </c>
      <c r="L61" s="735"/>
      <c r="M61" s="735"/>
      <c r="N61" s="736"/>
      <c r="O61" s="253">
        <f>SUM(O59:O60)</f>
        <v>26340.723532467535</v>
      </c>
      <c r="P61" s="262" t="s">
        <v>204</v>
      </c>
      <c r="Q61" s="241"/>
    </row>
    <row r="62" spans="1:17" ht="13.5" thickBot="1" x14ac:dyDescent="0.25">
      <c r="C62" s="232" t="s">
        <v>205</v>
      </c>
      <c r="D62" s="263"/>
      <c r="E62" s="206" t="s">
        <v>206</v>
      </c>
      <c r="F62" s="264" t="s">
        <v>207</v>
      </c>
      <c r="G62" s="223"/>
      <c r="H62" s="249"/>
      <c r="I62" s="257"/>
      <c r="J62" s="265"/>
      <c r="K62" s="266"/>
      <c r="L62" s="747" t="s">
        <v>208</v>
      </c>
      <c r="M62" s="747"/>
      <c r="N62" s="747"/>
      <c r="O62" s="267">
        <f>+O61/D60</f>
        <v>26340.723532467535</v>
      </c>
      <c r="P62" s="268">
        <f>+O62/D59</f>
        <v>2.4617498628474332</v>
      </c>
      <c r="Q62" s="269"/>
    </row>
    <row r="63" spans="1:17" ht="13.5" thickBot="1" x14ac:dyDescent="0.25">
      <c r="B63" s="748" t="s">
        <v>193</v>
      </c>
      <c r="C63" s="748"/>
      <c r="D63" s="748"/>
      <c r="E63" s="270">
        <f>+F63/F63</f>
        <v>1</v>
      </c>
      <c r="F63" s="271">
        <f>SUM(F55)</f>
        <v>24198.256000000001</v>
      </c>
      <c r="G63" s="223">
        <f>+F63/$F$66</f>
        <v>0.95084784017814983</v>
      </c>
      <c r="H63" s="249"/>
      <c r="I63" s="257"/>
      <c r="K63" s="749"/>
      <c r="L63" s="750"/>
      <c r="M63" s="750"/>
      <c r="N63" s="750"/>
      <c r="O63" s="272"/>
      <c r="P63" s="273"/>
    </row>
    <row r="64" spans="1:17" ht="13.5" thickBot="1" x14ac:dyDescent="0.25">
      <c r="B64" s="751" t="s">
        <v>209</v>
      </c>
      <c r="C64" s="751"/>
      <c r="D64" s="751"/>
      <c r="E64" s="274">
        <v>0.02</v>
      </c>
      <c r="F64" s="271">
        <f>+F53*E64</f>
        <v>480.88</v>
      </c>
      <c r="G64" s="223">
        <f>+F64/$F$66</f>
        <v>1.8895729898256663E-2</v>
      </c>
      <c r="H64" s="235"/>
      <c r="I64" s="257"/>
      <c r="J64" s="275"/>
      <c r="O64" s="276"/>
      <c r="P64" s="233"/>
    </row>
    <row r="65" spans="2:13" ht="13.5" thickBot="1" x14ac:dyDescent="0.25">
      <c r="B65" s="752" t="s">
        <v>210</v>
      </c>
      <c r="C65" s="753"/>
      <c r="D65" s="277">
        <v>10</v>
      </c>
      <c r="E65" s="278">
        <v>77</v>
      </c>
      <c r="F65" s="271">
        <f>+E65*D65</f>
        <v>770</v>
      </c>
      <c r="G65" s="223">
        <f>+F65/$F$66</f>
        <v>3.0256429923593474E-2</v>
      </c>
      <c r="H65" s="235"/>
      <c r="I65" s="235"/>
      <c r="J65" s="225"/>
    </row>
    <row r="66" spans="2:13" ht="13.5" thickBot="1" x14ac:dyDescent="0.25">
      <c r="B66" s="754" t="s">
        <v>211</v>
      </c>
      <c r="C66" s="755"/>
      <c r="D66" s="755"/>
      <c r="E66" s="756"/>
      <c r="F66" s="248">
        <f>SUM(F63:F65)</f>
        <v>25449.136000000002</v>
      </c>
      <c r="G66" s="223">
        <f>+F66/$F$66</f>
        <v>1</v>
      </c>
      <c r="H66" s="757"/>
      <c r="I66" s="235"/>
      <c r="J66" s="225"/>
      <c r="M66" s="208" t="s">
        <v>212</v>
      </c>
    </row>
    <row r="67" spans="2:13" x14ac:dyDescent="0.2">
      <c r="C67" s="230"/>
      <c r="D67" s="230"/>
      <c r="E67" s="280"/>
      <c r="F67" s="271"/>
      <c r="G67" s="223"/>
      <c r="H67" s="757"/>
      <c r="I67" s="279"/>
      <c r="J67" s="208"/>
      <c r="M67" s="208" t="s">
        <v>213</v>
      </c>
    </row>
    <row r="68" spans="2:13" ht="13.5" thickBot="1" x14ac:dyDescent="0.25">
      <c r="B68" s="742" t="s">
        <v>214</v>
      </c>
      <c r="C68" s="742"/>
      <c r="D68" s="742"/>
      <c r="E68" s="742"/>
      <c r="F68" s="742"/>
      <c r="G68" s="223"/>
      <c r="H68" s="282"/>
      <c r="I68" s="279"/>
      <c r="J68" s="208"/>
      <c r="M68" s="208" t="s">
        <v>215</v>
      </c>
    </row>
    <row r="69" spans="2:13" ht="13.5" thickBot="1" x14ac:dyDescent="0.25">
      <c r="B69" s="283" t="s">
        <v>216</v>
      </c>
      <c r="C69" s="284">
        <f>+F53</f>
        <v>24044</v>
      </c>
      <c r="D69" s="284">
        <f>+D58</f>
        <v>10700</v>
      </c>
      <c r="E69" s="285">
        <f>+C69/D69</f>
        <v>2.2471028037383176</v>
      </c>
      <c r="F69" s="223"/>
      <c r="G69" s="282"/>
      <c r="H69" s="225"/>
      <c r="I69" s="282"/>
      <c r="J69" s="208"/>
    </row>
    <row r="70" spans="2:13" x14ac:dyDescent="0.2">
      <c r="B70" s="286"/>
      <c r="C70" s="287"/>
      <c r="D70" s="288"/>
      <c r="E70" s="271"/>
      <c r="F70" s="223"/>
      <c r="G70" s="282"/>
      <c r="H70" s="225"/>
      <c r="I70" s="225"/>
      <c r="J70" s="208"/>
    </row>
    <row r="71" spans="2:13" x14ac:dyDescent="0.2">
      <c r="B71" s="283" t="s">
        <v>217</v>
      </c>
      <c r="C71" s="284">
        <f>SUM(F63:F64)</f>
        <v>24679.136000000002</v>
      </c>
      <c r="D71" s="284">
        <f>+D58</f>
        <v>10700</v>
      </c>
      <c r="E71" s="289">
        <f>+C71/D71</f>
        <v>2.3064613084112153</v>
      </c>
      <c r="F71" s="223"/>
      <c r="G71" s="282"/>
      <c r="H71" s="225"/>
      <c r="I71" s="225"/>
      <c r="J71" s="208"/>
    </row>
    <row r="72" spans="2:13" x14ac:dyDescent="0.2">
      <c r="B72" s="283"/>
      <c r="C72" s="284"/>
      <c r="D72" s="284"/>
      <c r="E72" s="289"/>
      <c r="F72" s="223"/>
      <c r="G72" s="282"/>
      <c r="H72" s="225"/>
      <c r="I72" s="225"/>
      <c r="J72" s="208"/>
    </row>
    <row r="73" spans="2:13" ht="13.5" thickBot="1" x14ac:dyDescent="0.25">
      <c r="B73" s="283" t="s">
        <v>218</v>
      </c>
      <c r="C73" s="284">
        <f>+F65</f>
        <v>770</v>
      </c>
      <c r="D73" s="284">
        <f>+D58</f>
        <v>10700</v>
      </c>
      <c r="E73" s="289">
        <f>+C73/D73</f>
        <v>7.1962616822429909E-2</v>
      </c>
      <c r="F73" s="223"/>
      <c r="G73" s="282"/>
      <c r="H73" s="225"/>
      <c r="I73" s="225"/>
      <c r="J73" s="208"/>
    </row>
    <row r="74" spans="2:13" ht="13.5" thickBot="1" x14ac:dyDescent="0.25">
      <c r="B74" s="283" t="s">
        <v>219</v>
      </c>
      <c r="C74" s="284">
        <f>+F56</f>
        <v>1170</v>
      </c>
      <c r="D74" s="284">
        <f>+D73</f>
        <v>10700</v>
      </c>
      <c r="E74" s="285">
        <f>+C74/D74</f>
        <v>0.10934579439252337</v>
      </c>
      <c r="F74" s="223"/>
      <c r="G74" s="282"/>
      <c r="H74" s="225"/>
      <c r="I74" s="225"/>
      <c r="J74" s="208"/>
    </row>
    <row r="75" spans="2:13" ht="13.5" thickBot="1" x14ac:dyDescent="0.25">
      <c r="B75" s="247"/>
      <c r="C75" s="248"/>
      <c r="D75" s="248"/>
      <c r="E75" s="289"/>
      <c r="F75" s="223"/>
      <c r="G75" s="282"/>
      <c r="H75" s="225"/>
      <c r="I75" s="225"/>
      <c r="J75" s="208"/>
    </row>
    <row r="76" spans="2:13" ht="13.5" thickBot="1" x14ac:dyDescent="0.25">
      <c r="B76" s="283" t="s">
        <v>220</v>
      </c>
      <c r="C76" s="284">
        <f>+F54</f>
        <v>154.256</v>
      </c>
      <c r="D76" s="284">
        <f>+D74</f>
        <v>10700</v>
      </c>
      <c r="E76" s="285">
        <f>+C76/D76</f>
        <v>1.4416448598130842E-2</v>
      </c>
      <c r="F76" s="223"/>
      <c r="G76" s="282"/>
      <c r="H76" s="225"/>
      <c r="I76" s="225"/>
      <c r="J76" s="225"/>
    </row>
    <row r="77" spans="2:13" ht="13.5" thickBot="1" x14ac:dyDescent="0.25">
      <c r="B77" s="247"/>
      <c r="C77" s="248"/>
      <c r="D77" s="248"/>
      <c r="E77" s="289"/>
      <c r="F77" s="223"/>
      <c r="G77" s="282"/>
      <c r="H77" s="225"/>
      <c r="I77" s="225"/>
    </row>
    <row r="78" spans="2:13" ht="13.5" thickBot="1" x14ac:dyDescent="0.25">
      <c r="B78" s="743" t="s">
        <v>221</v>
      </c>
      <c r="C78" s="744"/>
      <c r="D78" s="745"/>
      <c r="E78" s="285">
        <f>+E69+E74</f>
        <v>2.3564485981308412</v>
      </c>
      <c r="G78" s="223"/>
      <c r="H78" s="282"/>
      <c r="I78" s="225"/>
      <c r="J78" s="289"/>
    </row>
    <row r="79" spans="2:13" x14ac:dyDescent="0.2">
      <c r="I79" s="282"/>
      <c r="J79" s="208"/>
    </row>
    <row r="80" spans="2:13" ht="13.5" thickBot="1" x14ac:dyDescent="0.25">
      <c r="B80" s="742" t="s">
        <v>222</v>
      </c>
      <c r="C80" s="742"/>
      <c r="D80" s="742"/>
      <c r="E80" s="742"/>
      <c r="F80" s="742"/>
      <c r="G80" s="223"/>
      <c r="H80" s="282"/>
      <c r="J80" s="208"/>
    </row>
    <row r="81" spans="1:10" ht="13.5" thickBot="1" x14ac:dyDescent="0.25">
      <c r="B81" s="283" t="s">
        <v>216</v>
      </c>
      <c r="C81" s="284">
        <f>+C69</f>
        <v>24044</v>
      </c>
      <c r="D81" s="284">
        <f>+D60</f>
        <v>1</v>
      </c>
      <c r="E81" s="285">
        <f>+C81/D81</f>
        <v>24044</v>
      </c>
      <c r="F81" s="223"/>
      <c r="G81" s="282"/>
      <c r="H81" s="225"/>
      <c r="I81" s="282"/>
      <c r="J81" s="208"/>
    </row>
    <row r="82" spans="1:10" x14ac:dyDescent="0.2">
      <c r="B82" s="286"/>
      <c r="C82" s="287"/>
      <c r="D82" s="288"/>
      <c r="E82" s="271"/>
      <c r="F82" s="223"/>
      <c r="G82" s="282"/>
      <c r="H82" s="225"/>
      <c r="I82" s="225"/>
      <c r="J82" s="208"/>
    </row>
    <row r="83" spans="1:10" x14ac:dyDescent="0.2">
      <c r="B83" s="283" t="s">
        <v>217</v>
      </c>
      <c r="C83" s="284">
        <f>+C71</f>
        <v>24679.136000000002</v>
      </c>
      <c r="D83" s="284">
        <f>+D60</f>
        <v>1</v>
      </c>
      <c r="E83" s="289">
        <f>+C83/D83</f>
        <v>24679.136000000002</v>
      </c>
      <c r="F83" s="223"/>
      <c r="G83" s="282"/>
      <c r="H83" s="225"/>
      <c r="I83" s="225"/>
      <c r="J83" s="208"/>
    </row>
    <row r="84" spans="1:10" x14ac:dyDescent="0.2">
      <c r="B84" s="283"/>
      <c r="C84" s="284"/>
      <c r="D84" s="284"/>
      <c r="E84" s="289"/>
      <c r="F84" s="223"/>
      <c r="G84" s="282"/>
      <c r="H84" s="225"/>
      <c r="I84" s="225"/>
      <c r="J84" s="208"/>
    </row>
    <row r="85" spans="1:10" ht="13.5" thickBot="1" x14ac:dyDescent="0.25">
      <c r="B85" s="283" t="s">
        <v>219</v>
      </c>
      <c r="C85" s="284">
        <f>+C73</f>
        <v>770</v>
      </c>
      <c r="D85" s="284">
        <f>+D60</f>
        <v>1</v>
      </c>
      <c r="E85" s="289">
        <f>+C85/D85</f>
        <v>770</v>
      </c>
      <c r="F85" s="291"/>
      <c r="G85" s="281"/>
      <c r="H85" s="207"/>
      <c r="I85" s="225"/>
    </row>
    <row r="86" spans="1:10" ht="13.5" thickBot="1" x14ac:dyDescent="0.25">
      <c r="B86" s="283" t="s">
        <v>219</v>
      </c>
      <c r="C86" s="284">
        <f>+C74</f>
        <v>1170</v>
      </c>
      <c r="D86" s="284">
        <f>+D85</f>
        <v>1</v>
      </c>
      <c r="E86" s="285">
        <f>+C86/D86</f>
        <v>1170</v>
      </c>
      <c r="F86" s="290"/>
      <c r="G86" s="281"/>
      <c r="H86" s="207"/>
      <c r="I86" s="207"/>
    </row>
    <row r="87" spans="1:10" x14ac:dyDescent="0.2">
      <c r="I87" s="207"/>
    </row>
    <row r="88" spans="1:10" x14ac:dyDescent="0.2">
      <c r="A88" s="746"/>
      <c r="B88" s="746"/>
      <c r="C88" s="292"/>
      <c r="D88" s="292"/>
      <c r="E88" s="293"/>
      <c r="G88" s="294"/>
    </row>
    <row r="89" spans="1:10" x14ac:dyDescent="0.2">
      <c r="A89" s="226"/>
      <c r="B89" s="295"/>
      <c r="C89" s="296"/>
      <c r="D89" s="296"/>
      <c r="E89" s="297"/>
      <c r="G89" s="294"/>
    </row>
    <row r="90" spans="1:10" x14ac:dyDescent="0.2">
      <c r="A90" s="226"/>
      <c r="B90" s="295"/>
      <c r="C90" s="298"/>
      <c r="D90" s="298"/>
      <c r="E90" s="226"/>
      <c r="G90" s="294"/>
    </row>
    <row r="91" spans="1:10" x14ac:dyDescent="0.2">
      <c r="A91" s="226"/>
      <c r="B91" s="295"/>
      <c r="C91" s="299"/>
      <c r="D91" s="299"/>
      <c r="E91" s="226"/>
      <c r="G91" s="294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B9AEE-1A21-4EFA-8FFA-E440799C4B98}">
  <dimension ref="A1:Q91"/>
  <sheetViews>
    <sheetView topLeftCell="A7" workbookViewId="0">
      <selection activeCell="B66" sqref="B66:E66"/>
    </sheetView>
  </sheetViews>
  <sheetFormatPr baseColWidth="10" defaultColWidth="8.42578125" defaultRowHeight="12.75" x14ac:dyDescent="0.2"/>
  <cols>
    <col min="1" max="1" width="10" style="208" bestFit="1" customWidth="1"/>
    <col min="2" max="2" width="44.28515625" style="208" bestFit="1" customWidth="1"/>
    <col min="3" max="3" width="10.42578125" style="208" bestFit="1" customWidth="1"/>
    <col min="4" max="4" width="10.42578125" style="208" customWidth="1"/>
    <col min="5" max="5" width="9.7109375" style="208" bestFit="1" customWidth="1"/>
    <col min="6" max="6" width="9.5703125" style="208" bestFit="1" customWidth="1"/>
    <col min="7" max="7" width="9.5703125" style="290" bestFit="1" customWidth="1"/>
    <col min="8" max="8" width="10.42578125" style="281" bestFit="1" customWidth="1"/>
    <col min="9" max="9" width="4.5703125" style="281" customWidth="1"/>
    <col min="10" max="10" width="1.85546875" style="207" customWidth="1"/>
    <col min="11" max="11" width="7" style="208" bestFit="1" customWidth="1"/>
    <col min="12" max="12" width="6.28515625" style="208" customWidth="1"/>
    <col min="13" max="13" width="20.42578125" style="208" customWidth="1"/>
    <col min="14" max="14" width="6.42578125" style="208" bestFit="1" customWidth="1"/>
    <col min="15" max="16" width="8.42578125" style="208"/>
    <col min="17" max="17" width="3.28515625" style="208" customWidth="1"/>
    <col min="18" max="256" width="8.42578125" style="208"/>
    <col min="257" max="257" width="10" style="208" bestFit="1" customWidth="1"/>
    <col min="258" max="258" width="44.28515625" style="208" bestFit="1" customWidth="1"/>
    <col min="259" max="259" width="10.42578125" style="208" bestFit="1" customWidth="1"/>
    <col min="260" max="260" width="10.42578125" style="208" customWidth="1"/>
    <col min="261" max="261" width="9.7109375" style="208" bestFit="1" customWidth="1"/>
    <col min="262" max="263" width="9.5703125" style="208" bestFit="1" customWidth="1"/>
    <col min="264" max="264" width="10.42578125" style="208" bestFit="1" customWidth="1"/>
    <col min="265" max="265" width="4.5703125" style="208" customWidth="1"/>
    <col min="266" max="266" width="1.85546875" style="208" customWidth="1"/>
    <col min="267" max="267" width="7" style="208" bestFit="1" customWidth="1"/>
    <col min="268" max="268" width="6.28515625" style="208" customWidth="1"/>
    <col min="269" max="269" width="20.42578125" style="208" customWidth="1"/>
    <col min="270" max="270" width="6.42578125" style="208" bestFit="1" customWidth="1"/>
    <col min="271" max="272" width="8.42578125" style="208"/>
    <col min="273" max="273" width="3.28515625" style="208" customWidth="1"/>
    <col min="274" max="512" width="8.42578125" style="208"/>
    <col min="513" max="513" width="10" style="208" bestFit="1" customWidth="1"/>
    <col min="514" max="514" width="44.28515625" style="208" bestFit="1" customWidth="1"/>
    <col min="515" max="515" width="10.42578125" style="208" bestFit="1" customWidth="1"/>
    <col min="516" max="516" width="10.42578125" style="208" customWidth="1"/>
    <col min="517" max="517" width="9.7109375" style="208" bestFit="1" customWidth="1"/>
    <col min="518" max="519" width="9.5703125" style="208" bestFit="1" customWidth="1"/>
    <col min="520" max="520" width="10.42578125" style="208" bestFit="1" customWidth="1"/>
    <col min="521" max="521" width="4.5703125" style="208" customWidth="1"/>
    <col min="522" max="522" width="1.85546875" style="208" customWidth="1"/>
    <col min="523" max="523" width="7" style="208" bestFit="1" customWidth="1"/>
    <col min="524" max="524" width="6.28515625" style="208" customWidth="1"/>
    <col min="525" max="525" width="20.42578125" style="208" customWidth="1"/>
    <col min="526" max="526" width="6.42578125" style="208" bestFit="1" customWidth="1"/>
    <col min="527" max="528" width="8.42578125" style="208"/>
    <col min="529" max="529" width="3.28515625" style="208" customWidth="1"/>
    <col min="530" max="768" width="8.42578125" style="208"/>
    <col min="769" max="769" width="10" style="208" bestFit="1" customWidth="1"/>
    <col min="770" max="770" width="44.28515625" style="208" bestFit="1" customWidth="1"/>
    <col min="771" max="771" width="10.42578125" style="208" bestFit="1" customWidth="1"/>
    <col min="772" max="772" width="10.42578125" style="208" customWidth="1"/>
    <col min="773" max="773" width="9.7109375" style="208" bestFit="1" customWidth="1"/>
    <col min="774" max="775" width="9.5703125" style="208" bestFit="1" customWidth="1"/>
    <col min="776" max="776" width="10.42578125" style="208" bestFit="1" customWidth="1"/>
    <col min="777" max="777" width="4.5703125" style="208" customWidth="1"/>
    <col min="778" max="778" width="1.85546875" style="208" customWidth="1"/>
    <col min="779" max="779" width="7" style="208" bestFit="1" customWidth="1"/>
    <col min="780" max="780" width="6.28515625" style="208" customWidth="1"/>
    <col min="781" max="781" width="20.42578125" style="208" customWidth="1"/>
    <col min="782" max="782" width="6.42578125" style="208" bestFit="1" customWidth="1"/>
    <col min="783" max="784" width="8.42578125" style="208"/>
    <col min="785" max="785" width="3.28515625" style="208" customWidth="1"/>
    <col min="786" max="1024" width="8.42578125" style="208"/>
    <col min="1025" max="1025" width="10" style="208" bestFit="1" customWidth="1"/>
    <col min="1026" max="1026" width="44.28515625" style="208" bestFit="1" customWidth="1"/>
    <col min="1027" max="1027" width="10.42578125" style="208" bestFit="1" customWidth="1"/>
    <col min="1028" max="1028" width="10.42578125" style="208" customWidth="1"/>
    <col min="1029" max="1029" width="9.7109375" style="208" bestFit="1" customWidth="1"/>
    <col min="1030" max="1031" width="9.5703125" style="208" bestFit="1" customWidth="1"/>
    <col min="1032" max="1032" width="10.42578125" style="208" bestFit="1" customWidth="1"/>
    <col min="1033" max="1033" width="4.5703125" style="208" customWidth="1"/>
    <col min="1034" max="1034" width="1.85546875" style="208" customWidth="1"/>
    <col min="1035" max="1035" width="7" style="208" bestFit="1" customWidth="1"/>
    <col min="1036" max="1036" width="6.28515625" style="208" customWidth="1"/>
    <col min="1037" max="1037" width="20.42578125" style="208" customWidth="1"/>
    <col min="1038" max="1038" width="6.42578125" style="208" bestFit="1" customWidth="1"/>
    <col min="1039" max="1040" width="8.42578125" style="208"/>
    <col min="1041" max="1041" width="3.28515625" style="208" customWidth="1"/>
    <col min="1042" max="1280" width="8.42578125" style="208"/>
    <col min="1281" max="1281" width="10" style="208" bestFit="1" customWidth="1"/>
    <col min="1282" max="1282" width="44.28515625" style="208" bestFit="1" customWidth="1"/>
    <col min="1283" max="1283" width="10.42578125" style="208" bestFit="1" customWidth="1"/>
    <col min="1284" max="1284" width="10.42578125" style="208" customWidth="1"/>
    <col min="1285" max="1285" width="9.7109375" style="208" bestFit="1" customWidth="1"/>
    <col min="1286" max="1287" width="9.5703125" style="208" bestFit="1" customWidth="1"/>
    <col min="1288" max="1288" width="10.42578125" style="208" bestFit="1" customWidth="1"/>
    <col min="1289" max="1289" width="4.5703125" style="208" customWidth="1"/>
    <col min="1290" max="1290" width="1.85546875" style="208" customWidth="1"/>
    <col min="1291" max="1291" width="7" style="208" bestFit="1" customWidth="1"/>
    <col min="1292" max="1292" width="6.28515625" style="208" customWidth="1"/>
    <col min="1293" max="1293" width="20.42578125" style="208" customWidth="1"/>
    <col min="1294" max="1294" width="6.42578125" style="208" bestFit="1" customWidth="1"/>
    <col min="1295" max="1296" width="8.42578125" style="208"/>
    <col min="1297" max="1297" width="3.28515625" style="208" customWidth="1"/>
    <col min="1298" max="1536" width="8.42578125" style="208"/>
    <col min="1537" max="1537" width="10" style="208" bestFit="1" customWidth="1"/>
    <col min="1538" max="1538" width="44.28515625" style="208" bestFit="1" customWidth="1"/>
    <col min="1539" max="1539" width="10.42578125" style="208" bestFit="1" customWidth="1"/>
    <col min="1540" max="1540" width="10.42578125" style="208" customWidth="1"/>
    <col min="1541" max="1541" width="9.7109375" style="208" bestFit="1" customWidth="1"/>
    <col min="1542" max="1543" width="9.5703125" style="208" bestFit="1" customWidth="1"/>
    <col min="1544" max="1544" width="10.42578125" style="208" bestFit="1" customWidth="1"/>
    <col min="1545" max="1545" width="4.5703125" style="208" customWidth="1"/>
    <col min="1546" max="1546" width="1.85546875" style="208" customWidth="1"/>
    <col min="1547" max="1547" width="7" style="208" bestFit="1" customWidth="1"/>
    <col min="1548" max="1548" width="6.28515625" style="208" customWidth="1"/>
    <col min="1549" max="1549" width="20.42578125" style="208" customWidth="1"/>
    <col min="1550" max="1550" width="6.42578125" style="208" bestFit="1" customWidth="1"/>
    <col min="1551" max="1552" width="8.42578125" style="208"/>
    <col min="1553" max="1553" width="3.28515625" style="208" customWidth="1"/>
    <col min="1554" max="1792" width="8.42578125" style="208"/>
    <col min="1793" max="1793" width="10" style="208" bestFit="1" customWidth="1"/>
    <col min="1794" max="1794" width="44.28515625" style="208" bestFit="1" customWidth="1"/>
    <col min="1795" max="1795" width="10.42578125" style="208" bestFit="1" customWidth="1"/>
    <col min="1796" max="1796" width="10.42578125" style="208" customWidth="1"/>
    <col min="1797" max="1797" width="9.7109375" style="208" bestFit="1" customWidth="1"/>
    <col min="1798" max="1799" width="9.5703125" style="208" bestFit="1" customWidth="1"/>
    <col min="1800" max="1800" width="10.42578125" style="208" bestFit="1" customWidth="1"/>
    <col min="1801" max="1801" width="4.5703125" style="208" customWidth="1"/>
    <col min="1802" max="1802" width="1.85546875" style="208" customWidth="1"/>
    <col min="1803" max="1803" width="7" style="208" bestFit="1" customWidth="1"/>
    <col min="1804" max="1804" width="6.28515625" style="208" customWidth="1"/>
    <col min="1805" max="1805" width="20.42578125" style="208" customWidth="1"/>
    <col min="1806" max="1806" width="6.42578125" style="208" bestFit="1" customWidth="1"/>
    <col min="1807" max="1808" width="8.42578125" style="208"/>
    <col min="1809" max="1809" width="3.28515625" style="208" customWidth="1"/>
    <col min="1810" max="2048" width="8.42578125" style="208"/>
    <col min="2049" max="2049" width="10" style="208" bestFit="1" customWidth="1"/>
    <col min="2050" max="2050" width="44.28515625" style="208" bestFit="1" customWidth="1"/>
    <col min="2051" max="2051" width="10.42578125" style="208" bestFit="1" customWidth="1"/>
    <col min="2052" max="2052" width="10.42578125" style="208" customWidth="1"/>
    <col min="2053" max="2053" width="9.7109375" style="208" bestFit="1" customWidth="1"/>
    <col min="2054" max="2055" width="9.5703125" style="208" bestFit="1" customWidth="1"/>
    <col min="2056" max="2056" width="10.42578125" style="208" bestFit="1" customWidth="1"/>
    <col min="2057" max="2057" width="4.5703125" style="208" customWidth="1"/>
    <col min="2058" max="2058" width="1.85546875" style="208" customWidth="1"/>
    <col min="2059" max="2059" width="7" style="208" bestFit="1" customWidth="1"/>
    <col min="2060" max="2060" width="6.28515625" style="208" customWidth="1"/>
    <col min="2061" max="2061" width="20.42578125" style="208" customWidth="1"/>
    <col min="2062" max="2062" width="6.42578125" style="208" bestFit="1" customWidth="1"/>
    <col min="2063" max="2064" width="8.42578125" style="208"/>
    <col min="2065" max="2065" width="3.28515625" style="208" customWidth="1"/>
    <col min="2066" max="2304" width="8.42578125" style="208"/>
    <col min="2305" max="2305" width="10" style="208" bestFit="1" customWidth="1"/>
    <col min="2306" max="2306" width="44.28515625" style="208" bestFit="1" customWidth="1"/>
    <col min="2307" max="2307" width="10.42578125" style="208" bestFit="1" customWidth="1"/>
    <col min="2308" max="2308" width="10.42578125" style="208" customWidth="1"/>
    <col min="2309" max="2309" width="9.7109375" style="208" bestFit="1" customWidth="1"/>
    <col min="2310" max="2311" width="9.5703125" style="208" bestFit="1" customWidth="1"/>
    <col min="2312" max="2312" width="10.42578125" style="208" bestFit="1" customWidth="1"/>
    <col min="2313" max="2313" width="4.5703125" style="208" customWidth="1"/>
    <col min="2314" max="2314" width="1.85546875" style="208" customWidth="1"/>
    <col min="2315" max="2315" width="7" style="208" bestFit="1" customWidth="1"/>
    <col min="2316" max="2316" width="6.28515625" style="208" customWidth="1"/>
    <col min="2317" max="2317" width="20.42578125" style="208" customWidth="1"/>
    <col min="2318" max="2318" width="6.42578125" style="208" bestFit="1" customWidth="1"/>
    <col min="2319" max="2320" width="8.42578125" style="208"/>
    <col min="2321" max="2321" width="3.28515625" style="208" customWidth="1"/>
    <col min="2322" max="2560" width="8.42578125" style="208"/>
    <col min="2561" max="2561" width="10" style="208" bestFit="1" customWidth="1"/>
    <col min="2562" max="2562" width="44.28515625" style="208" bestFit="1" customWidth="1"/>
    <col min="2563" max="2563" width="10.42578125" style="208" bestFit="1" customWidth="1"/>
    <col min="2564" max="2564" width="10.42578125" style="208" customWidth="1"/>
    <col min="2565" max="2565" width="9.7109375" style="208" bestFit="1" customWidth="1"/>
    <col min="2566" max="2567" width="9.5703125" style="208" bestFit="1" customWidth="1"/>
    <col min="2568" max="2568" width="10.42578125" style="208" bestFit="1" customWidth="1"/>
    <col min="2569" max="2569" width="4.5703125" style="208" customWidth="1"/>
    <col min="2570" max="2570" width="1.85546875" style="208" customWidth="1"/>
    <col min="2571" max="2571" width="7" style="208" bestFit="1" customWidth="1"/>
    <col min="2572" max="2572" width="6.28515625" style="208" customWidth="1"/>
    <col min="2573" max="2573" width="20.42578125" style="208" customWidth="1"/>
    <col min="2574" max="2574" width="6.42578125" style="208" bestFit="1" customWidth="1"/>
    <col min="2575" max="2576" width="8.42578125" style="208"/>
    <col min="2577" max="2577" width="3.28515625" style="208" customWidth="1"/>
    <col min="2578" max="2816" width="8.42578125" style="208"/>
    <col min="2817" max="2817" width="10" style="208" bestFit="1" customWidth="1"/>
    <col min="2818" max="2818" width="44.28515625" style="208" bestFit="1" customWidth="1"/>
    <col min="2819" max="2819" width="10.42578125" style="208" bestFit="1" customWidth="1"/>
    <col min="2820" max="2820" width="10.42578125" style="208" customWidth="1"/>
    <col min="2821" max="2821" width="9.7109375" style="208" bestFit="1" customWidth="1"/>
    <col min="2822" max="2823" width="9.5703125" style="208" bestFit="1" customWidth="1"/>
    <col min="2824" max="2824" width="10.42578125" style="208" bestFit="1" customWidth="1"/>
    <col min="2825" max="2825" width="4.5703125" style="208" customWidth="1"/>
    <col min="2826" max="2826" width="1.85546875" style="208" customWidth="1"/>
    <col min="2827" max="2827" width="7" style="208" bestFit="1" customWidth="1"/>
    <col min="2828" max="2828" width="6.28515625" style="208" customWidth="1"/>
    <col min="2829" max="2829" width="20.42578125" style="208" customWidth="1"/>
    <col min="2830" max="2830" width="6.42578125" style="208" bestFit="1" customWidth="1"/>
    <col min="2831" max="2832" width="8.42578125" style="208"/>
    <col min="2833" max="2833" width="3.28515625" style="208" customWidth="1"/>
    <col min="2834" max="3072" width="8.42578125" style="208"/>
    <col min="3073" max="3073" width="10" style="208" bestFit="1" customWidth="1"/>
    <col min="3074" max="3074" width="44.28515625" style="208" bestFit="1" customWidth="1"/>
    <col min="3075" max="3075" width="10.42578125" style="208" bestFit="1" customWidth="1"/>
    <col min="3076" max="3076" width="10.42578125" style="208" customWidth="1"/>
    <col min="3077" max="3077" width="9.7109375" style="208" bestFit="1" customWidth="1"/>
    <col min="3078" max="3079" width="9.5703125" style="208" bestFit="1" customWidth="1"/>
    <col min="3080" max="3080" width="10.42578125" style="208" bestFit="1" customWidth="1"/>
    <col min="3081" max="3081" width="4.5703125" style="208" customWidth="1"/>
    <col min="3082" max="3082" width="1.85546875" style="208" customWidth="1"/>
    <col min="3083" max="3083" width="7" style="208" bestFit="1" customWidth="1"/>
    <col min="3084" max="3084" width="6.28515625" style="208" customWidth="1"/>
    <col min="3085" max="3085" width="20.42578125" style="208" customWidth="1"/>
    <col min="3086" max="3086" width="6.42578125" style="208" bestFit="1" customWidth="1"/>
    <col min="3087" max="3088" width="8.42578125" style="208"/>
    <col min="3089" max="3089" width="3.28515625" style="208" customWidth="1"/>
    <col min="3090" max="3328" width="8.42578125" style="208"/>
    <col min="3329" max="3329" width="10" style="208" bestFit="1" customWidth="1"/>
    <col min="3330" max="3330" width="44.28515625" style="208" bestFit="1" customWidth="1"/>
    <col min="3331" max="3331" width="10.42578125" style="208" bestFit="1" customWidth="1"/>
    <col min="3332" max="3332" width="10.42578125" style="208" customWidth="1"/>
    <col min="3333" max="3333" width="9.7109375" style="208" bestFit="1" customWidth="1"/>
    <col min="3334" max="3335" width="9.5703125" style="208" bestFit="1" customWidth="1"/>
    <col min="3336" max="3336" width="10.42578125" style="208" bestFit="1" customWidth="1"/>
    <col min="3337" max="3337" width="4.5703125" style="208" customWidth="1"/>
    <col min="3338" max="3338" width="1.85546875" style="208" customWidth="1"/>
    <col min="3339" max="3339" width="7" style="208" bestFit="1" customWidth="1"/>
    <col min="3340" max="3340" width="6.28515625" style="208" customWidth="1"/>
    <col min="3341" max="3341" width="20.42578125" style="208" customWidth="1"/>
    <col min="3342" max="3342" width="6.42578125" style="208" bestFit="1" customWidth="1"/>
    <col min="3343" max="3344" width="8.42578125" style="208"/>
    <col min="3345" max="3345" width="3.28515625" style="208" customWidth="1"/>
    <col min="3346" max="3584" width="8.42578125" style="208"/>
    <col min="3585" max="3585" width="10" style="208" bestFit="1" customWidth="1"/>
    <col min="3586" max="3586" width="44.28515625" style="208" bestFit="1" customWidth="1"/>
    <col min="3587" max="3587" width="10.42578125" style="208" bestFit="1" customWidth="1"/>
    <col min="3588" max="3588" width="10.42578125" style="208" customWidth="1"/>
    <col min="3589" max="3589" width="9.7109375" style="208" bestFit="1" customWidth="1"/>
    <col min="3590" max="3591" width="9.5703125" style="208" bestFit="1" customWidth="1"/>
    <col min="3592" max="3592" width="10.42578125" style="208" bestFit="1" customWidth="1"/>
    <col min="3593" max="3593" width="4.5703125" style="208" customWidth="1"/>
    <col min="3594" max="3594" width="1.85546875" style="208" customWidth="1"/>
    <col min="3595" max="3595" width="7" style="208" bestFit="1" customWidth="1"/>
    <col min="3596" max="3596" width="6.28515625" style="208" customWidth="1"/>
    <col min="3597" max="3597" width="20.42578125" style="208" customWidth="1"/>
    <col min="3598" max="3598" width="6.42578125" style="208" bestFit="1" customWidth="1"/>
    <col min="3599" max="3600" width="8.42578125" style="208"/>
    <col min="3601" max="3601" width="3.28515625" style="208" customWidth="1"/>
    <col min="3602" max="3840" width="8.42578125" style="208"/>
    <col min="3841" max="3841" width="10" style="208" bestFit="1" customWidth="1"/>
    <col min="3842" max="3842" width="44.28515625" style="208" bestFit="1" customWidth="1"/>
    <col min="3843" max="3843" width="10.42578125" style="208" bestFit="1" customWidth="1"/>
    <col min="3844" max="3844" width="10.42578125" style="208" customWidth="1"/>
    <col min="3845" max="3845" width="9.7109375" style="208" bestFit="1" customWidth="1"/>
    <col min="3846" max="3847" width="9.5703125" style="208" bestFit="1" customWidth="1"/>
    <col min="3848" max="3848" width="10.42578125" style="208" bestFit="1" customWidth="1"/>
    <col min="3849" max="3849" width="4.5703125" style="208" customWidth="1"/>
    <col min="3850" max="3850" width="1.85546875" style="208" customWidth="1"/>
    <col min="3851" max="3851" width="7" style="208" bestFit="1" customWidth="1"/>
    <col min="3852" max="3852" width="6.28515625" style="208" customWidth="1"/>
    <col min="3853" max="3853" width="20.42578125" style="208" customWidth="1"/>
    <col min="3854" max="3854" width="6.42578125" style="208" bestFit="1" customWidth="1"/>
    <col min="3855" max="3856" width="8.42578125" style="208"/>
    <col min="3857" max="3857" width="3.28515625" style="208" customWidth="1"/>
    <col min="3858" max="4096" width="8.42578125" style="208"/>
    <col min="4097" max="4097" width="10" style="208" bestFit="1" customWidth="1"/>
    <col min="4098" max="4098" width="44.28515625" style="208" bestFit="1" customWidth="1"/>
    <col min="4099" max="4099" width="10.42578125" style="208" bestFit="1" customWidth="1"/>
    <col min="4100" max="4100" width="10.42578125" style="208" customWidth="1"/>
    <col min="4101" max="4101" width="9.7109375" style="208" bestFit="1" customWidth="1"/>
    <col min="4102" max="4103" width="9.5703125" style="208" bestFit="1" customWidth="1"/>
    <col min="4104" max="4104" width="10.42578125" style="208" bestFit="1" customWidth="1"/>
    <col min="4105" max="4105" width="4.5703125" style="208" customWidth="1"/>
    <col min="4106" max="4106" width="1.85546875" style="208" customWidth="1"/>
    <col min="4107" max="4107" width="7" style="208" bestFit="1" customWidth="1"/>
    <col min="4108" max="4108" width="6.28515625" style="208" customWidth="1"/>
    <col min="4109" max="4109" width="20.42578125" style="208" customWidth="1"/>
    <col min="4110" max="4110" width="6.42578125" style="208" bestFit="1" customWidth="1"/>
    <col min="4111" max="4112" width="8.42578125" style="208"/>
    <col min="4113" max="4113" width="3.28515625" style="208" customWidth="1"/>
    <col min="4114" max="4352" width="8.42578125" style="208"/>
    <col min="4353" max="4353" width="10" style="208" bestFit="1" customWidth="1"/>
    <col min="4354" max="4354" width="44.28515625" style="208" bestFit="1" customWidth="1"/>
    <col min="4355" max="4355" width="10.42578125" style="208" bestFit="1" customWidth="1"/>
    <col min="4356" max="4356" width="10.42578125" style="208" customWidth="1"/>
    <col min="4357" max="4357" width="9.7109375" style="208" bestFit="1" customWidth="1"/>
    <col min="4358" max="4359" width="9.5703125" style="208" bestFit="1" customWidth="1"/>
    <col min="4360" max="4360" width="10.42578125" style="208" bestFit="1" customWidth="1"/>
    <col min="4361" max="4361" width="4.5703125" style="208" customWidth="1"/>
    <col min="4362" max="4362" width="1.85546875" style="208" customWidth="1"/>
    <col min="4363" max="4363" width="7" style="208" bestFit="1" customWidth="1"/>
    <col min="4364" max="4364" width="6.28515625" style="208" customWidth="1"/>
    <col min="4365" max="4365" width="20.42578125" style="208" customWidth="1"/>
    <col min="4366" max="4366" width="6.42578125" style="208" bestFit="1" customWidth="1"/>
    <col min="4367" max="4368" width="8.42578125" style="208"/>
    <col min="4369" max="4369" width="3.28515625" style="208" customWidth="1"/>
    <col min="4370" max="4608" width="8.42578125" style="208"/>
    <col min="4609" max="4609" width="10" style="208" bestFit="1" customWidth="1"/>
    <col min="4610" max="4610" width="44.28515625" style="208" bestFit="1" customWidth="1"/>
    <col min="4611" max="4611" width="10.42578125" style="208" bestFit="1" customWidth="1"/>
    <col min="4612" max="4612" width="10.42578125" style="208" customWidth="1"/>
    <col min="4613" max="4613" width="9.7109375" style="208" bestFit="1" customWidth="1"/>
    <col min="4614" max="4615" width="9.5703125" style="208" bestFit="1" customWidth="1"/>
    <col min="4616" max="4616" width="10.42578125" style="208" bestFit="1" customWidth="1"/>
    <col min="4617" max="4617" width="4.5703125" style="208" customWidth="1"/>
    <col min="4618" max="4618" width="1.85546875" style="208" customWidth="1"/>
    <col min="4619" max="4619" width="7" style="208" bestFit="1" customWidth="1"/>
    <col min="4620" max="4620" width="6.28515625" style="208" customWidth="1"/>
    <col min="4621" max="4621" width="20.42578125" style="208" customWidth="1"/>
    <col min="4622" max="4622" width="6.42578125" style="208" bestFit="1" customWidth="1"/>
    <col min="4623" max="4624" width="8.42578125" style="208"/>
    <col min="4625" max="4625" width="3.28515625" style="208" customWidth="1"/>
    <col min="4626" max="4864" width="8.42578125" style="208"/>
    <col min="4865" max="4865" width="10" style="208" bestFit="1" customWidth="1"/>
    <col min="4866" max="4866" width="44.28515625" style="208" bestFit="1" customWidth="1"/>
    <col min="4867" max="4867" width="10.42578125" style="208" bestFit="1" customWidth="1"/>
    <col min="4868" max="4868" width="10.42578125" style="208" customWidth="1"/>
    <col min="4869" max="4869" width="9.7109375" style="208" bestFit="1" customWidth="1"/>
    <col min="4870" max="4871" width="9.5703125" style="208" bestFit="1" customWidth="1"/>
    <col min="4872" max="4872" width="10.42578125" style="208" bestFit="1" customWidth="1"/>
    <col min="4873" max="4873" width="4.5703125" style="208" customWidth="1"/>
    <col min="4874" max="4874" width="1.85546875" style="208" customWidth="1"/>
    <col min="4875" max="4875" width="7" style="208" bestFit="1" customWidth="1"/>
    <col min="4876" max="4876" width="6.28515625" style="208" customWidth="1"/>
    <col min="4877" max="4877" width="20.42578125" style="208" customWidth="1"/>
    <col min="4878" max="4878" width="6.42578125" style="208" bestFit="1" customWidth="1"/>
    <col min="4879" max="4880" width="8.42578125" style="208"/>
    <col min="4881" max="4881" width="3.28515625" style="208" customWidth="1"/>
    <col min="4882" max="5120" width="8.42578125" style="208"/>
    <col min="5121" max="5121" width="10" style="208" bestFit="1" customWidth="1"/>
    <col min="5122" max="5122" width="44.28515625" style="208" bestFit="1" customWidth="1"/>
    <col min="5123" max="5123" width="10.42578125" style="208" bestFit="1" customWidth="1"/>
    <col min="5124" max="5124" width="10.42578125" style="208" customWidth="1"/>
    <col min="5125" max="5125" width="9.7109375" style="208" bestFit="1" customWidth="1"/>
    <col min="5126" max="5127" width="9.5703125" style="208" bestFit="1" customWidth="1"/>
    <col min="5128" max="5128" width="10.42578125" style="208" bestFit="1" customWidth="1"/>
    <col min="5129" max="5129" width="4.5703125" style="208" customWidth="1"/>
    <col min="5130" max="5130" width="1.85546875" style="208" customWidth="1"/>
    <col min="5131" max="5131" width="7" style="208" bestFit="1" customWidth="1"/>
    <col min="5132" max="5132" width="6.28515625" style="208" customWidth="1"/>
    <col min="5133" max="5133" width="20.42578125" style="208" customWidth="1"/>
    <col min="5134" max="5134" width="6.42578125" style="208" bestFit="1" customWidth="1"/>
    <col min="5135" max="5136" width="8.42578125" style="208"/>
    <col min="5137" max="5137" width="3.28515625" style="208" customWidth="1"/>
    <col min="5138" max="5376" width="8.42578125" style="208"/>
    <col min="5377" max="5377" width="10" style="208" bestFit="1" customWidth="1"/>
    <col min="5378" max="5378" width="44.28515625" style="208" bestFit="1" customWidth="1"/>
    <col min="5379" max="5379" width="10.42578125" style="208" bestFit="1" customWidth="1"/>
    <col min="5380" max="5380" width="10.42578125" style="208" customWidth="1"/>
    <col min="5381" max="5381" width="9.7109375" style="208" bestFit="1" customWidth="1"/>
    <col min="5382" max="5383" width="9.5703125" style="208" bestFit="1" customWidth="1"/>
    <col min="5384" max="5384" width="10.42578125" style="208" bestFit="1" customWidth="1"/>
    <col min="5385" max="5385" width="4.5703125" style="208" customWidth="1"/>
    <col min="5386" max="5386" width="1.85546875" style="208" customWidth="1"/>
    <col min="5387" max="5387" width="7" style="208" bestFit="1" customWidth="1"/>
    <col min="5388" max="5388" width="6.28515625" style="208" customWidth="1"/>
    <col min="5389" max="5389" width="20.42578125" style="208" customWidth="1"/>
    <col min="5390" max="5390" width="6.42578125" style="208" bestFit="1" customWidth="1"/>
    <col min="5391" max="5392" width="8.42578125" style="208"/>
    <col min="5393" max="5393" width="3.28515625" style="208" customWidth="1"/>
    <col min="5394" max="5632" width="8.42578125" style="208"/>
    <col min="5633" max="5633" width="10" style="208" bestFit="1" customWidth="1"/>
    <col min="5634" max="5634" width="44.28515625" style="208" bestFit="1" customWidth="1"/>
    <col min="5635" max="5635" width="10.42578125" style="208" bestFit="1" customWidth="1"/>
    <col min="5636" max="5636" width="10.42578125" style="208" customWidth="1"/>
    <col min="5637" max="5637" width="9.7109375" style="208" bestFit="1" customWidth="1"/>
    <col min="5638" max="5639" width="9.5703125" style="208" bestFit="1" customWidth="1"/>
    <col min="5640" max="5640" width="10.42578125" style="208" bestFit="1" customWidth="1"/>
    <col min="5641" max="5641" width="4.5703125" style="208" customWidth="1"/>
    <col min="5642" max="5642" width="1.85546875" style="208" customWidth="1"/>
    <col min="5643" max="5643" width="7" style="208" bestFit="1" customWidth="1"/>
    <col min="5644" max="5644" width="6.28515625" style="208" customWidth="1"/>
    <col min="5645" max="5645" width="20.42578125" style="208" customWidth="1"/>
    <col min="5646" max="5646" width="6.42578125" style="208" bestFit="1" customWidth="1"/>
    <col min="5647" max="5648" width="8.42578125" style="208"/>
    <col min="5649" max="5649" width="3.28515625" style="208" customWidth="1"/>
    <col min="5650" max="5888" width="8.42578125" style="208"/>
    <col min="5889" max="5889" width="10" style="208" bestFit="1" customWidth="1"/>
    <col min="5890" max="5890" width="44.28515625" style="208" bestFit="1" customWidth="1"/>
    <col min="5891" max="5891" width="10.42578125" style="208" bestFit="1" customWidth="1"/>
    <col min="5892" max="5892" width="10.42578125" style="208" customWidth="1"/>
    <col min="5893" max="5893" width="9.7109375" style="208" bestFit="1" customWidth="1"/>
    <col min="5894" max="5895" width="9.5703125" style="208" bestFit="1" customWidth="1"/>
    <col min="5896" max="5896" width="10.42578125" style="208" bestFit="1" customWidth="1"/>
    <col min="5897" max="5897" width="4.5703125" style="208" customWidth="1"/>
    <col min="5898" max="5898" width="1.85546875" style="208" customWidth="1"/>
    <col min="5899" max="5899" width="7" style="208" bestFit="1" customWidth="1"/>
    <col min="5900" max="5900" width="6.28515625" style="208" customWidth="1"/>
    <col min="5901" max="5901" width="20.42578125" style="208" customWidth="1"/>
    <col min="5902" max="5902" width="6.42578125" style="208" bestFit="1" customWidth="1"/>
    <col min="5903" max="5904" width="8.42578125" style="208"/>
    <col min="5905" max="5905" width="3.28515625" style="208" customWidth="1"/>
    <col min="5906" max="6144" width="8.42578125" style="208"/>
    <col min="6145" max="6145" width="10" style="208" bestFit="1" customWidth="1"/>
    <col min="6146" max="6146" width="44.28515625" style="208" bestFit="1" customWidth="1"/>
    <col min="6147" max="6147" width="10.42578125" style="208" bestFit="1" customWidth="1"/>
    <col min="6148" max="6148" width="10.42578125" style="208" customWidth="1"/>
    <col min="6149" max="6149" width="9.7109375" style="208" bestFit="1" customWidth="1"/>
    <col min="6150" max="6151" width="9.5703125" style="208" bestFit="1" customWidth="1"/>
    <col min="6152" max="6152" width="10.42578125" style="208" bestFit="1" customWidth="1"/>
    <col min="6153" max="6153" width="4.5703125" style="208" customWidth="1"/>
    <col min="6154" max="6154" width="1.85546875" style="208" customWidth="1"/>
    <col min="6155" max="6155" width="7" style="208" bestFit="1" customWidth="1"/>
    <col min="6156" max="6156" width="6.28515625" style="208" customWidth="1"/>
    <col min="6157" max="6157" width="20.42578125" style="208" customWidth="1"/>
    <col min="6158" max="6158" width="6.42578125" style="208" bestFit="1" customWidth="1"/>
    <col min="6159" max="6160" width="8.42578125" style="208"/>
    <col min="6161" max="6161" width="3.28515625" style="208" customWidth="1"/>
    <col min="6162" max="6400" width="8.42578125" style="208"/>
    <col min="6401" max="6401" width="10" style="208" bestFit="1" customWidth="1"/>
    <col min="6402" max="6402" width="44.28515625" style="208" bestFit="1" customWidth="1"/>
    <col min="6403" max="6403" width="10.42578125" style="208" bestFit="1" customWidth="1"/>
    <col min="6404" max="6404" width="10.42578125" style="208" customWidth="1"/>
    <col min="6405" max="6405" width="9.7109375" style="208" bestFit="1" customWidth="1"/>
    <col min="6406" max="6407" width="9.5703125" style="208" bestFit="1" customWidth="1"/>
    <col min="6408" max="6408" width="10.42578125" style="208" bestFit="1" customWidth="1"/>
    <col min="6409" max="6409" width="4.5703125" style="208" customWidth="1"/>
    <col min="6410" max="6410" width="1.85546875" style="208" customWidth="1"/>
    <col min="6411" max="6411" width="7" style="208" bestFit="1" customWidth="1"/>
    <col min="6412" max="6412" width="6.28515625" style="208" customWidth="1"/>
    <col min="6413" max="6413" width="20.42578125" style="208" customWidth="1"/>
    <col min="6414" max="6414" width="6.42578125" style="208" bestFit="1" customWidth="1"/>
    <col min="6415" max="6416" width="8.42578125" style="208"/>
    <col min="6417" max="6417" width="3.28515625" style="208" customWidth="1"/>
    <col min="6418" max="6656" width="8.42578125" style="208"/>
    <col min="6657" max="6657" width="10" style="208" bestFit="1" customWidth="1"/>
    <col min="6658" max="6658" width="44.28515625" style="208" bestFit="1" customWidth="1"/>
    <col min="6659" max="6659" width="10.42578125" style="208" bestFit="1" customWidth="1"/>
    <col min="6660" max="6660" width="10.42578125" style="208" customWidth="1"/>
    <col min="6661" max="6661" width="9.7109375" style="208" bestFit="1" customWidth="1"/>
    <col min="6662" max="6663" width="9.5703125" style="208" bestFit="1" customWidth="1"/>
    <col min="6664" max="6664" width="10.42578125" style="208" bestFit="1" customWidth="1"/>
    <col min="6665" max="6665" width="4.5703125" style="208" customWidth="1"/>
    <col min="6666" max="6666" width="1.85546875" style="208" customWidth="1"/>
    <col min="6667" max="6667" width="7" style="208" bestFit="1" customWidth="1"/>
    <col min="6668" max="6668" width="6.28515625" style="208" customWidth="1"/>
    <col min="6669" max="6669" width="20.42578125" style="208" customWidth="1"/>
    <col min="6670" max="6670" width="6.42578125" style="208" bestFit="1" customWidth="1"/>
    <col min="6671" max="6672" width="8.42578125" style="208"/>
    <col min="6673" max="6673" width="3.28515625" style="208" customWidth="1"/>
    <col min="6674" max="6912" width="8.42578125" style="208"/>
    <col min="6913" max="6913" width="10" style="208" bestFit="1" customWidth="1"/>
    <col min="6914" max="6914" width="44.28515625" style="208" bestFit="1" customWidth="1"/>
    <col min="6915" max="6915" width="10.42578125" style="208" bestFit="1" customWidth="1"/>
    <col min="6916" max="6916" width="10.42578125" style="208" customWidth="1"/>
    <col min="6917" max="6917" width="9.7109375" style="208" bestFit="1" customWidth="1"/>
    <col min="6918" max="6919" width="9.5703125" style="208" bestFit="1" customWidth="1"/>
    <col min="6920" max="6920" width="10.42578125" style="208" bestFit="1" customWidth="1"/>
    <col min="6921" max="6921" width="4.5703125" style="208" customWidth="1"/>
    <col min="6922" max="6922" width="1.85546875" style="208" customWidth="1"/>
    <col min="6923" max="6923" width="7" style="208" bestFit="1" customWidth="1"/>
    <col min="6924" max="6924" width="6.28515625" style="208" customWidth="1"/>
    <col min="6925" max="6925" width="20.42578125" style="208" customWidth="1"/>
    <col min="6926" max="6926" width="6.42578125" style="208" bestFit="1" customWidth="1"/>
    <col min="6927" max="6928" width="8.42578125" style="208"/>
    <col min="6929" max="6929" width="3.28515625" style="208" customWidth="1"/>
    <col min="6930" max="7168" width="8.42578125" style="208"/>
    <col min="7169" max="7169" width="10" style="208" bestFit="1" customWidth="1"/>
    <col min="7170" max="7170" width="44.28515625" style="208" bestFit="1" customWidth="1"/>
    <col min="7171" max="7171" width="10.42578125" style="208" bestFit="1" customWidth="1"/>
    <col min="7172" max="7172" width="10.42578125" style="208" customWidth="1"/>
    <col min="7173" max="7173" width="9.7109375" style="208" bestFit="1" customWidth="1"/>
    <col min="7174" max="7175" width="9.5703125" style="208" bestFit="1" customWidth="1"/>
    <col min="7176" max="7176" width="10.42578125" style="208" bestFit="1" customWidth="1"/>
    <col min="7177" max="7177" width="4.5703125" style="208" customWidth="1"/>
    <col min="7178" max="7178" width="1.85546875" style="208" customWidth="1"/>
    <col min="7179" max="7179" width="7" style="208" bestFit="1" customWidth="1"/>
    <col min="7180" max="7180" width="6.28515625" style="208" customWidth="1"/>
    <col min="7181" max="7181" width="20.42578125" style="208" customWidth="1"/>
    <col min="7182" max="7182" width="6.42578125" style="208" bestFit="1" customWidth="1"/>
    <col min="7183" max="7184" width="8.42578125" style="208"/>
    <col min="7185" max="7185" width="3.28515625" style="208" customWidth="1"/>
    <col min="7186" max="7424" width="8.42578125" style="208"/>
    <col min="7425" max="7425" width="10" style="208" bestFit="1" customWidth="1"/>
    <col min="7426" max="7426" width="44.28515625" style="208" bestFit="1" customWidth="1"/>
    <col min="7427" max="7427" width="10.42578125" style="208" bestFit="1" customWidth="1"/>
    <col min="7428" max="7428" width="10.42578125" style="208" customWidth="1"/>
    <col min="7429" max="7429" width="9.7109375" style="208" bestFit="1" customWidth="1"/>
    <col min="7430" max="7431" width="9.5703125" style="208" bestFit="1" customWidth="1"/>
    <col min="7432" max="7432" width="10.42578125" style="208" bestFit="1" customWidth="1"/>
    <col min="7433" max="7433" width="4.5703125" style="208" customWidth="1"/>
    <col min="7434" max="7434" width="1.85546875" style="208" customWidth="1"/>
    <col min="7435" max="7435" width="7" style="208" bestFit="1" customWidth="1"/>
    <col min="7436" max="7436" width="6.28515625" style="208" customWidth="1"/>
    <col min="7437" max="7437" width="20.42578125" style="208" customWidth="1"/>
    <col min="7438" max="7438" width="6.42578125" style="208" bestFit="1" customWidth="1"/>
    <col min="7439" max="7440" width="8.42578125" style="208"/>
    <col min="7441" max="7441" width="3.28515625" style="208" customWidth="1"/>
    <col min="7442" max="7680" width="8.42578125" style="208"/>
    <col min="7681" max="7681" width="10" style="208" bestFit="1" customWidth="1"/>
    <col min="7682" max="7682" width="44.28515625" style="208" bestFit="1" customWidth="1"/>
    <col min="7683" max="7683" width="10.42578125" style="208" bestFit="1" customWidth="1"/>
    <col min="7684" max="7684" width="10.42578125" style="208" customWidth="1"/>
    <col min="7685" max="7685" width="9.7109375" style="208" bestFit="1" customWidth="1"/>
    <col min="7686" max="7687" width="9.5703125" style="208" bestFit="1" customWidth="1"/>
    <col min="7688" max="7688" width="10.42578125" style="208" bestFit="1" customWidth="1"/>
    <col min="7689" max="7689" width="4.5703125" style="208" customWidth="1"/>
    <col min="7690" max="7690" width="1.85546875" style="208" customWidth="1"/>
    <col min="7691" max="7691" width="7" style="208" bestFit="1" customWidth="1"/>
    <col min="7692" max="7692" width="6.28515625" style="208" customWidth="1"/>
    <col min="7693" max="7693" width="20.42578125" style="208" customWidth="1"/>
    <col min="7694" max="7694" width="6.42578125" style="208" bestFit="1" customWidth="1"/>
    <col min="7695" max="7696" width="8.42578125" style="208"/>
    <col min="7697" max="7697" width="3.28515625" style="208" customWidth="1"/>
    <col min="7698" max="7936" width="8.42578125" style="208"/>
    <col min="7937" max="7937" width="10" style="208" bestFit="1" customWidth="1"/>
    <col min="7938" max="7938" width="44.28515625" style="208" bestFit="1" customWidth="1"/>
    <col min="7939" max="7939" width="10.42578125" style="208" bestFit="1" customWidth="1"/>
    <col min="7940" max="7940" width="10.42578125" style="208" customWidth="1"/>
    <col min="7941" max="7941" width="9.7109375" style="208" bestFit="1" customWidth="1"/>
    <col min="7942" max="7943" width="9.5703125" style="208" bestFit="1" customWidth="1"/>
    <col min="7944" max="7944" width="10.42578125" style="208" bestFit="1" customWidth="1"/>
    <col min="7945" max="7945" width="4.5703125" style="208" customWidth="1"/>
    <col min="7946" max="7946" width="1.85546875" style="208" customWidth="1"/>
    <col min="7947" max="7947" width="7" style="208" bestFit="1" customWidth="1"/>
    <col min="7948" max="7948" width="6.28515625" style="208" customWidth="1"/>
    <col min="7949" max="7949" width="20.42578125" style="208" customWidth="1"/>
    <col min="7950" max="7950" width="6.42578125" style="208" bestFit="1" customWidth="1"/>
    <col min="7951" max="7952" width="8.42578125" style="208"/>
    <col min="7953" max="7953" width="3.28515625" style="208" customWidth="1"/>
    <col min="7954" max="8192" width="8.42578125" style="208"/>
    <col min="8193" max="8193" width="10" style="208" bestFit="1" customWidth="1"/>
    <col min="8194" max="8194" width="44.28515625" style="208" bestFit="1" customWidth="1"/>
    <col min="8195" max="8195" width="10.42578125" style="208" bestFit="1" customWidth="1"/>
    <col min="8196" max="8196" width="10.42578125" style="208" customWidth="1"/>
    <col min="8197" max="8197" width="9.7109375" style="208" bestFit="1" customWidth="1"/>
    <col min="8198" max="8199" width="9.5703125" style="208" bestFit="1" customWidth="1"/>
    <col min="8200" max="8200" width="10.42578125" style="208" bestFit="1" customWidth="1"/>
    <col min="8201" max="8201" width="4.5703125" style="208" customWidth="1"/>
    <col min="8202" max="8202" width="1.85546875" style="208" customWidth="1"/>
    <col min="8203" max="8203" width="7" style="208" bestFit="1" customWidth="1"/>
    <col min="8204" max="8204" width="6.28515625" style="208" customWidth="1"/>
    <col min="8205" max="8205" width="20.42578125" style="208" customWidth="1"/>
    <col min="8206" max="8206" width="6.42578125" style="208" bestFit="1" customWidth="1"/>
    <col min="8207" max="8208" width="8.42578125" style="208"/>
    <col min="8209" max="8209" width="3.28515625" style="208" customWidth="1"/>
    <col min="8210" max="8448" width="8.42578125" style="208"/>
    <col min="8449" max="8449" width="10" style="208" bestFit="1" customWidth="1"/>
    <col min="8450" max="8450" width="44.28515625" style="208" bestFit="1" customWidth="1"/>
    <col min="8451" max="8451" width="10.42578125" style="208" bestFit="1" customWidth="1"/>
    <col min="8452" max="8452" width="10.42578125" style="208" customWidth="1"/>
    <col min="8453" max="8453" width="9.7109375" style="208" bestFit="1" customWidth="1"/>
    <col min="8454" max="8455" width="9.5703125" style="208" bestFit="1" customWidth="1"/>
    <col min="8456" max="8456" width="10.42578125" style="208" bestFit="1" customWidth="1"/>
    <col min="8457" max="8457" width="4.5703125" style="208" customWidth="1"/>
    <col min="8458" max="8458" width="1.85546875" style="208" customWidth="1"/>
    <col min="8459" max="8459" width="7" style="208" bestFit="1" customWidth="1"/>
    <col min="8460" max="8460" width="6.28515625" style="208" customWidth="1"/>
    <col min="8461" max="8461" width="20.42578125" style="208" customWidth="1"/>
    <col min="8462" max="8462" width="6.42578125" style="208" bestFit="1" customWidth="1"/>
    <col min="8463" max="8464" width="8.42578125" style="208"/>
    <col min="8465" max="8465" width="3.28515625" style="208" customWidth="1"/>
    <col min="8466" max="8704" width="8.42578125" style="208"/>
    <col min="8705" max="8705" width="10" style="208" bestFit="1" customWidth="1"/>
    <col min="8706" max="8706" width="44.28515625" style="208" bestFit="1" customWidth="1"/>
    <col min="8707" max="8707" width="10.42578125" style="208" bestFit="1" customWidth="1"/>
    <col min="8708" max="8708" width="10.42578125" style="208" customWidth="1"/>
    <col min="8709" max="8709" width="9.7109375" style="208" bestFit="1" customWidth="1"/>
    <col min="8710" max="8711" width="9.5703125" style="208" bestFit="1" customWidth="1"/>
    <col min="8712" max="8712" width="10.42578125" style="208" bestFit="1" customWidth="1"/>
    <col min="8713" max="8713" width="4.5703125" style="208" customWidth="1"/>
    <col min="8714" max="8714" width="1.85546875" style="208" customWidth="1"/>
    <col min="8715" max="8715" width="7" style="208" bestFit="1" customWidth="1"/>
    <col min="8716" max="8716" width="6.28515625" style="208" customWidth="1"/>
    <col min="8717" max="8717" width="20.42578125" style="208" customWidth="1"/>
    <col min="8718" max="8718" width="6.42578125" style="208" bestFit="1" customWidth="1"/>
    <col min="8719" max="8720" width="8.42578125" style="208"/>
    <col min="8721" max="8721" width="3.28515625" style="208" customWidth="1"/>
    <col min="8722" max="8960" width="8.42578125" style="208"/>
    <col min="8961" max="8961" width="10" style="208" bestFit="1" customWidth="1"/>
    <col min="8962" max="8962" width="44.28515625" style="208" bestFit="1" customWidth="1"/>
    <col min="8963" max="8963" width="10.42578125" style="208" bestFit="1" customWidth="1"/>
    <col min="8964" max="8964" width="10.42578125" style="208" customWidth="1"/>
    <col min="8965" max="8965" width="9.7109375" style="208" bestFit="1" customWidth="1"/>
    <col min="8966" max="8967" width="9.5703125" style="208" bestFit="1" customWidth="1"/>
    <col min="8968" max="8968" width="10.42578125" style="208" bestFit="1" customWidth="1"/>
    <col min="8969" max="8969" width="4.5703125" style="208" customWidth="1"/>
    <col min="8970" max="8970" width="1.85546875" style="208" customWidth="1"/>
    <col min="8971" max="8971" width="7" style="208" bestFit="1" customWidth="1"/>
    <col min="8972" max="8972" width="6.28515625" style="208" customWidth="1"/>
    <col min="8973" max="8973" width="20.42578125" style="208" customWidth="1"/>
    <col min="8974" max="8974" width="6.42578125" style="208" bestFit="1" customWidth="1"/>
    <col min="8975" max="8976" width="8.42578125" style="208"/>
    <col min="8977" max="8977" width="3.28515625" style="208" customWidth="1"/>
    <col min="8978" max="9216" width="8.42578125" style="208"/>
    <col min="9217" max="9217" width="10" style="208" bestFit="1" customWidth="1"/>
    <col min="9218" max="9218" width="44.28515625" style="208" bestFit="1" customWidth="1"/>
    <col min="9219" max="9219" width="10.42578125" style="208" bestFit="1" customWidth="1"/>
    <col min="9220" max="9220" width="10.42578125" style="208" customWidth="1"/>
    <col min="9221" max="9221" width="9.7109375" style="208" bestFit="1" customWidth="1"/>
    <col min="9222" max="9223" width="9.5703125" style="208" bestFit="1" customWidth="1"/>
    <col min="9224" max="9224" width="10.42578125" style="208" bestFit="1" customWidth="1"/>
    <col min="9225" max="9225" width="4.5703125" style="208" customWidth="1"/>
    <col min="9226" max="9226" width="1.85546875" style="208" customWidth="1"/>
    <col min="9227" max="9227" width="7" style="208" bestFit="1" customWidth="1"/>
    <col min="9228" max="9228" width="6.28515625" style="208" customWidth="1"/>
    <col min="9229" max="9229" width="20.42578125" style="208" customWidth="1"/>
    <col min="9230" max="9230" width="6.42578125" style="208" bestFit="1" customWidth="1"/>
    <col min="9231" max="9232" width="8.42578125" style="208"/>
    <col min="9233" max="9233" width="3.28515625" style="208" customWidth="1"/>
    <col min="9234" max="9472" width="8.42578125" style="208"/>
    <col min="9473" max="9473" width="10" style="208" bestFit="1" customWidth="1"/>
    <col min="9474" max="9474" width="44.28515625" style="208" bestFit="1" customWidth="1"/>
    <col min="9475" max="9475" width="10.42578125" style="208" bestFit="1" customWidth="1"/>
    <col min="9476" max="9476" width="10.42578125" style="208" customWidth="1"/>
    <col min="9477" max="9477" width="9.7109375" style="208" bestFit="1" customWidth="1"/>
    <col min="9478" max="9479" width="9.5703125" style="208" bestFit="1" customWidth="1"/>
    <col min="9480" max="9480" width="10.42578125" style="208" bestFit="1" customWidth="1"/>
    <col min="9481" max="9481" width="4.5703125" style="208" customWidth="1"/>
    <col min="9482" max="9482" width="1.85546875" style="208" customWidth="1"/>
    <col min="9483" max="9483" width="7" style="208" bestFit="1" customWidth="1"/>
    <col min="9484" max="9484" width="6.28515625" style="208" customWidth="1"/>
    <col min="9485" max="9485" width="20.42578125" style="208" customWidth="1"/>
    <col min="9486" max="9486" width="6.42578125" style="208" bestFit="1" customWidth="1"/>
    <col min="9487" max="9488" width="8.42578125" style="208"/>
    <col min="9489" max="9489" width="3.28515625" style="208" customWidth="1"/>
    <col min="9490" max="9728" width="8.42578125" style="208"/>
    <col min="9729" max="9729" width="10" style="208" bestFit="1" customWidth="1"/>
    <col min="9730" max="9730" width="44.28515625" style="208" bestFit="1" customWidth="1"/>
    <col min="9731" max="9731" width="10.42578125" style="208" bestFit="1" customWidth="1"/>
    <col min="9732" max="9732" width="10.42578125" style="208" customWidth="1"/>
    <col min="9733" max="9733" width="9.7109375" style="208" bestFit="1" customWidth="1"/>
    <col min="9734" max="9735" width="9.5703125" style="208" bestFit="1" customWidth="1"/>
    <col min="9736" max="9736" width="10.42578125" style="208" bestFit="1" customWidth="1"/>
    <col min="9737" max="9737" width="4.5703125" style="208" customWidth="1"/>
    <col min="9738" max="9738" width="1.85546875" style="208" customWidth="1"/>
    <col min="9739" max="9739" width="7" style="208" bestFit="1" customWidth="1"/>
    <col min="9740" max="9740" width="6.28515625" style="208" customWidth="1"/>
    <col min="9741" max="9741" width="20.42578125" style="208" customWidth="1"/>
    <col min="9742" max="9742" width="6.42578125" style="208" bestFit="1" customWidth="1"/>
    <col min="9743" max="9744" width="8.42578125" style="208"/>
    <col min="9745" max="9745" width="3.28515625" style="208" customWidth="1"/>
    <col min="9746" max="9984" width="8.42578125" style="208"/>
    <col min="9985" max="9985" width="10" style="208" bestFit="1" customWidth="1"/>
    <col min="9986" max="9986" width="44.28515625" style="208" bestFit="1" customWidth="1"/>
    <col min="9987" max="9987" width="10.42578125" style="208" bestFit="1" customWidth="1"/>
    <col min="9988" max="9988" width="10.42578125" style="208" customWidth="1"/>
    <col min="9989" max="9989" width="9.7109375" style="208" bestFit="1" customWidth="1"/>
    <col min="9990" max="9991" width="9.5703125" style="208" bestFit="1" customWidth="1"/>
    <col min="9992" max="9992" width="10.42578125" style="208" bestFit="1" customWidth="1"/>
    <col min="9993" max="9993" width="4.5703125" style="208" customWidth="1"/>
    <col min="9994" max="9994" width="1.85546875" style="208" customWidth="1"/>
    <col min="9995" max="9995" width="7" style="208" bestFit="1" customWidth="1"/>
    <col min="9996" max="9996" width="6.28515625" style="208" customWidth="1"/>
    <col min="9997" max="9997" width="20.42578125" style="208" customWidth="1"/>
    <col min="9998" max="9998" width="6.42578125" style="208" bestFit="1" customWidth="1"/>
    <col min="9999" max="10000" width="8.42578125" style="208"/>
    <col min="10001" max="10001" width="3.28515625" style="208" customWidth="1"/>
    <col min="10002" max="10240" width="8.42578125" style="208"/>
    <col min="10241" max="10241" width="10" style="208" bestFit="1" customWidth="1"/>
    <col min="10242" max="10242" width="44.28515625" style="208" bestFit="1" customWidth="1"/>
    <col min="10243" max="10243" width="10.42578125" style="208" bestFit="1" customWidth="1"/>
    <col min="10244" max="10244" width="10.42578125" style="208" customWidth="1"/>
    <col min="10245" max="10245" width="9.7109375" style="208" bestFit="1" customWidth="1"/>
    <col min="10246" max="10247" width="9.5703125" style="208" bestFit="1" customWidth="1"/>
    <col min="10248" max="10248" width="10.42578125" style="208" bestFit="1" customWidth="1"/>
    <col min="10249" max="10249" width="4.5703125" style="208" customWidth="1"/>
    <col min="10250" max="10250" width="1.85546875" style="208" customWidth="1"/>
    <col min="10251" max="10251" width="7" style="208" bestFit="1" customWidth="1"/>
    <col min="10252" max="10252" width="6.28515625" style="208" customWidth="1"/>
    <col min="10253" max="10253" width="20.42578125" style="208" customWidth="1"/>
    <col min="10254" max="10254" width="6.42578125" style="208" bestFit="1" customWidth="1"/>
    <col min="10255" max="10256" width="8.42578125" style="208"/>
    <col min="10257" max="10257" width="3.28515625" style="208" customWidth="1"/>
    <col min="10258" max="10496" width="8.42578125" style="208"/>
    <col min="10497" max="10497" width="10" style="208" bestFit="1" customWidth="1"/>
    <col min="10498" max="10498" width="44.28515625" style="208" bestFit="1" customWidth="1"/>
    <col min="10499" max="10499" width="10.42578125" style="208" bestFit="1" customWidth="1"/>
    <col min="10500" max="10500" width="10.42578125" style="208" customWidth="1"/>
    <col min="10501" max="10501" width="9.7109375" style="208" bestFit="1" customWidth="1"/>
    <col min="10502" max="10503" width="9.5703125" style="208" bestFit="1" customWidth="1"/>
    <col min="10504" max="10504" width="10.42578125" style="208" bestFit="1" customWidth="1"/>
    <col min="10505" max="10505" width="4.5703125" style="208" customWidth="1"/>
    <col min="10506" max="10506" width="1.85546875" style="208" customWidth="1"/>
    <col min="10507" max="10507" width="7" style="208" bestFit="1" customWidth="1"/>
    <col min="10508" max="10508" width="6.28515625" style="208" customWidth="1"/>
    <col min="10509" max="10509" width="20.42578125" style="208" customWidth="1"/>
    <col min="10510" max="10510" width="6.42578125" style="208" bestFit="1" customWidth="1"/>
    <col min="10511" max="10512" width="8.42578125" style="208"/>
    <col min="10513" max="10513" width="3.28515625" style="208" customWidth="1"/>
    <col min="10514" max="10752" width="8.42578125" style="208"/>
    <col min="10753" max="10753" width="10" style="208" bestFit="1" customWidth="1"/>
    <col min="10754" max="10754" width="44.28515625" style="208" bestFit="1" customWidth="1"/>
    <col min="10755" max="10755" width="10.42578125" style="208" bestFit="1" customWidth="1"/>
    <col min="10756" max="10756" width="10.42578125" style="208" customWidth="1"/>
    <col min="10757" max="10757" width="9.7109375" style="208" bestFit="1" customWidth="1"/>
    <col min="10758" max="10759" width="9.5703125" style="208" bestFit="1" customWidth="1"/>
    <col min="10760" max="10760" width="10.42578125" style="208" bestFit="1" customWidth="1"/>
    <col min="10761" max="10761" width="4.5703125" style="208" customWidth="1"/>
    <col min="10762" max="10762" width="1.85546875" style="208" customWidth="1"/>
    <col min="10763" max="10763" width="7" style="208" bestFit="1" customWidth="1"/>
    <col min="10764" max="10764" width="6.28515625" style="208" customWidth="1"/>
    <col min="10765" max="10765" width="20.42578125" style="208" customWidth="1"/>
    <col min="10766" max="10766" width="6.42578125" style="208" bestFit="1" customWidth="1"/>
    <col min="10767" max="10768" width="8.42578125" style="208"/>
    <col min="10769" max="10769" width="3.28515625" style="208" customWidth="1"/>
    <col min="10770" max="11008" width="8.42578125" style="208"/>
    <col min="11009" max="11009" width="10" style="208" bestFit="1" customWidth="1"/>
    <col min="11010" max="11010" width="44.28515625" style="208" bestFit="1" customWidth="1"/>
    <col min="11011" max="11011" width="10.42578125" style="208" bestFit="1" customWidth="1"/>
    <col min="11012" max="11012" width="10.42578125" style="208" customWidth="1"/>
    <col min="11013" max="11013" width="9.7109375" style="208" bestFit="1" customWidth="1"/>
    <col min="11014" max="11015" width="9.5703125" style="208" bestFit="1" customWidth="1"/>
    <col min="11016" max="11016" width="10.42578125" style="208" bestFit="1" customWidth="1"/>
    <col min="11017" max="11017" width="4.5703125" style="208" customWidth="1"/>
    <col min="11018" max="11018" width="1.85546875" style="208" customWidth="1"/>
    <col min="11019" max="11019" width="7" style="208" bestFit="1" customWidth="1"/>
    <col min="11020" max="11020" width="6.28515625" style="208" customWidth="1"/>
    <col min="11021" max="11021" width="20.42578125" style="208" customWidth="1"/>
    <col min="11022" max="11022" width="6.42578125" style="208" bestFit="1" customWidth="1"/>
    <col min="11023" max="11024" width="8.42578125" style="208"/>
    <col min="11025" max="11025" width="3.28515625" style="208" customWidth="1"/>
    <col min="11026" max="11264" width="8.42578125" style="208"/>
    <col min="11265" max="11265" width="10" style="208" bestFit="1" customWidth="1"/>
    <col min="11266" max="11266" width="44.28515625" style="208" bestFit="1" customWidth="1"/>
    <col min="11267" max="11267" width="10.42578125" style="208" bestFit="1" customWidth="1"/>
    <col min="11268" max="11268" width="10.42578125" style="208" customWidth="1"/>
    <col min="11269" max="11269" width="9.7109375" style="208" bestFit="1" customWidth="1"/>
    <col min="11270" max="11271" width="9.5703125" style="208" bestFit="1" customWidth="1"/>
    <col min="11272" max="11272" width="10.42578125" style="208" bestFit="1" customWidth="1"/>
    <col min="11273" max="11273" width="4.5703125" style="208" customWidth="1"/>
    <col min="11274" max="11274" width="1.85546875" style="208" customWidth="1"/>
    <col min="11275" max="11275" width="7" style="208" bestFit="1" customWidth="1"/>
    <col min="11276" max="11276" width="6.28515625" style="208" customWidth="1"/>
    <col min="11277" max="11277" width="20.42578125" style="208" customWidth="1"/>
    <col min="11278" max="11278" width="6.42578125" style="208" bestFit="1" customWidth="1"/>
    <col min="11279" max="11280" width="8.42578125" style="208"/>
    <col min="11281" max="11281" width="3.28515625" style="208" customWidth="1"/>
    <col min="11282" max="11520" width="8.42578125" style="208"/>
    <col min="11521" max="11521" width="10" style="208" bestFit="1" customWidth="1"/>
    <col min="11522" max="11522" width="44.28515625" style="208" bestFit="1" customWidth="1"/>
    <col min="11523" max="11523" width="10.42578125" style="208" bestFit="1" customWidth="1"/>
    <col min="11524" max="11524" width="10.42578125" style="208" customWidth="1"/>
    <col min="11525" max="11525" width="9.7109375" style="208" bestFit="1" customWidth="1"/>
    <col min="11526" max="11527" width="9.5703125" style="208" bestFit="1" customWidth="1"/>
    <col min="11528" max="11528" width="10.42578125" style="208" bestFit="1" customWidth="1"/>
    <col min="11529" max="11529" width="4.5703125" style="208" customWidth="1"/>
    <col min="11530" max="11530" width="1.85546875" style="208" customWidth="1"/>
    <col min="11531" max="11531" width="7" style="208" bestFit="1" customWidth="1"/>
    <col min="11532" max="11532" width="6.28515625" style="208" customWidth="1"/>
    <col min="11533" max="11533" width="20.42578125" style="208" customWidth="1"/>
    <col min="11534" max="11534" width="6.42578125" style="208" bestFit="1" customWidth="1"/>
    <col min="11535" max="11536" width="8.42578125" style="208"/>
    <col min="11537" max="11537" width="3.28515625" style="208" customWidth="1"/>
    <col min="11538" max="11776" width="8.42578125" style="208"/>
    <col min="11777" max="11777" width="10" style="208" bestFit="1" customWidth="1"/>
    <col min="11778" max="11778" width="44.28515625" style="208" bestFit="1" customWidth="1"/>
    <col min="11779" max="11779" width="10.42578125" style="208" bestFit="1" customWidth="1"/>
    <col min="11780" max="11780" width="10.42578125" style="208" customWidth="1"/>
    <col min="11781" max="11781" width="9.7109375" style="208" bestFit="1" customWidth="1"/>
    <col min="11782" max="11783" width="9.5703125" style="208" bestFit="1" customWidth="1"/>
    <col min="11784" max="11784" width="10.42578125" style="208" bestFit="1" customWidth="1"/>
    <col min="11785" max="11785" width="4.5703125" style="208" customWidth="1"/>
    <col min="11786" max="11786" width="1.85546875" style="208" customWidth="1"/>
    <col min="11787" max="11787" width="7" style="208" bestFit="1" customWidth="1"/>
    <col min="11788" max="11788" width="6.28515625" style="208" customWidth="1"/>
    <col min="11789" max="11789" width="20.42578125" style="208" customWidth="1"/>
    <col min="11790" max="11790" width="6.42578125" style="208" bestFit="1" customWidth="1"/>
    <col min="11791" max="11792" width="8.42578125" style="208"/>
    <col min="11793" max="11793" width="3.28515625" style="208" customWidth="1"/>
    <col min="11794" max="12032" width="8.42578125" style="208"/>
    <col min="12033" max="12033" width="10" style="208" bestFit="1" customWidth="1"/>
    <col min="12034" max="12034" width="44.28515625" style="208" bestFit="1" customWidth="1"/>
    <col min="12035" max="12035" width="10.42578125" style="208" bestFit="1" customWidth="1"/>
    <col min="12036" max="12036" width="10.42578125" style="208" customWidth="1"/>
    <col min="12037" max="12037" width="9.7109375" style="208" bestFit="1" customWidth="1"/>
    <col min="12038" max="12039" width="9.5703125" style="208" bestFit="1" customWidth="1"/>
    <col min="12040" max="12040" width="10.42578125" style="208" bestFit="1" customWidth="1"/>
    <col min="12041" max="12041" width="4.5703125" style="208" customWidth="1"/>
    <col min="12042" max="12042" width="1.85546875" style="208" customWidth="1"/>
    <col min="12043" max="12043" width="7" style="208" bestFit="1" customWidth="1"/>
    <col min="12044" max="12044" width="6.28515625" style="208" customWidth="1"/>
    <col min="12045" max="12045" width="20.42578125" style="208" customWidth="1"/>
    <col min="12046" max="12046" width="6.42578125" style="208" bestFit="1" customWidth="1"/>
    <col min="12047" max="12048" width="8.42578125" style="208"/>
    <col min="12049" max="12049" width="3.28515625" style="208" customWidth="1"/>
    <col min="12050" max="12288" width="8.42578125" style="208"/>
    <col min="12289" max="12289" width="10" style="208" bestFit="1" customWidth="1"/>
    <col min="12290" max="12290" width="44.28515625" style="208" bestFit="1" customWidth="1"/>
    <col min="12291" max="12291" width="10.42578125" style="208" bestFit="1" customWidth="1"/>
    <col min="12292" max="12292" width="10.42578125" style="208" customWidth="1"/>
    <col min="12293" max="12293" width="9.7109375" style="208" bestFit="1" customWidth="1"/>
    <col min="12294" max="12295" width="9.5703125" style="208" bestFit="1" customWidth="1"/>
    <col min="12296" max="12296" width="10.42578125" style="208" bestFit="1" customWidth="1"/>
    <col min="12297" max="12297" width="4.5703125" style="208" customWidth="1"/>
    <col min="12298" max="12298" width="1.85546875" style="208" customWidth="1"/>
    <col min="12299" max="12299" width="7" style="208" bestFit="1" customWidth="1"/>
    <col min="12300" max="12300" width="6.28515625" style="208" customWidth="1"/>
    <col min="12301" max="12301" width="20.42578125" style="208" customWidth="1"/>
    <col min="12302" max="12302" width="6.42578125" style="208" bestFit="1" customWidth="1"/>
    <col min="12303" max="12304" width="8.42578125" style="208"/>
    <col min="12305" max="12305" width="3.28515625" style="208" customWidth="1"/>
    <col min="12306" max="12544" width="8.42578125" style="208"/>
    <col min="12545" max="12545" width="10" style="208" bestFit="1" customWidth="1"/>
    <col min="12546" max="12546" width="44.28515625" style="208" bestFit="1" customWidth="1"/>
    <col min="12547" max="12547" width="10.42578125" style="208" bestFit="1" customWidth="1"/>
    <col min="12548" max="12548" width="10.42578125" style="208" customWidth="1"/>
    <col min="12549" max="12549" width="9.7109375" style="208" bestFit="1" customWidth="1"/>
    <col min="12550" max="12551" width="9.5703125" style="208" bestFit="1" customWidth="1"/>
    <col min="12552" max="12552" width="10.42578125" style="208" bestFit="1" customWidth="1"/>
    <col min="12553" max="12553" width="4.5703125" style="208" customWidth="1"/>
    <col min="12554" max="12554" width="1.85546875" style="208" customWidth="1"/>
    <col min="12555" max="12555" width="7" style="208" bestFit="1" customWidth="1"/>
    <col min="12556" max="12556" width="6.28515625" style="208" customWidth="1"/>
    <col min="12557" max="12557" width="20.42578125" style="208" customWidth="1"/>
    <col min="12558" max="12558" width="6.42578125" style="208" bestFit="1" customWidth="1"/>
    <col min="12559" max="12560" width="8.42578125" style="208"/>
    <col min="12561" max="12561" width="3.28515625" style="208" customWidth="1"/>
    <col min="12562" max="12800" width="8.42578125" style="208"/>
    <col min="12801" max="12801" width="10" style="208" bestFit="1" customWidth="1"/>
    <col min="12802" max="12802" width="44.28515625" style="208" bestFit="1" customWidth="1"/>
    <col min="12803" max="12803" width="10.42578125" style="208" bestFit="1" customWidth="1"/>
    <col min="12804" max="12804" width="10.42578125" style="208" customWidth="1"/>
    <col min="12805" max="12805" width="9.7109375" style="208" bestFit="1" customWidth="1"/>
    <col min="12806" max="12807" width="9.5703125" style="208" bestFit="1" customWidth="1"/>
    <col min="12808" max="12808" width="10.42578125" style="208" bestFit="1" customWidth="1"/>
    <col min="12809" max="12809" width="4.5703125" style="208" customWidth="1"/>
    <col min="12810" max="12810" width="1.85546875" style="208" customWidth="1"/>
    <col min="12811" max="12811" width="7" style="208" bestFit="1" customWidth="1"/>
    <col min="12812" max="12812" width="6.28515625" style="208" customWidth="1"/>
    <col min="12813" max="12813" width="20.42578125" style="208" customWidth="1"/>
    <col min="12814" max="12814" width="6.42578125" style="208" bestFit="1" customWidth="1"/>
    <col min="12815" max="12816" width="8.42578125" style="208"/>
    <col min="12817" max="12817" width="3.28515625" style="208" customWidth="1"/>
    <col min="12818" max="13056" width="8.42578125" style="208"/>
    <col min="13057" max="13057" width="10" style="208" bestFit="1" customWidth="1"/>
    <col min="13058" max="13058" width="44.28515625" style="208" bestFit="1" customWidth="1"/>
    <col min="13059" max="13059" width="10.42578125" style="208" bestFit="1" customWidth="1"/>
    <col min="13060" max="13060" width="10.42578125" style="208" customWidth="1"/>
    <col min="13061" max="13061" width="9.7109375" style="208" bestFit="1" customWidth="1"/>
    <col min="13062" max="13063" width="9.5703125" style="208" bestFit="1" customWidth="1"/>
    <col min="13064" max="13064" width="10.42578125" style="208" bestFit="1" customWidth="1"/>
    <col min="13065" max="13065" width="4.5703125" style="208" customWidth="1"/>
    <col min="13066" max="13066" width="1.85546875" style="208" customWidth="1"/>
    <col min="13067" max="13067" width="7" style="208" bestFit="1" customWidth="1"/>
    <col min="13068" max="13068" width="6.28515625" style="208" customWidth="1"/>
    <col min="13069" max="13069" width="20.42578125" style="208" customWidth="1"/>
    <col min="13070" max="13070" width="6.42578125" style="208" bestFit="1" customWidth="1"/>
    <col min="13071" max="13072" width="8.42578125" style="208"/>
    <col min="13073" max="13073" width="3.28515625" style="208" customWidth="1"/>
    <col min="13074" max="13312" width="8.42578125" style="208"/>
    <col min="13313" max="13313" width="10" style="208" bestFit="1" customWidth="1"/>
    <col min="13314" max="13314" width="44.28515625" style="208" bestFit="1" customWidth="1"/>
    <col min="13315" max="13315" width="10.42578125" style="208" bestFit="1" customWidth="1"/>
    <col min="13316" max="13316" width="10.42578125" style="208" customWidth="1"/>
    <col min="13317" max="13317" width="9.7109375" style="208" bestFit="1" customWidth="1"/>
    <col min="13318" max="13319" width="9.5703125" style="208" bestFit="1" customWidth="1"/>
    <col min="13320" max="13320" width="10.42578125" style="208" bestFit="1" customWidth="1"/>
    <col min="13321" max="13321" width="4.5703125" style="208" customWidth="1"/>
    <col min="13322" max="13322" width="1.85546875" style="208" customWidth="1"/>
    <col min="13323" max="13323" width="7" style="208" bestFit="1" customWidth="1"/>
    <col min="13324" max="13324" width="6.28515625" style="208" customWidth="1"/>
    <col min="13325" max="13325" width="20.42578125" style="208" customWidth="1"/>
    <col min="13326" max="13326" width="6.42578125" style="208" bestFit="1" customWidth="1"/>
    <col min="13327" max="13328" width="8.42578125" style="208"/>
    <col min="13329" max="13329" width="3.28515625" style="208" customWidth="1"/>
    <col min="13330" max="13568" width="8.42578125" style="208"/>
    <col min="13569" max="13569" width="10" style="208" bestFit="1" customWidth="1"/>
    <col min="13570" max="13570" width="44.28515625" style="208" bestFit="1" customWidth="1"/>
    <col min="13571" max="13571" width="10.42578125" style="208" bestFit="1" customWidth="1"/>
    <col min="13572" max="13572" width="10.42578125" style="208" customWidth="1"/>
    <col min="13573" max="13573" width="9.7109375" style="208" bestFit="1" customWidth="1"/>
    <col min="13574" max="13575" width="9.5703125" style="208" bestFit="1" customWidth="1"/>
    <col min="13576" max="13576" width="10.42578125" style="208" bestFit="1" customWidth="1"/>
    <col min="13577" max="13577" width="4.5703125" style="208" customWidth="1"/>
    <col min="13578" max="13578" width="1.85546875" style="208" customWidth="1"/>
    <col min="13579" max="13579" width="7" style="208" bestFit="1" customWidth="1"/>
    <col min="13580" max="13580" width="6.28515625" style="208" customWidth="1"/>
    <col min="13581" max="13581" width="20.42578125" style="208" customWidth="1"/>
    <col min="13582" max="13582" width="6.42578125" style="208" bestFit="1" customWidth="1"/>
    <col min="13583" max="13584" width="8.42578125" style="208"/>
    <col min="13585" max="13585" width="3.28515625" style="208" customWidth="1"/>
    <col min="13586" max="13824" width="8.42578125" style="208"/>
    <col min="13825" max="13825" width="10" style="208" bestFit="1" customWidth="1"/>
    <col min="13826" max="13826" width="44.28515625" style="208" bestFit="1" customWidth="1"/>
    <col min="13827" max="13827" width="10.42578125" style="208" bestFit="1" customWidth="1"/>
    <col min="13828" max="13828" width="10.42578125" style="208" customWidth="1"/>
    <col min="13829" max="13829" width="9.7109375" style="208" bestFit="1" customWidth="1"/>
    <col min="13830" max="13831" width="9.5703125" style="208" bestFit="1" customWidth="1"/>
    <col min="13832" max="13832" width="10.42578125" style="208" bestFit="1" customWidth="1"/>
    <col min="13833" max="13833" width="4.5703125" style="208" customWidth="1"/>
    <col min="13834" max="13834" width="1.85546875" style="208" customWidth="1"/>
    <col min="13835" max="13835" width="7" style="208" bestFit="1" customWidth="1"/>
    <col min="13836" max="13836" width="6.28515625" style="208" customWidth="1"/>
    <col min="13837" max="13837" width="20.42578125" style="208" customWidth="1"/>
    <col min="13838" max="13838" width="6.42578125" style="208" bestFit="1" customWidth="1"/>
    <col min="13839" max="13840" width="8.42578125" style="208"/>
    <col min="13841" max="13841" width="3.28515625" style="208" customWidth="1"/>
    <col min="13842" max="14080" width="8.42578125" style="208"/>
    <col min="14081" max="14081" width="10" style="208" bestFit="1" customWidth="1"/>
    <col min="14082" max="14082" width="44.28515625" style="208" bestFit="1" customWidth="1"/>
    <col min="14083" max="14083" width="10.42578125" style="208" bestFit="1" customWidth="1"/>
    <col min="14084" max="14084" width="10.42578125" style="208" customWidth="1"/>
    <col min="14085" max="14085" width="9.7109375" style="208" bestFit="1" customWidth="1"/>
    <col min="14086" max="14087" width="9.5703125" style="208" bestFit="1" customWidth="1"/>
    <col min="14088" max="14088" width="10.42578125" style="208" bestFit="1" customWidth="1"/>
    <col min="14089" max="14089" width="4.5703125" style="208" customWidth="1"/>
    <col min="14090" max="14090" width="1.85546875" style="208" customWidth="1"/>
    <col min="14091" max="14091" width="7" style="208" bestFit="1" customWidth="1"/>
    <col min="14092" max="14092" width="6.28515625" style="208" customWidth="1"/>
    <col min="14093" max="14093" width="20.42578125" style="208" customWidth="1"/>
    <col min="14094" max="14094" width="6.42578125" style="208" bestFit="1" customWidth="1"/>
    <col min="14095" max="14096" width="8.42578125" style="208"/>
    <col min="14097" max="14097" width="3.28515625" style="208" customWidth="1"/>
    <col min="14098" max="14336" width="8.42578125" style="208"/>
    <col min="14337" max="14337" width="10" style="208" bestFit="1" customWidth="1"/>
    <col min="14338" max="14338" width="44.28515625" style="208" bestFit="1" customWidth="1"/>
    <col min="14339" max="14339" width="10.42578125" style="208" bestFit="1" customWidth="1"/>
    <col min="14340" max="14340" width="10.42578125" style="208" customWidth="1"/>
    <col min="14341" max="14341" width="9.7109375" style="208" bestFit="1" customWidth="1"/>
    <col min="14342" max="14343" width="9.5703125" style="208" bestFit="1" customWidth="1"/>
    <col min="14344" max="14344" width="10.42578125" style="208" bestFit="1" customWidth="1"/>
    <col min="14345" max="14345" width="4.5703125" style="208" customWidth="1"/>
    <col min="14346" max="14346" width="1.85546875" style="208" customWidth="1"/>
    <col min="14347" max="14347" width="7" style="208" bestFit="1" customWidth="1"/>
    <col min="14348" max="14348" width="6.28515625" style="208" customWidth="1"/>
    <col min="14349" max="14349" width="20.42578125" style="208" customWidth="1"/>
    <col min="14350" max="14350" width="6.42578125" style="208" bestFit="1" customWidth="1"/>
    <col min="14351" max="14352" width="8.42578125" style="208"/>
    <col min="14353" max="14353" width="3.28515625" style="208" customWidth="1"/>
    <col min="14354" max="14592" width="8.42578125" style="208"/>
    <col min="14593" max="14593" width="10" style="208" bestFit="1" customWidth="1"/>
    <col min="14594" max="14594" width="44.28515625" style="208" bestFit="1" customWidth="1"/>
    <col min="14595" max="14595" width="10.42578125" style="208" bestFit="1" customWidth="1"/>
    <col min="14596" max="14596" width="10.42578125" style="208" customWidth="1"/>
    <col min="14597" max="14597" width="9.7109375" style="208" bestFit="1" customWidth="1"/>
    <col min="14598" max="14599" width="9.5703125" style="208" bestFit="1" customWidth="1"/>
    <col min="14600" max="14600" width="10.42578125" style="208" bestFit="1" customWidth="1"/>
    <col min="14601" max="14601" width="4.5703125" style="208" customWidth="1"/>
    <col min="14602" max="14602" width="1.85546875" style="208" customWidth="1"/>
    <col min="14603" max="14603" width="7" style="208" bestFit="1" customWidth="1"/>
    <col min="14604" max="14604" width="6.28515625" style="208" customWidth="1"/>
    <col min="14605" max="14605" width="20.42578125" style="208" customWidth="1"/>
    <col min="14606" max="14606" width="6.42578125" style="208" bestFit="1" customWidth="1"/>
    <col min="14607" max="14608" width="8.42578125" style="208"/>
    <col min="14609" max="14609" width="3.28515625" style="208" customWidth="1"/>
    <col min="14610" max="14848" width="8.42578125" style="208"/>
    <col min="14849" max="14849" width="10" style="208" bestFit="1" customWidth="1"/>
    <col min="14850" max="14850" width="44.28515625" style="208" bestFit="1" customWidth="1"/>
    <col min="14851" max="14851" width="10.42578125" style="208" bestFit="1" customWidth="1"/>
    <col min="14852" max="14852" width="10.42578125" style="208" customWidth="1"/>
    <col min="14853" max="14853" width="9.7109375" style="208" bestFit="1" customWidth="1"/>
    <col min="14854" max="14855" width="9.5703125" style="208" bestFit="1" customWidth="1"/>
    <col min="14856" max="14856" width="10.42578125" style="208" bestFit="1" customWidth="1"/>
    <col min="14857" max="14857" width="4.5703125" style="208" customWidth="1"/>
    <col min="14858" max="14858" width="1.85546875" style="208" customWidth="1"/>
    <col min="14859" max="14859" width="7" style="208" bestFit="1" customWidth="1"/>
    <col min="14860" max="14860" width="6.28515625" style="208" customWidth="1"/>
    <col min="14861" max="14861" width="20.42578125" style="208" customWidth="1"/>
    <col min="14862" max="14862" width="6.42578125" style="208" bestFit="1" customWidth="1"/>
    <col min="14863" max="14864" width="8.42578125" style="208"/>
    <col min="14865" max="14865" width="3.28515625" style="208" customWidth="1"/>
    <col min="14866" max="15104" width="8.42578125" style="208"/>
    <col min="15105" max="15105" width="10" style="208" bestFit="1" customWidth="1"/>
    <col min="15106" max="15106" width="44.28515625" style="208" bestFit="1" customWidth="1"/>
    <col min="15107" max="15107" width="10.42578125" style="208" bestFit="1" customWidth="1"/>
    <col min="15108" max="15108" width="10.42578125" style="208" customWidth="1"/>
    <col min="15109" max="15109" width="9.7109375" style="208" bestFit="1" customWidth="1"/>
    <col min="15110" max="15111" width="9.5703125" style="208" bestFit="1" customWidth="1"/>
    <col min="15112" max="15112" width="10.42578125" style="208" bestFit="1" customWidth="1"/>
    <col min="15113" max="15113" width="4.5703125" style="208" customWidth="1"/>
    <col min="15114" max="15114" width="1.85546875" style="208" customWidth="1"/>
    <col min="15115" max="15115" width="7" style="208" bestFit="1" customWidth="1"/>
    <col min="15116" max="15116" width="6.28515625" style="208" customWidth="1"/>
    <col min="15117" max="15117" width="20.42578125" style="208" customWidth="1"/>
    <col min="15118" max="15118" width="6.42578125" style="208" bestFit="1" customWidth="1"/>
    <col min="15119" max="15120" width="8.42578125" style="208"/>
    <col min="15121" max="15121" width="3.28515625" style="208" customWidth="1"/>
    <col min="15122" max="15360" width="8.42578125" style="208"/>
    <col min="15361" max="15361" width="10" style="208" bestFit="1" customWidth="1"/>
    <col min="15362" max="15362" width="44.28515625" style="208" bestFit="1" customWidth="1"/>
    <col min="15363" max="15363" width="10.42578125" style="208" bestFit="1" customWidth="1"/>
    <col min="15364" max="15364" width="10.42578125" style="208" customWidth="1"/>
    <col min="15365" max="15365" width="9.7109375" style="208" bestFit="1" customWidth="1"/>
    <col min="15366" max="15367" width="9.5703125" style="208" bestFit="1" customWidth="1"/>
    <col min="15368" max="15368" width="10.42578125" style="208" bestFit="1" customWidth="1"/>
    <col min="15369" max="15369" width="4.5703125" style="208" customWidth="1"/>
    <col min="15370" max="15370" width="1.85546875" style="208" customWidth="1"/>
    <col min="15371" max="15371" width="7" style="208" bestFit="1" customWidth="1"/>
    <col min="15372" max="15372" width="6.28515625" style="208" customWidth="1"/>
    <col min="15373" max="15373" width="20.42578125" style="208" customWidth="1"/>
    <col min="15374" max="15374" width="6.42578125" style="208" bestFit="1" customWidth="1"/>
    <col min="15375" max="15376" width="8.42578125" style="208"/>
    <col min="15377" max="15377" width="3.28515625" style="208" customWidth="1"/>
    <col min="15378" max="15616" width="8.42578125" style="208"/>
    <col min="15617" max="15617" width="10" style="208" bestFit="1" customWidth="1"/>
    <col min="15618" max="15618" width="44.28515625" style="208" bestFit="1" customWidth="1"/>
    <col min="15619" max="15619" width="10.42578125" style="208" bestFit="1" customWidth="1"/>
    <col min="15620" max="15620" width="10.42578125" style="208" customWidth="1"/>
    <col min="15621" max="15621" width="9.7109375" style="208" bestFit="1" customWidth="1"/>
    <col min="15622" max="15623" width="9.5703125" style="208" bestFit="1" customWidth="1"/>
    <col min="15624" max="15624" width="10.42578125" style="208" bestFit="1" customWidth="1"/>
    <col min="15625" max="15625" width="4.5703125" style="208" customWidth="1"/>
    <col min="15626" max="15626" width="1.85546875" style="208" customWidth="1"/>
    <col min="15627" max="15627" width="7" style="208" bestFit="1" customWidth="1"/>
    <col min="15628" max="15628" width="6.28515625" style="208" customWidth="1"/>
    <col min="15629" max="15629" width="20.42578125" style="208" customWidth="1"/>
    <col min="15630" max="15630" width="6.42578125" style="208" bestFit="1" customWidth="1"/>
    <col min="15631" max="15632" width="8.42578125" style="208"/>
    <col min="15633" max="15633" width="3.28515625" style="208" customWidth="1"/>
    <col min="15634" max="15872" width="8.42578125" style="208"/>
    <col min="15873" max="15873" width="10" style="208" bestFit="1" customWidth="1"/>
    <col min="15874" max="15874" width="44.28515625" style="208" bestFit="1" customWidth="1"/>
    <col min="15875" max="15875" width="10.42578125" style="208" bestFit="1" customWidth="1"/>
    <col min="15876" max="15876" width="10.42578125" style="208" customWidth="1"/>
    <col min="15877" max="15877" width="9.7109375" style="208" bestFit="1" customWidth="1"/>
    <col min="15878" max="15879" width="9.5703125" style="208" bestFit="1" customWidth="1"/>
    <col min="15880" max="15880" width="10.42578125" style="208" bestFit="1" customWidth="1"/>
    <col min="15881" max="15881" width="4.5703125" style="208" customWidth="1"/>
    <col min="15882" max="15882" width="1.85546875" style="208" customWidth="1"/>
    <col min="15883" max="15883" width="7" style="208" bestFit="1" customWidth="1"/>
    <col min="15884" max="15884" width="6.28515625" style="208" customWidth="1"/>
    <col min="15885" max="15885" width="20.42578125" style="208" customWidth="1"/>
    <col min="15886" max="15886" width="6.42578125" style="208" bestFit="1" customWidth="1"/>
    <col min="15887" max="15888" width="8.42578125" style="208"/>
    <col min="15889" max="15889" width="3.28515625" style="208" customWidth="1"/>
    <col min="15890" max="16128" width="8.42578125" style="208"/>
    <col min="16129" max="16129" width="10" style="208" bestFit="1" customWidth="1"/>
    <col min="16130" max="16130" width="44.28515625" style="208" bestFit="1" customWidth="1"/>
    <col min="16131" max="16131" width="10.42578125" style="208" bestFit="1" customWidth="1"/>
    <col min="16132" max="16132" width="10.42578125" style="208" customWidth="1"/>
    <col min="16133" max="16133" width="9.7109375" style="208" bestFit="1" customWidth="1"/>
    <col min="16134" max="16135" width="9.5703125" style="208" bestFit="1" customWidth="1"/>
    <col min="16136" max="16136" width="10.42578125" style="208" bestFit="1" customWidth="1"/>
    <col min="16137" max="16137" width="4.5703125" style="208" customWidth="1"/>
    <col min="16138" max="16138" width="1.85546875" style="208" customWidth="1"/>
    <col min="16139" max="16139" width="7" style="208" bestFit="1" customWidth="1"/>
    <col min="16140" max="16140" width="6.28515625" style="208" customWidth="1"/>
    <col min="16141" max="16141" width="20.42578125" style="208" customWidth="1"/>
    <col min="16142" max="16142" width="6.42578125" style="208" bestFit="1" customWidth="1"/>
    <col min="16143" max="16144" width="8.42578125" style="208"/>
    <col min="16145" max="16145" width="3.28515625" style="208" customWidth="1"/>
    <col min="16146" max="16384" width="8.42578125" style="208"/>
  </cols>
  <sheetData>
    <row r="1" spans="1:10" ht="27.75" customHeight="1" x14ac:dyDescent="0.2">
      <c r="A1" s="203"/>
      <c r="B1" s="203"/>
      <c r="C1" s="203"/>
      <c r="D1" s="203"/>
      <c r="E1" s="204" t="s">
        <v>172</v>
      </c>
      <c r="F1" s="205" t="s">
        <v>173</v>
      </c>
      <c r="G1" s="205" t="s">
        <v>174</v>
      </c>
      <c r="H1" s="205" t="s">
        <v>175</v>
      </c>
      <c r="I1" s="206"/>
    </row>
    <row r="2" spans="1:10" ht="30.75" customHeight="1" x14ac:dyDescent="0.2">
      <c r="A2" s="203"/>
      <c r="B2" s="203"/>
      <c r="C2" s="203"/>
      <c r="D2" s="203"/>
      <c r="E2" s="209">
        <f>IFERROR(O62,"")</f>
        <v>85123</v>
      </c>
      <c r="F2" s="209">
        <f>IFERROR(H53,"")</f>
        <v>84700</v>
      </c>
      <c r="G2" s="209">
        <f>IFERROR(H54,"")</f>
        <v>0</v>
      </c>
      <c r="H2" s="209">
        <f>IFERROR(H56,"")</f>
        <v>231</v>
      </c>
      <c r="I2" s="210"/>
    </row>
    <row r="3" spans="1:10" ht="15" customHeight="1" x14ac:dyDescent="0.2">
      <c r="A3" s="203"/>
      <c r="B3" s="203"/>
      <c r="C3" s="203"/>
      <c r="D3" s="203"/>
      <c r="E3" s="203"/>
      <c r="F3" s="211"/>
      <c r="G3" s="211"/>
      <c r="H3" s="211"/>
      <c r="I3" s="211"/>
    </row>
    <row r="4" spans="1:10" ht="24.75" customHeight="1" thickBot="1" x14ac:dyDescent="0.25">
      <c r="A4" s="728"/>
      <c r="B4" s="728"/>
      <c r="C4" s="728"/>
      <c r="D4" s="728"/>
      <c r="E4" s="728"/>
      <c r="F4" s="728"/>
      <c r="G4" s="728"/>
      <c r="H4" s="728"/>
      <c r="I4" s="212"/>
    </row>
    <row r="5" spans="1:10" ht="19.5" customHeight="1" thickBot="1" x14ac:dyDescent="0.25">
      <c r="A5" s="729" t="s">
        <v>176</v>
      </c>
      <c r="B5" s="730"/>
      <c r="C5" s="730"/>
      <c r="D5" s="730"/>
      <c r="E5" s="730"/>
      <c r="F5" s="730"/>
      <c r="G5" s="730"/>
      <c r="H5" s="731"/>
      <c r="I5" s="213"/>
    </row>
    <row r="6" spans="1:10" ht="19.5" thickBot="1" x14ac:dyDescent="0.25">
      <c r="A6" s="213"/>
      <c r="B6" s="213"/>
      <c r="C6" s="213"/>
      <c r="D6" s="213"/>
      <c r="E6" s="213"/>
      <c r="F6" s="732" t="s">
        <v>177</v>
      </c>
      <c r="G6" s="732"/>
      <c r="H6" s="214">
        <f ca="1">TODAY()</f>
        <v>45831</v>
      </c>
      <c r="I6" s="214"/>
    </row>
    <row r="7" spans="1:10" ht="26.25" thickBot="1" x14ac:dyDescent="0.25">
      <c r="A7" s="215" t="s">
        <v>178</v>
      </c>
      <c r="B7" s="216" t="s">
        <v>179</v>
      </c>
      <c r="C7" s="216" t="s">
        <v>178</v>
      </c>
      <c r="D7" s="217" t="s">
        <v>180</v>
      </c>
      <c r="E7" s="217" t="s">
        <v>181</v>
      </c>
      <c r="F7" s="217" t="s">
        <v>182</v>
      </c>
      <c r="G7" s="217" t="s">
        <v>183</v>
      </c>
      <c r="H7" s="218" t="s">
        <v>184</v>
      </c>
      <c r="I7" s="219"/>
    </row>
    <row r="8" spans="1:10" ht="13.5" x14ac:dyDescent="0.25">
      <c r="A8" s="220">
        <v>10000</v>
      </c>
      <c r="B8" s="208" t="s">
        <v>106</v>
      </c>
      <c r="C8" s="221">
        <f>+A8</f>
        <v>10000</v>
      </c>
      <c r="D8" s="222" t="s">
        <v>223</v>
      </c>
      <c r="E8" s="222">
        <v>8.4700000000000006</v>
      </c>
      <c r="F8" s="222">
        <f>IFERROR(C8*E8,"")</f>
        <v>84700</v>
      </c>
      <c r="G8" s="223">
        <f t="shared" ref="G8:G14" si="0">IFERROR(F8/$F$66,"")</f>
        <v>0.97777777777777775</v>
      </c>
      <c r="H8" s="224" t="s">
        <v>105</v>
      </c>
      <c r="I8" s="224"/>
      <c r="J8" s="225"/>
    </row>
    <row r="9" spans="1:10" ht="13.5" hidden="1" x14ac:dyDescent="0.25">
      <c r="A9" s="220"/>
      <c r="B9" s="208" t="str">
        <f>IFERROR(VLOOKUP(H9,'[1]Consolidado MP Planta'!$A$2:$M$823,3,0),"")</f>
        <v/>
      </c>
      <c r="C9" s="221">
        <f t="shared" ref="C9:C14" si="1">+A9</f>
        <v>0</v>
      </c>
      <c r="D9" s="222" t="str">
        <f>IFERROR(VLOOKUP(H9,'[1]Consolidado MP Planta'!$A$2:$M$823,13,0),"")</f>
        <v/>
      </c>
      <c r="E9" s="222" t="str">
        <f>IFERROR(VLOOKUP(H9,'[1]Consolidado MP Planta'!$A$2:$M$823,12,0),"")</f>
        <v/>
      </c>
      <c r="F9" s="222" t="str">
        <f t="shared" ref="F9:F14" si="2">IFERROR(C9*E9,"")</f>
        <v/>
      </c>
      <c r="G9" s="223" t="str">
        <f t="shared" si="0"/>
        <v/>
      </c>
      <c r="H9" s="224"/>
      <c r="I9" s="224"/>
      <c r="J9" s="225"/>
    </row>
    <row r="10" spans="1:10" ht="13.5" hidden="1" x14ac:dyDescent="0.25">
      <c r="A10" s="220"/>
      <c r="B10" s="208" t="str">
        <f>IFERROR(VLOOKUP(H10,'[1]Consolidado MP Planta'!$A$2:$M$823,3,0),"")</f>
        <v/>
      </c>
      <c r="C10" s="221">
        <f t="shared" si="1"/>
        <v>0</v>
      </c>
      <c r="D10" s="222" t="str">
        <f>IFERROR(VLOOKUP(H10,'[1]Consolidado MP Planta'!$A$2:$M$823,13,0),"")</f>
        <v/>
      </c>
      <c r="E10" s="222" t="str">
        <f>IFERROR(VLOOKUP(H10,'[1]Consolidado MP Planta'!$A$2:$M$823,12,0),"")</f>
        <v/>
      </c>
      <c r="F10" s="222" t="str">
        <f t="shared" si="2"/>
        <v/>
      </c>
      <c r="G10" s="223" t="str">
        <f t="shared" si="0"/>
        <v/>
      </c>
      <c r="H10" s="224"/>
      <c r="I10" s="224"/>
      <c r="J10" s="225"/>
    </row>
    <row r="11" spans="1:10" ht="13.5" hidden="1" x14ac:dyDescent="0.25">
      <c r="A11" s="220"/>
      <c r="B11" s="208" t="str">
        <f>IFERROR(VLOOKUP(H11,'[1]Consolidado MP Planta'!$A$2:$M$823,3,0),"")</f>
        <v/>
      </c>
      <c r="C11" s="221">
        <f t="shared" si="1"/>
        <v>0</v>
      </c>
      <c r="D11" s="222" t="str">
        <f>IFERROR(VLOOKUP(H11,'[1]Consolidado MP Planta'!$A$2:$M$823,13,0),"")</f>
        <v/>
      </c>
      <c r="E11" s="222" t="str">
        <f>IFERROR(VLOOKUP(H11,'[1]Consolidado MP Planta'!$A$2:$M$823,12,0),"")</f>
        <v/>
      </c>
      <c r="F11" s="222" t="str">
        <f t="shared" si="2"/>
        <v/>
      </c>
      <c r="G11" s="223" t="str">
        <f t="shared" si="0"/>
        <v/>
      </c>
      <c r="H11" s="224"/>
      <c r="I11" s="224"/>
      <c r="J11" s="225"/>
    </row>
    <row r="12" spans="1:10" ht="13.5" hidden="1" x14ac:dyDescent="0.25">
      <c r="A12" s="220"/>
      <c r="B12" s="208" t="str">
        <f>IFERROR(VLOOKUP(H12,'[1]Consolidado MP Planta'!$A$2:$M$823,3,0),"")</f>
        <v/>
      </c>
      <c r="C12" s="221">
        <f t="shared" si="1"/>
        <v>0</v>
      </c>
      <c r="D12" s="222" t="str">
        <f>IFERROR(VLOOKUP(H12,'[1]Consolidado MP Planta'!$A$2:$M$823,13,0),"")</f>
        <v/>
      </c>
      <c r="E12" s="222" t="str">
        <f>IFERROR(VLOOKUP(H12,'[1]Consolidado MP Planta'!$A$2:$M$823,12,0),"")</f>
        <v/>
      </c>
      <c r="F12" s="222" t="str">
        <f t="shared" si="2"/>
        <v/>
      </c>
      <c r="G12" s="223" t="str">
        <f t="shared" si="0"/>
        <v/>
      </c>
      <c r="H12" s="224"/>
      <c r="I12" s="224"/>
      <c r="J12" s="225"/>
    </row>
    <row r="13" spans="1:10" ht="13.5" hidden="1" x14ac:dyDescent="0.25">
      <c r="A13" s="220"/>
      <c r="B13" s="208" t="str">
        <f>IFERROR(VLOOKUP(H13,'[1]Consolidado MP Planta'!$A$2:$M$823,3,0),"")</f>
        <v/>
      </c>
      <c r="C13" s="221">
        <f t="shared" si="1"/>
        <v>0</v>
      </c>
      <c r="D13" s="222" t="str">
        <f>IFERROR(VLOOKUP(H13,'[1]Consolidado MP Planta'!$A$2:$M$823,13,0),"")</f>
        <v/>
      </c>
      <c r="E13" s="222" t="str">
        <f>IFERROR(VLOOKUP(H13,'[1]Consolidado MP Planta'!$A$2:$M$823,12,0),"")</f>
        <v/>
      </c>
      <c r="F13" s="222" t="str">
        <f t="shared" si="2"/>
        <v/>
      </c>
      <c r="G13" s="223" t="str">
        <f t="shared" si="0"/>
        <v/>
      </c>
      <c r="H13" s="224"/>
      <c r="I13" s="224"/>
      <c r="J13" s="225"/>
    </row>
    <row r="14" spans="1:10" ht="13.5" hidden="1" x14ac:dyDescent="0.25">
      <c r="A14" s="220"/>
      <c r="B14" s="208" t="str">
        <f>IFERROR(VLOOKUP(H14,'[1]Consolidado MP Planta'!$A$2:$M$823,3,0),"")</f>
        <v/>
      </c>
      <c r="C14" s="221">
        <f t="shared" si="1"/>
        <v>0</v>
      </c>
      <c r="D14" s="222" t="str">
        <f>IFERROR(VLOOKUP(H14,'[1]Consolidado MP Planta'!$A$2:$M$823,13,0),"")</f>
        <v/>
      </c>
      <c r="E14" s="222" t="str">
        <f>IFERROR(VLOOKUP(H14,'[1]Consolidado MP Planta'!$A$2:$M$823,12,0),"")</f>
        <v/>
      </c>
      <c r="F14" s="222" t="str">
        <f t="shared" si="2"/>
        <v/>
      </c>
      <c r="G14" s="223" t="str">
        <f t="shared" si="0"/>
        <v/>
      </c>
      <c r="H14" s="224"/>
      <c r="I14" s="224"/>
      <c r="J14" s="225"/>
    </row>
    <row r="15" spans="1:10" ht="14.25" thickBot="1" x14ac:dyDescent="0.3">
      <c r="A15" s="220"/>
      <c r="B15" s="208" t="str">
        <f>IFERROR(VLOOKUP(H15,'[2]ARTICULOS MP PLANTA'!$A$2:$G$589,2,0),"")</f>
        <v/>
      </c>
      <c r="C15" s="221"/>
      <c r="D15" s="222"/>
      <c r="E15" s="222"/>
      <c r="F15" s="222"/>
      <c r="G15" s="223"/>
      <c r="H15" s="224"/>
      <c r="I15" s="224"/>
      <c r="J15" s="225"/>
    </row>
    <row r="16" spans="1:10" ht="26.25" hidden="1" thickBot="1" x14ac:dyDescent="0.25">
      <c r="A16" s="215" t="s">
        <v>178</v>
      </c>
      <c r="B16" s="216" t="s">
        <v>185</v>
      </c>
      <c r="C16" s="216" t="s">
        <v>178</v>
      </c>
      <c r="D16" s="217" t="s">
        <v>180</v>
      </c>
      <c r="E16" s="217" t="s">
        <v>181</v>
      </c>
      <c r="F16" s="217" t="s">
        <v>182</v>
      </c>
      <c r="G16" s="217" t="s">
        <v>183</v>
      </c>
      <c r="H16" s="218" t="s">
        <v>184</v>
      </c>
      <c r="I16" s="219"/>
      <c r="J16" s="225"/>
    </row>
    <row r="17" spans="1:12" ht="13.5" hidden="1" x14ac:dyDescent="0.25">
      <c r="A17" s="220"/>
      <c r="B17" s="208" t="str">
        <f>IFERROR(VLOOKUP(H17,[1]SEMIELABORADOS!$A$2:$M$6000,2,0),"")</f>
        <v/>
      </c>
      <c r="C17" s="221">
        <f>+A17</f>
        <v>0</v>
      </c>
      <c r="D17" s="221" t="str">
        <f>IFERROR(VLOOKUP(H17,[1]SEMIELABORADOS!$A$2:$M$6000,6,0),"")</f>
        <v/>
      </c>
      <c r="E17" s="222" t="str">
        <f>IFERROR(VLOOKUP(H17,[1]SEMIELABORADOS!$A$2:$H$65536,8,0),"")</f>
        <v/>
      </c>
      <c r="F17" s="222" t="str">
        <f>IFERROR(E17*C17,"")</f>
        <v/>
      </c>
      <c r="G17" s="223" t="str">
        <f t="shared" ref="G17:G24" si="3">IFERROR(F17/$F$66,"")</f>
        <v/>
      </c>
      <c r="H17" s="224"/>
      <c r="I17" s="224"/>
      <c r="J17" s="225"/>
    </row>
    <row r="18" spans="1:12" ht="13.5" hidden="1" x14ac:dyDescent="0.25">
      <c r="A18" s="220"/>
      <c r="B18" s="208" t="str">
        <f>IFERROR(VLOOKUP(H18,[1]SEMIELABORADOS!$A$2:$M$6000,2,0),"")</f>
        <v/>
      </c>
      <c r="C18" s="221">
        <f t="shared" ref="C18:C24" si="4">+A18</f>
        <v>0</v>
      </c>
      <c r="D18" s="221" t="str">
        <f>IFERROR(VLOOKUP(H18,[1]SEMIELABORADOS!$A$2:$M$6000,6,0),"")</f>
        <v/>
      </c>
      <c r="E18" s="222" t="str">
        <f>IFERROR(VLOOKUP(H18,[1]SEMIELABORADOS!$A$2:$H$65536,8,0),"")</f>
        <v/>
      </c>
      <c r="F18" s="222" t="str">
        <f t="shared" ref="F18:F24" si="5">IFERROR(E18*C18,"")</f>
        <v/>
      </c>
      <c r="G18" s="223" t="str">
        <f t="shared" si="3"/>
        <v/>
      </c>
      <c r="H18" s="224"/>
      <c r="I18" s="224"/>
      <c r="J18" s="225"/>
    </row>
    <row r="19" spans="1:12" ht="13.5" hidden="1" x14ac:dyDescent="0.25">
      <c r="A19" s="220"/>
      <c r="B19" s="208" t="str">
        <f>IFERROR(VLOOKUP(H19,[1]SEMIELABORADOS!$A$2:$M$6000,2,0),"")</f>
        <v/>
      </c>
      <c r="C19" s="221">
        <f>+A19</f>
        <v>0</v>
      </c>
      <c r="D19" s="221" t="str">
        <f>IFERROR(VLOOKUP(H19,[1]SEMIELABORADOS!$A$2:$M$6000,6,0),"")</f>
        <v/>
      </c>
      <c r="E19" s="222" t="str">
        <f>IFERROR(VLOOKUP(H19,[1]SEMIELABORADOS!$A$2:$H$65536,8,0),"")</f>
        <v/>
      </c>
      <c r="F19" s="222" t="str">
        <f>IFERROR(E19*C19,"")</f>
        <v/>
      </c>
      <c r="G19" s="223" t="str">
        <f t="shared" si="3"/>
        <v/>
      </c>
      <c r="H19" s="224"/>
      <c r="I19" s="224"/>
      <c r="J19" s="225"/>
    </row>
    <row r="20" spans="1:12" ht="13.5" hidden="1" x14ac:dyDescent="0.25">
      <c r="A20" s="220"/>
      <c r="B20" s="208" t="str">
        <f>IFERROR(VLOOKUP(H20,[1]SEMIELABORADOS!$A$2:$M$6000,2,0),"")</f>
        <v/>
      </c>
      <c r="C20" s="221">
        <f>+A20</f>
        <v>0</v>
      </c>
      <c r="D20" s="221" t="str">
        <f>IFERROR(VLOOKUP(H20,[1]SEMIELABORADOS!$A$2:$M$6000,6,0),"")</f>
        <v/>
      </c>
      <c r="E20" s="222" t="str">
        <f>IFERROR(VLOOKUP(H20,[1]SEMIELABORADOS!$A$2:$H$65536,8,0),"")</f>
        <v/>
      </c>
      <c r="F20" s="222" t="str">
        <f>IFERROR(E20*C20,"")</f>
        <v/>
      </c>
      <c r="G20" s="223" t="str">
        <f t="shared" si="3"/>
        <v/>
      </c>
      <c r="H20" s="224"/>
      <c r="I20" s="224"/>
      <c r="J20" s="225"/>
    </row>
    <row r="21" spans="1:12" ht="13.5" hidden="1" x14ac:dyDescent="0.25">
      <c r="A21" s="220"/>
      <c r="B21" s="208" t="str">
        <f>IFERROR(VLOOKUP(H21,[1]SEMIELABORADOS!$A$2:$M$6000,2,0),"")</f>
        <v/>
      </c>
      <c r="C21" s="221">
        <f>+A21</f>
        <v>0</v>
      </c>
      <c r="D21" s="221" t="str">
        <f>IFERROR(VLOOKUP(H21,[1]SEMIELABORADOS!$A$2:$M$6000,6,0),"")</f>
        <v/>
      </c>
      <c r="E21" s="222" t="str">
        <f>IFERROR(VLOOKUP(H21,[1]SEMIELABORADOS!$A$2:$H$65536,8,0),"")</f>
        <v/>
      </c>
      <c r="F21" s="222" t="str">
        <f>IFERROR(E21*C21,"")</f>
        <v/>
      </c>
      <c r="G21" s="223" t="str">
        <f t="shared" si="3"/>
        <v/>
      </c>
      <c r="H21" s="224"/>
      <c r="I21" s="224"/>
      <c r="J21" s="225"/>
    </row>
    <row r="22" spans="1:12" ht="13.5" hidden="1" x14ac:dyDescent="0.25">
      <c r="A22" s="220"/>
      <c r="B22" s="208" t="str">
        <f>IFERROR(VLOOKUP(H22,[1]SEMIELABORADOS!$A$2:$M$6000,2,0),"")</f>
        <v/>
      </c>
      <c r="C22" s="221">
        <f t="shared" si="4"/>
        <v>0</v>
      </c>
      <c r="D22" s="221" t="str">
        <f>IFERROR(VLOOKUP(H22,[1]SEMIELABORADOS!$A$2:$M$6000,6,0),"")</f>
        <v/>
      </c>
      <c r="E22" s="222" t="str">
        <f>IFERROR(VLOOKUP(H22,[1]SEMIELABORADOS!$A$2:$H$65536,8,0),"")</f>
        <v/>
      </c>
      <c r="F22" s="222" t="str">
        <f t="shared" si="5"/>
        <v/>
      </c>
      <c r="G22" s="223" t="str">
        <f t="shared" si="3"/>
        <v/>
      </c>
      <c r="H22" s="224"/>
      <c r="I22" s="224"/>
      <c r="J22" s="225"/>
    </row>
    <row r="23" spans="1:12" ht="13.5" hidden="1" x14ac:dyDescent="0.25">
      <c r="A23" s="220"/>
      <c r="B23" s="208" t="str">
        <f>IFERROR(VLOOKUP(H23,[1]SEMIELABORADOS!$A$2:$M$6000,2,0),"")</f>
        <v/>
      </c>
      <c r="C23" s="221">
        <f t="shared" si="4"/>
        <v>0</v>
      </c>
      <c r="D23" s="221" t="str">
        <f>IFERROR(VLOOKUP(H23,[1]SEMIELABORADOS!$A$2:$M$6000,6,0),"")</f>
        <v/>
      </c>
      <c r="E23" s="222" t="str">
        <f>IFERROR(VLOOKUP(H23,[1]SEMIELABORADOS!$A$2:$H$65536,8,0),"")</f>
        <v/>
      </c>
      <c r="F23" s="222" t="str">
        <f t="shared" si="5"/>
        <v/>
      </c>
      <c r="G23" s="223" t="str">
        <f t="shared" si="3"/>
        <v/>
      </c>
      <c r="H23" s="224"/>
      <c r="I23" s="224"/>
      <c r="J23" s="225"/>
    </row>
    <row r="24" spans="1:12" ht="13.5" hidden="1" x14ac:dyDescent="0.25">
      <c r="A24" s="220"/>
      <c r="B24" s="208" t="str">
        <f>IFERROR(VLOOKUP(H24,[1]SEMIELABORADOS!$A$2:$M$6000,2,0),"")</f>
        <v/>
      </c>
      <c r="C24" s="221">
        <f t="shared" si="4"/>
        <v>0</v>
      </c>
      <c r="D24" s="221" t="str">
        <f>IFERROR(VLOOKUP(H24,[1]SEMIELABORADOS!$A$2:$M$6000,6,0),"")</f>
        <v/>
      </c>
      <c r="E24" s="222" t="str">
        <f>IFERROR(VLOOKUP(H24,[1]SEMIELABORADOS!$A$2:$H$65536,8,0),"")</f>
        <v/>
      </c>
      <c r="F24" s="222" t="str">
        <f t="shared" si="5"/>
        <v/>
      </c>
      <c r="G24" s="223" t="str">
        <f t="shared" si="3"/>
        <v/>
      </c>
      <c r="H24" s="224"/>
      <c r="I24" s="224"/>
      <c r="J24" s="225"/>
    </row>
    <row r="25" spans="1:12" ht="14.25" hidden="1" thickBot="1" x14ac:dyDescent="0.3">
      <c r="A25" s="220"/>
      <c r="C25" s="221"/>
      <c r="D25" s="221"/>
      <c r="E25" s="222"/>
      <c r="F25" s="222"/>
      <c r="G25" s="223"/>
      <c r="H25" s="224"/>
      <c r="I25" s="224"/>
      <c r="J25" s="225"/>
    </row>
    <row r="26" spans="1:12" ht="26.25" hidden="1" thickBot="1" x14ac:dyDescent="0.25">
      <c r="A26" s="215" t="s">
        <v>178</v>
      </c>
      <c r="B26" s="216" t="s">
        <v>24</v>
      </c>
      <c r="C26" s="216" t="s">
        <v>178</v>
      </c>
      <c r="D26" s="217" t="s">
        <v>180</v>
      </c>
      <c r="E26" s="217" t="s">
        <v>181</v>
      </c>
      <c r="F26" s="217" t="s">
        <v>182</v>
      </c>
      <c r="G26" s="217" t="s">
        <v>183</v>
      </c>
      <c r="H26" s="218" t="s">
        <v>184</v>
      </c>
      <c r="I26" s="219"/>
    </row>
    <row r="27" spans="1:12" ht="13.5" hidden="1" x14ac:dyDescent="0.25">
      <c r="A27" s="220">
        <v>0</v>
      </c>
      <c r="B27" s="226" t="str">
        <f>IFERROR(VLOOKUP(H27,'[1]Consolidado MP Planta'!$A$2:$M$823,3,0),"")</f>
        <v/>
      </c>
      <c r="C27" s="221">
        <f t="shared" ref="C27:C32" si="6">+A27</f>
        <v>0</v>
      </c>
      <c r="D27" s="222" t="str">
        <f>IFERROR(VLOOKUP(H27,'[1]Consolidado MP Planta'!$A$2:$M$823,13,0),"")</f>
        <v/>
      </c>
      <c r="E27" s="222" t="str">
        <f>IFERROR(VLOOKUP(H27,'[1]Consolidado MP Planta'!$A$2:$M$823,12,0),"")</f>
        <v/>
      </c>
      <c r="F27" s="222" t="str">
        <f t="shared" ref="F27:F32" si="7">IFERROR(C27*E27,"")</f>
        <v/>
      </c>
      <c r="G27" s="223" t="str">
        <f t="shared" ref="G27:G32" si="8">IFERROR(F27/$F$66,"")</f>
        <v/>
      </c>
      <c r="H27" s="227"/>
      <c r="I27" s="227"/>
      <c r="J27" s="225"/>
      <c r="K27" s="727"/>
      <c r="L27" s="727"/>
    </row>
    <row r="28" spans="1:12" ht="13.5" hidden="1" x14ac:dyDescent="0.25">
      <c r="A28" s="220"/>
      <c r="B28" s="226" t="str">
        <f>IFERROR(VLOOKUP(H28,'[1]Consolidado MP Planta'!$A$2:$M$823,3,0),"")</f>
        <v/>
      </c>
      <c r="C28" s="221">
        <f t="shared" si="6"/>
        <v>0</v>
      </c>
      <c r="D28" s="222" t="str">
        <f>IFERROR(VLOOKUP(H28,'[1]Consolidado MP Planta'!$A$2:$M$823,13,0),"")</f>
        <v/>
      </c>
      <c r="E28" s="222" t="str">
        <f>IFERROR(VLOOKUP(H28,'[1]Consolidado MP Planta'!$A$2:$M$823,12,0),"")</f>
        <v/>
      </c>
      <c r="F28" s="222" t="str">
        <f t="shared" si="7"/>
        <v/>
      </c>
      <c r="G28" s="223" t="str">
        <f t="shared" si="8"/>
        <v/>
      </c>
      <c r="H28" s="227"/>
      <c r="I28" s="227"/>
      <c r="J28" s="225"/>
      <c r="K28" s="727"/>
      <c r="L28" s="727"/>
    </row>
    <row r="29" spans="1:12" ht="13.5" hidden="1" x14ac:dyDescent="0.25">
      <c r="A29" s="220"/>
      <c r="B29" s="226" t="str">
        <f>IFERROR(VLOOKUP(H29,'[1]Consolidado MP Planta'!$A$2:$M$823,3,0),"")</f>
        <v/>
      </c>
      <c r="C29" s="221">
        <f t="shared" si="6"/>
        <v>0</v>
      </c>
      <c r="D29" s="222" t="str">
        <f>IFERROR(VLOOKUP(H29,'[1]Consolidado MP Planta'!$A$2:$M$823,13,0),"")</f>
        <v/>
      </c>
      <c r="E29" s="222" t="str">
        <f>IFERROR(VLOOKUP(H29,'[1]Consolidado MP Planta'!$A$2:$M$823,12,0),"")</f>
        <v/>
      </c>
      <c r="F29" s="222" t="str">
        <f t="shared" si="7"/>
        <v/>
      </c>
      <c r="G29" s="223" t="str">
        <f t="shared" si="8"/>
        <v/>
      </c>
      <c r="H29" s="227"/>
      <c r="I29" s="227"/>
      <c r="J29" s="225"/>
      <c r="K29" s="727"/>
      <c r="L29" s="727"/>
    </row>
    <row r="30" spans="1:12" ht="13.5" hidden="1" x14ac:dyDescent="0.25">
      <c r="A30" s="220"/>
      <c r="B30" s="226" t="str">
        <f>IFERROR(VLOOKUP(H30,'[1]Consolidado MP Planta'!$A$2:$M$823,3,0),"")</f>
        <v/>
      </c>
      <c r="C30" s="221">
        <f t="shared" si="6"/>
        <v>0</v>
      </c>
      <c r="D30" s="222" t="str">
        <f>IFERROR(VLOOKUP(H30,'[1]Consolidado MP Planta'!$A$2:$M$823,13,0),"")</f>
        <v/>
      </c>
      <c r="E30" s="222" t="str">
        <f>IFERROR(VLOOKUP(H30,'[1]Consolidado MP Planta'!$A$2:$M$823,12,0),"")</f>
        <v/>
      </c>
      <c r="F30" s="222" t="str">
        <f t="shared" si="7"/>
        <v/>
      </c>
      <c r="G30" s="223" t="str">
        <f t="shared" si="8"/>
        <v/>
      </c>
      <c r="H30" s="227"/>
      <c r="I30" s="227"/>
      <c r="J30" s="225"/>
      <c r="K30" s="727"/>
      <c r="L30" s="727"/>
    </row>
    <row r="31" spans="1:12" ht="13.5" hidden="1" x14ac:dyDescent="0.25">
      <c r="A31" s="220"/>
      <c r="B31" s="226" t="str">
        <f>IFERROR(VLOOKUP(H31,'[1]Consolidado MP Planta'!$A$2:$M$823,3,0),"")</f>
        <v/>
      </c>
      <c r="C31" s="221">
        <f t="shared" si="6"/>
        <v>0</v>
      </c>
      <c r="D31" s="222" t="str">
        <f>IFERROR(VLOOKUP(H31,'[1]Consolidado MP Planta'!$A$2:$M$823,13,0),"")</f>
        <v/>
      </c>
      <c r="E31" s="222" t="str">
        <f>IFERROR(VLOOKUP(H31,'[1]Consolidado MP Planta'!$A$2:$M$823,12,0),"")</f>
        <v/>
      </c>
      <c r="F31" s="222" t="str">
        <f t="shared" si="7"/>
        <v/>
      </c>
      <c r="G31" s="223" t="str">
        <f t="shared" si="8"/>
        <v/>
      </c>
      <c r="H31" s="227"/>
      <c r="I31" s="227"/>
      <c r="J31" s="225"/>
      <c r="K31" s="228"/>
      <c r="L31" s="229"/>
    </row>
    <row r="32" spans="1:12" ht="13.5" hidden="1" x14ac:dyDescent="0.25">
      <c r="A32" s="220"/>
      <c r="B32" s="226" t="str">
        <f>IFERROR(VLOOKUP(H32,'[1]Consolidado MP Planta'!$A$2:$M$823,3,0),"")</f>
        <v/>
      </c>
      <c r="C32" s="221">
        <f t="shared" si="6"/>
        <v>0</v>
      </c>
      <c r="D32" s="222" t="str">
        <f>IFERROR(VLOOKUP(H32,'[1]Consolidado MP Planta'!$A$2:$M$823,13,0),"")</f>
        <v/>
      </c>
      <c r="E32" s="222" t="str">
        <f>IFERROR(VLOOKUP(H32,'[1]Consolidado MP Planta'!$A$2:$M$823,12,0),"")</f>
        <v/>
      </c>
      <c r="F32" s="222" t="str">
        <f t="shared" si="7"/>
        <v/>
      </c>
      <c r="G32" s="223" t="str">
        <f t="shared" si="8"/>
        <v/>
      </c>
      <c r="H32" s="227"/>
      <c r="I32" s="227"/>
      <c r="J32" s="225"/>
    </row>
    <row r="33" spans="1:13" ht="14.25" hidden="1" thickBot="1" x14ac:dyDescent="0.3">
      <c r="A33" s="220"/>
      <c r="B33" s="226"/>
      <c r="C33" s="221"/>
      <c r="D33" s="222"/>
      <c r="E33" s="222"/>
      <c r="F33" s="222"/>
      <c r="G33" s="223"/>
      <c r="H33" s="227"/>
      <c r="I33" s="227"/>
      <c r="J33" s="225"/>
    </row>
    <row r="34" spans="1:13" ht="26.25" hidden="1" thickBot="1" x14ac:dyDescent="0.25">
      <c r="A34" s="215" t="s">
        <v>178</v>
      </c>
      <c r="B34" s="216" t="s">
        <v>186</v>
      </c>
      <c r="C34" s="216" t="s">
        <v>178</v>
      </c>
      <c r="D34" s="217" t="s">
        <v>180</v>
      </c>
      <c r="E34" s="217" t="s">
        <v>181</v>
      </c>
      <c r="F34" s="217" t="s">
        <v>182</v>
      </c>
      <c r="G34" s="217" t="s">
        <v>183</v>
      </c>
      <c r="H34" s="218" t="s">
        <v>184</v>
      </c>
      <c r="I34" s="227"/>
      <c r="J34" s="225"/>
    </row>
    <row r="35" spans="1:13" ht="13.5" hidden="1" x14ac:dyDescent="0.25">
      <c r="A35" s="220">
        <f>+A17</f>
        <v>0</v>
      </c>
      <c r="B35" s="226" t="str">
        <f>IFERROR(VLOOKUP(H35,[1]SEMIELABORADOS!$A$2:$M$6000,2,0),"")</f>
        <v/>
      </c>
      <c r="C35" s="221">
        <f>+A35</f>
        <v>0</v>
      </c>
      <c r="D35" s="222" t="str">
        <f>IFERROR(VLOOKUP(H35,[1]SEMIELABORADOS!$A$2:$M$6000,6,0),"")</f>
        <v/>
      </c>
      <c r="E35" s="222" t="str">
        <f>IFERROR(VLOOKUP(H35,[1]SEMIELABORADOS!$A$2:$M$65536,10,0),"")</f>
        <v/>
      </c>
      <c r="F35" s="222" t="str">
        <f>IFERROR(E35*C35,"")</f>
        <v/>
      </c>
      <c r="G35" s="223" t="str">
        <f t="shared" ref="G35:G41" si="9">IFERROR(F35/$F$66,"")</f>
        <v/>
      </c>
      <c r="H35" s="227"/>
      <c r="I35" s="227"/>
      <c r="J35" s="225"/>
    </row>
    <row r="36" spans="1:13" ht="13.5" hidden="1" x14ac:dyDescent="0.25">
      <c r="A36" s="220">
        <f t="shared" ref="A36:A41" si="10">+A18</f>
        <v>0</v>
      </c>
      <c r="B36" s="226" t="str">
        <f>IFERROR(VLOOKUP(H36,[1]SEMIELABORADOS!$A$2:$M$6000,2,0),"")</f>
        <v/>
      </c>
      <c r="C36" s="221">
        <f t="shared" ref="C36:C41" si="11">+A36</f>
        <v>0</v>
      </c>
      <c r="D36" s="222" t="str">
        <f>IFERROR(VLOOKUP(H36,[1]SEMIELABORADOS!$A$2:$M$6000,6,0),"")</f>
        <v/>
      </c>
      <c r="E36" s="222" t="str">
        <f>IFERROR(VLOOKUP(H36,[1]SEMIELABORADOS!$A$2:$M$65536,10,0),"")</f>
        <v/>
      </c>
      <c r="F36" s="222" t="str">
        <f t="shared" ref="F36:F41" si="12">IFERROR(E36*C36,"")</f>
        <v/>
      </c>
      <c r="G36" s="223" t="str">
        <f t="shared" si="9"/>
        <v/>
      </c>
      <c r="H36" s="227"/>
      <c r="I36" s="227"/>
      <c r="J36" s="225"/>
    </row>
    <row r="37" spans="1:13" ht="13.5" hidden="1" x14ac:dyDescent="0.25">
      <c r="A37" s="220">
        <f t="shared" si="10"/>
        <v>0</v>
      </c>
      <c r="B37" s="226" t="str">
        <f>IFERROR(VLOOKUP(H37,[1]SEMIELABORADOS!$A$2:$M$6000,2,0),"")</f>
        <v/>
      </c>
      <c r="C37" s="221">
        <f t="shared" si="11"/>
        <v>0</v>
      </c>
      <c r="D37" s="222" t="str">
        <f>IFERROR(VLOOKUP(H37,[1]SEMIELABORADOS!$A$2:$M$6000,6,0),"")</f>
        <v/>
      </c>
      <c r="E37" s="222" t="str">
        <f>IFERROR(VLOOKUP(H37,[1]SEMIELABORADOS!$A$2:$M$65536,10,0),"")</f>
        <v/>
      </c>
      <c r="F37" s="222" t="str">
        <f t="shared" si="12"/>
        <v/>
      </c>
      <c r="G37" s="223" t="str">
        <f t="shared" si="9"/>
        <v/>
      </c>
      <c r="H37" s="227"/>
      <c r="I37" s="227"/>
      <c r="J37" s="225"/>
    </row>
    <row r="38" spans="1:13" ht="13.5" hidden="1" x14ac:dyDescent="0.25">
      <c r="A38" s="220">
        <f t="shared" si="10"/>
        <v>0</v>
      </c>
      <c r="B38" s="226" t="str">
        <f>IFERROR(VLOOKUP(H38,[1]SEMIELABORADOS!$A$2:$M$6000,2,0),"")</f>
        <v/>
      </c>
      <c r="C38" s="221">
        <f>+A38</f>
        <v>0</v>
      </c>
      <c r="D38" s="222" t="str">
        <f>IFERROR(VLOOKUP(H38,[1]SEMIELABORADOS!$A$2:$M$6000,6,0),"")</f>
        <v/>
      </c>
      <c r="E38" s="222" t="str">
        <f>IFERROR(VLOOKUP(H38,[1]SEMIELABORADOS!$A$2:$M$65536,10,0),"")</f>
        <v/>
      </c>
      <c r="F38" s="222" t="str">
        <f>IFERROR(E38*C38,"")</f>
        <v/>
      </c>
      <c r="G38" s="223" t="str">
        <f t="shared" si="9"/>
        <v/>
      </c>
      <c r="H38" s="227"/>
      <c r="I38" s="227"/>
      <c r="J38" s="225"/>
    </row>
    <row r="39" spans="1:13" ht="13.5" hidden="1" x14ac:dyDescent="0.25">
      <c r="A39" s="220">
        <f t="shared" si="10"/>
        <v>0</v>
      </c>
      <c r="B39" s="226" t="str">
        <f>IFERROR(VLOOKUP(H39,[1]SEMIELABORADOS!$A$2:$M$6000,2,0),"")</f>
        <v/>
      </c>
      <c r="C39" s="221">
        <f>+A39</f>
        <v>0</v>
      </c>
      <c r="D39" s="222" t="str">
        <f>IFERROR(VLOOKUP(H39,[1]SEMIELABORADOS!$A$2:$M$6000,6,0),"")</f>
        <v/>
      </c>
      <c r="E39" s="222" t="str">
        <f>IFERROR(VLOOKUP(H39,[1]SEMIELABORADOS!$A$2:$M$65536,10,0),"")</f>
        <v/>
      </c>
      <c r="F39" s="222" t="str">
        <f>IFERROR(E39*C39,"")</f>
        <v/>
      </c>
      <c r="G39" s="223" t="str">
        <f t="shared" si="9"/>
        <v/>
      </c>
      <c r="H39" s="227"/>
      <c r="I39" s="227"/>
      <c r="J39" s="225"/>
    </row>
    <row r="40" spans="1:13" ht="13.5" hidden="1" x14ac:dyDescent="0.25">
      <c r="A40" s="220">
        <f t="shared" si="10"/>
        <v>0</v>
      </c>
      <c r="B40" s="226" t="str">
        <f>IFERROR(VLOOKUP(H40,[1]SEMIELABORADOS!$A$2:$M$6000,2,0),"")</f>
        <v/>
      </c>
      <c r="C40" s="221">
        <f t="shared" si="11"/>
        <v>0</v>
      </c>
      <c r="D40" s="222" t="str">
        <f>IFERROR(VLOOKUP(H40,[1]SEMIELABORADOS!$A$2:$M$6000,6,0),"")</f>
        <v/>
      </c>
      <c r="E40" s="222" t="str">
        <f>IFERROR(VLOOKUP(H40,[1]SEMIELABORADOS!$A$2:$M$65536,10,0),"")</f>
        <v/>
      </c>
      <c r="F40" s="222" t="str">
        <f t="shared" si="12"/>
        <v/>
      </c>
      <c r="G40" s="223" t="str">
        <f t="shared" si="9"/>
        <v/>
      </c>
      <c r="H40" s="227"/>
      <c r="I40" s="227"/>
      <c r="J40" s="225"/>
    </row>
    <row r="41" spans="1:13" ht="13.5" hidden="1" x14ac:dyDescent="0.25">
      <c r="A41" s="220">
        <f t="shared" si="10"/>
        <v>0</v>
      </c>
      <c r="B41" s="226" t="str">
        <f>IFERROR(VLOOKUP(H41,[1]SEMIELABORADOS!$A$2:$M$6000,2,0),"")</f>
        <v/>
      </c>
      <c r="C41" s="221">
        <f t="shared" si="11"/>
        <v>0</v>
      </c>
      <c r="D41" s="222" t="str">
        <f>IFERROR(VLOOKUP(H41,[1]SEMIELABORADOS!$A$2:$M$6000,6,0),"")</f>
        <v/>
      </c>
      <c r="E41" s="222" t="str">
        <f>IFERROR(VLOOKUP(H41,[1]SEMIELABORADOS!$A$2:$M$65536,10,0),"")</f>
        <v/>
      </c>
      <c r="F41" s="222" t="str">
        <f t="shared" si="12"/>
        <v/>
      </c>
      <c r="G41" s="223" t="str">
        <f t="shared" si="9"/>
        <v/>
      </c>
      <c r="H41" s="227"/>
      <c r="I41" s="227"/>
      <c r="J41" s="225"/>
    </row>
    <row r="42" spans="1:13" ht="14.25" hidden="1" thickBot="1" x14ac:dyDescent="0.3">
      <c r="A42" s="220"/>
      <c r="B42" s="226"/>
      <c r="C42" s="221"/>
      <c r="D42" s="222"/>
      <c r="E42" s="222"/>
      <c r="F42" s="222"/>
      <c r="G42" s="223"/>
      <c r="H42" s="227"/>
      <c r="I42" s="227"/>
      <c r="J42" s="225"/>
    </row>
    <row r="43" spans="1:13" ht="26.25" thickBot="1" x14ac:dyDescent="0.25">
      <c r="A43" s="215" t="s">
        <v>178</v>
      </c>
      <c r="B43" s="216" t="s">
        <v>187</v>
      </c>
      <c r="C43" s="216" t="s">
        <v>178</v>
      </c>
      <c r="D43" s="217" t="s">
        <v>180</v>
      </c>
      <c r="E43" s="217" t="s">
        <v>181</v>
      </c>
      <c r="F43" s="217" t="s">
        <v>182</v>
      </c>
      <c r="G43" s="217" t="s">
        <v>183</v>
      </c>
      <c r="H43" s="218" t="s">
        <v>184</v>
      </c>
      <c r="I43" s="219"/>
      <c r="J43" s="225"/>
    </row>
    <row r="44" spans="1:13" ht="13.5" hidden="1" x14ac:dyDescent="0.25">
      <c r="A44" s="220">
        <f>+A35</f>
        <v>0</v>
      </c>
      <c r="B44" s="226" t="str">
        <f>IFERROR(VLOOKUP(H44,[1]SEMIELABORADOS!$A$2:$M$6000,2,0),"")</f>
        <v/>
      </c>
      <c r="C44" s="221">
        <f>+A44</f>
        <v>0</v>
      </c>
      <c r="D44" s="222" t="str">
        <f>IFERROR(VLOOKUP(H44,[1]SEMIELABORADOS!$A$2:$M$6000,6,0),"")</f>
        <v/>
      </c>
      <c r="E44" s="222" t="str">
        <f>IFERROR(VLOOKUP(H44,[1]SEMIELABORADOS!$A$2:$M$65536,12,0),"")</f>
        <v/>
      </c>
      <c r="F44" s="222" t="str">
        <f>IFERROR(E44*C44,"")</f>
        <v/>
      </c>
      <c r="G44" s="223" t="str">
        <f>IFERROR(F44/$F$66,"")</f>
        <v/>
      </c>
      <c r="H44" s="227"/>
      <c r="I44" s="219"/>
      <c r="J44" s="225"/>
    </row>
    <row r="45" spans="1:13" ht="13.5" hidden="1" x14ac:dyDescent="0.25">
      <c r="A45" s="220">
        <f t="shared" ref="A45:A50" si="13">+A36</f>
        <v>0</v>
      </c>
      <c r="B45" s="226" t="str">
        <f>IFERROR(VLOOKUP(H45,[1]SEMIELABORADOS!$A$2:$M$6000,2,0),"")</f>
        <v/>
      </c>
      <c r="C45" s="221">
        <f t="shared" ref="C45:C50" si="14">+A45</f>
        <v>0</v>
      </c>
      <c r="D45" s="222" t="str">
        <f>IFERROR(VLOOKUP(H45,[1]SEMIELABORADOS!$A$2:$M$6000,6,0),"")</f>
        <v/>
      </c>
      <c r="E45" s="222" t="str">
        <f>IFERROR(VLOOKUP(H45,[1]SEMIELABORADOS!$A$2:$M$65536,12,0),"")</f>
        <v/>
      </c>
      <c r="F45" s="222" t="str">
        <f t="shared" ref="F45:F50" si="15">IFERROR(E45*C45,"")</f>
        <v/>
      </c>
      <c r="G45" s="223" t="str">
        <f t="shared" ref="G45:G50" si="16">IFERROR(F45/$F$66,"")</f>
        <v/>
      </c>
      <c r="H45" s="227"/>
      <c r="I45" s="219"/>
      <c r="J45" s="225"/>
      <c r="M45" s="230"/>
    </row>
    <row r="46" spans="1:13" ht="13.5" hidden="1" x14ac:dyDescent="0.25">
      <c r="A46" s="220">
        <f t="shared" si="13"/>
        <v>0</v>
      </c>
      <c r="B46" s="226" t="str">
        <f>IFERROR(VLOOKUP(H46,[1]SEMIELABORADOS!$A$2:$M$6000,2,0),"")</f>
        <v/>
      </c>
      <c r="C46" s="221">
        <f t="shared" si="14"/>
        <v>0</v>
      </c>
      <c r="D46" s="222" t="str">
        <f>IFERROR(VLOOKUP(H46,[1]SEMIELABORADOS!$A$2:$M$6000,6,0),"")</f>
        <v/>
      </c>
      <c r="E46" s="222" t="str">
        <f>IFERROR(VLOOKUP(H46,[1]SEMIELABORADOS!$A$2:$M$65536,12,0),"")</f>
        <v/>
      </c>
      <c r="F46" s="222" t="str">
        <f t="shared" si="15"/>
        <v/>
      </c>
      <c r="G46" s="223" t="str">
        <f t="shared" si="16"/>
        <v/>
      </c>
      <c r="H46" s="227"/>
      <c r="I46" s="219"/>
      <c r="J46" s="225"/>
    </row>
    <row r="47" spans="1:13" ht="13.5" hidden="1" x14ac:dyDescent="0.25">
      <c r="A47" s="220">
        <f t="shared" si="13"/>
        <v>0</v>
      </c>
      <c r="B47" s="226" t="str">
        <f>IFERROR(VLOOKUP(H47,[1]SEMIELABORADOS!$A$2:$M$6000,2,0),"")</f>
        <v/>
      </c>
      <c r="C47" s="221">
        <f t="shared" si="14"/>
        <v>0</v>
      </c>
      <c r="D47" s="222" t="str">
        <f>IFERROR(VLOOKUP(H47,[1]SEMIELABORADOS!$A$2:$M$6000,6,0),"")</f>
        <v/>
      </c>
      <c r="E47" s="222" t="str">
        <f>IFERROR(VLOOKUP(H47,[1]SEMIELABORADOS!$A$2:$M$65536,12,0),"")</f>
        <v/>
      </c>
      <c r="F47" s="222" t="str">
        <f t="shared" si="15"/>
        <v/>
      </c>
      <c r="G47" s="223" t="str">
        <f t="shared" si="16"/>
        <v/>
      </c>
      <c r="H47" s="227"/>
      <c r="I47" s="219"/>
      <c r="J47" s="225"/>
    </row>
    <row r="48" spans="1:13" ht="13.5" hidden="1" x14ac:dyDescent="0.25">
      <c r="A48" s="220">
        <f t="shared" si="13"/>
        <v>0</v>
      </c>
      <c r="B48" s="226" t="str">
        <f>IFERROR(VLOOKUP(H48,[1]SEMIELABORADOS!$A$2:$M$6000,2,0),"")</f>
        <v/>
      </c>
      <c r="C48" s="221">
        <f t="shared" si="14"/>
        <v>0</v>
      </c>
      <c r="D48" s="222" t="str">
        <f>IFERROR(VLOOKUP(H48,[1]SEMIELABORADOS!$A$2:$M$6000,6,0),"")</f>
        <v/>
      </c>
      <c r="E48" s="222" t="str">
        <f>IFERROR(VLOOKUP(H48,[1]SEMIELABORADOS!$A$2:$M$65536,12,0),"")</f>
        <v/>
      </c>
      <c r="F48" s="222" t="str">
        <f t="shared" si="15"/>
        <v/>
      </c>
      <c r="G48" s="223" t="str">
        <f t="shared" si="16"/>
        <v/>
      </c>
      <c r="H48" s="227"/>
      <c r="I48" s="219"/>
      <c r="J48" s="225"/>
    </row>
    <row r="49" spans="1:17" ht="13.5" hidden="1" x14ac:dyDescent="0.25">
      <c r="A49" s="220">
        <f t="shared" si="13"/>
        <v>0</v>
      </c>
      <c r="B49" s="226" t="str">
        <f>IFERROR(VLOOKUP(H49,[1]SEMIELABORADOS!$A$2:$M$6000,2,0),"")</f>
        <v/>
      </c>
      <c r="C49" s="221">
        <f t="shared" si="14"/>
        <v>0</v>
      </c>
      <c r="D49" s="222" t="str">
        <f>IFERROR(VLOOKUP(H49,[1]SEMIELABORADOS!$A$2:$M$6000,6,0),"")</f>
        <v/>
      </c>
      <c r="E49" s="222" t="str">
        <f>IFERROR(VLOOKUP(H49,[1]SEMIELABORADOS!$A$2:$M$65536,12,0),"")</f>
        <v/>
      </c>
      <c r="F49" s="222" t="str">
        <f t="shared" si="15"/>
        <v/>
      </c>
      <c r="G49" s="223" t="str">
        <f t="shared" si="16"/>
        <v/>
      </c>
      <c r="H49" s="227"/>
      <c r="I49" s="219"/>
      <c r="J49" s="225"/>
    </row>
    <row r="50" spans="1:17" ht="13.5" hidden="1" x14ac:dyDescent="0.25">
      <c r="A50" s="220">
        <f t="shared" si="13"/>
        <v>0</v>
      </c>
      <c r="B50" s="226" t="str">
        <f>IFERROR(VLOOKUP(H50,[1]SEMIELABORADOS!$A$2:$M$6000,2,0),"")</f>
        <v/>
      </c>
      <c r="C50" s="221">
        <f t="shared" si="14"/>
        <v>0</v>
      </c>
      <c r="D50" s="222" t="str">
        <f>IFERROR(VLOOKUP(H50,[1]SEMIELABORADOS!$A$2:$M$6000,6,0),"")</f>
        <v/>
      </c>
      <c r="E50" s="222" t="str">
        <f>IFERROR(VLOOKUP(H50,[1]SEMIELABORADOS!$A$2:$M$65536,12,0),"")</f>
        <v/>
      </c>
      <c r="F50" s="222" t="str">
        <f t="shared" si="15"/>
        <v/>
      </c>
      <c r="G50" s="223" t="str">
        <f t="shared" si="16"/>
        <v/>
      </c>
      <c r="H50" s="226"/>
      <c r="I50" s="219"/>
      <c r="J50" s="225"/>
    </row>
    <row r="51" spans="1:17" ht="13.5" x14ac:dyDescent="0.25">
      <c r="A51" s="220">
        <v>1</v>
      </c>
      <c r="B51" s="226" t="s">
        <v>188</v>
      </c>
      <c r="C51" s="221">
        <f>+A51</f>
        <v>1</v>
      </c>
      <c r="D51" s="221" t="s">
        <v>189</v>
      </c>
      <c r="E51" s="222">
        <f>+F65</f>
        <v>231</v>
      </c>
      <c r="F51" s="222">
        <f>IFERROR(C51*E51,"")</f>
        <v>231</v>
      </c>
      <c r="G51" s="223">
        <f>IFERROR(F51/$F$66,"")</f>
        <v>2.6666666666666666E-3</v>
      </c>
      <c r="H51" s="231"/>
      <c r="I51" s="231"/>
      <c r="J51" s="225"/>
    </row>
    <row r="52" spans="1:17" ht="14.25" thickBot="1" x14ac:dyDescent="0.3">
      <c r="A52" s="220"/>
      <c r="B52" s="226"/>
      <c r="C52" s="221"/>
      <c r="D52" s="221"/>
      <c r="E52" s="222"/>
      <c r="F52" s="222"/>
      <c r="G52" s="223"/>
      <c r="H52" s="231"/>
      <c r="I52" s="231"/>
      <c r="J52" s="225"/>
    </row>
    <row r="53" spans="1:17" ht="13.5" thickBot="1" x14ac:dyDescent="0.25">
      <c r="A53" s="232"/>
      <c r="B53" s="737" t="s">
        <v>190</v>
      </c>
      <c r="C53" s="737"/>
      <c r="D53" s="737"/>
      <c r="E53" s="737"/>
      <c r="F53" s="234">
        <f>SUM(F8:F14,F17:F24)</f>
        <v>84700</v>
      </c>
      <c r="G53" s="223">
        <f>+F53/$F$66</f>
        <v>0.97777777777777775</v>
      </c>
      <c r="H53" s="235">
        <f>+F53/$D$60</f>
        <v>84700</v>
      </c>
      <c r="I53" s="235"/>
      <c r="J53" s="236"/>
      <c r="K53" s="237"/>
      <c r="L53" s="237"/>
      <c r="M53" s="237"/>
      <c r="N53" s="237"/>
      <c r="O53" s="237"/>
      <c r="P53" s="237"/>
      <c r="Q53" s="238"/>
    </row>
    <row r="54" spans="1:17" x14ac:dyDescent="0.2">
      <c r="A54" s="232"/>
      <c r="B54" s="737" t="s">
        <v>191</v>
      </c>
      <c r="C54" s="737"/>
      <c r="D54" s="737"/>
      <c r="E54" s="737"/>
      <c r="F54" s="234">
        <f>SUM(F27:F32,F35:F41)</f>
        <v>0</v>
      </c>
      <c r="G54" s="223">
        <f>+F54/$F$66</f>
        <v>0</v>
      </c>
      <c r="H54" s="235">
        <f>+F54/$D$60</f>
        <v>0</v>
      </c>
      <c r="I54" s="235"/>
      <c r="J54" s="239"/>
      <c r="K54" s="738" t="s">
        <v>192</v>
      </c>
      <c r="L54" s="739"/>
      <c r="M54" s="739"/>
      <c r="N54" s="739"/>
      <c r="O54" s="240">
        <f>+F55</f>
        <v>84700</v>
      </c>
      <c r="P54" s="240"/>
      <c r="Q54" s="241"/>
    </row>
    <row r="55" spans="1:17" x14ac:dyDescent="0.2">
      <c r="A55" s="232"/>
      <c r="B55" s="737" t="s">
        <v>193</v>
      </c>
      <c r="C55" s="737"/>
      <c r="D55" s="737"/>
      <c r="E55" s="737"/>
      <c r="F55" s="234">
        <f>+F53+F54</f>
        <v>84700</v>
      </c>
      <c r="G55" s="223">
        <f>+F55/$F$66</f>
        <v>0.97777777777777775</v>
      </c>
      <c r="H55" s="235">
        <f>+F55/$D$60</f>
        <v>84700</v>
      </c>
      <c r="I55" s="235"/>
      <c r="J55" s="242"/>
      <c r="K55" s="243"/>
      <c r="M55" s="244" t="s">
        <v>194</v>
      </c>
      <c r="N55" s="245"/>
      <c r="O55" s="240">
        <f>+H56</f>
        <v>231</v>
      </c>
      <c r="P55" s="240"/>
      <c r="Q55" s="241"/>
    </row>
    <row r="56" spans="1:17" ht="13.5" thickBot="1" x14ac:dyDescent="0.25">
      <c r="A56" s="232"/>
      <c r="B56" s="233"/>
      <c r="C56" s="737" t="s">
        <v>195</v>
      </c>
      <c r="D56" s="737"/>
      <c r="E56" s="737"/>
      <c r="F56" s="234">
        <f>SUM(F44:F51)</f>
        <v>231</v>
      </c>
      <c r="G56" s="223">
        <f>+F56/$F$66</f>
        <v>2.6666666666666666E-3</v>
      </c>
      <c r="H56" s="235">
        <f>+F56/$D$60</f>
        <v>231</v>
      </c>
      <c r="I56" s="235"/>
      <c r="J56" s="242"/>
      <c r="K56" s="243"/>
      <c r="L56" s="243"/>
      <c r="M56" s="243" t="s">
        <v>196</v>
      </c>
      <c r="N56" s="246"/>
      <c r="O56" s="240">
        <f>O54*N56</f>
        <v>0</v>
      </c>
      <c r="P56" s="240"/>
      <c r="Q56" s="241"/>
    </row>
    <row r="57" spans="1:17" ht="13.5" thickBot="1" x14ac:dyDescent="0.25">
      <c r="A57" s="232"/>
      <c r="B57" s="247"/>
      <c r="C57" s="247"/>
      <c r="D57" s="247"/>
      <c r="E57" s="247"/>
      <c r="F57" s="248"/>
      <c r="G57" s="223"/>
      <c r="H57" s="249"/>
      <c r="I57" s="235"/>
      <c r="J57" s="242"/>
      <c r="K57" s="250"/>
      <c r="M57" s="251" t="s">
        <v>197</v>
      </c>
      <c r="N57" s="252"/>
      <c r="O57" s="253">
        <f>SUM(O54:O56)</f>
        <v>84931</v>
      </c>
      <c r="P57" s="254"/>
      <c r="Q57" s="241"/>
    </row>
    <row r="58" spans="1:17" x14ac:dyDescent="0.2">
      <c r="B58" s="740" t="s">
        <v>198</v>
      </c>
      <c r="C58" s="740"/>
      <c r="D58" s="255">
        <v>9800</v>
      </c>
      <c r="E58" s="256"/>
      <c r="G58" s="223"/>
      <c r="H58" s="249">
        <f>+H56/77</f>
        <v>3</v>
      </c>
      <c r="I58" s="257"/>
      <c r="J58" s="242"/>
      <c r="K58" s="250"/>
      <c r="L58" s="243"/>
      <c r="M58" s="243" t="s">
        <v>199</v>
      </c>
      <c r="N58" s="258"/>
      <c r="O58" s="240">
        <f>+H59</f>
        <v>192</v>
      </c>
      <c r="P58" s="240"/>
      <c r="Q58" s="241"/>
    </row>
    <row r="59" spans="1:17" x14ac:dyDescent="0.2">
      <c r="B59" s="740" t="s">
        <v>200</v>
      </c>
      <c r="C59" s="740"/>
      <c r="D59" s="259">
        <v>9800</v>
      </c>
      <c r="E59" s="256"/>
      <c r="G59" s="223"/>
      <c r="H59" s="249">
        <f>+H58*64</f>
        <v>192</v>
      </c>
      <c r="I59" s="257"/>
      <c r="J59" s="242"/>
      <c r="K59" s="250"/>
      <c r="L59" s="243"/>
      <c r="M59" s="741" t="s">
        <v>197</v>
      </c>
      <c r="N59" s="741"/>
      <c r="O59" s="240">
        <f>SUM(O57:O58)</f>
        <v>85123</v>
      </c>
      <c r="P59" s="240"/>
      <c r="Q59" s="241"/>
    </row>
    <row r="60" spans="1:17" ht="13.5" thickBot="1" x14ac:dyDescent="0.25">
      <c r="B60" s="733" t="s">
        <v>201</v>
      </c>
      <c r="C60" s="733"/>
      <c r="D60" s="255">
        <f>+D58/D59</f>
        <v>1</v>
      </c>
      <c r="E60" s="256"/>
      <c r="F60" s="260"/>
      <c r="G60" s="223"/>
      <c r="H60" s="249"/>
      <c r="I60" s="257"/>
      <c r="J60" s="242"/>
      <c r="K60" s="250"/>
      <c r="L60" s="741"/>
      <c r="M60" s="741"/>
      <c r="N60" s="258"/>
      <c r="O60" s="240">
        <f>+O59*N60</f>
        <v>0</v>
      </c>
      <c r="P60" s="240"/>
      <c r="Q60" s="241"/>
    </row>
    <row r="61" spans="1:17" ht="13.5" thickBot="1" x14ac:dyDescent="0.25">
      <c r="B61" s="733" t="s">
        <v>202</v>
      </c>
      <c r="C61" s="733"/>
      <c r="D61" s="261"/>
      <c r="E61" s="256"/>
      <c r="F61" s="260"/>
      <c r="G61" s="223"/>
      <c r="H61" s="249"/>
      <c r="I61" s="257"/>
      <c r="J61" s="242"/>
      <c r="K61" s="734" t="s">
        <v>203</v>
      </c>
      <c r="L61" s="735"/>
      <c r="M61" s="735"/>
      <c r="N61" s="736"/>
      <c r="O61" s="253">
        <f>SUM(O59:O60)</f>
        <v>85123</v>
      </c>
      <c r="P61" s="262" t="s">
        <v>204</v>
      </c>
      <c r="Q61" s="241"/>
    </row>
    <row r="62" spans="1:17" ht="13.5" thickBot="1" x14ac:dyDescent="0.25">
      <c r="C62" s="232" t="s">
        <v>205</v>
      </c>
      <c r="D62" s="263"/>
      <c r="E62" s="206" t="s">
        <v>206</v>
      </c>
      <c r="F62" s="264" t="s">
        <v>207</v>
      </c>
      <c r="G62" s="223"/>
      <c r="H62" s="249"/>
      <c r="I62" s="257"/>
      <c r="J62" s="265"/>
      <c r="K62" s="266"/>
      <c r="L62" s="747" t="s">
        <v>208</v>
      </c>
      <c r="M62" s="747"/>
      <c r="N62" s="747"/>
      <c r="O62" s="267">
        <f>+O61/D60</f>
        <v>85123</v>
      </c>
      <c r="P62" s="268">
        <f>+O62/D59</f>
        <v>8.6860204081632659</v>
      </c>
      <c r="Q62" s="269"/>
    </row>
    <row r="63" spans="1:17" ht="13.5" thickBot="1" x14ac:dyDescent="0.25">
      <c r="B63" s="748" t="s">
        <v>193</v>
      </c>
      <c r="C63" s="748"/>
      <c r="D63" s="748"/>
      <c r="E63" s="270">
        <f>+F63/F63</f>
        <v>1</v>
      </c>
      <c r="F63" s="271">
        <f>SUM(F55)</f>
        <v>84700</v>
      </c>
      <c r="G63" s="223">
        <f>+F63/$F$66</f>
        <v>0.97777777777777775</v>
      </c>
      <c r="H63" s="249"/>
      <c r="I63" s="257"/>
      <c r="K63" s="749"/>
      <c r="L63" s="750"/>
      <c r="M63" s="750"/>
      <c r="N63" s="750"/>
      <c r="O63" s="272"/>
      <c r="P63" s="273"/>
    </row>
    <row r="64" spans="1:17" ht="13.5" thickBot="1" x14ac:dyDescent="0.25">
      <c r="B64" s="751" t="s">
        <v>209</v>
      </c>
      <c r="C64" s="751"/>
      <c r="D64" s="751"/>
      <c r="E64" s="274">
        <v>0.02</v>
      </c>
      <c r="F64" s="271">
        <f>+F53*E64</f>
        <v>1694</v>
      </c>
      <c r="G64" s="223">
        <f>+F64/$F$66</f>
        <v>1.9555555555555555E-2</v>
      </c>
      <c r="H64" s="235"/>
      <c r="I64" s="257"/>
      <c r="J64" s="275"/>
      <c r="O64" s="276"/>
      <c r="P64" s="233"/>
    </row>
    <row r="65" spans="2:13" ht="13.5" thickBot="1" x14ac:dyDescent="0.25">
      <c r="B65" s="752" t="s">
        <v>210</v>
      </c>
      <c r="C65" s="753"/>
      <c r="D65" s="277">
        <v>3</v>
      </c>
      <c r="E65" s="278">
        <v>77</v>
      </c>
      <c r="F65" s="271">
        <f>+E65*D65</f>
        <v>231</v>
      </c>
      <c r="G65" s="223">
        <f>+F65/$F$66</f>
        <v>2.6666666666666666E-3</v>
      </c>
      <c r="H65" s="235"/>
      <c r="I65" s="235"/>
      <c r="J65" s="225"/>
    </row>
    <row r="66" spans="2:13" ht="13.5" thickBot="1" x14ac:dyDescent="0.25">
      <c r="B66" s="754" t="s">
        <v>211</v>
      </c>
      <c r="C66" s="755"/>
      <c r="D66" s="755"/>
      <c r="E66" s="756"/>
      <c r="F66" s="248">
        <f>SUM(F63:F65)</f>
        <v>86625</v>
      </c>
      <c r="G66" s="223">
        <f>+F66/$F$66</f>
        <v>1</v>
      </c>
      <c r="H66" s="757"/>
      <c r="I66" s="235"/>
      <c r="J66" s="225"/>
      <c r="M66" s="208" t="s">
        <v>212</v>
      </c>
    </row>
    <row r="67" spans="2:13" x14ac:dyDescent="0.2">
      <c r="C67" s="230"/>
      <c r="D67" s="230"/>
      <c r="E67" s="280"/>
      <c r="F67" s="271"/>
      <c r="G67" s="223"/>
      <c r="H67" s="757"/>
      <c r="I67" s="279"/>
      <c r="J67" s="208"/>
      <c r="M67" s="208" t="s">
        <v>213</v>
      </c>
    </row>
    <row r="68" spans="2:13" ht="13.5" thickBot="1" x14ac:dyDescent="0.25">
      <c r="B68" s="742" t="s">
        <v>214</v>
      </c>
      <c r="C68" s="742"/>
      <c r="D68" s="742"/>
      <c r="E68" s="742"/>
      <c r="F68" s="742"/>
      <c r="G68" s="223"/>
      <c r="H68" s="282"/>
      <c r="I68" s="279"/>
      <c r="J68" s="208"/>
      <c r="M68" s="208" t="s">
        <v>215</v>
      </c>
    </row>
    <row r="69" spans="2:13" ht="13.5" thickBot="1" x14ac:dyDescent="0.25">
      <c r="B69" s="283" t="s">
        <v>216</v>
      </c>
      <c r="C69" s="284">
        <f>+F53</f>
        <v>84700</v>
      </c>
      <c r="D69" s="284">
        <f>+D58</f>
        <v>9800</v>
      </c>
      <c r="E69" s="285">
        <f>+C69/D69</f>
        <v>8.6428571428571423</v>
      </c>
      <c r="F69" s="223"/>
      <c r="G69" s="282"/>
      <c r="H69" s="225"/>
      <c r="I69" s="282"/>
      <c r="J69" s="208"/>
    </row>
    <row r="70" spans="2:13" x14ac:dyDescent="0.2">
      <c r="B70" s="286"/>
      <c r="C70" s="287"/>
      <c r="D70" s="288"/>
      <c r="E70" s="271"/>
      <c r="F70" s="223"/>
      <c r="G70" s="282"/>
      <c r="H70" s="225"/>
      <c r="I70" s="225"/>
      <c r="J70" s="208"/>
    </row>
    <row r="71" spans="2:13" x14ac:dyDescent="0.2">
      <c r="B71" s="283" t="s">
        <v>217</v>
      </c>
      <c r="C71" s="284">
        <f>SUM(F63:F64)</f>
        <v>86394</v>
      </c>
      <c r="D71" s="284">
        <f>+D58</f>
        <v>9800</v>
      </c>
      <c r="E71" s="289">
        <f>+C71/D71</f>
        <v>8.8157142857142858</v>
      </c>
      <c r="F71" s="223"/>
      <c r="G71" s="282"/>
      <c r="H71" s="225"/>
      <c r="I71" s="225"/>
      <c r="J71" s="208"/>
    </row>
    <row r="72" spans="2:13" x14ac:dyDescent="0.2">
      <c r="B72" s="283"/>
      <c r="C72" s="284"/>
      <c r="D72" s="284"/>
      <c r="E72" s="289"/>
      <c r="F72" s="223"/>
      <c r="G72" s="282"/>
      <c r="H72" s="225"/>
      <c r="I72" s="225"/>
      <c r="J72" s="208"/>
    </row>
    <row r="73" spans="2:13" ht="13.5" thickBot="1" x14ac:dyDescent="0.25">
      <c r="B73" s="283" t="s">
        <v>218</v>
      </c>
      <c r="C73" s="284">
        <f>+F65</f>
        <v>231</v>
      </c>
      <c r="D73" s="284">
        <f>+D58</f>
        <v>9800</v>
      </c>
      <c r="E73" s="289">
        <f>+C73/D73</f>
        <v>2.3571428571428573E-2</v>
      </c>
      <c r="F73" s="223"/>
      <c r="G73" s="282"/>
      <c r="H73" s="225"/>
      <c r="I73" s="225"/>
      <c r="J73" s="208"/>
    </row>
    <row r="74" spans="2:13" ht="13.5" thickBot="1" x14ac:dyDescent="0.25">
      <c r="B74" s="283" t="s">
        <v>219</v>
      </c>
      <c r="C74" s="284">
        <f>+F56</f>
        <v>231</v>
      </c>
      <c r="D74" s="284">
        <f>+D73</f>
        <v>9800</v>
      </c>
      <c r="E74" s="285">
        <f>+C74/D74</f>
        <v>2.3571428571428573E-2</v>
      </c>
      <c r="F74" s="223"/>
      <c r="G74" s="282"/>
      <c r="H74" s="225"/>
      <c r="I74" s="225"/>
      <c r="J74" s="208"/>
    </row>
    <row r="75" spans="2:13" ht="13.5" thickBot="1" x14ac:dyDescent="0.25">
      <c r="B75" s="247"/>
      <c r="C75" s="248"/>
      <c r="D75" s="248"/>
      <c r="E75" s="289"/>
      <c r="F75" s="223"/>
      <c r="G75" s="282"/>
      <c r="H75" s="225"/>
      <c r="I75" s="225"/>
      <c r="J75" s="208"/>
    </row>
    <row r="76" spans="2:13" ht="13.5" thickBot="1" x14ac:dyDescent="0.25">
      <c r="B76" s="283" t="s">
        <v>220</v>
      </c>
      <c r="C76" s="284">
        <f>+F54</f>
        <v>0</v>
      </c>
      <c r="D76" s="284">
        <f>+D74</f>
        <v>9800</v>
      </c>
      <c r="E76" s="285">
        <f>+C76/D76</f>
        <v>0</v>
      </c>
      <c r="F76" s="223"/>
      <c r="G76" s="282"/>
      <c r="H76" s="225"/>
      <c r="I76" s="225"/>
      <c r="J76" s="225"/>
    </row>
    <row r="77" spans="2:13" ht="13.5" thickBot="1" x14ac:dyDescent="0.25">
      <c r="B77" s="247"/>
      <c r="C77" s="248"/>
      <c r="D77" s="248"/>
      <c r="E77" s="289"/>
      <c r="F77" s="223"/>
      <c r="G77" s="282"/>
      <c r="H77" s="225"/>
      <c r="I77" s="225"/>
    </row>
    <row r="78" spans="2:13" ht="13.5" thickBot="1" x14ac:dyDescent="0.25">
      <c r="B78" s="743" t="s">
        <v>221</v>
      </c>
      <c r="C78" s="744"/>
      <c r="D78" s="745"/>
      <c r="E78" s="285">
        <f>+E69+E74</f>
        <v>8.66642857142857</v>
      </c>
      <c r="G78" s="223"/>
      <c r="H78" s="282"/>
      <c r="I78" s="225"/>
      <c r="J78" s="289"/>
    </row>
    <row r="79" spans="2:13" x14ac:dyDescent="0.2">
      <c r="I79" s="282"/>
      <c r="J79" s="208"/>
    </row>
    <row r="80" spans="2:13" ht="13.5" thickBot="1" x14ac:dyDescent="0.25">
      <c r="B80" s="742" t="s">
        <v>222</v>
      </c>
      <c r="C80" s="742"/>
      <c r="D80" s="742"/>
      <c r="E80" s="742"/>
      <c r="F80" s="742"/>
      <c r="G80" s="223"/>
      <c r="H80" s="282"/>
      <c r="J80" s="208"/>
    </row>
    <row r="81" spans="1:10" ht="13.5" thickBot="1" x14ac:dyDescent="0.25">
      <c r="B81" s="283" t="s">
        <v>216</v>
      </c>
      <c r="C81" s="284">
        <f>+C69</f>
        <v>84700</v>
      </c>
      <c r="D81" s="284">
        <f>+D60</f>
        <v>1</v>
      </c>
      <c r="E81" s="285">
        <f>+C81/D81</f>
        <v>84700</v>
      </c>
      <c r="F81" s="223"/>
      <c r="G81" s="282"/>
      <c r="H81" s="225"/>
      <c r="I81" s="282"/>
      <c r="J81" s="208"/>
    </row>
    <row r="82" spans="1:10" x14ac:dyDescent="0.2">
      <c r="B82" s="286"/>
      <c r="C82" s="287"/>
      <c r="D82" s="288"/>
      <c r="E82" s="271"/>
      <c r="F82" s="223"/>
      <c r="G82" s="282"/>
      <c r="H82" s="225"/>
      <c r="I82" s="225"/>
      <c r="J82" s="208"/>
    </row>
    <row r="83" spans="1:10" x14ac:dyDescent="0.2">
      <c r="B83" s="283" t="s">
        <v>217</v>
      </c>
      <c r="C83" s="284">
        <f>+C71</f>
        <v>86394</v>
      </c>
      <c r="D83" s="284">
        <f>+D60</f>
        <v>1</v>
      </c>
      <c r="E83" s="289">
        <f>+C83/D83</f>
        <v>86394</v>
      </c>
      <c r="F83" s="223"/>
      <c r="G83" s="282"/>
      <c r="H83" s="225"/>
      <c r="I83" s="225"/>
      <c r="J83" s="208"/>
    </row>
    <row r="84" spans="1:10" x14ac:dyDescent="0.2">
      <c r="B84" s="283"/>
      <c r="C84" s="284"/>
      <c r="D84" s="284"/>
      <c r="E84" s="289"/>
      <c r="F84" s="223"/>
      <c r="G84" s="282"/>
      <c r="H84" s="225"/>
      <c r="I84" s="225"/>
      <c r="J84" s="208"/>
    </row>
    <row r="85" spans="1:10" ht="13.5" thickBot="1" x14ac:dyDescent="0.25">
      <c r="B85" s="283" t="s">
        <v>219</v>
      </c>
      <c r="C85" s="284">
        <f>+C73</f>
        <v>231</v>
      </c>
      <c r="D85" s="284">
        <f>+D60</f>
        <v>1</v>
      </c>
      <c r="E85" s="289">
        <f>+C85/D85</f>
        <v>231</v>
      </c>
      <c r="F85" s="291"/>
      <c r="G85" s="281"/>
      <c r="H85" s="207"/>
      <c r="I85" s="225"/>
    </row>
    <row r="86" spans="1:10" ht="13.5" thickBot="1" x14ac:dyDescent="0.25">
      <c r="B86" s="283" t="s">
        <v>219</v>
      </c>
      <c r="C86" s="284">
        <f>+C74</f>
        <v>231</v>
      </c>
      <c r="D86" s="284">
        <f>+D85</f>
        <v>1</v>
      </c>
      <c r="E86" s="285">
        <f>+C86/D86</f>
        <v>231</v>
      </c>
      <c r="F86" s="290"/>
      <c r="G86" s="281"/>
      <c r="H86" s="207"/>
      <c r="I86" s="207"/>
    </row>
    <row r="87" spans="1:10" x14ac:dyDescent="0.2">
      <c r="I87" s="207"/>
    </row>
    <row r="88" spans="1:10" x14ac:dyDescent="0.2">
      <c r="A88" s="746"/>
      <c r="B88" s="746"/>
      <c r="C88" s="292"/>
      <c r="D88" s="292"/>
      <c r="E88" s="293"/>
      <c r="G88" s="294"/>
    </row>
    <row r="89" spans="1:10" x14ac:dyDescent="0.2">
      <c r="A89" s="226"/>
      <c r="B89" s="295"/>
      <c r="C89" s="296"/>
      <c r="D89" s="296"/>
      <c r="E89" s="297"/>
      <c r="G89" s="294"/>
    </row>
    <row r="90" spans="1:10" x14ac:dyDescent="0.2">
      <c r="A90" s="226"/>
      <c r="B90" s="295"/>
      <c r="C90" s="298"/>
      <c r="D90" s="298"/>
      <c r="E90" s="226"/>
      <c r="G90" s="294"/>
    </row>
    <row r="91" spans="1:10" x14ac:dyDescent="0.2">
      <c r="A91" s="226"/>
      <c r="B91" s="295"/>
      <c r="C91" s="299"/>
      <c r="D91" s="299"/>
      <c r="E91" s="226"/>
      <c r="G91" s="294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B265D-53BE-477D-BDC0-CD37B1051FAB}">
  <sheetPr>
    <pageSetUpPr fitToPage="1"/>
  </sheetPr>
  <dimension ref="A1:M39"/>
  <sheetViews>
    <sheetView tabSelected="1" zoomScaleNormal="100" workbookViewId="0">
      <selection activeCell="C1" sqref="C1:G1"/>
    </sheetView>
  </sheetViews>
  <sheetFormatPr baseColWidth="10" defaultColWidth="11.42578125" defaultRowHeight="13.5" x14ac:dyDescent="0.25"/>
  <cols>
    <col min="1" max="1" width="16.28515625" style="94" customWidth="1"/>
    <col min="2" max="2" width="12.5703125" style="94" customWidth="1"/>
    <col min="3" max="3" width="39.28515625" style="94" customWidth="1"/>
    <col min="4" max="4" width="18.7109375" style="94" customWidth="1"/>
    <col min="5" max="5" width="11.42578125" style="94"/>
    <col min="6" max="6" width="12.28515625" style="94" customWidth="1"/>
    <col min="7" max="7" width="11.42578125" style="94"/>
    <col min="8" max="8" width="14.28515625" style="94" customWidth="1"/>
    <col min="9" max="9" width="16.7109375" style="94" customWidth="1"/>
    <col min="10" max="16384" width="11.42578125" style="94"/>
  </cols>
  <sheetData>
    <row r="1" spans="1:9" ht="15.75" x14ac:dyDescent="0.25">
      <c r="A1" s="802"/>
      <c r="B1" s="803"/>
      <c r="C1" s="808" t="s">
        <v>49</v>
      </c>
      <c r="D1" s="808"/>
      <c r="E1" s="808"/>
      <c r="F1" s="808"/>
      <c r="G1" s="808"/>
      <c r="H1" s="92" t="s">
        <v>48</v>
      </c>
      <c r="I1" s="93" t="s">
        <v>369</v>
      </c>
    </row>
    <row r="2" spans="1:9" ht="16.5" thickBot="1" x14ac:dyDescent="0.3">
      <c r="A2" s="804"/>
      <c r="B2" s="805"/>
      <c r="C2" s="1000" t="s">
        <v>47</v>
      </c>
      <c r="D2" s="1000"/>
      <c r="E2" s="1000"/>
      <c r="F2" s="1000"/>
      <c r="G2" s="1000"/>
      <c r="H2" s="97" t="s">
        <v>46</v>
      </c>
      <c r="I2" s="75" t="s">
        <v>376</v>
      </c>
    </row>
    <row r="3" spans="1:9" ht="18.75" thickBot="1" x14ac:dyDescent="0.3">
      <c r="A3" s="804"/>
      <c r="B3" s="805"/>
      <c r="C3" s="812" t="s">
        <v>368</v>
      </c>
      <c r="D3" s="813"/>
      <c r="E3" s="813"/>
      <c r="F3" s="813"/>
      <c r="G3" s="814"/>
      <c r="H3" s="815" t="s">
        <v>45</v>
      </c>
      <c r="I3" s="793">
        <v>45783</v>
      </c>
    </row>
    <row r="4" spans="1:9" x14ac:dyDescent="0.25">
      <c r="A4" s="804"/>
      <c r="B4" s="805"/>
      <c r="C4" s="99" t="s">
        <v>44</v>
      </c>
      <c r="D4" s="796" t="s">
        <v>43</v>
      </c>
      <c r="E4" s="797"/>
      <c r="F4" s="797"/>
      <c r="G4" s="798"/>
      <c r="H4" s="816"/>
      <c r="I4" s="794"/>
    </row>
    <row r="5" spans="1:9" ht="14.25" thickBot="1" x14ac:dyDescent="0.3">
      <c r="A5" s="998"/>
      <c r="B5" s="999"/>
      <c r="C5" s="102" t="s">
        <v>42</v>
      </c>
      <c r="D5" s="799" t="s">
        <v>41</v>
      </c>
      <c r="E5" s="800"/>
      <c r="F5" s="800"/>
      <c r="G5" s="801"/>
      <c r="H5" s="817"/>
      <c r="I5" s="794"/>
    </row>
    <row r="6" spans="1:9" customFormat="1" ht="21" thickBot="1" x14ac:dyDescent="0.25">
      <c r="A6" s="990" t="s">
        <v>40</v>
      </c>
      <c r="B6" s="991"/>
      <c r="C6" s="991"/>
      <c r="D6" s="992" t="s">
        <v>102</v>
      </c>
      <c r="E6" s="992"/>
      <c r="F6" s="992"/>
      <c r="G6" s="993" t="s">
        <v>39</v>
      </c>
      <c r="H6" s="993"/>
      <c r="I6" s="103" t="s">
        <v>102</v>
      </c>
    </row>
    <row r="7" spans="1:9" ht="25.5" x14ac:dyDescent="0.25">
      <c r="A7" s="818" t="s">
        <v>37</v>
      </c>
      <c r="B7" s="995" t="s">
        <v>54</v>
      </c>
      <c r="C7" s="822" t="s">
        <v>36</v>
      </c>
      <c r="D7" s="822" t="s">
        <v>35</v>
      </c>
      <c r="E7" s="822" t="s">
        <v>34</v>
      </c>
      <c r="F7" s="822"/>
      <c r="G7" s="822" t="s">
        <v>33</v>
      </c>
      <c r="H7" s="822"/>
      <c r="I7" s="104" t="s">
        <v>32</v>
      </c>
    </row>
    <row r="8" spans="1:9" ht="27" thickBot="1" x14ac:dyDescent="0.3">
      <c r="A8" s="994"/>
      <c r="B8" s="996"/>
      <c r="C8" s="997"/>
      <c r="D8" s="823"/>
      <c r="E8" s="105" t="s">
        <v>11</v>
      </c>
      <c r="F8" s="106" t="s">
        <v>31</v>
      </c>
      <c r="G8" s="105" t="s">
        <v>11</v>
      </c>
      <c r="H8" s="106" t="s">
        <v>31</v>
      </c>
      <c r="I8" s="107" t="s">
        <v>30</v>
      </c>
    </row>
    <row r="9" spans="1:9" ht="15" x14ac:dyDescent="0.25">
      <c r="A9" s="108"/>
      <c r="B9" s="108"/>
      <c r="C9" s="109"/>
      <c r="D9" s="110"/>
      <c r="E9" s="1001"/>
      <c r="F9" s="1002"/>
      <c r="G9" s="1001"/>
      <c r="H9" s="1002"/>
      <c r="I9" s="111"/>
    </row>
    <row r="10" spans="1:9" ht="15" x14ac:dyDescent="0.25">
      <c r="A10" s="108" t="s">
        <v>68</v>
      </c>
      <c r="B10" s="108" t="s">
        <v>69</v>
      </c>
      <c r="C10" s="109" t="s">
        <v>70</v>
      </c>
      <c r="D10" s="112" t="s">
        <v>71</v>
      </c>
      <c r="E10" s="113">
        <v>1875</v>
      </c>
      <c r="F10" s="114" t="s">
        <v>2</v>
      </c>
      <c r="G10" s="115"/>
      <c r="H10" s="114"/>
      <c r="I10" s="111"/>
    </row>
    <row r="11" spans="1:9" ht="15" x14ac:dyDescent="0.25">
      <c r="A11" s="73" t="s">
        <v>100</v>
      </c>
      <c r="B11" s="73" t="s">
        <v>99</v>
      </c>
      <c r="C11" s="41" t="s">
        <v>101</v>
      </c>
      <c r="D11" s="112" t="s">
        <v>103</v>
      </c>
      <c r="E11" s="113">
        <v>1875</v>
      </c>
      <c r="F11" s="114" t="s">
        <v>2</v>
      </c>
      <c r="G11" s="115"/>
      <c r="H11" s="114"/>
      <c r="I11" s="111"/>
    </row>
    <row r="12" spans="1:9" ht="15" x14ac:dyDescent="0.25">
      <c r="A12" s="73">
        <v>90100132</v>
      </c>
      <c r="B12" s="73" t="s">
        <v>72</v>
      </c>
      <c r="C12" s="41" t="s">
        <v>73</v>
      </c>
      <c r="D12" s="112" t="s">
        <v>26</v>
      </c>
      <c r="E12" s="113">
        <v>2187.5</v>
      </c>
      <c r="F12" s="114" t="s">
        <v>2</v>
      </c>
      <c r="G12" s="115"/>
      <c r="H12" s="114"/>
      <c r="I12" s="111"/>
    </row>
    <row r="13" spans="1:9" ht="15" x14ac:dyDescent="0.25">
      <c r="A13" s="73" t="s">
        <v>74</v>
      </c>
      <c r="B13" s="73" t="s">
        <v>75</v>
      </c>
      <c r="C13" s="41" t="s">
        <v>76</v>
      </c>
      <c r="D13" s="112" t="s">
        <v>26</v>
      </c>
      <c r="E13" s="113">
        <v>37.5</v>
      </c>
      <c r="F13" s="114" t="s">
        <v>2</v>
      </c>
      <c r="G13" s="115"/>
      <c r="H13" s="114"/>
      <c r="I13" s="111"/>
    </row>
    <row r="14" spans="1:9" ht="15" x14ac:dyDescent="0.25">
      <c r="A14" s="74">
        <v>10100048</v>
      </c>
      <c r="B14" s="74" t="s">
        <v>77</v>
      </c>
      <c r="C14" s="28" t="s">
        <v>78</v>
      </c>
      <c r="D14" s="112" t="s">
        <v>79</v>
      </c>
      <c r="E14" s="113">
        <v>2187.5</v>
      </c>
      <c r="F14" s="114" t="s">
        <v>2</v>
      </c>
      <c r="G14" s="115"/>
      <c r="H14" s="114"/>
      <c r="I14" s="111"/>
    </row>
    <row r="15" spans="1:9" ht="15" x14ac:dyDescent="0.25">
      <c r="A15" s="74" t="s">
        <v>80</v>
      </c>
      <c r="B15" s="74" t="s">
        <v>81</v>
      </c>
      <c r="C15" s="28" t="s">
        <v>82</v>
      </c>
      <c r="D15" s="112" t="s">
        <v>83</v>
      </c>
      <c r="E15" s="113">
        <v>1500</v>
      </c>
      <c r="F15" s="114" t="s">
        <v>2</v>
      </c>
      <c r="G15" s="115"/>
      <c r="H15" s="114"/>
      <c r="I15" s="111"/>
    </row>
    <row r="16" spans="1:9" ht="15" x14ac:dyDescent="0.25">
      <c r="A16" s="73" t="s">
        <v>84</v>
      </c>
      <c r="B16" s="73" t="s">
        <v>85</v>
      </c>
      <c r="C16" s="41" t="s">
        <v>86</v>
      </c>
      <c r="D16" s="112" t="s">
        <v>87</v>
      </c>
      <c r="E16" s="113">
        <v>475</v>
      </c>
      <c r="F16" s="114" t="s">
        <v>2</v>
      </c>
      <c r="G16" s="115"/>
      <c r="H16" s="114"/>
      <c r="I16" s="111"/>
    </row>
    <row r="17" spans="1:13" ht="15" x14ac:dyDescent="0.25">
      <c r="A17" s="108" t="s">
        <v>88</v>
      </c>
      <c r="B17" s="108" t="s">
        <v>89</v>
      </c>
      <c r="C17" s="109" t="s">
        <v>90</v>
      </c>
      <c r="D17" s="112" t="s">
        <v>91</v>
      </c>
      <c r="E17" s="113">
        <v>12.5</v>
      </c>
      <c r="F17" s="114" t="s">
        <v>2</v>
      </c>
      <c r="G17" s="115"/>
      <c r="H17" s="114"/>
      <c r="I17" s="111"/>
    </row>
    <row r="18" spans="1:13" ht="15" x14ac:dyDescent="0.25">
      <c r="A18" s="74"/>
      <c r="B18" s="74"/>
      <c r="C18" s="28"/>
      <c r="D18" s="116"/>
      <c r="E18" s="117"/>
      <c r="F18" s="114"/>
      <c r="G18" s="115"/>
      <c r="H18" s="118"/>
      <c r="I18" s="111"/>
    </row>
    <row r="19" spans="1:13" ht="15" x14ac:dyDescent="0.25">
      <c r="A19" s="88"/>
      <c r="B19" s="88"/>
      <c r="C19"/>
      <c r="D19" s="119"/>
      <c r="E19" s="117"/>
      <c r="F19" s="114"/>
      <c r="G19" s="115"/>
      <c r="H19" s="118"/>
      <c r="I19" s="111"/>
    </row>
    <row r="20" spans="1:13" ht="15" x14ac:dyDescent="0.25">
      <c r="A20" s="120"/>
      <c r="B20" s="120"/>
      <c r="C20" s="121"/>
      <c r="D20" s="122"/>
      <c r="E20" s="123"/>
      <c r="F20" s="124"/>
      <c r="G20" s="115"/>
      <c r="H20" s="125"/>
      <c r="I20" s="111"/>
    </row>
    <row r="21" spans="1:13" ht="15" x14ac:dyDescent="0.25">
      <c r="A21" s="126"/>
      <c r="B21" s="126"/>
      <c r="C21" s="127"/>
      <c r="D21" s="122"/>
      <c r="E21" s="119"/>
      <c r="F21" s="128"/>
      <c r="G21" s="115"/>
      <c r="H21" s="125"/>
      <c r="I21" s="111"/>
    </row>
    <row r="22" spans="1:13" ht="15" x14ac:dyDescent="0.25">
      <c r="A22" s="74">
        <v>702123</v>
      </c>
      <c r="B22" s="74" t="s">
        <v>61</v>
      </c>
      <c r="C22" s="28" t="s">
        <v>16</v>
      </c>
      <c r="D22" s="116" t="s">
        <v>14</v>
      </c>
      <c r="E22" s="119">
        <v>2</v>
      </c>
      <c r="F22" s="128" t="s">
        <v>5</v>
      </c>
      <c r="G22" s="115"/>
      <c r="H22" s="129"/>
      <c r="I22" s="130"/>
    </row>
    <row r="23" spans="1:13" ht="14.25" thickBot="1" x14ac:dyDescent="0.3">
      <c r="A23" s="131"/>
      <c r="B23" s="132"/>
      <c r="E23" s="133"/>
      <c r="F23" s="134"/>
      <c r="G23" s="135"/>
      <c r="H23" s="135"/>
      <c r="I23" s="136"/>
      <c r="L23" s="137"/>
    </row>
    <row r="24" spans="1:13" ht="14.25" thickBot="1" x14ac:dyDescent="0.3">
      <c r="A24" s="138"/>
      <c r="B24" s="139"/>
      <c r="C24" s="140"/>
      <c r="D24" s="141" t="s">
        <v>11</v>
      </c>
      <c r="E24" s="142" t="s">
        <v>10</v>
      </c>
      <c r="F24" s="143"/>
      <c r="G24" s="140"/>
      <c r="H24" s="140"/>
      <c r="I24" s="144"/>
      <c r="L24" s="137"/>
    </row>
    <row r="25" spans="1:13" x14ac:dyDescent="0.25">
      <c r="A25" s="824" t="s">
        <v>9</v>
      </c>
      <c r="B25" s="825"/>
      <c r="C25" s="826"/>
      <c r="D25" s="123">
        <v>8880</v>
      </c>
      <c r="E25" s="145" t="s">
        <v>2</v>
      </c>
      <c r="F25" s="827" t="s">
        <v>93</v>
      </c>
      <c r="G25" s="827"/>
      <c r="H25" s="828"/>
      <c r="I25" s="829"/>
      <c r="J25" s="587">
        <f>D25-840</f>
        <v>8040</v>
      </c>
      <c r="L25" s="137"/>
    </row>
    <row r="26" spans="1:13" x14ac:dyDescent="0.25">
      <c r="A26" s="830" t="s">
        <v>8</v>
      </c>
      <c r="B26" s="831"/>
      <c r="C26" s="832"/>
      <c r="D26" s="146">
        <v>10</v>
      </c>
      <c r="E26" s="146" t="s">
        <v>7</v>
      </c>
      <c r="F26" s="833" t="s">
        <v>94</v>
      </c>
      <c r="G26" s="833"/>
      <c r="H26" s="834"/>
      <c r="I26" s="835"/>
      <c r="L26" s="137"/>
    </row>
    <row r="27" spans="1:13" x14ac:dyDescent="0.25">
      <c r="A27" s="830" t="s">
        <v>6</v>
      </c>
      <c r="B27" s="831"/>
      <c r="C27" s="832"/>
      <c r="D27" s="146">
        <v>1</v>
      </c>
      <c r="E27" s="146" t="s">
        <v>95</v>
      </c>
      <c r="F27" s="833" t="s">
        <v>96</v>
      </c>
      <c r="G27" s="833"/>
      <c r="H27" s="834"/>
      <c r="I27" s="835"/>
      <c r="L27" s="137"/>
    </row>
    <row r="28" spans="1:13" x14ac:dyDescent="0.25">
      <c r="A28" s="830" t="s">
        <v>4</v>
      </c>
      <c r="B28" s="831"/>
      <c r="C28" s="832"/>
      <c r="D28" s="146">
        <f>D25/D27</f>
        <v>8880</v>
      </c>
      <c r="E28" s="146" t="s">
        <v>2</v>
      </c>
      <c r="F28" s="839" t="s">
        <v>97</v>
      </c>
      <c r="G28" s="840"/>
      <c r="H28" s="834"/>
      <c r="I28" s="835"/>
      <c r="L28" s="137"/>
      <c r="M28" s="147"/>
    </row>
    <row r="29" spans="1:13" ht="14.25" thickBot="1" x14ac:dyDescent="0.3">
      <c r="A29" s="841" t="s">
        <v>3</v>
      </c>
      <c r="B29" s="842"/>
      <c r="C29" s="843"/>
      <c r="D29" s="148">
        <f>SUM(E10:E19)-D25</f>
        <v>1270</v>
      </c>
      <c r="E29" s="149" t="s">
        <v>2</v>
      </c>
      <c r="F29" s="844"/>
      <c r="G29" s="844"/>
      <c r="H29" s="845"/>
      <c r="I29" s="846"/>
      <c r="L29" s="137"/>
    </row>
    <row r="30" spans="1:13" ht="14.25" thickBot="1" x14ac:dyDescent="0.3">
      <c r="A30" s="847" t="s">
        <v>1</v>
      </c>
      <c r="B30" s="848"/>
      <c r="C30" s="848"/>
      <c r="D30" s="848"/>
      <c r="E30" s="848"/>
      <c r="F30" s="848"/>
      <c r="G30" s="848"/>
      <c r="H30" s="848"/>
      <c r="I30" s="849"/>
    </row>
    <row r="31" spans="1:13" x14ac:dyDescent="0.25">
      <c r="A31" s="979" t="s">
        <v>98</v>
      </c>
      <c r="B31" s="980"/>
      <c r="C31" s="981"/>
      <c r="D31" s="981"/>
      <c r="E31" s="981"/>
      <c r="F31" s="981"/>
      <c r="G31" s="981"/>
      <c r="H31" s="981"/>
      <c r="I31" s="982"/>
    </row>
    <row r="32" spans="1:13" ht="20.45" customHeight="1" x14ac:dyDescent="0.25">
      <c r="A32" s="975" t="s">
        <v>370</v>
      </c>
      <c r="B32" s="976"/>
      <c r="C32" s="977"/>
      <c r="D32" s="977"/>
      <c r="E32" s="977"/>
      <c r="F32" s="977"/>
      <c r="G32" s="977"/>
      <c r="H32" s="977"/>
      <c r="I32" s="978"/>
    </row>
    <row r="33" spans="1:9" ht="17.45" customHeight="1" x14ac:dyDescent="0.25">
      <c r="A33" s="975" t="s">
        <v>372</v>
      </c>
      <c r="B33" s="976"/>
      <c r="C33" s="977"/>
      <c r="D33" s="977"/>
      <c r="E33" s="977"/>
      <c r="F33" s="977"/>
      <c r="G33" s="977"/>
      <c r="H33" s="977"/>
      <c r="I33" s="978"/>
    </row>
    <row r="34" spans="1:9" x14ac:dyDescent="0.25">
      <c r="A34" s="979" t="s">
        <v>373</v>
      </c>
      <c r="B34" s="980"/>
      <c r="C34" s="981"/>
      <c r="D34" s="981"/>
      <c r="E34" s="981"/>
      <c r="F34" s="981"/>
      <c r="G34" s="981"/>
      <c r="H34" s="981"/>
      <c r="I34" s="982"/>
    </row>
    <row r="35" spans="1:9" ht="14.25" thickBot="1" x14ac:dyDescent="0.3">
      <c r="A35" s="983"/>
      <c r="B35" s="984"/>
      <c r="C35" s="985"/>
      <c r="D35" s="985"/>
      <c r="E35" s="985"/>
      <c r="F35" s="985"/>
      <c r="G35" s="985"/>
      <c r="H35" s="985"/>
      <c r="I35" s="986"/>
    </row>
    <row r="36" spans="1:9" x14ac:dyDescent="0.25">
      <c r="A36" s="987" t="s">
        <v>52</v>
      </c>
      <c r="B36" s="988"/>
      <c r="C36" s="988"/>
      <c r="D36" s="988"/>
      <c r="E36" s="988"/>
      <c r="F36" s="988"/>
      <c r="G36" s="988"/>
      <c r="H36" s="988"/>
      <c r="I36" s="989"/>
    </row>
    <row r="37" spans="1:9" x14ac:dyDescent="0.25">
      <c r="A37" s="972" t="s">
        <v>371</v>
      </c>
      <c r="B37" s="973"/>
      <c r="C37" s="973"/>
      <c r="D37" s="973"/>
      <c r="E37" s="973"/>
      <c r="F37" s="973"/>
      <c r="G37" s="973"/>
      <c r="H37" s="973"/>
      <c r="I37" s="974"/>
    </row>
    <row r="38" spans="1:9" x14ac:dyDescent="0.25">
      <c r="A38" s="972" t="s">
        <v>374</v>
      </c>
      <c r="B38" s="973"/>
      <c r="C38" s="973"/>
      <c r="D38" s="973"/>
      <c r="E38" s="973"/>
      <c r="F38" s="973"/>
      <c r="G38" s="973"/>
      <c r="H38" s="973"/>
      <c r="I38" s="974"/>
    </row>
    <row r="39" spans="1:9" x14ac:dyDescent="0.25">
      <c r="A39" s="972" t="s">
        <v>375</v>
      </c>
      <c r="B39" s="973"/>
      <c r="C39" s="973"/>
      <c r="D39" s="973"/>
      <c r="E39" s="973"/>
      <c r="F39" s="973"/>
      <c r="G39" s="973"/>
      <c r="H39" s="973"/>
      <c r="I39" s="974"/>
    </row>
  </sheetData>
  <mergeCells count="44">
    <mergeCell ref="A38:I38"/>
    <mergeCell ref="A39:I39"/>
    <mergeCell ref="E9:F9"/>
    <mergeCell ref="G9:H9"/>
    <mergeCell ref="A25:C25"/>
    <mergeCell ref="F25:G25"/>
    <mergeCell ref="H25:I25"/>
    <mergeCell ref="A31:I31"/>
    <mergeCell ref="A27:C27"/>
    <mergeCell ref="F27:G27"/>
    <mergeCell ref="H27:I27"/>
    <mergeCell ref="A28:C28"/>
    <mergeCell ref="F28:G28"/>
    <mergeCell ref="H28:I28"/>
    <mergeCell ref="A29:C29"/>
    <mergeCell ref="F29:G29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H29:I29"/>
    <mergeCell ref="A30:I30"/>
    <mergeCell ref="A26:C26"/>
    <mergeCell ref="F26:G26"/>
    <mergeCell ref="H26:I26"/>
    <mergeCell ref="A37:I37"/>
    <mergeCell ref="A32:I32"/>
    <mergeCell ref="A33:I33"/>
    <mergeCell ref="A34:I34"/>
    <mergeCell ref="A35:I35"/>
    <mergeCell ref="A36:I36"/>
  </mergeCells>
  <pageMargins left="0.7" right="0.7" top="0.75" bottom="0.75" header="0.3" footer="0.3"/>
  <pageSetup paperSize="9" scale="58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7922-25C5-49FB-96AE-4620CD04531F}">
  <dimension ref="A1:Q97"/>
  <sheetViews>
    <sheetView topLeftCell="A6" workbookViewId="0">
      <selection activeCell="M24" sqref="M24"/>
    </sheetView>
  </sheetViews>
  <sheetFormatPr baseColWidth="10" defaultColWidth="8.42578125" defaultRowHeight="12.75" x14ac:dyDescent="0.2"/>
  <cols>
    <col min="1" max="1" width="10" style="208" bestFit="1" customWidth="1"/>
    <col min="2" max="2" width="44.28515625" style="208" bestFit="1" customWidth="1"/>
    <col min="3" max="3" width="10.42578125" style="208" bestFit="1" customWidth="1"/>
    <col min="4" max="4" width="10.42578125" style="208" customWidth="1"/>
    <col min="5" max="5" width="9.7109375" style="208" bestFit="1" customWidth="1"/>
    <col min="6" max="6" width="9.5703125" style="208" bestFit="1" customWidth="1"/>
    <col min="7" max="7" width="9.5703125" style="290" bestFit="1" customWidth="1"/>
    <col min="8" max="8" width="10.42578125" style="281" bestFit="1" customWidth="1"/>
    <col min="9" max="9" width="4.5703125" style="281" customWidth="1"/>
    <col min="10" max="10" width="1.85546875" style="207" customWidth="1"/>
    <col min="11" max="11" width="7" style="208" bestFit="1" customWidth="1"/>
    <col min="12" max="12" width="6.28515625" style="208" customWidth="1"/>
    <col min="13" max="13" width="20.42578125" style="208" customWidth="1"/>
    <col min="14" max="14" width="6.42578125" style="208" bestFit="1" customWidth="1"/>
    <col min="15" max="16" width="8.42578125" style="208"/>
    <col min="17" max="17" width="3.28515625" style="208" customWidth="1"/>
    <col min="18" max="256" width="8.42578125" style="208"/>
    <col min="257" max="257" width="10" style="208" bestFit="1" customWidth="1"/>
    <col min="258" max="258" width="44.28515625" style="208" bestFit="1" customWidth="1"/>
    <col min="259" max="259" width="10.42578125" style="208" bestFit="1" customWidth="1"/>
    <col min="260" max="260" width="10.42578125" style="208" customWidth="1"/>
    <col min="261" max="261" width="9.7109375" style="208" bestFit="1" customWidth="1"/>
    <col min="262" max="263" width="9.5703125" style="208" bestFit="1" customWidth="1"/>
    <col min="264" max="264" width="10.42578125" style="208" bestFit="1" customWidth="1"/>
    <col min="265" max="265" width="4.5703125" style="208" customWidth="1"/>
    <col min="266" max="266" width="1.85546875" style="208" customWidth="1"/>
    <col min="267" max="267" width="7" style="208" bestFit="1" customWidth="1"/>
    <col min="268" max="268" width="6.28515625" style="208" customWidth="1"/>
    <col min="269" max="269" width="20.42578125" style="208" customWidth="1"/>
    <col min="270" max="270" width="6.42578125" style="208" bestFit="1" customWidth="1"/>
    <col min="271" max="272" width="8.42578125" style="208"/>
    <col min="273" max="273" width="3.28515625" style="208" customWidth="1"/>
    <col min="274" max="512" width="8.42578125" style="208"/>
    <col min="513" max="513" width="10" style="208" bestFit="1" customWidth="1"/>
    <col min="514" max="514" width="44.28515625" style="208" bestFit="1" customWidth="1"/>
    <col min="515" max="515" width="10.42578125" style="208" bestFit="1" customWidth="1"/>
    <col min="516" max="516" width="10.42578125" style="208" customWidth="1"/>
    <col min="517" max="517" width="9.7109375" style="208" bestFit="1" customWidth="1"/>
    <col min="518" max="519" width="9.5703125" style="208" bestFit="1" customWidth="1"/>
    <col min="520" max="520" width="10.42578125" style="208" bestFit="1" customWidth="1"/>
    <col min="521" max="521" width="4.5703125" style="208" customWidth="1"/>
    <col min="522" max="522" width="1.85546875" style="208" customWidth="1"/>
    <col min="523" max="523" width="7" style="208" bestFit="1" customWidth="1"/>
    <col min="524" max="524" width="6.28515625" style="208" customWidth="1"/>
    <col min="525" max="525" width="20.42578125" style="208" customWidth="1"/>
    <col min="526" max="526" width="6.42578125" style="208" bestFit="1" customWidth="1"/>
    <col min="527" max="528" width="8.42578125" style="208"/>
    <col min="529" max="529" width="3.28515625" style="208" customWidth="1"/>
    <col min="530" max="768" width="8.42578125" style="208"/>
    <col min="769" max="769" width="10" style="208" bestFit="1" customWidth="1"/>
    <col min="770" max="770" width="44.28515625" style="208" bestFit="1" customWidth="1"/>
    <col min="771" max="771" width="10.42578125" style="208" bestFit="1" customWidth="1"/>
    <col min="772" max="772" width="10.42578125" style="208" customWidth="1"/>
    <col min="773" max="773" width="9.7109375" style="208" bestFit="1" customWidth="1"/>
    <col min="774" max="775" width="9.5703125" style="208" bestFit="1" customWidth="1"/>
    <col min="776" max="776" width="10.42578125" style="208" bestFit="1" customWidth="1"/>
    <col min="777" max="777" width="4.5703125" style="208" customWidth="1"/>
    <col min="778" max="778" width="1.85546875" style="208" customWidth="1"/>
    <col min="779" max="779" width="7" style="208" bestFit="1" customWidth="1"/>
    <col min="780" max="780" width="6.28515625" style="208" customWidth="1"/>
    <col min="781" max="781" width="20.42578125" style="208" customWidth="1"/>
    <col min="782" max="782" width="6.42578125" style="208" bestFit="1" customWidth="1"/>
    <col min="783" max="784" width="8.42578125" style="208"/>
    <col min="785" max="785" width="3.28515625" style="208" customWidth="1"/>
    <col min="786" max="1024" width="8.42578125" style="208"/>
    <col min="1025" max="1025" width="10" style="208" bestFit="1" customWidth="1"/>
    <col min="1026" max="1026" width="44.28515625" style="208" bestFit="1" customWidth="1"/>
    <col min="1027" max="1027" width="10.42578125" style="208" bestFit="1" customWidth="1"/>
    <col min="1028" max="1028" width="10.42578125" style="208" customWidth="1"/>
    <col min="1029" max="1029" width="9.7109375" style="208" bestFit="1" customWidth="1"/>
    <col min="1030" max="1031" width="9.5703125" style="208" bestFit="1" customWidth="1"/>
    <col min="1032" max="1032" width="10.42578125" style="208" bestFit="1" customWidth="1"/>
    <col min="1033" max="1033" width="4.5703125" style="208" customWidth="1"/>
    <col min="1034" max="1034" width="1.85546875" style="208" customWidth="1"/>
    <col min="1035" max="1035" width="7" style="208" bestFit="1" customWidth="1"/>
    <col min="1036" max="1036" width="6.28515625" style="208" customWidth="1"/>
    <col min="1037" max="1037" width="20.42578125" style="208" customWidth="1"/>
    <col min="1038" max="1038" width="6.42578125" style="208" bestFit="1" customWidth="1"/>
    <col min="1039" max="1040" width="8.42578125" style="208"/>
    <col min="1041" max="1041" width="3.28515625" style="208" customWidth="1"/>
    <col min="1042" max="1280" width="8.42578125" style="208"/>
    <col min="1281" max="1281" width="10" style="208" bestFit="1" customWidth="1"/>
    <col min="1282" max="1282" width="44.28515625" style="208" bestFit="1" customWidth="1"/>
    <col min="1283" max="1283" width="10.42578125" style="208" bestFit="1" customWidth="1"/>
    <col min="1284" max="1284" width="10.42578125" style="208" customWidth="1"/>
    <col min="1285" max="1285" width="9.7109375" style="208" bestFit="1" customWidth="1"/>
    <col min="1286" max="1287" width="9.5703125" style="208" bestFit="1" customWidth="1"/>
    <col min="1288" max="1288" width="10.42578125" style="208" bestFit="1" customWidth="1"/>
    <col min="1289" max="1289" width="4.5703125" style="208" customWidth="1"/>
    <col min="1290" max="1290" width="1.85546875" style="208" customWidth="1"/>
    <col min="1291" max="1291" width="7" style="208" bestFit="1" customWidth="1"/>
    <col min="1292" max="1292" width="6.28515625" style="208" customWidth="1"/>
    <col min="1293" max="1293" width="20.42578125" style="208" customWidth="1"/>
    <col min="1294" max="1294" width="6.42578125" style="208" bestFit="1" customWidth="1"/>
    <col min="1295" max="1296" width="8.42578125" style="208"/>
    <col min="1297" max="1297" width="3.28515625" style="208" customWidth="1"/>
    <col min="1298" max="1536" width="8.42578125" style="208"/>
    <col min="1537" max="1537" width="10" style="208" bestFit="1" customWidth="1"/>
    <col min="1538" max="1538" width="44.28515625" style="208" bestFit="1" customWidth="1"/>
    <col min="1539" max="1539" width="10.42578125" style="208" bestFit="1" customWidth="1"/>
    <col min="1540" max="1540" width="10.42578125" style="208" customWidth="1"/>
    <col min="1541" max="1541" width="9.7109375" style="208" bestFit="1" customWidth="1"/>
    <col min="1542" max="1543" width="9.5703125" style="208" bestFit="1" customWidth="1"/>
    <col min="1544" max="1544" width="10.42578125" style="208" bestFit="1" customWidth="1"/>
    <col min="1545" max="1545" width="4.5703125" style="208" customWidth="1"/>
    <col min="1546" max="1546" width="1.85546875" style="208" customWidth="1"/>
    <col min="1547" max="1547" width="7" style="208" bestFit="1" customWidth="1"/>
    <col min="1548" max="1548" width="6.28515625" style="208" customWidth="1"/>
    <col min="1549" max="1549" width="20.42578125" style="208" customWidth="1"/>
    <col min="1550" max="1550" width="6.42578125" style="208" bestFit="1" customWidth="1"/>
    <col min="1551" max="1552" width="8.42578125" style="208"/>
    <col min="1553" max="1553" width="3.28515625" style="208" customWidth="1"/>
    <col min="1554" max="1792" width="8.42578125" style="208"/>
    <col min="1793" max="1793" width="10" style="208" bestFit="1" customWidth="1"/>
    <col min="1794" max="1794" width="44.28515625" style="208" bestFit="1" customWidth="1"/>
    <col min="1795" max="1795" width="10.42578125" style="208" bestFit="1" customWidth="1"/>
    <col min="1796" max="1796" width="10.42578125" style="208" customWidth="1"/>
    <col min="1797" max="1797" width="9.7109375" style="208" bestFit="1" customWidth="1"/>
    <col min="1798" max="1799" width="9.5703125" style="208" bestFit="1" customWidth="1"/>
    <col min="1800" max="1800" width="10.42578125" style="208" bestFit="1" customWidth="1"/>
    <col min="1801" max="1801" width="4.5703125" style="208" customWidth="1"/>
    <col min="1802" max="1802" width="1.85546875" style="208" customWidth="1"/>
    <col min="1803" max="1803" width="7" style="208" bestFit="1" customWidth="1"/>
    <col min="1804" max="1804" width="6.28515625" style="208" customWidth="1"/>
    <col min="1805" max="1805" width="20.42578125" style="208" customWidth="1"/>
    <col min="1806" max="1806" width="6.42578125" style="208" bestFit="1" customWidth="1"/>
    <col min="1807" max="1808" width="8.42578125" style="208"/>
    <col min="1809" max="1809" width="3.28515625" style="208" customWidth="1"/>
    <col min="1810" max="2048" width="8.42578125" style="208"/>
    <col min="2049" max="2049" width="10" style="208" bestFit="1" customWidth="1"/>
    <col min="2050" max="2050" width="44.28515625" style="208" bestFit="1" customWidth="1"/>
    <col min="2051" max="2051" width="10.42578125" style="208" bestFit="1" customWidth="1"/>
    <col min="2052" max="2052" width="10.42578125" style="208" customWidth="1"/>
    <col min="2053" max="2053" width="9.7109375" style="208" bestFit="1" customWidth="1"/>
    <col min="2054" max="2055" width="9.5703125" style="208" bestFit="1" customWidth="1"/>
    <col min="2056" max="2056" width="10.42578125" style="208" bestFit="1" customWidth="1"/>
    <col min="2057" max="2057" width="4.5703125" style="208" customWidth="1"/>
    <col min="2058" max="2058" width="1.85546875" style="208" customWidth="1"/>
    <col min="2059" max="2059" width="7" style="208" bestFit="1" customWidth="1"/>
    <col min="2060" max="2060" width="6.28515625" style="208" customWidth="1"/>
    <col min="2061" max="2061" width="20.42578125" style="208" customWidth="1"/>
    <col min="2062" max="2062" width="6.42578125" style="208" bestFit="1" customWidth="1"/>
    <col min="2063" max="2064" width="8.42578125" style="208"/>
    <col min="2065" max="2065" width="3.28515625" style="208" customWidth="1"/>
    <col min="2066" max="2304" width="8.42578125" style="208"/>
    <col min="2305" max="2305" width="10" style="208" bestFit="1" customWidth="1"/>
    <col min="2306" max="2306" width="44.28515625" style="208" bestFit="1" customWidth="1"/>
    <col min="2307" max="2307" width="10.42578125" style="208" bestFit="1" customWidth="1"/>
    <col min="2308" max="2308" width="10.42578125" style="208" customWidth="1"/>
    <col min="2309" max="2309" width="9.7109375" style="208" bestFit="1" customWidth="1"/>
    <col min="2310" max="2311" width="9.5703125" style="208" bestFit="1" customWidth="1"/>
    <col min="2312" max="2312" width="10.42578125" style="208" bestFit="1" customWidth="1"/>
    <col min="2313" max="2313" width="4.5703125" style="208" customWidth="1"/>
    <col min="2314" max="2314" width="1.85546875" style="208" customWidth="1"/>
    <col min="2315" max="2315" width="7" style="208" bestFit="1" customWidth="1"/>
    <col min="2316" max="2316" width="6.28515625" style="208" customWidth="1"/>
    <col min="2317" max="2317" width="20.42578125" style="208" customWidth="1"/>
    <col min="2318" max="2318" width="6.42578125" style="208" bestFit="1" customWidth="1"/>
    <col min="2319" max="2320" width="8.42578125" style="208"/>
    <col min="2321" max="2321" width="3.28515625" style="208" customWidth="1"/>
    <col min="2322" max="2560" width="8.42578125" style="208"/>
    <col min="2561" max="2561" width="10" style="208" bestFit="1" customWidth="1"/>
    <col min="2562" max="2562" width="44.28515625" style="208" bestFit="1" customWidth="1"/>
    <col min="2563" max="2563" width="10.42578125" style="208" bestFit="1" customWidth="1"/>
    <col min="2564" max="2564" width="10.42578125" style="208" customWidth="1"/>
    <col min="2565" max="2565" width="9.7109375" style="208" bestFit="1" customWidth="1"/>
    <col min="2566" max="2567" width="9.5703125" style="208" bestFit="1" customWidth="1"/>
    <col min="2568" max="2568" width="10.42578125" style="208" bestFit="1" customWidth="1"/>
    <col min="2569" max="2569" width="4.5703125" style="208" customWidth="1"/>
    <col min="2570" max="2570" width="1.85546875" style="208" customWidth="1"/>
    <col min="2571" max="2571" width="7" style="208" bestFit="1" customWidth="1"/>
    <col min="2572" max="2572" width="6.28515625" style="208" customWidth="1"/>
    <col min="2573" max="2573" width="20.42578125" style="208" customWidth="1"/>
    <col min="2574" max="2574" width="6.42578125" style="208" bestFit="1" customWidth="1"/>
    <col min="2575" max="2576" width="8.42578125" style="208"/>
    <col min="2577" max="2577" width="3.28515625" style="208" customWidth="1"/>
    <col min="2578" max="2816" width="8.42578125" style="208"/>
    <col min="2817" max="2817" width="10" style="208" bestFit="1" customWidth="1"/>
    <col min="2818" max="2818" width="44.28515625" style="208" bestFit="1" customWidth="1"/>
    <col min="2819" max="2819" width="10.42578125" style="208" bestFit="1" customWidth="1"/>
    <col min="2820" max="2820" width="10.42578125" style="208" customWidth="1"/>
    <col min="2821" max="2821" width="9.7109375" style="208" bestFit="1" customWidth="1"/>
    <col min="2822" max="2823" width="9.5703125" style="208" bestFit="1" customWidth="1"/>
    <col min="2824" max="2824" width="10.42578125" style="208" bestFit="1" customWidth="1"/>
    <col min="2825" max="2825" width="4.5703125" style="208" customWidth="1"/>
    <col min="2826" max="2826" width="1.85546875" style="208" customWidth="1"/>
    <col min="2827" max="2827" width="7" style="208" bestFit="1" customWidth="1"/>
    <col min="2828" max="2828" width="6.28515625" style="208" customWidth="1"/>
    <col min="2829" max="2829" width="20.42578125" style="208" customWidth="1"/>
    <col min="2830" max="2830" width="6.42578125" style="208" bestFit="1" customWidth="1"/>
    <col min="2831" max="2832" width="8.42578125" style="208"/>
    <col min="2833" max="2833" width="3.28515625" style="208" customWidth="1"/>
    <col min="2834" max="3072" width="8.42578125" style="208"/>
    <col min="3073" max="3073" width="10" style="208" bestFit="1" customWidth="1"/>
    <col min="3074" max="3074" width="44.28515625" style="208" bestFit="1" customWidth="1"/>
    <col min="3075" max="3075" width="10.42578125" style="208" bestFit="1" customWidth="1"/>
    <col min="3076" max="3076" width="10.42578125" style="208" customWidth="1"/>
    <col min="3077" max="3077" width="9.7109375" style="208" bestFit="1" customWidth="1"/>
    <col min="3078" max="3079" width="9.5703125" style="208" bestFit="1" customWidth="1"/>
    <col min="3080" max="3080" width="10.42578125" style="208" bestFit="1" customWidth="1"/>
    <col min="3081" max="3081" width="4.5703125" style="208" customWidth="1"/>
    <col min="3082" max="3082" width="1.85546875" style="208" customWidth="1"/>
    <col min="3083" max="3083" width="7" style="208" bestFit="1" customWidth="1"/>
    <col min="3084" max="3084" width="6.28515625" style="208" customWidth="1"/>
    <col min="3085" max="3085" width="20.42578125" style="208" customWidth="1"/>
    <col min="3086" max="3086" width="6.42578125" style="208" bestFit="1" customWidth="1"/>
    <col min="3087" max="3088" width="8.42578125" style="208"/>
    <col min="3089" max="3089" width="3.28515625" style="208" customWidth="1"/>
    <col min="3090" max="3328" width="8.42578125" style="208"/>
    <col min="3329" max="3329" width="10" style="208" bestFit="1" customWidth="1"/>
    <col min="3330" max="3330" width="44.28515625" style="208" bestFit="1" customWidth="1"/>
    <col min="3331" max="3331" width="10.42578125" style="208" bestFit="1" customWidth="1"/>
    <col min="3332" max="3332" width="10.42578125" style="208" customWidth="1"/>
    <col min="3333" max="3333" width="9.7109375" style="208" bestFit="1" customWidth="1"/>
    <col min="3334" max="3335" width="9.5703125" style="208" bestFit="1" customWidth="1"/>
    <col min="3336" max="3336" width="10.42578125" style="208" bestFit="1" customWidth="1"/>
    <col min="3337" max="3337" width="4.5703125" style="208" customWidth="1"/>
    <col min="3338" max="3338" width="1.85546875" style="208" customWidth="1"/>
    <col min="3339" max="3339" width="7" style="208" bestFit="1" customWidth="1"/>
    <col min="3340" max="3340" width="6.28515625" style="208" customWidth="1"/>
    <col min="3341" max="3341" width="20.42578125" style="208" customWidth="1"/>
    <col min="3342" max="3342" width="6.42578125" style="208" bestFit="1" customWidth="1"/>
    <col min="3343" max="3344" width="8.42578125" style="208"/>
    <col min="3345" max="3345" width="3.28515625" style="208" customWidth="1"/>
    <col min="3346" max="3584" width="8.42578125" style="208"/>
    <col min="3585" max="3585" width="10" style="208" bestFit="1" customWidth="1"/>
    <col min="3586" max="3586" width="44.28515625" style="208" bestFit="1" customWidth="1"/>
    <col min="3587" max="3587" width="10.42578125" style="208" bestFit="1" customWidth="1"/>
    <col min="3588" max="3588" width="10.42578125" style="208" customWidth="1"/>
    <col min="3589" max="3589" width="9.7109375" style="208" bestFit="1" customWidth="1"/>
    <col min="3590" max="3591" width="9.5703125" style="208" bestFit="1" customWidth="1"/>
    <col min="3592" max="3592" width="10.42578125" style="208" bestFit="1" customWidth="1"/>
    <col min="3593" max="3593" width="4.5703125" style="208" customWidth="1"/>
    <col min="3594" max="3594" width="1.85546875" style="208" customWidth="1"/>
    <col min="3595" max="3595" width="7" style="208" bestFit="1" customWidth="1"/>
    <col min="3596" max="3596" width="6.28515625" style="208" customWidth="1"/>
    <col min="3597" max="3597" width="20.42578125" style="208" customWidth="1"/>
    <col min="3598" max="3598" width="6.42578125" style="208" bestFit="1" customWidth="1"/>
    <col min="3599" max="3600" width="8.42578125" style="208"/>
    <col min="3601" max="3601" width="3.28515625" style="208" customWidth="1"/>
    <col min="3602" max="3840" width="8.42578125" style="208"/>
    <col min="3841" max="3841" width="10" style="208" bestFit="1" customWidth="1"/>
    <col min="3842" max="3842" width="44.28515625" style="208" bestFit="1" customWidth="1"/>
    <col min="3843" max="3843" width="10.42578125" style="208" bestFit="1" customWidth="1"/>
    <col min="3844" max="3844" width="10.42578125" style="208" customWidth="1"/>
    <col min="3845" max="3845" width="9.7109375" style="208" bestFit="1" customWidth="1"/>
    <col min="3846" max="3847" width="9.5703125" style="208" bestFit="1" customWidth="1"/>
    <col min="3848" max="3848" width="10.42578125" style="208" bestFit="1" customWidth="1"/>
    <col min="3849" max="3849" width="4.5703125" style="208" customWidth="1"/>
    <col min="3850" max="3850" width="1.85546875" style="208" customWidth="1"/>
    <col min="3851" max="3851" width="7" style="208" bestFit="1" customWidth="1"/>
    <col min="3852" max="3852" width="6.28515625" style="208" customWidth="1"/>
    <col min="3853" max="3853" width="20.42578125" style="208" customWidth="1"/>
    <col min="3854" max="3854" width="6.42578125" style="208" bestFit="1" customWidth="1"/>
    <col min="3855" max="3856" width="8.42578125" style="208"/>
    <col min="3857" max="3857" width="3.28515625" style="208" customWidth="1"/>
    <col min="3858" max="4096" width="8.42578125" style="208"/>
    <col min="4097" max="4097" width="10" style="208" bestFit="1" customWidth="1"/>
    <col min="4098" max="4098" width="44.28515625" style="208" bestFit="1" customWidth="1"/>
    <col min="4099" max="4099" width="10.42578125" style="208" bestFit="1" customWidth="1"/>
    <col min="4100" max="4100" width="10.42578125" style="208" customWidth="1"/>
    <col min="4101" max="4101" width="9.7109375" style="208" bestFit="1" customWidth="1"/>
    <col min="4102" max="4103" width="9.5703125" style="208" bestFit="1" customWidth="1"/>
    <col min="4104" max="4104" width="10.42578125" style="208" bestFit="1" customWidth="1"/>
    <col min="4105" max="4105" width="4.5703125" style="208" customWidth="1"/>
    <col min="4106" max="4106" width="1.85546875" style="208" customWidth="1"/>
    <col min="4107" max="4107" width="7" style="208" bestFit="1" customWidth="1"/>
    <col min="4108" max="4108" width="6.28515625" style="208" customWidth="1"/>
    <col min="4109" max="4109" width="20.42578125" style="208" customWidth="1"/>
    <col min="4110" max="4110" width="6.42578125" style="208" bestFit="1" customWidth="1"/>
    <col min="4111" max="4112" width="8.42578125" style="208"/>
    <col min="4113" max="4113" width="3.28515625" style="208" customWidth="1"/>
    <col min="4114" max="4352" width="8.42578125" style="208"/>
    <col min="4353" max="4353" width="10" style="208" bestFit="1" customWidth="1"/>
    <col min="4354" max="4354" width="44.28515625" style="208" bestFit="1" customWidth="1"/>
    <col min="4355" max="4355" width="10.42578125" style="208" bestFit="1" customWidth="1"/>
    <col min="4356" max="4356" width="10.42578125" style="208" customWidth="1"/>
    <col min="4357" max="4357" width="9.7109375" style="208" bestFit="1" customWidth="1"/>
    <col min="4358" max="4359" width="9.5703125" style="208" bestFit="1" customWidth="1"/>
    <col min="4360" max="4360" width="10.42578125" style="208" bestFit="1" customWidth="1"/>
    <col min="4361" max="4361" width="4.5703125" style="208" customWidth="1"/>
    <col min="4362" max="4362" width="1.85546875" style="208" customWidth="1"/>
    <col min="4363" max="4363" width="7" style="208" bestFit="1" customWidth="1"/>
    <col min="4364" max="4364" width="6.28515625" style="208" customWidth="1"/>
    <col min="4365" max="4365" width="20.42578125" style="208" customWidth="1"/>
    <col min="4366" max="4366" width="6.42578125" style="208" bestFit="1" customWidth="1"/>
    <col min="4367" max="4368" width="8.42578125" style="208"/>
    <col min="4369" max="4369" width="3.28515625" style="208" customWidth="1"/>
    <col min="4370" max="4608" width="8.42578125" style="208"/>
    <col min="4609" max="4609" width="10" style="208" bestFit="1" customWidth="1"/>
    <col min="4610" max="4610" width="44.28515625" style="208" bestFit="1" customWidth="1"/>
    <col min="4611" max="4611" width="10.42578125" style="208" bestFit="1" customWidth="1"/>
    <col min="4612" max="4612" width="10.42578125" style="208" customWidth="1"/>
    <col min="4613" max="4613" width="9.7109375" style="208" bestFit="1" customWidth="1"/>
    <col min="4614" max="4615" width="9.5703125" style="208" bestFit="1" customWidth="1"/>
    <col min="4616" max="4616" width="10.42578125" style="208" bestFit="1" customWidth="1"/>
    <col min="4617" max="4617" width="4.5703125" style="208" customWidth="1"/>
    <col min="4618" max="4618" width="1.85546875" style="208" customWidth="1"/>
    <col min="4619" max="4619" width="7" style="208" bestFit="1" customWidth="1"/>
    <col min="4620" max="4620" width="6.28515625" style="208" customWidth="1"/>
    <col min="4621" max="4621" width="20.42578125" style="208" customWidth="1"/>
    <col min="4622" max="4622" width="6.42578125" style="208" bestFit="1" customWidth="1"/>
    <col min="4623" max="4624" width="8.42578125" style="208"/>
    <col min="4625" max="4625" width="3.28515625" style="208" customWidth="1"/>
    <col min="4626" max="4864" width="8.42578125" style="208"/>
    <col min="4865" max="4865" width="10" style="208" bestFit="1" customWidth="1"/>
    <col min="4866" max="4866" width="44.28515625" style="208" bestFit="1" customWidth="1"/>
    <col min="4867" max="4867" width="10.42578125" style="208" bestFit="1" customWidth="1"/>
    <col min="4868" max="4868" width="10.42578125" style="208" customWidth="1"/>
    <col min="4869" max="4869" width="9.7109375" style="208" bestFit="1" customWidth="1"/>
    <col min="4870" max="4871" width="9.5703125" style="208" bestFit="1" customWidth="1"/>
    <col min="4872" max="4872" width="10.42578125" style="208" bestFit="1" customWidth="1"/>
    <col min="4873" max="4873" width="4.5703125" style="208" customWidth="1"/>
    <col min="4874" max="4874" width="1.85546875" style="208" customWidth="1"/>
    <col min="4875" max="4875" width="7" style="208" bestFit="1" customWidth="1"/>
    <col min="4876" max="4876" width="6.28515625" style="208" customWidth="1"/>
    <col min="4877" max="4877" width="20.42578125" style="208" customWidth="1"/>
    <col min="4878" max="4878" width="6.42578125" style="208" bestFit="1" customWidth="1"/>
    <col min="4879" max="4880" width="8.42578125" style="208"/>
    <col min="4881" max="4881" width="3.28515625" style="208" customWidth="1"/>
    <col min="4882" max="5120" width="8.42578125" style="208"/>
    <col min="5121" max="5121" width="10" style="208" bestFit="1" customWidth="1"/>
    <col min="5122" max="5122" width="44.28515625" style="208" bestFit="1" customWidth="1"/>
    <col min="5123" max="5123" width="10.42578125" style="208" bestFit="1" customWidth="1"/>
    <col min="5124" max="5124" width="10.42578125" style="208" customWidth="1"/>
    <col min="5125" max="5125" width="9.7109375" style="208" bestFit="1" customWidth="1"/>
    <col min="5126" max="5127" width="9.5703125" style="208" bestFit="1" customWidth="1"/>
    <col min="5128" max="5128" width="10.42578125" style="208" bestFit="1" customWidth="1"/>
    <col min="5129" max="5129" width="4.5703125" style="208" customWidth="1"/>
    <col min="5130" max="5130" width="1.85546875" style="208" customWidth="1"/>
    <col min="5131" max="5131" width="7" style="208" bestFit="1" customWidth="1"/>
    <col min="5132" max="5132" width="6.28515625" style="208" customWidth="1"/>
    <col min="5133" max="5133" width="20.42578125" style="208" customWidth="1"/>
    <col min="5134" max="5134" width="6.42578125" style="208" bestFit="1" customWidth="1"/>
    <col min="5135" max="5136" width="8.42578125" style="208"/>
    <col min="5137" max="5137" width="3.28515625" style="208" customWidth="1"/>
    <col min="5138" max="5376" width="8.42578125" style="208"/>
    <col min="5377" max="5377" width="10" style="208" bestFit="1" customWidth="1"/>
    <col min="5378" max="5378" width="44.28515625" style="208" bestFit="1" customWidth="1"/>
    <col min="5379" max="5379" width="10.42578125" style="208" bestFit="1" customWidth="1"/>
    <col min="5380" max="5380" width="10.42578125" style="208" customWidth="1"/>
    <col min="5381" max="5381" width="9.7109375" style="208" bestFit="1" customWidth="1"/>
    <col min="5382" max="5383" width="9.5703125" style="208" bestFit="1" customWidth="1"/>
    <col min="5384" max="5384" width="10.42578125" style="208" bestFit="1" customWidth="1"/>
    <col min="5385" max="5385" width="4.5703125" style="208" customWidth="1"/>
    <col min="5386" max="5386" width="1.85546875" style="208" customWidth="1"/>
    <col min="5387" max="5387" width="7" style="208" bestFit="1" customWidth="1"/>
    <col min="5388" max="5388" width="6.28515625" style="208" customWidth="1"/>
    <col min="5389" max="5389" width="20.42578125" style="208" customWidth="1"/>
    <col min="5390" max="5390" width="6.42578125" style="208" bestFit="1" customWidth="1"/>
    <col min="5391" max="5392" width="8.42578125" style="208"/>
    <col min="5393" max="5393" width="3.28515625" style="208" customWidth="1"/>
    <col min="5394" max="5632" width="8.42578125" style="208"/>
    <col min="5633" max="5633" width="10" style="208" bestFit="1" customWidth="1"/>
    <col min="5634" max="5634" width="44.28515625" style="208" bestFit="1" customWidth="1"/>
    <col min="5635" max="5635" width="10.42578125" style="208" bestFit="1" customWidth="1"/>
    <col min="5636" max="5636" width="10.42578125" style="208" customWidth="1"/>
    <col min="5637" max="5637" width="9.7109375" style="208" bestFit="1" customWidth="1"/>
    <col min="5638" max="5639" width="9.5703125" style="208" bestFit="1" customWidth="1"/>
    <col min="5640" max="5640" width="10.42578125" style="208" bestFit="1" customWidth="1"/>
    <col min="5641" max="5641" width="4.5703125" style="208" customWidth="1"/>
    <col min="5642" max="5642" width="1.85546875" style="208" customWidth="1"/>
    <col min="5643" max="5643" width="7" style="208" bestFit="1" customWidth="1"/>
    <col min="5644" max="5644" width="6.28515625" style="208" customWidth="1"/>
    <col min="5645" max="5645" width="20.42578125" style="208" customWidth="1"/>
    <col min="5646" max="5646" width="6.42578125" style="208" bestFit="1" customWidth="1"/>
    <col min="5647" max="5648" width="8.42578125" style="208"/>
    <col min="5649" max="5649" width="3.28515625" style="208" customWidth="1"/>
    <col min="5650" max="5888" width="8.42578125" style="208"/>
    <col min="5889" max="5889" width="10" style="208" bestFit="1" customWidth="1"/>
    <col min="5890" max="5890" width="44.28515625" style="208" bestFit="1" customWidth="1"/>
    <col min="5891" max="5891" width="10.42578125" style="208" bestFit="1" customWidth="1"/>
    <col min="5892" max="5892" width="10.42578125" style="208" customWidth="1"/>
    <col min="5893" max="5893" width="9.7109375" style="208" bestFit="1" customWidth="1"/>
    <col min="5894" max="5895" width="9.5703125" style="208" bestFit="1" customWidth="1"/>
    <col min="5896" max="5896" width="10.42578125" style="208" bestFit="1" customWidth="1"/>
    <col min="5897" max="5897" width="4.5703125" style="208" customWidth="1"/>
    <col min="5898" max="5898" width="1.85546875" style="208" customWidth="1"/>
    <col min="5899" max="5899" width="7" style="208" bestFit="1" customWidth="1"/>
    <col min="5900" max="5900" width="6.28515625" style="208" customWidth="1"/>
    <col min="5901" max="5901" width="20.42578125" style="208" customWidth="1"/>
    <col min="5902" max="5902" width="6.42578125" style="208" bestFit="1" customWidth="1"/>
    <col min="5903" max="5904" width="8.42578125" style="208"/>
    <col min="5905" max="5905" width="3.28515625" style="208" customWidth="1"/>
    <col min="5906" max="6144" width="8.42578125" style="208"/>
    <col min="6145" max="6145" width="10" style="208" bestFit="1" customWidth="1"/>
    <col min="6146" max="6146" width="44.28515625" style="208" bestFit="1" customWidth="1"/>
    <col min="6147" max="6147" width="10.42578125" style="208" bestFit="1" customWidth="1"/>
    <col min="6148" max="6148" width="10.42578125" style="208" customWidth="1"/>
    <col min="6149" max="6149" width="9.7109375" style="208" bestFit="1" customWidth="1"/>
    <col min="6150" max="6151" width="9.5703125" style="208" bestFit="1" customWidth="1"/>
    <col min="6152" max="6152" width="10.42578125" style="208" bestFit="1" customWidth="1"/>
    <col min="6153" max="6153" width="4.5703125" style="208" customWidth="1"/>
    <col min="6154" max="6154" width="1.85546875" style="208" customWidth="1"/>
    <col min="6155" max="6155" width="7" style="208" bestFit="1" customWidth="1"/>
    <col min="6156" max="6156" width="6.28515625" style="208" customWidth="1"/>
    <col min="6157" max="6157" width="20.42578125" style="208" customWidth="1"/>
    <col min="6158" max="6158" width="6.42578125" style="208" bestFit="1" customWidth="1"/>
    <col min="6159" max="6160" width="8.42578125" style="208"/>
    <col min="6161" max="6161" width="3.28515625" style="208" customWidth="1"/>
    <col min="6162" max="6400" width="8.42578125" style="208"/>
    <col min="6401" max="6401" width="10" style="208" bestFit="1" customWidth="1"/>
    <col min="6402" max="6402" width="44.28515625" style="208" bestFit="1" customWidth="1"/>
    <col min="6403" max="6403" width="10.42578125" style="208" bestFit="1" customWidth="1"/>
    <col min="6404" max="6404" width="10.42578125" style="208" customWidth="1"/>
    <col min="6405" max="6405" width="9.7109375" style="208" bestFit="1" customWidth="1"/>
    <col min="6406" max="6407" width="9.5703125" style="208" bestFit="1" customWidth="1"/>
    <col min="6408" max="6408" width="10.42578125" style="208" bestFit="1" customWidth="1"/>
    <col min="6409" max="6409" width="4.5703125" style="208" customWidth="1"/>
    <col min="6410" max="6410" width="1.85546875" style="208" customWidth="1"/>
    <col min="6411" max="6411" width="7" style="208" bestFit="1" customWidth="1"/>
    <col min="6412" max="6412" width="6.28515625" style="208" customWidth="1"/>
    <col min="6413" max="6413" width="20.42578125" style="208" customWidth="1"/>
    <col min="6414" max="6414" width="6.42578125" style="208" bestFit="1" customWidth="1"/>
    <col min="6415" max="6416" width="8.42578125" style="208"/>
    <col min="6417" max="6417" width="3.28515625" style="208" customWidth="1"/>
    <col min="6418" max="6656" width="8.42578125" style="208"/>
    <col min="6657" max="6657" width="10" style="208" bestFit="1" customWidth="1"/>
    <col min="6658" max="6658" width="44.28515625" style="208" bestFit="1" customWidth="1"/>
    <col min="6659" max="6659" width="10.42578125" style="208" bestFit="1" customWidth="1"/>
    <col min="6660" max="6660" width="10.42578125" style="208" customWidth="1"/>
    <col min="6661" max="6661" width="9.7109375" style="208" bestFit="1" customWidth="1"/>
    <col min="6662" max="6663" width="9.5703125" style="208" bestFit="1" customWidth="1"/>
    <col min="6664" max="6664" width="10.42578125" style="208" bestFit="1" customWidth="1"/>
    <col min="6665" max="6665" width="4.5703125" style="208" customWidth="1"/>
    <col min="6666" max="6666" width="1.85546875" style="208" customWidth="1"/>
    <col min="6667" max="6667" width="7" style="208" bestFit="1" customWidth="1"/>
    <col min="6668" max="6668" width="6.28515625" style="208" customWidth="1"/>
    <col min="6669" max="6669" width="20.42578125" style="208" customWidth="1"/>
    <col min="6670" max="6670" width="6.42578125" style="208" bestFit="1" customWidth="1"/>
    <col min="6671" max="6672" width="8.42578125" style="208"/>
    <col min="6673" max="6673" width="3.28515625" style="208" customWidth="1"/>
    <col min="6674" max="6912" width="8.42578125" style="208"/>
    <col min="6913" max="6913" width="10" style="208" bestFit="1" customWidth="1"/>
    <col min="6914" max="6914" width="44.28515625" style="208" bestFit="1" customWidth="1"/>
    <col min="6915" max="6915" width="10.42578125" style="208" bestFit="1" customWidth="1"/>
    <col min="6916" max="6916" width="10.42578125" style="208" customWidth="1"/>
    <col min="6917" max="6917" width="9.7109375" style="208" bestFit="1" customWidth="1"/>
    <col min="6918" max="6919" width="9.5703125" style="208" bestFit="1" customWidth="1"/>
    <col min="6920" max="6920" width="10.42578125" style="208" bestFit="1" customWidth="1"/>
    <col min="6921" max="6921" width="4.5703125" style="208" customWidth="1"/>
    <col min="6922" max="6922" width="1.85546875" style="208" customWidth="1"/>
    <col min="6923" max="6923" width="7" style="208" bestFit="1" customWidth="1"/>
    <col min="6924" max="6924" width="6.28515625" style="208" customWidth="1"/>
    <col min="6925" max="6925" width="20.42578125" style="208" customWidth="1"/>
    <col min="6926" max="6926" width="6.42578125" style="208" bestFit="1" customWidth="1"/>
    <col min="6927" max="6928" width="8.42578125" style="208"/>
    <col min="6929" max="6929" width="3.28515625" style="208" customWidth="1"/>
    <col min="6930" max="7168" width="8.42578125" style="208"/>
    <col min="7169" max="7169" width="10" style="208" bestFit="1" customWidth="1"/>
    <col min="7170" max="7170" width="44.28515625" style="208" bestFit="1" customWidth="1"/>
    <col min="7171" max="7171" width="10.42578125" style="208" bestFit="1" customWidth="1"/>
    <col min="7172" max="7172" width="10.42578125" style="208" customWidth="1"/>
    <col min="7173" max="7173" width="9.7109375" style="208" bestFit="1" customWidth="1"/>
    <col min="7174" max="7175" width="9.5703125" style="208" bestFit="1" customWidth="1"/>
    <col min="7176" max="7176" width="10.42578125" style="208" bestFit="1" customWidth="1"/>
    <col min="7177" max="7177" width="4.5703125" style="208" customWidth="1"/>
    <col min="7178" max="7178" width="1.85546875" style="208" customWidth="1"/>
    <col min="7179" max="7179" width="7" style="208" bestFit="1" customWidth="1"/>
    <col min="7180" max="7180" width="6.28515625" style="208" customWidth="1"/>
    <col min="7181" max="7181" width="20.42578125" style="208" customWidth="1"/>
    <col min="7182" max="7182" width="6.42578125" style="208" bestFit="1" customWidth="1"/>
    <col min="7183" max="7184" width="8.42578125" style="208"/>
    <col min="7185" max="7185" width="3.28515625" style="208" customWidth="1"/>
    <col min="7186" max="7424" width="8.42578125" style="208"/>
    <col min="7425" max="7425" width="10" style="208" bestFit="1" customWidth="1"/>
    <col min="7426" max="7426" width="44.28515625" style="208" bestFit="1" customWidth="1"/>
    <col min="7427" max="7427" width="10.42578125" style="208" bestFit="1" customWidth="1"/>
    <col min="7428" max="7428" width="10.42578125" style="208" customWidth="1"/>
    <col min="7429" max="7429" width="9.7109375" style="208" bestFit="1" customWidth="1"/>
    <col min="7430" max="7431" width="9.5703125" style="208" bestFit="1" customWidth="1"/>
    <col min="7432" max="7432" width="10.42578125" style="208" bestFit="1" customWidth="1"/>
    <col min="7433" max="7433" width="4.5703125" style="208" customWidth="1"/>
    <col min="7434" max="7434" width="1.85546875" style="208" customWidth="1"/>
    <col min="7435" max="7435" width="7" style="208" bestFit="1" customWidth="1"/>
    <col min="7436" max="7436" width="6.28515625" style="208" customWidth="1"/>
    <col min="7437" max="7437" width="20.42578125" style="208" customWidth="1"/>
    <col min="7438" max="7438" width="6.42578125" style="208" bestFit="1" customWidth="1"/>
    <col min="7439" max="7440" width="8.42578125" style="208"/>
    <col min="7441" max="7441" width="3.28515625" style="208" customWidth="1"/>
    <col min="7442" max="7680" width="8.42578125" style="208"/>
    <col min="7681" max="7681" width="10" style="208" bestFit="1" customWidth="1"/>
    <col min="7682" max="7682" width="44.28515625" style="208" bestFit="1" customWidth="1"/>
    <col min="7683" max="7683" width="10.42578125" style="208" bestFit="1" customWidth="1"/>
    <col min="7684" max="7684" width="10.42578125" style="208" customWidth="1"/>
    <col min="7685" max="7685" width="9.7109375" style="208" bestFit="1" customWidth="1"/>
    <col min="7686" max="7687" width="9.5703125" style="208" bestFit="1" customWidth="1"/>
    <col min="7688" max="7688" width="10.42578125" style="208" bestFit="1" customWidth="1"/>
    <col min="7689" max="7689" width="4.5703125" style="208" customWidth="1"/>
    <col min="7690" max="7690" width="1.85546875" style="208" customWidth="1"/>
    <col min="7691" max="7691" width="7" style="208" bestFit="1" customWidth="1"/>
    <col min="7692" max="7692" width="6.28515625" style="208" customWidth="1"/>
    <col min="7693" max="7693" width="20.42578125" style="208" customWidth="1"/>
    <col min="7694" max="7694" width="6.42578125" style="208" bestFit="1" customWidth="1"/>
    <col min="7695" max="7696" width="8.42578125" style="208"/>
    <col min="7697" max="7697" width="3.28515625" style="208" customWidth="1"/>
    <col min="7698" max="7936" width="8.42578125" style="208"/>
    <col min="7937" max="7937" width="10" style="208" bestFit="1" customWidth="1"/>
    <col min="7938" max="7938" width="44.28515625" style="208" bestFit="1" customWidth="1"/>
    <col min="7939" max="7939" width="10.42578125" style="208" bestFit="1" customWidth="1"/>
    <col min="7940" max="7940" width="10.42578125" style="208" customWidth="1"/>
    <col min="7941" max="7941" width="9.7109375" style="208" bestFit="1" customWidth="1"/>
    <col min="7942" max="7943" width="9.5703125" style="208" bestFit="1" customWidth="1"/>
    <col min="7944" max="7944" width="10.42578125" style="208" bestFit="1" customWidth="1"/>
    <col min="7945" max="7945" width="4.5703125" style="208" customWidth="1"/>
    <col min="7946" max="7946" width="1.85546875" style="208" customWidth="1"/>
    <col min="7947" max="7947" width="7" style="208" bestFit="1" customWidth="1"/>
    <col min="7948" max="7948" width="6.28515625" style="208" customWidth="1"/>
    <col min="7949" max="7949" width="20.42578125" style="208" customWidth="1"/>
    <col min="7950" max="7950" width="6.42578125" style="208" bestFit="1" customWidth="1"/>
    <col min="7951" max="7952" width="8.42578125" style="208"/>
    <col min="7953" max="7953" width="3.28515625" style="208" customWidth="1"/>
    <col min="7954" max="8192" width="8.42578125" style="208"/>
    <col min="8193" max="8193" width="10" style="208" bestFit="1" customWidth="1"/>
    <col min="8194" max="8194" width="44.28515625" style="208" bestFit="1" customWidth="1"/>
    <col min="8195" max="8195" width="10.42578125" style="208" bestFit="1" customWidth="1"/>
    <col min="8196" max="8196" width="10.42578125" style="208" customWidth="1"/>
    <col min="8197" max="8197" width="9.7109375" style="208" bestFit="1" customWidth="1"/>
    <col min="8198" max="8199" width="9.5703125" style="208" bestFit="1" customWidth="1"/>
    <col min="8200" max="8200" width="10.42578125" style="208" bestFit="1" customWidth="1"/>
    <col min="8201" max="8201" width="4.5703125" style="208" customWidth="1"/>
    <col min="8202" max="8202" width="1.85546875" style="208" customWidth="1"/>
    <col min="8203" max="8203" width="7" style="208" bestFit="1" customWidth="1"/>
    <col min="8204" max="8204" width="6.28515625" style="208" customWidth="1"/>
    <col min="8205" max="8205" width="20.42578125" style="208" customWidth="1"/>
    <col min="8206" max="8206" width="6.42578125" style="208" bestFit="1" customWidth="1"/>
    <col min="8207" max="8208" width="8.42578125" style="208"/>
    <col min="8209" max="8209" width="3.28515625" style="208" customWidth="1"/>
    <col min="8210" max="8448" width="8.42578125" style="208"/>
    <col min="8449" max="8449" width="10" style="208" bestFit="1" customWidth="1"/>
    <col min="8450" max="8450" width="44.28515625" style="208" bestFit="1" customWidth="1"/>
    <col min="8451" max="8451" width="10.42578125" style="208" bestFit="1" customWidth="1"/>
    <col min="8452" max="8452" width="10.42578125" style="208" customWidth="1"/>
    <col min="8453" max="8453" width="9.7109375" style="208" bestFit="1" customWidth="1"/>
    <col min="8454" max="8455" width="9.5703125" style="208" bestFit="1" customWidth="1"/>
    <col min="8456" max="8456" width="10.42578125" style="208" bestFit="1" customWidth="1"/>
    <col min="8457" max="8457" width="4.5703125" style="208" customWidth="1"/>
    <col min="8458" max="8458" width="1.85546875" style="208" customWidth="1"/>
    <col min="8459" max="8459" width="7" style="208" bestFit="1" customWidth="1"/>
    <col min="8460" max="8460" width="6.28515625" style="208" customWidth="1"/>
    <col min="8461" max="8461" width="20.42578125" style="208" customWidth="1"/>
    <col min="8462" max="8462" width="6.42578125" style="208" bestFit="1" customWidth="1"/>
    <col min="8463" max="8464" width="8.42578125" style="208"/>
    <col min="8465" max="8465" width="3.28515625" style="208" customWidth="1"/>
    <col min="8466" max="8704" width="8.42578125" style="208"/>
    <col min="8705" max="8705" width="10" style="208" bestFit="1" customWidth="1"/>
    <col min="8706" max="8706" width="44.28515625" style="208" bestFit="1" customWidth="1"/>
    <col min="8707" max="8707" width="10.42578125" style="208" bestFit="1" customWidth="1"/>
    <col min="8708" max="8708" width="10.42578125" style="208" customWidth="1"/>
    <col min="8709" max="8709" width="9.7109375" style="208" bestFit="1" customWidth="1"/>
    <col min="8710" max="8711" width="9.5703125" style="208" bestFit="1" customWidth="1"/>
    <col min="8712" max="8712" width="10.42578125" style="208" bestFit="1" customWidth="1"/>
    <col min="8713" max="8713" width="4.5703125" style="208" customWidth="1"/>
    <col min="8714" max="8714" width="1.85546875" style="208" customWidth="1"/>
    <col min="8715" max="8715" width="7" style="208" bestFit="1" customWidth="1"/>
    <col min="8716" max="8716" width="6.28515625" style="208" customWidth="1"/>
    <col min="8717" max="8717" width="20.42578125" style="208" customWidth="1"/>
    <col min="8718" max="8718" width="6.42578125" style="208" bestFit="1" customWidth="1"/>
    <col min="8719" max="8720" width="8.42578125" style="208"/>
    <col min="8721" max="8721" width="3.28515625" style="208" customWidth="1"/>
    <col min="8722" max="8960" width="8.42578125" style="208"/>
    <col min="8961" max="8961" width="10" style="208" bestFit="1" customWidth="1"/>
    <col min="8962" max="8962" width="44.28515625" style="208" bestFit="1" customWidth="1"/>
    <col min="8963" max="8963" width="10.42578125" style="208" bestFit="1" customWidth="1"/>
    <col min="8964" max="8964" width="10.42578125" style="208" customWidth="1"/>
    <col min="8965" max="8965" width="9.7109375" style="208" bestFit="1" customWidth="1"/>
    <col min="8966" max="8967" width="9.5703125" style="208" bestFit="1" customWidth="1"/>
    <col min="8968" max="8968" width="10.42578125" style="208" bestFit="1" customWidth="1"/>
    <col min="8969" max="8969" width="4.5703125" style="208" customWidth="1"/>
    <col min="8970" max="8970" width="1.85546875" style="208" customWidth="1"/>
    <col min="8971" max="8971" width="7" style="208" bestFit="1" customWidth="1"/>
    <col min="8972" max="8972" width="6.28515625" style="208" customWidth="1"/>
    <col min="8973" max="8973" width="20.42578125" style="208" customWidth="1"/>
    <col min="8974" max="8974" width="6.42578125" style="208" bestFit="1" customWidth="1"/>
    <col min="8975" max="8976" width="8.42578125" style="208"/>
    <col min="8977" max="8977" width="3.28515625" style="208" customWidth="1"/>
    <col min="8978" max="9216" width="8.42578125" style="208"/>
    <col min="9217" max="9217" width="10" style="208" bestFit="1" customWidth="1"/>
    <col min="9218" max="9218" width="44.28515625" style="208" bestFit="1" customWidth="1"/>
    <col min="9219" max="9219" width="10.42578125" style="208" bestFit="1" customWidth="1"/>
    <col min="9220" max="9220" width="10.42578125" style="208" customWidth="1"/>
    <col min="9221" max="9221" width="9.7109375" style="208" bestFit="1" customWidth="1"/>
    <col min="9222" max="9223" width="9.5703125" style="208" bestFit="1" customWidth="1"/>
    <col min="9224" max="9224" width="10.42578125" style="208" bestFit="1" customWidth="1"/>
    <col min="9225" max="9225" width="4.5703125" style="208" customWidth="1"/>
    <col min="9226" max="9226" width="1.85546875" style="208" customWidth="1"/>
    <col min="9227" max="9227" width="7" style="208" bestFit="1" customWidth="1"/>
    <col min="9228" max="9228" width="6.28515625" style="208" customWidth="1"/>
    <col min="9229" max="9229" width="20.42578125" style="208" customWidth="1"/>
    <col min="9230" max="9230" width="6.42578125" style="208" bestFit="1" customWidth="1"/>
    <col min="9231" max="9232" width="8.42578125" style="208"/>
    <col min="9233" max="9233" width="3.28515625" style="208" customWidth="1"/>
    <col min="9234" max="9472" width="8.42578125" style="208"/>
    <col min="9473" max="9473" width="10" style="208" bestFit="1" customWidth="1"/>
    <col min="9474" max="9474" width="44.28515625" style="208" bestFit="1" customWidth="1"/>
    <col min="9475" max="9475" width="10.42578125" style="208" bestFit="1" customWidth="1"/>
    <col min="9476" max="9476" width="10.42578125" style="208" customWidth="1"/>
    <col min="9477" max="9477" width="9.7109375" style="208" bestFit="1" customWidth="1"/>
    <col min="9478" max="9479" width="9.5703125" style="208" bestFit="1" customWidth="1"/>
    <col min="9480" max="9480" width="10.42578125" style="208" bestFit="1" customWidth="1"/>
    <col min="9481" max="9481" width="4.5703125" style="208" customWidth="1"/>
    <col min="9482" max="9482" width="1.85546875" style="208" customWidth="1"/>
    <col min="9483" max="9483" width="7" style="208" bestFit="1" customWidth="1"/>
    <col min="9484" max="9484" width="6.28515625" style="208" customWidth="1"/>
    <col min="9485" max="9485" width="20.42578125" style="208" customWidth="1"/>
    <col min="9486" max="9486" width="6.42578125" style="208" bestFit="1" customWidth="1"/>
    <col min="9487" max="9488" width="8.42578125" style="208"/>
    <col min="9489" max="9489" width="3.28515625" style="208" customWidth="1"/>
    <col min="9490" max="9728" width="8.42578125" style="208"/>
    <col min="9729" max="9729" width="10" style="208" bestFit="1" customWidth="1"/>
    <col min="9730" max="9730" width="44.28515625" style="208" bestFit="1" customWidth="1"/>
    <col min="9731" max="9731" width="10.42578125" style="208" bestFit="1" customWidth="1"/>
    <col min="9732" max="9732" width="10.42578125" style="208" customWidth="1"/>
    <col min="9733" max="9733" width="9.7109375" style="208" bestFit="1" customWidth="1"/>
    <col min="9734" max="9735" width="9.5703125" style="208" bestFit="1" customWidth="1"/>
    <col min="9736" max="9736" width="10.42578125" style="208" bestFit="1" customWidth="1"/>
    <col min="9737" max="9737" width="4.5703125" style="208" customWidth="1"/>
    <col min="9738" max="9738" width="1.85546875" style="208" customWidth="1"/>
    <col min="9739" max="9739" width="7" style="208" bestFit="1" customWidth="1"/>
    <col min="9740" max="9740" width="6.28515625" style="208" customWidth="1"/>
    <col min="9741" max="9741" width="20.42578125" style="208" customWidth="1"/>
    <col min="9742" max="9742" width="6.42578125" style="208" bestFit="1" customWidth="1"/>
    <col min="9743" max="9744" width="8.42578125" style="208"/>
    <col min="9745" max="9745" width="3.28515625" style="208" customWidth="1"/>
    <col min="9746" max="9984" width="8.42578125" style="208"/>
    <col min="9985" max="9985" width="10" style="208" bestFit="1" customWidth="1"/>
    <col min="9986" max="9986" width="44.28515625" style="208" bestFit="1" customWidth="1"/>
    <col min="9987" max="9987" width="10.42578125" style="208" bestFit="1" customWidth="1"/>
    <col min="9988" max="9988" width="10.42578125" style="208" customWidth="1"/>
    <col min="9989" max="9989" width="9.7109375" style="208" bestFit="1" customWidth="1"/>
    <col min="9990" max="9991" width="9.5703125" style="208" bestFit="1" customWidth="1"/>
    <col min="9992" max="9992" width="10.42578125" style="208" bestFit="1" customWidth="1"/>
    <col min="9993" max="9993" width="4.5703125" style="208" customWidth="1"/>
    <col min="9994" max="9994" width="1.85546875" style="208" customWidth="1"/>
    <col min="9995" max="9995" width="7" style="208" bestFit="1" customWidth="1"/>
    <col min="9996" max="9996" width="6.28515625" style="208" customWidth="1"/>
    <col min="9997" max="9997" width="20.42578125" style="208" customWidth="1"/>
    <col min="9998" max="9998" width="6.42578125" style="208" bestFit="1" customWidth="1"/>
    <col min="9999" max="10000" width="8.42578125" style="208"/>
    <col min="10001" max="10001" width="3.28515625" style="208" customWidth="1"/>
    <col min="10002" max="10240" width="8.42578125" style="208"/>
    <col min="10241" max="10241" width="10" style="208" bestFit="1" customWidth="1"/>
    <col min="10242" max="10242" width="44.28515625" style="208" bestFit="1" customWidth="1"/>
    <col min="10243" max="10243" width="10.42578125" style="208" bestFit="1" customWidth="1"/>
    <col min="10244" max="10244" width="10.42578125" style="208" customWidth="1"/>
    <col min="10245" max="10245" width="9.7109375" style="208" bestFit="1" customWidth="1"/>
    <col min="10246" max="10247" width="9.5703125" style="208" bestFit="1" customWidth="1"/>
    <col min="10248" max="10248" width="10.42578125" style="208" bestFit="1" customWidth="1"/>
    <col min="10249" max="10249" width="4.5703125" style="208" customWidth="1"/>
    <col min="10250" max="10250" width="1.85546875" style="208" customWidth="1"/>
    <col min="10251" max="10251" width="7" style="208" bestFit="1" customWidth="1"/>
    <col min="10252" max="10252" width="6.28515625" style="208" customWidth="1"/>
    <col min="10253" max="10253" width="20.42578125" style="208" customWidth="1"/>
    <col min="10254" max="10254" width="6.42578125" style="208" bestFit="1" customWidth="1"/>
    <col min="10255" max="10256" width="8.42578125" style="208"/>
    <col min="10257" max="10257" width="3.28515625" style="208" customWidth="1"/>
    <col min="10258" max="10496" width="8.42578125" style="208"/>
    <col min="10497" max="10497" width="10" style="208" bestFit="1" customWidth="1"/>
    <col min="10498" max="10498" width="44.28515625" style="208" bestFit="1" customWidth="1"/>
    <col min="10499" max="10499" width="10.42578125" style="208" bestFit="1" customWidth="1"/>
    <col min="10500" max="10500" width="10.42578125" style="208" customWidth="1"/>
    <col min="10501" max="10501" width="9.7109375" style="208" bestFit="1" customWidth="1"/>
    <col min="10502" max="10503" width="9.5703125" style="208" bestFit="1" customWidth="1"/>
    <col min="10504" max="10504" width="10.42578125" style="208" bestFit="1" customWidth="1"/>
    <col min="10505" max="10505" width="4.5703125" style="208" customWidth="1"/>
    <col min="10506" max="10506" width="1.85546875" style="208" customWidth="1"/>
    <col min="10507" max="10507" width="7" style="208" bestFit="1" customWidth="1"/>
    <col min="10508" max="10508" width="6.28515625" style="208" customWidth="1"/>
    <col min="10509" max="10509" width="20.42578125" style="208" customWidth="1"/>
    <col min="10510" max="10510" width="6.42578125" style="208" bestFit="1" customWidth="1"/>
    <col min="10511" max="10512" width="8.42578125" style="208"/>
    <col min="10513" max="10513" width="3.28515625" style="208" customWidth="1"/>
    <col min="10514" max="10752" width="8.42578125" style="208"/>
    <col min="10753" max="10753" width="10" style="208" bestFit="1" customWidth="1"/>
    <col min="10754" max="10754" width="44.28515625" style="208" bestFit="1" customWidth="1"/>
    <col min="10755" max="10755" width="10.42578125" style="208" bestFit="1" customWidth="1"/>
    <col min="10756" max="10756" width="10.42578125" style="208" customWidth="1"/>
    <col min="10757" max="10757" width="9.7109375" style="208" bestFit="1" customWidth="1"/>
    <col min="10758" max="10759" width="9.5703125" style="208" bestFit="1" customWidth="1"/>
    <col min="10760" max="10760" width="10.42578125" style="208" bestFit="1" customWidth="1"/>
    <col min="10761" max="10761" width="4.5703125" style="208" customWidth="1"/>
    <col min="10762" max="10762" width="1.85546875" style="208" customWidth="1"/>
    <col min="10763" max="10763" width="7" style="208" bestFit="1" customWidth="1"/>
    <col min="10764" max="10764" width="6.28515625" style="208" customWidth="1"/>
    <col min="10765" max="10765" width="20.42578125" style="208" customWidth="1"/>
    <col min="10766" max="10766" width="6.42578125" style="208" bestFit="1" customWidth="1"/>
    <col min="10767" max="10768" width="8.42578125" style="208"/>
    <col min="10769" max="10769" width="3.28515625" style="208" customWidth="1"/>
    <col min="10770" max="11008" width="8.42578125" style="208"/>
    <col min="11009" max="11009" width="10" style="208" bestFit="1" customWidth="1"/>
    <col min="11010" max="11010" width="44.28515625" style="208" bestFit="1" customWidth="1"/>
    <col min="11011" max="11011" width="10.42578125" style="208" bestFit="1" customWidth="1"/>
    <col min="11012" max="11012" width="10.42578125" style="208" customWidth="1"/>
    <col min="11013" max="11013" width="9.7109375" style="208" bestFit="1" customWidth="1"/>
    <col min="11014" max="11015" width="9.5703125" style="208" bestFit="1" customWidth="1"/>
    <col min="11016" max="11016" width="10.42578125" style="208" bestFit="1" customWidth="1"/>
    <col min="11017" max="11017" width="4.5703125" style="208" customWidth="1"/>
    <col min="11018" max="11018" width="1.85546875" style="208" customWidth="1"/>
    <col min="11019" max="11019" width="7" style="208" bestFit="1" customWidth="1"/>
    <col min="11020" max="11020" width="6.28515625" style="208" customWidth="1"/>
    <col min="11021" max="11021" width="20.42578125" style="208" customWidth="1"/>
    <col min="11022" max="11022" width="6.42578125" style="208" bestFit="1" customWidth="1"/>
    <col min="11023" max="11024" width="8.42578125" style="208"/>
    <col min="11025" max="11025" width="3.28515625" style="208" customWidth="1"/>
    <col min="11026" max="11264" width="8.42578125" style="208"/>
    <col min="11265" max="11265" width="10" style="208" bestFit="1" customWidth="1"/>
    <col min="11266" max="11266" width="44.28515625" style="208" bestFit="1" customWidth="1"/>
    <col min="11267" max="11267" width="10.42578125" style="208" bestFit="1" customWidth="1"/>
    <col min="11268" max="11268" width="10.42578125" style="208" customWidth="1"/>
    <col min="11269" max="11269" width="9.7109375" style="208" bestFit="1" customWidth="1"/>
    <col min="11270" max="11271" width="9.5703125" style="208" bestFit="1" customWidth="1"/>
    <col min="11272" max="11272" width="10.42578125" style="208" bestFit="1" customWidth="1"/>
    <col min="11273" max="11273" width="4.5703125" style="208" customWidth="1"/>
    <col min="11274" max="11274" width="1.85546875" style="208" customWidth="1"/>
    <col min="11275" max="11275" width="7" style="208" bestFit="1" customWidth="1"/>
    <col min="11276" max="11276" width="6.28515625" style="208" customWidth="1"/>
    <col min="11277" max="11277" width="20.42578125" style="208" customWidth="1"/>
    <col min="11278" max="11278" width="6.42578125" style="208" bestFit="1" customWidth="1"/>
    <col min="11279" max="11280" width="8.42578125" style="208"/>
    <col min="11281" max="11281" width="3.28515625" style="208" customWidth="1"/>
    <col min="11282" max="11520" width="8.42578125" style="208"/>
    <col min="11521" max="11521" width="10" style="208" bestFit="1" customWidth="1"/>
    <col min="11522" max="11522" width="44.28515625" style="208" bestFit="1" customWidth="1"/>
    <col min="11523" max="11523" width="10.42578125" style="208" bestFit="1" customWidth="1"/>
    <col min="11524" max="11524" width="10.42578125" style="208" customWidth="1"/>
    <col min="11525" max="11525" width="9.7109375" style="208" bestFit="1" customWidth="1"/>
    <col min="11526" max="11527" width="9.5703125" style="208" bestFit="1" customWidth="1"/>
    <col min="11528" max="11528" width="10.42578125" style="208" bestFit="1" customWidth="1"/>
    <col min="11529" max="11529" width="4.5703125" style="208" customWidth="1"/>
    <col min="11530" max="11530" width="1.85546875" style="208" customWidth="1"/>
    <col min="11531" max="11531" width="7" style="208" bestFit="1" customWidth="1"/>
    <col min="11532" max="11532" width="6.28515625" style="208" customWidth="1"/>
    <col min="11533" max="11533" width="20.42578125" style="208" customWidth="1"/>
    <col min="11534" max="11534" width="6.42578125" style="208" bestFit="1" customWidth="1"/>
    <col min="11535" max="11536" width="8.42578125" style="208"/>
    <col min="11537" max="11537" width="3.28515625" style="208" customWidth="1"/>
    <col min="11538" max="11776" width="8.42578125" style="208"/>
    <col min="11777" max="11777" width="10" style="208" bestFit="1" customWidth="1"/>
    <col min="11778" max="11778" width="44.28515625" style="208" bestFit="1" customWidth="1"/>
    <col min="11779" max="11779" width="10.42578125" style="208" bestFit="1" customWidth="1"/>
    <col min="11780" max="11780" width="10.42578125" style="208" customWidth="1"/>
    <col min="11781" max="11781" width="9.7109375" style="208" bestFit="1" customWidth="1"/>
    <col min="11782" max="11783" width="9.5703125" style="208" bestFit="1" customWidth="1"/>
    <col min="11784" max="11784" width="10.42578125" style="208" bestFit="1" customWidth="1"/>
    <col min="11785" max="11785" width="4.5703125" style="208" customWidth="1"/>
    <col min="11786" max="11786" width="1.85546875" style="208" customWidth="1"/>
    <col min="11787" max="11787" width="7" style="208" bestFit="1" customWidth="1"/>
    <col min="11788" max="11788" width="6.28515625" style="208" customWidth="1"/>
    <col min="11789" max="11789" width="20.42578125" style="208" customWidth="1"/>
    <col min="11790" max="11790" width="6.42578125" style="208" bestFit="1" customWidth="1"/>
    <col min="11791" max="11792" width="8.42578125" style="208"/>
    <col min="11793" max="11793" width="3.28515625" style="208" customWidth="1"/>
    <col min="11794" max="12032" width="8.42578125" style="208"/>
    <col min="12033" max="12033" width="10" style="208" bestFit="1" customWidth="1"/>
    <col min="12034" max="12034" width="44.28515625" style="208" bestFit="1" customWidth="1"/>
    <col min="12035" max="12035" width="10.42578125" style="208" bestFit="1" customWidth="1"/>
    <col min="12036" max="12036" width="10.42578125" style="208" customWidth="1"/>
    <col min="12037" max="12037" width="9.7109375" style="208" bestFit="1" customWidth="1"/>
    <col min="12038" max="12039" width="9.5703125" style="208" bestFit="1" customWidth="1"/>
    <col min="12040" max="12040" width="10.42578125" style="208" bestFit="1" customWidth="1"/>
    <col min="12041" max="12041" width="4.5703125" style="208" customWidth="1"/>
    <col min="12042" max="12042" width="1.85546875" style="208" customWidth="1"/>
    <col min="12043" max="12043" width="7" style="208" bestFit="1" customWidth="1"/>
    <col min="12044" max="12044" width="6.28515625" style="208" customWidth="1"/>
    <col min="12045" max="12045" width="20.42578125" style="208" customWidth="1"/>
    <col min="12046" max="12046" width="6.42578125" style="208" bestFit="1" customWidth="1"/>
    <col min="12047" max="12048" width="8.42578125" style="208"/>
    <col min="12049" max="12049" width="3.28515625" style="208" customWidth="1"/>
    <col min="12050" max="12288" width="8.42578125" style="208"/>
    <col min="12289" max="12289" width="10" style="208" bestFit="1" customWidth="1"/>
    <col min="12290" max="12290" width="44.28515625" style="208" bestFit="1" customWidth="1"/>
    <col min="12291" max="12291" width="10.42578125" style="208" bestFit="1" customWidth="1"/>
    <col min="12292" max="12292" width="10.42578125" style="208" customWidth="1"/>
    <col min="12293" max="12293" width="9.7109375" style="208" bestFit="1" customWidth="1"/>
    <col min="12294" max="12295" width="9.5703125" style="208" bestFit="1" customWidth="1"/>
    <col min="12296" max="12296" width="10.42578125" style="208" bestFit="1" customWidth="1"/>
    <col min="12297" max="12297" width="4.5703125" style="208" customWidth="1"/>
    <col min="12298" max="12298" width="1.85546875" style="208" customWidth="1"/>
    <col min="12299" max="12299" width="7" style="208" bestFit="1" customWidth="1"/>
    <col min="12300" max="12300" width="6.28515625" style="208" customWidth="1"/>
    <col min="12301" max="12301" width="20.42578125" style="208" customWidth="1"/>
    <col min="12302" max="12302" width="6.42578125" style="208" bestFit="1" customWidth="1"/>
    <col min="12303" max="12304" width="8.42578125" style="208"/>
    <col min="12305" max="12305" width="3.28515625" style="208" customWidth="1"/>
    <col min="12306" max="12544" width="8.42578125" style="208"/>
    <col min="12545" max="12545" width="10" style="208" bestFit="1" customWidth="1"/>
    <col min="12546" max="12546" width="44.28515625" style="208" bestFit="1" customWidth="1"/>
    <col min="12547" max="12547" width="10.42578125" style="208" bestFit="1" customWidth="1"/>
    <col min="12548" max="12548" width="10.42578125" style="208" customWidth="1"/>
    <col min="12549" max="12549" width="9.7109375" style="208" bestFit="1" customWidth="1"/>
    <col min="12550" max="12551" width="9.5703125" style="208" bestFit="1" customWidth="1"/>
    <col min="12552" max="12552" width="10.42578125" style="208" bestFit="1" customWidth="1"/>
    <col min="12553" max="12553" width="4.5703125" style="208" customWidth="1"/>
    <col min="12554" max="12554" width="1.85546875" style="208" customWidth="1"/>
    <col min="12555" max="12555" width="7" style="208" bestFit="1" customWidth="1"/>
    <col min="12556" max="12556" width="6.28515625" style="208" customWidth="1"/>
    <col min="12557" max="12557" width="20.42578125" style="208" customWidth="1"/>
    <col min="12558" max="12558" width="6.42578125" style="208" bestFit="1" customWidth="1"/>
    <col min="12559" max="12560" width="8.42578125" style="208"/>
    <col min="12561" max="12561" width="3.28515625" style="208" customWidth="1"/>
    <col min="12562" max="12800" width="8.42578125" style="208"/>
    <col min="12801" max="12801" width="10" style="208" bestFit="1" customWidth="1"/>
    <col min="12802" max="12802" width="44.28515625" style="208" bestFit="1" customWidth="1"/>
    <col min="12803" max="12803" width="10.42578125" style="208" bestFit="1" customWidth="1"/>
    <col min="12804" max="12804" width="10.42578125" style="208" customWidth="1"/>
    <col min="12805" max="12805" width="9.7109375" style="208" bestFit="1" customWidth="1"/>
    <col min="12806" max="12807" width="9.5703125" style="208" bestFit="1" customWidth="1"/>
    <col min="12808" max="12808" width="10.42578125" style="208" bestFit="1" customWidth="1"/>
    <col min="12809" max="12809" width="4.5703125" style="208" customWidth="1"/>
    <col min="12810" max="12810" width="1.85546875" style="208" customWidth="1"/>
    <col min="12811" max="12811" width="7" style="208" bestFit="1" customWidth="1"/>
    <col min="12812" max="12812" width="6.28515625" style="208" customWidth="1"/>
    <col min="12813" max="12813" width="20.42578125" style="208" customWidth="1"/>
    <col min="12814" max="12814" width="6.42578125" style="208" bestFit="1" customWidth="1"/>
    <col min="12815" max="12816" width="8.42578125" style="208"/>
    <col min="12817" max="12817" width="3.28515625" style="208" customWidth="1"/>
    <col min="12818" max="13056" width="8.42578125" style="208"/>
    <col min="13057" max="13057" width="10" style="208" bestFit="1" customWidth="1"/>
    <col min="13058" max="13058" width="44.28515625" style="208" bestFit="1" customWidth="1"/>
    <col min="13059" max="13059" width="10.42578125" style="208" bestFit="1" customWidth="1"/>
    <col min="13060" max="13060" width="10.42578125" style="208" customWidth="1"/>
    <col min="13061" max="13061" width="9.7109375" style="208" bestFit="1" customWidth="1"/>
    <col min="13062" max="13063" width="9.5703125" style="208" bestFit="1" customWidth="1"/>
    <col min="13064" max="13064" width="10.42578125" style="208" bestFit="1" customWidth="1"/>
    <col min="13065" max="13065" width="4.5703125" style="208" customWidth="1"/>
    <col min="13066" max="13066" width="1.85546875" style="208" customWidth="1"/>
    <col min="13067" max="13067" width="7" style="208" bestFit="1" customWidth="1"/>
    <col min="13068" max="13068" width="6.28515625" style="208" customWidth="1"/>
    <col min="13069" max="13069" width="20.42578125" style="208" customWidth="1"/>
    <col min="13070" max="13070" width="6.42578125" style="208" bestFit="1" customWidth="1"/>
    <col min="13071" max="13072" width="8.42578125" style="208"/>
    <col min="13073" max="13073" width="3.28515625" style="208" customWidth="1"/>
    <col min="13074" max="13312" width="8.42578125" style="208"/>
    <col min="13313" max="13313" width="10" style="208" bestFit="1" customWidth="1"/>
    <col min="13314" max="13314" width="44.28515625" style="208" bestFit="1" customWidth="1"/>
    <col min="13315" max="13315" width="10.42578125" style="208" bestFit="1" customWidth="1"/>
    <col min="13316" max="13316" width="10.42578125" style="208" customWidth="1"/>
    <col min="13317" max="13317" width="9.7109375" style="208" bestFit="1" customWidth="1"/>
    <col min="13318" max="13319" width="9.5703125" style="208" bestFit="1" customWidth="1"/>
    <col min="13320" max="13320" width="10.42578125" style="208" bestFit="1" customWidth="1"/>
    <col min="13321" max="13321" width="4.5703125" style="208" customWidth="1"/>
    <col min="13322" max="13322" width="1.85546875" style="208" customWidth="1"/>
    <col min="13323" max="13323" width="7" style="208" bestFit="1" customWidth="1"/>
    <col min="13324" max="13324" width="6.28515625" style="208" customWidth="1"/>
    <col min="13325" max="13325" width="20.42578125" style="208" customWidth="1"/>
    <col min="13326" max="13326" width="6.42578125" style="208" bestFit="1" customWidth="1"/>
    <col min="13327" max="13328" width="8.42578125" style="208"/>
    <col min="13329" max="13329" width="3.28515625" style="208" customWidth="1"/>
    <col min="13330" max="13568" width="8.42578125" style="208"/>
    <col min="13569" max="13569" width="10" style="208" bestFit="1" customWidth="1"/>
    <col min="13570" max="13570" width="44.28515625" style="208" bestFit="1" customWidth="1"/>
    <col min="13571" max="13571" width="10.42578125" style="208" bestFit="1" customWidth="1"/>
    <col min="13572" max="13572" width="10.42578125" style="208" customWidth="1"/>
    <col min="13573" max="13573" width="9.7109375" style="208" bestFit="1" customWidth="1"/>
    <col min="13574" max="13575" width="9.5703125" style="208" bestFit="1" customWidth="1"/>
    <col min="13576" max="13576" width="10.42578125" style="208" bestFit="1" customWidth="1"/>
    <col min="13577" max="13577" width="4.5703125" style="208" customWidth="1"/>
    <col min="13578" max="13578" width="1.85546875" style="208" customWidth="1"/>
    <col min="13579" max="13579" width="7" style="208" bestFit="1" customWidth="1"/>
    <col min="13580" max="13580" width="6.28515625" style="208" customWidth="1"/>
    <col min="13581" max="13581" width="20.42578125" style="208" customWidth="1"/>
    <col min="13582" max="13582" width="6.42578125" style="208" bestFit="1" customWidth="1"/>
    <col min="13583" max="13584" width="8.42578125" style="208"/>
    <col min="13585" max="13585" width="3.28515625" style="208" customWidth="1"/>
    <col min="13586" max="13824" width="8.42578125" style="208"/>
    <col min="13825" max="13825" width="10" style="208" bestFit="1" customWidth="1"/>
    <col min="13826" max="13826" width="44.28515625" style="208" bestFit="1" customWidth="1"/>
    <col min="13827" max="13827" width="10.42578125" style="208" bestFit="1" customWidth="1"/>
    <col min="13828" max="13828" width="10.42578125" style="208" customWidth="1"/>
    <col min="13829" max="13829" width="9.7109375" style="208" bestFit="1" customWidth="1"/>
    <col min="13830" max="13831" width="9.5703125" style="208" bestFit="1" customWidth="1"/>
    <col min="13832" max="13832" width="10.42578125" style="208" bestFit="1" customWidth="1"/>
    <col min="13833" max="13833" width="4.5703125" style="208" customWidth="1"/>
    <col min="13834" max="13834" width="1.85546875" style="208" customWidth="1"/>
    <col min="13835" max="13835" width="7" style="208" bestFit="1" customWidth="1"/>
    <col min="13836" max="13836" width="6.28515625" style="208" customWidth="1"/>
    <col min="13837" max="13837" width="20.42578125" style="208" customWidth="1"/>
    <col min="13838" max="13838" width="6.42578125" style="208" bestFit="1" customWidth="1"/>
    <col min="13839" max="13840" width="8.42578125" style="208"/>
    <col min="13841" max="13841" width="3.28515625" style="208" customWidth="1"/>
    <col min="13842" max="14080" width="8.42578125" style="208"/>
    <col min="14081" max="14081" width="10" style="208" bestFit="1" customWidth="1"/>
    <col min="14082" max="14082" width="44.28515625" style="208" bestFit="1" customWidth="1"/>
    <col min="14083" max="14083" width="10.42578125" style="208" bestFit="1" customWidth="1"/>
    <col min="14084" max="14084" width="10.42578125" style="208" customWidth="1"/>
    <col min="14085" max="14085" width="9.7109375" style="208" bestFit="1" customWidth="1"/>
    <col min="14086" max="14087" width="9.5703125" style="208" bestFit="1" customWidth="1"/>
    <col min="14088" max="14088" width="10.42578125" style="208" bestFit="1" customWidth="1"/>
    <col min="14089" max="14089" width="4.5703125" style="208" customWidth="1"/>
    <col min="14090" max="14090" width="1.85546875" style="208" customWidth="1"/>
    <col min="14091" max="14091" width="7" style="208" bestFit="1" customWidth="1"/>
    <col min="14092" max="14092" width="6.28515625" style="208" customWidth="1"/>
    <col min="14093" max="14093" width="20.42578125" style="208" customWidth="1"/>
    <col min="14094" max="14094" width="6.42578125" style="208" bestFit="1" customWidth="1"/>
    <col min="14095" max="14096" width="8.42578125" style="208"/>
    <col min="14097" max="14097" width="3.28515625" style="208" customWidth="1"/>
    <col min="14098" max="14336" width="8.42578125" style="208"/>
    <col min="14337" max="14337" width="10" style="208" bestFit="1" customWidth="1"/>
    <col min="14338" max="14338" width="44.28515625" style="208" bestFit="1" customWidth="1"/>
    <col min="14339" max="14339" width="10.42578125" style="208" bestFit="1" customWidth="1"/>
    <col min="14340" max="14340" width="10.42578125" style="208" customWidth="1"/>
    <col min="14341" max="14341" width="9.7109375" style="208" bestFit="1" customWidth="1"/>
    <col min="14342" max="14343" width="9.5703125" style="208" bestFit="1" customWidth="1"/>
    <col min="14344" max="14344" width="10.42578125" style="208" bestFit="1" customWidth="1"/>
    <col min="14345" max="14345" width="4.5703125" style="208" customWidth="1"/>
    <col min="14346" max="14346" width="1.85546875" style="208" customWidth="1"/>
    <col min="14347" max="14347" width="7" style="208" bestFit="1" customWidth="1"/>
    <col min="14348" max="14348" width="6.28515625" style="208" customWidth="1"/>
    <col min="14349" max="14349" width="20.42578125" style="208" customWidth="1"/>
    <col min="14350" max="14350" width="6.42578125" style="208" bestFit="1" customWidth="1"/>
    <col min="14351" max="14352" width="8.42578125" style="208"/>
    <col min="14353" max="14353" width="3.28515625" style="208" customWidth="1"/>
    <col min="14354" max="14592" width="8.42578125" style="208"/>
    <col min="14593" max="14593" width="10" style="208" bestFit="1" customWidth="1"/>
    <col min="14594" max="14594" width="44.28515625" style="208" bestFit="1" customWidth="1"/>
    <col min="14595" max="14595" width="10.42578125" style="208" bestFit="1" customWidth="1"/>
    <col min="14596" max="14596" width="10.42578125" style="208" customWidth="1"/>
    <col min="14597" max="14597" width="9.7109375" style="208" bestFit="1" customWidth="1"/>
    <col min="14598" max="14599" width="9.5703125" style="208" bestFit="1" customWidth="1"/>
    <col min="14600" max="14600" width="10.42578125" style="208" bestFit="1" customWidth="1"/>
    <col min="14601" max="14601" width="4.5703125" style="208" customWidth="1"/>
    <col min="14602" max="14602" width="1.85546875" style="208" customWidth="1"/>
    <col min="14603" max="14603" width="7" style="208" bestFit="1" customWidth="1"/>
    <col min="14604" max="14604" width="6.28515625" style="208" customWidth="1"/>
    <col min="14605" max="14605" width="20.42578125" style="208" customWidth="1"/>
    <col min="14606" max="14606" width="6.42578125" style="208" bestFit="1" customWidth="1"/>
    <col min="14607" max="14608" width="8.42578125" style="208"/>
    <col min="14609" max="14609" width="3.28515625" style="208" customWidth="1"/>
    <col min="14610" max="14848" width="8.42578125" style="208"/>
    <col min="14849" max="14849" width="10" style="208" bestFit="1" customWidth="1"/>
    <col min="14850" max="14850" width="44.28515625" style="208" bestFit="1" customWidth="1"/>
    <col min="14851" max="14851" width="10.42578125" style="208" bestFit="1" customWidth="1"/>
    <col min="14852" max="14852" width="10.42578125" style="208" customWidth="1"/>
    <col min="14853" max="14853" width="9.7109375" style="208" bestFit="1" customWidth="1"/>
    <col min="14854" max="14855" width="9.5703125" style="208" bestFit="1" customWidth="1"/>
    <col min="14856" max="14856" width="10.42578125" style="208" bestFit="1" customWidth="1"/>
    <col min="14857" max="14857" width="4.5703125" style="208" customWidth="1"/>
    <col min="14858" max="14858" width="1.85546875" style="208" customWidth="1"/>
    <col min="14859" max="14859" width="7" style="208" bestFit="1" customWidth="1"/>
    <col min="14860" max="14860" width="6.28515625" style="208" customWidth="1"/>
    <col min="14861" max="14861" width="20.42578125" style="208" customWidth="1"/>
    <col min="14862" max="14862" width="6.42578125" style="208" bestFit="1" customWidth="1"/>
    <col min="14863" max="14864" width="8.42578125" style="208"/>
    <col min="14865" max="14865" width="3.28515625" style="208" customWidth="1"/>
    <col min="14866" max="15104" width="8.42578125" style="208"/>
    <col min="15105" max="15105" width="10" style="208" bestFit="1" customWidth="1"/>
    <col min="15106" max="15106" width="44.28515625" style="208" bestFit="1" customWidth="1"/>
    <col min="15107" max="15107" width="10.42578125" style="208" bestFit="1" customWidth="1"/>
    <col min="15108" max="15108" width="10.42578125" style="208" customWidth="1"/>
    <col min="15109" max="15109" width="9.7109375" style="208" bestFit="1" customWidth="1"/>
    <col min="15110" max="15111" width="9.5703125" style="208" bestFit="1" customWidth="1"/>
    <col min="15112" max="15112" width="10.42578125" style="208" bestFit="1" customWidth="1"/>
    <col min="15113" max="15113" width="4.5703125" style="208" customWidth="1"/>
    <col min="15114" max="15114" width="1.85546875" style="208" customWidth="1"/>
    <col min="15115" max="15115" width="7" style="208" bestFit="1" customWidth="1"/>
    <col min="15116" max="15116" width="6.28515625" style="208" customWidth="1"/>
    <col min="15117" max="15117" width="20.42578125" style="208" customWidth="1"/>
    <col min="15118" max="15118" width="6.42578125" style="208" bestFit="1" customWidth="1"/>
    <col min="15119" max="15120" width="8.42578125" style="208"/>
    <col min="15121" max="15121" width="3.28515625" style="208" customWidth="1"/>
    <col min="15122" max="15360" width="8.42578125" style="208"/>
    <col min="15361" max="15361" width="10" style="208" bestFit="1" customWidth="1"/>
    <col min="15362" max="15362" width="44.28515625" style="208" bestFit="1" customWidth="1"/>
    <col min="15363" max="15363" width="10.42578125" style="208" bestFit="1" customWidth="1"/>
    <col min="15364" max="15364" width="10.42578125" style="208" customWidth="1"/>
    <col min="15365" max="15365" width="9.7109375" style="208" bestFit="1" customWidth="1"/>
    <col min="15366" max="15367" width="9.5703125" style="208" bestFit="1" customWidth="1"/>
    <col min="15368" max="15368" width="10.42578125" style="208" bestFit="1" customWidth="1"/>
    <col min="15369" max="15369" width="4.5703125" style="208" customWidth="1"/>
    <col min="15370" max="15370" width="1.85546875" style="208" customWidth="1"/>
    <col min="15371" max="15371" width="7" style="208" bestFit="1" customWidth="1"/>
    <col min="15372" max="15372" width="6.28515625" style="208" customWidth="1"/>
    <col min="15373" max="15373" width="20.42578125" style="208" customWidth="1"/>
    <col min="15374" max="15374" width="6.42578125" style="208" bestFit="1" customWidth="1"/>
    <col min="15375" max="15376" width="8.42578125" style="208"/>
    <col min="15377" max="15377" width="3.28515625" style="208" customWidth="1"/>
    <col min="15378" max="15616" width="8.42578125" style="208"/>
    <col min="15617" max="15617" width="10" style="208" bestFit="1" customWidth="1"/>
    <col min="15618" max="15618" width="44.28515625" style="208" bestFit="1" customWidth="1"/>
    <col min="15619" max="15619" width="10.42578125" style="208" bestFit="1" customWidth="1"/>
    <col min="15620" max="15620" width="10.42578125" style="208" customWidth="1"/>
    <col min="15621" max="15621" width="9.7109375" style="208" bestFit="1" customWidth="1"/>
    <col min="15622" max="15623" width="9.5703125" style="208" bestFit="1" customWidth="1"/>
    <col min="15624" max="15624" width="10.42578125" style="208" bestFit="1" customWidth="1"/>
    <col min="15625" max="15625" width="4.5703125" style="208" customWidth="1"/>
    <col min="15626" max="15626" width="1.85546875" style="208" customWidth="1"/>
    <col min="15627" max="15627" width="7" style="208" bestFit="1" customWidth="1"/>
    <col min="15628" max="15628" width="6.28515625" style="208" customWidth="1"/>
    <col min="15629" max="15629" width="20.42578125" style="208" customWidth="1"/>
    <col min="15630" max="15630" width="6.42578125" style="208" bestFit="1" customWidth="1"/>
    <col min="15631" max="15632" width="8.42578125" style="208"/>
    <col min="15633" max="15633" width="3.28515625" style="208" customWidth="1"/>
    <col min="15634" max="15872" width="8.42578125" style="208"/>
    <col min="15873" max="15873" width="10" style="208" bestFit="1" customWidth="1"/>
    <col min="15874" max="15874" width="44.28515625" style="208" bestFit="1" customWidth="1"/>
    <col min="15875" max="15875" width="10.42578125" style="208" bestFit="1" customWidth="1"/>
    <col min="15876" max="15876" width="10.42578125" style="208" customWidth="1"/>
    <col min="15877" max="15877" width="9.7109375" style="208" bestFit="1" customWidth="1"/>
    <col min="15878" max="15879" width="9.5703125" style="208" bestFit="1" customWidth="1"/>
    <col min="15880" max="15880" width="10.42578125" style="208" bestFit="1" customWidth="1"/>
    <col min="15881" max="15881" width="4.5703125" style="208" customWidth="1"/>
    <col min="15882" max="15882" width="1.85546875" style="208" customWidth="1"/>
    <col min="15883" max="15883" width="7" style="208" bestFit="1" customWidth="1"/>
    <col min="15884" max="15884" width="6.28515625" style="208" customWidth="1"/>
    <col min="15885" max="15885" width="20.42578125" style="208" customWidth="1"/>
    <col min="15886" max="15886" width="6.42578125" style="208" bestFit="1" customWidth="1"/>
    <col min="15887" max="15888" width="8.42578125" style="208"/>
    <col min="15889" max="15889" width="3.28515625" style="208" customWidth="1"/>
    <col min="15890" max="16128" width="8.42578125" style="208"/>
    <col min="16129" max="16129" width="10" style="208" bestFit="1" customWidth="1"/>
    <col min="16130" max="16130" width="44.28515625" style="208" bestFit="1" customWidth="1"/>
    <col min="16131" max="16131" width="10.42578125" style="208" bestFit="1" customWidth="1"/>
    <col min="16132" max="16132" width="10.42578125" style="208" customWidth="1"/>
    <col min="16133" max="16133" width="9.7109375" style="208" bestFit="1" customWidth="1"/>
    <col min="16134" max="16135" width="9.5703125" style="208" bestFit="1" customWidth="1"/>
    <col min="16136" max="16136" width="10.42578125" style="208" bestFit="1" customWidth="1"/>
    <col min="16137" max="16137" width="4.5703125" style="208" customWidth="1"/>
    <col min="16138" max="16138" width="1.85546875" style="208" customWidth="1"/>
    <col min="16139" max="16139" width="7" style="208" bestFit="1" customWidth="1"/>
    <col min="16140" max="16140" width="6.28515625" style="208" customWidth="1"/>
    <col min="16141" max="16141" width="20.42578125" style="208" customWidth="1"/>
    <col min="16142" max="16142" width="6.42578125" style="208" bestFit="1" customWidth="1"/>
    <col min="16143" max="16144" width="8.42578125" style="208"/>
    <col min="16145" max="16145" width="3.28515625" style="208" customWidth="1"/>
    <col min="16146" max="16384" width="8.42578125" style="208"/>
  </cols>
  <sheetData>
    <row r="1" spans="1:10" ht="27.75" customHeight="1" x14ac:dyDescent="0.2">
      <c r="A1" s="203"/>
      <c r="B1" s="203"/>
      <c r="C1" s="203"/>
      <c r="D1" s="203"/>
      <c r="E1" s="204" t="s">
        <v>172</v>
      </c>
      <c r="F1" s="205" t="s">
        <v>173</v>
      </c>
      <c r="G1" s="205" t="s">
        <v>174</v>
      </c>
      <c r="H1" s="205" t="s">
        <v>175</v>
      </c>
      <c r="I1" s="206"/>
    </row>
    <row r="2" spans="1:10" ht="30.75" customHeight="1" x14ac:dyDescent="0.2">
      <c r="A2" s="203"/>
      <c r="B2" s="203"/>
      <c r="C2" s="203"/>
      <c r="D2" s="203"/>
      <c r="E2" s="209">
        <f>IFERROR(O68,"")</f>
        <v>23476.391844155845</v>
      </c>
      <c r="F2" s="209">
        <f>IFERROR(H59,"")</f>
        <v>21679.760000000002</v>
      </c>
      <c r="G2" s="209">
        <f>IFERROR(H60,"")</f>
        <v>53.176000000000002</v>
      </c>
      <c r="H2" s="209">
        <f>IFERROR(H62,"")</f>
        <v>952.1</v>
      </c>
      <c r="I2" s="210"/>
    </row>
    <row r="3" spans="1:10" ht="15" customHeight="1" x14ac:dyDescent="0.2">
      <c r="A3" s="203"/>
      <c r="B3" s="203"/>
      <c r="C3" s="203"/>
      <c r="D3" s="203"/>
      <c r="E3" s="203"/>
      <c r="F3" s="211"/>
      <c r="G3" s="211"/>
      <c r="H3" s="211"/>
      <c r="I3" s="211"/>
    </row>
    <row r="4" spans="1:10" ht="24.75" customHeight="1" thickBot="1" x14ac:dyDescent="0.25">
      <c r="A4" s="728"/>
      <c r="B4" s="728"/>
      <c r="C4" s="728"/>
      <c r="D4" s="728"/>
      <c r="E4" s="728"/>
      <c r="F4" s="728"/>
      <c r="G4" s="728"/>
      <c r="H4" s="728"/>
      <c r="I4" s="212"/>
    </row>
    <row r="5" spans="1:10" ht="19.5" customHeight="1" thickBot="1" x14ac:dyDescent="0.25">
      <c r="A5" s="729" t="s">
        <v>176</v>
      </c>
      <c r="B5" s="730"/>
      <c r="C5" s="730"/>
      <c r="D5" s="730"/>
      <c r="E5" s="730"/>
      <c r="F5" s="730"/>
      <c r="G5" s="730"/>
      <c r="H5" s="731"/>
      <c r="I5" s="213"/>
    </row>
    <row r="6" spans="1:10" ht="19.5" thickBot="1" x14ac:dyDescent="0.25">
      <c r="A6" s="213"/>
      <c r="B6" s="213"/>
      <c r="C6" s="213"/>
      <c r="D6" s="213"/>
      <c r="E6" s="213"/>
      <c r="F6" s="732" t="s">
        <v>177</v>
      </c>
      <c r="G6" s="732"/>
      <c r="H6" s="214">
        <f ca="1">TODAY()</f>
        <v>45831</v>
      </c>
      <c r="I6" s="214"/>
    </row>
    <row r="7" spans="1:10" ht="26.25" thickBot="1" x14ac:dyDescent="0.25">
      <c r="A7" s="215" t="s">
        <v>178</v>
      </c>
      <c r="B7" s="216" t="s">
        <v>179</v>
      </c>
      <c r="C7" s="216" t="s">
        <v>178</v>
      </c>
      <c r="D7" s="217" t="s">
        <v>180</v>
      </c>
      <c r="E7" s="217" t="s">
        <v>181</v>
      </c>
      <c r="F7" s="217" t="s">
        <v>182</v>
      </c>
      <c r="G7" s="217" t="s">
        <v>183</v>
      </c>
      <c r="H7" s="218" t="s">
        <v>184</v>
      </c>
      <c r="I7" s="219"/>
    </row>
    <row r="8" spans="1:10" ht="13.5" x14ac:dyDescent="0.25">
      <c r="A8" s="220">
        <v>1875</v>
      </c>
      <c r="B8" s="208" t="str">
        <f>IFERROR(VLOOKUP(H8,'[1]Consolidado MP Planta'!$A$2:$M$823,3,0),"")</f>
        <v>LACTOCREMA GRANEL (CAJA:25 KG)</v>
      </c>
      <c r="C8" s="221">
        <f>+A8</f>
        <v>1875</v>
      </c>
      <c r="D8" s="222" t="str">
        <f>IFERROR(VLOOKUP(H8,'[1]Consolidado MP Planta'!$A$2:$M$823,13,0),"")</f>
        <v>Gramos</v>
      </c>
      <c r="E8" s="222">
        <v>3.49</v>
      </c>
      <c r="F8" s="222">
        <f>IFERROR(C8*E8,"")</f>
        <v>6543.75</v>
      </c>
      <c r="G8" s="223">
        <f>IFERROR(F8/$F$72,"")</f>
        <v>0.28529815354119459</v>
      </c>
      <c r="H8" s="224" t="s">
        <v>68</v>
      </c>
      <c r="I8" s="224"/>
      <c r="J8" s="225"/>
    </row>
    <row r="9" spans="1:10" ht="13.5" x14ac:dyDescent="0.25">
      <c r="A9" s="220">
        <v>1875</v>
      </c>
      <c r="B9" s="208" t="str">
        <f>IFERROR(VLOOKUP(H9,'[1]Consolidado MP Planta'!$A$2:$M$823,3,0),"")</f>
        <v>AZUCAR CARAMELO (PAQ:0.5 K)</v>
      </c>
      <c r="C9" s="221">
        <f t="shared" ref="C9:C20" si="0">+A9</f>
        <v>1875</v>
      </c>
      <c r="D9" s="222" t="str">
        <f>IFERROR(VLOOKUP(H9,'[1]Consolidado MP Planta'!$A$2:$M$823,13,0),"")</f>
        <v>Gramos</v>
      </c>
      <c r="E9" s="222">
        <v>1.1100000000000001</v>
      </c>
      <c r="F9" s="222">
        <f t="shared" ref="F9:F20" si="1">IFERROR(C9*E9,"")</f>
        <v>2081.25</v>
      </c>
      <c r="G9" s="223">
        <f>IFERROR(F9/$F$72,"")</f>
        <v>9.0739527344047555E-2</v>
      </c>
      <c r="H9" s="224" t="s">
        <v>100</v>
      </c>
      <c r="I9" s="224"/>
      <c r="J9" s="225"/>
    </row>
    <row r="10" spans="1:10" ht="13.5" x14ac:dyDescent="0.25">
      <c r="A10" s="220">
        <v>2188</v>
      </c>
      <c r="B10" s="208" t="str">
        <f>IFERROR(VLOOKUP(H10,'[1]Consolidado MP Planta'!$A$2:$M$823,3,0),"")</f>
        <v>SIROPE KARO DARK (UND: 3.78 K)</v>
      </c>
      <c r="C10" s="221">
        <f t="shared" si="0"/>
        <v>2188</v>
      </c>
      <c r="D10" s="222" t="str">
        <f>IFERROR(VLOOKUP(H10,'[1]Consolidado MP Planta'!$A$2:$M$823,13,0),"")</f>
        <v>Mililitros</v>
      </c>
      <c r="E10" s="222">
        <v>3.4</v>
      </c>
      <c r="F10" s="222">
        <f t="shared" si="1"/>
        <v>7439.2</v>
      </c>
      <c r="G10" s="223">
        <f>IFERROR(F10/$F$72,"")</f>
        <v>0.32433849456712965</v>
      </c>
      <c r="H10" s="224" t="s">
        <v>226</v>
      </c>
      <c r="I10" s="224"/>
      <c r="J10" s="225"/>
    </row>
    <row r="11" spans="1:10" ht="13.5" x14ac:dyDescent="0.25">
      <c r="A11" s="220">
        <v>1500</v>
      </c>
      <c r="B11" s="208" t="str">
        <f>IFERROR(VLOOKUP(H11,'[1]Consolidado MP Planta'!$A$2:$M$823,3,0),"")</f>
        <v>HUEVO ENTERO PASTERI INNOVO (CAJA:10 K)</v>
      </c>
      <c r="C11" s="221">
        <f t="shared" ref="C11:C16" si="2">+A11</f>
        <v>1500</v>
      </c>
      <c r="D11" s="222" t="str">
        <f>IFERROR(VLOOKUP(H11,'[1]Consolidado MP Planta'!$A$2:$M$823,13,0),"")</f>
        <v>Gramos</v>
      </c>
      <c r="E11" s="222">
        <v>2.27</v>
      </c>
      <c r="F11" s="222">
        <f t="shared" ref="F11:F16" si="3">IFERROR(C11*E11,"")</f>
        <v>3405</v>
      </c>
      <c r="G11" s="223">
        <f t="shared" ref="G11:G16" si="4">IFERROR(F11/$F$72,"")</f>
        <v>0.14845313662773907</v>
      </c>
      <c r="H11" s="224" t="s">
        <v>80</v>
      </c>
      <c r="I11" s="224"/>
      <c r="J11" s="225"/>
    </row>
    <row r="12" spans="1:10" ht="13.5" x14ac:dyDescent="0.25">
      <c r="A12" s="220">
        <v>13</v>
      </c>
      <c r="B12" s="208" t="str">
        <f>IFERROR(VLOOKUP(H12,'[1]Consolidado MP Planta'!$A$2:$M$823,3,0),"")</f>
        <v>PRESERVANTE 1047S (PAQ=5 KILO)</v>
      </c>
      <c r="C12" s="221">
        <f t="shared" si="2"/>
        <v>13</v>
      </c>
      <c r="D12" s="222" t="str">
        <f>IFERROR(VLOOKUP(H12,'[1]Consolidado MP Planta'!$A$2:$M$823,13,0),"")</f>
        <v>Gramos</v>
      </c>
      <c r="E12" s="222">
        <v>7.4</v>
      </c>
      <c r="F12" s="222">
        <f t="shared" si="3"/>
        <v>96.2</v>
      </c>
      <c r="G12" s="223">
        <f t="shared" si="4"/>
        <v>4.1941825972359762E-3</v>
      </c>
      <c r="H12" s="224" t="s">
        <v>88</v>
      </c>
      <c r="I12" s="224"/>
      <c r="J12" s="225"/>
    </row>
    <row r="13" spans="1:10" ht="13.5" hidden="1" x14ac:dyDescent="0.25">
      <c r="A13" s="220"/>
      <c r="B13" s="208" t="str">
        <f>IFERROR(VLOOKUP(H13,'[1]Consolidado MP Planta'!$A$2:$M$823,3,0),"")</f>
        <v/>
      </c>
      <c r="C13" s="221">
        <f t="shared" si="2"/>
        <v>0</v>
      </c>
      <c r="D13" s="222" t="str">
        <f>IFERROR(VLOOKUP(H13,'[1]Consolidado MP Planta'!$A$2:$M$823,13,0),"")</f>
        <v/>
      </c>
      <c r="E13" s="222" t="str">
        <f>IFERROR(VLOOKUP(H13,'[1]Consolidado MP Planta'!$A$2:$M$823,12,0),"")</f>
        <v/>
      </c>
      <c r="F13" s="222" t="str">
        <f t="shared" si="3"/>
        <v/>
      </c>
      <c r="G13" s="223" t="str">
        <f t="shared" si="4"/>
        <v/>
      </c>
      <c r="H13" s="224"/>
      <c r="I13" s="224"/>
      <c r="J13" s="225"/>
    </row>
    <row r="14" spans="1:10" ht="13.5" hidden="1" x14ac:dyDescent="0.25">
      <c r="A14" s="220"/>
      <c r="B14" s="208" t="str">
        <f>IFERROR(VLOOKUP(H14,'[1]Consolidado MP Planta'!$A$2:$M$823,3,0),"")</f>
        <v/>
      </c>
      <c r="C14" s="221">
        <f t="shared" si="2"/>
        <v>0</v>
      </c>
      <c r="D14" s="222" t="str">
        <f>IFERROR(VLOOKUP(H14,'[1]Consolidado MP Planta'!$A$2:$M$823,13,0),"")</f>
        <v/>
      </c>
      <c r="E14" s="222" t="str">
        <f>IFERROR(VLOOKUP(H14,'[1]Consolidado MP Planta'!$A$2:$M$823,12,0),"")</f>
        <v/>
      </c>
      <c r="F14" s="222" t="str">
        <f t="shared" si="3"/>
        <v/>
      </c>
      <c r="G14" s="223" t="str">
        <f t="shared" si="4"/>
        <v/>
      </c>
      <c r="H14" s="224"/>
      <c r="I14" s="224"/>
      <c r="J14" s="225"/>
    </row>
    <row r="15" spans="1:10" ht="13.5" hidden="1" x14ac:dyDescent="0.25">
      <c r="A15" s="220"/>
      <c r="B15" s="208" t="str">
        <f>IFERROR(VLOOKUP(H15,'[1]Consolidado MP Planta'!$A$2:$M$823,3,0),"")</f>
        <v/>
      </c>
      <c r="C15" s="221">
        <f t="shared" si="2"/>
        <v>0</v>
      </c>
      <c r="D15" s="222" t="str">
        <f>IFERROR(VLOOKUP(H15,'[1]Consolidado MP Planta'!$A$2:$M$823,13,0),"")</f>
        <v/>
      </c>
      <c r="E15" s="222" t="str">
        <f>IFERROR(VLOOKUP(H15,'[1]Consolidado MP Planta'!$A$2:$M$823,12,0),"")</f>
        <v/>
      </c>
      <c r="F15" s="222" t="str">
        <f t="shared" si="3"/>
        <v/>
      </c>
      <c r="G15" s="223" t="str">
        <f t="shared" si="4"/>
        <v/>
      </c>
      <c r="H15" s="224"/>
      <c r="I15" s="224"/>
      <c r="J15" s="225"/>
    </row>
    <row r="16" spans="1:10" ht="13.5" hidden="1" x14ac:dyDescent="0.25">
      <c r="A16" s="220"/>
      <c r="B16" s="208" t="str">
        <f>IFERROR(VLOOKUP(H16,'[1]Consolidado MP Planta'!$A$2:$M$823,3,0),"")</f>
        <v/>
      </c>
      <c r="C16" s="221">
        <f t="shared" si="2"/>
        <v>0</v>
      </c>
      <c r="D16" s="222" t="str">
        <f>IFERROR(VLOOKUP(H16,'[1]Consolidado MP Planta'!$A$2:$M$823,13,0),"")</f>
        <v/>
      </c>
      <c r="E16" s="222" t="str">
        <f>IFERROR(VLOOKUP(H16,'[1]Consolidado MP Planta'!$A$2:$M$823,12,0),"")</f>
        <v/>
      </c>
      <c r="F16" s="222" t="str">
        <f t="shared" si="3"/>
        <v/>
      </c>
      <c r="G16" s="223" t="str">
        <f t="shared" si="4"/>
        <v/>
      </c>
      <c r="H16" s="224"/>
      <c r="I16" s="224"/>
      <c r="J16" s="225"/>
    </row>
    <row r="17" spans="1:10" ht="13.5" hidden="1" x14ac:dyDescent="0.25">
      <c r="A17" s="220"/>
      <c r="B17" s="208" t="str">
        <f>IFERROR(VLOOKUP(H17,'[1]Consolidado MP Planta'!$A$2:$M$823,3,0),"")</f>
        <v/>
      </c>
      <c r="C17" s="221">
        <f t="shared" si="0"/>
        <v>0</v>
      </c>
      <c r="D17" s="222" t="str">
        <f>IFERROR(VLOOKUP(H17,'[1]Consolidado MP Planta'!$A$2:$M$823,13,0),"")</f>
        <v/>
      </c>
      <c r="E17" s="222" t="str">
        <f>IFERROR(VLOOKUP(H17,'[1]Consolidado MP Planta'!$A$2:$M$823,12,0),"")</f>
        <v/>
      </c>
      <c r="F17" s="222" t="str">
        <f t="shared" si="1"/>
        <v/>
      </c>
      <c r="G17" s="223" t="str">
        <f>IFERROR(F17/$F$72,"")</f>
        <v/>
      </c>
      <c r="H17" s="224"/>
      <c r="I17" s="224"/>
      <c r="J17" s="225"/>
    </row>
    <row r="18" spans="1:10" ht="13.5" hidden="1" x14ac:dyDescent="0.25">
      <c r="A18" s="220"/>
      <c r="B18" s="208" t="str">
        <f>IFERROR(VLOOKUP(H18,'[1]Consolidado MP Planta'!$A$2:$M$823,3,0),"")</f>
        <v/>
      </c>
      <c r="C18" s="221">
        <f t="shared" si="0"/>
        <v>0</v>
      </c>
      <c r="D18" s="222" t="str">
        <f>IFERROR(VLOOKUP(H18,'[1]Consolidado MP Planta'!$A$2:$M$823,13,0),"")</f>
        <v/>
      </c>
      <c r="E18" s="222" t="str">
        <f>IFERROR(VLOOKUP(H18,'[1]Consolidado MP Planta'!$A$2:$M$823,12,0),"")</f>
        <v/>
      </c>
      <c r="F18" s="222" t="str">
        <f t="shared" si="1"/>
        <v/>
      </c>
      <c r="G18" s="223" t="str">
        <f>IFERROR(F18/$F$72,"")</f>
        <v/>
      </c>
      <c r="H18" s="224"/>
      <c r="I18" s="224"/>
      <c r="J18" s="225"/>
    </row>
    <row r="19" spans="1:10" ht="13.5" hidden="1" x14ac:dyDescent="0.25">
      <c r="A19" s="220"/>
      <c r="B19" s="208" t="str">
        <f>IFERROR(VLOOKUP(H19,'[1]Consolidado MP Planta'!$A$2:$M$823,3,0),"")</f>
        <v/>
      </c>
      <c r="C19" s="221">
        <f t="shared" si="0"/>
        <v>0</v>
      </c>
      <c r="D19" s="222" t="str">
        <f>IFERROR(VLOOKUP(H19,'[1]Consolidado MP Planta'!$A$2:$M$823,13,0),"")</f>
        <v/>
      </c>
      <c r="E19" s="222" t="str">
        <f>IFERROR(VLOOKUP(H19,'[1]Consolidado MP Planta'!$A$2:$M$823,12,0),"")</f>
        <v/>
      </c>
      <c r="F19" s="222" t="str">
        <f t="shared" si="1"/>
        <v/>
      </c>
      <c r="G19" s="223" t="str">
        <f>IFERROR(F19/$F$72,"")</f>
        <v/>
      </c>
      <c r="H19" s="224"/>
      <c r="I19" s="224"/>
      <c r="J19" s="225"/>
    </row>
    <row r="20" spans="1:10" ht="13.5" hidden="1" x14ac:dyDescent="0.25">
      <c r="A20" s="220"/>
      <c r="B20" s="208" t="str">
        <f>IFERROR(VLOOKUP(H20,'[1]Consolidado MP Planta'!$A$2:$M$823,3,0),"")</f>
        <v/>
      </c>
      <c r="C20" s="221">
        <f t="shared" si="0"/>
        <v>0</v>
      </c>
      <c r="D20" s="222" t="str">
        <f>IFERROR(VLOOKUP(H20,'[1]Consolidado MP Planta'!$A$2:$M$823,13,0),"")</f>
        <v/>
      </c>
      <c r="E20" s="222" t="str">
        <f>IFERROR(VLOOKUP(H20,'[1]Consolidado MP Planta'!$A$2:$M$823,12,0),"")</f>
        <v/>
      </c>
      <c r="F20" s="222" t="str">
        <f t="shared" si="1"/>
        <v/>
      </c>
      <c r="G20" s="223" t="str">
        <f>IFERROR(F20/$F$72,"")</f>
        <v/>
      </c>
      <c r="H20" s="224"/>
      <c r="I20" s="224"/>
      <c r="J20" s="225"/>
    </row>
    <row r="21" spans="1:10" ht="14.25" thickBot="1" x14ac:dyDescent="0.3">
      <c r="A21" s="220"/>
      <c r="B21" s="208" t="str">
        <f>IFERROR(VLOOKUP(H21,'[2]ARTICULOS MP PLANTA'!$A$2:$G$589,2,0),"")</f>
        <v/>
      </c>
      <c r="C21" s="221"/>
      <c r="D21" s="222"/>
      <c r="E21" s="222"/>
      <c r="F21" s="222"/>
      <c r="G21" s="223"/>
      <c r="H21" s="224"/>
      <c r="I21" s="224"/>
      <c r="J21" s="225"/>
    </row>
    <row r="22" spans="1:10" ht="26.25" thickBot="1" x14ac:dyDescent="0.25">
      <c r="A22" s="215" t="s">
        <v>178</v>
      </c>
      <c r="B22" s="216" t="s">
        <v>185</v>
      </c>
      <c r="C22" s="216" t="s">
        <v>178</v>
      </c>
      <c r="D22" s="217" t="s">
        <v>180</v>
      </c>
      <c r="E22" s="217" t="s">
        <v>181</v>
      </c>
      <c r="F22" s="217" t="s">
        <v>182</v>
      </c>
      <c r="G22" s="217" t="s">
        <v>183</v>
      </c>
      <c r="H22" s="218" t="s">
        <v>184</v>
      </c>
      <c r="I22" s="219"/>
      <c r="J22" s="225"/>
    </row>
    <row r="23" spans="1:10" ht="13.5" x14ac:dyDescent="0.25">
      <c r="A23" s="220">
        <v>2188</v>
      </c>
      <c r="B23" s="208" t="str">
        <f>IFERROR(VLOOKUP(H23,[1]SEMIELABORADOS!$A$2:$M$6000,2,0),"")</f>
        <v xml:space="preserve">AZUCAR REFINADA (BOLSA:1500g) </v>
      </c>
      <c r="C23" s="221">
        <f>+A23</f>
        <v>2188</v>
      </c>
      <c r="D23" s="221" t="str">
        <f>IFERROR(VLOOKUP(H23,[1]SEMIELABORADOS!$A$2:$M$6000,6,0),"")</f>
        <v>Gramo</v>
      </c>
      <c r="E23" s="222">
        <v>0.5</v>
      </c>
      <c r="F23" s="222">
        <f>IFERROR(E23*C23,"")</f>
        <v>1094</v>
      </c>
      <c r="G23" s="223">
        <f t="shared" ref="G23:G30" si="5">IFERROR(F23/$F$72,"")</f>
        <v>4.7696837436342593E-2</v>
      </c>
      <c r="H23" s="224" t="s">
        <v>225</v>
      </c>
      <c r="I23" s="224"/>
      <c r="J23" s="225"/>
    </row>
    <row r="24" spans="1:10" ht="13.5" x14ac:dyDescent="0.25">
      <c r="A24" s="220">
        <v>38</v>
      </c>
      <c r="B24" s="208" t="str">
        <f>IFERROR(VLOOKUP(H24,[1]SEMIELABORADOS!$A$2:$M$6000,2,0),"")</f>
        <v>EMPAQUE SAL KILO</v>
      </c>
      <c r="C24" s="221">
        <f t="shared" ref="C24:C30" si="6">+A24</f>
        <v>38</v>
      </c>
      <c r="D24" s="221" t="str">
        <f>IFERROR(VLOOKUP(H24,[1]SEMIELABORADOS!$A$2:$M$6000,6,0),"")</f>
        <v>Gramo</v>
      </c>
      <c r="E24" s="222">
        <v>0.31</v>
      </c>
      <c r="F24" s="222">
        <f t="shared" ref="F24:F30" si="7">IFERROR(E24*C24,"")</f>
        <v>11.78</v>
      </c>
      <c r="G24" s="223">
        <f t="shared" si="5"/>
        <v>5.1359117458877127E-4</v>
      </c>
      <c r="H24" s="224" t="s">
        <v>74</v>
      </c>
      <c r="I24" s="224"/>
      <c r="J24" s="225"/>
    </row>
    <row r="25" spans="1:10" ht="13.5" x14ac:dyDescent="0.25">
      <c r="A25" s="220">
        <v>478</v>
      </c>
      <c r="B25" s="208" t="str">
        <f>IFERROR(VLOOKUP(H25,[1]SEMIELABORADOS!$A$2:$M$6000,2,0),"")</f>
        <v>EMPAQUE ALMIDON MODIFICADO KILO</v>
      </c>
      <c r="C25" s="221">
        <f>+A25</f>
        <v>478</v>
      </c>
      <c r="D25" s="221" t="str">
        <f>IFERROR(VLOOKUP(H25,[1]SEMIELABORADOS!$A$2:$M$6000,6,0),"")</f>
        <v>Gramo</v>
      </c>
      <c r="E25" s="222">
        <v>2.11</v>
      </c>
      <c r="F25" s="222">
        <f>IFERROR(E25*C25,"")</f>
        <v>1008.5799999999999</v>
      </c>
      <c r="G25" s="223">
        <f t="shared" si="5"/>
        <v>4.3972647441998546E-2</v>
      </c>
      <c r="H25" s="224" t="s">
        <v>84</v>
      </c>
      <c r="I25" s="224"/>
      <c r="J25" s="225"/>
    </row>
    <row r="26" spans="1:10" ht="13.5" hidden="1" x14ac:dyDescent="0.25">
      <c r="A26" s="220"/>
      <c r="B26" s="208" t="str">
        <f>IFERROR(VLOOKUP(H26,[1]SEMIELABORADOS!$A$2:$M$6000,2,0),"")</f>
        <v/>
      </c>
      <c r="C26" s="221">
        <f>+A26</f>
        <v>0</v>
      </c>
      <c r="D26" s="221" t="str">
        <f>IFERROR(VLOOKUP(H26,[1]SEMIELABORADOS!$A$2:$M$6000,6,0),"")</f>
        <v/>
      </c>
      <c r="E26" s="222" t="str">
        <f>IFERROR(VLOOKUP(H26,[1]SEMIELABORADOS!$A$2:$H$65536,8,0),"")</f>
        <v/>
      </c>
      <c r="F26" s="222" t="str">
        <f>IFERROR(E26*C26,"")</f>
        <v/>
      </c>
      <c r="G26" s="223" t="str">
        <f t="shared" si="5"/>
        <v/>
      </c>
      <c r="H26" s="224"/>
      <c r="I26" s="224"/>
      <c r="J26" s="225"/>
    </row>
    <row r="27" spans="1:10" ht="13.5" hidden="1" x14ac:dyDescent="0.25">
      <c r="A27" s="220"/>
      <c r="B27" s="208" t="str">
        <f>IFERROR(VLOOKUP(H27,[1]SEMIELABORADOS!$A$2:$M$6000,2,0),"")</f>
        <v/>
      </c>
      <c r="C27" s="221">
        <f>+A27</f>
        <v>0</v>
      </c>
      <c r="D27" s="221" t="str">
        <f>IFERROR(VLOOKUP(H27,[1]SEMIELABORADOS!$A$2:$M$6000,6,0),"")</f>
        <v/>
      </c>
      <c r="E27" s="222" t="str">
        <f>IFERROR(VLOOKUP(H27,[1]SEMIELABORADOS!$A$2:$H$65536,8,0),"")</f>
        <v/>
      </c>
      <c r="F27" s="222" t="str">
        <f>IFERROR(E27*C27,"")</f>
        <v/>
      </c>
      <c r="G27" s="223" t="str">
        <f t="shared" si="5"/>
        <v/>
      </c>
      <c r="H27" s="224"/>
      <c r="I27" s="224"/>
      <c r="J27" s="225"/>
    </row>
    <row r="28" spans="1:10" ht="13.5" hidden="1" x14ac:dyDescent="0.25">
      <c r="A28" s="220"/>
      <c r="B28" s="208" t="str">
        <f>IFERROR(VLOOKUP(H28,[1]SEMIELABORADOS!$A$2:$M$6000,2,0),"")</f>
        <v/>
      </c>
      <c r="C28" s="221">
        <f t="shared" si="6"/>
        <v>0</v>
      </c>
      <c r="D28" s="221" t="str">
        <f>IFERROR(VLOOKUP(H28,[1]SEMIELABORADOS!$A$2:$M$6000,6,0),"")</f>
        <v/>
      </c>
      <c r="E28" s="222" t="str">
        <f>IFERROR(VLOOKUP(H28,[1]SEMIELABORADOS!$A$2:$H$65536,8,0),"")</f>
        <v/>
      </c>
      <c r="F28" s="222" t="str">
        <f t="shared" si="7"/>
        <v/>
      </c>
      <c r="G28" s="223" t="str">
        <f t="shared" si="5"/>
        <v/>
      </c>
      <c r="H28" s="224"/>
      <c r="I28" s="224"/>
      <c r="J28" s="225"/>
    </row>
    <row r="29" spans="1:10" ht="13.5" hidden="1" x14ac:dyDescent="0.25">
      <c r="A29" s="220"/>
      <c r="B29" s="208" t="str">
        <f>IFERROR(VLOOKUP(H29,[1]SEMIELABORADOS!$A$2:$M$6000,2,0),"")</f>
        <v/>
      </c>
      <c r="C29" s="221">
        <f t="shared" si="6"/>
        <v>0</v>
      </c>
      <c r="D29" s="221" t="str">
        <f>IFERROR(VLOOKUP(H29,[1]SEMIELABORADOS!$A$2:$M$6000,6,0),"")</f>
        <v/>
      </c>
      <c r="E29" s="222" t="str">
        <f>IFERROR(VLOOKUP(H29,[1]SEMIELABORADOS!$A$2:$H$65536,8,0),"")</f>
        <v/>
      </c>
      <c r="F29" s="222" t="str">
        <f t="shared" si="7"/>
        <v/>
      </c>
      <c r="G29" s="223" t="str">
        <f t="shared" si="5"/>
        <v/>
      </c>
      <c r="H29" s="224"/>
      <c r="I29" s="224"/>
      <c r="J29" s="225"/>
    </row>
    <row r="30" spans="1:10" ht="13.5" hidden="1" x14ac:dyDescent="0.25">
      <c r="A30" s="220"/>
      <c r="B30" s="208" t="str">
        <f>IFERROR(VLOOKUP(H30,[1]SEMIELABORADOS!$A$2:$M$6000,2,0),"")</f>
        <v/>
      </c>
      <c r="C30" s="221">
        <f t="shared" si="6"/>
        <v>0</v>
      </c>
      <c r="D30" s="221" t="str">
        <f>IFERROR(VLOOKUP(H30,[1]SEMIELABORADOS!$A$2:$M$6000,6,0),"")</f>
        <v/>
      </c>
      <c r="E30" s="222" t="str">
        <f>IFERROR(VLOOKUP(H30,[1]SEMIELABORADOS!$A$2:$H$65536,8,0),"")</f>
        <v/>
      </c>
      <c r="F30" s="222" t="str">
        <f t="shared" si="7"/>
        <v/>
      </c>
      <c r="G30" s="223" t="str">
        <f t="shared" si="5"/>
        <v/>
      </c>
      <c r="H30" s="224"/>
      <c r="I30" s="224"/>
      <c r="J30" s="225"/>
    </row>
    <row r="31" spans="1:10" ht="14.25" thickBot="1" x14ac:dyDescent="0.3">
      <c r="A31" s="220"/>
      <c r="C31" s="221"/>
      <c r="D31" s="221"/>
      <c r="E31" s="222"/>
      <c r="F31" s="222"/>
      <c r="G31" s="223"/>
      <c r="H31" s="224"/>
      <c r="I31" s="224"/>
      <c r="J31" s="225"/>
    </row>
    <row r="32" spans="1:10" ht="26.25" thickBot="1" x14ac:dyDescent="0.25">
      <c r="A32" s="215" t="s">
        <v>178</v>
      </c>
      <c r="B32" s="216" t="s">
        <v>24</v>
      </c>
      <c r="C32" s="216" t="s">
        <v>178</v>
      </c>
      <c r="D32" s="217" t="s">
        <v>180</v>
      </c>
      <c r="E32" s="217" t="s">
        <v>181</v>
      </c>
      <c r="F32" s="217" t="s">
        <v>182</v>
      </c>
      <c r="G32" s="217" t="s">
        <v>183</v>
      </c>
      <c r="H32" s="218" t="s">
        <v>184</v>
      </c>
      <c r="I32" s="219"/>
    </row>
    <row r="33" spans="1:12" ht="13.5" x14ac:dyDescent="0.25">
      <c r="A33" s="220">
        <v>2</v>
      </c>
      <c r="B33" s="226" t="str">
        <f>IFERROR(VLOOKUP(H33,'[1]Consolidado MP Planta'!$A$2:$M$823,3,0),"")</f>
        <v>ETIQUETA BLANCA 2 5/8X1 15/16 (UND)</v>
      </c>
      <c r="C33" s="221">
        <f t="shared" ref="C33:C38" si="8">+A33</f>
        <v>2</v>
      </c>
      <c r="D33" s="222" t="str">
        <f>IFERROR(VLOOKUP(H33,'[1]Consolidado MP Planta'!$A$2:$M$823,13,0),"")</f>
        <v>Und</v>
      </c>
      <c r="E33" s="222">
        <f>IFERROR(VLOOKUP(H33,'[1]Consolidado MP Planta'!$A$2:$M$823,12,0),"")</f>
        <v>2.1280000000000001</v>
      </c>
      <c r="F33" s="222">
        <f t="shared" ref="F33:F38" si="9">IFERROR(C33*E33,"")</f>
        <v>4.2560000000000002</v>
      </c>
      <c r="G33" s="223">
        <f t="shared" ref="G33:G38" si="10">IFERROR(F33/$F$72,"")</f>
        <v>1.8555552114174964E-4</v>
      </c>
      <c r="H33" s="227" t="s">
        <v>227</v>
      </c>
      <c r="I33" s="227"/>
      <c r="J33" s="225"/>
      <c r="K33" s="727"/>
      <c r="L33" s="727"/>
    </row>
    <row r="34" spans="1:12" ht="13.5" hidden="1" x14ac:dyDescent="0.25">
      <c r="A34" s="220"/>
      <c r="B34" s="226" t="str">
        <f>IFERROR(VLOOKUP(H34,'[1]Consolidado MP Planta'!$A$2:$M$823,3,0),"")</f>
        <v/>
      </c>
      <c r="C34" s="221">
        <f t="shared" si="8"/>
        <v>0</v>
      </c>
      <c r="D34" s="222" t="str">
        <f>IFERROR(VLOOKUP(H34,'[1]Consolidado MP Planta'!$A$2:$M$823,13,0),"")</f>
        <v/>
      </c>
      <c r="E34" s="222" t="str">
        <f>IFERROR(VLOOKUP(H34,'[1]Consolidado MP Planta'!$A$2:$M$823,12,0),"")</f>
        <v/>
      </c>
      <c r="F34" s="222" t="str">
        <f t="shared" si="9"/>
        <v/>
      </c>
      <c r="G34" s="223" t="str">
        <f t="shared" si="10"/>
        <v/>
      </c>
      <c r="H34" s="227"/>
      <c r="I34" s="227"/>
      <c r="J34" s="225"/>
      <c r="K34" s="727"/>
      <c r="L34" s="727"/>
    </row>
    <row r="35" spans="1:12" ht="13.5" hidden="1" x14ac:dyDescent="0.25">
      <c r="A35" s="220"/>
      <c r="B35" s="226" t="str">
        <f>IFERROR(VLOOKUP(H35,'[1]Consolidado MP Planta'!$A$2:$M$823,3,0),"")</f>
        <v/>
      </c>
      <c r="C35" s="221">
        <f t="shared" si="8"/>
        <v>0</v>
      </c>
      <c r="D35" s="222" t="str">
        <f>IFERROR(VLOOKUP(H35,'[1]Consolidado MP Planta'!$A$2:$M$823,13,0),"")</f>
        <v/>
      </c>
      <c r="E35" s="222" t="str">
        <f>IFERROR(VLOOKUP(H35,'[1]Consolidado MP Planta'!$A$2:$M$823,12,0),"")</f>
        <v/>
      </c>
      <c r="F35" s="222" t="str">
        <f t="shared" si="9"/>
        <v/>
      </c>
      <c r="G35" s="223" t="str">
        <f t="shared" si="10"/>
        <v/>
      </c>
      <c r="H35" s="227"/>
      <c r="I35" s="227"/>
      <c r="J35" s="225"/>
      <c r="K35" s="727"/>
      <c r="L35" s="727"/>
    </row>
    <row r="36" spans="1:12" ht="13.5" hidden="1" x14ac:dyDescent="0.25">
      <c r="A36" s="220"/>
      <c r="B36" s="226" t="str">
        <f>IFERROR(VLOOKUP(H36,'[1]Consolidado MP Planta'!$A$2:$M$823,3,0),"")</f>
        <v/>
      </c>
      <c r="C36" s="221">
        <f t="shared" si="8"/>
        <v>0</v>
      </c>
      <c r="D36" s="222" t="str">
        <f>IFERROR(VLOOKUP(H36,'[1]Consolidado MP Planta'!$A$2:$M$823,13,0),"")</f>
        <v/>
      </c>
      <c r="E36" s="222" t="str">
        <f>IFERROR(VLOOKUP(H36,'[1]Consolidado MP Planta'!$A$2:$M$823,12,0),"")</f>
        <v/>
      </c>
      <c r="F36" s="222" t="str">
        <f t="shared" si="9"/>
        <v/>
      </c>
      <c r="G36" s="223" t="str">
        <f t="shared" si="10"/>
        <v/>
      </c>
      <c r="H36" s="227"/>
      <c r="I36" s="227"/>
      <c r="J36" s="225"/>
      <c r="K36" s="727"/>
      <c r="L36" s="727"/>
    </row>
    <row r="37" spans="1:12" ht="13.5" hidden="1" x14ac:dyDescent="0.25">
      <c r="A37" s="220"/>
      <c r="B37" s="226" t="str">
        <f>IFERROR(VLOOKUP(H37,'[1]Consolidado MP Planta'!$A$2:$M$823,3,0),"")</f>
        <v/>
      </c>
      <c r="C37" s="221">
        <f t="shared" si="8"/>
        <v>0</v>
      </c>
      <c r="D37" s="222" t="str">
        <f>IFERROR(VLOOKUP(H37,'[1]Consolidado MP Planta'!$A$2:$M$823,13,0),"")</f>
        <v/>
      </c>
      <c r="E37" s="222" t="str">
        <f>IFERROR(VLOOKUP(H37,'[1]Consolidado MP Planta'!$A$2:$M$823,12,0),"")</f>
        <v/>
      </c>
      <c r="F37" s="222" t="str">
        <f t="shared" si="9"/>
        <v/>
      </c>
      <c r="G37" s="223" t="str">
        <f t="shared" si="10"/>
        <v/>
      </c>
      <c r="H37" s="227"/>
      <c r="I37" s="227"/>
      <c r="J37" s="225"/>
      <c r="K37" s="228"/>
      <c r="L37" s="229"/>
    </row>
    <row r="38" spans="1:12" ht="13.5" hidden="1" x14ac:dyDescent="0.25">
      <c r="A38" s="220"/>
      <c r="B38" s="226" t="str">
        <f>IFERROR(VLOOKUP(H38,'[1]Consolidado MP Planta'!$A$2:$M$823,3,0),"")</f>
        <v/>
      </c>
      <c r="C38" s="221">
        <f t="shared" si="8"/>
        <v>0</v>
      </c>
      <c r="D38" s="222" t="str">
        <f>IFERROR(VLOOKUP(H38,'[1]Consolidado MP Planta'!$A$2:$M$823,13,0),"")</f>
        <v/>
      </c>
      <c r="E38" s="222" t="str">
        <f>IFERROR(VLOOKUP(H38,'[1]Consolidado MP Planta'!$A$2:$M$823,12,0),"")</f>
        <v/>
      </c>
      <c r="F38" s="222" t="str">
        <f t="shared" si="9"/>
        <v/>
      </c>
      <c r="G38" s="223" t="str">
        <f t="shared" si="10"/>
        <v/>
      </c>
      <c r="H38" s="227"/>
      <c r="I38" s="227"/>
      <c r="J38" s="225"/>
    </row>
    <row r="39" spans="1:12" ht="14.25" thickBot="1" x14ac:dyDescent="0.3">
      <c r="A39" s="220"/>
      <c r="B39" s="226"/>
      <c r="C39" s="221"/>
      <c r="D39" s="222"/>
      <c r="E39" s="222"/>
      <c r="F39" s="222"/>
      <c r="G39" s="223"/>
      <c r="H39" s="227"/>
      <c r="I39" s="227"/>
      <c r="J39" s="225"/>
    </row>
    <row r="40" spans="1:12" ht="26.25" thickBot="1" x14ac:dyDescent="0.25">
      <c r="A40" s="215" t="s">
        <v>178</v>
      </c>
      <c r="B40" s="216" t="s">
        <v>186</v>
      </c>
      <c r="C40" s="216" t="s">
        <v>178</v>
      </c>
      <c r="D40" s="217" t="s">
        <v>180</v>
      </c>
      <c r="E40" s="217" t="s">
        <v>181</v>
      </c>
      <c r="F40" s="217" t="s">
        <v>182</v>
      </c>
      <c r="G40" s="217" t="s">
        <v>183</v>
      </c>
      <c r="H40" s="218" t="s">
        <v>184</v>
      </c>
      <c r="I40" s="227"/>
      <c r="J40" s="225"/>
    </row>
    <row r="41" spans="1:12" ht="13.5" x14ac:dyDescent="0.25">
      <c r="A41" s="220">
        <f>+A23</f>
        <v>2188</v>
      </c>
      <c r="B41" s="226" t="str">
        <f>IFERROR(VLOOKUP(H41,[1]SEMIELABORADOS!$A$2:$M$6000,2,0),"")</f>
        <v xml:space="preserve">AZUCAR REFINADA (BOLSA:1500g) </v>
      </c>
      <c r="C41" s="221">
        <f>+A41</f>
        <v>2188</v>
      </c>
      <c r="D41" s="222" t="str">
        <f>IFERROR(VLOOKUP(H41,[1]SEMIELABORADOS!$A$2:$M$6000,6,0),"")</f>
        <v>Gramo</v>
      </c>
      <c r="E41" s="222">
        <v>0.02</v>
      </c>
      <c r="F41" s="222">
        <f>IFERROR(E41*C41,"")</f>
        <v>43.76</v>
      </c>
      <c r="G41" s="223">
        <f t="shared" ref="G41:G47" si="11">IFERROR(F41/$F$72,"")</f>
        <v>1.9078734974537037E-3</v>
      </c>
      <c r="H41" s="227" t="s">
        <v>225</v>
      </c>
      <c r="I41" s="227"/>
      <c r="J41" s="225"/>
    </row>
    <row r="42" spans="1:12" ht="13.5" x14ac:dyDescent="0.25">
      <c r="A42" s="220">
        <f t="shared" ref="A42:A47" si="12">+A24</f>
        <v>38</v>
      </c>
      <c r="B42" s="226" t="str">
        <f>IFERROR(VLOOKUP(H42,[1]SEMIELABORADOS!$A$2:$M$6000,2,0),"")</f>
        <v>EMPAQUE SAL KILO</v>
      </c>
      <c r="C42" s="221">
        <f t="shared" ref="C42:C47" si="13">+A42</f>
        <v>38</v>
      </c>
      <c r="D42" s="222" t="str">
        <f>IFERROR(VLOOKUP(H42,[1]SEMIELABORADOS!$A$2:$M$6000,6,0),"")</f>
        <v>Gramo</v>
      </c>
      <c r="E42" s="222">
        <v>0.01</v>
      </c>
      <c r="F42" s="222">
        <f t="shared" ref="F42:F47" si="14">IFERROR(E42*C42,"")</f>
        <v>0.38</v>
      </c>
      <c r="G42" s="223">
        <f t="shared" si="11"/>
        <v>1.6567457244799074E-5</v>
      </c>
      <c r="H42" s="227" t="s">
        <v>74</v>
      </c>
      <c r="I42" s="227"/>
      <c r="J42" s="225"/>
    </row>
    <row r="43" spans="1:12" ht="13.5" x14ac:dyDescent="0.25">
      <c r="A43" s="220">
        <f t="shared" si="12"/>
        <v>478</v>
      </c>
      <c r="B43" s="226" t="str">
        <f>IFERROR(VLOOKUP(H43,[1]SEMIELABORADOS!$A$2:$M$6000,2,0),"")</f>
        <v>EMPAQUE ALMIDON MODIFICADO KILO</v>
      </c>
      <c r="C43" s="221">
        <f t="shared" si="13"/>
        <v>478</v>
      </c>
      <c r="D43" s="222" t="str">
        <f>IFERROR(VLOOKUP(H43,[1]SEMIELABORADOS!$A$2:$M$6000,6,0),"")</f>
        <v>Gramo</v>
      </c>
      <c r="E43" s="222">
        <v>0.01</v>
      </c>
      <c r="F43" s="222">
        <f t="shared" si="14"/>
        <v>4.78</v>
      </c>
      <c r="G43" s="223">
        <f t="shared" si="11"/>
        <v>2.0840117271089361E-4</v>
      </c>
      <c r="H43" s="227" t="s">
        <v>84</v>
      </c>
      <c r="I43" s="227"/>
      <c r="J43" s="225"/>
    </row>
    <row r="44" spans="1:12" ht="13.5" hidden="1" x14ac:dyDescent="0.25">
      <c r="A44" s="220">
        <f t="shared" si="12"/>
        <v>0</v>
      </c>
      <c r="B44" s="226" t="str">
        <f>IFERROR(VLOOKUP(H44,[1]SEMIELABORADOS!$A$2:$M$6000,2,0),"")</f>
        <v/>
      </c>
      <c r="C44" s="221">
        <f>+A44</f>
        <v>0</v>
      </c>
      <c r="D44" s="222" t="str">
        <f>IFERROR(VLOOKUP(H44,[1]SEMIELABORADOS!$A$2:$M$6000,6,0),"")</f>
        <v/>
      </c>
      <c r="E44" s="222" t="str">
        <f>IFERROR(VLOOKUP(H44,[1]SEMIELABORADOS!$A$2:$M$65536,10,0),"")</f>
        <v/>
      </c>
      <c r="F44" s="222" t="str">
        <f>IFERROR(E44*C44,"")</f>
        <v/>
      </c>
      <c r="G44" s="223" t="str">
        <f t="shared" si="11"/>
        <v/>
      </c>
      <c r="H44" s="227"/>
      <c r="I44" s="227"/>
      <c r="J44" s="225"/>
    </row>
    <row r="45" spans="1:12" ht="13.5" hidden="1" x14ac:dyDescent="0.25">
      <c r="A45" s="220">
        <f t="shared" si="12"/>
        <v>0</v>
      </c>
      <c r="B45" s="226" t="str">
        <f>IFERROR(VLOOKUP(H45,[1]SEMIELABORADOS!$A$2:$M$6000,2,0),"")</f>
        <v/>
      </c>
      <c r="C45" s="221">
        <f>+A45</f>
        <v>0</v>
      </c>
      <c r="D45" s="222" t="str">
        <f>IFERROR(VLOOKUP(H45,[1]SEMIELABORADOS!$A$2:$M$6000,6,0),"")</f>
        <v/>
      </c>
      <c r="E45" s="222" t="str">
        <f>IFERROR(VLOOKUP(H45,[1]SEMIELABORADOS!$A$2:$M$65536,10,0),"")</f>
        <v/>
      </c>
      <c r="F45" s="222" t="str">
        <f>IFERROR(E45*C45,"")</f>
        <v/>
      </c>
      <c r="G45" s="223" t="str">
        <f t="shared" si="11"/>
        <v/>
      </c>
      <c r="H45" s="227"/>
      <c r="I45" s="227"/>
      <c r="J45" s="225"/>
    </row>
    <row r="46" spans="1:12" ht="13.5" hidden="1" x14ac:dyDescent="0.25">
      <c r="A46" s="220">
        <f t="shared" si="12"/>
        <v>0</v>
      </c>
      <c r="B46" s="226" t="str">
        <f>IFERROR(VLOOKUP(H46,[1]SEMIELABORADOS!$A$2:$M$6000,2,0),"")</f>
        <v/>
      </c>
      <c r="C46" s="221">
        <f t="shared" si="13"/>
        <v>0</v>
      </c>
      <c r="D46" s="222" t="str">
        <f>IFERROR(VLOOKUP(H46,[1]SEMIELABORADOS!$A$2:$M$6000,6,0),"")</f>
        <v/>
      </c>
      <c r="E46" s="222" t="str">
        <f>IFERROR(VLOOKUP(H46,[1]SEMIELABORADOS!$A$2:$M$65536,10,0),"")</f>
        <v/>
      </c>
      <c r="F46" s="222" t="str">
        <f t="shared" si="14"/>
        <v/>
      </c>
      <c r="G46" s="223" t="str">
        <f t="shared" si="11"/>
        <v/>
      </c>
      <c r="H46" s="227"/>
      <c r="I46" s="227"/>
      <c r="J46" s="225"/>
    </row>
    <row r="47" spans="1:12" ht="13.5" hidden="1" x14ac:dyDescent="0.25">
      <c r="A47" s="220">
        <f t="shared" si="12"/>
        <v>0</v>
      </c>
      <c r="B47" s="226" t="str">
        <f>IFERROR(VLOOKUP(H47,[1]SEMIELABORADOS!$A$2:$M$6000,2,0),"")</f>
        <v/>
      </c>
      <c r="C47" s="221">
        <f t="shared" si="13"/>
        <v>0</v>
      </c>
      <c r="D47" s="222" t="str">
        <f>IFERROR(VLOOKUP(H47,[1]SEMIELABORADOS!$A$2:$M$6000,6,0),"")</f>
        <v/>
      </c>
      <c r="E47" s="222" t="str">
        <f>IFERROR(VLOOKUP(H47,[1]SEMIELABORADOS!$A$2:$M$65536,10,0),"")</f>
        <v/>
      </c>
      <c r="F47" s="222" t="str">
        <f t="shared" si="14"/>
        <v/>
      </c>
      <c r="G47" s="223" t="str">
        <f t="shared" si="11"/>
        <v/>
      </c>
      <c r="H47" s="227"/>
      <c r="I47" s="227"/>
      <c r="J47" s="225"/>
    </row>
    <row r="48" spans="1:12" ht="14.25" thickBot="1" x14ac:dyDescent="0.3">
      <c r="A48" s="220"/>
      <c r="B48" s="226"/>
      <c r="C48" s="221"/>
      <c r="D48" s="222"/>
      <c r="E48" s="222"/>
      <c r="F48" s="222"/>
      <c r="G48" s="223"/>
      <c r="H48" s="227"/>
      <c r="I48" s="227"/>
      <c r="J48" s="225"/>
    </row>
    <row r="49" spans="1:17" ht="26.25" thickBot="1" x14ac:dyDescent="0.25">
      <c r="A49" s="215" t="s">
        <v>178</v>
      </c>
      <c r="B49" s="216" t="s">
        <v>187</v>
      </c>
      <c r="C49" s="216" t="s">
        <v>178</v>
      </c>
      <c r="D49" s="217" t="s">
        <v>180</v>
      </c>
      <c r="E49" s="217" t="s">
        <v>181</v>
      </c>
      <c r="F49" s="217" t="s">
        <v>182</v>
      </c>
      <c r="G49" s="217" t="s">
        <v>183</v>
      </c>
      <c r="H49" s="218" t="s">
        <v>184</v>
      </c>
      <c r="I49" s="219"/>
      <c r="J49" s="225"/>
    </row>
    <row r="50" spans="1:17" ht="13.5" x14ac:dyDescent="0.25">
      <c r="A50" s="220">
        <f>+A41</f>
        <v>2188</v>
      </c>
      <c r="B50" s="226" t="str">
        <f>IFERROR(VLOOKUP(H50,[1]SEMIELABORADOS!$A$2:$M$6000,2,0),"")</f>
        <v xml:space="preserve">AZUCAR REFINADA (BOLSA:1500g) </v>
      </c>
      <c r="C50" s="221">
        <f>+A50</f>
        <v>2188</v>
      </c>
      <c r="D50" s="222" t="str">
        <f>IFERROR(VLOOKUP(H50,[1]SEMIELABORADOS!$A$2:$M$6000,6,0),"")</f>
        <v>Gramo</v>
      </c>
      <c r="E50" s="222">
        <v>0.08</v>
      </c>
      <c r="F50" s="222">
        <f>IFERROR(E50*C50,"")</f>
        <v>175.04</v>
      </c>
      <c r="G50" s="223">
        <f>IFERROR(F50/$F$72,"")</f>
        <v>7.6314939898148148E-3</v>
      </c>
      <c r="H50" s="227" t="s">
        <v>225</v>
      </c>
      <c r="I50" s="219"/>
      <c r="J50" s="225"/>
    </row>
    <row r="51" spans="1:17" ht="13.5" x14ac:dyDescent="0.25">
      <c r="A51" s="220">
        <f t="shared" ref="A51:A56" si="15">+A42</f>
        <v>38</v>
      </c>
      <c r="B51" s="226" t="str">
        <f>IFERROR(VLOOKUP(H51,[1]SEMIELABORADOS!$A$2:$M$6000,2,0),"")</f>
        <v>EMPAQUE SAL KILO</v>
      </c>
      <c r="C51" s="221">
        <f t="shared" ref="C51:C56" si="16">+A51</f>
        <v>38</v>
      </c>
      <c r="D51" s="222" t="str">
        <f>IFERROR(VLOOKUP(H51,[1]SEMIELABORADOS!$A$2:$M$6000,6,0),"")</f>
        <v>Gramo</v>
      </c>
      <c r="E51" s="222">
        <v>0.06</v>
      </c>
      <c r="F51" s="222">
        <f t="shared" ref="F51:F56" si="17">IFERROR(E51*C51,"")</f>
        <v>2.2799999999999998</v>
      </c>
      <c r="G51" s="223">
        <f t="shared" ref="G51:G56" si="18">IFERROR(F51/$F$72,"")</f>
        <v>9.9404743468794435E-5</v>
      </c>
      <c r="H51" s="227" t="s">
        <v>74</v>
      </c>
      <c r="I51" s="219"/>
      <c r="J51" s="225"/>
      <c r="M51" s="230"/>
    </row>
    <row r="52" spans="1:17" ht="13.5" x14ac:dyDescent="0.25">
      <c r="A52" s="220">
        <f t="shared" si="15"/>
        <v>478</v>
      </c>
      <c r="B52" s="226" t="str">
        <f>IFERROR(VLOOKUP(H52,[1]SEMIELABORADOS!$A$2:$M$6000,2,0),"")</f>
        <v>EMPAQUE ALMIDON MODIFICADO KILO</v>
      </c>
      <c r="C52" s="221">
        <f t="shared" si="16"/>
        <v>478</v>
      </c>
      <c r="D52" s="222" t="str">
        <f>IFERROR(VLOOKUP(H52,[1]SEMIELABORADOS!$A$2:$M$6000,6,0),"")</f>
        <v>Gramo</v>
      </c>
      <c r="E52" s="222">
        <v>0.01</v>
      </c>
      <c r="F52" s="222">
        <f t="shared" si="17"/>
        <v>4.78</v>
      </c>
      <c r="G52" s="223">
        <f t="shared" si="18"/>
        <v>2.0840117271089361E-4</v>
      </c>
      <c r="H52" s="227" t="s">
        <v>84</v>
      </c>
      <c r="I52" s="219"/>
      <c r="J52" s="225"/>
    </row>
    <row r="53" spans="1:17" ht="13.5" hidden="1" x14ac:dyDescent="0.25">
      <c r="A53" s="220">
        <f t="shared" si="15"/>
        <v>0</v>
      </c>
      <c r="B53" s="226" t="str">
        <f>IFERROR(VLOOKUP(H53,[1]SEMIELABORADOS!$A$2:$M$6000,2,0),"")</f>
        <v/>
      </c>
      <c r="C53" s="221">
        <f t="shared" si="16"/>
        <v>0</v>
      </c>
      <c r="D53" s="222" t="str">
        <f>IFERROR(VLOOKUP(H53,[1]SEMIELABORADOS!$A$2:$M$6000,6,0),"")</f>
        <v/>
      </c>
      <c r="E53" s="222" t="str">
        <f>IFERROR(VLOOKUP(H53,[1]SEMIELABORADOS!$A$2:$M$65536,12,0),"")</f>
        <v/>
      </c>
      <c r="F53" s="222" t="str">
        <f t="shared" si="17"/>
        <v/>
      </c>
      <c r="G53" s="223" t="str">
        <f t="shared" si="18"/>
        <v/>
      </c>
      <c r="H53" s="227"/>
      <c r="I53" s="219"/>
      <c r="J53" s="225"/>
    </row>
    <row r="54" spans="1:17" ht="13.5" hidden="1" x14ac:dyDescent="0.25">
      <c r="A54" s="220">
        <f t="shared" si="15"/>
        <v>0</v>
      </c>
      <c r="B54" s="226" t="str">
        <f>IFERROR(VLOOKUP(H54,[1]SEMIELABORADOS!$A$2:$M$6000,2,0),"")</f>
        <v/>
      </c>
      <c r="C54" s="221">
        <f t="shared" si="16"/>
        <v>0</v>
      </c>
      <c r="D54" s="222" t="str">
        <f>IFERROR(VLOOKUP(H54,[1]SEMIELABORADOS!$A$2:$M$6000,6,0),"")</f>
        <v/>
      </c>
      <c r="E54" s="222" t="str">
        <f>IFERROR(VLOOKUP(H54,[1]SEMIELABORADOS!$A$2:$M$65536,12,0),"")</f>
        <v/>
      </c>
      <c r="F54" s="222" t="str">
        <f t="shared" si="17"/>
        <v/>
      </c>
      <c r="G54" s="223" t="str">
        <f t="shared" si="18"/>
        <v/>
      </c>
      <c r="H54" s="227"/>
      <c r="I54" s="219"/>
      <c r="J54" s="225"/>
    </row>
    <row r="55" spans="1:17" ht="13.5" hidden="1" x14ac:dyDescent="0.25">
      <c r="A55" s="220">
        <f t="shared" si="15"/>
        <v>0</v>
      </c>
      <c r="B55" s="226" t="str">
        <f>IFERROR(VLOOKUP(H55,[1]SEMIELABORADOS!$A$2:$M$6000,2,0),"")</f>
        <v/>
      </c>
      <c r="C55" s="221">
        <f t="shared" si="16"/>
        <v>0</v>
      </c>
      <c r="D55" s="222" t="str">
        <f>IFERROR(VLOOKUP(H55,[1]SEMIELABORADOS!$A$2:$M$6000,6,0),"")</f>
        <v/>
      </c>
      <c r="E55" s="222" t="str">
        <f>IFERROR(VLOOKUP(H55,[1]SEMIELABORADOS!$A$2:$M$65536,12,0),"")</f>
        <v/>
      </c>
      <c r="F55" s="222" t="str">
        <f t="shared" si="17"/>
        <v/>
      </c>
      <c r="G55" s="223" t="str">
        <f t="shared" si="18"/>
        <v/>
      </c>
      <c r="H55" s="227"/>
      <c r="I55" s="219"/>
      <c r="J55" s="225"/>
    </row>
    <row r="56" spans="1:17" ht="13.5" hidden="1" x14ac:dyDescent="0.25">
      <c r="A56" s="220">
        <f t="shared" si="15"/>
        <v>0</v>
      </c>
      <c r="B56" s="226" t="str">
        <f>IFERROR(VLOOKUP(H56,[1]SEMIELABORADOS!$A$2:$M$6000,2,0),"")</f>
        <v/>
      </c>
      <c r="C56" s="221">
        <f t="shared" si="16"/>
        <v>0</v>
      </c>
      <c r="D56" s="222" t="str">
        <f>IFERROR(VLOOKUP(H56,[1]SEMIELABORADOS!$A$2:$M$6000,6,0),"")</f>
        <v/>
      </c>
      <c r="E56" s="222" t="str">
        <f>IFERROR(VLOOKUP(H56,[1]SEMIELABORADOS!$A$2:$M$65536,12,0),"")</f>
        <v/>
      </c>
      <c r="F56" s="222" t="str">
        <f t="shared" si="17"/>
        <v/>
      </c>
      <c r="G56" s="223" t="str">
        <f t="shared" si="18"/>
        <v/>
      </c>
      <c r="H56" s="226"/>
      <c r="I56" s="219"/>
      <c r="J56" s="225"/>
    </row>
    <row r="57" spans="1:17" ht="13.5" x14ac:dyDescent="0.25">
      <c r="A57" s="220">
        <v>1</v>
      </c>
      <c r="B57" s="226" t="s">
        <v>188</v>
      </c>
      <c r="C57" s="221">
        <f>+A57</f>
        <v>1</v>
      </c>
      <c r="D57" s="221" t="s">
        <v>189</v>
      </c>
      <c r="E57" s="222">
        <f>+F71</f>
        <v>770</v>
      </c>
      <c r="F57" s="222">
        <f>IFERROR(C57*E57,"")</f>
        <v>770</v>
      </c>
      <c r="G57" s="223">
        <f>IFERROR(F57/$F$72,"")</f>
        <v>3.3570900206566542E-2</v>
      </c>
      <c r="H57" s="231"/>
      <c r="I57" s="231"/>
      <c r="J57" s="225"/>
    </row>
    <row r="58" spans="1:17" ht="14.25" thickBot="1" x14ac:dyDescent="0.3">
      <c r="A58" s="220"/>
      <c r="B58" s="226"/>
      <c r="C58" s="221"/>
      <c r="D58" s="221"/>
      <c r="E58" s="222"/>
      <c r="F58" s="222"/>
      <c r="G58" s="223"/>
      <c r="H58" s="231"/>
      <c r="I58" s="231"/>
      <c r="J58" s="225"/>
    </row>
    <row r="59" spans="1:17" ht="13.5" thickBot="1" x14ac:dyDescent="0.25">
      <c r="A59" s="232"/>
      <c r="B59" s="737" t="s">
        <v>190</v>
      </c>
      <c r="C59" s="737"/>
      <c r="D59" s="737"/>
      <c r="E59" s="737"/>
      <c r="F59" s="234">
        <f>SUM(F8:F20,F23:F30)</f>
        <v>21679.760000000002</v>
      </c>
      <c r="G59" s="223">
        <f>+F59/$F$72</f>
        <v>0.94520657073027681</v>
      </c>
      <c r="H59" s="235">
        <f>+F59/$D$66</f>
        <v>21679.760000000002</v>
      </c>
      <c r="I59" s="235"/>
      <c r="J59" s="236"/>
      <c r="K59" s="237"/>
      <c r="L59" s="237"/>
      <c r="M59" s="237"/>
      <c r="N59" s="237"/>
      <c r="O59" s="237"/>
      <c r="P59" s="237"/>
      <c r="Q59" s="238"/>
    </row>
    <row r="60" spans="1:17" x14ac:dyDescent="0.2">
      <c r="A60" s="232"/>
      <c r="B60" s="737" t="s">
        <v>191</v>
      </c>
      <c r="C60" s="737"/>
      <c r="D60" s="737"/>
      <c r="E60" s="737"/>
      <c r="F60" s="234">
        <f>SUM(F33:F38,F41:F47)</f>
        <v>53.176000000000002</v>
      </c>
      <c r="G60" s="223">
        <f>+F60/$F$72</f>
        <v>2.3183976485511462E-3</v>
      </c>
      <c r="H60" s="235">
        <f>+F60/$D$66</f>
        <v>53.176000000000002</v>
      </c>
      <c r="I60" s="235"/>
      <c r="J60" s="239"/>
      <c r="K60" s="738" t="s">
        <v>192</v>
      </c>
      <c r="L60" s="739"/>
      <c r="M60" s="739"/>
      <c r="N60" s="739"/>
      <c r="O60" s="240">
        <f>+F61</f>
        <v>21732.936000000002</v>
      </c>
      <c r="P60" s="240"/>
      <c r="Q60" s="241"/>
    </row>
    <row r="61" spans="1:17" x14ac:dyDescent="0.2">
      <c r="A61" s="232"/>
      <c r="B61" s="737" t="s">
        <v>193</v>
      </c>
      <c r="C61" s="737"/>
      <c r="D61" s="737"/>
      <c r="E61" s="737"/>
      <c r="F61" s="234">
        <f>+F59+F60</f>
        <v>21732.936000000002</v>
      </c>
      <c r="G61" s="223">
        <f>+F61/$F$72</f>
        <v>0.94752496837882794</v>
      </c>
      <c r="H61" s="235">
        <f>+F61/$D$66</f>
        <v>21732.936000000002</v>
      </c>
      <c r="I61" s="235"/>
      <c r="J61" s="242"/>
      <c r="K61" s="243"/>
      <c r="M61" s="244" t="s">
        <v>194</v>
      </c>
      <c r="N61" s="245"/>
      <c r="O61" s="240">
        <f>+H62</f>
        <v>952.1</v>
      </c>
      <c r="P61" s="240"/>
      <c r="Q61" s="241"/>
    </row>
    <row r="62" spans="1:17" ht="13.5" thickBot="1" x14ac:dyDescent="0.25">
      <c r="A62" s="232"/>
      <c r="B62" s="233"/>
      <c r="C62" s="737" t="s">
        <v>195</v>
      </c>
      <c r="D62" s="737"/>
      <c r="E62" s="737"/>
      <c r="F62" s="234">
        <f>SUM(F50:F57)</f>
        <v>952.1</v>
      </c>
      <c r="G62" s="223">
        <f>+F62/$F$72</f>
        <v>4.1510200112561048E-2</v>
      </c>
      <c r="H62" s="235">
        <f>+F62/$D$66</f>
        <v>952.1</v>
      </c>
      <c r="I62" s="235"/>
      <c r="J62" s="242"/>
      <c r="K62" s="243"/>
      <c r="L62" s="243"/>
      <c r="M62" s="243" t="s">
        <v>196</v>
      </c>
      <c r="N62" s="246"/>
      <c r="O62" s="240">
        <f>O60*N62</f>
        <v>0</v>
      </c>
      <c r="P62" s="240"/>
      <c r="Q62" s="241"/>
    </row>
    <row r="63" spans="1:17" ht="13.5" thickBot="1" x14ac:dyDescent="0.25">
      <c r="A63" s="232"/>
      <c r="B63" s="247"/>
      <c r="C63" s="247"/>
      <c r="D63" s="247"/>
      <c r="E63" s="247"/>
      <c r="F63" s="248"/>
      <c r="G63" s="223"/>
      <c r="H63" s="249"/>
      <c r="I63" s="235"/>
      <c r="J63" s="242"/>
      <c r="K63" s="250"/>
      <c r="M63" s="251" t="s">
        <v>197</v>
      </c>
      <c r="N63" s="252"/>
      <c r="O63" s="253">
        <f>SUM(O60:O62)</f>
        <v>22685.036</v>
      </c>
      <c r="P63" s="254"/>
      <c r="Q63" s="241"/>
    </row>
    <row r="64" spans="1:17" x14ac:dyDescent="0.2">
      <c r="B64" s="740" t="s">
        <v>198</v>
      </c>
      <c r="C64" s="740"/>
      <c r="D64" s="255">
        <v>10000</v>
      </c>
      <c r="E64" s="256"/>
      <c r="G64" s="223"/>
      <c r="H64" s="249">
        <f>+H62/77</f>
        <v>12.364935064935064</v>
      </c>
      <c r="I64" s="257"/>
      <c r="J64" s="242"/>
      <c r="K64" s="250"/>
      <c r="L64" s="243"/>
      <c r="M64" s="243" t="s">
        <v>199</v>
      </c>
      <c r="N64" s="258"/>
      <c r="O64" s="240">
        <f>+H65</f>
        <v>791.35584415584412</v>
      </c>
      <c r="P64" s="240"/>
      <c r="Q64" s="241"/>
    </row>
    <row r="65" spans="2:17" x14ac:dyDescent="0.2">
      <c r="B65" s="740" t="s">
        <v>200</v>
      </c>
      <c r="C65" s="740"/>
      <c r="D65" s="259">
        <v>10000</v>
      </c>
      <c r="E65" s="256"/>
      <c r="G65" s="223"/>
      <c r="H65" s="249">
        <f>+H64*64</f>
        <v>791.35584415584412</v>
      </c>
      <c r="I65" s="257"/>
      <c r="J65" s="242"/>
      <c r="K65" s="250"/>
      <c r="L65" s="243"/>
      <c r="M65" s="741" t="s">
        <v>197</v>
      </c>
      <c r="N65" s="741"/>
      <c r="O65" s="240">
        <f>SUM(O63:O64)</f>
        <v>23476.391844155845</v>
      </c>
      <c r="P65" s="240"/>
      <c r="Q65" s="241"/>
    </row>
    <row r="66" spans="2:17" ht="13.5" thickBot="1" x14ac:dyDescent="0.25">
      <c r="B66" s="733" t="s">
        <v>201</v>
      </c>
      <c r="C66" s="733"/>
      <c r="D66" s="255">
        <f>+D64/D65</f>
        <v>1</v>
      </c>
      <c r="E66" s="256"/>
      <c r="F66" s="260"/>
      <c r="G66" s="223"/>
      <c r="H66" s="249"/>
      <c r="I66" s="257"/>
      <c r="J66" s="242"/>
      <c r="K66" s="250"/>
      <c r="L66" s="741"/>
      <c r="M66" s="741"/>
      <c r="N66" s="258"/>
      <c r="O66" s="240">
        <f>+O65*N66</f>
        <v>0</v>
      </c>
      <c r="P66" s="240"/>
      <c r="Q66" s="241"/>
    </row>
    <row r="67" spans="2:17" ht="13.5" thickBot="1" x14ac:dyDescent="0.25">
      <c r="B67" s="733" t="s">
        <v>202</v>
      </c>
      <c r="C67" s="733"/>
      <c r="D67" s="261"/>
      <c r="E67" s="256"/>
      <c r="F67" s="260"/>
      <c r="G67" s="223"/>
      <c r="H67" s="249"/>
      <c r="I67" s="257"/>
      <c r="J67" s="242"/>
      <c r="K67" s="734" t="s">
        <v>203</v>
      </c>
      <c r="L67" s="735"/>
      <c r="M67" s="735"/>
      <c r="N67" s="736"/>
      <c r="O67" s="253">
        <f>SUM(O65:O66)</f>
        <v>23476.391844155845</v>
      </c>
      <c r="P67" s="262" t="s">
        <v>204</v>
      </c>
      <c r="Q67" s="241"/>
    </row>
    <row r="68" spans="2:17" ht="13.5" thickBot="1" x14ac:dyDescent="0.25">
      <c r="C68" s="232" t="s">
        <v>205</v>
      </c>
      <c r="D68" s="263"/>
      <c r="E68" s="206" t="s">
        <v>206</v>
      </c>
      <c r="F68" s="264" t="s">
        <v>207</v>
      </c>
      <c r="G68" s="223"/>
      <c r="H68" s="249"/>
      <c r="I68" s="257"/>
      <c r="J68" s="265"/>
      <c r="K68" s="266"/>
      <c r="L68" s="747" t="s">
        <v>208</v>
      </c>
      <c r="M68" s="747"/>
      <c r="N68" s="747"/>
      <c r="O68" s="267">
        <f>+O67/D66</f>
        <v>23476.391844155845</v>
      </c>
      <c r="P68" s="268">
        <f>+O68/D65</f>
        <v>2.3476391844155846</v>
      </c>
      <c r="Q68" s="269"/>
    </row>
    <row r="69" spans="2:17" ht="13.5" thickBot="1" x14ac:dyDescent="0.25">
      <c r="B69" s="748" t="s">
        <v>193</v>
      </c>
      <c r="C69" s="748"/>
      <c r="D69" s="748"/>
      <c r="E69" s="270">
        <f>+F69/F69</f>
        <v>1</v>
      </c>
      <c r="F69" s="271">
        <f>SUM(F61)</f>
        <v>21732.936000000002</v>
      </c>
      <c r="G69" s="223">
        <f>+F69/$F$72</f>
        <v>0.94752496837882794</v>
      </c>
      <c r="H69" s="249"/>
      <c r="I69" s="257"/>
      <c r="K69" s="749"/>
      <c r="L69" s="750"/>
      <c r="M69" s="750"/>
      <c r="N69" s="750"/>
      <c r="O69" s="272"/>
      <c r="P69" s="273"/>
    </row>
    <row r="70" spans="2:17" ht="13.5" thickBot="1" x14ac:dyDescent="0.25">
      <c r="B70" s="751" t="s">
        <v>209</v>
      </c>
      <c r="C70" s="751"/>
      <c r="D70" s="751"/>
      <c r="E70" s="274">
        <v>0.02</v>
      </c>
      <c r="F70" s="271">
        <f>+F59*E70</f>
        <v>433.59520000000003</v>
      </c>
      <c r="G70" s="223">
        <f>+F70/$F$72</f>
        <v>1.8904131414605535E-2</v>
      </c>
      <c r="H70" s="235"/>
      <c r="I70" s="257"/>
      <c r="J70" s="275"/>
      <c r="O70" s="276"/>
      <c r="P70" s="233"/>
    </row>
    <row r="71" spans="2:17" ht="13.5" thickBot="1" x14ac:dyDescent="0.25">
      <c r="B71" s="752" t="s">
        <v>210</v>
      </c>
      <c r="C71" s="753"/>
      <c r="D71" s="277">
        <v>10</v>
      </c>
      <c r="E71" s="278">
        <v>77</v>
      </c>
      <c r="F71" s="271">
        <f>+E71*D71</f>
        <v>770</v>
      </c>
      <c r="G71" s="223">
        <f>+F71/$F$72</f>
        <v>3.3570900206566542E-2</v>
      </c>
      <c r="H71" s="235"/>
      <c r="I71" s="235"/>
      <c r="J71" s="225"/>
    </row>
    <row r="72" spans="2:17" ht="13.5" thickBot="1" x14ac:dyDescent="0.25">
      <c r="B72" s="754" t="s">
        <v>211</v>
      </c>
      <c r="C72" s="755"/>
      <c r="D72" s="755"/>
      <c r="E72" s="756"/>
      <c r="F72" s="248">
        <f>SUM(F69:F71)</f>
        <v>22936.531200000001</v>
      </c>
      <c r="G72" s="223">
        <f>+F72/$F$72</f>
        <v>1</v>
      </c>
      <c r="H72" s="757"/>
      <c r="I72" s="235"/>
      <c r="J72" s="225"/>
      <c r="M72" s="208" t="s">
        <v>212</v>
      </c>
    </row>
    <row r="73" spans="2:17" x14ac:dyDescent="0.2">
      <c r="C73" s="230"/>
      <c r="D73" s="230"/>
      <c r="E73" s="280"/>
      <c r="F73" s="271"/>
      <c r="G73" s="223"/>
      <c r="H73" s="757"/>
      <c r="I73" s="279"/>
      <c r="J73" s="208"/>
      <c r="M73" s="208" t="s">
        <v>213</v>
      </c>
    </row>
    <row r="74" spans="2:17" ht="13.5" thickBot="1" x14ac:dyDescent="0.25">
      <c r="B74" s="742" t="s">
        <v>214</v>
      </c>
      <c r="C74" s="742"/>
      <c r="D74" s="742"/>
      <c r="E74" s="742"/>
      <c r="F74" s="742"/>
      <c r="G74" s="223"/>
      <c r="H74" s="282"/>
      <c r="I74" s="279"/>
      <c r="J74" s="208"/>
      <c r="M74" s="208" t="s">
        <v>215</v>
      </c>
    </row>
    <row r="75" spans="2:17" ht="13.5" thickBot="1" x14ac:dyDescent="0.25">
      <c r="B75" s="283" t="s">
        <v>216</v>
      </c>
      <c r="C75" s="284">
        <f>+F59</f>
        <v>21679.760000000002</v>
      </c>
      <c r="D75" s="284">
        <f>+D64</f>
        <v>10000</v>
      </c>
      <c r="E75" s="285">
        <f>+C75/D75</f>
        <v>2.1679760000000003</v>
      </c>
      <c r="F75" s="223"/>
      <c r="G75" s="282"/>
      <c r="H75" s="225"/>
      <c r="I75" s="282"/>
      <c r="J75" s="208"/>
    </row>
    <row r="76" spans="2:17" x14ac:dyDescent="0.2">
      <c r="B76" s="286"/>
      <c r="C76" s="287"/>
      <c r="D76" s="288"/>
      <c r="E76" s="271"/>
      <c r="F76" s="223"/>
      <c r="G76" s="282"/>
      <c r="H76" s="225"/>
      <c r="I76" s="225"/>
      <c r="J76" s="208"/>
    </row>
    <row r="77" spans="2:17" x14ac:dyDescent="0.2">
      <c r="B77" s="283" t="s">
        <v>217</v>
      </c>
      <c r="C77" s="284">
        <f>SUM(F69:F70)</f>
        <v>22166.531200000001</v>
      </c>
      <c r="D77" s="284">
        <f>+D64</f>
        <v>10000</v>
      </c>
      <c r="E77" s="289">
        <f>+C77/D77</f>
        <v>2.2166531200000001</v>
      </c>
      <c r="F77" s="223"/>
      <c r="G77" s="282"/>
      <c r="H77" s="225"/>
      <c r="I77" s="225"/>
      <c r="J77" s="208"/>
    </row>
    <row r="78" spans="2:17" x14ac:dyDescent="0.2">
      <c r="B78" s="283"/>
      <c r="C78" s="284"/>
      <c r="D78" s="284"/>
      <c r="E78" s="289"/>
      <c r="F78" s="223"/>
      <c r="G78" s="282"/>
      <c r="H78" s="225"/>
      <c r="I78" s="225"/>
      <c r="J78" s="208"/>
    </row>
    <row r="79" spans="2:17" ht="13.5" thickBot="1" x14ac:dyDescent="0.25">
      <c r="B79" s="283" t="s">
        <v>218</v>
      </c>
      <c r="C79" s="284">
        <f>+F71</f>
        <v>770</v>
      </c>
      <c r="D79" s="284">
        <f>+D64</f>
        <v>10000</v>
      </c>
      <c r="E79" s="289">
        <f>+C79/D79</f>
        <v>7.6999999999999999E-2</v>
      </c>
      <c r="F79" s="223"/>
      <c r="G79" s="282"/>
      <c r="H79" s="225"/>
      <c r="I79" s="225"/>
      <c r="J79" s="208"/>
    </row>
    <row r="80" spans="2:17" ht="13.5" thickBot="1" x14ac:dyDescent="0.25">
      <c r="B80" s="283" t="s">
        <v>219</v>
      </c>
      <c r="C80" s="284">
        <f>+F62</f>
        <v>952.1</v>
      </c>
      <c r="D80" s="284">
        <f>+D79</f>
        <v>10000</v>
      </c>
      <c r="E80" s="285">
        <f>+C80/D80</f>
        <v>9.5210000000000003E-2</v>
      </c>
      <c r="F80" s="223"/>
      <c r="G80" s="282"/>
      <c r="H80" s="225"/>
      <c r="I80" s="225"/>
      <c r="J80" s="208"/>
    </row>
    <row r="81" spans="1:10" ht="13.5" thickBot="1" x14ac:dyDescent="0.25">
      <c r="B81" s="247"/>
      <c r="C81" s="248"/>
      <c r="D81" s="248"/>
      <c r="E81" s="289"/>
      <c r="F81" s="223"/>
      <c r="G81" s="282"/>
      <c r="H81" s="225"/>
      <c r="I81" s="225"/>
      <c r="J81" s="208"/>
    </row>
    <row r="82" spans="1:10" ht="13.5" thickBot="1" x14ac:dyDescent="0.25">
      <c r="B82" s="283" t="s">
        <v>220</v>
      </c>
      <c r="C82" s="284">
        <f>+F60</f>
        <v>53.176000000000002</v>
      </c>
      <c r="D82" s="284">
        <f>+D80</f>
        <v>10000</v>
      </c>
      <c r="E82" s="285">
        <f>+C82/D82</f>
        <v>5.3176000000000005E-3</v>
      </c>
      <c r="F82" s="223"/>
      <c r="G82" s="282"/>
      <c r="H82" s="225"/>
      <c r="I82" s="225"/>
      <c r="J82" s="225"/>
    </row>
    <row r="83" spans="1:10" ht="13.5" thickBot="1" x14ac:dyDescent="0.25">
      <c r="B83" s="247"/>
      <c r="C83" s="248"/>
      <c r="D83" s="248"/>
      <c r="E83" s="289"/>
      <c r="F83" s="223"/>
      <c r="G83" s="282"/>
      <c r="H83" s="225"/>
      <c r="I83" s="225"/>
    </row>
    <row r="84" spans="1:10" ht="13.5" thickBot="1" x14ac:dyDescent="0.25">
      <c r="B84" s="743" t="s">
        <v>221</v>
      </c>
      <c r="C84" s="744"/>
      <c r="D84" s="745"/>
      <c r="E84" s="285">
        <f>+E75+E80</f>
        <v>2.2631860000000001</v>
      </c>
      <c r="G84" s="223"/>
      <c r="H84" s="282"/>
      <c r="I84" s="225"/>
      <c r="J84" s="289"/>
    </row>
    <row r="85" spans="1:10" x14ac:dyDescent="0.2">
      <c r="I85" s="282"/>
      <c r="J85" s="208"/>
    </row>
    <row r="86" spans="1:10" ht="13.5" thickBot="1" x14ac:dyDescent="0.25">
      <c r="B86" s="742" t="s">
        <v>222</v>
      </c>
      <c r="C86" s="742"/>
      <c r="D86" s="742"/>
      <c r="E86" s="742"/>
      <c r="F86" s="742"/>
      <c r="G86" s="223"/>
      <c r="H86" s="282"/>
      <c r="J86" s="208"/>
    </row>
    <row r="87" spans="1:10" ht="13.5" thickBot="1" x14ac:dyDescent="0.25">
      <c r="B87" s="283" t="s">
        <v>216</v>
      </c>
      <c r="C87" s="284">
        <f>+C75</f>
        <v>21679.760000000002</v>
      </c>
      <c r="D87" s="284">
        <f>+D66</f>
        <v>1</v>
      </c>
      <c r="E87" s="285">
        <f>+C87/D87</f>
        <v>21679.760000000002</v>
      </c>
      <c r="F87" s="223"/>
      <c r="G87" s="282"/>
      <c r="H87" s="225"/>
      <c r="I87" s="282"/>
      <c r="J87" s="208"/>
    </row>
    <row r="88" spans="1:10" x14ac:dyDescent="0.2">
      <c r="B88" s="286"/>
      <c r="C88" s="287"/>
      <c r="D88" s="288"/>
      <c r="E88" s="271"/>
      <c r="F88" s="223"/>
      <c r="G88" s="282"/>
      <c r="H88" s="225"/>
      <c r="I88" s="225"/>
      <c r="J88" s="208"/>
    </row>
    <row r="89" spans="1:10" x14ac:dyDescent="0.2">
      <c r="B89" s="283" t="s">
        <v>217</v>
      </c>
      <c r="C89" s="284">
        <f>+C77</f>
        <v>22166.531200000001</v>
      </c>
      <c r="D89" s="284">
        <f>+D66</f>
        <v>1</v>
      </c>
      <c r="E89" s="289">
        <f>+C89/D89</f>
        <v>22166.531200000001</v>
      </c>
      <c r="F89" s="223"/>
      <c r="G89" s="282"/>
      <c r="H89" s="225"/>
      <c r="I89" s="225"/>
      <c r="J89" s="208"/>
    </row>
    <row r="90" spans="1:10" x14ac:dyDescent="0.2">
      <c r="B90" s="283"/>
      <c r="C90" s="284"/>
      <c r="D90" s="284"/>
      <c r="E90" s="289"/>
      <c r="F90" s="223"/>
      <c r="G90" s="282"/>
      <c r="H90" s="225"/>
      <c r="I90" s="225"/>
      <c r="J90" s="208"/>
    </row>
    <row r="91" spans="1:10" ht="13.5" thickBot="1" x14ac:dyDescent="0.25">
      <c r="B91" s="283" t="s">
        <v>219</v>
      </c>
      <c r="C91" s="284">
        <f>+C79</f>
        <v>770</v>
      </c>
      <c r="D91" s="284">
        <f>+D66</f>
        <v>1</v>
      </c>
      <c r="E91" s="289">
        <f>+C91/D91</f>
        <v>770</v>
      </c>
      <c r="F91" s="291"/>
      <c r="G91" s="281"/>
      <c r="H91" s="207"/>
      <c r="I91" s="225"/>
    </row>
    <row r="92" spans="1:10" ht="13.5" thickBot="1" x14ac:dyDescent="0.25">
      <c r="B92" s="283" t="s">
        <v>219</v>
      </c>
      <c r="C92" s="284">
        <f>+C80</f>
        <v>952.1</v>
      </c>
      <c r="D92" s="284">
        <f>+D91</f>
        <v>1</v>
      </c>
      <c r="E92" s="285">
        <f>+C92/D92</f>
        <v>952.1</v>
      </c>
      <c r="F92" s="290"/>
      <c r="G92" s="281"/>
      <c r="H92" s="207"/>
      <c r="I92" s="207"/>
    </row>
    <row r="93" spans="1:10" x14ac:dyDescent="0.2">
      <c r="I93" s="207"/>
    </row>
    <row r="94" spans="1:10" x14ac:dyDescent="0.2">
      <c r="A94" s="746"/>
      <c r="B94" s="746"/>
      <c r="C94" s="292"/>
      <c r="D94" s="292"/>
      <c r="E94" s="293"/>
      <c r="G94" s="294"/>
    </row>
    <row r="95" spans="1:10" x14ac:dyDescent="0.2">
      <c r="A95" s="226"/>
      <c r="B95" s="295"/>
      <c r="C95" s="296"/>
      <c r="D95" s="296"/>
      <c r="E95" s="297"/>
      <c r="G95" s="294"/>
    </row>
    <row r="96" spans="1:10" x14ac:dyDescent="0.2">
      <c r="A96" s="226"/>
      <c r="B96" s="295"/>
      <c r="C96" s="298"/>
      <c r="D96" s="298"/>
      <c r="E96" s="226"/>
      <c r="G96" s="294"/>
    </row>
    <row r="97" spans="1:7" x14ac:dyDescent="0.2">
      <c r="A97" s="226"/>
      <c r="B97" s="295"/>
      <c r="C97" s="299"/>
      <c r="D97" s="299"/>
      <c r="E97" s="226"/>
      <c r="G97" s="294"/>
    </row>
  </sheetData>
  <mergeCells count="30">
    <mergeCell ref="B74:F74"/>
    <mergeCell ref="B84:D84"/>
    <mergeCell ref="B86:F86"/>
    <mergeCell ref="A94:B94"/>
    <mergeCell ref="L68:N68"/>
    <mergeCell ref="B69:D69"/>
    <mergeCell ref="K69:N69"/>
    <mergeCell ref="B70:D70"/>
    <mergeCell ref="B71:C71"/>
    <mergeCell ref="B72:E72"/>
    <mergeCell ref="H72:H73"/>
    <mergeCell ref="B67:C67"/>
    <mergeCell ref="K67:N67"/>
    <mergeCell ref="K36:L36"/>
    <mergeCell ref="B59:E59"/>
    <mergeCell ref="B60:E60"/>
    <mergeCell ref="K60:N60"/>
    <mergeCell ref="B61:E61"/>
    <mergeCell ref="C62:E62"/>
    <mergeCell ref="B64:C64"/>
    <mergeCell ref="B65:C65"/>
    <mergeCell ref="M65:N65"/>
    <mergeCell ref="B66:C66"/>
    <mergeCell ref="L66:M66"/>
    <mergeCell ref="K35:L35"/>
    <mergeCell ref="A4:H4"/>
    <mergeCell ref="A5:H5"/>
    <mergeCell ref="F6:G6"/>
    <mergeCell ref="K33:L33"/>
    <mergeCell ref="K34:L3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90ACC-57C3-4D72-913F-E21AD2994D53}">
  <sheetPr>
    <pageSetUpPr fitToPage="1"/>
  </sheetPr>
  <dimension ref="A1:M36"/>
  <sheetViews>
    <sheetView workbookViewId="0">
      <selection activeCell="B14" sqref="B14"/>
    </sheetView>
  </sheetViews>
  <sheetFormatPr baseColWidth="10" defaultColWidth="11.42578125" defaultRowHeight="13.5" x14ac:dyDescent="0.25"/>
  <cols>
    <col min="1" max="1" width="16.28515625" style="151" customWidth="1"/>
    <col min="2" max="2" width="15.7109375" style="151" customWidth="1"/>
    <col min="3" max="3" width="44.28515625" style="151" customWidth="1"/>
    <col min="4" max="4" width="31" style="151" customWidth="1"/>
    <col min="5" max="5" width="11.42578125" style="151"/>
    <col min="6" max="6" width="12.28515625" style="151" customWidth="1"/>
    <col min="7" max="7" width="12" style="151" customWidth="1"/>
    <col min="8" max="8" width="14.28515625" style="151" customWidth="1"/>
    <col min="9" max="9" width="16" style="151" customWidth="1"/>
    <col min="10" max="256" width="11.42578125" style="151"/>
    <col min="257" max="257" width="16.28515625" style="151" customWidth="1"/>
    <col min="258" max="258" width="15.7109375" style="151" customWidth="1"/>
    <col min="259" max="259" width="44.28515625" style="151" customWidth="1"/>
    <col min="260" max="260" width="31" style="151" customWidth="1"/>
    <col min="261" max="261" width="11.42578125" style="151"/>
    <col min="262" max="262" width="12.28515625" style="151" customWidth="1"/>
    <col min="263" max="263" width="12" style="151" customWidth="1"/>
    <col min="264" max="264" width="14.28515625" style="151" customWidth="1"/>
    <col min="265" max="265" width="16" style="151" customWidth="1"/>
    <col min="266" max="512" width="11.42578125" style="151"/>
    <col min="513" max="513" width="16.28515625" style="151" customWidth="1"/>
    <col min="514" max="514" width="15.7109375" style="151" customWidth="1"/>
    <col min="515" max="515" width="44.28515625" style="151" customWidth="1"/>
    <col min="516" max="516" width="31" style="151" customWidth="1"/>
    <col min="517" max="517" width="11.42578125" style="151"/>
    <col min="518" max="518" width="12.28515625" style="151" customWidth="1"/>
    <col min="519" max="519" width="12" style="151" customWidth="1"/>
    <col min="520" max="520" width="14.28515625" style="151" customWidth="1"/>
    <col min="521" max="521" width="16" style="151" customWidth="1"/>
    <col min="522" max="768" width="11.42578125" style="151"/>
    <col min="769" max="769" width="16.28515625" style="151" customWidth="1"/>
    <col min="770" max="770" width="15.7109375" style="151" customWidth="1"/>
    <col min="771" max="771" width="44.28515625" style="151" customWidth="1"/>
    <col min="772" max="772" width="31" style="151" customWidth="1"/>
    <col min="773" max="773" width="11.42578125" style="151"/>
    <col min="774" max="774" width="12.28515625" style="151" customWidth="1"/>
    <col min="775" max="775" width="12" style="151" customWidth="1"/>
    <col min="776" max="776" width="14.28515625" style="151" customWidth="1"/>
    <col min="777" max="777" width="16" style="151" customWidth="1"/>
    <col min="778" max="1024" width="11.42578125" style="151"/>
    <col min="1025" max="1025" width="16.28515625" style="151" customWidth="1"/>
    <col min="1026" max="1026" width="15.7109375" style="151" customWidth="1"/>
    <col min="1027" max="1027" width="44.28515625" style="151" customWidth="1"/>
    <col min="1028" max="1028" width="31" style="151" customWidth="1"/>
    <col min="1029" max="1029" width="11.42578125" style="151"/>
    <col min="1030" max="1030" width="12.28515625" style="151" customWidth="1"/>
    <col min="1031" max="1031" width="12" style="151" customWidth="1"/>
    <col min="1032" max="1032" width="14.28515625" style="151" customWidth="1"/>
    <col min="1033" max="1033" width="16" style="151" customWidth="1"/>
    <col min="1034" max="1280" width="11.42578125" style="151"/>
    <col min="1281" max="1281" width="16.28515625" style="151" customWidth="1"/>
    <col min="1282" max="1282" width="15.7109375" style="151" customWidth="1"/>
    <col min="1283" max="1283" width="44.28515625" style="151" customWidth="1"/>
    <col min="1284" max="1284" width="31" style="151" customWidth="1"/>
    <col min="1285" max="1285" width="11.42578125" style="151"/>
    <col min="1286" max="1286" width="12.28515625" style="151" customWidth="1"/>
    <col min="1287" max="1287" width="12" style="151" customWidth="1"/>
    <col min="1288" max="1288" width="14.28515625" style="151" customWidth="1"/>
    <col min="1289" max="1289" width="16" style="151" customWidth="1"/>
    <col min="1290" max="1536" width="11.42578125" style="151"/>
    <col min="1537" max="1537" width="16.28515625" style="151" customWidth="1"/>
    <col min="1538" max="1538" width="15.7109375" style="151" customWidth="1"/>
    <col min="1539" max="1539" width="44.28515625" style="151" customWidth="1"/>
    <col min="1540" max="1540" width="31" style="151" customWidth="1"/>
    <col min="1541" max="1541" width="11.42578125" style="151"/>
    <col min="1542" max="1542" width="12.28515625" style="151" customWidth="1"/>
    <col min="1543" max="1543" width="12" style="151" customWidth="1"/>
    <col min="1544" max="1544" width="14.28515625" style="151" customWidth="1"/>
    <col min="1545" max="1545" width="16" style="151" customWidth="1"/>
    <col min="1546" max="1792" width="11.42578125" style="151"/>
    <col min="1793" max="1793" width="16.28515625" style="151" customWidth="1"/>
    <col min="1794" max="1794" width="15.7109375" style="151" customWidth="1"/>
    <col min="1795" max="1795" width="44.28515625" style="151" customWidth="1"/>
    <col min="1796" max="1796" width="31" style="151" customWidth="1"/>
    <col min="1797" max="1797" width="11.42578125" style="151"/>
    <col min="1798" max="1798" width="12.28515625" style="151" customWidth="1"/>
    <col min="1799" max="1799" width="12" style="151" customWidth="1"/>
    <col min="1800" max="1800" width="14.28515625" style="151" customWidth="1"/>
    <col min="1801" max="1801" width="16" style="151" customWidth="1"/>
    <col min="1802" max="2048" width="11.42578125" style="151"/>
    <col min="2049" max="2049" width="16.28515625" style="151" customWidth="1"/>
    <col min="2050" max="2050" width="15.7109375" style="151" customWidth="1"/>
    <col min="2051" max="2051" width="44.28515625" style="151" customWidth="1"/>
    <col min="2052" max="2052" width="31" style="151" customWidth="1"/>
    <col min="2053" max="2053" width="11.42578125" style="151"/>
    <col min="2054" max="2054" width="12.28515625" style="151" customWidth="1"/>
    <col min="2055" max="2055" width="12" style="151" customWidth="1"/>
    <col min="2056" max="2056" width="14.28515625" style="151" customWidth="1"/>
    <col min="2057" max="2057" width="16" style="151" customWidth="1"/>
    <col min="2058" max="2304" width="11.42578125" style="151"/>
    <col min="2305" max="2305" width="16.28515625" style="151" customWidth="1"/>
    <col min="2306" max="2306" width="15.7109375" style="151" customWidth="1"/>
    <col min="2307" max="2307" width="44.28515625" style="151" customWidth="1"/>
    <col min="2308" max="2308" width="31" style="151" customWidth="1"/>
    <col min="2309" max="2309" width="11.42578125" style="151"/>
    <col min="2310" max="2310" width="12.28515625" style="151" customWidth="1"/>
    <col min="2311" max="2311" width="12" style="151" customWidth="1"/>
    <col min="2312" max="2312" width="14.28515625" style="151" customWidth="1"/>
    <col min="2313" max="2313" width="16" style="151" customWidth="1"/>
    <col min="2314" max="2560" width="11.42578125" style="151"/>
    <col min="2561" max="2561" width="16.28515625" style="151" customWidth="1"/>
    <col min="2562" max="2562" width="15.7109375" style="151" customWidth="1"/>
    <col min="2563" max="2563" width="44.28515625" style="151" customWidth="1"/>
    <col min="2564" max="2564" width="31" style="151" customWidth="1"/>
    <col min="2565" max="2565" width="11.42578125" style="151"/>
    <col min="2566" max="2566" width="12.28515625" style="151" customWidth="1"/>
    <col min="2567" max="2567" width="12" style="151" customWidth="1"/>
    <col min="2568" max="2568" width="14.28515625" style="151" customWidth="1"/>
    <col min="2569" max="2569" width="16" style="151" customWidth="1"/>
    <col min="2570" max="2816" width="11.42578125" style="151"/>
    <col min="2817" max="2817" width="16.28515625" style="151" customWidth="1"/>
    <col min="2818" max="2818" width="15.7109375" style="151" customWidth="1"/>
    <col min="2819" max="2819" width="44.28515625" style="151" customWidth="1"/>
    <col min="2820" max="2820" width="31" style="151" customWidth="1"/>
    <col min="2821" max="2821" width="11.42578125" style="151"/>
    <col min="2822" max="2822" width="12.28515625" style="151" customWidth="1"/>
    <col min="2823" max="2823" width="12" style="151" customWidth="1"/>
    <col min="2824" max="2824" width="14.28515625" style="151" customWidth="1"/>
    <col min="2825" max="2825" width="16" style="151" customWidth="1"/>
    <col min="2826" max="3072" width="11.42578125" style="151"/>
    <col min="3073" max="3073" width="16.28515625" style="151" customWidth="1"/>
    <col min="3074" max="3074" width="15.7109375" style="151" customWidth="1"/>
    <col min="3075" max="3075" width="44.28515625" style="151" customWidth="1"/>
    <col min="3076" max="3076" width="31" style="151" customWidth="1"/>
    <col min="3077" max="3077" width="11.42578125" style="151"/>
    <col min="3078" max="3078" width="12.28515625" style="151" customWidth="1"/>
    <col min="3079" max="3079" width="12" style="151" customWidth="1"/>
    <col min="3080" max="3080" width="14.28515625" style="151" customWidth="1"/>
    <col min="3081" max="3081" width="16" style="151" customWidth="1"/>
    <col min="3082" max="3328" width="11.42578125" style="151"/>
    <col min="3329" max="3329" width="16.28515625" style="151" customWidth="1"/>
    <col min="3330" max="3330" width="15.7109375" style="151" customWidth="1"/>
    <col min="3331" max="3331" width="44.28515625" style="151" customWidth="1"/>
    <col min="3332" max="3332" width="31" style="151" customWidth="1"/>
    <col min="3333" max="3333" width="11.42578125" style="151"/>
    <col min="3334" max="3334" width="12.28515625" style="151" customWidth="1"/>
    <col min="3335" max="3335" width="12" style="151" customWidth="1"/>
    <col min="3336" max="3336" width="14.28515625" style="151" customWidth="1"/>
    <col min="3337" max="3337" width="16" style="151" customWidth="1"/>
    <col min="3338" max="3584" width="11.42578125" style="151"/>
    <col min="3585" max="3585" width="16.28515625" style="151" customWidth="1"/>
    <col min="3586" max="3586" width="15.7109375" style="151" customWidth="1"/>
    <col min="3587" max="3587" width="44.28515625" style="151" customWidth="1"/>
    <col min="3588" max="3588" width="31" style="151" customWidth="1"/>
    <col min="3589" max="3589" width="11.42578125" style="151"/>
    <col min="3590" max="3590" width="12.28515625" style="151" customWidth="1"/>
    <col min="3591" max="3591" width="12" style="151" customWidth="1"/>
    <col min="3592" max="3592" width="14.28515625" style="151" customWidth="1"/>
    <col min="3593" max="3593" width="16" style="151" customWidth="1"/>
    <col min="3594" max="3840" width="11.42578125" style="151"/>
    <col min="3841" max="3841" width="16.28515625" style="151" customWidth="1"/>
    <col min="3842" max="3842" width="15.7109375" style="151" customWidth="1"/>
    <col min="3843" max="3843" width="44.28515625" style="151" customWidth="1"/>
    <col min="3844" max="3844" width="31" style="151" customWidth="1"/>
    <col min="3845" max="3845" width="11.42578125" style="151"/>
    <col min="3846" max="3846" width="12.28515625" style="151" customWidth="1"/>
    <col min="3847" max="3847" width="12" style="151" customWidth="1"/>
    <col min="3848" max="3848" width="14.28515625" style="151" customWidth="1"/>
    <col min="3849" max="3849" width="16" style="151" customWidth="1"/>
    <col min="3850" max="4096" width="11.42578125" style="151"/>
    <col min="4097" max="4097" width="16.28515625" style="151" customWidth="1"/>
    <col min="4098" max="4098" width="15.7109375" style="151" customWidth="1"/>
    <col min="4099" max="4099" width="44.28515625" style="151" customWidth="1"/>
    <col min="4100" max="4100" width="31" style="151" customWidth="1"/>
    <col min="4101" max="4101" width="11.42578125" style="151"/>
    <col min="4102" max="4102" width="12.28515625" style="151" customWidth="1"/>
    <col min="4103" max="4103" width="12" style="151" customWidth="1"/>
    <col min="4104" max="4104" width="14.28515625" style="151" customWidth="1"/>
    <col min="4105" max="4105" width="16" style="151" customWidth="1"/>
    <col min="4106" max="4352" width="11.42578125" style="151"/>
    <col min="4353" max="4353" width="16.28515625" style="151" customWidth="1"/>
    <col min="4354" max="4354" width="15.7109375" style="151" customWidth="1"/>
    <col min="4355" max="4355" width="44.28515625" style="151" customWidth="1"/>
    <col min="4356" max="4356" width="31" style="151" customWidth="1"/>
    <col min="4357" max="4357" width="11.42578125" style="151"/>
    <col min="4358" max="4358" width="12.28515625" style="151" customWidth="1"/>
    <col min="4359" max="4359" width="12" style="151" customWidth="1"/>
    <col min="4360" max="4360" width="14.28515625" style="151" customWidth="1"/>
    <col min="4361" max="4361" width="16" style="151" customWidth="1"/>
    <col min="4362" max="4608" width="11.42578125" style="151"/>
    <col min="4609" max="4609" width="16.28515625" style="151" customWidth="1"/>
    <col min="4610" max="4610" width="15.7109375" style="151" customWidth="1"/>
    <col min="4611" max="4611" width="44.28515625" style="151" customWidth="1"/>
    <col min="4612" max="4612" width="31" style="151" customWidth="1"/>
    <col min="4613" max="4613" width="11.42578125" style="151"/>
    <col min="4614" max="4614" width="12.28515625" style="151" customWidth="1"/>
    <col min="4615" max="4615" width="12" style="151" customWidth="1"/>
    <col min="4616" max="4616" width="14.28515625" style="151" customWidth="1"/>
    <col min="4617" max="4617" width="16" style="151" customWidth="1"/>
    <col min="4618" max="4864" width="11.42578125" style="151"/>
    <col min="4865" max="4865" width="16.28515625" style="151" customWidth="1"/>
    <col min="4866" max="4866" width="15.7109375" style="151" customWidth="1"/>
    <col min="4867" max="4867" width="44.28515625" style="151" customWidth="1"/>
    <col min="4868" max="4868" width="31" style="151" customWidth="1"/>
    <col min="4869" max="4869" width="11.42578125" style="151"/>
    <col min="4870" max="4870" width="12.28515625" style="151" customWidth="1"/>
    <col min="4871" max="4871" width="12" style="151" customWidth="1"/>
    <col min="4872" max="4872" width="14.28515625" style="151" customWidth="1"/>
    <col min="4873" max="4873" width="16" style="151" customWidth="1"/>
    <col min="4874" max="5120" width="11.42578125" style="151"/>
    <col min="5121" max="5121" width="16.28515625" style="151" customWidth="1"/>
    <col min="5122" max="5122" width="15.7109375" style="151" customWidth="1"/>
    <col min="5123" max="5123" width="44.28515625" style="151" customWidth="1"/>
    <col min="5124" max="5124" width="31" style="151" customWidth="1"/>
    <col min="5125" max="5125" width="11.42578125" style="151"/>
    <col min="5126" max="5126" width="12.28515625" style="151" customWidth="1"/>
    <col min="5127" max="5127" width="12" style="151" customWidth="1"/>
    <col min="5128" max="5128" width="14.28515625" style="151" customWidth="1"/>
    <col min="5129" max="5129" width="16" style="151" customWidth="1"/>
    <col min="5130" max="5376" width="11.42578125" style="151"/>
    <col min="5377" max="5377" width="16.28515625" style="151" customWidth="1"/>
    <col min="5378" max="5378" width="15.7109375" style="151" customWidth="1"/>
    <col min="5379" max="5379" width="44.28515625" style="151" customWidth="1"/>
    <col min="5380" max="5380" width="31" style="151" customWidth="1"/>
    <col min="5381" max="5381" width="11.42578125" style="151"/>
    <col min="5382" max="5382" width="12.28515625" style="151" customWidth="1"/>
    <col min="5383" max="5383" width="12" style="151" customWidth="1"/>
    <col min="5384" max="5384" width="14.28515625" style="151" customWidth="1"/>
    <col min="5385" max="5385" width="16" style="151" customWidth="1"/>
    <col min="5386" max="5632" width="11.42578125" style="151"/>
    <col min="5633" max="5633" width="16.28515625" style="151" customWidth="1"/>
    <col min="5634" max="5634" width="15.7109375" style="151" customWidth="1"/>
    <col min="5635" max="5635" width="44.28515625" style="151" customWidth="1"/>
    <col min="5636" max="5636" width="31" style="151" customWidth="1"/>
    <col min="5637" max="5637" width="11.42578125" style="151"/>
    <col min="5638" max="5638" width="12.28515625" style="151" customWidth="1"/>
    <col min="5639" max="5639" width="12" style="151" customWidth="1"/>
    <col min="5640" max="5640" width="14.28515625" style="151" customWidth="1"/>
    <col min="5641" max="5641" width="16" style="151" customWidth="1"/>
    <col min="5642" max="5888" width="11.42578125" style="151"/>
    <col min="5889" max="5889" width="16.28515625" style="151" customWidth="1"/>
    <col min="5890" max="5890" width="15.7109375" style="151" customWidth="1"/>
    <col min="5891" max="5891" width="44.28515625" style="151" customWidth="1"/>
    <col min="5892" max="5892" width="31" style="151" customWidth="1"/>
    <col min="5893" max="5893" width="11.42578125" style="151"/>
    <col min="5894" max="5894" width="12.28515625" style="151" customWidth="1"/>
    <col min="5895" max="5895" width="12" style="151" customWidth="1"/>
    <col min="5896" max="5896" width="14.28515625" style="151" customWidth="1"/>
    <col min="5897" max="5897" width="16" style="151" customWidth="1"/>
    <col min="5898" max="6144" width="11.42578125" style="151"/>
    <col min="6145" max="6145" width="16.28515625" style="151" customWidth="1"/>
    <col min="6146" max="6146" width="15.7109375" style="151" customWidth="1"/>
    <col min="6147" max="6147" width="44.28515625" style="151" customWidth="1"/>
    <col min="6148" max="6148" width="31" style="151" customWidth="1"/>
    <col min="6149" max="6149" width="11.42578125" style="151"/>
    <col min="6150" max="6150" width="12.28515625" style="151" customWidth="1"/>
    <col min="6151" max="6151" width="12" style="151" customWidth="1"/>
    <col min="6152" max="6152" width="14.28515625" style="151" customWidth="1"/>
    <col min="6153" max="6153" width="16" style="151" customWidth="1"/>
    <col min="6154" max="6400" width="11.42578125" style="151"/>
    <col min="6401" max="6401" width="16.28515625" style="151" customWidth="1"/>
    <col min="6402" max="6402" width="15.7109375" style="151" customWidth="1"/>
    <col min="6403" max="6403" width="44.28515625" style="151" customWidth="1"/>
    <col min="6404" max="6404" width="31" style="151" customWidth="1"/>
    <col min="6405" max="6405" width="11.42578125" style="151"/>
    <col min="6406" max="6406" width="12.28515625" style="151" customWidth="1"/>
    <col min="6407" max="6407" width="12" style="151" customWidth="1"/>
    <col min="6408" max="6408" width="14.28515625" style="151" customWidth="1"/>
    <col min="6409" max="6409" width="16" style="151" customWidth="1"/>
    <col min="6410" max="6656" width="11.42578125" style="151"/>
    <col min="6657" max="6657" width="16.28515625" style="151" customWidth="1"/>
    <col min="6658" max="6658" width="15.7109375" style="151" customWidth="1"/>
    <col min="6659" max="6659" width="44.28515625" style="151" customWidth="1"/>
    <col min="6660" max="6660" width="31" style="151" customWidth="1"/>
    <col min="6661" max="6661" width="11.42578125" style="151"/>
    <col min="6662" max="6662" width="12.28515625" style="151" customWidth="1"/>
    <col min="6663" max="6663" width="12" style="151" customWidth="1"/>
    <col min="6664" max="6664" width="14.28515625" style="151" customWidth="1"/>
    <col min="6665" max="6665" width="16" style="151" customWidth="1"/>
    <col min="6666" max="6912" width="11.42578125" style="151"/>
    <col min="6913" max="6913" width="16.28515625" style="151" customWidth="1"/>
    <col min="6914" max="6914" width="15.7109375" style="151" customWidth="1"/>
    <col min="6915" max="6915" width="44.28515625" style="151" customWidth="1"/>
    <col min="6916" max="6916" width="31" style="151" customWidth="1"/>
    <col min="6917" max="6917" width="11.42578125" style="151"/>
    <col min="6918" max="6918" width="12.28515625" style="151" customWidth="1"/>
    <col min="6919" max="6919" width="12" style="151" customWidth="1"/>
    <col min="6920" max="6920" width="14.28515625" style="151" customWidth="1"/>
    <col min="6921" max="6921" width="16" style="151" customWidth="1"/>
    <col min="6922" max="7168" width="11.42578125" style="151"/>
    <col min="7169" max="7169" width="16.28515625" style="151" customWidth="1"/>
    <col min="7170" max="7170" width="15.7109375" style="151" customWidth="1"/>
    <col min="7171" max="7171" width="44.28515625" style="151" customWidth="1"/>
    <col min="7172" max="7172" width="31" style="151" customWidth="1"/>
    <col min="7173" max="7173" width="11.42578125" style="151"/>
    <col min="7174" max="7174" width="12.28515625" style="151" customWidth="1"/>
    <col min="7175" max="7175" width="12" style="151" customWidth="1"/>
    <col min="7176" max="7176" width="14.28515625" style="151" customWidth="1"/>
    <col min="7177" max="7177" width="16" style="151" customWidth="1"/>
    <col min="7178" max="7424" width="11.42578125" style="151"/>
    <col min="7425" max="7425" width="16.28515625" style="151" customWidth="1"/>
    <col min="7426" max="7426" width="15.7109375" style="151" customWidth="1"/>
    <col min="7427" max="7427" width="44.28515625" style="151" customWidth="1"/>
    <col min="7428" max="7428" width="31" style="151" customWidth="1"/>
    <col min="7429" max="7429" width="11.42578125" style="151"/>
    <col min="7430" max="7430" width="12.28515625" style="151" customWidth="1"/>
    <col min="7431" max="7431" width="12" style="151" customWidth="1"/>
    <col min="7432" max="7432" width="14.28515625" style="151" customWidth="1"/>
    <col min="7433" max="7433" width="16" style="151" customWidth="1"/>
    <col min="7434" max="7680" width="11.42578125" style="151"/>
    <col min="7681" max="7681" width="16.28515625" style="151" customWidth="1"/>
    <col min="7682" max="7682" width="15.7109375" style="151" customWidth="1"/>
    <col min="7683" max="7683" width="44.28515625" style="151" customWidth="1"/>
    <col min="7684" max="7684" width="31" style="151" customWidth="1"/>
    <col min="7685" max="7685" width="11.42578125" style="151"/>
    <col min="7686" max="7686" width="12.28515625" style="151" customWidth="1"/>
    <col min="7687" max="7687" width="12" style="151" customWidth="1"/>
    <col min="7688" max="7688" width="14.28515625" style="151" customWidth="1"/>
    <col min="7689" max="7689" width="16" style="151" customWidth="1"/>
    <col min="7690" max="7936" width="11.42578125" style="151"/>
    <col min="7937" max="7937" width="16.28515625" style="151" customWidth="1"/>
    <col min="7938" max="7938" width="15.7109375" style="151" customWidth="1"/>
    <col min="7939" max="7939" width="44.28515625" style="151" customWidth="1"/>
    <col min="7940" max="7940" width="31" style="151" customWidth="1"/>
    <col min="7941" max="7941" width="11.42578125" style="151"/>
    <col min="7942" max="7942" width="12.28515625" style="151" customWidth="1"/>
    <col min="7943" max="7943" width="12" style="151" customWidth="1"/>
    <col min="7944" max="7944" width="14.28515625" style="151" customWidth="1"/>
    <col min="7945" max="7945" width="16" style="151" customWidth="1"/>
    <col min="7946" max="8192" width="11.42578125" style="151"/>
    <col min="8193" max="8193" width="16.28515625" style="151" customWidth="1"/>
    <col min="8194" max="8194" width="15.7109375" style="151" customWidth="1"/>
    <col min="8195" max="8195" width="44.28515625" style="151" customWidth="1"/>
    <col min="8196" max="8196" width="31" style="151" customWidth="1"/>
    <col min="8197" max="8197" width="11.42578125" style="151"/>
    <col min="8198" max="8198" width="12.28515625" style="151" customWidth="1"/>
    <col min="8199" max="8199" width="12" style="151" customWidth="1"/>
    <col min="8200" max="8200" width="14.28515625" style="151" customWidth="1"/>
    <col min="8201" max="8201" width="16" style="151" customWidth="1"/>
    <col min="8202" max="8448" width="11.42578125" style="151"/>
    <col min="8449" max="8449" width="16.28515625" style="151" customWidth="1"/>
    <col min="8450" max="8450" width="15.7109375" style="151" customWidth="1"/>
    <col min="8451" max="8451" width="44.28515625" style="151" customWidth="1"/>
    <col min="8452" max="8452" width="31" style="151" customWidth="1"/>
    <col min="8453" max="8453" width="11.42578125" style="151"/>
    <col min="8454" max="8454" width="12.28515625" style="151" customWidth="1"/>
    <col min="8455" max="8455" width="12" style="151" customWidth="1"/>
    <col min="8456" max="8456" width="14.28515625" style="151" customWidth="1"/>
    <col min="8457" max="8457" width="16" style="151" customWidth="1"/>
    <col min="8458" max="8704" width="11.42578125" style="151"/>
    <col min="8705" max="8705" width="16.28515625" style="151" customWidth="1"/>
    <col min="8706" max="8706" width="15.7109375" style="151" customWidth="1"/>
    <col min="8707" max="8707" width="44.28515625" style="151" customWidth="1"/>
    <col min="8708" max="8708" width="31" style="151" customWidth="1"/>
    <col min="8709" max="8709" width="11.42578125" style="151"/>
    <col min="8710" max="8710" width="12.28515625" style="151" customWidth="1"/>
    <col min="8711" max="8711" width="12" style="151" customWidth="1"/>
    <col min="8712" max="8712" width="14.28515625" style="151" customWidth="1"/>
    <col min="8713" max="8713" width="16" style="151" customWidth="1"/>
    <col min="8714" max="8960" width="11.42578125" style="151"/>
    <col min="8961" max="8961" width="16.28515625" style="151" customWidth="1"/>
    <col min="8962" max="8962" width="15.7109375" style="151" customWidth="1"/>
    <col min="8963" max="8963" width="44.28515625" style="151" customWidth="1"/>
    <col min="8964" max="8964" width="31" style="151" customWidth="1"/>
    <col min="8965" max="8965" width="11.42578125" style="151"/>
    <col min="8966" max="8966" width="12.28515625" style="151" customWidth="1"/>
    <col min="8967" max="8967" width="12" style="151" customWidth="1"/>
    <col min="8968" max="8968" width="14.28515625" style="151" customWidth="1"/>
    <col min="8969" max="8969" width="16" style="151" customWidth="1"/>
    <col min="8970" max="9216" width="11.42578125" style="151"/>
    <col min="9217" max="9217" width="16.28515625" style="151" customWidth="1"/>
    <col min="9218" max="9218" width="15.7109375" style="151" customWidth="1"/>
    <col min="9219" max="9219" width="44.28515625" style="151" customWidth="1"/>
    <col min="9220" max="9220" width="31" style="151" customWidth="1"/>
    <col min="9221" max="9221" width="11.42578125" style="151"/>
    <col min="9222" max="9222" width="12.28515625" style="151" customWidth="1"/>
    <col min="9223" max="9223" width="12" style="151" customWidth="1"/>
    <col min="9224" max="9224" width="14.28515625" style="151" customWidth="1"/>
    <col min="9225" max="9225" width="16" style="151" customWidth="1"/>
    <col min="9226" max="9472" width="11.42578125" style="151"/>
    <col min="9473" max="9473" width="16.28515625" style="151" customWidth="1"/>
    <col min="9474" max="9474" width="15.7109375" style="151" customWidth="1"/>
    <col min="9475" max="9475" width="44.28515625" style="151" customWidth="1"/>
    <col min="9476" max="9476" width="31" style="151" customWidth="1"/>
    <col min="9477" max="9477" width="11.42578125" style="151"/>
    <col min="9478" max="9478" width="12.28515625" style="151" customWidth="1"/>
    <col min="9479" max="9479" width="12" style="151" customWidth="1"/>
    <col min="9480" max="9480" width="14.28515625" style="151" customWidth="1"/>
    <col min="9481" max="9481" width="16" style="151" customWidth="1"/>
    <col min="9482" max="9728" width="11.42578125" style="151"/>
    <col min="9729" max="9729" width="16.28515625" style="151" customWidth="1"/>
    <col min="9730" max="9730" width="15.7109375" style="151" customWidth="1"/>
    <col min="9731" max="9731" width="44.28515625" style="151" customWidth="1"/>
    <col min="9732" max="9732" width="31" style="151" customWidth="1"/>
    <col min="9733" max="9733" width="11.42578125" style="151"/>
    <col min="9734" max="9734" width="12.28515625" style="151" customWidth="1"/>
    <col min="9735" max="9735" width="12" style="151" customWidth="1"/>
    <col min="9736" max="9736" width="14.28515625" style="151" customWidth="1"/>
    <col min="9737" max="9737" width="16" style="151" customWidth="1"/>
    <col min="9738" max="9984" width="11.42578125" style="151"/>
    <col min="9985" max="9985" width="16.28515625" style="151" customWidth="1"/>
    <col min="9986" max="9986" width="15.7109375" style="151" customWidth="1"/>
    <col min="9987" max="9987" width="44.28515625" style="151" customWidth="1"/>
    <col min="9988" max="9988" width="31" style="151" customWidth="1"/>
    <col min="9989" max="9989" width="11.42578125" style="151"/>
    <col min="9990" max="9990" width="12.28515625" style="151" customWidth="1"/>
    <col min="9991" max="9991" width="12" style="151" customWidth="1"/>
    <col min="9992" max="9992" width="14.28515625" style="151" customWidth="1"/>
    <col min="9993" max="9993" width="16" style="151" customWidth="1"/>
    <col min="9994" max="10240" width="11.42578125" style="151"/>
    <col min="10241" max="10241" width="16.28515625" style="151" customWidth="1"/>
    <col min="10242" max="10242" width="15.7109375" style="151" customWidth="1"/>
    <col min="10243" max="10243" width="44.28515625" style="151" customWidth="1"/>
    <col min="10244" max="10244" width="31" style="151" customWidth="1"/>
    <col min="10245" max="10245" width="11.42578125" style="151"/>
    <col min="10246" max="10246" width="12.28515625" style="151" customWidth="1"/>
    <col min="10247" max="10247" width="12" style="151" customWidth="1"/>
    <col min="10248" max="10248" width="14.28515625" style="151" customWidth="1"/>
    <col min="10249" max="10249" width="16" style="151" customWidth="1"/>
    <col min="10250" max="10496" width="11.42578125" style="151"/>
    <col min="10497" max="10497" width="16.28515625" style="151" customWidth="1"/>
    <col min="10498" max="10498" width="15.7109375" style="151" customWidth="1"/>
    <col min="10499" max="10499" width="44.28515625" style="151" customWidth="1"/>
    <col min="10500" max="10500" width="31" style="151" customWidth="1"/>
    <col min="10501" max="10501" width="11.42578125" style="151"/>
    <col min="10502" max="10502" width="12.28515625" style="151" customWidth="1"/>
    <col min="10503" max="10503" width="12" style="151" customWidth="1"/>
    <col min="10504" max="10504" width="14.28515625" style="151" customWidth="1"/>
    <col min="10505" max="10505" width="16" style="151" customWidth="1"/>
    <col min="10506" max="10752" width="11.42578125" style="151"/>
    <col min="10753" max="10753" width="16.28515625" style="151" customWidth="1"/>
    <col min="10754" max="10754" width="15.7109375" style="151" customWidth="1"/>
    <col min="10755" max="10755" width="44.28515625" style="151" customWidth="1"/>
    <col min="10756" max="10756" width="31" style="151" customWidth="1"/>
    <col min="10757" max="10757" width="11.42578125" style="151"/>
    <col min="10758" max="10758" width="12.28515625" style="151" customWidth="1"/>
    <col min="10759" max="10759" width="12" style="151" customWidth="1"/>
    <col min="10760" max="10760" width="14.28515625" style="151" customWidth="1"/>
    <col min="10761" max="10761" width="16" style="151" customWidth="1"/>
    <col min="10762" max="11008" width="11.42578125" style="151"/>
    <col min="11009" max="11009" width="16.28515625" style="151" customWidth="1"/>
    <col min="11010" max="11010" width="15.7109375" style="151" customWidth="1"/>
    <col min="11011" max="11011" width="44.28515625" style="151" customWidth="1"/>
    <col min="11012" max="11012" width="31" style="151" customWidth="1"/>
    <col min="11013" max="11013" width="11.42578125" style="151"/>
    <col min="11014" max="11014" width="12.28515625" style="151" customWidth="1"/>
    <col min="11015" max="11015" width="12" style="151" customWidth="1"/>
    <col min="11016" max="11016" width="14.28515625" style="151" customWidth="1"/>
    <col min="11017" max="11017" width="16" style="151" customWidth="1"/>
    <col min="11018" max="11264" width="11.42578125" style="151"/>
    <col min="11265" max="11265" width="16.28515625" style="151" customWidth="1"/>
    <col min="11266" max="11266" width="15.7109375" style="151" customWidth="1"/>
    <col min="11267" max="11267" width="44.28515625" style="151" customWidth="1"/>
    <col min="11268" max="11268" width="31" style="151" customWidth="1"/>
    <col min="11269" max="11269" width="11.42578125" style="151"/>
    <col min="11270" max="11270" width="12.28515625" style="151" customWidth="1"/>
    <col min="11271" max="11271" width="12" style="151" customWidth="1"/>
    <col min="11272" max="11272" width="14.28515625" style="151" customWidth="1"/>
    <col min="11273" max="11273" width="16" style="151" customWidth="1"/>
    <col min="11274" max="11520" width="11.42578125" style="151"/>
    <col min="11521" max="11521" width="16.28515625" style="151" customWidth="1"/>
    <col min="11522" max="11522" width="15.7109375" style="151" customWidth="1"/>
    <col min="11523" max="11523" width="44.28515625" style="151" customWidth="1"/>
    <col min="11524" max="11524" width="31" style="151" customWidth="1"/>
    <col min="11525" max="11525" width="11.42578125" style="151"/>
    <col min="11526" max="11526" width="12.28515625" style="151" customWidth="1"/>
    <col min="11527" max="11527" width="12" style="151" customWidth="1"/>
    <col min="11528" max="11528" width="14.28515625" style="151" customWidth="1"/>
    <col min="11529" max="11529" width="16" style="151" customWidth="1"/>
    <col min="11530" max="11776" width="11.42578125" style="151"/>
    <col min="11777" max="11777" width="16.28515625" style="151" customWidth="1"/>
    <col min="11778" max="11778" width="15.7109375" style="151" customWidth="1"/>
    <col min="11779" max="11779" width="44.28515625" style="151" customWidth="1"/>
    <col min="11780" max="11780" width="31" style="151" customWidth="1"/>
    <col min="11781" max="11781" width="11.42578125" style="151"/>
    <col min="11782" max="11782" width="12.28515625" style="151" customWidth="1"/>
    <col min="11783" max="11783" width="12" style="151" customWidth="1"/>
    <col min="11784" max="11784" width="14.28515625" style="151" customWidth="1"/>
    <col min="11785" max="11785" width="16" style="151" customWidth="1"/>
    <col min="11786" max="12032" width="11.42578125" style="151"/>
    <col min="12033" max="12033" width="16.28515625" style="151" customWidth="1"/>
    <col min="12034" max="12034" width="15.7109375" style="151" customWidth="1"/>
    <col min="12035" max="12035" width="44.28515625" style="151" customWidth="1"/>
    <col min="12036" max="12036" width="31" style="151" customWidth="1"/>
    <col min="12037" max="12037" width="11.42578125" style="151"/>
    <col min="12038" max="12038" width="12.28515625" style="151" customWidth="1"/>
    <col min="12039" max="12039" width="12" style="151" customWidth="1"/>
    <col min="12040" max="12040" width="14.28515625" style="151" customWidth="1"/>
    <col min="12041" max="12041" width="16" style="151" customWidth="1"/>
    <col min="12042" max="12288" width="11.42578125" style="151"/>
    <col min="12289" max="12289" width="16.28515625" style="151" customWidth="1"/>
    <col min="12290" max="12290" width="15.7109375" style="151" customWidth="1"/>
    <col min="12291" max="12291" width="44.28515625" style="151" customWidth="1"/>
    <col min="12292" max="12292" width="31" style="151" customWidth="1"/>
    <col min="12293" max="12293" width="11.42578125" style="151"/>
    <col min="12294" max="12294" width="12.28515625" style="151" customWidth="1"/>
    <col min="12295" max="12295" width="12" style="151" customWidth="1"/>
    <col min="12296" max="12296" width="14.28515625" style="151" customWidth="1"/>
    <col min="12297" max="12297" width="16" style="151" customWidth="1"/>
    <col min="12298" max="12544" width="11.42578125" style="151"/>
    <col min="12545" max="12545" width="16.28515625" style="151" customWidth="1"/>
    <col min="12546" max="12546" width="15.7109375" style="151" customWidth="1"/>
    <col min="12547" max="12547" width="44.28515625" style="151" customWidth="1"/>
    <col min="12548" max="12548" width="31" style="151" customWidth="1"/>
    <col min="12549" max="12549" width="11.42578125" style="151"/>
    <col min="12550" max="12550" width="12.28515625" style="151" customWidth="1"/>
    <col min="12551" max="12551" width="12" style="151" customWidth="1"/>
    <col min="12552" max="12552" width="14.28515625" style="151" customWidth="1"/>
    <col min="12553" max="12553" width="16" style="151" customWidth="1"/>
    <col min="12554" max="12800" width="11.42578125" style="151"/>
    <col min="12801" max="12801" width="16.28515625" style="151" customWidth="1"/>
    <col min="12802" max="12802" width="15.7109375" style="151" customWidth="1"/>
    <col min="12803" max="12803" width="44.28515625" style="151" customWidth="1"/>
    <col min="12804" max="12804" width="31" style="151" customWidth="1"/>
    <col min="12805" max="12805" width="11.42578125" style="151"/>
    <col min="12806" max="12806" width="12.28515625" style="151" customWidth="1"/>
    <col min="12807" max="12807" width="12" style="151" customWidth="1"/>
    <col min="12808" max="12808" width="14.28515625" style="151" customWidth="1"/>
    <col min="12809" max="12809" width="16" style="151" customWidth="1"/>
    <col min="12810" max="13056" width="11.42578125" style="151"/>
    <col min="13057" max="13057" width="16.28515625" style="151" customWidth="1"/>
    <col min="13058" max="13058" width="15.7109375" style="151" customWidth="1"/>
    <col min="13059" max="13059" width="44.28515625" style="151" customWidth="1"/>
    <col min="13060" max="13060" width="31" style="151" customWidth="1"/>
    <col min="13061" max="13061" width="11.42578125" style="151"/>
    <col min="13062" max="13062" width="12.28515625" style="151" customWidth="1"/>
    <col min="13063" max="13063" width="12" style="151" customWidth="1"/>
    <col min="13064" max="13064" width="14.28515625" style="151" customWidth="1"/>
    <col min="13065" max="13065" width="16" style="151" customWidth="1"/>
    <col min="13066" max="13312" width="11.42578125" style="151"/>
    <col min="13313" max="13313" width="16.28515625" style="151" customWidth="1"/>
    <col min="13314" max="13314" width="15.7109375" style="151" customWidth="1"/>
    <col min="13315" max="13315" width="44.28515625" style="151" customWidth="1"/>
    <col min="13316" max="13316" width="31" style="151" customWidth="1"/>
    <col min="13317" max="13317" width="11.42578125" style="151"/>
    <col min="13318" max="13318" width="12.28515625" style="151" customWidth="1"/>
    <col min="13319" max="13319" width="12" style="151" customWidth="1"/>
    <col min="13320" max="13320" width="14.28515625" style="151" customWidth="1"/>
    <col min="13321" max="13321" width="16" style="151" customWidth="1"/>
    <col min="13322" max="13568" width="11.42578125" style="151"/>
    <col min="13569" max="13569" width="16.28515625" style="151" customWidth="1"/>
    <col min="13570" max="13570" width="15.7109375" style="151" customWidth="1"/>
    <col min="13571" max="13571" width="44.28515625" style="151" customWidth="1"/>
    <col min="13572" max="13572" width="31" style="151" customWidth="1"/>
    <col min="13573" max="13573" width="11.42578125" style="151"/>
    <col min="13574" max="13574" width="12.28515625" style="151" customWidth="1"/>
    <col min="13575" max="13575" width="12" style="151" customWidth="1"/>
    <col min="13576" max="13576" width="14.28515625" style="151" customWidth="1"/>
    <col min="13577" max="13577" width="16" style="151" customWidth="1"/>
    <col min="13578" max="13824" width="11.42578125" style="151"/>
    <col min="13825" max="13825" width="16.28515625" style="151" customWidth="1"/>
    <col min="13826" max="13826" width="15.7109375" style="151" customWidth="1"/>
    <col min="13827" max="13827" width="44.28515625" style="151" customWidth="1"/>
    <col min="13828" max="13828" width="31" style="151" customWidth="1"/>
    <col min="13829" max="13829" width="11.42578125" style="151"/>
    <col min="13830" max="13830" width="12.28515625" style="151" customWidth="1"/>
    <col min="13831" max="13831" width="12" style="151" customWidth="1"/>
    <col min="13832" max="13832" width="14.28515625" style="151" customWidth="1"/>
    <col min="13833" max="13833" width="16" style="151" customWidth="1"/>
    <col min="13834" max="14080" width="11.42578125" style="151"/>
    <col min="14081" max="14081" width="16.28515625" style="151" customWidth="1"/>
    <col min="14082" max="14082" width="15.7109375" style="151" customWidth="1"/>
    <col min="14083" max="14083" width="44.28515625" style="151" customWidth="1"/>
    <col min="14084" max="14084" width="31" style="151" customWidth="1"/>
    <col min="14085" max="14085" width="11.42578125" style="151"/>
    <col min="14086" max="14086" width="12.28515625" style="151" customWidth="1"/>
    <col min="14087" max="14087" width="12" style="151" customWidth="1"/>
    <col min="14088" max="14088" width="14.28515625" style="151" customWidth="1"/>
    <col min="14089" max="14089" width="16" style="151" customWidth="1"/>
    <col min="14090" max="14336" width="11.42578125" style="151"/>
    <col min="14337" max="14337" width="16.28515625" style="151" customWidth="1"/>
    <col min="14338" max="14338" width="15.7109375" style="151" customWidth="1"/>
    <col min="14339" max="14339" width="44.28515625" style="151" customWidth="1"/>
    <col min="14340" max="14340" width="31" style="151" customWidth="1"/>
    <col min="14341" max="14341" width="11.42578125" style="151"/>
    <col min="14342" max="14342" width="12.28515625" style="151" customWidth="1"/>
    <col min="14343" max="14343" width="12" style="151" customWidth="1"/>
    <col min="14344" max="14344" width="14.28515625" style="151" customWidth="1"/>
    <col min="14345" max="14345" width="16" style="151" customWidth="1"/>
    <col min="14346" max="14592" width="11.42578125" style="151"/>
    <col min="14593" max="14593" width="16.28515625" style="151" customWidth="1"/>
    <col min="14594" max="14594" width="15.7109375" style="151" customWidth="1"/>
    <col min="14595" max="14595" width="44.28515625" style="151" customWidth="1"/>
    <col min="14596" max="14596" width="31" style="151" customWidth="1"/>
    <col min="14597" max="14597" width="11.42578125" style="151"/>
    <col min="14598" max="14598" width="12.28515625" style="151" customWidth="1"/>
    <col min="14599" max="14599" width="12" style="151" customWidth="1"/>
    <col min="14600" max="14600" width="14.28515625" style="151" customWidth="1"/>
    <col min="14601" max="14601" width="16" style="151" customWidth="1"/>
    <col min="14602" max="14848" width="11.42578125" style="151"/>
    <col min="14849" max="14849" width="16.28515625" style="151" customWidth="1"/>
    <col min="14850" max="14850" width="15.7109375" style="151" customWidth="1"/>
    <col min="14851" max="14851" width="44.28515625" style="151" customWidth="1"/>
    <col min="14852" max="14852" width="31" style="151" customWidth="1"/>
    <col min="14853" max="14853" width="11.42578125" style="151"/>
    <col min="14854" max="14854" width="12.28515625" style="151" customWidth="1"/>
    <col min="14855" max="14855" width="12" style="151" customWidth="1"/>
    <col min="14856" max="14856" width="14.28515625" style="151" customWidth="1"/>
    <col min="14857" max="14857" width="16" style="151" customWidth="1"/>
    <col min="14858" max="15104" width="11.42578125" style="151"/>
    <col min="15105" max="15105" width="16.28515625" style="151" customWidth="1"/>
    <col min="15106" max="15106" width="15.7109375" style="151" customWidth="1"/>
    <col min="15107" max="15107" width="44.28515625" style="151" customWidth="1"/>
    <col min="15108" max="15108" width="31" style="151" customWidth="1"/>
    <col min="15109" max="15109" width="11.42578125" style="151"/>
    <col min="15110" max="15110" width="12.28515625" style="151" customWidth="1"/>
    <col min="15111" max="15111" width="12" style="151" customWidth="1"/>
    <col min="15112" max="15112" width="14.28515625" style="151" customWidth="1"/>
    <col min="15113" max="15113" width="16" style="151" customWidth="1"/>
    <col min="15114" max="15360" width="11.42578125" style="151"/>
    <col min="15361" max="15361" width="16.28515625" style="151" customWidth="1"/>
    <col min="15362" max="15362" width="15.7109375" style="151" customWidth="1"/>
    <col min="15363" max="15363" width="44.28515625" style="151" customWidth="1"/>
    <col min="15364" max="15364" width="31" style="151" customWidth="1"/>
    <col min="15365" max="15365" width="11.42578125" style="151"/>
    <col min="15366" max="15366" width="12.28515625" style="151" customWidth="1"/>
    <col min="15367" max="15367" width="12" style="151" customWidth="1"/>
    <col min="15368" max="15368" width="14.28515625" style="151" customWidth="1"/>
    <col min="15369" max="15369" width="16" style="151" customWidth="1"/>
    <col min="15370" max="15616" width="11.42578125" style="151"/>
    <col min="15617" max="15617" width="16.28515625" style="151" customWidth="1"/>
    <col min="15618" max="15618" width="15.7109375" style="151" customWidth="1"/>
    <col min="15619" max="15619" width="44.28515625" style="151" customWidth="1"/>
    <col min="15620" max="15620" width="31" style="151" customWidth="1"/>
    <col min="15621" max="15621" width="11.42578125" style="151"/>
    <col min="15622" max="15622" width="12.28515625" style="151" customWidth="1"/>
    <col min="15623" max="15623" width="12" style="151" customWidth="1"/>
    <col min="15624" max="15624" width="14.28515625" style="151" customWidth="1"/>
    <col min="15625" max="15625" width="16" style="151" customWidth="1"/>
    <col min="15626" max="15872" width="11.42578125" style="151"/>
    <col min="15873" max="15873" width="16.28515625" style="151" customWidth="1"/>
    <col min="15874" max="15874" width="15.7109375" style="151" customWidth="1"/>
    <col min="15875" max="15875" width="44.28515625" style="151" customWidth="1"/>
    <col min="15876" max="15876" width="31" style="151" customWidth="1"/>
    <col min="15877" max="15877" width="11.42578125" style="151"/>
    <col min="15878" max="15878" width="12.28515625" style="151" customWidth="1"/>
    <col min="15879" max="15879" width="12" style="151" customWidth="1"/>
    <col min="15880" max="15880" width="14.28515625" style="151" customWidth="1"/>
    <col min="15881" max="15881" width="16" style="151" customWidth="1"/>
    <col min="15882" max="16128" width="11.42578125" style="151"/>
    <col min="16129" max="16129" width="16.28515625" style="151" customWidth="1"/>
    <col min="16130" max="16130" width="15.7109375" style="151" customWidth="1"/>
    <col min="16131" max="16131" width="44.28515625" style="151" customWidth="1"/>
    <col min="16132" max="16132" width="31" style="151" customWidth="1"/>
    <col min="16133" max="16133" width="11.42578125" style="151"/>
    <col min="16134" max="16134" width="12.28515625" style="151" customWidth="1"/>
    <col min="16135" max="16135" width="12" style="151" customWidth="1"/>
    <col min="16136" max="16136" width="14.28515625" style="151" customWidth="1"/>
    <col min="16137" max="16137" width="16" style="151" customWidth="1"/>
    <col min="16138" max="16384" width="11.42578125" style="151"/>
  </cols>
  <sheetData>
    <row r="1" spans="1:11" ht="15.75" x14ac:dyDescent="0.25">
      <c r="A1" s="802"/>
      <c r="B1" s="803"/>
      <c r="C1" s="808" t="s">
        <v>49</v>
      </c>
      <c r="D1" s="808"/>
      <c r="E1" s="808"/>
      <c r="F1" s="808"/>
      <c r="G1" s="808"/>
      <c r="H1" s="92" t="s">
        <v>48</v>
      </c>
      <c r="I1" s="150"/>
    </row>
    <row r="2" spans="1:11" ht="16.5" thickBot="1" x14ac:dyDescent="0.3">
      <c r="A2" s="804"/>
      <c r="B2" s="805"/>
      <c r="C2" s="1000" t="s">
        <v>47</v>
      </c>
      <c r="D2" s="1000"/>
      <c r="E2" s="1000"/>
      <c r="F2" s="1000"/>
      <c r="G2" s="1000"/>
      <c r="H2" s="97" t="s">
        <v>46</v>
      </c>
      <c r="I2" s="152"/>
    </row>
    <row r="3" spans="1:11" ht="18.75" thickBot="1" x14ac:dyDescent="0.3">
      <c r="A3" s="804"/>
      <c r="B3" s="805"/>
      <c r="C3" s="812" t="s">
        <v>121</v>
      </c>
      <c r="D3" s="813"/>
      <c r="E3" s="813"/>
      <c r="F3" s="813"/>
      <c r="G3" s="814"/>
      <c r="H3" s="815" t="s">
        <v>45</v>
      </c>
      <c r="I3" s="793"/>
    </row>
    <row r="4" spans="1:11" x14ac:dyDescent="0.25">
      <c r="A4" s="804"/>
      <c r="B4" s="805"/>
      <c r="C4" s="99" t="s">
        <v>44</v>
      </c>
      <c r="D4" s="796" t="s">
        <v>43</v>
      </c>
      <c r="E4" s="797"/>
      <c r="F4" s="797"/>
      <c r="G4" s="798"/>
      <c r="H4" s="816"/>
      <c r="I4" s="794"/>
    </row>
    <row r="5" spans="1:11" ht="14.25" thickBot="1" x14ac:dyDescent="0.3">
      <c r="A5" s="998"/>
      <c r="B5" s="999"/>
      <c r="C5" s="102" t="s">
        <v>42</v>
      </c>
      <c r="D5" s="799" t="s">
        <v>41</v>
      </c>
      <c r="E5" s="800"/>
      <c r="F5" s="800"/>
      <c r="G5" s="801"/>
      <c r="H5" s="817"/>
      <c r="I5" s="794"/>
    </row>
    <row r="6" spans="1:11" customFormat="1" ht="21" thickBot="1" x14ac:dyDescent="0.25">
      <c r="A6" s="990" t="s">
        <v>40</v>
      </c>
      <c r="B6" s="991"/>
      <c r="C6" s="991"/>
      <c r="D6" s="992" t="s">
        <v>102</v>
      </c>
      <c r="E6" s="992"/>
      <c r="F6" s="992"/>
      <c r="G6" s="1010" t="s">
        <v>39</v>
      </c>
      <c r="H6" s="1010"/>
      <c r="I6" s="103" t="s">
        <v>102</v>
      </c>
    </row>
    <row r="7" spans="1:11" ht="14.25" thickBot="1" x14ac:dyDescent="0.3">
      <c r="A7" s="95"/>
      <c r="B7" s="96"/>
      <c r="C7" s="99"/>
      <c r="D7" s="189"/>
      <c r="E7" s="190"/>
      <c r="F7" s="190"/>
      <c r="G7" s="191"/>
      <c r="H7" s="100"/>
      <c r="I7" s="101"/>
    </row>
    <row r="8" spans="1:11" ht="25.5" x14ac:dyDescent="0.25">
      <c r="A8" s="1029" t="s">
        <v>37</v>
      </c>
      <c r="B8" s="1031" t="s">
        <v>54</v>
      </c>
      <c r="C8" s="1033" t="s">
        <v>36</v>
      </c>
      <c r="D8" s="1033" t="s">
        <v>35</v>
      </c>
      <c r="E8" s="1033" t="s">
        <v>34</v>
      </c>
      <c r="F8" s="1033"/>
      <c r="G8" s="1033" t="s">
        <v>33</v>
      </c>
      <c r="H8" s="1033"/>
      <c r="I8" s="153" t="s">
        <v>32</v>
      </c>
    </row>
    <row r="9" spans="1:11" ht="27" thickBot="1" x14ac:dyDescent="0.3">
      <c r="A9" s="1030"/>
      <c r="B9" s="1032"/>
      <c r="C9" s="1034"/>
      <c r="D9" s="1035"/>
      <c r="E9" s="154" t="s">
        <v>11</v>
      </c>
      <c r="F9" s="155" t="s">
        <v>31</v>
      </c>
      <c r="G9" s="154" t="s">
        <v>11</v>
      </c>
      <c r="H9" s="155" t="s">
        <v>31</v>
      </c>
      <c r="I9" s="156" t="s">
        <v>30</v>
      </c>
    </row>
    <row r="10" spans="1:11" ht="15" x14ac:dyDescent="0.25">
      <c r="A10" s="73" t="s">
        <v>107</v>
      </c>
      <c r="B10" s="73" t="s">
        <v>108</v>
      </c>
      <c r="C10" s="41" t="s">
        <v>109</v>
      </c>
      <c r="D10" s="157" t="s">
        <v>110</v>
      </c>
      <c r="E10" s="119">
        <v>3500</v>
      </c>
      <c r="F10" s="128" t="s">
        <v>2</v>
      </c>
      <c r="G10" s="158"/>
      <c r="H10" s="158"/>
      <c r="I10" s="159"/>
      <c r="K10" s="202">
        <f>SUM(E10:E16)</f>
        <v>10378.030303030304</v>
      </c>
    </row>
    <row r="11" spans="1:11" ht="15" x14ac:dyDescent="0.25">
      <c r="A11" s="73" t="s">
        <v>119</v>
      </c>
      <c r="B11" s="73" t="s">
        <v>56</v>
      </c>
      <c r="C11" s="41" t="s">
        <v>120</v>
      </c>
      <c r="D11" s="157" t="s">
        <v>25</v>
      </c>
      <c r="E11" s="119">
        <v>3500</v>
      </c>
      <c r="F11" s="128" t="s">
        <v>2</v>
      </c>
      <c r="G11" s="158"/>
      <c r="H11" s="119"/>
      <c r="I11" s="159"/>
    </row>
    <row r="12" spans="1:11" ht="15" x14ac:dyDescent="0.25">
      <c r="A12" s="88">
        <v>11400031</v>
      </c>
      <c r="B12" s="88" t="s">
        <v>168</v>
      </c>
      <c r="C12" t="s">
        <v>169</v>
      </c>
      <c r="D12" s="157" t="s">
        <v>170</v>
      </c>
      <c r="E12" s="119">
        <v>2700</v>
      </c>
      <c r="F12" s="128" t="s">
        <v>2</v>
      </c>
      <c r="G12" s="158"/>
      <c r="H12" s="158"/>
      <c r="I12" s="159"/>
    </row>
    <row r="13" spans="1:11" ht="15" x14ac:dyDescent="0.25">
      <c r="A13" s="73" t="s">
        <v>124</v>
      </c>
      <c r="B13" s="73" t="s">
        <v>123</v>
      </c>
      <c r="C13" s="41" t="s">
        <v>125</v>
      </c>
      <c r="D13" s="157" t="s">
        <v>131</v>
      </c>
      <c r="E13" s="119">
        <v>3.0303030303030303</v>
      </c>
      <c r="F13" s="128" t="s">
        <v>2</v>
      </c>
      <c r="G13" s="158"/>
      <c r="H13" s="158"/>
      <c r="I13" s="159"/>
    </row>
    <row r="14" spans="1:11" ht="15" x14ac:dyDescent="0.25">
      <c r="A14" s="73" t="s">
        <v>127</v>
      </c>
      <c r="B14" s="73" t="s">
        <v>126</v>
      </c>
      <c r="C14" s="41" t="s">
        <v>128</v>
      </c>
      <c r="D14" s="157" t="s">
        <v>132</v>
      </c>
      <c r="E14" s="119">
        <v>60</v>
      </c>
      <c r="F14" s="128" t="s">
        <v>2</v>
      </c>
      <c r="G14" s="158"/>
      <c r="H14" s="158"/>
      <c r="I14" s="159"/>
    </row>
    <row r="15" spans="1:11" ht="15" x14ac:dyDescent="0.25">
      <c r="A15" s="41"/>
      <c r="B15" s="41"/>
      <c r="C15" s="41" t="s">
        <v>129</v>
      </c>
      <c r="D15" s="157" t="s">
        <v>26</v>
      </c>
      <c r="E15" s="119">
        <v>600</v>
      </c>
      <c r="F15" s="128" t="s">
        <v>2</v>
      </c>
      <c r="G15" s="158"/>
      <c r="H15" s="158"/>
      <c r="I15" s="159"/>
    </row>
    <row r="16" spans="1:11" ht="15" x14ac:dyDescent="0.25">
      <c r="A16" s="73" t="s">
        <v>88</v>
      </c>
      <c r="B16" s="73" t="s">
        <v>89</v>
      </c>
      <c r="C16" s="41" t="s">
        <v>111</v>
      </c>
      <c r="D16" s="157" t="s">
        <v>112</v>
      </c>
      <c r="E16" s="119">
        <v>15</v>
      </c>
      <c r="F16" s="128" t="s">
        <v>2</v>
      </c>
      <c r="G16" s="158"/>
      <c r="H16" s="158"/>
      <c r="I16" s="159"/>
    </row>
    <row r="17" spans="1:13" ht="15" x14ac:dyDescent="0.25">
      <c r="A17" s="160"/>
      <c r="B17" s="160"/>
      <c r="C17" s="161"/>
      <c r="D17" s="157"/>
      <c r="E17" s="119"/>
      <c r="F17" s="128"/>
      <c r="G17" s="158"/>
      <c r="H17" s="158"/>
      <c r="I17" s="159"/>
    </row>
    <row r="18" spans="1:13" ht="15" x14ac:dyDescent="0.25">
      <c r="A18" s="160">
        <v>512000002</v>
      </c>
      <c r="B18" s="160" t="s">
        <v>113</v>
      </c>
      <c r="C18" s="161" t="s">
        <v>114</v>
      </c>
      <c r="D18" s="157" t="s">
        <v>115</v>
      </c>
      <c r="E18" s="119">
        <v>20</v>
      </c>
      <c r="F18" s="128" t="s">
        <v>21</v>
      </c>
      <c r="G18" s="158"/>
      <c r="H18" s="158"/>
      <c r="I18" s="159"/>
    </row>
    <row r="19" spans="1:13" ht="15" x14ac:dyDescent="0.25">
      <c r="A19" s="160" t="s">
        <v>116</v>
      </c>
      <c r="B19" s="160" t="s">
        <v>64</v>
      </c>
      <c r="C19" s="161" t="s">
        <v>117</v>
      </c>
      <c r="D19" s="157" t="s">
        <v>14</v>
      </c>
      <c r="E19" s="119">
        <v>1</v>
      </c>
      <c r="F19" s="128" t="s">
        <v>5</v>
      </c>
      <c r="G19" s="158"/>
      <c r="H19" s="158"/>
      <c r="I19" s="159"/>
    </row>
    <row r="20" spans="1:13" ht="15" x14ac:dyDescent="0.25">
      <c r="A20" s="162"/>
      <c r="B20" s="163"/>
      <c r="C20" s="164"/>
      <c r="D20" s="165"/>
      <c r="E20" s="166"/>
      <c r="F20" s="166"/>
      <c r="G20" s="166"/>
      <c r="H20" s="166"/>
      <c r="I20" s="167"/>
    </row>
    <row r="21" spans="1:13" ht="14.25" thickBot="1" x14ac:dyDescent="0.3">
      <c r="A21" s="168"/>
      <c r="B21" s="169"/>
      <c r="E21" s="170"/>
      <c r="F21" s="171"/>
      <c r="I21" s="172"/>
      <c r="L21" s="173"/>
    </row>
    <row r="22" spans="1:13" ht="14.25" thickBot="1" x14ac:dyDescent="0.3">
      <c r="A22" s="174"/>
      <c r="B22" s="175"/>
      <c r="C22" s="176"/>
      <c r="D22" s="177" t="s">
        <v>11</v>
      </c>
      <c r="E22" s="178" t="s">
        <v>10</v>
      </c>
      <c r="F22" s="179"/>
      <c r="G22" s="176"/>
      <c r="H22" s="176"/>
      <c r="I22" s="180"/>
      <c r="L22" s="173"/>
    </row>
    <row r="23" spans="1:13" x14ac:dyDescent="0.25">
      <c r="A23" s="1017" t="s">
        <v>9</v>
      </c>
      <c r="B23" s="1018"/>
      <c r="C23" s="1019"/>
      <c r="D23" s="181">
        <v>10378</v>
      </c>
      <c r="E23" s="182" t="s">
        <v>2</v>
      </c>
      <c r="F23" s="1020" t="s">
        <v>93</v>
      </c>
      <c r="G23" s="1020"/>
      <c r="H23" s="1021"/>
      <c r="I23" s="1022"/>
      <c r="L23" s="173"/>
    </row>
    <row r="24" spans="1:13" x14ac:dyDescent="0.25">
      <c r="A24" s="1023" t="s">
        <v>8</v>
      </c>
      <c r="B24" s="1024"/>
      <c r="C24" s="1025"/>
      <c r="D24" s="183">
        <v>10</v>
      </c>
      <c r="E24" s="183" t="s">
        <v>7</v>
      </c>
      <c r="F24" s="1026" t="s">
        <v>94</v>
      </c>
      <c r="G24" s="1026"/>
      <c r="H24" s="1027"/>
      <c r="I24" s="1028"/>
      <c r="L24" s="173"/>
    </row>
    <row r="25" spans="1:13" x14ac:dyDescent="0.25">
      <c r="A25" s="1023" t="s">
        <v>6</v>
      </c>
      <c r="B25" s="1024"/>
      <c r="C25" s="1025"/>
      <c r="D25" s="184">
        <v>1</v>
      </c>
      <c r="E25" s="183" t="s">
        <v>130</v>
      </c>
      <c r="F25" s="1026" t="s">
        <v>96</v>
      </c>
      <c r="G25" s="1026"/>
      <c r="H25" s="1027"/>
      <c r="I25" s="1028"/>
      <c r="L25" s="173"/>
    </row>
    <row r="26" spans="1:13" x14ac:dyDescent="0.25">
      <c r="A26" s="1023" t="s">
        <v>118</v>
      </c>
      <c r="B26" s="1024"/>
      <c r="C26" s="1025"/>
      <c r="D26" s="184">
        <f>+D23</f>
        <v>10378</v>
      </c>
      <c r="E26" s="183" t="s">
        <v>2</v>
      </c>
      <c r="F26" s="1040" t="s">
        <v>97</v>
      </c>
      <c r="G26" s="1041"/>
      <c r="H26" s="1027"/>
      <c r="I26" s="1028"/>
      <c r="L26" s="173"/>
      <c r="M26" s="185"/>
    </row>
    <row r="27" spans="1:13" ht="14.25" thickBot="1" x14ac:dyDescent="0.3">
      <c r="A27" s="1011" t="s">
        <v>3</v>
      </c>
      <c r="B27" s="1012"/>
      <c r="C27" s="1013"/>
      <c r="D27" s="186">
        <f>SUM(E10:E16)-D23</f>
        <v>3.0303030303912237E-2</v>
      </c>
      <c r="E27" s="187" t="s">
        <v>2</v>
      </c>
      <c r="F27" s="1014"/>
      <c r="G27" s="1014"/>
      <c r="H27" s="1015"/>
      <c r="I27" s="1016"/>
      <c r="L27" s="173"/>
    </row>
    <row r="28" spans="1:13" x14ac:dyDescent="0.25">
      <c r="A28" s="1007" t="s">
        <v>1</v>
      </c>
      <c r="B28" s="1008"/>
      <c r="C28" s="1008"/>
      <c r="D28" s="1008"/>
      <c r="E28" s="1008"/>
      <c r="F28" s="1008"/>
      <c r="G28" s="1008"/>
      <c r="H28" s="1008"/>
      <c r="I28" s="1009"/>
    </row>
    <row r="29" spans="1:13" ht="36.4" customHeight="1" x14ac:dyDescent="0.25">
      <c r="A29" s="1036" t="s">
        <v>171</v>
      </c>
      <c r="B29" s="1037"/>
      <c r="C29" s="1038"/>
      <c r="D29" s="1038"/>
      <c r="E29" s="1038"/>
      <c r="F29" s="1038"/>
      <c r="G29" s="1038"/>
      <c r="H29" s="1038"/>
      <c r="I29" s="1039"/>
    </row>
    <row r="30" spans="1:13" ht="16.5" customHeight="1" x14ac:dyDescent="0.25">
      <c r="A30" s="1003" t="s">
        <v>133</v>
      </c>
      <c r="B30" s="1004"/>
      <c r="C30" s="1005"/>
      <c r="D30" s="1005"/>
      <c r="E30" s="1005"/>
      <c r="F30" s="1005"/>
      <c r="G30" s="1005"/>
      <c r="H30" s="1005"/>
      <c r="I30" s="1006"/>
    </row>
    <row r="31" spans="1:13" ht="16.5" customHeight="1" x14ac:dyDescent="0.25">
      <c r="A31" s="1003" t="s">
        <v>134</v>
      </c>
      <c r="B31" s="1004"/>
      <c r="C31" s="1005"/>
      <c r="D31" s="1005"/>
      <c r="E31" s="1005"/>
      <c r="F31" s="1005"/>
      <c r="G31" s="1005"/>
      <c r="H31" s="1005"/>
      <c r="I31" s="1006"/>
    </row>
    <row r="32" spans="1:13" ht="16.5" customHeight="1" x14ac:dyDescent="0.25">
      <c r="A32" s="1003"/>
      <c r="B32" s="1004"/>
      <c r="C32" s="1005"/>
      <c r="D32" s="1005"/>
      <c r="E32" s="1005"/>
      <c r="F32" s="1005"/>
      <c r="G32" s="1005"/>
      <c r="H32" s="1005"/>
      <c r="I32" s="1006"/>
    </row>
    <row r="33" spans="1:9" ht="16.5" customHeight="1" x14ac:dyDescent="0.25">
      <c r="A33" s="1003"/>
      <c r="B33" s="1004"/>
      <c r="C33" s="1005"/>
      <c r="D33" s="1005"/>
      <c r="E33" s="1005"/>
      <c r="F33" s="1005"/>
      <c r="G33" s="1005"/>
      <c r="H33" s="1005"/>
      <c r="I33" s="1006"/>
    </row>
    <row r="34" spans="1:9" ht="14.25" thickBot="1" x14ac:dyDescent="0.3">
      <c r="A34" s="891"/>
      <c r="B34" s="892"/>
      <c r="C34" s="893"/>
      <c r="D34" s="893"/>
      <c r="E34" s="893"/>
      <c r="F34" s="893"/>
      <c r="G34" s="893"/>
      <c r="H34" s="893"/>
      <c r="I34" s="894"/>
    </row>
    <row r="35" spans="1:9" x14ac:dyDescent="0.25">
      <c r="A35" s="1007" t="s">
        <v>52</v>
      </c>
      <c r="B35" s="1008"/>
      <c r="C35" s="1008"/>
      <c r="D35" s="1008"/>
      <c r="E35" s="1008"/>
      <c r="F35" s="1008"/>
      <c r="G35" s="1008"/>
      <c r="H35" s="1008"/>
      <c r="I35" s="1009"/>
    </row>
    <row r="36" spans="1:9" x14ac:dyDescent="0.25">
      <c r="A36" s="188"/>
      <c r="B36" s="188"/>
      <c r="C36" s="188"/>
    </row>
  </sheetData>
  <mergeCells count="40">
    <mergeCell ref="I3:I5"/>
    <mergeCell ref="D4:G4"/>
    <mergeCell ref="D5:G5"/>
    <mergeCell ref="E8:F8"/>
    <mergeCell ref="G8:H8"/>
    <mergeCell ref="A1:B5"/>
    <mergeCell ref="C1:G1"/>
    <mergeCell ref="C2:G2"/>
    <mergeCell ref="C3:G3"/>
    <mergeCell ref="H3:H5"/>
    <mergeCell ref="A28:I28"/>
    <mergeCell ref="A29:I29"/>
    <mergeCell ref="A30:I30"/>
    <mergeCell ref="A25:C25"/>
    <mergeCell ref="F25:G25"/>
    <mergeCell ref="H25:I25"/>
    <mergeCell ref="A26:C26"/>
    <mergeCell ref="F26:G26"/>
    <mergeCell ref="H26:I26"/>
    <mergeCell ref="A6:C6"/>
    <mergeCell ref="D6:F6"/>
    <mergeCell ref="G6:H6"/>
    <mergeCell ref="A27:C27"/>
    <mergeCell ref="F27:G27"/>
    <mergeCell ref="H27:I27"/>
    <mergeCell ref="A23:C23"/>
    <mergeCell ref="F23:G23"/>
    <mergeCell ref="H23:I23"/>
    <mergeCell ref="A24:C24"/>
    <mergeCell ref="F24:G24"/>
    <mergeCell ref="H24:I24"/>
    <mergeCell ref="A8:A9"/>
    <mergeCell ref="B8:B9"/>
    <mergeCell ref="C8:C9"/>
    <mergeCell ref="D8:D9"/>
    <mergeCell ref="A31:I31"/>
    <mergeCell ref="A32:I32"/>
    <mergeCell ref="A33:I33"/>
    <mergeCell ref="A34:I34"/>
    <mergeCell ref="A35:I35"/>
  </mergeCells>
  <pageMargins left="0.7" right="0.7" top="0.75" bottom="0.75" header="0.3" footer="0.3"/>
  <pageSetup paperSize="9" scale="51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7DB8C-1C2A-4CD3-8E95-ED9177ECACEC}">
  <dimension ref="A1:Q97"/>
  <sheetViews>
    <sheetView workbookViewId="0">
      <selection sqref="A1:XFD1048576"/>
    </sheetView>
  </sheetViews>
  <sheetFormatPr baseColWidth="10" defaultColWidth="8.42578125" defaultRowHeight="12.75" x14ac:dyDescent="0.2"/>
  <cols>
    <col min="1" max="1" width="10" style="208" bestFit="1" customWidth="1"/>
    <col min="2" max="2" width="44.28515625" style="208" bestFit="1" customWidth="1"/>
    <col min="3" max="3" width="10.42578125" style="208" bestFit="1" customWidth="1"/>
    <col min="4" max="4" width="10.42578125" style="208" customWidth="1"/>
    <col min="5" max="5" width="9.7109375" style="208" bestFit="1" customWidth="1"/>
    <col min="6" max="6" width="9.5703125" style="208" bestFit="1" customWidth="1"/>
    <col min="7" max="7" width="9.5703125" style="290" bestFit="1" customWidth="1"/>
    <col min="8" max="8" width="10.42578125" style="281" bestFit="1" customWidth="1"/>
    <col min="9" max="9" width="4.5703125" style="281" customWidth="1"/>
    <col min="10" max="10" width="1.85546875" style="207" customWidth="1"/>
    <col min="11" max="11" width="7" style="208" bestFit="1" customWidth="1"/>
    <col min="12" max="12" width="6.28515625" style="208" customWidth="1"/>
    <col min="13" max="13" width="20.42578125" style="208" customWidth="1"/>
    <col min="14" max="14" width="6.42578125" style="208" bestFit="1" customWidth="1"/>
    <col min="15" max="16" width="8.42578125" style="208"/>
    <col min="17" max="17" width="3.28515625" style="208" customWidth="1"/>
    <col min="18" max="256" width="8.42578125" style="208"/>
    <col min="257" max="257" width="10" style="208" bestFit="1" customWidth="1"/>
    <col min="258" max="258" width="44.28515625" style="208" bestFit="1" customWidth="1"/>
    <col min="259" max="259" width="10.42578125" style="208" bestFit="1" customWidth="1"/>
    <col min="260" max="260" width="10.42578125" style="208" customWidth="1"/>
    <col min="261" max="261" width="9.7109375" style="208" bestFit="1" customWidth="1"/>
    <col min="262" max="263" width="9.5703125" style="208" bestFit="1" customWidth="1"/>
    <col min="264" max="264" width="10.42578125" style="208" bestFit="1" customWidth="1"/>
    <col min="265" max="265" width="4.5703125" style="208" customWidth="1"/>
    <col min="266" max="266" width="1.85546875" style="208" customWidth="1"/>
    <col min="267" max="267" width="7" style="208" bestFit="1" customWidth="1"/>
    <col min="268" max="268" width="6.28515625" style="208" customWidth="1"/>
    <col min="269" max="269" width="20.42578125" style="208" customWidth="1"/>
    <col min="270" max="270" width="6.42578125" style="208" bestFit="1" customWidth="1"/>
    <col min="271" max="272" width="8.42578125" style="208"/>
    <col min="273" max="273" width="3.28515625" style="208" customWidth="1"/>
    <col min="274" max="512" width="8.42578125" style="208"/>
    <col min="513" max="513" width="10" style="208" bestFit="1" customWidth="1"/>
    <col min="514" max="514" width="44.28515625" style="208" bestFit="1" customWidth="1"/>
    <col min="515" max="515" width="10.42578125" style="208" bestFit="1" customWidth="1"/>
    <col min="516" max="516" width="10.42578125" style="208" customWidth="1"/>
    <col min="517" max="517" width="9.7109375" style="208" bestFit="1" customWidth="1"/>
    <col min="518" max="519" width="9.5703125" style="208" bestFit="1" customWidth="1"/>
    <col min="520" max="520" width="10.42578125" style="208" bestFit="1" customWidth="1"/>
    <col min="521" max="521" width="4.5703125" style="208" customWidth="1"/>
    <col min="522" max="522" width="1.85546875" style="208" customWidth="1"/>
    <col min="523" max="523" width="7" style="208" bestFit="1" customWidth="1"/>
    <col min="524" max="524" width="6.28515625" style="208" customWidth="1"/>
    <col min="525" max="525" width="20.42578125" style="208" customWidth="1"/>
    <col min="526" max="526" width="6.42578125" style="208" bestFit="1" customWidth="1"/>
    <col min="527" max="528" width="8.42578125" style="208"/>
    <col min="529" max="529" width="3.28515625" style="208" customWidth="1"/>
    <col min="530" max="768" width="8.42578125" style="208"/>
    <col min="769" max="769" width="10" style="208" bestFit="1" customWidth="1"/>
    <col min="770" max="770" width="44.28515625" style="208" bestFit="1" customWidth="1"/>
    <col min="771" max="771" width="10.42578125" style="208" bestFit="1" customWidth="1"/>
    <col min="772" max="772" width="10.42578125" style="208" customWidth="1"/>
    <col min="773" max="773" width="9.7109375" style="208" bestFit="1" customWidth="1"/>
    <col min="774" max="775" width="9.5703125" style="208" bestFit="1" customWidth="1"/>
    <col min="776" max="776" width="10.42578125" style="208" bestFit="1" customWidth="1"/>
    <col min="777" max="777" width="4.5703125" style="208" customWidth="1"/>
    <col min="778" max="778" width="1.85546875" style="208" customWidth="1"/>
    <col min="779" max="779" width="7" style="208" bestFit="1" customWidth="1"/>
    <col min="780" max="780" width="6.28515625" style="208" customWidth="1"/>
    <col min="781" max="781" width="20.42578125" style="208" customWidth="1"/>
    <col min="782" max="782" width="6.42578125" style="208" bestFit="1" customWidth="1"/>
    <col min="783" max="784" width="8.42578125" style="208"/>
    <col min="785" max="785" width="3.28515625" style="208" customWidth="1"/>
    <col min="786" max="1024" width="8.42578125" style="208"/>
    <col min="1025" max="1025" width="10" style="208" bestFit="1" customWidth="1"/>
    <col min="1026" max="1026" width="44.28515625" style="208" bestFit="1" customWidth="1"/>
    <col min="1027" max="1027" width="10.42578125" style="208" bestFit="1" customWidth="1"/>
    <col min="1028" max="1028" width="10.42578125" style="208" customWidth="1"/>
    <col min="1029" max="1029" width="9.7109375" style="208" bestFit="1" customWidth="1"/>
    <col min="1030" max="1031" width="9.5703125" style="208" bestFit="1" customWidth="1"/>
    <col min="1032" max="1032" width="10.42578125" style="208" bestFit="1" customWidth="1"/>
    <col min="1033" max="1033" width="4.5703125" style="208" customWidth="1"/>
    <col min="1034" max="1034" width="1.85546875" style="208" customWidth="1"/>
    <col min="1035" max="1035" width="7" style="208" bestFit="1" customWidth="1"/>
    <col min="1036" max="1036" width="6.28515625" style="208" customWidth="1"/>
    <col min="1037" max="1037" width="20.42578125" style="208" customWidth="1"/>
    <col min="1038" max="1038" width="6.42578125" style="208" bestFit="1" customWidth="1"/>
    <col min="1039" max="1040" width="8.42578125" style="208"/>
    <col min="1041" max="1041" width="3.28515625" style="208" customWidth="1"/>
    <col min="1042" max="1280" width="8.42578125" style="208"/>
    <col min="1281" max="1281" width="10" style="208" bestFit="1" customWidth="1"/>
    <col min="1282" max="1282" width="44.28515625" style="208" bestFit="1" customWidth="1"/>
    <col min="1283" max="1283" width="10.42578125" style="208" bestFit="1" customWidth="1"/>
    <col min="1284" max="1284" width="10.42578125" style="208" customWidth="1"/>
    <col min="1285" max="1285" width="9.7109375" style="208" bestFit="1" customWidth="1"/>
    <col min="1286" max="1287" width="9.5703125" style="208" bestFit="1" customWidth="1"/>
    <col min="1288" max="1288" width="10.42578125" style="208" bestFit="1" customWidth="1"/>
    <col min="1289" max="1289" width="4.5703125" style="208" customWidth="1"/>
    <col min="1290" max="1290" width="1.85546875" style="208" customWidth="1"/>
    <col min="1291" max="1291" width="7" style="208" bestFit="1" customWidth="1"/>
    <col min="1292" max="1292" width="6.28515625" style="208" customWidth="1"/>
    <col min="1293" max="1293" width="20.42578125" style="208" customWidth="1"/>
    <col min="1294" max="1294" width="6.42578125" style="208" bestFit="1" customWidth="1"/>
    <col min="1295" max="1296" width="8.42578125" style="208"/>
    <col min="1297" max="1297" width="3.28515625" style="208" customWidth="1"/>
    <col min="1298" max="1536" width="8.42578125" style="208"/>
    <col min="1537" max="1537" width="10" style="208" bestFit="1" customWidth="1"/>
    <col min="1538" max="1538" width="44.28515625" style="208" bestFit="1" customWidth="1"/>
    <col min="1539" max="1539" width="10.42578125" style="208" bestFit="1" customWidth="1"/>
    <col min="1540" max="1540" width="10.42578125" style="208" customWidth="1"/>
    <col min="1541" max="1541" width="9.7109375" style="208" bestFit="1" customWidth="1"/>
    <col min="1542" max="1543" width="9.5703125" style="208" bestFit="1" customWidth="1"/>
    <col min="1544" max="1544" width="10.42578125" style="208" bestFit="1" customWidth="1"/>
    <col min="1545" max="1545" width="4.5703125" style="208" customWidth="1"/>
    <col min="1546" max="1546" width="1.85546875" style="208" customWidth="1"/>
    <col min="1547" max="1547" width="7" style="208" bestFit="1" customWidth="1"/>
    <col min="1548" max="1548" width="6.28515625" style="208" customWidth="1"/>
    <col min="1549" max="1549" width="20.42578125" style="208" customWidth="1"/>
    <col min="1550" max="1550" width="6.42578125" style="208" bestFit="1" customWidth="1"/>
    <col min="1551" max="1552" width="8.42578125" style="208"/>
    <col min="1553" max="1553" width="3.28515625" style="208" customWidth="1"/>
    <col min="1554" max="1792" width="8.42578125" style="208"/>
    <col min="1793" max="1793" width="10" style="208" bestFit="1" customWidth="1"/>
    <col min="1794" max="1794" width="44.28515625" style="208" bestFit="1" customWidth="1"/>
    <col min="1795" max="1795" width="10.42578125" style="208" bestFit="1" customWidth="1"/>
    <col min="1796" max="1796" width="10.42578125" style="208" customWidth="1"/>
    <col min="1797" max="1797" width="9.7109375" style="208" bestFit="1" customWidth="1"/>
    <col min="1798" max="1799" width="9.5703125" style="208" bestFit="1" customWidth="1"/>
    <col min="1800" max="1800" width="10.42578125" style="208" bestFit="1" customWidth="1"/>
    <col min="1801" max="1801" width="4.5703125" style="208" customWidth="1"/>
    <col min="1802" max="1802" width="1.85546875" style="208" customWidth="1"/>
    <col min="1803" max="1803" width="7" style="208" bestFit="1" customWidth="1"/>
    <col min="1804" max="1804" width="6.28515625" style="208" customWidth="1"/>
    <col min="1805" max="1805" width="20.42578125" style="208" customWidth="1"/>
    <col min="1806" max="1806" width="6.42578125" style="208" bestFit="1" customWidth="1"/>
    <col min="1807" max="1808" width="8.42578125" style="208"/>
    <col min="1809" max="1809" width="3.28515625" style="208" customWidth="1"/>
    <col min="1810" max="2048" width="8.42578125" style="208"/>
    <col min="2049" max="2049" width="10" style="208" bestFit="1" customWidth="1"/>
    <col min="2050" max="2050" width="44.28515625" style="208" bestFit="1" customWidth="1"/>
    <col min="2051" max="2051" width="10.42578125" style="208" bestFit="1" customWidth="1"/>
    <col min="2052" max="2052" width="10.42578125" style="208" customWidth="1"/>
    <col min="2053" max="2053" width="9.7109375" style="208" bestFit="1" customWidth="1"/>
    <col min="2054" max="2055" width="9.5703125" style="208" bestFit="1" customWidth="1"/>
    <col min="2056" max="2056" width="10.42578125" style="208" bestFit="1" customWidth="1"/>
    <col min="2057" max="2057" width="4.5703125" style="208" customWidth="1"/>
    <col min="2058" max="2058" width="1.85546875" style="208" customWidth="1"/>
    <col min="2059" max="2059" width="7" style="208" bestFit="1" customWidth="1"/>
    <col min="2060" max="2060" width="6.28515625" style="208" customWidth="1"/>
    <col min="2061" max="2061" width="20.42578125" style="208" customWidth="1"/>
    <col min="2062" max="2062" width="6.42578125" style="208" bestFit="1" customWidth="1"/>
    <col min="2063" max="2064" width="8.42578125" style="208"/>
    <col min="2065" max="2065" width="3.28515625" style="208" customWidth="1"/>
    <col min="2066" max="2304" width="8.42578125" style="208"/>
    <col min="2305" max="2305" width="10" style="208" bestFit="1" customWidth="1"/>
    <col min="2306" max="2306" width="44.28515625" style="208" bestFit="1" customWidth="1"/>
    <col min="2307" max="2307" width="10.42578125" style="208" bestFit="1" customWidth="1"/>
    <col min="2308" max="2308" width="10.42578125" style="208" customWidth="1"/>
    <col min="2309" max="2309" width="9.7109375" style="208" bestFit="1" customWidth="1"/>
    <col min="2310" max="2311" width="9.5703125" style="208" bestFit="1" customWidth="1"/>
    <col min="2312" max="2312" width="10.42578125" style="208" bestFit="1" customWidth="1"/>
    <col min="2313" max="2313" width="4.5703125" style="208" customWidth="1"/>
    <col min="2314" max="2314" width="1.85546875" style="208" customWidth="1"/>
    <col min="2315" max="2315" width="7" style="208" bestFit="1" customWidth="1"/>
    <col min="2316" max="2316" width="6.28515625" style="208" customWidth="1"/>
    <col min="2317" max="2317" width="20.42578125" style="208" customWidth="1"/>
    <col min="2318" max="2318" width="6.42578125" style="208" bestFit="1" customWidth="1"/>
    <col min="2319" max="2320" width="8.42578125" style="208"/>
    <col min="2321" max="2321" width="3.28515625" style="208" customWidth="1"/>
    <col min="2322" max="2560" width="8.42578125" style="208"/>
    <col min="2561" max="2561" width="10" style="208" bestFit="1" customWidth="1"/>
    <col min="2562" max="2562" width="44.28515625" style="208" bestFit="1" customWidth="1"/>
    <col min="2563" max="2563" width="10.42578125" style="208" bestFit="1" customWidth="1"/>
    <col min="2564" max="2564" width="10.42578125" style="208" customWidth="1"/>
    <col min="2565" max="2565" width="9.7109375" style="208" bestFit="1" customWidth="1"/>
    <col min="2566" max="2567" width="9.5703125" style="208" bestFit="1" customWidth="1"/>
    <col min="2568" max="2568" width="10.42578125" style="208" bestFit="1" customWidth="1"/>
    <col min="2569" max="2569" width="4.5703125" style="208" customWidth="1"/>
    <col min="2570" max="2570" width="1.85546875" style="208" customWidth="1"/>
    <col min="2571" max="2571" width="7" style="208" bestFit="1" customWidth="1"/>
    <col min="2572" max="2572" width="6.28515625" style="208" customWidth="1"/>
    <col min="2573" max="2573" width="20.42578125" style="208" customWidth="1"/>
    <col min="2574" max="2574" width="6.42578125" style="208" bestFit="1" customWidth="1"/>
    <col min="2575" max="2576" width="8.42578125" style="208"/>
    <col min="2577" max="2577" width="3.28515625" style="208" customWidth="1"/>
    <col min="2578" max="2816" width="8.42578125" style="208"/>
    <col min="2817" max="2817" width="10" style="208" bestFit="1" customWidth="1"/>
    <col min="2818" max="2818" width="44.28515625" style="208" bestFit="1" customWidth="1"/>
    <col min="2819" max="2819" width="10.42578125" style="208" bestFit="1" customWidth="1"/>
    <col min="2820" max="2820" width="10.42578125" style="208" customWidth="1"/>
    <col min="2821" max="2821" width="9.7109375" style="208" bestFit="1" customWidth="1"/>
    <col min="2822" max="2823" width="9.5703125" style="208" bestFit="1" customWidth="1"/>
    <col min="2824" max="2824" width="10.42578125" style="208" bestFit="1" customWidth="1"/>
    <col min="2825" max="2825" width="4.5703125" style="208" customWidth="1"/>
    <col min="2826" max="2826" width="1.85546875" style="208" customWidth="1"/>
    <col min="2827" max="2827" width="7" style="208" bestFit="1" customWidth="1"/>
    <col min="2828" max="2828" width="6.28515625" style="208" customWidth="1"/>
    <col min="2829" max="2829" width="20.42578125" style="208" customWidth="1"/>
    <col min="2830" max="2830" width="6.42578125" style="208" bestFit="1" customWidth="1"/>
    <col min="2831" max="2832" width="8.42578125" style="208"/>
    <col min="2833" max="2833" width="3.28515625" style="208" customWidth="1"/>
    <col min="2834" max="3072" width="8.42578125" style="208"/>
    <col min="3073" max="3073" width="10" style="208" bestFit="1" customWidth="1"/>
    <col min="3074" max="3074" width="44.28515625" style="208" bestFit="1" customWidth="1"/>
    <col min="3075" max="3075" width="10.42578125" style="208" bestFit="1" customWidth="1"/>
    <col min="3076" max="3076" width="10.42578125" style="208" customWidth="1"/>
    <col min="3077" max="3077" width="9.7109375" style="208" bestFit="1" customWidth="1"/>
    <col min="3078" max="3079" width="9.5703125" style="208" bestFit="1" customWidth="1"/>
    <col min="3080" max="3080" width="10.42578125" style="208" bestFit="1" customWidth="1"/>
    <col min="3081" max="3081" width="4.5703125" style="208" customWidth="1"/>
    <col min="3082" max="3082" width="1.85546875" style="208" customWidth="1"/>
    <col min="3083" max="3083" width="7" style="208" bestFit="1" customWidth="1"/>
    <col min="3084" max="3084" width="6.28515625" style="208" customWidth="1"/>
    <col min="3085" max="3085" width="20.42578125" style="208" customWidth="1"/>
    <col min="3086" max="3086" width="6.42578125" style="208" bestFit="1" customWidth="1"/>
    <col min="3087" max="3088" width="8.42578125" style="208"/>
    <col min="3089" max="3089" width="3.28515625" style="208" customWidth="1"/>
    <col min="3090" max="3328" width="8.42578125" style="208"/>
    <col min="3329" max="3329" width="10" style="208" bestFit="1" customWidth="1"/>
    <col min="3330" max="3330" width="44.28515625" style="208" bestFit="1" customWidth="1"/>
    <col min="3331" max="3331" width="10.42578125" style="208" bestFit="1" customWidth="1"/>
    <col min="3332" max="3332" width="10.42578125" style="208" customWidth="1"/>
    <col min="3333" max="3333" width="9.7109375" style="208" bestFit="1" customWidth="1"/>
    <col min="3334" max="3335" width="9.5703125" style="208" bestFit="1" customWidth="1"/>
    <col min="3336" max="3336" width="10.42578125" style="208" bestFit="1" customWidth="1"/>
    <col min="3337" max="3337" width="4.5703125" style="208" customWidth="1"/>
    <col min="3338" max="3338" width="1.85546875" style="208" customWidth="1"/>
    <col min="3339" max="3339" width="7" style="208" bestFit="1" customWidth="1"/>
    <col min="3340" max="3340" width="6.28515625" style="208" customWidth="1"/>
    <col min="3341" max="3341" width="20.42578125" style="208" customWidth="1"/>
    <col min="3342" max="3342" width="6.42578125" style="208" bestFit="1" customWidth="1"/>
    <col min="3343" max="3344" width="8.42578125" style="208"/>
    <col min="3345" max="3345" width="3.28515625" style="208" customWidth="1"/>
    <col min="3346" max="3584" width="8.42578125" style="208"/>
    <col min="3585" max="3585" width="10" style="208" bestFit="1" customWidth="1"/>
    <col min="3586" max="3586" width="44.28515625" style="208" bestFit="1" customWidth="1"/>
    <col min="3587" max="3587" width="10.42578125" style="208" bestFit="1" customWidth="1"/>
    <col min="3588" max="3588" width="10.42578125" style="208" customWidth="1"/>
    <col min="3589" max="3589" width="9.7109375" style="208" bestFit="1" customWidth="1"/>
    <col min="3590" max="3591" width="9.5703125" style="208" bestFit="1" customWidth="1"/>
    <col min="3592" max="3592" width="10.42578125" style="208" bestFit="1" customWidth="1"/>
    <col min="3593" max="3593" width="4.5703125" style="208" customWidth="1"/>
    <col min="3594" max="3594" width="1.85546875" style="208" customWidth="1"/>
    <col min="3595" max="3595" width="7" style="208" bestFit="1" customWidth="1"/>
    <col min="3596" max="3596" width="6.28515625" style="208" customWidth="1"/>
    <col min="3597" max="3597" width="20.42578125" style="208" customWidth="1"/>
    <col min="3598" max="3598" width="6.42578125" style="208" bestFit="1" customWidth="1"/>
    <col min="3599" max="3600" width="8.42578125" style="208"/>
    <col min="3601" max="3601" width="3.28515625" style="208" customWidth="1"/>
    <col min="3602" max="3840" width="8.42578125" style="208"/>
    <col min="3841" max="3841" width="10" style="208" bestFit="1" customWidth="1"/>
    <col min="3842" max="3842" width="44.28515625" style="208" bestFit="1" customWidth="1"/>
    <col min="3843" max="3843" width="10.42578125" style="208" bestFit="1" customWidth="1"/>
    <col min="3844" max="3844" width="10.42578125" style="208" customWidth="1"/>
    <col min="3845" max="3845" width="9.7109375" style="208" bestFit="1" customWidth="1"/>
    <col min="3846" max="3847" width="9.5703125" style="208" bestFit="1" customWidth="1"/>
    <col min="3848" max="3848" width="10.42578125" style="208" bestFit="1" customWidth="1"/>
    <col min="3849" max="3849" width="4.5703125" style="208" customWidth="1"/>
    <col min="3850" max="3850" width="1.85546875" style="208" customWidth="1"/>
    <col min="3851" max="3851" width="7" style="208" bestFit="1" customWidth="1"/>
    <col min="3852" max="3852" width="6.28515625" style="208" customWidth="1"/>
    <col min="3853" max="3853" width="20.42578125" style="208" customWidth="1"/>
    <col min="3854" max="3854" width="6.42578125" style="208" bestFit="1" customWidth="1"/>
    <col min="3855" max="3856" width="8.42578125" style="208"/>
    <col min="3857" max="3857" width="3.28515625" style="208" customWidth="1"/>
    <col min="3858" max="4096" width="8.42578125" style="208"/>
    <col min="4097" max="4097" width="10" style="208" bestFit="1" customWidth="1"/>
    <col min="4098" max="4098" width="44.28515625" style="208" bestFit="1" customWidth="1"/>
    <col min="4099" max="4099" width="10.42578125" style="208" bestFit="1" customWidth="1"/>
    <col min="4100" max="4100" width="10.42578125" style="208" customWidth="1"/>
    <col min="4101" max="4101" width="9.7109375" style="208" bestFit="1" customWidth="1"/>
    <col min="4102" max="4103" width="9.5703125" style="208" bestFit="1" customWidth="1"/>
    <col min="4104" max="4104" width="10.42578125" style="208" bestFit="1" customWidth="1"/>
    <col min="4105" max="4105" width="4.5703125" style="208" customWidth="1"/>
    <col min="4106" max="4106" width="1.85546875" style="208" customWidth="1"/>
    <col min="4107" max="4107" width="7" style="208" bestFit="1" customWidth="1"/>
    <col min="4108" max="4108" width="6.28515625" style="208" customWidth="1"/>
    <col min="4109" max="4109" width="20.42578125" style="208" customWidth="1"/>
    <col min="4110" max="4110" width="6.42578125" style="208" bestFit="1" customWidth="1"/>
    <col min="4111" max="4112" width="8.42578125" style="208"/>
    <col min="4113" max="4113" width="3.28515625" style="208" customWidth="1"/>
    <col min="4114" max="4352" width="8.42578125" style="208"/>
    <col min="4353" max="4353" width="10" style="208" bestFit="1" customWidth="1"/>
    <col min="4354" max="4354" width="44.28515625" style="208" bestFit="1" customWidth="1"/>
    <col min="4355" max="4355" width="10.42578125" style="208" bestFit="1" customWidth="1"/>
    <col min="4356" max="4356" width="10.42578125" style="208" customWidth="1"/>
    <col min="4357" max="4357" width="9.7109375" style="208" bestFit="1" customWidth="1"/>
    <col min="4358" max="4359" width="9.5703125" style="208" bestFit="1" customWidth="1"/>
    <col min="4360" max="4360" width="10.42578125" style="208" bestFit="1" customWidth="1"/>
    <col min="4361" max="4361" width="4.5703125" style="208" customWidth="1"/>
    <col min="4362" max="4362" width="1.85546875" style="208" customWidth="1"/>
    <col min="4363" max="4363" width="7" style="208" bestFit="1" customWidth="1"/>
    <col min="4364" max="4364" width="6.28515625" style="208" customWidth="1"/>
    <col min="4365" max="4365" width="20.42578125" style="208" customWidth="1"/>
    <col min="4366" max="4366" width="6.42578125" style="208" bestFit="1" customWidth="1"/>
    <col min="4367" max="4368" width="8.42578125" style="208"/>
    <col min="4369" max="4369" width="3.28515625" style="208" customWidth="1"/>
    <col min="4370" max="4608" width="8.42578125" style="208"/>
    <col min="4609" max="4609" width="10" style="208" bestFit="1" customWidth="1"/>
    <col min="4610" max="4610" width="44.28515625" style="208" bestFit="1" customWidth="1"/>
    <col min="4611" max="4611" width="10.42578125" style="208" bestFit="1" customWidth="1"/>
    <col min="4612" max="4612" width="10.42578125" style="208" customWidth="1"/>
    <col min="4613" max="4613" width="9.7109375" style="208" bestFit="1" customWidth="1"/>
    <col min="4614" max="4615" width="9.5703125" style="208" bestFit="1" customWidth="1"/>
    <col min="4616" max="4616" width="10.42578125" style="208" bestFit="1" customWidth="1"/>
    <col min="4617" max="4617" width="4.5703125" style="208" customWidth="1"/>
    <col min="4618" max="4618" width="1.85546875" style="208" customWidth="1"/>
    <col min="4619" max="4619" width="7" style="208" bestFit="1" customWidth="1"/>
    <col min="4620" max="4620" width="6.28515625" style="208" customWidth="1"/>
    <col min="4621" max="4621" width="20.42578125" style="208" customWidth="1"/>
    <col min="4622" max="4622" width="6.42578125" style="208" bestFit="1" customWidth="1"/>
    <col min="4623" max="4624" width="8.42578125" style="208"/>
    <col min="4625" max="4625" width="3.28515625" style="208" customWidth="1"/>
    <col min="4626" max="4864" width="8.42578125" style="208"/>
    <col min="4865" max="4865" width="10" style="208" bestFit="1" customWidth="1"/>
    <col min="4866" max="4866" width="44.28515625" style="208" bestFit="1" customWidth="1"/>
    <col min="4867" max="4867" width="10.42578125" style="208" bestFit="1" customWidth="1"/>
    <col min="4868" max="4868" width="10.42578125" style="208" customWidth="1"/>
    <col min="4869" max="4869" width="9.7109375" style="208" bestFit="1" customWidth="1"/>
    <col min="4870" max="4871" width="9.5703125" style="208" bestFit="1" customWidth="1"/>
    <col min="4872" max="4872" width="10.42578125" style="208" bestFit="1" customWidth="1"/>
    <col min="4873" max="4873" width="4.5703125" style="208" customWidth="1"/>
    <col min="4874" max="4874" width="1.85546875" style="208" customWidth="1"/>
    <col min="4875" max="4875" width="7" style="208" bestFit="1" customWidth="1"/>
    <col min="4876" max="4876" width="6.28515625" style="208" customWidth="1"/>
    <col min="4877" max="4877" width="20.42578125" style="208" customWidth="1"/>
    <col min="4878" max="4878" width="6.42578125" style="208" bestFit="1" customWidth="1"/>
    <col min="4879" max="4880" width="8.42578125" style="208"/>
    <col min="4881" max="4881" width="3.28515625" style="208" customWidth="1"/>
    <col min="4882" max="5120" width="8.42578125" style="208"/>
    <col min="5121" max="5121" width="10" style="208" bestFit="1" customWidth="1"/>
    <col min="5122" max="5122" width="44.28515625" style="208" bestFit="1" customWidth="1"/>
    <col min="5123" max="5123" width="10.42578125" style="208" bestFit="1" customWidth="1"/>
    <col min="5124" max="5124" width="10.42578125" style="208" customWidth="1"/>
    <col min="5125" max="5125" width="9.7109375" style="208" bestFit="1" customWidth="1"/>
    <col min="5126" max="5127" width="9.5703125" style="208" bestFit="1" customWidth="1"/>
    <col min="5128" max="5128" width="10.42578125" style="208" bestFit="1" customWidth="1"/>
    <col min="5129" max="5129" width="4.5703125" style="208" customWidth="1"/>
    <col min="5130" max="5130" width="1.85546875" style="208" customWidth="1"/>
    <col min="5131" max="5131" width="7" style="208" bestFit="1" customWidth="1"/>
    <col min="5132" max="5132" width="6.28515625" style="208" customWidth="1"/>
    <col min="5133" max="5133" width="20.42578125" style="208" customWidth="1"/>
    <col min="5134" max="5134" width="6.42578125" style="208" bestFit="1" customWidth="1"/>
    <col min="5135" max="5136" width="8.42578125" style="208"/>
    <col min="5137" max="5137" width="3.28515625" style="208" customWidth="1"/>
    <col min="5138" max="5376" width="8.42578125" style="208"/>
    <col min="5377" max="5377" width="10" style="208" bestFit="1" customWidth="1"/>
    <col min="5378" max="5378" width="44.28515625" style="208" bestFit="1" customWidth="1"/>
    <col min="5379" max="5379" width="10.42578125" style="208" bestFit="1" customWidth="1"/>
    <col min="5380" max="5380" width="10.42578125" style="208" customWidth="1"/>
    <col min="5381" max="5381" width="9.7109375" style="208" bestFit="1" customWidth="1"/>
    <col min="5382" max="5383" width="9.5703125" style="208" bestFit="1" customWidth="1"/>
    <col min="5384" max="5384" width="10.42578125" style="208" bestFit="1" customWidth="1"/>
    <col min="5385" max="5385" width="4.5703125" style="208" customWidth="1"/>
    <col min="5386" max="5386" width="1.85546875" style="208" customWidth="1"/>
    <col min="5387" max="5387" width="7" style="208" bestFit="1" customWidth="1"/>
    <col min="5388" max="5388" width="6.28515625" style="208" customWidth="1"/>
    <col min="5389" max="5389" width="20.42578125" style="208" customWidth="1"/>
    <col min="5390" max="5390" width="6.42578125" style="208" bestFit="1" customWidth="1"/>
    <col min="5391" max="5392" width="8.42578125" style="208"/>
    <col min="5393" max="5393" width="3.28515625" style="208" customWidth="1"/>
    <col min="5394" max="5632" width="8.42578125" style="208"/>
    <col min="5633" max="5633" width="10" style="208" bestFit="1" customWidth="1"/>
    <col min="5634" max="5634" width="44.28515625" style="208" bestFit="1" customWidth="1"/>
    <col min="5635" max="5635" width="10.42578125" style="208" bestFit="1" customWidth="1"/>
    <col min="5636" max="5636" width="10.42578125" style="208" customWidth="1"/>
    <col min="5637" max="5637" width="9.7109375" style="208" bestFit="1" customWidth="1"/>
    <col min="5638" max="5639" width="9.5703125" style="208" bestFit="1" customWidth="1"/>
    <col min="5640" max="5640" width="10.42578125" style="208" bestFit="1" customWidth="1"/>
    <col min="5641" max="5641" width="4.5703125" style="208" customWidth="1"/>
    <col min="5642" max="5642" width="1.85546875" style="208" customWidth="1"/>
    <col min="5643" max="5643" width="7" style="208" bestFit="1" customWidth="1"/>
    <col min="5644" max="5644" width="6.28515625" style="208" customWidth="1"/>
    <col min="5645" max="5645" width="20.42578125" style="208" customWidth="1"/>
    <col min="5646" max="5646" width="6.42578125" style="208" bestFit="1" customWidth="1"/>
    <col min="5647" max="5648" width="8.42578125" style="208"/>
    <col min="5649" max="5649" width="3.28515625" style="208" customWidth="1"/>
    <col min="5650" max="5888" width="8.42578125" style="208"/>
    <col min="5889" max="5889" width="10" style="208" bestFit="1" customWidth="1"/>
    <col min="5890" max="5890" width="44.28515625" style="208" bestFit="1" customWidth="1"/>
    <col min="5891" max="5891" width="10.42578125" style="208" bestFit="1" customWidth="1"/>
    <col min="5892" max="5892" width="10.42578125" style="208" customWidth="1"/>
    <col min="5893" max="5893" width="9.7109375" style="208" bestFit="1" customWidth="1"/>
    <col min="5894" max="5895" width="9.5703125" style="208" bestFit="1" customWidth="1"/>
    <col min="5896" max="5896" width="10.42578125" style="208" bestFit="1" customWidth="1"/>
    <col min="5897" max="5897" width="4.5703125" style="208" customWidth="1"/>
    <col min="5898" max="5898" width="1.85546875" style="208" customWidth="1"/>
    <col min="5899" max="5899" width="7" style="208" bestFit="1" customWidth="1"/>
    <col min="5900" max="5900" width="6.28515625" style="208" customWidth="1"/>
    <col min="5901" max="5901" width="20.42578125" style="208" customWidth="1"/>
    <col min="5902" max="5902" width="6.42578125" style="208" bestFit="1" customWidth="1"/>
    <col min="5903" max="5904" width="8.42578125" style="208"/>
    <col min="5905" max="5905" width="3.28515625" style="208" customWidth="1"/>
    <col min="5906" max="6144" width="8.42578125" style="208"/>
    <col min="6145" max="6145" width="10" style="208" bestFit="1" customWidth="1"/>
    <col min="6146" max="6146" width="44.28515625" style="208" bestFit="1" customWidth="1"/>
    <col min="6147" max="6147" width="10.42578125" style="208" bestFit="1" customWidth="1"/>
    <col min="6148" max="6148" width="10.42578125" style="208" customWidth="1"/>
    <col min="6149" max="6149" width="9.7109375" style="208" bestFit="1" customWidth="1"/>
    <col min="6150" max="6151" width="9.5703125" style="208" bestFit="1" customWidth="1"/>
    <col min="6152" max="6152" width="10.42578125" style="208" bestFit="1" customWidth="1"/>
    <col min="6153" max="6153" width="4.5703125" style="208" customWidth="1"/>
    <col min="6154" max="6154" width="1.85546875" style="208" customWidth="1"/>
    <col min="6155" max="6155" width="7" style="208" bestFit="1" customWidth="1"/>
    <col min="6156" max="6156" width="6.28515625" style="208" customWidth="1"/>
    <col min="6157" max="6157" width="20.42578125" style="208" customWidth="1"/>
    <col min="6158" max="6158" width="6.42578125" style="208" bestFit="1" customWidth="1"/>
    <col min="6159" max="6160" width="8.42578125" style="208"/>
    <col min="6161" max="6161" width="3.28515625" style="208" customWidth="1"/>
    <col min="6162" max="6400" width="8.42578125" style="208"/>
    <col min="6401" max="6401" width="10" style="208" bestFit="1" customWidth="1"/>
    <col min="6402" max="6402" width="44.28515625" style="208" bestFit="1" customWidth="1"/>
    <col min="6403" max="6403" width="10.42578125" style="208" bestFit="1" customWidth="1"/>
    <col min="6404" max="6404" width="10.42578125" style="208" customWidth="1"/>
    <col min="6405" max="6405" width="9.7109375" style="208" bestFit="1" customWidth="1"/>
    <col min="6406" max="6407" width="9.5703125" style="208" bestFit="1" customWidth="1"/>
    <col min="6408" max="6408" width="10.42578125" style="208" bestFit="1" customWidth="1"/>
    <col min="6409" max="6409" width="4.5703125" style="208" customWidth="1"/>
    <col min="6410" max="6410" width="1.85546875" style="208" customWidth="1"/>
    <col min="6411" max="6411" width="7" style="208" bestFit="1" customWidth="1"/>
    <col min="6412" max="6412" width="6.28515625" style="208" customWidth="1"/>
    <col min="6413" max="6413" width="20.42578125" style="208" customWidth="1"/>
    <col min="6414" max="6414" width="6.42578125" style="208" bestFit="1" customWidth="1"/>
    <col min="6415" max="6416" width="8.42578125" style="208"/>
    <col min="6417" max="6417" width="3.28515625" style="208" customWidth="1"/>
    <col min="6418" max="6656" width="8.42578125" style="208"/>
    <col min="6657" max="6657" width="10" style="208" bestFit="1" customWidth="1"/>
    <col min="6658" max="6658" width="44.28515625" style="208" bestFit="1" customWidth="1"/>
    <col min="6659" max="6659" width="10.42578125" style="208" bestFit="1" customWidth="1"/>
    <col min="6660" max="6660" width="10.42578125" style="208" customWidth="1"/>
    <col min="6661" max="6661" width="9.7109375" style="208" bestFit="1" customWidth="1"/>
    <col min="6662" max="6663" width="9.5703125" style="208" bestFit="1" customWidth="1"/>
    <col min="6664" max="6664" width="10.42578125" style="208" bestFit="1" customWidth="1"/>
    <col min="6665" max="6665" width="4.5703125" style="208" customWidth="1"/>
    <col min="6666" max="6666" width="1.85546875" style="208" customWidth="1"/>
    <col min="6667" max="6667" width="7" style="208" bestFit="1" customWidth="1"/>
    <col min="6668" max="6668" width="6.28515625" style="208" customWidth="1"/>
    <col min="6669" max="6669" width="20.42578125" style="208" customWidth="1"/>
    <col min="6670" max="6670" width="6.42578125" style="208" bestFit="1" customWidth="1"/>
    <col min="6671" max="6672" width="8.42578125" style="208"/>
    <col min="6673" max="6673" width="3.28515625" style="208" customWidth="1"/>
    <col min="6674" max="6912" width="8.42578125" style="208"/>
    <col min="6913" max="6913" width="10" style="208" bestFit="1" customWidth="1"/>
    <col min="6914" max="6914" width="44.28515625" style="208" bestFit="1" customWidth="1"/>
    <col min="6915" max="6915" width="10.42578125" style="208" bestFit="1" customWidth="1"/>
    <col min="6916" max="6916" width="10.42578125" style="208" customWidth="1"/>
    <col min="6917" max="6917" width="9.7109375" style="208" bestFit="1" customWidth="1"/>
    <col min="6918" max="6919" width="9.5703125" style="208" bestFit="1" customWidth="1"/>
    <col min="6920" max="6920" width="10.42578125" style="208" bestFit="1" customWidth="1"/>
    <col min="6921" max="6921" width="4.5703125" style="208" customWidth="1"/>
    <col min="6922" max="6922" width="1.85546875" style="208" customWidth="1"/>
    <col min="6923" max="6923" width="7" style="208" bestFit="1" customWidth="1"/>
    <col min="6924" max="6924" width="6.28515625" style="208" customWidth="1"/>
    <col min="6925" max="6925" width="20.42578125" style="208" customWidth="1"/>
    <col min="6926" max="6926" width="6.42578125" style="208" bestFit="1" customWidth="1"/>
    <col min="6927" max="6928" width="8.42578125" style="208"/>
    <col min="6929" max="6929" width="3.28515625" style="208" customWidth="1"/>
    <col min="6930" max="7168" width="8.42578125" style="208"/>
    <col min="7169" max="7169" width="10" style="208" bestFit="1" customWidth="1"/>
    <col min="7170" max="7170" width="44.28515625" style="208" bestFit="1" customWidth="1"/>
    <col min="7171" max="7171" width="10.42578125" style="208" bestFit="1" customWidth="1"/>
    <col min="7172" max="7172" width="10.42578125" style="208" customWidth="1"/>
    <col min="7173" max="7173" width="9.7109375" style="208" bestFit="1" customWidth="1"/>
    <col min="7174" max="7175" width="9.5703125" style="208" bestFit="1" customWidth="1"/>
    <col min="7176" max="7176" width="10.42578125" style="208" bestFit="1" customWidth="1"/>
    <col min="7177" max="7177" width="4.5703125" style="208" customWidth="1"/>
    <col min="7178" max="7178" width="1.85546875" style="208" customWidth="1"/>
    <col min="7179" max="7179" width="7" style="208" bestFit="1" customWidth="1"/>
    <col min="7180" max="7180" width="6.28515625" style="208" customWidth="1"/>
    <col min="7181" max="7181" width="20.42578125" style="208" customWidth="1"/>
    <col min="7182" max="7182" width="6.42578125" style="208" bestFit="1" customWidth="1"/>
    <col min="7183" max="7184" width="8.42578125" style="208"/>
    <col min="7185" max="7185" width="3.28515625" style="208" customWidth="1"/>
    <col min="7186" max="7424" width="8.42578125" style="208"/>
    <col min="7425" max="7425" width="10" style="208" bestFit="1" customWidth="1"/>
    <col min="7426" max="7426" width="44.28515625" style="208" bestFit="1" customWidth="1"/>
    <col min="7427" max="7427" width="10.42578125" style="208" bestFit="1" customWidth="1"/>
    <col min="7428" max="7428" width="10.42578125" style="208" customWidth="1"/>
    <col min="7429" max="7429" width="9.7109375" style="208" bestFit="1" customWidth="1"/>
    <col min="7430" max="7431" width="9.5703125" style="208" bestFit="1" customWidth="1"/>
    <col min="7432" max="7432" width="10.42578125" style="208" bestFit="1" customWidth="1"/>
    <col min="7433" max="7433" width="4.5703125" style="208" customWidth="1"/>
    <col min="7434" max="7434" width="1.85546875" style="208" customWidth="1"/>
    <col min="7435" max="7435" width="7" style="208" bestFit="1" customWidth="1"/>
    <col min="7436" max="7436" width="6.28515625" style="208" customWidth="1"/>
    <col min="7437" max="7437" width="20.42578125" style="208" customWidth="1"/>
    <col min="7438" max="7438" width="6.42578125" style="208" bestFit="1" customWidth="1"/>
    <col min="7439" max="7440" width="8.42578125" style="208"/>
    <col min="7441" max="7441" width="3.28515625" style="208" customWidth="1"/>
    <col min="7442" max="7680" width="8.42578125" style="208"/>
    <col min="7681" max="7681" width="10" style="208" bestFit="1" customWidth="1"/>
    <col min="7682" max="7682" width="44.28515625" style="208" bestFit="1" customWidth="1"/>
    <col min="7683" max="7683" width="10.42578125" style="208" bestFit="1" customWidth="1"/>
    <col min="7684" max="7684" width="10.42578125" style="208" customWidth="1"/>
    <col min="7685" max="7685" width="9.7109375" style="208" bestFit="1" customWidth="1"/>
    <col min="7686" max="7687" width="9.5703125" style="208" bestFit="1" customWidth="1"/>
    <col min="7688" max="7688" width="10.42578125" style="208" bestFit="1" customWidth="1"/>
    <col min="7689" max="7689" width="4.5703125" style="208" customWidth="1"/>
    <col min="7690" max="7690" width="1.85546875" style="208" customWidth="1"/>
    <col min="7691" max="7691" width="7" style="208" bestFit="1" customWidth="1"/>
    <col min="7692" max="7692" width="6.28515625" style="208" customWidth="1"/>
    <col min="7693" max="7693" width="20.42578125" style="208" customWidth="1"/>
    <col min="7694" max="7694" width="6.42578125" style="208" bestFit="1" customWidth="1"/>
    <col min="7695" max="7696" width="8.42578125" style="208"/>
    <col min="7697" max="7697" width="3.28515625" style="208" customWidth="1"/>
    <col min="7698" max="7936" width="8.42578125" style="208"/>
    <col min="7937" max="7937" width="10" style="208" bestFit="1" customWidth="1"/>
    <col min="7938" max="7938" width="44.28515625" style="208" bestFit="1" customWidth="1"/>
    <col min="7939" max="7939" width="10.42578125" style="208" bestFit="1" customWidth="1"/>
    <col min="7940" max="7940" width="10.42578125" style="208" customWidth="1"/>
    <col min="7941" max="7941" width="9.7109375" style="208" bestFit="1" customWidth="1"/>
    <col min="7942" max="7943" width="9.5703125" style="208" bestFit="1" customWidth="1"/>
    <col min="7944" max="7944" width="10.42578125" style="208" bestFit="1" customWidth="1"/>
    <col min="7945" max="7945" width="4.5703125" style="208" customWidth="1"/>
    <col min="7946" max="7946" width="1.85546875" style="208" customWidth="1"/>
    <col min="7947" max="7947" width="7" style="208" bestFit="1" customWidth="1"/>
    <col min="7948" max="7948" width="6.28515625" style="208" customWidth="1"/>
    <col min="7949" max="7949" width="20.42578125" style="208" customWidth="1"/>
    <col min="7950" max="7950" width="6.42578125" style="208" bestFit="1" customWidth="1"/>
    <col min="7951" max="7952" width="8.42578125" style="208"/>
    <col min="7953" max="7953" width="3.28515625" style="208" customWidth="1"/>
    <col min="7954" max="8192" width="8.42578125" style="208"/>
    <col min="8193" max="8193" width="10" style="208" bestFit="1" customWidth="1"/>
    <col min="8194" max="8194" width="44.28515625" style="208" bestFit="1" customWidth="1"/>
    <col min="8195" max="8195" width="10.42578125" style="208" bestFit="1" customWidth="1"/>
    <col min="8196" max="8196" width="10.42578125" style="208" customWidth="1"/>
    <col min="8197" max="8197" width="9.7109375" style="208" bestFit="1" customWidth="1"/>
    <col min="8198" max="8199" width="9.5703125" style="208" bestFit="1" customWidth="1"/>
    <col min="8200" max="8200" width="10.42578125" style="208" bestFit="1" customWidth="1"/>
    <col min="8201" max="8201" width="4.5703125" style="208" customWidth="1"/>
    <col min="8202" max="8202" width="1.85546875" style="208" customWidth="1"/>
    <col min="8203" max="8203" width="7" style="208" bestFit="1" customWidth="1"/>
    <col min="8204" max="8204" width="6.28515625" style="208" customWidth="1"/>
    <col min="8205" max="8205" width="20.42578125" style="208" customWidth="1"/>
    <col min="8206" max="8206" width="6.42578125" style="208" bestFit="1" customWidth="1"/>
    <col min="8207" max="8208" width="8.42578125" style="208"/>
    <col min="8209" max="8209" width="3.28515625" style="208" customWidth="1"/>
    <col min="8210" max="8448" width="8.42578125" style="208"/>
    <col min="8449" max="8449" width="10" style="208" bestFit="1" customWidth="1"/>
    <col min="8450" max="8450" width="44.28515625" style="208" bestFit="1" customWidth="1"/>
    <col min="8451" max="8451" width="10.42578125" style="208" bestFit="1" customWidth="1"/>
    <col min="8452" max="8452" width="10.42578125" style="208" customWidth="1"/>
    <col min="8453" max="8453" width="9.7109375" style="208" bestFit="1" customWidth="1"/>
    <col min="8454" max="8455" width="9.5703125" style="208" bestFit="1" customWidth="1"/>
    <col min="8456" max="8456" width="10.42578125" style="208" bestFit="1" customWidth="1"/>
    <col min="8457" max="8457" width="4.5703125" style="208" customWidth="1"/>
    <col min="8458" max="8458" width="1.85546875" style="208" customWidth="1"/>
    <col min="8459" max="8459" width="7" style="208" bestFit="1" customWidth="1"/>
    <col min="8460" max="8460" width="6.28515625" style="208" customWidth="1"/>
    <col min="8461" max="8461" width="20.42578125" style="208" customWidth="1"/>
    <col min="8462" max="8462" width="6.42578125" style="208" bestFit="1" customWidth="1"/>
    <col min="8463" max="8464" width="8.42578125" style="208"/>
    <col min="8465" max="8465" width="3.28515625" style="208" customWidth="1"/>
    <col min="8466" max="8704" width="8.42578125" style="208"/>
    <col min="8705" max="8705" width="10" style="208" bestFit="1" customWidth="1"/>
    <col min="8706" max="8706" width="44.28515625" style="208" bestFit="1" customWidth="1"/>
    <col min="8707" max="8707" width="10.42578125" style="208" bestFit="1" customWidth="1"/>
    <col min="8708" max="8708" width="10.42578125" style="208" customWidth="1"/>
    <col min="8709" max="8709" width="9.7109375" style="208" bestFit="1" customWidth="1"/>
    <col min="8710" max="8711" width="9.5703125" style="208" bestFit="1" customWidth="1"/>
    <col min="8712" max="8712" width="10.42578125" style="208" bestFit="1" customWidth="1"/>
    <col min="8713" max="8713" width="4.5703125" style="208" customWidth="1"/>
    <col min="8714" max="8714" width="1.85546875" style="208" customWidth="1"/>
    <col min="8715" max="8715" width="7" style="208" bestFit="1" customWidth="1"/>
    <col min="8716" max="8716" width="6.28515625" style="208" customWidth="1"/>
    <col min="8717" max="8717" width="20.42578125" style="208" customWidth="1"/>
    <col min="8718" max="8718" width="6.42578125" style="208" bestFit="1" customWidth="1"/>
    <col min="8719" max="8720" width="8.42578125" style="208"/>
    <col min="8721" max="8721" width="3.28515625" style="208" customWidth="1"/>
    <col min="8722" max="8960" width="8.42578125" style="208"/>
    <col min="8961" max="8961" width="10" style="208" bestFit="1" customWidth="1"/>
    <col min="8962" max="8962" width="44.28515625" style="208" bestFit="1" customWidth="1"/>
    <col min="8963" max="8963" width="10.42578125" style="208" bestFit="1" customWidth="1"/>
    <col min="8964" max="8964" width="10.42578125" style="208" customWidth="1"/>
    <col min="8965" max="8965" width="9.7109375" style="208" bestFit="1" customWidth="1"/>
    <col min="8966" max="8967" width="9.5703125" style="208" bestFit="1" customWidth="1"/>
    <col min="8968" max="8968" width="10.42578125" style="208" bestFit="1" customWidth="1"/>
    <col min="8969" max="8969" width="4.5703125" style="208" customWidth="1"/>
    <col min="8970" max="8970" width="1.85546875" style="208" customWidth="1"/>
    <col min="8971" max="8971" width="7" style="208" bestFit="1" customWidth="1"/>
    <col min="8972" max="8972" width="6.28515625" style="208" customWidth="1"/>
    <col min="8973" max="8973" width="20.42578125" style="208" customWidth="1"/>
    <col min="8974" max="8974" width="6.42578125" style="208" bestFit="1" customWidth="1"/>
    <col min="8975" max="8976" width="8.42578125" style="208"/>
    <col min="8977" max="8977" width="3.28515625" style="208" customWidth="1"/>
    <col min="8978" max="9216" width="8.42578125" style="208"/>
    <col min="9217" max="9217" width="10" style="208" bestFit="1" customWidth="1"/>
    <col min="9218" max="9218" width="44.28515625" style="208" bestFit="1" customWidth="1"/>
    <col min="9219" max="9219" width="10.42578125" style="208" bestFit="1" customWidth="1"/>
    <col min="9220" max="9220" width="10.42578125" style="208" customWidth="1"/>
    <col min="9221" max="9221" width="9.7109375" style="208" bestFit="1" customWidth="1"/>
    <col min="9222" max="9223" width="9.5703125" style="208" bestFit="1" customWidth="1"/>
    <col min="9224" max="9224" width="10.42578125" style="208" bestFit="1" customWidth="1"/>
    <col min="9225" max="9225" width="4.5703125" style="208" customWidth="1"/>
    <col min="9226" max="9226" width="1.85546875" style="208" customWidth="1"/>
    <col min="9227" max="9227" width="7" style="208" bestFit="1" customWidth="1"/>
    <col min="9228" max="9228" width="6.28515625" style="208" customWidth="1"/>
    <col min="9229" max="9229" width="20.42578125" style="208" customWidth="1"/>
    <col min="9230" max="9230" width="6.42578125" style="208" bestFit="1" customWidth="1"/>
    <col min="9231" max="9232" width="8.42578125" style="208"/>
    <col min="9233" max="9233" width="3.28515625" style="208" customWidth="1"/>
    <col min="9234" max="9472" width="8.42578125" style="208"/>
    <col min="9473" max="9473" width="10" style="208" bestFit="1" customWidth="1"/>
    <col min="9474" max="9474" width="44.28515625" style="208" bestFit="1" customWidth="1"/>
    <col min="9475" max="9475" width="10.42578125" style="208" bestFit="1" customWidth="1"/>
    <col min="9476" max="9476" width="10.42578125" style="208" customWidth="1"/>
    <col min="9477" max="9477" width="9.7109375" style="208" bestFit="1" customWidth="1"/>
    <col min="9478" max="9479" width="9.5703125" style="208" bestFit="1" customWidth="1"/>
    <col min="9480" max="9480" width="10.42578125" style="208" bestFit="1" customWidth="1"/>
    <col min="9481" max="9481" width="4.5703125" style="208" customWidth="1"/>
    <col min="9482" max="9482" width="1.85546875" style="208" customWidth="1"/>
    <col min="9483" max="9483" width="7" style="208" bestFit="1" customWidth="1"/>
    <col min="9484" max="9484" width="6.28515625" style="208" customWidth="1"/>
    <col min="9485" max="9485" width="20.42578125" style="208" customWidth="1"/>
    <col min="9486" max="9486" width="6.42578125" style="208" bestFit="1" customWidth="1"/>
    <col min="9487" max="9488" width="8.42578125" style="208"/>
    <col min="9489" max="9489" width="3.28515625" style="208" customWidth="1"/>
    <col min="9490" max="9728" width="8.42578125" style="208"/>
    <col min="9729" max="9729" width="10" style="208" bestFit="1" customWidth="1"/>
    <col min="9730" max="9730" width="44.28515625" style="208" bestFit="1" customWidth="1"/>
    <col min="9731" max="9731" width="10.42578125" style="208" bestFit="1" customWidth="1"/>
    <col min="9732" max="9732" width="10.42578125" style="208" customWidth="1"/>
    <col min="9733" max="9733" width="9.7109375" style="208" bestFit="1" customWidth="1"/>
    <col min="9734" max="9735" width="9.5703125" style="208" bestFit="1" customWidth="1"/>
    <col min="9736" max="9736" width="10.42578125" style="208" bestFit="1" customWidth="1"/>
    <col min="9737" max="9737" width="4.5703125" style="208" customWidth="1"/>
    <col min="9738" max="9738" width="1.85546875" style="208" customWidth="1"/>
    <col min="9739" max="9739" width="7" style="208" bestFit="1" customWidth="1"/>
    <col min="9740" max="9740" width="6.28515625" style="208" customWidth="1"/>
    <col min="9741" max="9741" width="20.42578125" style="208" customWidth="1"/>
    <col min="9742" max="9742" width="6.42578125" style="208" bestFit="1" customWidth="1"/>
    <col min="9743" max="9744" width="8.42578125" style="208"/>
    <col min="9745" max="9745" width="3.28515625" style="208" customWidth="1"/>
    <col min="9746" max="9984" width="8.42578125" style="208"/>
    <col min="9985" max="9985" width="10" style="208" bestFit="1" customWidth="1"/>
    <col min="9986" max="9986" width="44.28515625" style="208" bestFit="1" customWidth="1"/>
    <col min="9987" max="9987" width="10.42578125" style="208" bestFit="1" customWidth="1"/>
    <col min="9988" max="9988" width="10.42578125" style="208" customWidth="1"/>
    <col min="9989" max="9989" width="9.7109375" style="208" bestFit="1" customWidth="1"/>
    <col min="9990" max="9991" width="9.5703125" style="208" bestFit="1" customWidth="1"/>
    <col min="9992" max="9992" width="10.42578125" style="208" bestFit="1" customWidth="1"/>
    <col min="9993" max="9993" width="4.5703125" style="208" customWidth="1"/>
    <col min="9994" max="9994" width="1.85546875" style="208" customWidth="1"/>
    <col min="9995" max="9995" width="7" style="208" bestFit="1" customWidth="1"/>
    <col min="9996" max="9996" width="6.28515625" style="208" customWidth="1"/>
    <col min="9997" max="9997" width="20.42578125" style="208" customWidth="1"/>
    <col min="9998" max="9998" width="6.42578125" style="208" bestFit="1" customWidth="1"/>
    <col min="9999" max="10000" width="8.42578125" style="208"/>
    <col min="10001" max="10001" width="3.28515625" style="208" customWidth="1"/>
    <col min="10002" max="10240" width="8.42578125" style="208"/>
    <col min="10241" max="10241" width="10" style="208" bestFit="1" customWidth="1"/>
    <col min="10242" max="10242" width="44.28515625" style="208" bestFit="1" customWidth="1"/>
    <col min="10243" max="10243" width="10.42578125" style="208" bestFit="1" customWidth="1"/>
    <col min="10244" max="10244" width="10.42578125" style="208" customWidth="1"/>
    <col min="10245" max="10245" width="9.7109375" style="208" bestFit="1" customWidth="1"/>
    <col min="10246" max="10247" width="9.5703125" style="208" bestFit="1" customWidth="1"/>
    <col min="10248" max="10248" width="10.42578125" style="208" bestFit="1" customWidth="1"/>
    <col min="10249" max="10249" width="4.5703125" style="208" customWidth="1"/>
    <col min="10250" max="10250" width="1.85546875" style="208" customWidth="1"/>
    <col min="10251" max="10251" width="7" style="208" bestFit="1" customWidth="1"/>
    <col min="10252" max="10252" width="6.28515625" style="208" customWidth="1"/>
    <col min="10253" max="10253" width="20.42578125" style="208" customWidth="1"/>
    <col min="10254" max="10254" width="6.42578125" style="208" bestFit="1" customWidth="1"/>
    <col min="10255" max="10256" width="8.42578125" style="208"/>
    <col min="10257" max="10257" width="3.28515625" style="208" customWidth="1"/>
    <col min="10258" max="10496" width="8.42578125" style="208"/>
    <col min="10497" max="10497" width="10" style="208" bestFit="1" customWidth="1"/>
    <col min="10498" max="10498" width="44.28515625" style="208" bestFit="1" customWidth="1"/>
    <col min="10499" max="10499" width="10.42578125" style="208" bestFit="1" customWidth="1"/>
    <col min="10500" max="10500" width="10.42578125" style="208" customWidth="1"/>
    <col min="10501" max="10501" width="9.7109375" style="208" bestFit="1" customWidth="1"/>
    <col min="10502" max="10503" width="9.5703125" style="208" bestFit="1" customWidth="1"/>
    <col min="10504" max="10504" width="10.42578125" style="208" bestFit="1" customWidth="1"/>
    <col min="10505" max="10505" width="4.5703125" style="208" customWidth="1"/>
    <col min="10506" max="10506" width="1.85546875" style="208" customWidth="1"/>
    <col min="10507" max="10507" width="7" style="208" bestFit="1" customWidth="1"/>
    <col min="10508" max="10508" width="6.28515625" style="208" customWidth="1"/>
    <col min="10509" max="10509" width="20.42578125" style="208" customWidth="1"/>
    <col min="10510" max="10510" width="6.42578125" style="208" bestFit="1" customWidth="1"/>
    <col min="10511" max="10512" width="8.42578125" style="208"/>
    <col min="10513" max="10513" width="3.28515625" style="208" customWidth="1"/>
    <col min="10514" max="10752" width="8.42578125" style="208"/>
    <col min="10753" max="10753" width="10" style="208" bestFit="1" customWidth="1"/>
    <col min="10754" max="10754" width="44.28515625" style="208" bestFit="1" customWidth="1"/>
    <col min="10755" max="10755" width="10.42578125" style="208" bestFit="1" customWidth="1"/>
    <col min="10756" max="10756" width="10.42578125" style="208" customWidth="1"/>
    <col min="10757" max="10757" width="9.7109375" style="208" bestFit="1" customWidth="1"/>
    <col min="10758" max="10759" width="9.5703125" style="208" bestFit="1" customWidth="1"/>
    <col min="10760" max="10760" width="10.42578125" style="208" bestFit="1" customWidth="1"/>
    <col min="10761" max="10761" width="4.5703125" style="208" customWidth="1"/>
    <col min="10762" max="10762" width="1.85546875" style="208" customWidth="1"/>
    <col min="10763" max="10763" width="7" style="208" bestFit="1" customWidth="1"/>
    <col min="10764" max="10764" width="6.28515625" style="208" customWidth="1"/>
    <col min="10765" max="10765" width="20.42578125" style="208" customWidth="1"/>
    <col min="10766" max="10766" width="6.42578125" style="208" bestFit="1" customWidth="1"/>
    <col min="10767" max="10768" width="8.42578125" style="208"/>
    <col min="10769" max="10769" width="3.28515625" style="208" customWidth="1"/>
    <col min="10770" max="11008" width="8.42578125" style="208"/>
    <col min="11009" max="11009" width="10" style="208" bestFit="1" customWidth="1"/>
    <col min="11010" max="11010" width="44.28515625" style="208" bestFit="1" customWidth="1"/>
    <col min="11011" max="11011" width="10.42578125" style="208" bestFit="1" customWidth="1"/>
    <col min="11012" max="11012" width="10.42578125" style="208" customWidth="1"/>
    <col min="11013" max="11013" width="9.7109375" style="208" bestFit="1" customWidth="1"/>
    <col min="11014" max="11015" width="9.5703125" style="208" bestFit="1" customWidth="1"/>
    <col min="11016" max="11016" width="10.42578125" style="208" bestFit="1" customWidth="1"/>
    <col min="11017" max="11017" width="4.5703125" style="208" customWidth="1"/>
    <col min="11018" max="11018" width="1.85546875" style="208" customWidth="1"/>
    <col min="11019" max="11019" width="7" style="208" bestFit="1" customWidth="1"/>
    <col min="11020" max="11020" width="6.28515625" style="208" customWidth="1"/>
    <col min="11021" max="11021" width="20.42578125" style="208" customWidth="1"/>
    <col min="11022" max="11022" width="6.42578125" style="208" bestFit="1" customWidth="1"/>
    <col min="11023" max="11024" width="8.42578125" style="208"/>
    <col min="11025" max="11025" width="3.28515625" style="208" customWidth="1"/>
    <col min="11026" max="11264" width="8.42578125" style="208"/>
    <col min="11265" max="11265" width="10" style="208" bestFit="1" customWidth="1"/>
    <col min="11266" max="11266" width="44.28515625" style="208" bestFit="1" customWidth="1"/>
    <col min="11267" max="11267" width="10.42578125" style="208" bestFit="1" customWidth="1"/>
    <col min="11268" max="11268" width="10.42578125" style="208" customWidth="1"/>
    <col min="11269" max="11269" width="9.7109375" style="208" bestFit="1" customWidth="1"/>
    <col min="11270" max="11271" width="9.5703125" style="208" bestFit="1" customWidth="1"/>
    <col min="11272" max="11272" width="10.42578125" style="208" bestFit="1" customWidth="1"/>
    <col min="11273" max="11273" width="4.5703125" style="208" customWidth="1"/>
    <col min="11274" max="11274" width="1.85546875" style="208" customWidth="1"/>
    <col min="11275" max="11275" width="7" style="208" bestFit="1" customWidth="1"/>
    <col min="11276" max="11276" width="6.28515625" style="208" customWidth="1"/>
    <col min="11277" max="11277" width="20.42578125" style="208" customWidth="1"/>
    <col min="11278" max="11278" width="6.42578125" style="208" bestFit="1" customWidth="1"/>
    <col min="11279" max="11280" width="8.42578125" style="208"/>
    <col min="11281" max="11281" width="3.28515625" style="208" customWidth="1"/>
    <col min="11282" max="11520" width="8.42578125" style="208"/>
    <col min="11521" max="11521" width="10" style="208" bestFit="1" customWidth="1"/>
    <col min="11522" max="11522" width="44.28515625" style="208" bestFit="1" customWidth="1"/>
    <col min="11523" max="11523" width="10.42578125" style="208" bestFit="1" customWidth="1"/>
    <col min="11524" max="11524" width="10.42578125" style="208" customWidth="1"/>
    <col min="11525" max="11525" width="9.7109375" style="208" bestFit="1" customWidth="1"/>
    <col min="11526" max="11527" width="9.5703125" style="208" bestFit="1" customWidth="1"/>
    <col min="11528" max="11528" width="10.42578125" style="208" bestFit="1" customWidth="1"/>
    <col min="11529" max="11529" width="4.5703125" style="208" customWidth="1"/>
    <col min="11530" max="11530" width="1.85546875" style="208" customWidth="1"/>
    <col min="11531" max="11531" width="7" style="208" bestFit="1" customWidth="1"/>
    <col min="11532" max="11532" width="6.28515625" style="208" customWidth="1"/>
    <col min="11533" max="11533" width="20.42578125" style="208" customWidth="1"/>
    <col min="11534" max="11534" width="6.42578125" style="208" bestFit="1" customWidth="1"/>
    <col min="11535" max="11536" width="8.42578125" style="208"/>
    <col min="11537" max="11537" width="3.28515625" style="208" customWidth="1"/>
    <col min="11538" max="11776" width="8.42578125" style="208"/>
    <col min="11777" max="11777" width="10" style="208" bestFit="1" customWidth="1"/>
    <col min="11778" max="11778" width="44.28515625" style="208" bestFit="1" customWidth="1"/>
    <col min="11779" max="11779" width="10.42578125" style="208" bestFit="1" customWidth="1"/>
    <col min="11780" max="11780" width="10.42578125" style="208" customWidth="1"/>
    <col min="11781" max="11781" width="9.7109375" style="208" bestFit="1" customWidth="1"/>
    <col min="11782" max="11783" width="9.5703125" style="208" bestFit="1" customWidth="1"/>
    <col min="11784" max="11784" width="10.42578125" style="208" bestFit="1" customWidth="1"/>
    <col min="11785" max="11785" width="4.5703125" style="208" customWidth="1"/>
    <col min="11786" max="11786" width="1.85546875" style="208" customWidth="1"/>
    <col min="11787" max="11787" width="7" style="208" bestFit="1" customWidth="1"/>
    <col min="11788" max="11788" width="6.28515625" style="208" customWidth="1"/>
    <col min="11789" max="11789" width="20.42578125" style="208" customWidth="1"/>
    <col min="11790" max="11790" width="6.42578125" style="208" bestFit="1" customWidth="1"/>
    <col min="11791" max="11792" width="8.42578125" style="208"/>
    <col min="11793" max="11793" width="3.28515625" style="208" customWidth="1"/>
    <col min="11794" max="12032" width="8.42578125" style="208"/>
    <col min="12033" max="12033" width="10" style="208" bestFit="1" customWidth="1"/>
    <col min="12034" max="12034" width="44.28515625" style="208" bestFit="1" customWidth="1"/>
    <col min="12035" max="12035" width="10.42578125" style="208" bestFit="1" customWidth="1"/>
    <col min="12036" max="12036" width="10.42578125" style="208" customWidth="1"/>
    <col min="12037" max="12037" width="9.7109375" style="208" bestFit="1" customWidth="1"/>
    <col min="12038" max="12039" width="9.5703125" style="208" bestFit="1" customWidth="1"/>
    <col min="12040" max="12040" width="10.42578125" style="208" bestFit="1" customWidth="1"/>
    <col min="12041" max="12041" width="4.5703125" style="208" customWidth="1"/>
    <col min="12042" max="12042" width="1.85546875" style="208" customWidth="1"/>
    <col min="12043" max="12043" width="7" style="208" bestFit="1" customWidth="1"/>
    <col min="12044" max="12044" width="6.28515625" style="208" customWidth="1"/>
    <col min="12045" max="12045" width="20.42578125" style="208" customWidth="1"/>
    <col min="12046" max="12046" width="6.42578125" style="208" bestFit="1" customWidth="1"/>
    <col min="12047" max="12048" width="8.42578125" style="208"/>
    <col min="12049" max="12049" width="3.28515625" style="208" customWidth="1"/>
    <col min="12050" max="12288" width="8.42578125" style="208"/>
    <col min="12289" max="12289" width="10" style="208" bestFit="1" customWidth="1"/>
    <col min="12290" max="12290" width="44.28515625" style="208" bestFit="1" customWidth="1"/>
    <col min="12291" max="12291" width="10.42578125" style="208" bestFit="1" customWidth="1"/>
    <col min="12292" max="12292" width="10.42578125" style="208" customWidth="1"/>
    <col min="12293" max="12293" width="9.7109375" style="208" bestFit="1" customWidth="1"/>
    <col min="12294" max="12295" width="9.5703125" style="208" bestFit="1" customWidth="1"/>
    <col min="12296" max="12296" width="10.42578125" style="208" bestFit="1" customWidth="1"/>
    <col min="12297" max="12297" width="4.5703125" style="208" customWidth="1"/>
    <col min="12298" max="12298" width="1.85546875" style="208" customWidth="1"/>
    <col min="12299" max="12299" width="7" style="208" bestFit="1" customWidth="1"/>
    <col min="12300" max="12300" width="6.28515625" style="208" customWidth="1"/>
    <col min="12301" max="12301" width="20.42578125" style="208" customWidth="1"/>
    <col min="12302" max="12302" width="6.42578125" style="208" bestFit="1" customWidth="1"/>
    <col min="12303" max="12304" width="8.42578125" style="208"/>
    <col min="12305" max="12305" width="3.28515625" style="208" customWidth="1"/>
    <col min="12306" max="12544" width="8.42578125" style="208"/>
    <col min="12545" max="12545" width="10" style="208" bestFit="1" customWidth="1"/>
    <col min="12546" max="12546" width="44.28515625" style="208" bestFit="1" customWidth="1"/>
    <col min="12547" max="12547" width="10.42578125" style="208" bestFit="1" customWidth="1"/>
    <col min="12548" max="12548" width="10.42578125" style="208" customWidth="1"/>
    <col min="12549" max="12549" width="9.7109375" style="208" bestFit="1" customWidth="1"/>
    <col min="12550" max="12551" width="9.5703125" style="208" bestFit="1" customWidth="1"/>
    <col min="12552" max="12552" width="10.42578125" style="208" bestFit="1" customWidth="1"/>
    <col min="12553" max="12553" width="4.5703125" style="208" customWidth="1"/>
    <col min="12554" max="12554" width="1.85546875" style="208" customWidth="1"/>
    <col min="12555" max="12555" width="7" style="208" bestFit="1" customWidth="1"/>
    <col min="12556" max="12556" width="6.28515625" style="208" customWidth="1"/>
    <col min="12557" max="12557" width="20.42578125" style="208" customWidth="1"/>
    <col min="12558" max="12558" width="6.42578125" style="208" bestFit="1" customWidth="1"/>
    <col min="12559" max="12560" width="8.42578125" style="208"/>
    <col min="12561" max="12561" width="3.28515625" style="208" customWidth="1"/>
    <col min="12562" max="12800" width="8.42578125" style="208"/>
    <col min="12801" max="12801" width="10" style="208" bestFit="1" customWidth="1"/>
    <col min="12802" max="12802" width="44.28515625" style="208" bestFit="1" customWidth="1"/>
    <col min="12803" max="12803" width="10.42578125" style="208" bestFit="1" customWidth="1"/>
    <col min="12804" max="12804" width="10.42578125" style="208" customWidth="1"/>
    <col min="12805" max="12805" width="9.7109375" style="208" bestFit="1" customWidth="1"/>
    <col min="12806" max="12807" width="9.5703125" style="208" bestFit="1" customWidth="1"/>
    <col min="12808" max="12808" width="10.42578125" style="208" bestFit="1" customWidth="1"/>
    <col min="12809" max="12809" width="4.5703125" style="208" customWidth="1"/>
    <col min="12810" max="12810" width="1.85546875" style="208" customWidth="1"/>
    <col min="12811" max="12811" width="7" style="208" bestFit="1" customWidth="1"/>
    <col min="12812" max="12812" width="6.28515625" style="208" customWidth="1"/>
    <col min="12813" max="12813" width="20.42578125" style="208" customWidth="1"/>
    <col min="12814" max="12814" width="6.42578125" style="208" bestFit="1" customWidth="1"/>
    <col min="12815" max="12816" width="8.42578125" style="208"/>
    <col min="12817" max="12817" width="3.28515625" style="208" customWidth="1"/>
    <col min="12818" max="13056" width="8.42578125" style="208"/>
    <col min="13057" max="13057" width="10" style="208" bestFit="1" customWidth="1"/>
    <col min="13058" max="13058" width="44.28515625" style="208" bestFit="1" customWidth="1"/>
    <col min="13059" max="13059" width="10.42578125" style="208" bestFit="1" customWidth="1"/>
    <col min="13060" max="13060" width="10.42578125" style="208" customWidth="1"/>
    <col min="13061" max="13061" width="9.7109375" style="208" bestFit="1" customWidth="1"/>
    <col min="13062" max="13063" width="9.5703125" style="208" bestFit="1" customWidth="1"/>
    <col min="13064" max="13064" width="10.42578125" style="208" bestFit="1" customWidth="1"/>
    <col min="13065" max="13065" width="4.5703125" style="208" customWidth="1"/>
    <col min="13066" max="13066" width="1.85546875" style="208" customWidth="1"/>
    <col min="13067" max="13067" width="7" style="208" bestFit="1" customWidth="1"/>
    <col min="13068" max="13068" width="6.28515625" style="208" customWidth="1"/>
    <col min="13069" max="13069" width="20.42578125" style="208" customWidth="1"/>
    <col min="13070" max="13070" width="6.42578125" style="208" bestFit="1" customWidth="1"/>
    <col min="13071" max="13072" width="8.42578125" style="208"/>
    <col min="13073" max="13073" width="3.28515625" style="208" customWidth="1"/>
    <col min="13074" max="13312" width="8.42578125" style="208"/>
    <col min="13313" max="13313" width="10" style="208" bestFit="1" customWidth="1"/>
    <col min="13314" max="13314" width="44.28515625" style="208" bestFit="1" customWidth="1"/>
    <col min="13315" max="13315" width="10.42578125" style="208" bestFit="1" customWidth="1"/>
    <col min="13316" max="13316" width="10.42578125" style="208" customWidth="1"/>
    <col min="13317" max="13317" width="9.7109375" style="208" bestFit="1" customWidth="1"/>
    <col min="13318" max="13319" width="9.5703125" style="208" bestFit="1" customWidth="1"/>
    <col min="13320" max="13320" width="10.42578125" style="208" bestFit="1" customWidth="1"/>
    <col min="13321" max="13321" width="4.5703125" style="208" customWidth="1"/>
    <col min="13322" max="13322" width="1.85546875" style="208" customWidth="1"/>
    <col min="13323" max="13323" width="7" style="208" bestFit="1" customWidth="1"/>
    <col min="13324" max="13324" width="6.28515625" style="208" customWidth="1"/>
    <col min="13325" max="13325" width="20.42578125" style="208" customWidth="1"/>
    <col min="13326" max="13326" width="6.42578125" style="208" bestFit="1" customWidth="1"/>
    <col min="13327" max="13328" width="8.42578125" style="208"/>
    <col min="13329" max="13329" width="3.28515625" style="208" customWidth="1"/>
    <col min="13330" max="13568" width="8.42578125" style="208"/>
    <col min="13569" max="13569" width="10" style="208" bestFit="1" customWidth="1"/>
    <col min="13570" max="13570" width="44.28515625" style="208" bestFit="1" customWidth="1"/>
    <col min="13571" max="13571" width="10.42578125" style="208" bestFit="1" customWidth="1"/>
    <col min="13572" max="13572" width="10.42578125" style="208" customWidth="1"/>
    <col min="13573" max="13573" width="9.7109375" style="208" bestFit="1" customWidth="1"/>
    <col min="13574" max="13575" width="9.5703125" style="208" bestFit="1" customWidth="1"/>
    <col min="13576" max="13576" width="10.42578125" style="208" bestFit="1" customWidth="1"/>
    <col min="13577" max="13577" width="4.5703125" style="208" customWidth="1"/>
    <col min="13578" max="13578" width="1.85546875" style="208" customWidth="1"/>
    <col min="13579" max="13579" width="7" style="208" bestFit="1" customWidth="1"/>
    <col min="13580" max="13580" width="6.28515625" style="208" customWidth="1"/>
    <col min="13581" max="13581" width="20.42578125" style="208" customWidth="1"/>
    <col min="13582" max="13582" width="6.42578125" style="208" bestFit="1" customWidth="1"/>
    <col min="13583" max="13584" width="8.42578125" style="208"/>
    <col min="13585" max="13585" width="3.28515625" style="208" customWidth="1"/>
    <col min="13586" max="13824" width="8.42578125" style="208"/>
    <col min="13825" max="13825" width="10" style="208" bestFit="1" customWidth="1"/>
    <col min="13826" max="13826" width="44.28515625" style="208" bestFit="1" customWidth="1"/>
    <col min="13827" max="13827" width="10.42578125" style="208" bestFit="1" customWidth="1"/>
    <col min="13828" max="13828" width="10.42578125" style="208" customWidth="1"/>
    <col min="13829" max="13829" width="9.7109375" style="208" bestFit="1" customWidth="1"/>
    <col min="13830" max="13831" width="9.5703125" style="208" bestFit="1" customWidth="1"/>
    <col min="13832" max="13832" width="10.42578125" style="208" bestFit="1" customWidth="1"/>
    <col min="13833" max="13833" width="4.5703125" style="208" customWidth="1"/>
    <col min="13834" max="13834" width="1.85546875" style="208" customWidth="1"/>
    <col min="13835" max="13835" width="7" style="208" bestFit="1" customWidth="1"/>
    <col min="13836" max="13836" width="6.28515625" style="208" customWidth="1"/>
    <col min="13837" max="13837" width="20.42578125" style="208" customWidth="1"/>
    <col min="13838" max="13838" width="6.42578125" style="208" bestFit="1" customWidth="1"/>
    <col min="13839" max="13840" width="8.42578125" style="208"/>
    <col min="13841" max="13841" width="3.28515625" style="208" customWidth="1"/>
    <col min="13842" max="14080" width="8.42578125" style="208"/>
    <col min="14081" max="14081" width="10" style="208" bestFit="1" customWidth="1"/>
    <col min="14082" max="14082" width="44.28515625" style="208" bestFit="1" customWidth="1"/>
    <col min="14083" max="14083" width="10.42578125" style="208" bestFit="1" customWidth="1"/>
    <col min="14084" max="14084" width="10.42578125" style="208" customWidth="1"/>
    <col min="14085" max="14085" width="9.7109375" style="208" bestFit="1" customWidth="1"/>
    <col min="14086" max="14087" width="9.5703125" style="208" bestFit="1" customWidth="1"/>
    <col min="14088" max="14088" width="10.42578125" style="208" bestFit="1" customWidth="1"/>
    <col min="14089" max="14089" width="4.5703125" style="208" customWidth="1"/>
    <col min="14090" max="14090" width="1.85546875" style="208" customWidth="1"/>
    <col min="14091" max="14091" width="7" style="208" bestFit="1" customWidth="1"/>
    <col min="14092" max="14092" width="6.28515625" style="208" customWidth="1"/>
    <col min="14093" max="14093" width="20.42578125" style="208" customWidth="1"/>
    <col min="14094" max="14094" width="6.42578125" style="208" bestFit="1" customWidth="1"/>
    <col min="14095" max="14096" width="8.42578125" style="208"/>
    <col min="14097" max="14097" width="3.28515625" style="208" customWidth="1"/>
    <col min="14098" max="14336" width="8.42578125" style="208"/>
    <col min="14337" max="14337" width="10" style="208" bestFit="1" customWidth="1"/>
    <col min="14338" max="14338" width="44.28515625" style="208" bestFit="1" customWidth="1"/>
    <col min="14339" max="14339" width="10.42578125" style="208" bestFit="1" customWidth="1"/>
    <col min="14340" max="14340" width="10.42578125" style="208" customWidth="1"/>
    <col min="14341" max="14341" width="9.7109375" style="208" bestFit="1" customWidth="1"/>
    <col min="14342" max="14343" width="9.5703125" style="208" bestFit="1" customWidth="1"/>
    <col min="14344" max="14344" width="10.42578125" style="208" bestFit="1" customWidth="1"/>
    <col min="14345" max="14345" width="4.5703125" style="208" customWidth="1"/>
    <col min="14346" max="14346" width="1.85546875" style="208" customWidth="1"/>
    <col min="14347" max="14347" width="7" style="208" bestFit="1" customWidth="1"/>
    <col min="14348" max="14348" width="6.28515625" style="208" customWidth="1"/>
    <col min="14349" max="14349" width="20.42578125" style="208" customWidth="1"/>
    <col min="14350" max="14350" width="6.42578125" style="208" bestFit="1" customWidth="1"/>
    <col min="14351" max="14352" width="8.42578125" style="208"/>
    <col min="14353" max="14353" width="3.28515625" style="208" customWidth="1"/>
    <col min="14354" max="14592" width="8.42578125" style="208"/>
    <col min="14593" max="14593" width="10" style="208" bestFit="1" customWidth="1"/>
    <col min="14594" max="14594" width="44.28515625" style="208" bestFit="1" customWidth="1"/>
    <col min="14595" max="14595" width="10.42578125" style="208" bestFit="1" customWidth="1"/>
    <col min="14596" max="14596" width="10.42578125" style="208" customWidth="1"/>
    <col min="14597" max="14597" width="9.7109375" style="208" bestFit="1" customWidth="1"/>
    <col min="14598" max="14599" width="9.5703125" style="208" bestFit="1" customWidth="1"/>
    <col min="14600" max="14600" width="10.42578125" style="208" bestFit="1" customWidth="1"/>
    <col min="14601" max="14601" width="4.5703125" style="208" customWidth="1"/>
    <col min="14602" max="14602" width="1.85546875" style="208" customWidth="1"/>
    <col min="14603" max="14603" width="7" style="208" bestFit="1" customWidth="1"/>
    <col min="14604" max="14604" width="6.28515625" style="208" customWidth="1"/>
    <col min="14605" max="14605" width="20.42578125" style="208" customWidth="1"/>
    <col min="14606" max="14606" width="6.42578125" style="208" bestFit="1" customWidth="1"/>
    <col min="14607" max="14608" width="8.42578125" style="208"/>
    <col min="14609" max="14609" width="3.28515625" style="208" customWidth="1"/>
    <col min="14610" max="14848" width="8.42578125" style="208"/>
    <col min="14849" max="14849" width="10" style="208" bestFit="1" customWidth="1"/>
    <col min="14850" max="14850" width="44.28515625" style="208" bestFit="1" customWidth="1"/>
    <col min="14851" max="14851" width="10.42578125" style="208" bestFit="1" customWidth="1"/>
    <col min="14852" max="14852" width="10.42578125" style="208" customWidth="1"/>
    <col min="14853" max="14853" width="9.7109375" style="208" bestFit="1" customWidth="1"/>
    <col min="14854" max="14855" width="9.5703125" style="208" bestFit="1" customWidth="1"/>
    <col min="14856" max="14856" width="10.42578125" style="208" bestFit="1" customWidth="1"/>
    <col min="14857" max="14857" width="4.5703125" style="208" customWidth="1"/>
    <col min="14858" max="14858" width="1.85546875" style="208" customWidth="1"/>
    <col min="14859" max="14859" width="7" style="208" bestFit="1" customWidth="1"/>
    <col min="14860" max="14860" width="6.28515625" style="208" customWidth="1"/>
    <col min="14861" max="14861" width="20.42578125" style="208" customWidth="1"/>
    <col min="14862" max="14862" width="6.42578125" style="208" bestFit="1" customWidth="1"/>
    <col min="14863" max="14864" width="8.42578125" style="208"/>
    <col min="14865" max="14865" width="3.28515625" style="208" customWidth="1"/>
    <col min="14866" max="15104" width="8.42578125" style="208"/>
    <col min="15105" max="15105" width="10" style="208" bestFit="1" customWidth="1"/>
    <col min="15106" max="15106" width="44.28515625" style="208" bestFit="1" customWidth="1"/>
    <col min="15107" max="15107" width="10.42578125" style="208" bestFit="1" customWidth="1"/>
    <col min="15108" max="15108" width="10.42578125" style="208" customWidth="1"/>
    <col min="15109" max="15109" width="9.7109375" style="208" bestFit="1" customWidth="1"/>
    <col min="15110" max="15111" width="9.5703125" style="208" bestFit="1" customWidth="1"/>
    <col min="15112" max="15112" width="10.42578125" style="208" bestFit="1" customWidth="1"/>
    <col min="15113" max="15113" width="4.5703125" style="208" customWidth="1"/>
    <col min="15114" max="15114" width="1.85546875" style="208" customWidth="1"/>
    <col min="15115" max="15115" width="7" style="208" bestFit="1" customWidth="1"/>
    <col min="15116" max="15116" width="6.28515625" style="208" customWidth="1"/>
    <col min="15117" max="15117" width="20.42578125" style="208" customWidth="1"/>
    <col min="15118" max="15118" width="6.42578125" style="208" bestFit="1" customWidth="1"/>
    <col min="15119" max="15120" width="8.42578125" style="208"/>
    <col min="15121" max="15121" width="3.28515625" style="208" customWidth="1"/>
    <col min="15122" max="15360" width="8.42578125" style="208"/>
    <col min="15361" max="15361" width="10" style="208" bestFit="1" customWidth="1"/>
    <col min="15362" max="15362" width="44.28515625" style="208" bestFit="1" customWidth="1"/>
    <col min="15363" max="15363" width="10.42578125" style="208" bestFit="1" customWidth="1"/>
    <col min="15364" max="15364" width="10.42578125" style="208" customWidth="1"/>
    <col min="15365" max="15365" width="9.7109375" style="208" bestFit="1" customWidth="1"/>
    <col min="15366" max="15367" width="9.5703125" style="208" bestFit="1" customWidth="1"/>
    <col min="15368" max="15368" width="10.42578125" style="208" bestFit="1" customWidth="1"/>
    <col min="15369" max="15369" width="4.5703125" style="208" customWidth="1"/>
    <col min="15370" max="15370" width="1.85546875" style="208" customWidth="1"/>
    <col min="15371" max="15371" width="7" style="208" bestFit="1" customWidth="1"/>
    <col min="15372" max="15372" width="6.28515625" style="208" customWidth="1"/>
    <col min="15373" max="15373" width="20.42578125" style="208" customWidth="1"/>
    <col min="15374" max="15374" width="6.42578125" style="208" bestFit="1" customWidth="1"/>
    <col min="15375" max="15376" width="8.42578125" style="208"/>
    <col min="15377" max="15377" width="3.28515625" style="208" customWidth="1"/>
    <col min="15378" max="15616" width="8.42578125" style="208"/>
    <col min="15617" max="15617" width="10" style="208" bestFit="1" customWidth="1"/>
    <col min="15618" max="15618" width="44.28515625" style="208" bestFit="1" customWidth="1"/>
    <col min="15619" max="15619" width="10.42578125" style="208" bestFit="1" customWidth="1"/>
    <col min="15620" max="15620" width="10.42578125" style="208" customWidth="1"/>
    <col min="15621" max="15621" width="9.7109375" style="208" bestFit="1" customWidth="1"/>
    <col min="15622" max="15623" width="9.5703125" style="208" bestFit="1" customWidth="1"/>
    <col min="15624" max="15624" width="10.42578125" style="208" bestFit="1" customWidth="1"/>
    <col min="15625" max="15625" width="4.5703125" style="208" customWidth="1"/>
    <col min="15626" max="15626" width="1.85546875" style="208" customWidth="1"/>
    <col min="15627" max="15627" width="7" style="208" bestFit="1" customWidth="1"/>
    <col min="15628" max="15628" width="6.28515625" style="208" customWidth="1"/>
    <col min="15629" max="15629" width="20.42578125" style="208" customWidth="1"/>
    <col min="15630" max="15630" width="6.42578125" style="208" bestFit="1" customWidth="1"/>
    <col min="15631" max="15632" width="8.42578125" style="208"/>
    <col min="15633" max="15633" width="3.28515625" style="208" customWidth="1"/>
    <col min="15634" max="15872" width="8.42578125" style="208"/>
    <col min="15873" max="15873" width="10" style="208" bestFit="1" customWidth="1"/>
    <col min="15874" max="15874" width="44.28515625" style="208" bestFit="1" customWidth="1"/>
    <col min="15875" max="15875" width="10.42578125" style="208" bestFit="1" customWidth="1"/>
    <col min="15876" max="15876" width="10.42578125" style="208" customWidth="1"/>
    <col min="15877" max="15877" width="9.7109375" style="208" bestFit="1" customWidth="1"/>
    <col min="15878" max="15879" width="9.5703125" style="208" bestFit="1" customWidth="1"/>
    <col min="15880" max="15880" width="10.42578125" style="208" bestFit="1" customWidth="1"/>
    <col min="15881" max="15881" width="4.5703125" style="208" customWidth="1"/>
    <col min="15882" max="15882" width="1.85546875" style="208" customWidth="1"/>
    <col min="15883" max="15883" width="7" style="208" bestFit="1" customWidth="1"/>
    <col min="15884" max="15884" width="6.28515625" style="208" customWidth="1"/>
    <col min="15885" max="15885" width="20.42578125" style="208" customWidth="1"/>
    <col min="15886" max="15886" width="6.42578125" style="208" bestFit="1" customWidth="1"/>
    <col min="15887" max="15888" width="8.42578125" style="208"/>
    <col min="15889" max="15889" width="3.28515625" style="208" customWidth="1"/>
    <col min="15890" max="16128" width="8.42578125" style="208"/>
    <col min="16129" max="16129" width="10" style="208" bestFit="1" customWidth="1"/>
    <col min="16130" max="16130" width="44.28515625" style="208" bestFit="1" customWidth="1"/>
    <col min="16131" max="16131" width="10.42578125" style="208" bestFit="1" customWidth="1"/>
    <col min="16132" max="16132" width="10.42578125" style="208" customWidth="1"/>
    <col min="16133" max="16133" width="9.7109375" style="208" bestFit="1" customWidth="1"/>
    <col min="16134" max="16135" width="9.5703125" style="208" bestFit="1" customWidth="1"/>
    <col min="16136" max="16136" width="10.42578125" style="208" bestFit="1" customWidth="1"/>
    <col min="16137" max="16137" width="4.5703125" style="208" customWidth="1"/>
    <col min="16138" max="16138" width="1.85546875" style="208" customWidth="1"/>
    <col min="16139" max="16139" width="7" style="208" bestFit="1" customWidth="1"/>
    <col min="16140" max="16140" width="6.28515625" style="208" customWidth="1"/>
    <col min="16141" max="16141" width="20.42578125" style="208" customWidth="1"/>
    <col min="16142" max="16142" width="6.42578125" style="208" bestFit="1" customWidth="1"/>
    <col min="16143" max="16144" width="8.42578125" style="208"/>
    <col min="16145" max="16145" width="3.28515625" style="208" customWidth="1"/>
    <col min="16146" max="16384" width="8.42578125" style="208"/>
  </cols>
  <sheetData>
    <row r="1" spans="1:10" ht="27.75" customHeight="1" x14ac:dyDescent="0.2">
      <c r="A1" s="203"/>
      <c r="B1" s="203"/>
      <c r="C1" s="203"/>
      <c r="D1" s="203"/>
      <c r="E1" s="204" t="s">
        <v>172</v>
      </c>
      <c r="F1" s="205" t="s">
        <v>173</v>
      </c>
      <c r="G1" s="205" t="s">
        <v>174</v>
      </c>
      <c r="H1" s="205" t="s">
        <v>175</v>
      </c>
      <c r="I1" s="206"/>
    </row>
    <row r="2" spans="1:10" ht="30.75" customHeight="1" x14ac:dyDescent="0.2">
      <c r="A2" s="203"/>
      <c r="B2" s="203"/>
      <c r="C2" s="203"/>
      <c r="D2" s="203"/>
      <c r="E2" s="209">
        <f>IFERROR(O68,"")</f>
        <v>27706.43</v>
      </c>
      <c r="F2" s="209">
        <f>IFERROR(H59,"")</f>
        <v>26295.85</v>
      </c>
      <c r="G2" s="209">
        <f>IFERROR(H60,"")</f>
        <v>0.57999999999999996</v>
      </c>
      <c r="H2" s="209">
        <f>IFERROR(H62,"")</f>
        <v>770</v>
      </c>
      <c r="I2" s="210"/>
    </row>
    <row r="3" spans="1:10" ht="15" customHeight="1" x14ac:dyDescent="0.2">
      <c r="A3" s="203"/>
      <c r="B3" s="203"/>
      <c r="C3" s="203"/>
      <c r="D3" s="203"/>
      <c r="E3" s="203"/>
      <c r="F3" s="211"/>
      <c r="G3" s="211"/>
      <c r="H3" s="211"/>
      <c r="I3" s="211"/>
    </row>
    <row r="4" spans="1:10" ht="24.75" customHeight="1" thickBot="1" x14ac:dyDescent="0.25">
      <c r="A4" s="728"/>
      <c r="B4" s="728"/>
      <c r="C4" s="728"/>
      <c r="D4" s="728"/>
      <c r="E4" s="728"/>
      <c r="F4" s="728"/>
      <c r="G4" s="728"/>
      <c r="H4" s="728"/>
      <c r="I4" s="212"/>
    </row>
    <row r="5" spans="1:10" ht="19.5" customHeight="1" thickBot="1" x14ac:dyDescent="0.25">
      <c r="A5" s="729" t="s">
        <v>176</v>
      </c>
      <c r="B5" s="730"/>
      <c r="C5" s="730"/>
      <c r="D5" s="730"/>
      <c r="E5" s="730"/>
      <c r="F5" s="730"/>
      <c r="G5" s="730"/>
      <c r="H5" s="731"/>
      <c r="I5" s="213"/>
    </row>
    <row r="6" spans="1:10" ht="19.5" thickBot="1" x14ac:dyDescent="0.25">
      <c r="A6" s="213"/>
      <c r="B6" s="213"/>
      <c r="C6" s="213"/>
      <c r="D6" s="213"/>
      <c r="E6" s="213"/>
      <c r="F6" s="732" t="s">
        <v>177</v>
      </c>
      <c r="G6" s="732"/>
      <c r="H6" s="214">
        <f ca="1">TODAY()</f>
        <v>45831</v>
      </c>
      <c r="I6" s="214"/>
    </row>
    <row r="7" spans="1:10" ht="26.25" thickBot="1" x14ac:dyDescent="0.25">
      <c r="A7" s="215" t="s">
        <v>178</v>
      </c>
      <c r="B7" s="216" t="s">
        <v>179</v>
      </c>
      <c r="C7" s="216" t="s">
        <v>178</v>
      </c>
      <c r="D7" s="217" t="s">
        <v>180</v>
      </c>
      <c r="E7" s="217" t="s">
        <v>181</v>
      </c>
      <c r="F7" s="217" t="s">
        <v>182</v>
      </c>
      <c r="G7" s="217" t="s">
        <v>183</v>
      </c>
      <c r="H7" s="218" t="s">
        <v>184</v>
      </c>
      <c r="I7" s="219"/>
    </row>
    <row r="8" spans="1:10" ht="13.5" x14ac:dyDescent="0.25">
      <c r="A8" s="220">
        <v>3500</v>
      </c>
      <c r="B8" s="208" t="str">
        <f>IFERROR(VLOOKUP(H8,'[1]Consolidado MP Planta'!$A$2:$M$823,3,0),"")</f>
        <v>QUESO CREMA PANADERO (CAJA: 5 K)</v>
      </c>
      <c r="C8" s="221">
        <f>+A8</f>
        <v>3500</v>
      </c>
      <c r="D8" s="222" t="str">
        <f>IFERROR(VLOOKUP(H8,'[1]Consolidado MP Planta'!$A$2:$M$823,13,0),"")</f>
        <v>Gramos</v>
      </c>
      <c r="E8" s="222">
        <v>3.07</v>
      </c>
      <c r="F8" s="222">
        <f>IFERROR(C8*E8,"")</f>
        <v>10745</v>
      </c>
      <c r="G8" s="223">
        <f>IFERROR(F8/$F$72,"")</f>
        <v>0.38941957347810968</v>
      </c>
      <c r="H8" s="224" t="s">
        <v>107</v>
      </c>
      <c r="I8" s="224"/>
      <c r="J8" s="225"/>
    </row>
    <row r="9" spans="1:10" ht="13.5" x14ac:dyDescent="0.25">
      <c r="A9" s="220">
        <v>3500</v>
      </c>
      <c r="B9" s="208" t="s">
        <v>120</v>
      </c>
      <c r="C9" s="221">
        <f t="shared" ref="C9:C20" si="0">+A9</f>
        <v>3500</v>
      </c>
      <c r="D9" s="222" t="s">
        <v>223</v>
      </c>
      <c r="E9" s="222">
        <v>2.56</v>
      </c>
      <c r="F9" s="222">
        <f t="shared" ref="F9:F20" si="1">IFERROR(C9*E9,"")</f>
        <v>8960</v>
      </c>
      <c r="G9" s="223">
        <f>IFERROR(F9/$F$72,"")</f>
        <v>0.32472772250943349</v>
      </c>
      <c r="H9" s="224" t="s">
        <v>119</v>
      </c>
      <c r="I9" s="224"/>
      <c r="J9" s="225"/>
    </row>
    <row r="10" spans="1:10" ht="13.5" x14ac:dyDescent="0.25">
      <c r="A10" s="220">
        <v>2700</v>
      </c>
      <c r="B10" s="208" t="str">
        <f>IFERROR(VLOOKUP(H10,'[1]Consolidado MP Planta'!$A$2:$M$823,3,0),"")</f>
        <v>CREMA PRESTIGE GRAND (UND:4 K) *</v>
      </c>
      <c r="C10" s="221">
        <f t="shared" si="0"/>
        <v>2700</v>
      </c>
      <c r="D10" s="222" t="str">
        <f>IFERROR(VLOOKUP(H10,'[1]Consolidado MP Planta'!$A$2:$M$823,13,0),"")</f>
        <v>Gramos</v>
      </c>
      <c r="E10" s="222">
        <v>2.09</v>
      </c>
      <c r="F10" s="222">
        <f t="shared" si="1"/>
        <v>5643</v>
      </c>
      <c r="G10" s="223">
        <f>IFERROR(F10/$F$72,"")</f>
        <v>0.20451322970097469</v>
      </c>
      <c r="H10" s="224" t="s">
        <v>224</v>
      </c>
      <c r="I10" s="224"/>
      <c r="J10" s="225"/>
    </row>
    <row r="11" spans="1:10" ht="13.5" x14ac:dyDescent="0.25">
      <c r="A11" s="220">
        <v>3</v>
      </c>
      <c r="B11" s="208" t="str">
        <f>IFERROR(VLOOKUP(H11,'[1]Consolidado MP Planta'!$A$2:$M$823,3,0),"")</f>
        <v>LIMON EN POLVO (SACO:25 KG)</v>
      </c>
      <c r="C11" s="221">
        <f t="shared" ref="C11:C16" si="2">+A11</f>
        <v>3</v>
      </c>
      <c r="D11" s="222" t="str">
        <f>IFERROR(VLOOKUP(H11,'[1]Consolidado MP Planta'!$A$2:$M$823,13,0),"")</f>
        <v>Gramos</v>
      </c>
      <c r="E11" s="222">
        <v>6</v>
      </c>
      <c r="F11" s="222">
        <f t="shared" ref="F11:F16" si="3">IFERROR(C11*E11,"")</f>
        <v>18</v>
      </c>
      <c r="G11" s="223">
        <f t="shared" ref="G11:G16" si="4">IFERROR(F11/$F$72,"")</f>
        <v>6.5235479968412974E-4</v>
      </c>
      <c r="H11" s="224" t="s">
        <v>124</v>
      </c>
      <c r="I11" s="224"/>
      <c r="J11" s="225"/>
    </row>
    <row r="12" spans="1:10" ht="13.5" x14ac:dyDescent="0.25">
      <c r="A12" s="220">
        <v>60</v>
      </c>
      <c r="B12" s="208" t="s">
        <v>128</v>
      </c>
      <c r="C12" s="221">
        <f t="shared" si="2"/>
        <v>60</v>
      </c>
      <c r="D12" s="222" t="s">
        <v>223</v>
      </c>
      <c r="E12" s="222">
        <v>13.01</v>
      </c>
      <c r="F12" s="222">
        <f t="shared" si="3"/>
        <v>780.6</v>
      </c>
      <c r="G12" s="223">
        <f t="shared" si="4"/>
        <v>2.8290453146301762E-2</v>
      </c>
      <c r="H12" s="224" t="s">
        <v>127</v>
      </c>
      <c r="I12" s="224"/>
      <c r="J12" s="225"/>
    </row>
    <row r="13" spans="1:10" ht="13.5" x14ac:dyDescent="0.25">
      <c r="A13" s="220">
        <v>15</v>
      </c>
      <c r="B13" s="208" t="str">
        <f>IFERROR(VLOOKUP(H13,'[1]Consolidado MP Planta'!$A$2:$M$823,3,0),"")</f>
        <v>PRESERVANTE 1047S (PAQ=5 KILO)</v>
      </c>
      <c r="C13" s="221">
        <f t="shared" si="2"/>
        <v>15</v>
      </c>
      <c r="D13" s="222" t="str">
        <f>IFERROR(VLOOKUP(H13,'[1]Consolidado MP Planta'!$A$2:$M$823,13,0),"")</f>
        <v>Gramos</v>
      </c>
      <c r="E13" s="222">
        <v>9.9499999999999993</v>
      </c>
      <c r="F13" s="222">
        <f t="shared" si="3"/>
        <v>149.25</v>
      </c>
      <c r="G13" s="223">
        <f t="shared" si="4"/>
        <v>5.409108547380909E-3</v>
      </c>
      <c r="H13" s="224" t="s">
        <v>88</v>
      </c>
      <c r="I13" s="224"/>
      <c r="J13" s="225"/>
    </row>
    <row r="14" spans="1:10" ht="13.5" hidden="1" x14ac:dyDescent="0.25">
      <c r="A14" s="220"/>
      <c r="B14" s="208" t="str">
        <f>IFERROR(VLOOKUP(H14,'[1]Consolidado MP Planta'!$A$2:$M$823,3,0),"")</f>
        <v/>
      </c>
      <c r="C14" s="221">
        <f t="shared" si="2"/>
        <v>0</v>
      </c>
      <c r="D14" s="222" t="str">
        <f>IFERROR(VLOOKUP(H14,'[1]Consolidado MP Planta'!$A$2:$M$823,13,0),"")</f>
        <v/>
      </c>
      <c r="E14" s="222" t="str">
        <f>IFERROR(VLOOKUP(H14,'[1]Consolidado MP Planta'!$A$2:$M$823,12,0),"")</f>
        <v/>
      </c>
      <c r="F14" s="222" t="str">
        <f t="shared" si="3"/>
        <v/>
      </c>
      <c r="G14" s="223" t="str">
        <f t="shared" si="4"/>
        <v/>
      </c>
      <c r="H14" s="224"/>
      <c r="I14" s="224"/>
      <c r="J14" s="225"/>
    </row>
    <row r="15" spans="1:10" ht="13.5" hidden="1" x14ac:dyDescent="0.25">
      <c r="A15" s="220"/>
      <c r="B15" s="208" t="str">
        <f>IFERROR(VLOOKUP(H15,'[1]Consolidado MP Planta'!$A$2:$M$823,3,0),"")</f>
        <v/>
      </c>
      <c r="C15" s="221">
        <f t="shared" si="2"/>
        <v>0</v>
      </c>
      <c r="D15" s="222" t="str">
        <f>IFERROR(VLOOKUP(H15,'[1]Consolidado MP Planta'!$A$2:$M$823,13,0),"")</f>
        <v/>
      </c>
      <c r="E15" s="222" t="str">
        <f>IFERROR(VLOOKUP(H15,'[1]Consolidado MP Planta'!$A$2:$M$823,12,0),"")</f>
        <v/>
      </c>
      <c r="F15" s="222" t="str">
        <f t="shared" si="3"/>
        <v/>
      </c>
      <c r="G15" s="223" t="str">
        <f t="shared" si="4"/>
        <v/>
      </c>
      <c r="H15" s="224"/>
      <c r="I15" s="224"/>
      <c r="J15" s="225"/>
    </row>
    <row r="16" spans="1:10" ht="13.5" hidden="1" x14ac:dyDescent="0.25">
      <c r="A16" s="220"/>
      <c r="B16" s="208" t="str">
        <f>IFERROR(VLOOKUP(H16,'[1]Consolidado MP Planta'!$A$2:$M$823,3,0),"")</f>
        <v/>
      </c>
      <c r="C16" s="221">
        <f t="shared" si="2"/>
        <v>0</v>
      </c>
      <c r="D16" s="222" t="str">
        <f>IFERROR(VLOOKUP(H16,'[1]Consolidado MP Planta'!$A$2:$M$823,13,0),"")</f>
        <v/>
      </c>
      <c r="E16" s="222" t="str">
        <f>IFERROR(VLOOKUP(H16,'[1]Consolidado MP Planta'!$A$2:$M$823,12,0),"")</f>
        <v/>
      </c>
      <c r="F16" s="222" t="str">
        <f t="shared" si="3"/>
        <v/>
      </c>
      <c r="G16" s="223" t="str">
        <f t="shared" si="4"/>
        <v/>
      </c>
      <c r="H16" s="224"/>
      <c r="I16" s="224"/>
      <c r="J16" s="225"/>
    </row>
    <row r="17" spans="1:10" ht="13.5" hidden="1" x14ac:dyDescent="0.25">
      <c r="A17" s="220"/>
      <c r="B17" s="208" t="str">
        <f>IFERROR(VLOOKUP(H17,'[1]Consolidado MP Planta'!$A$2:$M$823,3,0),"")</f>
        <v/>
      </c>
      <c r="C17" s="221">
        <f t="shared" si="0"/>
        <v>0</v>
      </c>
      <c r="D17" s="222" t="str">
        <f>IFERROR(VLOOKUP(H17,'[1]Consolidado MP Planta'!$A$2:$M$823,13,0),"")</f>
        <v/>
      </c>
      <c r="E17" s="222" t="str">
        <f>IFERROR(VLOOKUP(H17,'[1]Consolidado MP Planta'!$A$2:$M$823,12,0),"")</f>
        <v/>
      </c>
      <c r="F17" s="222" t="str">
        <f t="shared" si="1"/>
        <v/>
      </c>
      <c r="G17" s="223" t="str">
        <f>IFERROR(F17/$F$72,"")</f>
        <v/>
      </c>
      <c r="H17" s="224"/>
      <c r="I17" s="224"/>
      <c r="J17" s="225"/>
    </row>
    <row r="18" spans="1:10" ht="13.5" hidden="1" x14ac:dyDescent="0.25">
      <c r="A18" s="220"/>
      <c r="B18" s="208" t="str">
        <f>IFERROR(VLOOKUP(H18,'[1]Consolidado MP Planta'!$A$2:$M$823,3,0),"")</f>
        <v/>
      </c>
      <c r="C18" s="221">
        <f t="shared" si="0"/>
        <v>0</v>
      </c>
      <c r="D18" s="222" t="str">
        <f>IFERROR(VLOOKUP(H18,'[1]Consolidado MP Planta'!$A$2:$M$823,13,0),"")</f>
        <v/>
      </c>
      <c r="E18" s="222" t="str">
        <f>IFERROR(VLOOKUP(H18,'[1]Consolidado MP Planta'!$A$2:$M$823,12,0),"")</f>
        <v/>
      </c>
      <c r="F18" s="222" t="str">
        <f t="shared" si="1"/>
        <v/>
      </c>
      <c r="G18" s="223" t="str">
        <f>IFERROR(F18/$F$72,"")</f>
        <v/>
      </c>
      <c r="H18" s="224"/>
      <c r="I18" s="224"/>
      <c r="J18" s="225"/>
    </row>
    <row r="19" spans="1:10" ht="13.5" hidden="1" x14ac:dyDescent="0.25">
      <c r="A19" s="220"/>
      <c r="B19" s="208" t="str">
        <f>IFERROR(VLOOKUP(H19,'[1]Consolidado MP Planta'!$A$2:$M$823,3,0),"")</f>
        <v/>
      </c>
      <c r="C19" s="221">
        <f t="shared" si="0"/>
        <v>0</v>
      </c>
      <c r="D19" s="222" t="str">
        <f>IFERROR(VLOOKUP(H19,'[1]Consolidado MP Planta'!$A$2:$M$823,13,0),"")</f>
        <v/>
      </c>
      <c r="E19" s="222" t="str">
        <f>IFERROR(VLOOKUP(H19,'[1]Consolidado MP Planta'!$A$2:$M$823,12,0),"")</f>
        <v/>
      </c>
      <c r="F19" s="222" t="str">
        <f t="shared" si="1"/>
        <v/>
      </c>
      <c r="G19" s="223" t="str">
        <f>IFERROR(F19/$F$72,"")</f>
        <v/>
      </c>
      <c r="H19" s="224"/>
      <c r="I19" s="224"/>
      <c r="J19" s="225"/>
    </row>
    <row r="20" spans="1:10" ht="13.5" hidden="1" x14ac:dyDescent="0.25">
      <c r="A20" s="220"/>
      <c r="B20" s="208" t="str">
        <f>IFERROR(VLOOKUP(H20,'[1]Consolidado MP Planta'!$A$2:$M$823,3,0),"")</f>
        <v/>
      </c>
      <c r="C20" s="221">
        <f t="shared" si="0"/>
        <v>0</v>
      </c>
      <c r="D20" s="222" t="str">
        <f>IFERROR(VLOOKUP(H20,'[1]Consolidado MP Planta'!$A$2:$M$823,13,0),"")</f>
        <v/>
      </c>
      <c r="E20" s="222" t="str">
        <f>IFERROR(VLOOKUP(H20,'[1]Consolidado MP Planta'!$A$2:$M$823,12,0),"")</f>
        <v/>
      </c>
      <c r="F20" s="222" t="str">
        <f t="shared" si="1"/>
        <v/>
      </c>
      <c r="G20" s="223" t="str">
        <f>IFERROR(F20/$F$72,"")</f>
        <v/>
      </c>
      <c r="H20" s="224"/>
      <c r="I20" s="224"/>
      <c r="J20" s="225"/>
    </row>
    <row r="21" spans="1:10" ht="14.25" thickBot="1" x14ac:dyDescent="0.3">
      <c r="A21" s="220"/>
      <c r="B21" s="208" t="str">
        <f>IFERROR(VLOOKUP(H21,'[2]ARTICULOS MP PLANTA'!$A$2:$G$589,2,0),"")</f>
        <v/>
      </c>
      <c r="C21" s="221"/>
      <c r="D21" s="222"/>
      <c r="E21" s="222"/>
      <c r="F21" s="222"/>
      <c r="G21" s="223"/>
      <c r="H21" s="224"/>
      <c r="I21" s="224"/>
      <c r="J21" s="225"/>
    </row>
    <row r="22" spans="1:10" ht="26.25" hidden="1" thickBot="1" x14ac:dyDescent="0.25">
      <c r="A22" s="215" t="s">
        <v>178</v>
      </c>
      <c r="B22" s="216" t="s">
        <v>185</v>
      </c>
      <c r="C22" s="216" t="s">
        <v>178</v>
      </c>
      <c r="D22" s="217" t="s">
        <v>180</v>
      </c>
      <c r="E22" s="217" t="s">
        <v>181</v>
      </c>
      <c r="F22" s="217" t="s">
        <v>182</v>
      </c>
      <c r="G22" s="217" t="s">
        <v>183</v>
      </c>
      <c r="H22" s="218" t="s">
        <v>184</v>
      </c>
      <c r="I22" s="219"/>
      <c r="J22" s="225"/>
    </row>
    <row r="23" spans="1:10" ht="13.5" hidden="1" x14ac:dyDescent="0.25">
      <c r="A23" s="220"/>
      <c r="B23" s="208" t="str">
        <f>IFERROR(VLOOKUP(H23,[1]SEMIELABORADOS!$A$2:$M$6000,2,0),"")</f>
        <v/>
      </c>
      <c r="C23" s="221">
        <f>+A23</f>
        <v>0</v>
      </c>
      <c r="D23" s="221" t="str">
        <f>IFERROR(VLOOKUP(H23,[1]SEMIELABORADOS!$A$2:$M$6000,6,0),"")</f>
        <v/>
      </c>
      <c r="E23" s="222" t="str">
        <f>IFERROR(VLOOKUP(H23,[1]SEMIELABORADOS!$A$2:$H$65536,8,0),"")</f>
        <v/>
      </c>
      <c r="F23" s="222" t="str">
        <f>IFERROR(E23*C23,"")</f>
        <v/>
      </c>
      <c r="G23" s="223" t="str">
        <f t="shared" ref="G23:G30" si="5">IFERROR(F23/$F$72,"")</f>
        <v/>
      </c>
      <c r="H23" s="224"/>
      <c r="I23" s="224"/>
      <c r="J23" s="225"/>
    </row>
    <row r="24" spans="1:10" ht="13.5" hidden="1" x14ac:dyDescent="0.25">
      <c r="A24" s="220"/>
      <c r="B24" s="208" t="str">
        <f>IFERROR(VLOOKUP(H24,[1]SEMIELABORADOS!$A$2:$M$6000,2,0),"")</f>
        <v/>
      </c>
      <c r="C24" s="221">
        <f t="shared" ref="C24:C30" si="6">+A24</f>
        <v>0</v>
      </c>
      <c r="D24" s="221" t="str">
        <f>IFERROR(VLOOKUP(H24,[1]SEMIELABORADOS!$A$2:$M$6000,6,0),"")</f>
        <v/>
      </c>
      <c r="E24" s="222" t="str">
        <f>IFERROR(VLOOKUP(H24,[1]SEMIELABORADOS!$A$2:$H$65536,8,0),"")</f>
        <v/>
      </c>
      <c r="F24" s="222" t="str">
        <f t="shared" ref="F24:F30" si="7">IFERROR(E24*C24,"")</f>
        <v/>
      </c>
      <c r="G24" s="223" t="str">
        <f t="shared" si="5"/>
        <v/>
      </c>
      <c r="H24" s="224"/>
      <c r="I24" s="224"/>
      <c r="J24" s="225"/>
    </row>
    <row r="25" spans="1:10" ht="13.5" hidden="1" x14ac:dyDescent="0.25">
      <c r="A25" s="220"/>
      <c r="B25" s="208" t="str">
        <f>IFERROR(VLOOKUP(H25,[1]SEMIELABORADOS!$A$2:$M$6000,2,0),"")</f>
        <v/>
      </c>
      <c r="C25" s="221">
        <f>+A25</f>
        <v>0</v>
      </c>
      <c r="D25" s="221" t="str">
        <f>IFERROR(VLOOKUP(H25,[1]SEMIELABORADOS!$A$2:$M$6000,6,0),"")</f>
        <v/>
      </c>
      <c r="E25" s="222" t="str">
        <f>IFERROR(VLOOKUP(H25,[1]SEMIELABORADOS!$A$2:$H$65536,8,0),"")</f>
        <v/>
      </c>
      <c r="F25" s="222" t="str">
        <f>IFERROR(E25*C25,"")</f>
        <v/>
      </c>
      <c r="G25" s="223" t="str">
        <f t="shared" si="5"/>
        <v/>
      </c>
      <c r="H25" s="224"/>
      <c r="I25" s="224"/>
      <c r="J25" s="225"/>
    </row>
    <row r="26" spans="1:10" ht="13.5" hidden="1" x14ac:dyDescent="0.25">
      <c r="A26" s="220"/>
      <c r="B26" s="208" t="str">
        <f>IFERROR(VLOOKUP(H26,[1]SEMIELABORADOS!$A$2:$M$6000,2,0),"")</f>
        <v/>
      </c>
      <c r="C26" s="221">
        <f>+A26</f>
        <v>0</v>
      </c>
      <c r="D26" s="221" t="str">
        <f>IFERROR(VLOOKUP(H26,[1]SEMIELABORADOS!$A$2:$M$6000,6,0),"")</f>
        <v/>
      </c>
      <c r="E26" s="222" t="str">
        <f>IFERROR(VLOOKUP(H26,[1]SEMIELABORADOS!$A$2:$H$65536,8,0),"")</f>
        <v/>
      </c>
      <c r="F26" s="222" t="str">
        <f>IFERROR(E26*C26,"")</f>
        <v/>
      </c>
      <c r="G26" s="223" t="str">
        <f t="shared" si="5"/>
        <v/>
      </c>
      <c r="H26" s="224"/>
      <c r="I26" s="224"/>
      <c r="J26" s="225"/>
    </row>
    <row r="27" spans="1:10" ht="13.5" hidden="1" x14ac:dyDescent="0.25">
      <c r="A27" s="220"/>
      <c r="B27" s="208" t="str">
        <f>IFERROR(VLOOKUP(H27,[1]SEMIELABORADOS!$A$2:$M$6000,2,0),"")</f>
        <v/>
      </c>
      <c r="C27" s="221">
        <f>+A27</f>
        <v>0</v>
      </c>
      <c r="D27" s="221" t="str">
        <f>IFERROR(VLOOKUP(H27,[1]SEMIELABORADOS!$A$2:$M$6000,6,0),"")</f>
        <v/>
      </c>
      <c r="E27" s="222" t="str">
        <f>IFERROR(VLOOKUP(H27,[1]SEMIELABORADOS!$A$2:$H$65536,8,0),"")</f>
        <v/>
      </c>
      <c r="F27" s="222" t="str">
        <f>IFERROR(E27*C27,"")</f>
        <v/>
      </c>
      <c r="G27" s="223" t="str">
        <f t="shared" si="5"/>
        <v/>
      </c>
      <c r="H27" s="224"/>
      <c r="I27" s="224"/>
      <c r="J27" s="225"/>
    </row>
    <row r="28" spans="1:10" ht="13.5" hidden="1" x14ac:dyDescent="0.25">
      <c r="A28" s="220"/>
      <c r="B28" s="208" t="str">
        <f>IFERROR(VLOOKUP(H28,[1]SEMIELABORADOS!$A$2:$M$6000,2,0),"")</f>
        <v/>
      </c>
      <c r="C28" s="221">
        <f t="shared" si="6"/>
        <v>0</v>
      </c>
      <c r="D28" s="221" t="str">
        <f>IFERROR(VLOOKUP(H28,[1]SEMIELABORADOS!$A$2:$M$6000,6,0),"")</f>
        <v/>
      </c>
      <c r="E28" s="222" t="str">
        <f>IFERROR(VLOOKUP(H28,[1]SEMIELABORADOS!$A$2:$H$65536,8,0),"")</f>
        <v/>
      </c>
      <c r="F28" s="222" t="str">
        <f t="shared" si="7"/>
        <v/>
      </c>
      <c r="G28" s="223" t="str">
        <f t="shared" si="5"/>
        <v/>
      </c>
      <c r="H28" s="224"/>
      <c r="I28" s="224"/>
      <c r="J28" s="225"/>
    </row>
    <row r="29" spans="1:10" ht="13.5" hidden="1" x14ac:dyDescent="0.25">
      <c r="A29" s="220"/>
      <c r="B29" s="208" t="str">
        <f>IFERROR(VLOOKUP(H29,[1]SEMIELABORADOS!$A$2:$M$6000,2,0),"")</f>
        <v/>
      </c>
      <c r="C29" s="221">
        <f t="shared" si="6"/>
        <v>0</v>
      </c>
      <c r="D29" s="221" t="str">
        <f>IFERROR(VLOOKUP(H29,[1]SEMIELABORADOS!$A$2:$M$6000,6,0),"")</f>
        <v/>
      </c>
      <c r="E29" s="222" t="str">
        <f>IFERROR(VLOOKUP(H29,[1]SEMIELABORADOS!$A$2:$H$65536,8,0),"")</f>
        <v/>
      </c>
      <c r="F29" s="222" t="str">
        <f t="shared" si="7"/>
        <v/>
      </c>
      <c r="G29" s="223" t="str">
        <f t="shared" si="5"/>
        <v/>
      </c>
      <c r="H29" s="224"/>
      <c r="I29" s="224"/>
      <c r="J29" s="225"/>
    </row>
    <row r="30" spans="1:10" ht="13.5" hidden="1" x14ac:dyDescent="0.25">
      <c r="A30" s="220"/>
      <c r="B30" s="208" t="str">
        <f>IFERROR(VLOOKUP(H30,[1]SEMIELABORADOS!$A$2:$M$6000,2,0),"")</f>
        <v/>
      </c>
      <c r="C30" s="221">
        <f t="shared" si="6"/>
        <v>0</v>
      </c>
      <c r="D30" s="221" t="str">
        <f>IFERROR(VLOOKUP(H30,[1]SEMIELABORADOS!$A$2:$M$6000,6,0),"")</f>
        <v/>
      </c>
      <c r="E30" s="222" t="str">
        <f>IFERROR(VLOOKUP(H30,[1]SEMIELABORADOS!$A$2:$H$65536,8,0),"")</f>
        <v/>
      </c>
      <c r="F30" s="222" t="str">
        <f t="shared" si="7"/>
        <v/>
      </c>
      <c r="G30" s="223" t="str">
        <f t="shared" si="5"/>
        <v/>
      </c>
      <c r="H30" s="224"/>
      <c r="I30" s="224"/>
      <c r="J30" s="225"/>
    </row>
    <row r="31" spans="1:10" ht="14.25" hidden="1" thickBot="1" x14ac:dyDescent="0.3">
      <c r="A31" s="220"/>
      <c r="C31" s="221"/>
      <c r="D31" s="221"/>
      <c r="E31" s="222"/>
      <c r="F31" s="222"/>
      <c r="G31" s="223"/>
      <c r="H31" s="224"/>
      <c r="I31" s="224"/>
      <c r="J31" s="225"/>
    </row>
    <row r="32" spans="1:10" ht="26.25" thickBot="1" x14ac:dyDescent="0.25">
      <c r="A32" s="215" t="s">
        <v>178</v>
      </c>
      <c r="B32" s="216" t="s">
        <v>24</v>
      </c>
      <c r="C32" s="216" t="s">
        <v>178</v>
      </c>
      <c r="D32" s="217" t="s">
        <v>180</v>
      </c>
      <c r="E32" s="217" t="s">
        <v>181</v>
      </c>
      <c r="F32" s="217" t="s">
        <v>182</v>
      </c>
      <c r="G32" s="217" t="s">
        <v>183</v>
      </c>
      <c r="H32" s="218" t="s">
        <v>184</v>
      </c>
      <c r="I32" s="219"/>
    </row>
    <row r="33" spans="1:12" ht="13.5" x14ac:dyDescent="0.25">
      <c r="A33" s="220">
        <v>1</v>
      </c>
      <c r="B33" s="226" t="str">
        <f>IFERROR(VLOOKUP(H33,'[1]Consolidado MP Planta'!$A$2:$M$823,3,0),"")</f>
        <v>ETIQ.BLANCA 1 1/4 * 3/4 (UND)</v>
      </c>
      <c r="C33" s="221">
        <f t="shared" ref="C33:C38" si="8">+A33</f>
        <v>1</v>
      </c>
      <c r="D33" s="222" t="str">
        <f>IFERROR(VLOOKUP(H33,'[1]Consolidado MP Planta'!$A$2:$M$823,13,0),"")</f>
        <v>Und</v>
      </c>
      <c r="E33" s="222">
        <v>0.57999999999999996</v>
      </c>
      <c r="F33" s="222">
        <f t="shared" ref="F33:F38" si="9">IFERROR(C33*E33,"")</f>
        <v>0.57999999999999996</v>
      </c>
      <c r="G33" s="223">
        <f t="shared" ref="G33:G38" si="10">IFERROR(F33/$F$72,"")</f>
        <v>2.102032132315529E-5</v>
      </c>
      <c r="H33" s="227" t="s">
        <v>116</v>
      </c>
      <c r="I33" s="227"/>
      <c r="J33" s="225"/>
      <c r="K33" s="727"/>
      <c r="L33" s="727"/>
    </row>
    <row r="34" spans="1:12" ht="13.5" hidden="1" x14ac:dyDescent="0.25">
      <c r="A34" s="220"/>
      <c r="B34" s="226" t="str">
        <f>IFERROR(VLOOKUP(H34,'[1]Consolidado MP Planta'!$A$2:$M$823,3,0),"")</f>
        <v/>
      </c>
      <c r="C34" s="221">
        <f t="shared" si="8"/>
        <v>0</v>
      </c>
      <c r="D34" s="222" t="str">
        <f>IFERROR(VLOOKUP(H34,'[1]Consolidado MP Planta'!$A$2:$M$823,13,0),"")</f>
        <v/>
      </c>
      <c r="E34" s="222" t="str">
        <f>IFERROR(VLOOKUP(H34,'[1]Consolidado MP Planta'!$A$2:$M$823,12,0),"")</f>
        <v/>
      </c>
      <c r="F34" s="222" t="str">
        <f t="shared" si="9"/>
        <v/>
      </c>
      <c r="G34" s="223" t="str">
        <f t="shared" si="10"/>
        <v/>
      </c>
      <c r="H34" s="227"/>
      <c r="I34" s="227"/>
      <c r="J34" s="225"/>
      <c r="K34" s="727"/>
      <c r="L34" s="727"/>
    </row>
    <row r="35" spans="1:12" ht="13.5" hidden="1" x14ac:dyDescent="0.25">
      <c r="A35" s="220"/>
      <c r="B35" s="226" t="str">
        <f>IFERROR(VLOOKUP(H35,'[1]Consolidado MP Planta'!$A$2:$M$823,3,0),"")</f>
        <v/>
      </c>
      <c r="C35" s="221">
        <f t="shared" si="8"/>
        <v>0</v>
      </c>
      <c r="D35" s="222" t="str">
        <f>IFERROR(VLOOKUP(H35,'[1]Consolidado MP Planta'!$A$2:$M$823,13,0),"")</f>
        <v/>
      </c>
      <c r="E35" s="222" t="str">
        <f>IFERROR(VLOOKUP(H35,'[1]Consolidado MP Planta'!$A$2:$M$823,12,0),"")</f>
        <v/>
      </c>
      <c r="F35" s="222" t="str">
        <f t="shared" si="9"/>
        <v/>
      </c>
      <c r="G35" s="223" t="str">
        <f t="shared" si="10"/>
        <v/>
      </c>
      <c r="H35" s="227"/>
      <c r="I35" s="227"/>
      <c r="J35" s="225"/>
      <c r="K35" s="727"/>
      <c r="L35" s="727"/>
    </row>
    <row r="36" spans="1:12" ht="13.5" hidden="1" x14ac:dyDescent="0.25">
      <c r="A36" s="220"/>
      <c r="B36" s="226" t="str">
        <f>IFERROR(VLOOKUP(H36,'[1]Consolidado MP Planta'!$A$2:$M$823,3,0),"")</f>
        <v/>
      </c>
      <c r="C36" s="221">
        <f t="shared" si="8"/>
        <v>0</v>
      </c>
      <c r="D36" s="222" t="str">
        <f>IFERROR(VLOOKUP(H36,'[1]Consolidado MP Planta'!$A$2:$M$823,13,0),"")</f>
        <v/>
      </c>
      <c r="E36" s="222" t="str">
        <f>IFERROR(VLOOKUP(H36,'[1]Consolidado MP Planta'!$A$2:$M$823,12,0),"")</f>
        <v/>
      </c>
      <c r="F36" s="222" t="str">
        <f t="shared" si="9"/>
        <v/>
      </c>
      <c r="G36" s="223" t="str">
        <f t="shared" si="10"/>
        <v/>
      </c>
      <c r="H36" s="227"/>
      <c r="I36" s="227"/>
      <c r="J36" s="225"/>
      <c r="K36" s="727"/>
      <c r="L36" s="727"/>
    </row>
    <row r="37" spans="1:12" ht="13.5" hidden="1" x14ac:dyDescent="0.25">
      <c r="A37" s="220"/>
      <c r="B37" s="226" t="str">
        <f>IFERROR(VLOOKUP(H37,'[1]Consolidado MP Planta'!$A$2:$M$823,3,0),"")</f>
        <v/>
      </c>
      <c r="C37" s="221">
        <f t="shared" si="8"/>
        <v>0</v>
      </c>
      <c r="D37" s="222" t="str">
        <f>IFERROR(VLOOKUP(H37,'[1]Consolidado MP Planta'!$A$2:$M$823,13,0),"")</f>
        <v/>
      </c>
      <c r="E37" s="222" t="str">
        <f>IFERROR(VLOOKUP(H37,'[1]Consolidado MP Planta'!$A$2:$M$823,12,0),"")</f>
        <v/>
      </c>
      <c r="F37" s="222" t="str">
        <f t="shared" si="9"/>
        <v/>
      </c>
      <c r="G37" s="223" t="str">
        <f t="shared" si="10"/>
        <v/>
      </c>
      <c r="H37" s="227"/>
      <c r="I37" s="227"/>
      <c r="J37" s="225"/>
      <c r="K37" s="228"/>
      <c r="L37" s="229"/>
    </row>
    <row r="38" spans="1:12" ht="13.5" hidden="1" x14ac:dyDescent="0.25">
      <c r="A38" s="220"/>
      <c r="B38" s="226" t="str">
        <f>IFERROR(VLOOKUP(H38,'[1]Consolidado MP Planta'!$A$2:$M$823,3,0),"")</f>
        <v/>
      </c>
      <c r="C38" s="221">
        <f t="shared" si="8"/>
        <v>0</v>
      </c>
      <c r="D38" s="222" t="str">
        <f>IFERROR(VLOOKUP(H38,'[1]Consolidado MP Planta'!$A$2:$M$823,13,0),"")</f>
        <v/>
      </c>
      <c r="E38" s="222" t="str">
        <f>IFERROR(VLOOKUP(H38,'[1]Consolidado MP Planta'!$A$2:$M$823,12,0),"")</f>
        <v/>
      </c>
      <c r="F38" s="222" t="str">
        <f t="shared" si="9"/>
        <v/>
      </c>
      <c r="G38" s="223" t="str">
        <f t="shared" si="10"/>
        <v/>
      </c>
      <c r="H38" s="227"/>
      <c r="I38" s="227"/>
      <c r="J38" s="225"/>
    </row>
    <row r="39" spans="1:12" ht="14.25" thickBot="1" x14ac:dyDescent="0.3">
      <c r="A39" s="220"/>
      <c r="B39" s="226"/>
      <c r="C39" s="221"/>
      <c r="D39" s="222"/>
      <c r="E39" s="222"/>
      <c r="F39" s="222"/>
      <c r="G39" s="223"/>
      <c r="H39" s="227"/>
      <c r="I39" s="227"/>
      <c r="J39" s="225"/>
    </row>
    <row r="40" spans="1:12" ht="26.25" hidden="1" thickBot="1" x14ac:dyDescent="0.25">
      <c r="A40" s="215" t="s">
        <v>178</v>
      </c>
      <c r="B40" s="216" t="s">
        <v>186</v>
      </c>
      <c r="C40" s="216" t="s">
        <v>178</v>
      </c>
      <c r="D40" s="217" t="s">
        <v>180</v>
      </c>
      <c r="E40" s="217" t="s">
        <v>181</v>
      </c>
      <c r="F40" s="217" t="s">
        <v>182</v>
      </c>
      <c r="G40" s="217" t="s">
        <v>183</v>
      </c>
      <c r="H40" s="218" t="s">
        <v>184</v>
      </c>
      <c r="I40" s="227"/>
      <c r="J40" s="225"/>
    </row>
    <row r="41" spans="1:12" ht="13.5" hidden="1" x14ac:dyDescent="0.25">
      <c r="A41" s="220">
        <f>+A23</f>
        <v>0</v>
      </c>
      <c r="B41" s="226" t="str">
        <f>IFERROR(VLOOKUP(H41,[1]SEMIELABORADOS!$A$2:$M$6000,2,0),"")</f>
        <v/>
      </c>
      <c r="C41" s="221">
        <f>+A41</f>
        <v>0</v>
      </c>
      <c r="D41" s="222" t="str">
        <f>IFERROR(VLOOKUP(H41,[1]SEMIELABORADOS!$A$2:$M$6000,6,0),"")</f>
        <v/>
      </c>
      <c r="E41" s="222" t="str">
        <f>IFERROR(VLOOKUP(H41,[1]SEMIELABORADOS!$A$2:$M$65536,10,0),"")</f>
        <v/>
      </c>
      <c r="F41" s="222" t="str">
        <f>IFERROR(E41*C41,"")</f>
        <v/>
      </c>
      <c r="G41" s="223" t="str">
        <f t="shared" ref="G41:G47" si="11">IFERROR(F41/$F$72,"")</f>
        <v/>
      </c>
      <c r="H41" s="227"/>
      <c r="I41" s="227"/>
      <c r="J41" s="225"/>
    </row>
    <row r="42" spans="1:12" ht="13.5" hidden="1" x14ac:dyDescent="0.25">
      <c r="A42" s="220">
        <f t="shared" ref="A42:A47" si="12">+A24</f>
        <v>0</v>
      </c>
      <c r="B42" s="226" t="str">
        <f>IFERROR(VLOOKUP(H42,[1]SEMIELABORADOS!$A$2:$M$6000,2,0),"")</f>
        <v/>
      </c>
      <c r="C42" s="221">
        <f t="shared" ref="C42:C47" si="13">+A42</f>
        <v>0</v>
      </c>
      <c r="D42" s="222" t="str">
        <f>IFERROR(VLOOKUP(H42,[1]SEMIELABORADOS!$A$2:$M$6000,6,0),"")</f>
        <v/>
      </c>
      <c r="E42" s="222" t="str">
        <f>IFERROR(VLOOKUP(H42,[1]SEMIELABORADOS!$A$2:$M$65536,10,0),"")</f>
        <v/>
      </c>
      <c r="F42" s="222" t="str">
        <f t="shared" ref="F42:F47" si="14">IFERROR(E42*C42,"")</f>
        <v/>
      </c>
      <c r="G42" s="223" t="str">
        <f t="shared" si="11"/>
        <v/>
      </c>
      <c r="H42" s="227"/>
      <c r="I42" s="227"/>
      <c r="J42" s="225"/>
    </row>
    <row r="43" spans="1:12" ht="13.5" hidden="1" x14ac:dyDescent="0.25">
      <c r="A43" s="220">
        <f t="shared" si="12"/>
        <v>0</v>
      </c>
      <c r="B43" s="226" t="str">
        <f>IFERROR(VLOOKUP(H43,[1]SEMIELABORADOS!$A$2:$M$6000,2,0),"")</f>
        <v/>
      </c>
      <c r="C43" s="221">
        <f t="shared" si="13"/>
        <v>0</v>
      </c>
      <c r="D43" s="222" t="str">
        <f>IFERROR(VLOOKUP(H43,[1]SEMIELABORADOS!$A$2:$M$6000,6,0),"")</f>
        <v/>
      </c>
      <c r="E43" s="222" t="str">
        <f>IFERROR(VLOOKUP(H43,[1]SEMIELABORADOS!$A$2:$M$65536,10,0),"")</f>
        <v/>
      </c>
      <c r="F43" s="222" t="str">
        <f t="shared" si="14"/>
        <v/>
      </c>
      <c r="G43" s="223" t="str">
        <f t="shared" si="11"/>
        <v/>
      </c>
      <c r="H43" s="227"/>
      <c r="I43" s="227"/>
      <c r="J43" s="225"/>
    </row>
    <row r="44" spans="1:12" ht="13.5" hidden="1" x14ac:dyDescent="0.25">
      <c r="A44" s="220">
        <f t="shared" si="12"/>
        <v>0</v>
      </c>
      <c r="B44" s="226" t="str">
        <f>IFERROR(VLOOKUP(H44,[1]SEMIELABORADOS!$A$2:$M$6000,2,0),"")</f>
        <v/>
      </c>
      <c r="C44" s="221">
        <f>+A44</f>
        <v>0</v>
      </c>
      <c r="D44" s="222" t="str">
        <f>IFERROR(VLOOKUP(H44,[1]SEMIELABORADOS!$A$2:$M$6000,6,0),"")</f>
        <v/>
      </c>
      <c r="E44" s="222" t="str">
        <f>IFERROR(VLOOKUP(H44,[1]SEMIELABORADOS!$A$2:$M$65536,10,0),"")</f>
        <v/>
      </c>
      <c r="F44" s="222" t="str">
        <f>IFERROR(E44*C44,"")</f>
        <v/>
      </c>
      <c r="G44" s="223" t="str">
        <f t="shared" si="11"/>
        <v/>
      </c>
      <c r="H44" s="227"/>
      <c r="I44" s="227"/>
      <c r="J44" s="225"/>
    </row>
    <row r="45" spans="1:12" ht="13.5" hidden="1" x14ac:dyDescent="0.25">
      <c r="A45" s="220">
        <f t="shared" si="12"/>
        <v>0</v>
      </c>
      <c r="B45" s="226" t="str">
        <f>IFERROR(VLOOKUP(H45,[1]SEMIELABORADOS!$A$2:$M$6000,2,0),"")</f>
        <v/>
      </c>
      <c r="C45" s="221">
        <f>+A45</f>
        <v>0</v>
      </c>
      <c r="D45" s="222" t="str">
        <f>IFERROR(VLOOKUP(H45,[1]SEMIELABORADOS!$A$2:$M$6000,6,0),"")</f>
        <v/>
      </c>
      <c r="E45" s="222" t="str">
        <f>IFERROR(VLOOKUP(H45,[1]SEMIELABORADOS!$A$2:$M$65536,10,0),"")</f>
        <v/>
      </c>
      <c r="F45" s="222" t="str">
        <f>IFERROR(E45*C45,"")</f>
        <v/>
      </c>
      <c r="G45" s="223" t="str">
        <f t="shared" si="11"/>
        <v/>
      </c>
      <c r="H45" s="227"/>
      <c r="I45" s="227"/>
      <c r="J45" s="225"/>
    </row>
    <row r="46" spans="1:12" ht="13.5" hidden="1" x14ac:dyDescent="0.25">
      <c r="A46" s="220">
        <f t="shared" si="12"/>
        <v>0</v>
      </c>
      <c r="B46" s="226" t="str">
        <f>IFERROR(VLOOKUP(H46,[1]SEMIELABORADOS!$A$2:$M$6000,2,0),"")</f>
        <v/>
      </c>
      <c r="C46" s="221">
        <f t="shared" si="13"/>
        <v>0</v>
      </c>
      <c r="D46" s="222" t="str">
        <f>IFERROR(VLOOKUP(H46,[1]SEMIELABORADOS!$A$2:$M$6000,6,0),"")</f>
        <v/>
      </c>
      <c r="E46" s="222" t="str">
        <f>IFERROR(VLOOKUP(H46,[1]SEMIELABORADOS!$A$2:$M$65536,10,0),"")</f>
        <v/>
      </c>
      <c r="F46" s="222" t="str">
        <f t="shared" si="14"/>
        <v/>
      </c>
      <c r="G46" s="223" t="str">
        <f t="shared" si="11"/>
        <v/>
      </c>
      <c r="H46" s="227"/>
      <c r="I46" s="227"/>
      <c r="J46" s="225"/>
    </row>
    <row r="47" spans="1:12" ht="13.5" hidden="1" x14ac:dyDescent="0.25">
      <c r="A47" s="220">
        <f t="shared" si="12"/>
        <v>0</v>
      </c>
      <c r="B47" s="226" t="str">
        <f>IFERROR(VLOOKUP(H47,[1]SEMIELABORADOS!$A$2:$M$6000,2,0),"")</f>
        <v/>
      </c>
      <c r="C47" s="221">
        <f t="shared" si="13"/>
        <v>0</v>
      </c>
      <c r="D47" s="222" t="str">
        <f>IFERROR(VLOOKUP(H47,[1]SEMIELABORADOS!$A$2:$M$6000,6,0),"")</f>
        <v/>
      </c>
      <c r="E47" s="222" t="str">
        <f>IFERROR(VLOOKUP(H47,[1]SEMIELABORADOS!$A$2:$M$65536,10,0),"")</f>
        <v/>
      </c>
      <c r="F47" s="222" t="str">
        <f t="shared" si="14"/>
        <v/>
      </c>
      <c r="G47" s="223" t="str">
        <f t="shared" si="11"/>
        <v/>
      </c>
      <c r="H47" s="227"/>
      <c r="I47" s="227"/>
      <c r="J47" s="225"/>
    </row>
    <row r="48" spans="1:12" ht="14.25" hidden="1" thickBot="1" x14ac:dyDescent="0.3">
      <c r="A48" s="220"/>
      <c r="B48" s="226"/>
      <c r="C48" s="221"/>
      <c r="D48" s="222"/>
      <c r="E48" s="222"/>
      <c r="F48" s="222"/>
      <c r="G48" s="223"/>
      <c r="H48" s="227"/>
      <c r="I48" s="227"/>
      <c r="J48" s="225"/>
    </row>
    <row r="49" spans="1:17" ht="26.25" thickBot="1" x14ac:dyDescent="0.25">
      <c r="A49" s="215" t="s">
        <v>178</v>
      </c>
      <c r="B49" s="216" t="s">
        <v>187</v>
      </c>
      <c r="C49" s="216" t="s">
        <v>178</v>
      </c>
      <c r="D49" s="217" t="s">
        <v>180</v>
      </c>
      <c r="E49" s="217" t="s">
        <v>181</v>
      </c>
      <c r="F49" s="217" t="s">
        <v>182</v>
      </c>
      <c r="G49" s="217" t="s">
        <v>183</v>
      </c>
      <c r="H49" s="218" t="s">
        <v>184</v>
      </c>
      <c r="I49" s="219"/>
      <c r="J49" s="225"/>
    </row>
    <row r="50" spans="1:17" ht="13.5" hidden="1" x14ac:dyDescent="0.25">
      <c r="A50" s="220">
        <f>+A41</f>
        <v>0</v>
      </c>
      <c r="B50" s="226" t="str">
        <f>IFERROR(VLOOKUP(H50,[1]SEMIELABORADOS!$A$2:$M$6000,2,0),"")</f>
        <v/>
      </c>
      <c r="C50" s="221">
        <f>+A50</f>
        <v>0</v>
      </c>
      <c r="D50" s="222" t="str">
        <f>IFERROR(VLOOKUP(H50,[1]SEMIELABORADOS!$A$2:$M$6000,6,0),"")</f>
        <v/>
      </c>
      <c r="E50" s="222" t="str">
        <f>IFERROR(VLOOKUP(H50,[1]SEMIELABORADOS!$A$2:$M$65536,12,0),"")</f>
        <v/>
      </c>
      <c r="F50" s="222" t="str">
        <f>IFERROR(E50*C50,"")</f>
        <v/>
      </c>
      <c r="G50" s="223" t="str">
        <f>IFERROR(F50/$F$72,"")</f>
        <v/>
      </c>
      <c r="H50" s="227"/>
      <c r="I50" s="219"/>
      <c r="J50" s="225"/>
    </row>
    <row r="51" spans="1:17" ht="13.5" hidden="1" x14ac:dyDescent="0.25">
      <c r="A51" s="220">
        <f t="shared" ref="A51:A56" si="15">+A42</f>
        <v>0</v>
      </c>
      <c r="B51" s="226" t="str">
        <f>IFERROR(VLOOKUP(H51,[1]SEMIELABORADOS!$A$2:$M$6000,2,0),"")</f>
        <v/>
      </c>
      <c r="C51" s="221">
        <f t="shared" ref="C51:C56" si="16">+A51</f>
        <v>0</v>
      </c>
      <c r="D51" s="222" t="str">
        <f>IFERROR(VLOOKUP(H51,[1]SEMIELABORADOS!$A$2:$M$6000,6,0),"")</f>
        <v/>
      </c>
      <c r="E51" s="222" t="str">
        <f>IFERROR(VLOOKUP(H51,[1]SEMIELABORADOS!$A$2:$M$65536,12,0),"")</f>
        <v/>
      </c>
      <c r="F51" s="222" t="str">
        <f t="shared" ref="F51:F56" si="17">IFERROR(E51*C51,"")</f>
        <v/>
      </c>
      <c r="G51" s="223" t="str">
        <f t="shared" ref="G51:G56" si="18">IFERROR(F51/$F$72,"")</f>
        <v/>
      </c>
      <c r="H51" s="227"/>
      <c r="I51" s="219"/>
      <c r="J51" s="225"/>
      <c r="M51" s="230"/>
    </row>
    <row r="52" spans="1:17" ht="13.5" hidden="1" x14ac:dyDescent="0.25">
      <c r="A52" s="220">
        <f t="shared" si="15"/>
        <v>0</v>
      </c>
      <c r="B52" s="226" t="str">
        <f>IFERROR(VLOOKUP(H52,[1]SEMIELABORADOS!$A$2:$M$6000,2,0),"")</f>
        <v/>
      </c>
      <c r="C52" s="221">
        <f t="shared" si="16"/>
        <v>0</v>
      </c>
      <c r="D52" s="222" t="str">
        <f>IFERROR(VLOOKUP(H52,[1]SEMIELABORADOS!$A$2:$M$6000,6,0),"")</f>
        <v/>
      </c>
      <c r="E52" s="222" t="str">
        <f>IFERROR(VLOOKUP(H52,[1]SEMIELABORADOS!$A$2:$M$65536,12,0),"")</f>
        <v/>
      </c>
      <c r="F52" s="222" t="str">
        <f t="shared" si="17"/>
        <v/>
      </c>
      <c r="G52" s="223" t="str">
        <f t="shared" si="18"/>
        <v/>
      </c>
      <c r="H52" s="227"/>
      <c r="I52" s="219"/>
      <c r="J52" s="225"/>
    </row>
    <row r="53" spans="1:17" ht="13.5" hidden="1" x14ac:dyDescent="0.25">
      <c r="A53" s="220">
        <f t="shared" si="15"/>
        <v>0</v>
      </c>
      <c r="B53" s="226" t="str">
        <f>IFERROR(VLOOKUP(H53,[1]SEMIELABORADOS!$A$2:$M$6000,2,0),"")</f>
        <v/>
      </c>
      <c r="C53" s="221">
        <f t="shared" si="16"/>
        <v>0</v>
      </c>
      <c r="D53" s="222" t="str">
        <f>IFERROR(VLOOKUP(H53,[1]SEMIELABORADOS!$A$2:$M$6000,6,0),"")</f>
        <v/>
      </c>
      <c r="E53" s="222" t="str">
        <f>IFERROR(VLOOKUP(H53,[1]SEMIELABORADOS!$A$2:$M$65536,12,0),"")</f>
        <v/>
      </c>
      <c r="F53" s="222" t="str">
        <f t="shared" si="17"/>
        <v/>
      </c>
      <c r="G53" s="223" t="str">
        <f t="shared" si="18"/>
        <v/>
      </c>
      <c r="H53" s="227"/>
      <c r="I53" s="219"/>
      <c r="J53" s="225"/>
    </row>
    <row r="54" spans="1:17" ht="13.5" hidden="1" x14ac:dyDescent="0.25">
      <c r="A54" s="220">
        <f t="shared" si="15"/>
        <v>0</v>
      </c>
      <c r="B54" s="226" t="str">
        <f>IFERROR(VLOOKUP(H54,[1]SEMIELABORADOS!$A$2:$M$6000,2,0),"")</f>
        <v/>
      </c>
      <c r="C54" s="221">
        <f t="shared" si="16"/>
        <v>0</v>
      </c>
      <c r="D54" s="222" t="str">
        <f>IFERROR(VLOOKUP(H54,[1]SEMIELABORADOS!$A$2:$M$6000,6,0),"")</f>
        <v/>
      </c>
      <c r="E54" s="222" t="str">
        <f>IFERROR(VLOOKUP(H54,[1]SEMIELABORADOS!$A$2:$M$65536,12,0),"")</f>
        <v/>
      </c>
      <c r="F54" s="222" t="str">
        <f t="shared" si="17"/>
        <v/>
      </c>
      <c r="G54" s="223" t="str">
        <f t="shared" si="18"/>
        <v/>
      </c>
      <c r="H54" s="227"/>
      <c r="I54" s="219"/>
      <c r="J54" s="225"/>
    </row>
    <row r="55" spans="1:17" ht="13.5" hidden="1" x14ac:dyDescent="0.25">
      <c r="A55" s="220">
        <f t="shared" si="15"/>
        <v>0</v>
      </c>
      <c r="B55" s="226" t="str">
        <f>IFERROR(VLOOKUP(H55,[1]SEMIELABORADOS!$A$2:$M$6000,2,0),"")</f>
        <v/>
      </c>
      <c r="C55" s="221">
        <f t="shared" si="16"/>
        <v>0</v>
      </c>
      <c r="D55" s="222" t="str">
        <f>IFERROR(VLOOKUP(H55,[1]SEMIELABORADOS!$A$2:$M$6000,6,0),"")</f>
        <v/>
      </c>
      <c r="E55" s="222" t="str">
        <f>IFERROR(VLOOKUP(H55,[1]SEMIELABORADOS!$A$2:$M$65536,12,0),"")</f>
        <v/>
      </c>
      <c r="F55" s="222" t="str">
        <f t="shared" si="17"/>
        <v/>
      </c>
      <c r="G55" s="223" t="str">
        <f t="shared" si="18"/>
        <v/>
      </c>
      <c r="H55" s="227"/>
      <c r="I55" s="219"/>
      <c r="J55" s="225"/>
    </row>
    <row r="56" spans="1:17" ht="13.5" hidden="1" x14ac:dyDescent="0.25">
      <c r="A56" s="220">
        <f t="shared" si="15"/>
        <v>0</v>
      </c>
      <c r="B56" s="226" t="str">
        <f>IFERROR(VLOOKUP(H56,[1]SEMIELABORADOS!$A$2:$M$6000,2,0),"")</f>
        <v/>
      </c>
      <c r="C56" s="221">
        <f t="shared" si="16"/>
        <v>0</v>
      </c>
      <c r="D56" s="222" t="str">
        <f>IFERROR(VLOOKUP(H56,[1]SEMIELABORADOS!$A$2:$M$6000,6,0),"")</f>
        <v/>
      </c>
      <c r="E56" s="222" t="str">
        <f>IFERROR(VLOOKUP(H56,[1]SEMIELABORADOS!$A$2:$M$65536,12,0),"")</f>
        <v/>
      </c>
      <c r="F56" s="222" t="str">
        <f t="shared" si="17"/>
        <v/>
      </c>
      <c r="G56" s="223" t="str">
        <f t="shared" si="18"/>
        <v/>
      </c>
      <c r="H56" s="226"/>
      <c r="I56" s="219"/>
      <c r="J56" s="225"/>
    </row>
    <row r="57" spans="1:17" ht="13.5" x14ac:dyDescent="0.25">
      <c r="A57" s="220">
        <v>1</v>
      </c>
      <c r="B57" s="226" t="s">
        <v>188</v>
      </c>
      <c r="C57" s="221">
        <f>+A57</f>
        <v>1</v>
      </c>
      <c r="D57" s="221" t="s">
        <v>189</v>
      </c>
      <c r="E57" s="222">
        <f>+F71</f>
        <v>770</v>
      </c>
      <c r="F57" s="222">
        <f>IFERROR(C57*E57,"")</f>
        <v>770</v>
      </c>
      <c r="G57" s="223">
        <f>IFERROR(F57/$F$72,"")</f>
        <v>2.7906288653154442E-2</v>
      </c>
      <c r="H57" s="231"/>
      <c r="I57" s="231"/>
      <c r="J57" s="225"/>
    </row>
    <row r="58" spans="1:17" ht="14.25" thickBot="1" x14ac:dyDescent="0.3">
      <c r="A58" s="220"/>
      <c r="B58" s="226"/>
      <c r="C58" s="221"/>
      <c r="D58" s="221"/>
      <c r="E58" s="222"/>
      <c r="F58" s="222"/>
      <c r="G58" s="223"/>
      <c r="H58" s="231"/>
      <c r="I58" s="231"/>
      <c r="J58" s="225"/>
    </row>
    <row r="59" spans="1:17" ht="13.5" thickBot="1" x14ac:dyDescent="0.25">
      <c r="A59" s="232"/>
      <c r="B59" s="737" t="s">
        <v>190</v>
      </c>
      <c r="C59" s="737"/>
      <c r="D59" s="737"/>
      <c r="E59" s="737"/>
      <c r="F59" s="234">
        <f>SUM(F8:F20,F23:F30)</f>
        <v>26295.85</v>
      </c>
      <c r="G59" s="223">
        <f>+F59/$F$72</f>
        <v>0.95301244218188463</v>
      </c>
      <c r="H59" s="235">
        <f>+F59/$D$66</f>
        <v>26295.85</v>
      </c>
      <c r="I59" s="235"/>
      <c r="J59" s="236"/>
      <c r="K59" s="237"/>
      <c r="L59" s="237"/>
      <c r="M59" s="237"/>
      <c r="N59" s="237"/>
      <c r="O59" s="237"/>
      <c r="P59" s="237"/>
      <c r="Q59" s="238"/>
    </row>
    <row r="60" spans="1:17" x14ac:dyDescent="0.2">
      <c r="A60" s="232"/>
      <c r="B60" s="737" t="s">
        <v>191</v>
      </c>
      <c r="C60" s="737"/>
      <c r="D60" s="737"/>
      <c r="E60" s="737"/>
      <c r="F60" s="234">
        <f>SUM(F33:F38,F41:F47)</f>
        <v>0.57999999999999996</v>
      </c>
      <c r="G60" s="223">
        <f>+F60/$F$72</f>
        <v>2.102032132315529E-5</v>
      </c>
      <c r="H60" s="235">
        <f>+F60/$D$66</f>
        <v>0.57999999999999996</v>
      </c>
      <c r="I60" s="235"/>
      <c r="J60" s="239"/>
      <c r="K60" s="738" t="s">
        <v>192</v>
      </c>
      <c r="L60" s="739"/>
      <c r="M60" s="739"/>
      <c r="N60" s="739"/>
      <c r="O60" s="240">
        <f>+F61</f>
        <v>26296.43</v>
      </c>
      <c r="P60" s="240"/>
      <c r="Q60" s="241"/>
    </row>
    <row r="61" spans="1:17" x14ac:dyDescent="0.2">
      <c r="A61" s="232"/>
      <c r="B61" s="737" t="s">
        <v>193</v>
      </c>
      <c r="C61" s="737"/>
      <c r="D61" s="737"/>
      <c r="E61" s="737"/>
      <c r="F61" s="234">
        <f>+F59+F60</f>
        <v>26296.43</v>
      </c>
      <c r="G61" s="223">
        <f>+F61/$F$72</f>
        <v>0.95303346250320786</v>
      </c>
      <c r="H61" s="235">
        <f>+F61/$D$66</f>
        <v>26296.43</v>
      </c>
      <c r="I61" s="235"/>
      <c r="J61" s="242"/>
      <c r="K61" s="243"/>
      <c r="M61" s="244" t="s">
        <v>194</v>
      </c>
      <c r="N61" s="245"/>
      <c r="O61" s="240">
        <f>+H62</f>
        <v>770</v>
      </c>
      <c r="P61" s="240"/>
      <c r="Q61" s="241"/>
    </row>
    <row r="62" spans="1:17" ht="13.5" thickBot="1" x14ac:dyDescent="0.25">
      <c r="A62" s="232"/>
      <c r="B62" s="233"/>
      <c r="C62" s="737" t="s">
        <v>195</v>
      </c>
      <c r="D62" s="737"/>
      <c r="E62" s="737"/>
      <c r="F62" s="234">
        <f>SUM(F50:F57)</f>
        <v>770</v>
      </c>
      <c r="G62" s="223">
        <f>+F62/$F$72</f>
        <v>2.7906288653154442E-2</v>
      </c>
      <c r="H62" s="235">
        <f>+F62/$D$66</f>
        <v>770</v>
      </c>
      <c r="I62" s="235"/>
      <c r="J62" s="242"/>
      <c r="K62" s="243"/>
      <c r="L62" s="243"/>
      <c r="M62" s="243" t="s">
        <v>196</v>
      </c>
      <c r="N62" s="246"/>
      <c r="O62" s="240">
        <f>O60*N62</f>
        <v>0</v>
      </c>
      <c r="P62" s="240"/>
      <c r="Q62" s="241"/>
    </row>
    <row r="63" spans="1:17" ht="13.5" thickBot="1" x14ac:dyDescent="0.25">
      <c r="A63" s="232"/>
      <c r="B63" s="247"/>
      <c r="C63" s="247"/>
      <c r="D63" s="247"/>
      <c r="E63" s="247"/>
      <c r="F63" s="248"/>
      <c r="G63" s="223"/>
      <c r="H63" s="249"/>
      <c r="I63" s="235"/>
      <c r="J63" s="242"/>
      <c r="K63" s="250"/>
      <c r="M63" s="251" t="s">
        <v>197</v>
      </c>
      <c r="N63" s="252"/>
      <c r="O63" s="253">
        <f>SUM(O60:O62)</f>
        <v>27066.43</v>
      </c>
      <c r="P63" s="254"/>
      <c r="Q63" s="241"/>
    </row>
    <row r="64" spans="1:17" x14ac:dyDescent="0.2">
      <c r="B64" s="740" t="s">
        <v>198</v>
      </c>
      <c r="C64" s="740"/>
      <c r="D64" s="255">
        <v>10378</v>
      </c>
      <c r="E64" s="256"/>
      <c r="G64" s="223"/>
      <c r="H64" s="249">
        <f>+H62/77</f>
        <v>10</v>
      </c>
      <c r="I64" s="257"/>
      <c r="J64" s="242"/>
      <c r="K64" s="250"/>
      <c r="L64" s="243"/>
      <c r="M64" s="243" t="s">
        <v>199</v>
      </c>
      <c r="N64" s="258"/>
      <c r="O64" s="240">
        <f>+H65</f>
        <v>640</v>
      </c>
      <c r="P64" s="240"/>
      <c r="Q64" s="241"/>
    </row>
    <row r="65" spans="2:17" x14ac:dyDescent="0.2">
      <c r="B65" s="740" t="s">
        <v>200</v>
      </c>
      <c r="C65" s="740"/>
      <c r="D65" s="259">
        <v>10378</v>
      </c>
      <c r="E65" s="256"/>
      <c r="G65" s="223"/>
      <c r="H65" s="249">
        <f>+H64*64</f>
        <v>640</v>
      </c>
      <c r="I65" s="257"/>
      <c r="J65" s="242"/>
      <c r="K65" s="250"/>
      <c r="L65" s="243"/>
      <c r="M65" s="741" t="s">
        <v>197</v>
      </c>
      <c r="N65" s="741"/>
      <c r="O65" s="240">
        <f>SUM(O63:O64)</f>
        <v>27706.43</v>
      </c>
      <c r="P65" s="240"/>
      <c r="Q65" s="241"/>
    </row>
    <row r="66" spans="2:17" ht="13.5" thickBot="1" x14ac:dyDescent="0.25">
      <c r="B66" s="733" t="s">
        <v>201</v>
      </c>
      <c r="C66" s="733"/>
      <c r="D66" s="255">
        <f>+D64/D65</f>
        <v>1</v>
      </c>
      <c r="E66" s="256"/>
      <c r="F66" s="260"/>
      <c r="G66" s="223"/>
      <c r="H66" s="249"/>
      <c r="I66" s="257"/>
      <c r="J66" s="242"/>
      <c r="K66" s="250"/>
      <c r="L66" s="741"/>
      <c r="M66" s="741"/>
      <c r="N66" s="258"/>
      <c r="O66" s="240">
        <f>+O65*N66</f>
        <v>0</v>
      </c>
      <c r="P66" s="240"/>
      <c r="Q66" s="241"/>
    </row>
    <row r="67" spans="2:17" ht="13.5" thickBot="1" x14ac:dyDescent="0.25">
      <c r="B67" s="733" t="s">
        <v>202</v>
      </c>
      <c r="C67" s="733"/>
      <c r="D67" s="261"/>
      <c r="E67" s="256"/>
      <c r="F67" s="260"/>
      <c r="G67" s="223"/>
      <c r="H67" s="249"/>
      <c r="I67" s="257"/>
      <c r="J67" s="242"/>
      <c r="K67" s="734" t="s">
        <v>203</v>
      </c>
      <c r="L67" s="735"/>
      <c r="M67" s="735"/>
      <c r="N67" s="736"/>
      <c r="O67" s="253">
        <f>SUM(O65:O66)</f>
        <v>27706.43</v>
      </c>
      <c r="P67" s="262" t="s">
        <v>204</v>
      </c>
      <c r="Q67" s="241"/>
    </row>
    <row r="68" spans="2:17" ht="13.5" thickBot="1" x14ac:dyDescent="0.25">
      <c r="C68" s="232" t="s">
        <v>205</v>
      </c>
      <c r="D68" s="263"/>
      <c r="E68" s="206" t="s">
        <v>206</v>
      </c>
      <c r="F68" s="264" t="s">
        <v>207</v>
      </c>
      <c r="G68" s="223"/>
      <c r="H68" s="249"/>
      <c r="I68" s="257"/>
      <c r="J68" s="265"/>
      <c r="K68" s="266"/>
      <c r="L68" s="747" t="s">
        <v>208</v>
      </c>
      <c r="M68" s="747"/>
      <c r="N68" s="747"/>
      <c r="O68" s="267">
        <f>+O67/D66</f>
        <v>27706.43</v>
      </c>
      <c r="P68" s="268">
        <f>+O68/D65</f>
        <v>2.6697273077664292</v>
      </c>
      <c r="Q68" s="269"/>
    </row>
    <row r="69" spans="2:17" ht="13.5" thickBot="1" x14ac:dyDescent="0.25">
      <c r="B69" s="748" t="s">
        <v>193</v>
      </c>
      <c r="C69" s="748"/>
      <c r="D69" s="748"/>
      <c r="E69" s="270">
        <f>+F69/F69</f>
        <v>1</v>
      </c>
      <c r="F69" s="271">
        <f>SUM(F61)</f>
        <v>26296.43</v>
      </c>
      <c r="G69" s="223">
        <f>+F69/$F$72</f>
        <v>0.95303346250320786</v>
      </c>
      <c r="H69" s="249"/>
      <c r="I69" s="257"/>
      <c r="K69" s="749"/>
      <c r="L69" s="750"/>
      <c r="M69" s="750"/>
      <c r="N69" s="750"/>
      <c r="O69" s="272"/>
      <c r="P69" s="273"/>
    </row>
    <row r="70" spans="2:17" ht="13.5" thickBot="1" x14ac:dyDescent="0.25">
      <c r="B70" s="751" t="s">
        <v>209</v>
      </c>
      <c r="C70" s="751"/>
      <c r="D70" s="751"/>
      <c r="E70" s="274">
        <v>0.02</v>
      </c>
      <c r="F70" s="271">
        <f>+F59*E70</f>
        <v>525.91700000000003</v>
      </c>
      <c r="G70" s="223">
        <f>+F70/$F$72</f>
        <v>1.9060248843637693E-2</v>
      </c>
      <c r="H70" s="235"/>
      <c r="I70" s="257"/>
      <c r="J70" s="275"/>
      <c r="O70" s="276"/>
      <c r="P70" s="233"/>
    </row>
    <row r="71" spans="2:17" ht="13.5" thickBot="1" x14ac:dyDescent="0.25">
      <c r="B71" s="752" t="s">
        <v>210</v>
      </c>
      <c r="C71" s="753"/>
      <c r="D71" s="277">
        <v>10</v>
      </c>
      <c r="E71" s="278">
        <v>77</v>
      </c>
      <c r="F71" s="271">
        <f>+E71*D71</f>
        <v>770</v>
      </c>
      <c r="G71" s="223">
        <f>+F71/$F$72</f>
        <v>2.7906288653154442E-2</v>
      </c>
      <c r="H71" s="235"/>
      <c r="I71" s="235"/>
      <c r="J71" s="225"/>
    </row>
    <row r="72" spans="2:17" ht="13.5" thickBot="1" x14ac:dyDescent="0.25">
      <c r="B72" s="754" t="s">
        <v>211</v>
      </c>
      <c r="C72" s="755"/>
      <c r="D72" s="755"/>
      <c r="E72" s="756"/>
      <c r="F72" s="248">
        <f>SUM(F69:F71)</f>
        <v>27592.347000000002</v>
      </c>
      <c r="G72" s="223">
        <f>+F72/$F$72</f>
        <v>1</v>
      </c>
      <c r="H72" s="757"/>
      <c r="I72" s="235"/>
      <c r="J72" s="225"/>
      <c r="M72" s="208" t="s">
        <v>212</v>
      </c>
    </row>
    <row r="73" spans="2:17" x14ac:dyDescent="0.2">
      <c r="C73" s="230"/>
      <c r="D73" s="230"/>
      <c r="E73" s="280"/>
      <c r="F73" s="271"/>
      <c r="G73" s="223"/>
      <c r="H73" s="757"/>
      <c r="I73" s="279"/>
      <c r="J73" s="208"/>
      <c r="M73" s="208" t="s">
        <v>213</v>
      </c>
    </row>
    <row r="74" spans="2:17" ht="13.5" thickBot="1" x14ac:dyDescent="0.25">
      <c r="B74" s="742" t="s">
        <v>214</v>
      </c>
      <c r="C74" s="742"/>
      <c r="D74" s="742"/>
      <c r="E74" s="742"/>
      <c r="F74" s="742"/>
      <c r="G74" s="223"/>
      <c r="H74" s="282"/>
      <c r="I74" s="279"/>
      <c r="J74" s="208"/>
      <c r="M74" s="208" t="s">
        <v>215</v>
      </c>
    </row>
    <row r="75" spans="2:17" ht="13.5" thickBot="1" x14ac:dyDescent="0.25">
      <c r="B75" s="283" t="s">
        <v>216</v>
      </c>
      <c r="C75" s="284">
        <f>+F59</f>
        <v>26295.85</v>
      </c>
      <c r="D75" s="284">
        <f>+D64</f>
        <v>10378</v>
      </c>
      <c r="E75" s="285">
        <f>+C75/D75</f>
        <v>2.5338070919252265</v>
      </c>
      <c r="F75" s="223"/>
      <c r="G75" s="282"/>
      <c r="H75" s="225"/>
      <c r="I75" s="282"/>
      <c r="J75" s="208"/>
    </row>
    <row r="76" spans="2:17" x14ac:dyDescent="0.2">
      <c r="B76" s="286"/>
      <c r="C76" s="287"/>
      <c r="D76" s="288"/>
      <c r="E76" s="271"/>
      <c r="F76" s="223"/>
      <c r="G76" s="282"/>
      <c r="H76" s="225"/>
      <c r="I76" s="225"/>
      <c r="J76" s="208"/>
    </row>
    <row r="77" spans="2:17" x14ac:dyDescent="0.2">
      <c r="B77" s="283" t="s">
        <v>217</v>
      </c>
      <c r="C77" s="284">
        <f>SUM(F69:F70)</f>
        <v>26822.347000000002</v>
      </c>
      <c r="D77" s="284">
        <f>+D64</f>
        <v>10378</v>
      </c>
      <c r="E77" s="289">
        <f>+C77/D77</f>
        <v>2.5845391212179614</v>
      </c>
      <c r="F77" s="223"/>
      <c r="G77" s="282"/>
      <c r="H77" s="225"/>
      <c r="I77" s="225"/>
      <c r="J77" s="208"/>
    </row>
    <row r="78" spans="2:17" x14ac:dyDescent="0.2">
      <c r="B78" s="283"/>
      <c r="C78" s="284"/>
      <c r="D78" s="284"/>
      <c r="E78" s="289"/>
      <c r="F78" s="223"/>
      <c r="G78" s="282"/>
      <c r="H78" s="225"/>
      <c r="I78" s="225"/>
      <c r="J78" s="208"/>
    </row>
    <row r="79" spans="2:17" ht="13.5" thickBot="1" x14ac:dyDescent="0.25">
      <c r="B79" s="283" t="s">
        <v>218</v>
      </c>
      <c r="C79" s="284">
        <f>+F71</f>
        <v>770</v>
      </c>
      <c r="D79" s="284">
        <f>+D64</f>
        <v>10378</v>
      </c>
      <c r="E79" s="289">
        <f>+C79/D79</f>
        <v>7.4195413374445948E-2</v>
      </c>
      <c r="F79" s="223"/>
      <c r="G79" s="282"/>
      <c r="H79" s="225"/>
      <c r="I79" s="225"/>
      <c r="J79" s="208"/>
    </row>
    <row r="80" spans="2:17" ht="13.5" thickBot="1" x14ac:dyDescent="0.25">
      <c r="B80" s="283" t="s">
        <v>219</v>
      </c>
      <c r="C80" s="284">
        <f>+F62</f>
        <v>770</v>
      </c>
      <c r="D80" s="284">
        <f>+D79</f>
        <v>10378</v>
      </c>
      <c r="E80" s="285">
        <f>+C80/D80</f>
        <v>7.4195413374445948E-2</v>
      </c>
      <c r="F80" s="223"/>
      <c r="G80" s="282"/>
      <c r="H80" s="225"/>
      <c r="I80" s="225"/>
      <c r="J80" s="208"/>
    </row>
    <row r="81" spans="1:10" ht="13.5" thickBot="1" x14ac:dyDescent="0.25">
      <c r="B81" s="247"/>
      <c r="C81" s="248"/>
      <c r="D81" s="248"/>
      <c r="E81" s="289"/>
      <c r="F81" s="223"/>
      <c r="G81" s="282"/>
      <c r="H81" s="225"/>
      <c r="I81" s="225"/>
      <c r="J81" s="208"/>
    </row>
    <row r="82" spans="1:10" ht="13.5" thickBot="1" x14ac:dyDescent="0.25">
      <c r="B82" s="283" t="s">
        <v>220</v>
      </c>
      <c r="C82" s="284">
        <f>+F60</f>
        <v>0.57999999999999996</v>
      </c>
      <c r="D82" s="284">
        <f>+D80</f>
        <v>10378</v>
      </c>
      <c r="E82" s="285">
        <f>+C82/D82</f>
        <v>5.5887454230102135E-5</v>
      </c>
      <c r="F82" s="223"/>
      <c r="G82" s="282"/>
      <c r="H82" s="225"/>
      <c r="I82" s="225"/>
      <c r="J82" s="225"/>
    </row>
    <row r="83" spans="1:10" ht="13.5" thickBot="1" x14ac:dyDescent="0.25">
      <c r="B83" s="247"/>
      <c r="C83" s="248"/>
      <c r="D83" s="248"/>
      <c r="E83" s="289"/>
      <c r="F83" s="223"/>
      <c r="G83" s="282"/>
      <c r="H83" s="225"/>
      <c r="I83" s="225"/>
    </row>
    <row r="84" spans="1:10" ht="13.5" thickBot="1" x14ac:dyDescent="0.25">
      <c r="B84" s="743" t="s">
        <v>221</v>
      </c>
      <c r="C84" s="744"/>
      <c r="D84" s="745"/>
      <c r="E84" s="285">
        <f>+E75+E80</f>
        <v>2.6080025052996723</v>
      </c>
      <c r="G84" s="223"/>
      <c r="H84" s="282"/>
      <c r="I84" s="225"/>
      <c r="J84" s="289"/>
    </row>
    <row r="85" spans="1:10" x14ac:dyDescent="0.2">
      <c r="I85" s="282"/>
      <c r="J85" s="208"/>
    </row>
    <row r="86" spans="1:10" ht="13.5" thickBot="1" x14ac:dyDescent="0.25">
      <c r="B86" s="742" t="s">
        <v>222</v>
      </c>
      <c r="C86" s="742"/>
      <c r="D86" s="742"/>
      <c r="E86" s="742"/>
      <c r="F86" s="742"/>
      <c r="G86" s="223"/>
      <c r="H86" s="282"/>
      <c r="J86" s="208"/>
    </row>
    <row r="87" spans="1:10" ht="13.5" thickBot="1" x14ac:dyDescent="0.25">
      <c r="B87" s="283" t="s">
        <v>216</v>
      </c>
      <c r="C87" s="284">
        <f>+C75</f>
        <v>26295.85</v>
      </c>
      <c r="D87" s="284">
        <f>+D66</f>
        <v>1</v>
      </c>
      <c r="E87" s="285">
        <f>+C87/D87</f>
        <v>26295.85</v>
      </c>
      <c r="F87" s="223"/>
      <c r="G87" s="282"/>
      <c r="H87" s="225"/>
      <c r="I87" s="282"/>
      <c r="J87" s="208"/>
    </row>
    <row r="88" spans="1:10" x14ac:dyDescent="0.2">
      <c r="B88" s="286"/>
      <c r="C88" s="287"/>
      <c r="D88" s="288"/>
      <c r="E88" s="271"/>
      <c r="F88" s="223"/>
      <c r="G88" s="282"/>
      <c r="H88" s="225"/>
      <c r="I88" s="225"/>
      <c r="J88" s="208"/>
    </row>
    <row r="89" spans="1:10" x14ac:dyDescent="0.2">
      <c r="B89" s="283" t="s">
        <v>217</v>
      </c>
      <c r="C89" s="284">
        <f>+C77</f>
        <v>26822.347000000002</v>
      </c>
      <c r="D89" s="284">
        <f>+D66</f>
        <v>1</v>
      </c>
      <c r="E89" s="289">
        <f>+C89/D89</f>
        <v>26822.347000000002</v>
      </c>
      <c r="F89" s="223"/>
      <c r="G89" s="282"/>
      <c r="H89" s="225"/>
      <c r="I89" s="225"/>
      <c r="J89" s="208"/>
    </row>
    <row r="90" spans="1:10" x14ac:dyDescent="0.2">
      <c r="B90" s="283"/>
      <c r="C90" s="284"/>
      <c r="D90" s="284"/>
      <c r="E90" s="289"/>
      <c r="F90" s="223"/>
      <c r="G90" s="282"/>
      <c r="H90" s="225"/>
      <c r="I90" s="225"/>
      <c r="J90" s="208"/>
    </row>
    <row r="91" spans="1:10" ht="13.5" thickBot="1" x14ac:dyDescent="0.25">
      <c r="B91" s="283" t="s">
        <v>219</v>
      </c>
      <c r="C91" s="284">
        <f>+C79</f>
        <v>770</v>
      </c>
      <c r="D91" s="284">
        <f>+D66</f>
        <v>1</v>
      </c>
      <c r="E91" s="289">
        <f>+C91/D91</f>
        <v>770</v>
      </c>
      <c r="F91" s="291"/>
      <c r="G91" s="281"/>
      <c r="H91" s="207"/>
      <c r="I91" s="225"/>
    </row>
    <row r="92" spans="1:10" ht="13.5" thickBot="1" x14ac:dyDescent="0.25">
      <c r="B92" s="283" t="s">
        <v>219</v>
      </c>
      <c r="C92" s="284">
        <f>+C80</f>
        <v>770</v>
      </c>
      <c r="D92" s="284">
        <f>+D91</f>
        <v>1</v>
      </c>
      <c r="E92" s="285">
        <f>+C92/D92</f>
        <v>770</v>
      </c>
      <c r="F92" s="290"/>
      <c r="G92" s="281"/>
      <c r="H92" s="207"/>
      <c r="I92" s="207"/>
    </row>
    <row r="93" spans="1:10" x14ac:dyDescent="0.2">
      <c r="I93" s="207"/>
    </row>
    <row r="94" spans="1:10" x14ac:dyDescent="0.2">
      <c r="A94" s="746"/>
      <c r="B94" s="746"/>
      <c r="C94" s="292"/>
      <c r="D94" s="292"/>
      <c r="E94" s="293"/>
      <c r="G94" s="294"/>
    </row>
    <row r="95" spans="1:10" x14ac:dyDescent="0.2">
      <c r="A95" s="226"/>
      <c r="B95" s="295"/>
      <c r="C95" s="296"/>
      <c r="D95" s="296"/>
      <c r="E95" s="297"/>
      <c r="G95" s="294"/>
    </row>
    <row r="96" spans="1:10" x14ac:dyDescent="0.2">
      <c r="A96" s="226"/>
      <c r="B96" s="295"/>
      <c r="C96" s="298"/>
      <c r="D96" s="298"/>
      <c r="E96" s="226"/>
      <c r="G96" s="294"/>
    </row>
    <row r="97" spans="1:7" x14ac:dyDescent="0.2">
      <c r="A97" s="226"/>
      <c r="B97" s="295"/>
      <c r="C97" s="299"/>
      <c r="D97" s="299"/>
      <c r="E97" s="226"/>
      <c r="G97" s="294"/>
    </row>
  </sheetData>
  <mergeCells count="30">
    <mergeCell ref="B74:F74"/>
    <mergeCell ref="B84:D84"/>
    <mergeCell ref="B86:F86"/>
    <mergeCell ref="A94:B94"/>
    <mergeCell ref="L68:N68"/>
    <mergeCell ref="B69:D69"/>
    <mergeCell ref="K69:N69"/>
    <mergeCell ref="B70:D70"/>
    <mergeCell ref="B71:C71"/>
    <mergeCell ref="B72:E72"/>
    <mergeCell ref="H72:H73"/>
    <mergeCell ref="B67:C67"/>
    <mergeCell ref="K67:N67"/>
    <mergeCell ref="K36:L36"/>
    <mergeCell ref="B59:E59"/>
    <mergeCell ref="B60:E60"/>
    <mergeCell ref="K60:N60"/>
    <mergeCell ref="B61:E61"/>
    <mergeCell ref="C62:E62"/>
    <mergeCell ref="B64:C64"/>
    <mergeCell ref="B65:C65"/>
    <mergeCell ref="M65:N65"/>
    <mergeCell ref="B66:C66"/>
    <mergeCell ref="L66:M66"/>
    <mergeCell ref="K35:L35"/>
    <mergeCell ref="A4:H4"/>
    <mergeCell ref="A5:H5"/>
    <mergeCell ref="F6:G6"/>
    <mergeCell ref="K33:L33"/>
    <mergeCell ref="K34:L3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AD251-2819-4DC0-8CAA-9C495A32575A}">
  <dimension ref="A1:Q97"/>
  <sheetViews>
    <sheetView workbookViewId="0">
      <selection activeCell="D66" sqref="D66"/>
    </sheetView>
  </sheetViews>
  <sheetFormatPr baseColWidth="10" defaultColWidth="8.42578125" defaultRowHeight="12.75" x14ac:dyDescent="0.2"/>
  <cols>
    <col min="1" max="1" width="10" style="208" bestFit="1" customWidth="1"/>
    <col min="2" max="2" width="44.28515625" style="208" bestFit="1" customWidth="1"/>
    <col min="3" max="3" width="10.42578125" style="208" bestFit="1" customWidth="1"/>
    <col min="4" max="4" width="10.42578125" style="208" customWidth="1"/>
    <col min="5" max="5" width="9.7109375" style="208" bestFit="1" customWidth="1"/>
    <col min="6" max="6" width="9.5703125" style="208" bestFit="1" customWidth="1"/>
    <col min="7" max="7" width="9.5703125" style="290" bestFit="1" customWidth="1"/>
    <col min="8" max="8" width="10.42578125" style="281" bestFit="1" customWidth="1"/>
    <col min="9" max="9" width="4.5703125" style="281" customWidth="1"/>
    <col min="10" max="10" width="1.85546875" style="207" customWidth="1"/>
    <col min="11" max="11" width="7" style="208" bestFit="1" customWidth="1"/>
    <col min="12" max="12" width="6.28515625" style="208" customWidth="1"/>
    <col min="13" max="13" width="20.42578125" style="208" customWidth="1"/>
    <col min="14" max="14" width="6.42578125" style="208" bestFit="1" customWidth="1"/>
    <col min="15" max="16" width="8.42578125" style="208"/>
    <col min="17" max="17" width="3.28515625" style="208" customWidth="1"/>
    <col min="18" max="256" width="8.42578125" style="208"/>
    <col min="257" max="257" width="10" style="208" bestFit="1" customWidth="1"/>
    <col min="258" max="258" width="44.28515625" style="208" bestFit="1" customWidth="1"/>
    <col min="259" max="259" width="10.42578125" style="208" bestFit="1" customWidth="1"/>
    <col min="260" max="260" width="10.42578125" style="208" customWidth="1"/>
    <col min="261" max="261" width="9.7109375" style="208" bestFit="1" customWidth="1"/>
    <col min="262" max="263" width="9.5703125" style="208" bestFit="1" customWidth="1"/>
    <col min="264" max="264" width="10.42578125" style="208" bestFit="1" customWidth="1"/>
    <col min="265" max="265" width="4.5703125" style="208" customWidth="1"/>
    <col min="266" max="266" width="1.85546875" style="208" customWidth="1"/>
    <col min="267" max="267" width="7" style="208" bestFit="1" customWidth="1"/>
    <col min="268" max="268" width="6.28515625" style="208" customWidth="1"/>
    <col min="269" max="269" width="20.42578125" style="208" customWidth="1"/>
    <col min="270" max="270" width="6.42578125" style="208" bestFit="1" customWidth="1"/>
    <col min="271" max="272" width="8.42578125" style="208"/>
    <col min="273" max="273" width="3.28515625" style="208" customWidth="1"/>
    <col min="274" max="512" width="8.42578125" style="208"/>
    <col min="513" max="513" width="10" style="208" bestFit="1" customWidth="1"/>
    <col min="514" max="514" width="44.28515625" style="208" bestFit="1" customWidth="1"/>
    <col min="515" max="515" width="10.42578125" style="208" bestFit="1" customWidth="1"/>
    <col min="516" max="516" width="10.42578125" style="208" customWidth="1"/>
    <col min="517" max="517" width="9.7109375" style="208" bestFit="1" customWidth="1"/>
    <col min="518" max="519" width="9.5703125" style="208" bestFit="1" customWidth="1"/>
    <col min="520" max="520" width="10.42578125" style="208" bestFit="1" customWidth="1"/>
    <col min="521" max="521" width="4.5703125" style="208" customWidth="1"/>
    <col min="522" max="522" width="1.85546875" style="208" customWidth="1"/>
    <col min="523" max="523" width="7" style="208" bestFit="1" customWidth="1"/>
    <col min="524" max="524" width="6.28515625" style="208" customWidth="1"/>
    <col min="525" max="525" width="20.42578125" style="208" customWidth="1"/>
    <col min="526" max="526" width="6.42578125" style="208" bestFit="1" customWidth="1"/>
    <col min="527" max="528" width="8.42578125" style="208"/>
    <col min="529" max="529" width="3.28515625" style="208" customWidth="1"/>
    <col min="530" max="768" width="8.42578125" style="208"/>
    <col min="769" max="769" width="10" style="208" bestFit="1" customWidth="1"/>
    <col min="770" max="770" width="44.28515625" style="208" bestFit="1" customWidth="1"/>
    <col min="771" max="771" width="10.42578125" style="208" bestFit="1" customWidth="1"/>
    <col min="772" max="772" width="10.42578125" style="208" customWidth="1"/>
    <col min="773" max="773" width="9.7109375" style="208" bestFit="1" customWidth="1"/>
    <col min="774" max="775" width="9.5703125" style="208" bestFit="1" customWidth="1"/>
    <col min="776" max="776" width="10.42578125" style="208" bestFit="1" customWidth="1"/>
    <col min="777" max="777" width="4.5703125" style="208" customWidth="1"/>
    <col min="778" max="778" width="1.85546875" style="208" customWidth="1"/>
    <col min="779" max="779" width="7" style="208" bestFit="1" customWidth="1"/>
    <col min="780" max="780" width="6.28515625" style="208" customWidth="1"/>
    <col min="781" max="781" width="20.42578125" style="208" customWidth="1"/>
    <col min="782" max="782" width="6.42578125" style="208" bestFit="1" customWidth="1"/>
    <col min="783" max="784" width="8.42578125" style="208"/>
    <col min="785" max="785" width="3.28515625" style="208" customWidth="1"/>
    <col min="786" max="1024" width="8.42578125" style="208"/>
    <col min="1025" max="1025" width="10" style="208" bestFit="1" customWidth="1"/>
    <col min="1026" max="1026" width="44.28515625" style="208" bestFit="1" customWidth="1"/>
    <col min="1027" max="1027" width="10.42578125" style="208" bestFit="1" customWidth="1"/>
    <col min="1028" max="1028" width="10.42578125" style="208" customWidth="1"/>
    <col min="1029" max="1029" width="9.7109375" style="208" bestFit="1" customWidth="1"/>
    <col min="1030" max="1031" width="9.5703125" style="208" bestFit="1" customWidth="1"/>
    <col min="1032" max="1032" width="10.42578125" style="208" bestFit="1" customWidth="1"/>
    <col min="1033" max="1033" width="4.5703125" style="208" customWidth="1"/>
    <col min="1034" max="1034" width="1.85546875" style="208" customWidth="1"/>
    <col min="1035" max="1035" width="7" style="208" bestFit="1" customWidth="1"/>
    <col min="1036" max="1036" width="6.28515625" style="208" customWidth="1"/>
    <col min="1037" max="1037" width="20.42578125" style="208" customWidth="1"/>
    <col min="1038" max="1038" width="6.42578125" style="208" bestFit="1" customWidth="1"/>
    <col min="1039" max="1040" width="8.42578125" style="208"/>
    <col min="1041" max="1041" width="3.28515625" style="208" customWidth="1"/>
    <col min="1042" max="1280" width="8.42578125" style="208"/>
    <col min="1281" max="1281" width="10" style="208" bestFit="1" customWidth="1"/>
    <col min="1282" max="1282" width="44.28515625" style="208" bestFit="1" customWidth="1"/>
    <col min="1283" max="1283" width="10.42578125" style="208" bestFit="1" customWidth="1"/>
    <col min="1284" max="1284" width="10.42578125" style="208" customWidth="1"/>
    <col min="1285" max="1285" width="9.7109375" style="208" bestFit="1" customWidth="1"/>
    <col min="1286" max="1287" width="9.5703125" style="208" bestFit="1" customWidth="1"/>
    <col min="1288" max="1288" width="10.42578125" style="208" bestFit="1" customWidth="1"/>
    <col min="1289" max="1289" width="4.5703125" style="208" customWidth="1"/>
    <col min="1290" max="1290" width="1.85546875" style="208" customWidth="1"/>
    <col min="1291" max="1291" width="7" style="208" bestFit="1" customWidth="1"/>
    <col min="1292" max="1292" width="6.28515625" style="208" customWidth="1"/>
    <col min="1293" max="1293" width="20.42578125" style="208" customWidth="1"/>
    <col min="1294" max="1294" width="6.42578125" style="208" bestFit="1" customWidth="1"/>
    <col min="1295" max="1296" width="8.42578125" style="208"/>
    <col min="1297" max="1297" width="3.28515625" style="208" customWidth="1"/>
    <col min="1298" max="1536" width="8.42578125" style="208"/>
    <col min="1537" max="1537" width="10" style="208" bestFit="1" customWidth="1"/>
    <col min="1538" max="1538" width="44.28515625" style="208" bestFit="1" customWidth="1"/>
    <col min="1539" max="1539" width="10.42578125" style="208" bestFit="1" customWidth="1"/>
    <col min="1540" max="1540" width="10.42578125" style="208" customWidth="1"/>
    <col min="1541" max="1541" width="9.7109375" style="208" bestFit="1" customWidth="1"/>
    <col min="1542" max="1543" width="9.5703125" style="208" bestFit="1" customWidth="1"/>
    <col min="1544" max="1544" width="10.42578125" style="208" bestFit="1" customWidth="1"/>
    <col min="1545" max="1545" width="4.5703125" style="208" customWidth="1"/>
    <col min="1546" max="1546" width="1.85546875" style="208" customWidth="1"/>
    <col min="1547" max="1547" width="7" style="208" bestFit="1" customWidth="1"/>
    <col min="1548" max="1548" width="6.28515625" style="208" customWidth="1"/>
    <col min="1549" max="1549" width="20.42578125" style="208" customWidth="1"/>
    <col min="1550" max="1550" width="6.42578125" style="208" bestFit="1" customWidth="1"/>
    <col min="1551" max="1552" width="8.42578125" style="208"/>
    <col min="1553" max="1553" width="3.28515625" style="208" customWidth="1"/>
    <col min="1554" max="1792" width="8.42578125" style="208"/>
    <col min="1793" max="1793" width="10" style="208" bestFit="1" customWidth="1"/>
    <col min="1794" max="1794" width="44.28515625" style="208" bestFit="1" customWidth="1"/>
    <col min="1795" max="1795" width="10.42578125" style="208" bestFit="1" customWidth="1"/>
    <col min="1796" max="1796" width="10.42578125" style="208" customWidth="1"/>
    <col min="1797" max="1797" width="9.7109375" style="208" bestFit="1" customWidth="1"/>
    <col min="1798" max="1799" width="9.5703125" style="208" bestFit="1" customWidth="1"/>
    <col min="1800" max="1800" width="10.42578125" style="208" bestFit="1" customWidth="1"/>
    <col min="1801" max="1801" width="4.5703125" style="208" customWidth="1"/>
    <col min="1802" max="1802" width="1.85546875" style="208" customWidth="1"/>
    <col min="1803" max="1803" width="7" style="208" bestFit="1" customWidth="1"/>
    <col min="1804" max="1804" width="6.28515625" style="208" customWidth="1"/>
    <col min="1805" max="1805" width="20.42578125" style="208" customWidth="1"/>
    <col min="1806" max="1806" width="6.42578125" style="208" bestFit="1" customWidth="1"/>
    <col min="1807" max="1808" width="8.42578125" style="208"/>
    <col min="1809" max="1809" width="3.28515625" style="208" customWidth="1"/>
    <col min="1810" max="2048" width="8.42578125" style="208"/>
    <col min="2049" max="2049" width="10" style="208" bestFit="1" customWidth="1"/>
    <col min="2050" max="2050" width="44.28515625" style="208" bestFit="1" customWidth="1"/>
    <col min="2051" max="2051" width="10.42578125" style="208" bestFit="1" customWidth="1"/>
    <col min="2052" max="2052" width="10.42578125" style="208" customWidth="1"/>
    <col min="2053" max="2053" width="9.7109375" style="208" bestFit="1" customWidth="1"/>
    <col min="2054" max="2055" width="9.5703125" style="208" bestFit="1" customWidth="1"/>
    <col min="2056" max="2056" width="10.42578125" style="208" bestFit="1" customWidth="1"/>
    <col min="2057" max="2057" width="4.5703125" style="208" customWidth="1"/>
    <col min="2058" max="2058" width="1.85546875" style="208" customWidth="1"/>
    <col min="2059" max="2059" width="7" style="208" bestFit="1" customWidth="1"/>
    <col min="2060" max="2060" width="6.28515625" style="208" customWidth="1"/>
    <col min="2061" max="2061" width="20.42578125" style="208" customWidth="1"/>
    <col min="2062" max="2062" width="6.42578125" style="208" bestFit="1" customWidth="1"/>
    <col min="2063" max="2064" width="8.42578125" style="208"/>
    <col min="2065" max="2065" width="3.28515625" style="208" customWidth="1"/>
    <col min="2066" max="2304" width="8.42578125" style="208"/>
    <col min="2305" max="2305" width="10" style="208" bestFit="1" customWidth="1"/>
    <col min="2306" max="2306" width="44.28515625" style="208" bestFit="1" customWidth="1"/>
    <col min="2307" max="2307" width="10.42578125" style="208" bestFit="1" customWidth="1"/>
    <col min="2308" max="2308" width="10.42578125" style="208" customWidth="1"/>
    <col min="2309" max="2309" width="9.7109375" style="208" bestFit="1" customWidth="1"/>
    <col min="2310" max="2311" width="9.5703125" style="208" bestFit="1" customWidth="1"/>
    <col min="2312" max="2312" width="10.42578125" style="208" bestFit="1" customWidth="1"/>
    <col min="2313" max="2313" width="4.5703125" style="208" customWidth="1"/>
    <col min="2314" max="2314" width="1.85546875" style="208" customWidth="1"/>
    <col min="2315" max="2315" width="7" style="208" bestFit="1" customWidth="1"/>
    <col min="2316" max="2316" width="6.28515625" style="208" customWidth="1"/>
    <col min="2317" max="2317" width="20.42578125" style="208" customWidth="1"/>
    <col min="2318" max="2318" width="6.42578125" style="208" bestFit="1" customWidth="1"/>
    <col min="2319" max="2320" width="8.42578125" style="208"/>
    <col min="2321" max="2321" width="3.28515625" style="208" customWidth="1"/>
    <col min="2322" max="2560" width="8.42578125" style="208"/>
    <col min="2561" max="2561" width="10" style="208" bestFit="1" customWidth="1"/>
    <col min="2562" max="2562" width="44.28515625" style="208" bestFit="1" customWidth="1"/>
    <col min="2563" max="2563" width="10.42578125" style="208" bestFit="1" customWidth="1"/>
    <col min="2564" max="2564" width="10.42578125" style="208" customWidth="1"/>
    <col min="2565" max="2565" width="9.7109375" style="208" bestFit="1" customWidth="1"/>
    <col min="2566" max="2567" width="9.5703125" style="208" bestFit="1" customWidth="1"/>
    <col min="2568" max="2568" width="10.42578125" style="208" bestFit="1" customWidth="1"/>
    <col min="2569" max="2569" width="4.5703125" style="208" customWidth="1"/>
    <col min="2570" max="2570" width="1.85546875" style="208" customWidth="1"/>
    <col min="2571" max="2571" width="7" style="208" bestFit="1" customWidth="1"/>
    <col min="2572" max="2572" width="6.28515625" style="208" customWidth="1"/>
    <col min="2573" max="2573" width="20.42578125" style="208" customWidth="1"/>
    <col min="2574" max="2574" width="6.42578125" style="208" bestFit="1" customWidth="1"/>
    <col min="2575" max="2576" width="8.42578125" style="208"/>
    <col min="2577" max="2577" width="3.28515625" style="208" customWidth="1"/>
    <col min="2578" max="2816" width="8.42578125" style="208"/>
    <col min="2817" max="2817" width="10" style="208" bestFit="1" customWidth="1"/>
    <col min="2818" max="2818" width="44.28515625" style="208" bestFit="1" customWidth="1"/>
    <col min="2819" max="2819" width="10.42578125" style="208" bestFit="1" customWidth="1"/>
    <col min="2820" max="2820" width="10.42578125" style="208" customWidth="1"/>
    <col min="2821" max="2821" width="9.7109375" style="208" bestFit="1" customWidth="1"/>
    <col min="2822" max="2823" width="9.5703125" style="208" bestFit="1" customWidth="1"/>
    <col min="2824" max="2824" width="10.42578125" style="208" bestFit="1" customWidth="1"/>
    <col min="2825" max="2825" width="4.5703125" style="208" customWidth="1"/>
    <col min="2826" max="2826" width="1.85546875" style="208" customWidth="1"/>
    <col min="2827" max="2827" width="7" style="208" bestFit="1" customWidth="1"/>
    <col min="2828" max="2828" width="6.28515625" style="208" customWidth="1"/>
    <col min="2829" max="2829" width="20.42578125" style="208" customWidth="1"/>
    <col min="2830" max="2830" width="6.42578125" style="208" bestFit="1" customWidth="1"/>
    <col min="2831" max="2832" width="8.42578125" style="208"/>
    <col min="2833" max="2833" width="3.28515625" style="208" customWidth="1"/>
    <col min="2834" max="3072" width="8.42578125" style="208"/>
    <col min="3073" max="3073" width="10" style="208" bestFit="1" customWidth="1"/>
    <col min="3074" max="3074" width="44.28515625" style="208" bestFit="1" customWidth="1"/>
    <col min="3075" max="3075" width="10.42578125" style="208" bestFit="1" customWidth="1"/>
    <col min="3076" max="3076" width="10.42578125" style="208" customWidth="1"/>
    <col min="3077" max="3077" width="9.7109375" style="208" bestFit="1" customWidth="1"/>
    <col min="3078" max="3079" width="9.5703125" style="208" bestFit="1" customWidth="1"/>
    <col min="3080" max="3080" width="10.42578125" style="208" bestFit="1" customWidth="1"/>
    <col min="3081" max="3081" width="4.5703125" style="208" customWidth="1"/>
    <col min="3082" max="3082" width="1.85546875" style="208" customWidth="1"/>
    <col min="3083" max="3083" width="7" style="208" bestFit="1" customWidth="1"/>
    <col min="3084" max="3084" width="6.28515625" style="208" customWidth="1"/>
    <col min="3085" max="3085" width="20.42578125" style="208" customWidth="1"/>
    <col min="3086" max="3086" width="6.42578125" style="208" bestFit="1" customWidth="1"/>
    <col min="3087" max="3088" width="8.42578125" style="208"/>
    <col min="3089" max="3089" width="3.28515625" style="208" customWidth="1"/>
    <col min="3090" max="3328" width="8.42578125" style="208"/>
    <col min="3329" max="3329" width="10" style="208" bestFit="1" customWidth="1"/>
    <col min="3330" max="3330" width="44.28515625" style="208" bestFit="1" customWidth="1"/>
    <col min="3331" max="3331" width="10.42578125" style="208" bestFit="1" customWidth="1"/>
    <col min="3332" max="3332" width="10.42578125" style="208" customWidth="1"/>
    <col min="3333" max="3333" width="9.7109375" style="208" bestFit="1" customWidth="1"/>
    <col min="3334" max="3335" width="9.5703125" style="208" bestFit="1" customWidth="1"/>
    <col min="3336" max="3336" width="10.42578125" style="208" bestFit="1" customWidth="1"/>
    <col min="3337" max="3337" width="4.5703125" style="208" customWidth="1"/>
    <col min="3338" max="3338" width="1.85546875" style="208" customWidth="1"/>
    <col min="3339" max="3339" width="7" style="208" bestFit="1" customWidth="1"/>
    <col min="3340" max="3340" width="6.28515625" style="208" customWidth="1"/>
    <col min="3341" max="3341" width="20.42578125" style="208" customWidth="1"/>
    <col min="3342" max="3342" width="6.42578125" style="208" bestFit="1" customWidth="1"/>
    <col min="3343" max="3344" width="8.42578125" style="208"/>
    <col min="3345" max="3345" width="3.28515625" style="208" customWidth="1"/>
    <col min="3346" max="3584" width="8.42578125" style="208"/>
    <col min="3585" max="3585" width="10" style="208" bestFit="1" customWidth="1"/>
    <col min="3586" max="3586" width="44.28515625" style="208" bestFit="1" customWidth="1"/>
    <col min="3587" max="3587" width="10.42578125" style="208" bestFit="1" customWidth="1"/>
    <col min="3588" max="3588" width="10.42578125" style="208" customWidth="1"/>
    <col min="3589" max="3589" width="9.7109375" style="208" bestFit="1" customWidth="1"/>
    <col min="3590" max="3591" width="9.5703125" style="208" bestFit="1" customWidth="1"/>
    <col min="3592" max="3592" width="10.42578125" style="208" bestFit="1" customWidth="1"/>
    <col min="3593" max="3593" width="4.5703125" style="208" customWidth="1"/>
    <col min="3594" max="3594" width="1.85546875" style="208" customWidth="1"/>
    <col min="3595" max="3595" width="7" style="208" bestFit="1" customWidth="1"/>
    <col min="3596" max="3596" width="6.28515625" style="208" customWidth="1"/>
    <col min="3597" max="3597" width="20.42578125" style="208" customWidth="1"/>
    <col min="3598" max="3598" width="6.42578125" style="208" bestFit="1" customWidth="1"/>
    <col min="3599" max="3600" width="8.42578125" style="208"/>
    <col min="3601" max="3601" width="3.28515625" style="208" customWidth="1"/>
    <col min="3602" max="3840" width="8.42578125" style="208"/>
    <col min="3841" max="3841" width="10" style="208" bestFit="1" customWidth="1"/>
    <col min="3842" max="3842" width="44.28515625" style="208" bestFit="1" customWidth="1"/>
    <col min="3843" max="3843" width="10.42578125" style="208" bestFit="1" customWidth="1"/>
    <col min="3844" max="3844" width="10.42578125" style="208" customWidth="1"/>
    <col min="3845" max="3845" width="9.7109375" style="208" bestFit="1" customWidth="1"/>
    <col min="3846" max="3847" width="9.5703125" style="208" bestFit="1" customWidth="1"/>
    <col min="3848" max="3848" width="10.42578125" style="208" bestFit="1" customWidth="1"/>
    <col min="3849" max="3849" width="4.5703125" style="208" customWidth="1"/>
    <col min="3850" max="3850" width="1.85546875" style="208" customWidth="1"/>
    <col min="3851" max="3851" width="7" style="208" bestFit="1" customWidth="1"/>
    <col min="3852" max="3852" width="6.28515625" style="208" customWidth="1"/>
    <col min="3853" max="3853" width="20.42578125" style="208" customWidth="1"/>
    <col min="3854" max="3854" width="6.42578125" style="208" bestFit="1" customWidth="1"/>
    <col min="3855" max="3856" width="8.42578125" style="208"/>
    <col min="3857" max="3857" width="3.28515625" style="208" customWidth="1"/>
    <col min="3858" max="4096" width="8.42578125" style="208"/>
    <col min="4097" max="4097" width="10" style="208" bestFit="1" customWidth="1"/>
    <col min="4098" max="4098" width="44.28515625" style="208" bestFit="1" customWidth="1"/>
    <col min="4099" max="4099" width="10.42578125" style="208" bestFit="1" customWidth="1"/>
    <col min="4100" max="4100" width="10.42578125" style="208" customWidth="1"/>
    <col min="4101" max="4101" width="9.7109375" style="208" bestFit="1" customWidth="1"/>
    <col min="4102" max="4103" width="9.5703125" style="208" bestFit="1" customWidth="1"/>
    <col min="4104" max="4104" width="10.42578125" style="208" bestFit="1" customWidth="1"/>
    <col min="4105" max="4105" width="4.5703125" style="208" customWidth="1"/>
    <col min="4106" max="4106" width="1.85546875" style="208" customWidth="1"/>
    <col min="4107" max="4107" width="7" style="208" bestFit="1" customWidth="1"/>
    <col min="4108" max="4108" width="6.28515625" style="208" customWidth="1"/>
    <col min="4109" max="4109" width="20.42578125" style="208" customWidth="1"/>
    <col min="4110" max="4110" width="6.42578125" style="208" bestFit="1" customWidth="1"/>
    <col min="4111" max="4112" width="8.42578125" style="208"/>
    <col min="4113" max="4113" width="3.28515625" style="208" customWidth="1"/>
    <col min="4114" max="4352" width="8.42578125" style="208"/>
    <col min="4353" max="4353" width="10" style="208" bestFit="1" customWidth="1"/>
    <col min="4354" max="4354" width="44.28515625" style="208" bestFit="1" customWidth="1"/>
    <col min="4355" max="4355" width="10.42578125" style="208" bestFit="1" customWidth="1"/>
    <col min="4356" max="4356" width="10.42578125" style="208" customWidth="1"/>
    <col min="4357" max="4357" width="9.7109375" style="208" bestFit="1" customWidth="1"/>
    <col min="4358" max="4359" width="9.5703125" style="208" bestFit="1" customWidth="1"/>
    <col min="4360" max="4360" width="10.42578125" style="208" bestFit="1" customWidth="1"/>
    <col min="4361" max="4361" width="4.5703125" style="208" customWidth="1"/>
    <col min="4362" max="4362" width="1.85546875" style="208" customWidth="1"/>
    <col min="4363" max="4363" width="7" style="208" bestFit="1" customWidth="1"/>
    <col min="4364" max="4364" width="6.28515625" style="208" customWidth="1"/>
    <col min="4365" max="4365" width="20.42578125" style="208" customWidth="1"/>
    <col min="4366" max="4366" width="6.42578125" style="208" bestFit="1" customWidth="1"/>
    <col min="4367" max="4368" width="8.42578125" style="208"/>
    <col min="4369" max="4369" width="3.28515625" style="208" customWidth="1"/>
    <col min="4370" max="4608" width="8.42578125" style="208"/>
    <col min="4609" max="4609" width="10" style="208" bestFit="1" customWidth="1"/>
    <col min="4610" max="4610" width="44.28515625" style="208" bestFit="1" customWidth="1"/>
    <col min="4611" max="4611" width="10.42578125" style="208" bestFit="1" customWidth="1"/>
    <col min="4612" max="4612" width="10.42578125" style="208" customWidth="1"/>
    <col min="4613" max="4613" width="9.7109375" style="208" bestFit="1" customWidth="1"/>
    <col min="4614" max="4615" width="9.5703125" style="208" bestFit="1" customWidth="1"/>
    <col min="4616" max="4616" width="10.42578125" style="208" bestFit="1" customWidth="1"/>
    <col min="4617" max="4617" width="4.5703125" style="208" customWidth="1"/>
    <col min="4618" max="4618" width="1.85546875" style="208" customWidth="1"/>
    <col min="4619" max="4619" width="7" style="208" bestFit="1" customWidth="1"/>
    <col min="4620" max="4620" width="6.28515625" style="208" customWidth="1"/>
    <col min="4621" max="4621" width="20.42578125" style="208" customWidth="1"/>
    <col min="4622" max="4622" width="6.42578125" style="208" bestFit="1" customWidth="1"/>
    <col min="4623" max="4624" width="8.42578125" style="208"/>
    <col min="4625" max="4625" width="3.28515625" style="208" customWidth="1"/>
    <col min="4626" max="4864" width="8.42578125" style="208"/>
    <col min="4865" max="4865" width="10" style="208" bestFit="1" customWidth="1"/>
    <col min="4866" max="4866" width="44.28515625" style="208" bestFit="1" customWidth="1"/>
    <col min="4867" max="4867" width="10.42578125" style="208" bestFit="1" customWidth="1"/>
    <col min="4868" max="4868" width="10.42578125" style="208" customWidth="1"/>
    <col min="4869" max="4869" width="9.7109375" style="208" bestFit="1" customWidth="1"/>
    <col min="4870" max="4871" width="9.5703125" style="208" bestFit="1" customWidth="1"/>
    <col min="4872" max="4872" width="10.42578125" style="208" bestFit="1" customWidth="1"/>
    <col min="4873" max="4873" width="4.5703125" style="208" customWidth="1"/>
    <col min="4874" max="4874" width="1.85546875" style="208" customWidth="1"/>
    <col min="4875" max="4875" width="7" style="208" bestFit="1" customWidth="1"/>
    <col min="4876" max="4876" width="6.28515625" style="208" customWidth="1"/>
    <col min="4877" max="4877" width="20.42578125" style="208" customWidth="1"/>
    <col min="4878" max="4878" width="6.42578125" style="208" bestFit="1" customWidth="1"/>
    <col min="4879" max="4880" width="8.42578125" style="208"/>
    <col min="4881" max="4881" width="3.28515625" style="208" customWidth="1"/>
    <col min="4882" max="5120" width="8.42578125" style="208"/>
    <col min="5121" max="5121" width="10" style="208" bestFit="1" customWidth="1"/>
    <col min="5122" max="5122" width="44.28515625" style="208" bestFit="1" customWidth="1"/>
    <col min="5123" max="5123" width="10.42578125" style="208" bestFit="1" customWidth="1"/>
    <col min="5124" max="5124" width="10.42578125" style="208" customWidth="1"/>
    <col min="5125" max="5125" width="9.7109375" style="208" bestFit="1" customWidth="1"/>
    <col min="5126" max="5127" width="9.5703125" style="208" bestFit="1" customWidth="1"/>
    <col min="5128" max="5128" width="10.42578125" style="208" bestFit="1" customWidth="1"/>
    <col min="5129" max="5129" width="4.5703125" style="208" customWidth="1"/>
    <col min="5130" max="5130" width="1.85546875" style="208" customWidth="1"/>
    <col min="5131" max="5131" width="7" style="208" bestFit="1" customWidth="1"/>
    <col min="5132" max="5132" width="6.28515625" style="208" customWidth="1"/>
    <col min="5133" max="5133" width="20.42578125" style="208" customWidth="1"/>
    <col min="5134" max="5134" width="6.42578125" style="208" bestFit="1" customWidth="1"/>
    <col min="5135" max="5136" width="8.42578125" style="208"/>
    <col min="5137" max="5137" width="3.28515625" style="208" customWidth="1"/>
    <col min="5138" max="5376" width="8.42578125" style="208"/>
    <col min="5377" max="5377" width="10" style="208" bestFit="1" customWidth="1"/>
    <col min="5378" max="5378" width="44.28515625" style="208" bestFit="1" customWidth="1"/>
    <col min="5379" max="5379" width="10.42578125" style="208" bestFit="1" customWidth="1"/>
    <col min="5380" max="5380" width="10.42578125" style="208" customWidth="1"/>
    <col min="5381" max="5381" width="9.7109375" style="208" bestFit="1" customWidth="1"/>
    <col min="5382" max="5383" width="9.5703125" style="208" bestFit="1" customWidth="1"/>
    <col min="5384" max="5384" width="10.42578125" style="208" bestFit="1" customWidth="1"/>
    <col min="5385" max="5385" width="4.5703125" style="208" customWidth="1"/>
    <col min="5386" max="5386" width="1.85546875" style="208" customWidth="1"/>
    <col min="5387" max="5387" width="7" style="208" bestFit="1" customWidth="1"/>
    <col min="5388" max="5388" width="6.28515625" style="208" customWidth="1"/>
    <col min="5389" max="5389" width="20.42578125" style="208" customWidth="1"/>
    <col min="5390" max="5390" width="6.42578125" style="208" bestFit="1" customWidth="1"/>
    <col min="5391" max="5392" width="8.42578125" style="208"/>
    <col min="5393" max="5393" width="3.28515625" style="208" customWidth="1"/>
    <col min="5394" max="5632" width="8.42578125" style="208"/>
    <col min="5633" max="5633" width="10" style="208" bestFit="1" customWidth="1"/>
    <col min="5634" max="5634" width="44.28515625" style="208" bestFit="1" customWidth="1"/>
    <col min="5635" max="5635" width="10.42578125" style="208" bestFit="1" customWidth="1"/>
    <col min="5636" max="5636" width="10.42578125" style="208" customWidth="1"/>
    <col min="5637" max="5637" width="9.7109375" style="208" bestFit="1" customWidth="1"/>
    <col min="5638" max="5639" width="9.5703125" style="208" bestFit="1" customWidth="1"/>
    <col min="5640" max="5640" width="10.42578125" style="208" bestFit="1" customWidth="1"/>
    <col min="5641" max="5641" width="4.5703125" style="208" customWidth="1"/>
    <col min="5642" max="5642" width="1.85546875" style="208" customWidth="1"/>
    <col min="5643" max="5643" width="7" style="208" bestFit="1" customWidth="1"/>
    <col min="5644" max="5644" width="6.28515625" style="208" customWidth="1"/>
    <col min="5645" max="5645" width="20.42578125" style="208" customWidth="1"/>
    <col min="5646" max="5646" width="6.42578125" style="208" bestFit="1" customWidth="1"/>
    <col min="5647" max="5648" width="8.42578125" style="208"/>
    <col min="5649" max="5649" width="3.28515625" style="208" customWidth="1"/>
    <col min="5650" max="5888" width="8.42578125" style="208"/>
    <col min="5889" max="5889" width="10" style="208" bestFit="1" customWidth="1"/>
    <col min="5890" max="5890" width="44.28515625" style="208" bestFit="1" customWidth="1"/>
    <col min="5891" max="5891" width="10.42578125" style="208" bestFit="1" customWidth="1"/>
    <col min="5892" max="5892" width="10.42578125" style="208" customWidth="1"/>
    <col min="5893" max="5893" width="9.7109375" style="208" bestFit="1" customWidth="1"/>
    <col min="5894" max="5895" width="9.5703125" style="208" bestFit="1" customWidth="1"/>
    <col min="5896" max="5896" width="10.42578125" style="208" bestFit="1" customWidth="1"/>
    <col min="5897" max="5897" width="4.5703125" style="208" customWidth="1"/>
    <col min="5898" max="5898" width="1.85546875" style="208" customWidth="1"/>
    <col min="5899" max="5899" width="7" style="208" bestFit="1" customWidth="1"/>
    <col min="5900" max="5900" width="6.28515625" style="208" customWidth="1"/>
    <col min="5901" max="5901" width="20.42578125" style="208" customWidth="1"/>
    <col min="5902" max="5902" width="6.42578125" style="208" bestFit="1" customWidth="1"/>
    <col min="5903" max="5904" width="8.42578125" style="208"/>
    <col min="5905" max="5905" width="3.28515625" style="208" customWidth="1"/>
    <col min="5906" max="6144" width="8.42578125" style="208"/>
    <col min="6145" max="6145" width="10" style="208" bestFit="1" customWidth="1"/>
    <col min="6146" max="6146" width="44.28515625" style="208" bestFit="1" customWidth="1"/>
    <col min="6147" max="6147" width="10.42578125" style="208" bestFit="1" customWidth="1"/>
    <col min="6148" max="6148" width="10.42578125" style="208" customWidth="1"/>
    <col min="6149" max="6149" width="9.7109375" style="208" bestFit="1" customWidth="1"/>
    <col min="6150" max="6151" width="9.5703125" style="208" bestFit="1" customWidth="1"/>
    <col min="6152" max="6152" width="10.42578125" style="208" bestFit="1" customWidth="1"/>
    <col min="6153" max="6153" width="4.5703125" style="208" customWidth="1"/>
    <col min="6154" max="6154" width="1.85546875" style="208" customWidth="1"/>
    <col min="6155" max="6155" width="7" style="208" bestFit="1" customWidth="1"/>
    <col min="6156" max="6156" width="6.28515625" style="208" customWidth="1"/>
    <col min="6157" max="6157" width="20.42578125" style="208" customWidth="1"/>
    <col min="6158" max="6158" width="6.42578125" style="208" bestFit="1" customWidth="1"/>
    <col min="6159" max="6160" width="8.42578125" style="208"/>
    <col min="6161" max="6161" width="3.28515625" style="208" customWidth="1"/>
    <col min="6162" max="6400" width="8.42578125" style="208"/>
    <col min="6401" max="6401" width="10" style="208" bestFit="1" customWidth="1"/>
    <col min="6402" max="6402" width="44.28515625" style="208" bestFit="1" customWidth="1"/>
    <col min="6403" max="6403" width="10.42578125" style="208" bestFit="1" customWidth="1"/>
    <col min="6404" max="6404" width="10.42578125" style="208" customWidth="1"/>
    <col min="6405" max="6405" width="9.7109375" style="208" bestFit="1" customWidth="1"/>
    <col min="6406" max="6407" width="9.5703125" style="208" bestFit="1" customWidth="1"/>
    <col min="6408" max="6408" width="10.42578125" style="208" bestFit="1" customWidth="1"/>
    <col min="6409" max="6409" width="4.5703125" style="208" customWidth="1"/>
    <col min="6410" max="6410" width="1.85546875" style="208" customWidth="1"/>
    <col min="6411" max="6411" width="7" style="208" bestFit="1" customWidth="1"/>
    <col min="6412" max="6412" width="6.28515625" style="208" customWidth="1"/>
    <col min="6413" max="6413" width="20.42578125" style="208" customWidth="1"/>
    <col min="6414" max="6414" width="6.42578125" style="208" bestFit="1" customWidth="1"/>
    <col min="6415" max="6416" width="8.42578125" style="208"/>
    <col min="6417" max="6417" width="3.28515625" style="208" customWidth="1"/>
    <col min="6418" max="6656" width="8.42578125" style="208"/>
    <col min="6657" max="6657" width="10" style="208" bestFit="1" customWidth="1"/>
    <col min="6658" max="6658" width="44.28515625" style="208" bestFit="1" customWidth="1"/>
    <col min="6659" max="6659" width="10.42578125" style="208" bestFit="1" customWidth="1"/>
    <col min="6660" max="6660" width="10.42578125" style="208" customWidth="1"/>
    <col min="6661" max="6661" width="9.7109375" style="208" bestFit="1" customWidth="1"/>
    <col min="6662" max="6663" width="9.5703125" style="208" bestFit="1" customWidth="1"/>
    <col min="6664" max="6664" width="10.42578125" style="208" bestFit="1" customWidth="1"/>
    <col min="6665" max="6665" width="4.5703125" style="208" customWidth="1"/>
    <col min="6666" max="6666" width="1.85546875" style="208" customWidth="1"/>
    <col min="6667" max="6667" width="7" style="208" bestFit="1" customWidth="1"/>
    <col min="6668" max="6668" width="6.28515625" style="208" customWidth="1"/>
    <col min="6669" max="6669" width="20.42578125" style="208" customWidth="1"/>
    <col min="6670" max="6670" width="6.42578125" style="208" bestFit="1" customWidth="1"/>
    <col min="6671" max="6672" width="8.42578125" style="208"/>
    <col min="6673" max="6673" width="3.28515625" style="208" customWidth="1"/>
    <col min="6674" max="6912" width="8.42578125" style="208"/>
    <col min="6913" max="6913" width="10" style="208" bestFit="1" customWidth="1"/>
    <col min="6914" max="6914" width="44.28515625" style="208" bestFit="1" customWidth="1"/>
    <col min="6915" max="6915" width="10.42578125" style="208" bestFit="1" customWidth="1"/>
    <col min="6916" max="6916" width="10.42578125" style="208" customWidth="1"/>
    <col min="6917" max="6917" width="9.7109375" style="208" bestFit="1" customWidth="1"/>
    <col min="6918" max="6919" width="9.5703125" style="208" bestFit="1" customWidth="1"/>
    <col min="6920" max="6920" width="10.42578125" style="208" bestFit="1" customWidth="1"/>
    <col min="6921" max="6921" width="4.5703125" style="208" customWidth="1"/>
    <col min="6922" max="6922" width="1.85546875" style="208" customWidth="1"/>
    <col min="6923" max="6923" width="7" style="208" bestFit="1" customWidth="1"/>
    <col min="6924" max="6924" width="6.28515625" style="208" customWidth="1"/>
    <col min="6925" max="6925" width="20.42578125" style="208" customWidth="1"/>
    <col min="6926" max="6926" width="6.42578125" style="208" bestFit="1" customWidth="1"/>
    <col min="6927" max="6928" width="8.42578125" style="208"/>
    <col min="6929" max="6929" width="3.28515625" style="208" customWidth="1"/>
    <col min="6930" max="7168" width="8.42578125" style="208"/>
    <col min="7169" max="7169" width="10" style="208" bestFit="1" customWidth="1"/>
    <col min="7170" max="7170" width="44.28515625" style="208" bestFit="1" customWidth="1"/>
    <col min="7171" max="7171" width="10.42578125" style="208" bestFit="1" customWidth="1"/>
    <col min="7172" max="7172" width="10.42578125" style="208" customWidth="1"/>
    <col min="7173" max="7173" width="9.7109375" style="208" bestFit="1" customWidth="1"/>
    <col min="7174" max="7175" width="9.5703125" style="208" bestFit="1" customWidth="1"/>
    <col min="7176" max="7176" width="10.42578125" style="208" bestFit="1" customWidth="1"/>
    <col min="7177" max="7177" width="4.5703125" style="208" customWidth="1"/>
    <col min="7178" max="7178" width="1.85546875" style="208" customWidth="1"/>
    <col min="7179" max="7179" width="7" style="208" bestFit="1" customWidth="1"/>
    <col min="7180" max="7180" width="6.28515625" style="208" customWidth="1"/>
    <col min="7181" max="7181" width="20.42578125" style="208" customWidth="1"/>
    <col min="7182" max="7182" width="6.42578125" style="208" bestFit="1" customWidth="1"/>
    <col min="7183" max="7184" width="8.42578125" style="208"/>
    <col min="7185" max="7185" width="3.28515625" style="208" customWidth="1"/>
    <col min="7186" max="7424" width="8.42578125" style="208"/>
    <col min="7425" max="7425" width="10" style="208" bestFit="1" customWidth="1"/>
    <col min="7426" max="7426" width="44.28515625" style="208" bestFit="1" customWidth="1"/>
    <col min="7427" max="7427" width="10.42578125" style="208" bestFit="1" customWidth="1"/>
    <col min="7428" max="7428" width="10.42578125" style="208" customWidth="1"/>
    <col min="7429" max="7429" width="9.7109375" style="208" bestFit="1" customWidth="1"/>
    <col min="7430" max="7431" width="9.5703125" style="208" bestFit="1" customWidth="1"/>
    <col min="7432" max="7432" width="10.42578125" style="208" bestFit="1" customWidth="1"/>
    <col min="7433" max="7433" width="4.5703125" style="208" customWidth="1"/>
    <col min="7434" max="7434" width="1.85546875" style="208" customWidth="1"/>
    <col min="7435" max="7435" width="7" style="208" bestFit="1" customWidth="1"/>
    <col min="7436" max="7436" width="6.28515625" style="208" customWidth="1"/>
    <col min="7437" max="7437" width="20.42578125" style="208" customWidth="1"/>
    <col min="7438" max="7438" width="6.42578125" style="208" bestFit="1" customWidth="1"/>
    <col min="7439" max="7440" width="8.42578125" style="208"/>
    <col min="7441" max="7441" width="3.28515625" style="208" customWidth="1"/>
    <col min="7442" max="7680" width="8.42578125" style="208"/>
    <col min="7681" max="7681" width="10" style="208" bestFit="1" customWidth="1"/>
    <col min="7682" max="7682" width="44.28515625" style="208" bestFit="1" customWidth="1"/>
    <col min="7683" max="7683" width="10.42578125" style="208" bestFit="1" customWidth="1"/>
    <col min="7684" max="7684" width="10.42578125" style="208" customWidth="1"/>
    <col min="7685" max="7685" width="9.7109375" style="208" bestFit="1" customWidth="1"/>
    <col min="7686" max="7687" width="9.5703125" style="208" bestFit="1" customWidth="1"/>
    <col min="7688" max="7688" width="10.42578125" style="208" bestFit="1" customWidth="1"/>
    <col min="7689" max="7689" width="4.5703125" style="208" customWidth="1"/>
    <col min="7690" max="7690" width="1.85546875" style="208" customWidth="1"/>
    <col min="7691" max="7691" width="7" style="208" bestFit="1" customWidth="1"/>
    <col min="7692" max="7692" width="6.28515625" style="208" customWidth="1"/>
    <col min="7693" max="7693" width="20.42578125" style="208" customWidth="1"/>
    <col min="7694" max="7694" width="6.42578125" style="208" bestFit="1" customWidth="1"/>
    <col min="7695" max="7696" width="8.42578125" style="208"/>
    <col min="7697" max="7697" width="3.28515625" style="208" customWidth="1"/>
    <col min="7698" max="7936" width="8.42578125" style="208"/>
    <col min="7937" max="7937" width="10" style="208" bestFit="1" customWidth="1"/>
    <col min="7938" max="7938" width="44.28515625" style="208" bestFit="1" customWidth="1"/>
    <col min="7939" max="7939" width="10.42578125" style="208" bestFit="1" customWidth="1"/>
    <col min="7940" max="7940" width="10.42578125" style="208" customWidth="1"/>
    <col min="7941" max="7941" width="9.7109375" style="208" bestFit="1" customWidth="1"/>
    <col min="7942" max="7943" width="9.5703125" style="208" bestFit="1" customWidth="1"/>
    <col min="7944" max="7944" width="10.42578125" style="208" bestFit="1" customWidth="1"/>
    <col min="7945" max="7945" width="4.5703125" style="208" customWidth="1"/>
    <col min="7946" max="7946" width="1.85546875" style="208" customWidth="1"/>
    <col min="7947" max="7947" width="7" style="208" bestFit="1" customWidth="1"/>
    <col min="7948" max="7948" width="6.28515625" style="208" customWidth="1"/>
    <col min="7949" max="7949" width="20.42578125" style="208" customWidth="1"/>
    <col min="7950" max="7950" width="6.42578125" style="208" bestFit="1" customWidth="1"/>
    <col min="7951" max="7952" width="8.42578125" style="208"/>
    <col min="7953" max="7953" width="3.28515625" style="208" customWidth="1"/>
    <col min="7954" max="8192" width="8.42578125" style="208"/>
    <col min="8193" max="8193" width="10" style="208" bestFit="1" customWidth="1"/>
    <col min="8194" max="8194" width="44.28515625" style="208" bestFit="1" customWidth="1"/>
    <col min="8195" max="8195" width="10.42578125" style="208" bestFit="1" customWidth="1"/>
    <col min="8196" max="8196" width="10.42578125" style="208" customWidth="1"/>
    <col min="8197" max="8197" width="9.7109375" style="208" bestFit="1" customWidth="1"/>
    <col min="8198" max="8199" width="9.5703125" style="208" bestFit="1" customWidth="1"/>
    <col min="8200" max="8200" width="10.42578125" style="208" bestFit="1" customWidth="1"/>
    <col min="8201" max="8201" width="4.5703125" style="208" customWidth="1"/>
    <col min="8202" max="8202" width="1.85546875" style="208" customWidth="1"/>
    <col min="8203" max="8203" width="7" style="208" bestFit="1" customWidth="1"/>
    <col min="8204" max="8204" width="6.28515625" style="208" customWidth="1"/>
    <col min="8205" max="8205" width="20.42578125" style="208" customWidth="1"/>
    <col min="8206" max="8206" width="6.42578125" style="208" bestFit="1" customWidth="1"/>
    <col min="8207" max="8208" width="8.42578125" style="208"/>
    <col min="8209" max="8209" width="3.28515625" style="208" customWidth="1"/>
    <col min="8210" max="8448" width="8.42578125" style="208"/>
    <col min="8449" max="8449" width="10" style="208" bestFit="1" customWidth="1"/>
    <col min="8450" max="8450" width="44.28515625" style="208" bestFit="1" customWidth="1"/>
    <col min="8451" max="8451" width="10.42578125" style="208" bestFit="1" customWidth="1"/>
    <col min="8452" max="8452" width="10.42578125" style="208" customWidth="1"/>
    <col min="8453" max="8453" width="9.7109375" style="208" bestFit="1" customWidth="1"/>
    <col min="8454" max="8455" width="9.5703125" style="208" bestFit="1" customWidth="1"/>
    <col min="8456" max="8456" width="10.42578125" style="208" bestFit="1" customWidth="1"/>
    <col min="8457" max="8457" width="4.5703125" style="208" customWidth="1"/>
    <col min="8458" max="8458" width="1.85546875" style="208" customWidth="1"/>
    <col min="8459" max="8459" width="7" style="208" bestFit="1" customWidth="1"/>
    <col min="8460" max="8460" width="6.28515625" style="208" customWidth="1"/>
    <col min="8461" max="8461" width="20.42578125" style="208" customWidth="1"/>
    <col min="8462" max="8462" width="6.42578125" style="208" bestFit="1" customWidth="1"/>
    <col min="8463" max="8464" width="8.42578125" style="208"/>
    <col min="8465" max="8465" width="3.28515625" style="208" customWidth="1"/>
    <col min="8466" max="8704" width="8.42578125" style="208"/>
    <col min="8705" max="8705" width="10" style="208" bestFit="1" customWidth="1"/>
    <col min="8706" max="8706" width="44.28515625" style="208" bestFit="1" customWidth="1"/>
    <col min="8707" max="8707" width="10.42578125" style="208" bestFit="1" customWidth="1"/>
    <col min="8708" max="8708" width="10.42578125" style="208" customWidth="1"/>
    <col min="8709" max="8709" width="9.7109375" style="208" bestFit="1" customWidth="1"/>
    <col min="8710" max="8711" width="9.5703125" style="208" bestFit="1" customWidth="1"/>
    <col min="8712" max="8712" width="10.42578125" style="208" bestFit="1" customWidth="1"/>
    <col min="8713" max="8713" width="4.5703125" style="208" customWidth="1"/>
    <col min="8714" max="8714" width="1.85546875" style="208" customWidth="1"/>
    <col min="8715" max="8715" width="7" style="208" bestFit="1" customWidth="1"/>
    <col min="8716" max="8716" width="6.28515625" style="208" customWidth="1"/>
    <col min="8717" max="8717" width="20.42578125" style="208" customWidth="1"/>
    <col min="8718" max="8718" width="6.42578125" style="208" bestFit="1" customWidth="1"/>
    <col min="8719" max="8720" width="8.42578125" style="208"/>
    <col min="8721" max="8721" width="3.28515625" style="208" customWidth="1"/>
    <col min="8722" max="8960" width="8.42578125" style="208"/>
    <col min="8961" max="8961" width="10" style="208" bestFit="1" customWidth="1"/>
    <col min="8962" max="8962" width="44.28515625" style="208" bestFit="1" customWidth="1"/>
    <col min="8963" max="8963" width="10.42578125" style="208" bestFit="1" customWidth="1"/>
    <col min="8964" max="8964" width="10.42578125" style="208" customWidth="1"/>
    <col min="8965" max="8965" width="9.7109375" style="208" bestFit="1" customWidth="1"/>
    <col min="8966" max="8967" width="9.5703125" style="208" bestFit="1" customWidth="1"/>
    <col min="8968" max="8968" width="10.42578125" style="208" bestFit="1" customWidth="1"/>
    <col min="8969" max="8969" width="4.5703125" style="208" customWidth="1"/>
    <col min="8970" max="8970" width="1.85546875" style="208" customWidth="1"/>
    <col min="8971" max="8971" width="7" style="208" bestFit="1" customWidth="1"/>
    <col min="8972" max="8972" width="6.28515625" style="208" customWidth="1"/>
    <col min="8973" max="8973" width="20.42578125" style="208" customWidth="1"/>
    <col min="8974" max="8974" width="6.42578125" style="208" bestFit="1" customWidth="1"/>
    <col min="8975" max="8976" width="8.42578125" style="208"/>
    <col min="8977" max="8977" width="3.28515625" style="208" customWidth="1"/>
    <col min="8978" max="9216" width="8.42578125" style="208"/>
    <col min="9217" max="9217" width="10" style="208" bestFit="1" customWidth="1"/>
    <col min="9218" max="9218" width="44.28515625" style="208" bestFit="1" customWidth="1"/>
    <col min="9219" max="9219" width="10.42578125" style="208" bestFit="1" customWidth="1"/>
    <col min="9220" max="9220" width="10.42578125" style="208" customWidth="1"/>
    <col min="9221" max="9221" width="9.7109375" style="208" bestFit="1" customWidth="1"/>
    <col min="9222" max="9223" width="9.5703125" style="208" bestFit="1" customWidth="1"/>
    <col min="9224" max="9224" width="10.42578125" style="208" bestFit="1" customWidth="1"/>
    <col min="9225" max="9225" width="4.5703125" style="208" customWidth="1"/>
    <col min="9226" max="9226" width="1.85546875" style="208" customWidth="1"/>
    <col min="9227" max="9227" width="7" style="208" bestFit="1" customWidth="1"/>
    <col min="9228" max="9228" width="6.28515625" style="208" customWidth="1"/>
    <col min="9229" max="9229" width="20.42578125" style="208" customWidth="1"/>
    <col min="9230" max="9230" width="6.42578125" style="208" bestFit="1" customWidth="1"/>
    <col min="9231" max="9232" width="8.42578125" style="208"/>
    <col min="9233" max="9233" width="3.28515625" style="208" customWidth="1"/>
    <col min="9234" max="9472" width="8.42578125" style="208"/>
    <col min="9473" max="9473" width="10" style="208" bestFit="1" customWidth="1"/>
    <col min="9474" max="9474" width="44.28515625" style="208" bestFit="1" customWidth="1"/>
    <col min="9475" max="9475" width="10.42578125" style="208" bestFit="1" customWidth="1"/>
    <col min="9476" max="9476" width="10.42578125" style="208" customWidth="1"/>
    <col min="9477" max="9477" width="9.7109375" style="208" bestFit="1" customWidth="1"/>
    <col min="9478" max="9479" width="9.5703125" style="208" bestFit="1" customWidth="1"/>
    <col min="9480" max="9480" width="10.42578125" style="208" bestFit="1" customWidth="1"/>
    <col min="9481" max="9481" width="4.5703125" style="208" customWidth="1"/>
    <col min="9482" max="9482" width="1.85546875" style="208" customWidth="1"/>
    <col min="9483" max="9483" width="7" style="208" bestFit="1" customWidth="1"/>
    <col min="9484" max="9484" width="6.28515625" style="208" customWidth="1"/>
    <col min="9485" max="9485" width="20.42578125" style="208" customWidth="1"/>
    <col min="9486" max="9486" width="6.42578125" style="208" bestFit="1" customWidth="1"/>
    <col min="9487" max="9488" width="8.42578125" style="208"/>
    <col min="9489" max="9489" width="3.28515625" style="208" customWidth="1"/>
    <col min="9490" max="9728" width="8.42578125" style="208"/>
    <col min="9729" max="9729" width="10" style="208" bestFit="1" customWidth="1"/>
    <col min="9730" max="9730" width="44.28515625" style="208" bestFit="1" customWidth="1"/>
    <col min="9731" max="9731" width="10.42578125" style="208" bestFit="1" customWidth="1"/>
    <col min="9732" max="9732" width="10.42578125" style="208" customWidth="1"/>
    <col min="9733" max="9733" width="9.7109375" style="208" bestFit="1" customWidth="1"/>
    <col min="9734" max="9735" width="9.5703125" style="208" bestFit="1" customWidth="1"/>
    <col min="9736" max="9736" width="10.42578125" style="208" bestFit="1" customWidth="1"/>
    <col min="9737" max="9737" width="4.5703125" style="208" customWidth="1"/>
    <col min="9738" max="9738" width="1.85546875" style="208" customWidth="1"/>
    <col min="9739" max="9739" width="7" style="208" bestFit="1" customWidth="1"/>
    <col min="9740" max="9740" width="6.28515625" style="208" customWidth="1"/>
    <col min="9741" max="9741" width="20.42578125" style="208" customWidth="1"/>
    <col min="9742" max="9742" width="6.42578125" style="208" bestFit="1" customWidth="1"/>
    <col min="9743" max="9744" width="8.42578125" style="208"/>
    <col min="9745" max="9745" width="3.28515625" style="208" customWidth="1"/>
    <col min="9746" max="9984" width="8.42578125" style="208"/>
    <col min="9985" max="9985" width="10" style="208" bestFit="1" customWidth="1"/>
    <col min="9986" max="9986" width="44.28515625" style="208" bestFit="1" customWidth="1"/>
    <col min="9987" max="9987" width="10.42578125" style="208" bestFit="1" customWidth="1"/>
    <col min="9988" max="9988" width="10.42578125" style="208" customWidth="1"/>
    <col min="9989" max="9989" width="9.7109375" style="208" bestFit="1" customWidth="1"/>
    <col min="9990" max="9991" width="9.5703125" style="208" bestFit="1" customWidth="1"/>
    <col min="9992" max="9992" width="10.42578125" style="208" bestFit="1" customWidth="1"/>
    <col min="9993" max="9993" width="4.5703125" style="208" customWidth="1"/>
    <col min="9994" max="9994" width="1.85546875" style="208" customWidth="1"/>
    <col min="9995" max="9995" width="7" style="208" bestFit="1" customWidth="1"/>
    <col min="9996" max="9996" width="6.28515625" style="208" customWidth="1"/>
    <col min="9997" max="9997" width="20.42578125" style="208" customWidth="1"/>
    <col min="9998" max="9998" width="6.42578125" style="208" bestFit="1" customWidth="1"/>
    <col min="9999" max="10000" width="8.42578125" style="208"/>
    <col min="10001" max="10001" width="3.28515625" style="208" customWidth="1"/>
    <col min="10002" max="10240" width="8.42578125" style="208"/>
    <col min="10241" max="10241" width="10" style="208" bestFit="1" customWidth="1"/>
    <col min="10242" max="10242" width="44.28515625" style="208" bestFit="1" customWidth="1"/>
    <col min="10243" max="10243" width="10.42578125" style="208" bestFit="1" customWidth="1"/>
    <col min="10244" max="10244" width="10.42578125" style="208" customWidth="1"/>
    <col min="10245" max="10245" width="9.7109375" style="208" bestFit="1" customWidth="1"/>
    <col min="10246" max="10247" width="9.5703125" style="208" bestFit="1" customWidth="1"/>
    <col min="10248" max="10248" width="10.42578125" style="208" bestFit="1" customWidth="1"/>
    <col min="10249" max="10249" width="4.5703125" style="208" customWidth="1"/>
    <col min="10250" max="10250" width="1.85546875" style="208" customWidth="1"/>
    <col min="10251" max="10251" width="7" style="208" bestFit="1" customWidth="1"/>
    <col min="10252" max="10252" width="6.28515625" style="208" customWidth="1"/>
    <col min="10253" max="10253" width="20.42578125" style="208" customWidth="1"/>
    <col min="10254" max="10254" width="6.42578125" style="208" bestFit="1" customWidth="1"/>
    <col min="10255" max="10256" width="8.42578125" style="208"/>
    <col min="10257" max="10257" width="3.28515625" style="208" customWidth="1"/>
    <col min="10258" max="10496" width="8.42578125" style="208"/>
    <col min="10497" max="10497" width="10" style="208" bestFit="1" customWidth="1"/>
    <col min="10498" max="10498" width="44.28515625" style="208" bestFit="1" customWidth="1"/>
    <col min="10499" max="10499" width="10.42578125" style="208" bestFit="1" customWidth="1"/>
    <col min="10500" max="10500" width="10.42578125" style="208" customWidth="1"/>
    <col min="10501" max="10501" width="9.7109375" style="208" bestFit="1" customWidth="1"/>
    <col min="10502" max="10503" width="9.5703125" style="208" bestFit="1" customWidth="1"/>
    <col min="10504" max="10504" width="10.42578125" style="208" bestFit="1" customWidth="1"/>
    <col min="10505" max="10505" width="4.5703125" style="208" customWidth="1"/>
    <col min="10506" max="10506" width="1.85546875" style="208" customWidth="1"/>
    <col min="10507" max="10507" width="7" style="208" bestFit="1" customWidth="1"/>
    <col min="10508" max="10508" width="6.28515625" style="208" customWidth="1"/>
    <col min="10509" max="10509" width="20.42578125" style="208" customWidth="1"/>
    <col min="10510" max="10510" width="6.42578125" style="208" bestFit="1" customWidth="1"/>
    <col min="10511" max="10512" width="8.42578125" style="208"/>
    <col min="10513" max="10513" width="3.28515625" style="208" customWidth="1"/>
    <col min="10514" max="10752" width="8.42578125" style="208"/>
    <col min="10753" max="10753" width="10" style="208" bestFit="1" customWidth="1"/>
    <col min="10754" max="10754" width="44.28515625" style="208" bestFit="1" customWidth="1"/>
    <col min="10755" max="10755" width="10.42578125" style="208" bestFit="1" customWidth="1"/>
    <col min="10756" max="10756" width="10.42578125" style="208" customWidth="1"/>
    <col min="10757" max="10757" width="9.7109375" style="208" bestFit="1" customWidth="1"/>
    <col min="10758" max="10759" width="9.5703125" style="208" bestFit="1" customWidth="1"/>
    <col min="10760" max="10760" width="10.42578125" style="208" bestFit="1" customWidth="1"/>
    <col min="10761" max="10761" width="4.5703125" style="208" customWidth="1"/>
    <col min="10762" max="10762" width="1.85546875" style="208" customWidth="1"/>
    <col min="10763" max="10763" width="7" style="208" bestFit="1" customWidth="1"/>
    <col min="10764" max="10764" width="6.28515625" style="208" customWidth="1"/>
    <col min="10765" max="10765" width="20.42578125" style="208" customWidth="1"/>
    <col min="10766" max="10766" width="6.42578125" style="208" bestFit="1" customWidth="1"/>
    <col min="10767" max="10768" width="8.42578125" style="208"/>
    <col min="10769" max="10769" width="3.28515625" style="208" customWidth="1"/>
    <col min="10770" max="11008" width="8.42578125" style="208"/>
    <col min="11009" max="11009" width="10" style="208" bestFit="1" customWidth="1"/>
    <col min="11010" max="11010" width="44.28515625" style="208" bestFit="1" customWidth="1"/>
    <col min="11011" max="11011" width="10.42578125" style="208" bestFit="1" customWidth="1"/>
    <col min="11012" max="11012" width="10.42578125" style="208" customWidth="1"/>
    <col min="11013" max="11013" width="9.7109375" style="208" bestFit="1" customWidth="1"/>
    <col min="11014" max="11015" width="9.5703125" style="208" bestFit="1" customWidth="1"/>
    <col min="11016" max="11016" width="10.42578125" style="208" bestFit="1" customWidth="1"/>
    <col min="11017" max="11017" width="4.5703125" style="208" customWidth="1"/>
    <col min="11018" max="11018" width="1.85546875" style="208" customWidth="1"/>
    <col min="11019" max="11019" width="7" style="208" bestFit="1" customWidth="1"/>
    <col min="11020" max="11020" width="6.28515625" style="208" customWidth="1"/>
    <col min="11021" max="11021" width="20.42578125" style="208" customWidth="1"/>
    <col min="11022" max="11022" width="6.42578125" style="208" bestFit="1" customWidth="1"/>
    <col min="11023" max="11024" width="8.42578125" style="208"/>
    <col min="11025" max="11025" width="3.28515625" style="208" customWidth="1"/>
    <col min="11026" max="11264" width="8.42578125" style="208"/>
    <col min="11265" max="11265" width="10" style="208" bestFit="1" customWidth="1"/>
    <col min="11266" max="11266" width="44.28515625" style="208" bestFit="1" customWidth="1"/>
    <col min="11267" max="11267" width="10.42578125" style="208" bestFit="1" customWidth="1"/>
    <col min="11268" max="11268" width="10.42578125" style="208" customWidth="1"/>
    <col min="11269" max="11269" width="9.7109375" style="208" bestFit="1" customWidth="1"/>
    <col min="11270" max="11271" width="9.5703125" style="208" bestFit="1" customWidth="1"/>
    <col min="11272" max="11272" width="10.42578125" style="208" bestFit="1" customWidth="1"/>
    <col min="11273" max="11273" width="4.5703125" style="208" customWidth="1"/>
    <col min="11274" max="11274" width="1.85546875" style="208" customWidth="1"/>
    <col min="11275" max="11275" width="7" style="208" bestFit="1" customWidth="1"/>
    <col min="11276" max="11276" width="6.28515625" style="208" customWidth="1"/>
    <col min="11277" max="11277" width="20.42578125" style="208" customWidth="1"/>
    <col min="11278" max="11278" width="6.42578125" style="208" bestFit="1" customWidth="1"/>
    <col min="11279" max="11280" width="8.42578125" style="208"/>
    <col min="11281" max="11281" width="3.28515625" style="208" customWidth="1"/>
    <col min="11282" max="11520" width="8.42578125" style="208"/>
    <col min="11521" max="11521" width="10" style="208" bestFit="1" customWidth="1"/>
    <col min="11522" max="11522" width="44.28515625" style="208" bestFit="1" customWidth="1"/>
    <col min="11523" max="11523" width="10.42578125" style="208" bestFit="1" customWidth="1"/>
    <col min="11524" max="11524" width="10.42578125" style="208" customWidth="1"/>
    <col min="11525" max="11525" width="9.7109375" style="208" bestFit="1" customWidth="1"/>
    <col min="11526" max="11527" width="9.5703125" style="208" bestFit="1" customWidth="1"/>
    <col min="11528" max="11528" width="10.42578125" style="208" bestFit="1" customWidth="1"/>
    <col min="11529" max="11529" width="4.5703125" style="208" customWidth="1"/>
    <col min="11530" max="11530" width="1.85546875" style="208" customWidth="1"/>
    <col min="11531" max="11531" width="7" style="208" bestFit="1" customWidth="1"/>
    <col min="11532" max="11532" width="6.28515625" style="208" customWidth="1"/>
    <col min="11533" max="11533" width="20.42578125" style="208" customWidth="1"/>
    <col min="11534" max="11534" width="6.42578125" style="208" bestFit="1" customWidth="1"/>
    <col min="11535" max="11536" width="8.42578125" style="208"/>
    <col min="11537" max="11537" width="3.28515625" style="208" customWidth="1"/>
    <col min="11538" max="11776" width="8.42578125" style="208"/>
    <col min="11777" max="11777" width="10" style="208" bestFit="1" customWidth="1"/>
    <col min="11778" max="11778" width="44.28515625" style="208" bestFit="1" customWidth="1"/>
    <col min="11779" max="11779" width="10.42578125" style="208" bestFit="1" customWidth="1"/>
    <col min="11780" max="11780" width="10.42578125" style="208" customWidth="1"/>
    <col min="11781" max="11781" width="9.7109375" style="208" bestFit="1" customWidth="1"/>
    <col min="11782" max="11783" width="9.5703125" style="208" bestFit="1" customWidth="1"/>
    <col min="11784" max="11784" width="10.42578125" style="208" bestFit="1" customWidth="1"/>
    <col min="11785" max="11785" width="4.5703125" style="208" customWidth="1"/>
    <col min="11786" max="11786" width="1.85546875" style="208" customWidth="1"/>
    <col min="11787" max="11787" width="7" style="208" bestFit="1" customWidth="1"/>
    <col min="11788" max="11788" width="6.28515625" style="208" customWidth="1"/>
    <col min="11789" max="11789" width="20.42578125" style="208" customWidth="1"/>
    <col min="11790" max="11790" width="6.42578125" style="208" bestFit="1" customWidth="1"/>
    <col min="11791" max="11792" width="8.42578125" style="208"/>
    <col min="11793" max="11793" width="3.28515625" style="208" customWidth="1"/>
    <col min="11794" max="12032" width="8.42578125" style="208"/>
    <col min="12033" max="12033" width="10" style="208" bestFit="1" customWidth="1"/>
    <col min="12034" max="12034" width="44.28515625" style="208" bestFit="1" customWidth="1"/>
    <col min="12035" max="12035" width="10.42578125" style="208" bestFit="1" customWidth="1"/>
    <col min="12036" max="12036" width="10.42578125" style="208" customWidth="1"/>
    <col min="12037" max="12037" width="9.7109375" style="208" bestFit="1" customWidth="1"/>
    <col min="12038" max="12039" width="9.5703125" style="208" bestFit="1" customWidth="1"/>
    <col min="12040" max="12040" width="10.42578125" style="208" bestFit="1" customWidth="1"/>
    <col min="12041" max="12041" width="4.5703125" style="208" customWidth="1"/>
    <col min="12042" max="12042" width="1.85546875" style="208" customWidth="1"/>
    <col min="12043" max="12043" width="7" style="208" bestFit="1" customWidth="1"/>
    <col min="12044" max="12044" width="6.28515625" style="208" customWidth="1"/>
    <col min="12045" max="12045" width="20.42578125" style="208" customWidth="1"/>
    <col min="12046" max="12046" width="6.42578125" style="208" bestFit="1" customWidth="1"/>
    <col min="12047" max="12048" width="8.42578125" style="208"/>
    <col min="12049" max="12049" width="3.28515625" style="208" customWidth="1"/>
    <col min="12050" max="12288" width="8.42578125" style="208"/>
    <col min="12289" max="12289" width="10" style="208" bestFit="1" customWidth="1"/>
    <col min="12290" max="12290" width="44.28515625" style="208" bestFit="1" customWidth="1"/>
    <col min="12291" max="12291" width="10.42578125" style="208" bestFit="1" customWidth="1"/>
    <col min="12292" max="12292" width="10.42578125" style="208" customWidth="1"/>
    <col min="12293" max="12293" width="9.7109375" style="208" bestFit="1" customWidth="1"/>
    <col min="12294" max="12295" width="9.5703125" style="208" bestFit="1" customWidth="1"/>
    <col min="12296" max="12296" width="10.42578125" style="208" bestFit="1" customWidth="1"/>
    <col min="12297" max="12297" width="4.5703125" style="208" customWidth="1"/>
    <col min="12298" max="12298" width="1.85546875" style="208" customWidth="1"/>
    <col min="12299" max="12299" width="7" style="208" bestFit="1" customWidth="1"/>
    <col min="12300" max="12300" width="6.28515625" style="208" customWidth="1"/>
    <col min="12301" max="12301" width="20.42578125" style="208" customWidth="1"/>
    <col min="12302" max="12302" width="6.42578125" style="208" bestFit="1" customWidth="1"/>
    <col min="12303" max="12304" width="8.42578125" style="208"/>
    <col min="12305" max="12305" width="3.28515625" style="208" customWidth="1"/>
    <col min="12306" max="12544" width="8.42578125" style="208"/>
    <col min="12545" max="12545" width="10" style="208" bestFit="1" customWidth="1"/>
    <col min="12546" max="12546" width="44.28515625" style="208" bestFit="1" customWidth="1"/>
    <col min="12547" max="12547" width="10.42578125" style="208" bestFit="1" customWidth="1"/>
    <col min="12548" max="12548" width="10.42578125" style="208" customWidth="1"/>
    <col min="12549" max="12549" width="9.7109375" style="208" bestFit="1" customWidth="1"/>
    <col min="12550" max="12551" width="9.5703125" style="208" bestFit="1" customWidth="1"/>
    <col min="12552" max="12552" width="10.42578125" style="208" bestFit="1" customWidth="1"/>
    <col min="12553" max="12553" width="4.5703125" style="208" customWidth="1"/>
    <col min="12554" max="12554" width="1.85546875" style="208" customWidth="1"/>
    <col min="12555" max="12555" width="7" style="208" bestFit="1" customWidth="1"/>
    <col min="12556" max="12556" width="6.28515625" style="208" customWidth="1"/>
    <col min="12557" max="12557" width="20.42578125" style="208" customWidth="1"/>
    <col min="12558" max="12558" width="6.42578125" style="208" bestFit="1" customWidth="1"/>
    <col min="12559" max="12560" width="8.42578125" style="208"/>
    <col min="12561" max="12561" width="3.28515625" style="208" customWidth="1"/>
    <col min="12562" max="12800" width="8.42578125" style="208"/>
    <col min="12801" max="12801" width="10" style="208" bestFit="1" customWidth="1"/>
    <col min="12802" max="12802" width="44.28515625" style="208" bestFit="1" customWidth="1"/>
    <col min="12803" max="12803" width="10.42578125" style="208" bestFit="1" customWidth="1"/>
    <col min="12804" max="12804" width="10.42578125" style="208" customWidth="1"/>
    <col min="12805" max="12805" width="9.7109375" style="208" bestFit="1" customWidth="1"/>
    <col min="12806" max="12807" width="9.5703125" style="208" bestFit="1" customWidth="1"/>
    <col min="12808" max="12808" width="10.42578125" style="208" bestFit="1" customWidth="1"/>
    <col min="12809" max="12809" width="4.5703125" style="208" customWidth="1"/>
    <col min="12810" max="12810" width="1.85546875" style="208" customWidth="1"/>
    <col min="12811" max="12811" width="7" style="208" bestFit="1" customWidth="1"/>
    <col min="12812" max="12812" width="6.28515625" style="208" customWidth="1"/>
    <col min="12813" max="12813" width="20.42578125" style="208" customWidth="1"/>
    <col min="12814" max="12814" width="6.42578125" style="208" bestFit="1" customWidth="1"/>
    <col min="12815" max="12816" width="8.42578125" style="208"/>
    <col min="12817" max="12817" width="3.28515625" style="208" customWidth="1"/>
    <col min="12818" max="13056" width="8.42578125" style="208"/>
    <col min="13057" max="13057" width="10" style="208" bestFit="1" customWidth="1"/>
    <col min="13058" max="13058" width="44.28515625" style="208" bestFit="1" customWidth="1"/>
    <col min="13059" max="13059" width="10.42578125" style="208" bestFit="1" customWidth="1"/>
    <col min="13060" max="13060" width="10.42578125" style="208" customWidth="1"/>
    <col min="13061" max="13061" width="9.7109375" style="208" bestFit="1" customWidth="1"/>
    <col min="13062" max="13063" width="9.5703125" style="208" bestFit="1" customWidth="1"/>
    <col min="13064" max="13064" width="10.42578125" style="208" bestFit="1" customWidth="1"/>
    <col min="13065" max="13065" width="4.5703125" style="208" customWidth="1"/>
    <col min="13066" max="13066" width="1.85546875" style="208" customWidth="1"/>
    <col min="13067" max="13067" width="7" style="208" bestFit="1" customWidth="1"/>
    <col min="13068" max="13068" width="6.28515625" style="208" customWidth="1"/>
    <col min="13069" max="13069" width="20.42578125" style="208" customWidth="1"/>
    <col min="13070" max="13070" width="6.42578125" style="208" bestFit="1" customWidth="1"/>
    <col min="13071" max="13072" width="8.42578125" style="208"/>
    <col min="13073" max="13073" width="3.28515625" style="208" customWidth="1"/>
    <col min="13074" max="13312" width="8.42578125" style="208"/>
    <col min="13313" max="13313" width="10" style="208" bestFit="1" customWidth="1"/>
    <col min="13314" max="13314" width="44.28515625" style="208" bestFit="1" customWidth="1"/>
    <col min="13315" max="13315" width="10.42578125" style="208" bestFit="1" customWidth="1"/>
    <col min="13316" max="13316" width="10.42578125" style="208" customWidth="1"/>
    <col min="13317" max="13317" width="9.7109375" style="208" bestFit="1" customWidth="1"/>
    <col min="13318" max="13319" width="9.5703125" style="208" bestFit="1" customWidth="1"/>
    <col min="13320" max="13320" width="10.42578125" style="208" bestFit="1" customWidth="1"/>
    <col min="13321" max="13321" width="4.5703125" style="208" customWidth="1"/>
    <col min="13322" max="13322" width="1.85546875" style="208" customWidth="1"/>
    <col min="13323" max="13323" width="7" style="208" bestFit="1" customWidth="1"/>
    <col min="13324" max="13324" width="6.28515625" style="208" customWidth="1"/>
    <col min="13325" max="13325" width="20.42578125" style="208" customWidth="1"/>
    <col min="13326" max="13326" width="6.42578125" style="208" bestFit="1" customWidth="1"/>
    <col min="13327" max="13328" width="8.42578125" style="208"/>
    <col min="13329" max="13329" width="3.28515625" style="208" customWidth="1"/>
    <col min="13330" max="13568" width="8.42578125" style="208"/>
    <col min="13569" max="13569" width="10" style="208" bestFit="1" customWidth="1"/>
    <col min="13570" max="13570" width="44.28515625" style="208" bestFit="1" customWidth="1"/>
    <col min="13571" max="13571" width="10.42578125" style="208" bestFit="1" customWidth="1"/>
    <col min="13572" max="13572" width="10.42578125" style="208" customWidth="1"/>
    <col min="13573" max="13573" width="9.7109375" style="208" bestFit="1" customWidth="1"/>
    <col min="13574" max="13575" width="9.5703125" style="208" bestFit="1" customWidth="1"/>
    <col min="13576" max="13576" width="10.42578125" style="208" bestFit="1" customWidth="1"/>
    <col min="13577" max="13577" width="4.5703125" style="208" customWidth="1"/>
    <col min="13578" max="13578" width="1.85546875" style="208" customWidth="1"/>
    <col min="13579" max="13579" width="7" style="208" bestFit="1" customWidth="1"/>
    <col min="13580" max="13580" width="6.28515625" style="208" customWidth="1"/>
    <col min="13581" max="13581" width="20.42578125" style="208" customWidth="1"/>
    <col min="13582" max="13582" width="6.42578125" style="208" bestFit="1" customWidth="1"/>
    <col min="13583" max="13584" width="8.42578125" style="208"/>
    <col min="13585" max="13585" width="3.28515625" style="208" customWidth="1"/>
    <col min="13586" max="13824" width="8.42578125" style="208"/>
    <col min="13825" max="13825" width="10" style="208" bestFit="1" customWidth="1"/>
    <col min="13826" max="13826" width="44.28515625" style="208" bestFit="1" customWidth="1"/>
    <col min="13827" max="13827" width="10.42578125" style="208" bestFit="1" customWidth="1"/>
    <col min="13828" max="13828" width="10.42578125" style="208" customWidth="1"/>
    <col min="13829" max="13829" width="9.7109375" style="208" bestFit="1" customWidth="1"/>
    <col min="13830" max="13831" width="9.5703125" style="208" bestFit="1" customWidth="1"/>
    <col min="13832" max="13832" width="10.42578125" style="208" bestFit="1" customWidth="1"/>
    <col min="13833" max="13833" width="4.5703125" style="208" customWidth="1"/>
    <col min="13834" max="13834" width="1.85546875" style="208" customWidth="1"/>
    <col min="13835" max="13835" width="7" style="208" bestFit="1" customWidth="1"/>
    <col min="13836" max="13836" width="6.28515625" style="208" customWidth="1"/>
    <col min="13837" max="13837" width="20.42578125" style="208" customWidth="1"/>
    <col min="13838" max="13838" width="6.42578125" style="208" bestFit="1" customWidth="1"/>
    <col min="13839" max="13840" width="8.42578125" style="208"/>
    <col min="13841" max="13841" width="3.28515625" style="208" customWidth="1"/>
    <col min="13842" max="14080" width="8.42578125" style="208"/>
    <col min="14081" max="14081" width="10" style="208" bestFit="1" customWidth="1"/>
    <col min="14082" max="14082" width="44.28515625" style="208" bestFit="1" customWidth="1"/>
    <col min="14083" max="14083" width="10.42578125" style="208" bestFit="1" customWidth="1"/>
    <col min="14084" max="14084" width="10.42578125" style="208" customWidth="1"/>
    <col min="14085" max="14085" width="9.7109375" style="208" bestFit="1" customWidth="1"/>
    <col min="14086" max="14087" width="9.5703125" style="208" bestFit="1" customWidth="1"/>
    <col min="14088" max="14088" width="10.42578125" style="208" bestFit="1" customWidth="1"/>
    <col min="14089" max="14089" width="4.5703125" style="208" customWidth="1"/>
    <col min="14090" max="14090" width="1.85546875" style="208" customWidth="1"/>
    <col min="14091" max="14091" width="7" style="208" bestFit="1" customWidth="1"/>
    <col min="14092" max="14092" width="6.28515625" style="208" customWidth="1"/>
    <col min="14093" max="14093" width="20.42578125" style="208" customWidth="1"/>
    <col min="14094" max="14094" width="6.42578125" style="208" bestFit="1" customWidth="1"/>
    <col min="14095" max="14096" width="8.42578125" style="208"/>
    <col min="14097" max="14097" width="3.28515625" style="208" customWidth="1"/>
    <col min="14098" max="14336" width="8.42578125" style="208"/>
    <col min="14337" max="14337" width="10" style="208" bestFit="1" customWidth="1"/>
    <col min="14338" max="14338" width="44.28515625" style="208" bestFit="1" customWidth="1"/>
    <col min="14339" max="14339" width="10.42578125" style="208" bestFit="1" customWidth="1"/>
    <col min="14340" max="14340" width="10.42578125" style="208" customWidth="1"/>
    <col min="14341" max="14341" width="9.7109375" style="208" bestFit="1" customWidth="1"/>
    <col min="14342" max="14343" width="9.5703125" style="208" bestFit="1" customWidth="1"/>
    <col min="14344" max="14344" width="10.42578125" style="208" bestFit="1" customWidth="1"/>
    <col min="14345" max="14345" width="4.5703125" style="208" customWidth="1"/>
    <col min="14346" max="14346" width="1.85546875" style="208" customWidth="1"/>
    <col min="14347" max="14347" width="7" style="208" bestFit="1" customWidth="1"/>
    <col min="14348" max="14348" width="6.28515625" style="208" customWidth="1"/>
    <col min="14349" max="14349" width="20.42578125" style="208" customWidth="1"/>
    <col min="14350" max="14350" width="6.42578125" style="208" bestFit="1" customWidth="1"/>
    <col min="14351" max="14352" width="8.42578125" style="208"/>
    <col min="14353" max="14353" width="3.28515625" style="208" customWidth="1"/>
    <col min="14354" max="14592" width="8.42578125" style="208"/>
    <col min="14593" max="14593" width="10" style="208" bestFit="1" customWidth="1"/>
    <col min="14594" max="14594" width="44.28515625" style="208" bestFit="1" customWidth="1"/>
    <col min="14595" max="14595" width="10.42578125" style="208" bestFit="1" customWidth="1"/>
    <col min="14596" max="14596" width="10.42578125" style="208" customWidth="1"/>
    <col min="14597" max="14597" width="9.7109375" style="208" bestFit="1" customWidth="1"/>
    <col min="14598" max="14599" width="9.5703125" style="208" bestFit="1" customWidth="1"/>
    <col min="14600" max="14600" width="10.42578125" style="208" bestFit="1" customWidth="1"/>
    <col min="14601" max="14601" width="4.5703125" style="208" customWidth="1"/>
    <col min="14602" max="14602" width="1.85546875" style="208" customWidth="1"/>
    <col min="14603" max="14603" width="7" style="208" bestFit="1" customWidth="1"/>
    <col min="14604" max="14604" width="6.28515625" style="208" customWidth="1"/>
    <col min="14605" max="14605" width="20.42578125" style="208" customWidth="1"/>
    <col min="14606" max="14606" width="6.42578125" style="208" bestFit="1" customWidth="1"/>
    <col min="14607" max="14608" width="8.42578125" style="208"/>
    <col min="14609" max="14609" width="3.28515625" style="208" customWidth="1"/>
    <col min="14610" max="14848" width="8.42578125" style="208"/>
    <col min="14849" max="14849" width="10" style="208" bestFit="1" customWidth="1"/>
    <col min="14850" max="14850" width="44.28515625" style="208" bestFit="1" customWidth="1"/>
    <col min="14851" max="14851" width="10.42578125" style="208" bestFit="1" customWidth="1"/>
    <col min="14852" max="14852" width="10.42578125" style="208" customWidth="1"/>
    <col min="14853" max="14853" width="9.7109375" style="208" bestFit="1" customWidth="1"/>
    <col min="14854" max="14855" width="9.5703125" style="208" bestFit="1" customWidth="1"/>
    <col min="14856" max="14856" width="10.42578125" style="208" bestFit="1" customWidth="1"/>
    <col min="14857" max="14857" width="4.5703125" style="208" customWidth="1"/>
    <col min="14858" max="14858" width="1.85546875" style="208" customWidth="1"/>
    <col min="14859" max="14859" width="7" style="208" bestFit="1" customWidth="1"/>
    <col min="14860" max="14860" width="6.28515625" style="208" customWidth="1"/>
    <col min="14861" max="14861" width="20.42578125" style="208" customWidth="1"/>
    <col min="14862" max="14862" width="6.42578125" style="208" bestFit="1" customWidth="1"/>
    <col min="14863" max="14864" width="8.42578125" style="208"/>
    <col min="14865" max="14865" width="3.28515625" style="208" customWidth="1"/>
    <col min="14866" max="15104" width="8.42578125" style="208"/>
    <col min="15105" max="15105" width="10" style="208" bestFit="1" customWidth="1"/>
    <col min="15106" max="15106" width="44.28515625" style="208" bestFit="1" customWidth="1"/>
    <col min="15107" max="15107" width="10.42578125" style="208" bestFit="1" customWidth="1"/>
    <col min="15108" max="15108" width="10.42578125" style="208" customWidth="1"/>
    <col min="15109" max="15109" width="9.7109375" style="208" bestFit="1" customWidth="1"/>
    <col min="15110" max="15111" width="9.5703125" style="208" bestFit="1" customWidth="1"/>
    <col min="15112" max="15112" width="10.42578125" style="208" bestFit="1" customWidth="1"/>
    <col min="15113" max="15113" width="4.5703125" style="208" customWidth="1"/>
    <col min="15114" max="15114" width="1.85546875" style="208" customWidth="1"/>
    <col min="15115" max="15115" width="7" style="208" bestFit="1" customWidth="1"/>
    <col min="15116" max="15116" width="6.28515625" style="208" customWidth="1"/>
    <col min="15117" max="15117" width="20.42578125" style="208" customWidth="1"/>
    <col min="15118" max="15118" width="6.42578125" style="208" bestFit="1" customWidth="1"/>
    <col min="15119" max="15120" width="8.42578125" style="208"/>
    <col min="15121" max="15121" width="3.28515625" style="208" customWidth="1"/>
    <col min="15122" max="15360" width="8.42578125" style="208"/>
    <col min="15361" max="15361" width="10" style="208" bestFit="1" customWidth="1"/>
    <col min="15362" max="15362" width="44.28515625" style="208" bestFit="1" customWidth="1"/>
    <col min="15363" max="15363" width="10.42578125" style="208" bestFit="1" customWidth="1"/>
    <col min="15364" max="15364" width="10.42578125" style="208" customWidth="1"/>
    <col min="15365" max="15365" width="9.7109375" style="208" bestFit="1" customWidth="1"/>
    <col min="15366" max="15367" width="9.5703125" style="208" bestFit="1" customWidth="1"/>
    <col min="15368" max="15368" width="10.42578125" style="208" bestFit="1" customWidth="1"/>
    <col min="15369" max="15369" width="4.5703125" style="208" customWidth="1"/>
    <col min="15370" max="15370" width="1.85546875" style="208" customWidth="1"/>
    <col min="15371" max="15371" width="7" style="208" bestFit="1" customWidth="1"/>
    <col min="15372" max="15372" width="6.28515625" style="208" customWidth="1"/>
    <col min="15373" max="15373" width="20.42578125" style="208" customWidth="1"/>
    <col min="15374" max="15374" width="6.42578125" style="208" bestFit="1" customWidth="1"/>
    <col min="15375" max="15376" width="8.42578125" style="208"/>
    <col min="15377" max="15377" width="3.28515625" style="208" customWidth="1"/>
    <col min="15378" max="15616" width="8.42578125" style="208"/>
    <col min="15617" max="15617" width="10" style="208" bestFit="1" customWidth="1"/>
    <col min="15618" max="15618" width="44.28515625" style="208" bestFit="1" customWidth="1"/>
    <col min="15619" max="15619" width="10.42578125" style="208" bestFit="1" customWidth="1"/>
    <col min="15620" max="15620" width="10.42578125" style="208" customWidth="1"/>
    <col min="15621" max="15621" width="9.7109375" style="208" bestFit="1" customWidth="1"/>
    <col min="15622" max="15623" width="9.5703125" style="208" bestFit="1" customWidth="1"/>
    <col min="15624" max="15624" width="10.42578125" style="208" bestFit="1" customWidth="1"/>
    <col min="15625" max="15625" width="4.5703125" style="208" customWidth="1"/>
    <col min="15626" max="15626" width="1.85546875" style="208" customWidth="1"/>
    <col min="15627" max="15627" width="7" style="208" bestFit="1" customWidth="1"/>
    <col min="15628" max="15628" width="6.28515625" style="208" customWidth="1"/>
    <col min="15629" max="15629" width="20.42578125" style="208" customWidth="1"/>
    <col min="15630" max="15630" width="6.42578125" style="208" bestFit="1" customWidth="1"/>
    <col min="15631" max="15632" width="8.42578125" style="208"/>
    <col min="15633" max="15633" width="3.28515625" style="208" customWidth="1"/>
    <col min="15634" max="15872" width="8.42578125" style="208"/>
    <col min="15873" max="15873" width="10" style="208" bestFit="1" customWidth="1"/>
    <col min="15874" max="15874" width="44.28515625" style="208" bestFit="1" customWidth="1"/>
    <col min="15875" max="15875" width="10.42578125" style="208" bestFit="1" customWidth="1"/>
    <col min="15876" max="15876" width="10.42578125" style="208" customWidth="1"/>
    <col min="15877" max="15877" width="9.7109375" style="208" bestFit="1" customWidth="1"/>
    <col min="15878" max="15879" width="9.5703125" style="208" bestFit="1" customWidth="1"/>
    <col min="15880" max="15880" width="10.42578125" style="208" bestFit="1" customWidth="1"/>
    <col min="15881" max="15881" width="4.5703125" style="208" customWidth="1"/>
    <col min="15882" max="15882" width="1.85546875" style="208" customWidth="1"/>
    <col min="15883" max="15883" width="7" style="208" bestFit="1" customWidth="1"/>
    <col min="15884" max="15884" width="6.28515625" style="208" customWidth="1"/>
    <col min="15885" max="15885" width="20.42578125" style="208" customWidth="1"/>
    <col min="15886" max="15886" width="6.42578125" style="208" bestFit="1" customWidth="1"/>
    <col min="15887" max="15888" width="8.42578125" style="208"/>
    <col min="15889" max="15889" width="3.28515625" style="208" customWidth="1"/>
    <col min="15890" max="16128" width="8.42578125" style="208"/>
    <col min="16129" max="16129" width="10" style="208" bestFit="1" customWidth="1"/>
    <col min="16130" max="16130" width="44.28515625" style="208" bestFit="1" customWidth="1"/>
    <col min="16131" max="16131" width="10.42578125" style="208" bestFit="1" customWidth="1"/>
    <col min="16132" max="16132" width="10.42578125" style="208" customWidth="1"/>
    <col min="16133" max="16133" width="9.7109375" style="208" bestFit="1" customWidth="1"/>
    <col min="16134" max="16135" width="9.5703125" style="208" bestFit="1" customWidth="1"/>
    <col min="16136" max="16136" width="10.42578125" style="208" bestFit="1" customWidth="1"/>
    <col min="16137" max="16137" width="4.5703125" style="208" customWidth="1"/>
    <col min="16138" max="16138" width="1.85546875" style="208" customWidth="1"/>
    <col min="16139" max="16139" width="7" style="208" bestFit="1" customWidth="1"/>
    <col min="16140" max="16140" width="6.28515625" style="208" customWidth="1"/>
    <col min="16141" max="16141" width="20.42578125" style="208" customWidth="1"/>
    <col min="16142" max="16142" width="6.42578125" style="208" bestFit="1" customWidth="1"/>
    <col min="16143" max="16144" width="8.42578125" style="208"/>
    <col min="16145" max="16145" width="3.28515625" style="208" customWidth="1"/>
    <col min="16146" max="16384" width="8.42578125" style="208"/>
  </cols>
  <sheetData>
    <row r="1" spans="1:10" ht="27.75" customHeight="1" x14ac:dyDescent="0.2">
      <c r="A1" s="203"/>
      <c r="B1" s="203"/>
      <c r="C1" s="203"/>
      <c r="D1" s="203"/>
      <c r="E1" s="204" t="s">
        <v>172</v>
      </c>
      <c r="F1" s="205" t="s">
        <v>173</v>
      </c>
      <c r="G1" s="205" t="s">
        <v>174</v>
      </c>
      <c r="H1" s="205" t="s">
        <v>175</v>
      </c>
      <c r="I1" s="206"/>
    </row>
    <row r="2" spans="1:10" ht="30.75" customHeight="1" x14ac:dyDescent="0.2">
      <c r="A2" s="203"/>
      <c r="B2" s="203"/>
      <c r="C2" s="203"/>
      <c r="D2" s="203"/>
      <c r="E2" s="209">
        <f>IFERROR(O68,"")</f>
        <v>27791.43</v>
      </c>
      <c r="F2" s="209">
        <f>IFERROR(H59,"")</f>
        <v>26380.85</v>
      </c>
      <c r="G2" s="209">
        <f>IFERROR(H60,"")</f>
        <v>0.57999999999999996</v>
      </c>
      <c r="H2" s="209">
        <f>IFERROR(H62,"")</f>
        <v>770</v>
      </c>
      <c r="I2" s="210"/>
    </row>
    <row r="3" spans="1:10" ht="15" customHeight="1" x14ac:dyDescent="0.2">
      <c r="A3" s="203"/>
      <c r="B3" s="203"/>
      <c r="C3" s="203"/>
      <c r="D3" s="203"/>
      <c r="E3" s="203"/>
      <c r="F3" s="211"/>
      <c r="G3" s="211"/>
      <c r="H3" s="211"/>
      <c r="I3" s="211"/>
    </row>
    <row r="4" spans="1:10" ht="24.75" customHeight="1" thickBot="1" x14ac:dyDescent="0.25">
      <c r="A4" s="728"/>
      <c r="B4" s="728"/>
      <c r="C4" s="728"/>
      <c r="D4" s="728"/>
      <c r="E4" s="728"/>
      <c r="F4" s="728"/>
      <c r="G4" s="728"/>
      <c r="H4" s="728"/>
      <c r="I4" s="212"/>
    </row>
    <row r="5" spans="1:10" ht="19.5" customHeight="1" thickBot="1" x14ac:dyDescent="0.25">
      <c r="A5" s="729" t="s">
        <v>176</v>
      </c>
      <c r="B5" s="730"/>
      <c r="C5" s="730"/>
      <c r="D5" s="730"/>
      <c r="E5" s="730"/>
      <c r="F5" s="730"/>
      <c r="G5" s="730"/>
      <c r="H5" s="731"/>
      <c r="I5" s="213"/>
    </row>
    <row r="6" spans="1:10" ht="19.5" thickBot="1" x14ac:dyDescent="0.25">
      <c r="A6" s="213"/>
      <c r="B6" s="213"/>
      <c r="C6" s="213"/>
      <c r="D6" s="213"/>
      <c r="E6" s="213"/>
      <c r="F6" s="732" t="s">
        <v>177</v>
      </c>
      <c r="G6" s="732"/>
      <c r="H6" s="214">
        <f ca="1">TODAY()</f>
        <v>45831</v>
      </c>
      <c r="I6" s="214"/>
    </row>
    <row r="7" spans="1:10" ht="26.25" thickBot="1" x14ac:dyDescent="0.25">
      <c r="A7" s="215" t="s">
        <v>178</v>
      </c>
      <c r="B7" s="216" t="s">
        <v>179</v>
      </c>
      <c r="C7" s="216" t="s">
        <v>178</v>
      </c>
      <c r="D7" s="217" t="s">
        <v>180</v>
      </c>
      <c r="E7" s="217" t="s">
        <v>181</v>
      </c>
      <c r="F7" s="217" t="s">
        <v>182</v>
      </c>
      <c r="G7" s="217" t="s">
        <v>183</v>
      </c>
      <c r="H7" s="218" t="s">
        <v>184</v>
      </c>
      <c r="I7" s="219"/>
    </row>
    <row r="8" spans="1:10" ht="13.5" x14ac:dyDescent="0.25">
      <c r="A8" s="220">
        <v>5000</v>
      </c>
      <c r="B8" s="208" t="str">
        <f>IFERROR(VLOOKUP(H8,'[1]Consolidado MP Planta'!$A$2:$M$823,3,0),"")</f>
        <v>QUESO CREMA PANADERO (CAJA: 5 K)</v>
      </c>
      <c r="C8" s="221">
        <f>+A8</f>
        <v>5000</v>
      </c>
      <c r="D8" s="222" t="str">
        <f>IFERROR(VLOOKUP(H8,'[1]Consolidado MP Planta'!$A$2:$M$823,13,0),"")</f>
        <v>Gramos</v>
      </c>
      <c r="E8" s="222">
        <v>3.07</v>
      </c>
      <c r="F8" s="222">
        <f>IFERROR(C8*E8,"")</f>
        <v>15350</v>
      </c>
      <c r="G8" s="223">
        <f>IFERROR(F8/$F$72,"")</f>
        <v>0.55457111655614444</v>
      </c>
      <c r="H8" s="224" t="s">
        <v>107</v>
      </c>
      <c r="I8" s="224"/>
      <c r="J8" s="225"/>
    </row>
    <row r="9" spans="1:10" ht="13.5" x14ac:dyDescent="0.25">
      <c r="A9" s="220">
        <v>2000</v>
      </c>
      <c r="B9" s="208" t="s">
        <v>245</v>
      </c>
      <c r="C9" s="221">
        <f t="shared" ref="C9:C20" si="0">+A9</f>
        <v>2000</v>
      </c>
      <c r="D9" s="222" t="s">
        <v>223</v>
      </c>
      <c r="E9" s="222">
        <v>2.2200000000000002</v>
      </c>
      <c r="F9" s="222">
        <f t="shared" ref="F9:F20" si="1">IFERROR(C9*E9,"")</f>
        <v>4440</v>
      </c>
      <c r="G9" s="223">
        <f>IFERROR(F9/$F$72,"")</f>
        <v>0.16041014706900855</v>
      </c>
      <c r="H9" s="224" t="s">
        <v>246</v>
      </c>
      <c r="I9" s="224"/>
      <c r="J9" s="225"/>
    </row>
    <row r="10" spans="1:10" ht="13.5" x14ac:dyDescent="0.25">
      <c r="A10" s="220">
        <v>2700</v>
      </c>
      <c r="B10" s="208" t="str">
        <f>IFERROR(VLOOKUP(H10,'[1]Consolidado MP Planta'!$A$2:$M$823,3,0),"")</f>
        <v>CREMA PRESTIGE GRAND (UND:4 K) *</v>
      </c>
      <c r="C10" s="221">
        <f t="shared" si="0"/>
        <v>2700</v>
      </c>
      <c r="D10" s="222" t="str">
        <f>IFERROR(VLOOKUP(H10,'[1]Consolidado MP Planta'!$A$2:$M$823,13,0),"")</f>
        <v>Gramos</v>
      </c>
      <c r="E10" s="222">
        <v>2.09</v>
      </c>
      <c r="F10" s="222">
        <f t="shared" si="1"/>
        <v>5643</v>
      </c>
      <c r="G10" s="223">
        <f>IFERROR(F10/$F$72,"")</f>
        <v>0.20387262610594939</v>
      </c>
      <c r="H10" s="224" t="s">
        <v>224</v>
      </c>
      <c r="I10" s="224"/>
      <c r="J10" s="225"/>
    </row>
    <row r="11" spans="1:10" ht="13.5" x14ac:dyDescent="0.25">
      <c r="A11" s="220">
        <v>3</v>
      </c>
      <c r="B11" s="208" t="str">
        <f>IFERROR(VLOOKUP(H11,'[1]Consolidado MP Planta'!$A$2:$M$823,3,0),"")</f>
        <v>LIMON EN POLVO (SACO:25 KG)</v>
      </c>
      <c r="C11" s="221">
        <f t="shared" si="0"/>
        <v>3</v>
      </c>
      <c r="D11" s="222" t="str">
        <f>IFERROR(VLOOKUP(H11,'[1]Consolidado MP Planta'!$A$2:$M$823,13,0),"")</f>
        <v>Gramos</v>
      </c>
      <c r="E11" s="222">
        <v>6</v>
      </c>
      <c r="F11" s="222">
        <f t="shared" si="1"/>
        <v>18</v>
      </c>
      <c r="G11" s="223">
        <f t="shared" ref="G11:G16" si="2">IFERROR(F11/$F$72,"")</f>
        <v>6.5031140703652123E-4</v>
      </c>
      <c r="H11" s="224" t="s">
        <v>124</v>
      </c>
      <c r="I11" s="224"/>
      <c r="J11" s="225"/>
    </row>
    <row r="12" spans="1:10" ht="13.5" x14ac:dyDescent="0.25">
      <c r="A12" s="220">
        <v>60</v>
      </c>
      <c r="B12" s="208" t="s">
        <v>128</v>
      </c>
      <c r="C12" s="221">
        <f t="shared" si="0"/>
        <v>60</v>
      </c>
      <c r="D12" s="222" t="s">
        <v>223</v>
      </c>
      <c r="E12" s="222">
        <v>13.01</v>
      </c>
      <c r="F12" s="222">
        <f t="shared" si="1"/>
        <v>780.6</v>
      </c>
      <c r="G12" s="223">
        <f t="shared" si="2"/>
        <v>2.8201838018483805E-2</v>
      </c>
      <c r="H12" s="224" t="s">
        <v>127</v>
      </c>
      <c r="I12" s="224"/>
      <c r="J12" s="225"/>
    </row>
    <row r="13" spans="1:10" ht="13.5" x14ac:dyDescent="0.25">
      <c r="A13" s="220">
        <v>15</v>
      </c>
      <c r="B13" s="208" t="str">
        <f>IFERROR(VLOOKUP(H13,'[1]Consolidado MP Planta'!$A$2:$M$823,3,0),"")</f>
        <v>PRESERVANTE 1047S (PAQ=5 KILO)</v>
      </c>
      <c r="C13" s="221">
        <f t="shared" si="0"/>
        <v>15</v>
      </c>
      <c r="D13" s="222" t="str">
        <f>IFERROR(VLOOKUP(H13,'[1]Consolidado MP Planta'!$A$2:$M$823,13,0),"")</f>
        <v>Gramos</v>
      </c>
      <c r="E13" s="222">
        <v>9.9499999999999993</v>
      </c>
      <c r="F13" s="222">
        <f t="shared" si="1"/>
        <v>149.25</v>
      </c>
      <c r="G13" s="223">
        <f t="shared" si="2"/>
        <v>5.3921654166778216E-3</v>
      </c>
      <c r="H13" s="224" t="s">
        <v>88</v>
      </c>
      <c r="I13" s="224"/>
      <c r="J13" s="225"/>
    </row>
    <row r="14" spans="1:10" ht="13.5" hidden="1" x14ac:dyDescent="0.25">
      <c r="A14" s="220"/>
      <c r="B14" s="208" t="str">
        <f>IFERROR(VLOOKUP(H14,'[1]Consolidado MP Planta'!$A$2:$M$823,3,0),"")</f>
        <v/>
      </c>
      <c r="C14" s="221">
        <f t="shared" si="0"/>
        <v>0</v>
      </c>
      <c r="D14" s="222" t="str">
        <f>IFERROR(VLOOKUP(H14,'[1]Consolidado MP Planta'!$A$2:$M$823,13,0),"")</f>
        <v/>
      </c>
      <c r="E14" s="222" t="str">
        <f>IFERROR(VLOOKUP(H14,'[1]Consolidado MP Planta'!$A$2:$M$823,12,0),"")</f>
        <v/>
      </c>
      <c r="F14" s="222" t="str">
        <f t="shared" si="1"/>
        <v/>
      </c>
      <c r="G14" s="223" t="str">
        <f t="shared" si="2"/>
        <v/>
      </c>
      <c r="H14" s="224"/>
      <c r="I14" s="224"/>
      <c r="J14" s="225"/>
    </row>
    <row r="15" spans="1:10" ht="13.5" hidden="1" x14ac:dyDescent="0.25">
      <c r="A15" s="220"/>
      <c r="B15" s="208" t="str">
        <f>IFERROR(VLOOKUP(H15,'[1]Consolidado MP Planta'!$A$2:$M$823,3,0),"")</f>
        <v/>
      </c>
      <c r="C15" s="221">
        <f t="shared" si="0"/>
        <v>0</v>
      </c>
      <c r="D15" s="222" t="str">
        <f>IFERROR(VLOOKUP(H15,'[1]Consolidado MP Planta'!$A$2:$M$823,13,0),"")</f>
        <v/>
      </c>
      <c r="E15" s="222" t="str">
        <f>IFERROR(VLOOKUP(H15,'[1]Consolidado MP Planta'!$A$2:$M$823,12,0),"")</f>
        <v/>
      </c>
      <c r="F15" s="222" t="str">
        <f t="shared" si="1"/>
        <v/>
      </c>
      <c r="G15" s="223" t="str">
        <f t="shared" si="2"/>
        <v/>
      </c>
      <c r="H15" s="224"/>
      <c r="I15" s="224"/>
      <c r="J15" s="225"/>
    </row>
    <row r="16" spans="1:10" ht="13.5" hidden="1" x14ac:dyDescent="0.25">
      <c r="A16" s="220"/>
      <c r="B16" s="208" t="str">
        <f>IFERROR(VLOOKUP(H16,'[1]Consolidado MP Planta'!$A$2:$M$823,3,0),"")</f>
        <v/>
      </c>
      <c r="C16" s="221">
        <f t="shared" si="0"/>
        <v>0</v>
      </c>
      <c r="D16" s="222" t="str">
        <f>IFERROR(VLOOKUP(H16,'[1]Consolidado MP Planta'!$A$2:$M$823,13,0),"")</f>
        <v/>
      </c>
      <c r="E16" s="222" t="str">
        <f>IFERROR(VLOOKUP(H16,'[1]Consolidado MP Planta'!$A$2:$M$823,12,0),"")</f>
        <v/>
      </c>
      <c r="F16" s="222" t="str">
        <f t="shared" si="1"/>
        <v/>
      </c>
      <c r="G16" s="223" t="str">
        <f t="shared" si="2"/>
        <v/>
      </c>
      <c r="H16" s="224"/>
      <c r="I16" s="224"/>
      <c r="J16" s="225"/>
    </row>
    <row r="17" spans="1:10" ht="13.5" hidden="1" x14ac:dyDescent="0.25">
      <c r="A17" s="220"/>
      <c r="B17" s="208" t="str">
        <f>IFERROR(VLOOKUP(H17,'[1]Consolidado MP Planta'!$A$2:$M$823,3,0),"")</f>
        <v/>
      </c>
      <c r="C17" s="221">
        <f t="shared" si="0"/>
        <v>0</v>
      </c>
      <c r="D17" s="222" t="str">
        <f>IFERROR(VLOOKUP(H17,'[1]Consolidado MP Planta'!$A$2:$M$823,13,0),"")</f>
        <v/>
      </c>
      <c r="E17" s="222" t="str">
        <f>IFERROR(VLOOKUP(H17,'[1]Consolidado MP Planta'!$A$2:$M$823,12,0),"")</f>
        <v/>
      </c>
      <c r="F17" s="222" t="str">
        <f t="shared" si="1"/>
        <v/>
      </c>
      <c r="G17" s="223" t="str">
        <f>IFERROR(F17/$F$72,"")</f>
        <v/>
      </c>
      <c r="H17" s="224"/>
      <c r="I17" s="224"/>
      <c r="J17" s="225"/>
    </row>
    <row r="18" spans="1:10" ht="13.5" hidden="1" x14ac:dyDescent="0.25">
      <c r="A18" s="220"/>
      <c r="B18" s="208" t="str">
        <f>IFERROR(VLOOKUP(H18,'[1]Consolidado MP Planta'!$A$2:$M$823,3,0),"")</f>
        <v/>
      </c>
      <c r="C18" s="221">
        <f t="shared" si="0"/>
        <v>0</v>
      </c>
      <c r="D18" s="222" t="str">
        <f>IFERROR(VLOOKUP(H18,'[1]Consolidado MP Planta'!$A$2:$M$823,13,0),"")</f>
        <v/>
      </c>
      <c r="E18" s="222" t="str">
        <f>IFERROR(VLOOKUP(H18,'[1]Consolidado MP Planta'!$A$2:$M$823,12,0),"")</f>
        <v/>
      </c>
      <c r="F18" s="222" t="str">
        <f t="shared" si="1"/>
        <v/>
      </c>
      <c r="G18" s="223" t="str">
        <f>IFERROR(F18/$F$72,"")</f>
        <v/>
      </c>
      <c r="H18" s="224"/>
      <c r="I18" s="224"/>
      <c r="J18" s="225"/>
    </row>
    <row r="19" spans="1:10" ht="13.5" hidden="1" x14ac:dyDescent="0.25">
      <c r="A19" s="220"/>
      <c r="B19" s="208" t="str">
        <f>IFERROR(VLOOKUP(H19,'[1]Consolidado MP Planta'!$A$2:$M$823,3,0),"")</f>
        <v/>
      </c>
      <c r="C19" s="221">
        <f t="shared" si="0"/>
        <v>0</v>
      </c>
      <c r="D19" s="222" t="str">
        <f>IFERROR(VLOOKUP(H19,'[1]Consolidado MP Planta'!$A$2:$M$823,13,0),"")</f>
        <v/>
      </c>
      <c r="E19" s="222" t="str">
        <f>IFERROR(VLOOKUP(H19,'[1]Consolidado MP Planta'!$A$2:$M$823,12,0),"")</f>
        <v/>
      </c>
      <c r="F19" s="222" t="str">
        <f t="shared" si="1"/>
        <v/>
      </c>
      <c r="G19" s="223" t="str">
        <f>IFERROR(F19/$F$72,"")</f>
        <v/>
      </c>
      <c r="H19" s="224"/>
      <c r="I19" s="224"/>
      <c r="J19" s="225"/>
    </row>
    <row r="20" spans="1:10" ht="13.5" hidden="1" x14ac:dyDescent="0.25">
      <c r="A20" s="220"/>
      <c r="B20" s="208" t="str">
        <f>IFERROR(VLOOKUP(H20,'[1]Consolidado MP Planta'!$A$2:$M$823,3,0),"")</f>
        <v/>
      </c>
      <c r="C20" s="221">
        <f t="shared" si="0"/>
        <v>0</v>
      </c>
      <c r="D20" s="222" t="str">
        <f>IFERROR(VLOOKUP(H20,'[1]Consolidado MP Planta'!$A$2:$M$823,13,0),"")</f>
        <v/>
      </c>
      <c r="E20" s="222" t="str">
        <f>IFERROR(VLOOKUP(H20,'[1]Consolidado MP Planta'!$A$2:$M$823,12,0),"")</f>
        <v/>
      </c>
      <c r="F20" s="222" t="str">
        <f t="shared" si="1"/>
        <v/>
      </c>
      <c r="G20" s="223" t="str">
        <f>IFERROR(F20/$F$72,"")</f>
        <v/>
      </c>
      <c r="H20" s="224"/>
      <c r="I20" s="224"/>
      <c r="J20" s="225"/>
    </row>
    <row r="21" spans="1:10" ht="14.25" thickBot="1" x14ac:dyDescent="0.3">
      <c r="A21" s="220"/>
      <c r="B21" s="208" t="str">
        <f>IFERROR(VLOOKUP(H21,'[2]ARTICULOS MP PLANTA'!$A$2:$G$589,2,0),"")</f>
        <v/>
      </c>
      <c r="C21" s="221"/>
      <c r="D21" s="222"/>
      <c r="E21" s="222"/>
      <c r="F21" s="222"/>
      <c r="G21" s="223"/>
      <c r="H21" s="224"/>
      <c r="I21" s="224"/>
      <c r="J21" s="225"/>
    </row>
    <row r="22" spans="1:10" ht="26.25" hidden="1" thickBot="1" x14ac:dyDescent="0.25">
      <c r="A22" s="215" t="s">
        <v>178</v>
      </c>
      <c r="B22" s="216" t="s">
        <v>185</v>
      </c>
      <c r="C22" s="216" t="s">
        <v>178</v>
      </c>
      <c r="D22" s="217" t="s">
        <v>180</v>
      </c>
      <c r="E22" s="217" t="s">
        <v>181</v>
      </c>
      <c r="F22" s="217" t="s">
        <v>182</v>
      </c>
      <c r="G22" s="217" t="s">
        <v>183</v>
      </c>
      <c r="H22" s="218" t="s">
        <v>184</v>
      </c>
      <c r="I22" s="219"/>
      <c r="J22" s="225"/>
    </row>
    <row r="23" spans="1:10" ht="14.25" hidden="1" thickBot="1" x14ac:dyDescent="0.3">
      <c r="A23" s="220"/>
      <c r="B23" s="208" t="str">
        <f>IFERROR(VLOOKUP(H23,[1]SEMIELABORADOS!$A$2:$M$6000,2,0),"")</f>
        <v/>
      </c>
      <c r="C23" s="221">
        <f>+A23</f>
        <v>0</v>
      </c>
      <c r="D23" s="221" t="str">
        <f>IFERROR(VLOOKUP(H23,[1]SEMIELABORADOS!$A$2:$M$6000,6,0),"")</f>
        <v/>
      </c>
      <c r="E23" s="222" t="str">
        <f>IFERROR(VLOOKUP(H23,[1]SEMIELABORADOS!$A$2:$H$65536,8,0),"")</f>
        <v/>
      </c>
      <c r="F23" s="222" t="str">
        <f>IFERROR(E23*C23,"")</f>
        <v/>
      </c>
      <c r="G23" s="223" t="str">
        <f t="shared" ref="G23:G30" si="3">IFERROR(F23/$F$72,"")</f>
        <v/>
      </c>
      <c r="H23" s="224"/>
      <c r="I23" s="224"/>
      <c r="J23" s="225"/>
    </row>
    <row r="24" spans="1:10" ht="14.25" hidden="1" thickBot="1" x14ac:dyDescent="0.3">
      <c r="A24" s="220"/>
      <c r="B24" s="208" t="str">
        <f>IFERROR(VLOOKUP(H24,[1]SEMIELABORADOS!$A$2:$M$6000,2,0),"")</f>
        <v/>
      </c>
      <c r="C24" s="221">
        <f t="shared" ref="C24:C30" si="4">+A24</f>
        <v>0</v>
      </c>
      <c r="D24" s="221" t="str">
        <f>IFERROR(VLOOKUP(H24,[1]SEMIELABORADOS!$A$2:$M$6000,6,0),"")</f>
        <v/>
      </c>
      <c r="E24" s="222" t="str">
        <f>IFERROR(VLOOKUP(H24,[1]SEMIELABORADOS!$A$2:$H$65536,8,0),"")</f>
        <v/>
      </c>
      <c r="F24" s="222" t="str">
        <f t="shared" ref="F24:F30" si="5">IFERROR(E24*C24,"")</f>
        <v/>
      </c>
      <c r="G24" s="223" t="str">
        <f t="shared" si="3"/>
        <v/>
      </c>
      <c r="H24" s="224"/>
      <c r="I24" s="224"/>
      <c r="J24" s="225"/>
    </row>
    <row r="25" spans="1:10" ht="14.25" hidden="1" thickBot="1" x14ac:dyDescent="0.3">
      <c r="A25" s="220"/>
      <c r="B25" s="208" t="str">
        <f>IFERROR(VLOOKUP(H25,[1]SEMIELABORADOS!$A$2:$M$6000,2,0),"")</f>
        <v/>
      </c>
      <c r="C25" s="221">
        <f>+A25</f>
        <v>0</v>
      </c>
      <c r="D25" s="221" t="str">
        <f>IFERROR(VLOOKUP(H25,[1]SEMIELABORADOS!$A$2:$M$6000,6,0),"")</f>
        <v/>
      </c>
      <c r="E25" s="222" t="str">
        <f>IFERROR(VLOOKUP(H25,[1]SEMIELABORADOS!$A$2:$H$65536,8,0),"")</f>
        <v/>
      </c>
      <c r="F25" s="222" t="str">
        <f>IFERROR(E25*C25,"")</f>
        <v/>
      </c>
      <c r="G25" s="223" t="str">
        <f t="shared" si="3"/>
        <v/>
      </c>
      <c r="H25" s="224"/>
      <c r="I25" s="224"/>
      <c r="J25" s="225"/>
    </row>
    <row r="26" spans="1:10" ht="14.25" hidden="1" thickBot="1" x14ac:dyDescent="0.3">
      <c r="A26" s="220"/>
      <c r="B26" s="208" t="str">
        <f>IFERROR(VLOOKUP(H26,[1]SEMIELABORADOS!$A$2:$M$6000,2,0),"")</f>
        <v/>
      </c>
      <c r="C26" s="221">
        <f>+A26</f>
        <v>0</v>
      </c>
      <c r="D26" s="221" t="str">
        <f>IFERROR(VLOOKUP(H26,[1]SEMIELABORADOS!$A$2:$M$6000,6,0),"")</f>
        <v/>
      </c>
      <c r="E26" s="222" t="str">
        <f>IFERROR(VLOOKUP(H26,[1]SEMIELABORADOS!$A$2:$H$65536,8,0),"")</f>
        <v/>
      </c>
      <c r="F26" s="222" t="str">
        <f>IFERROR(E26*C26,"")</f>
        <v/>
      </c>
      <c r="G26" s="223" t="str">
        <f t="shared" si="3"/>
        <v/>
      </c>
      <c r="H26" s="224"/>
      <c r="I26" s="224"/>
      <c r="J26" s="225"/>
    </row>
    <row r="27" spans="1:10" ht="14.25" hidden="1" thickBot="1" x14ac:dyDescent="0.3">
      <c r="A27" s="220"/>
      <c r="B27" s="208" t="str">
        <f>IFERROR(VLOOKUP(H27,[1]SEMIELABORADOS!$A$2:$M$6000,2,0),"")</f>
        <v/>
      </c>
      <c r="C27" s="221">
        <f>+A27</f>
        <v>0</v>
      </c>
      <c r="D27" s="221" t="str">
        <f>IFERROR(VLOOKUP(H27,[1]SEMIELABORADOS!$A$2:$M$6000,6,0),"")</f>
        <v/>
      </c>
      <c r="E27" s="222" t="str">
        <f>IFERROR(VLOOKUP(H27,[1]SEMIELABORADOS!$A$2:$H$65536,8,0),"")</f>
        <v/>
      </c>
      <c r="F27" s="222" t="str">
        <f>IFERROR(E27*C27,"")</f>
        <v/>
      </c>
      <c r="G27" s="223" t="str">
        <f t="shared" si="3"/>
        <v/>
      </c>
      <c r="H27" s="224"/>
      <c r="I27" s="224"/>
      <c r="J27" s="225"/>
    </row>
    <row r="28" spans="1:10" ht="14.25" hidden="1" thickBot="1" x14ac:dyDescent="0.3">
      <c r="A28" s="220"/>
      <c r="B28" s="208" t="str">
        <f>IFERROR(VLOOKUP(H28,[1]SEMIELABORADOS!$A$2:$M$6000,2,0),"")</f>
        <v/>
      </c>
      <c r="C28" s="221">
        <f t="shared" si="4"/>
        <v>0</v>
      </c>
      <c r="D28" s="221" t="str">
        <f>IFERROR(VLOOKUP(H28,[1]SEMIELABORADOS!$A$2:$M$6000,6,0),"")</f>
        <v/>
      </c>
      <c r="E28" s="222" t="str">
        <f>IFERROR(VLOOKUP(H28,[1]SEMIELABORADOS!$A$2:$H$65536,8,0),"")</f>
        <v/>
      </c>
      <c r="F28" s="222" t="str">
        <f t="shared" si="5"/>
        <v/>
      </c>
      <c r="G28" s="223" t="str">
        <f t="shared" si="3"/>
        <v/>
      </c>
      <c r="H28" s="224"/>
      <c r="I28" s="224"/>
      <c r="J28" s="225"/>
    </row>
    <row r="29" spans="1:10" ht="14.25" hidden="1" thickBot="1" x14ac:dyDescent="0.3">
      <c r="A29" s="220"/>
      <c r="B29" s="208" t="str">
        <f>IFERROR(VLOOKUP(H29,[1]SEMIELABORADOS!$A$2:$M$6000,2,0),"")</f>
        <v/>
      </c>
      <c r="C29" s="221">
        <f t="shared" si="4"/>
        <v>0</v>
      </c>
      <c r="D29" s="221" t="str">
        <f>IFERROR(VLOOKUP(H29,[1]SEMIELABORADOS!$A$2:$M$6000,6,0),"")</f>
        <v/>
      </c>
      <c r="E29" s="222" t="str">
        <f>IFERROR(VLOOKUP(H29,[1]SEMIELABORADOS!$A$2:$H$65536,8,0),"")</f>
        <v/>
      </c>
      <c r="F29" s="222" t="str">
        <f t="shared" si="5"/>
        <v/>
      </c>
      <c r="G29" s="223" t="str">
        <f t="shared" si="3"/>
        <v/>
      </c>
      <c r="H29" s="224"/>
      <c r="I29" s="224"/>
      <c r="J29" s="225"/>
    </row>
    <row r="30" spans="1:10" ht="14.25" hidden="1" thickBot="1" x14ac:dyDescent="0.3">
      <c r="A30" s="220"/>
      <c r="B30" s="208" t="str">
        <f>IFERROR(VLOOKUP(H30,[1]SEMIELABORADOS!$A$2:$M$6000,2,0),"")</f>
        <v/>
      </c>
      <c r="C30" s="221">
        <f t="shared" si="4"/>
        <v>0</v>
      </c>
      <c r="D30" s="221" t="str">
        <f>IFERROR(VLOOKUP(H30,[1]SEMIELABORADOS!$A$2:$M$6000,6,0),"")</f>
        <v/>
      </c>
      <c r="E30" s="222" t="str">
        <f>IFERROR(VLOOKUP(H30,[1]SEMIELABORADOS!$A$2:$H$65536,8,0),"")</f>
        <v/>
      </c>
      <c r="F30" s="222" t="str">
        <f t="shared" si="5"/>
        <v/>
      </c>
      <c r="G30" s="223" t="str">
        <f t="shared" si="3"/>
        <v/>
      </c>
      <c r="H30" s="224"/>
      <c r="I30" s="224"/>
      <c r="J30" s="225"/>
    </row>
    <row r="31" spans="1:10" ht="14.25" hidden="1" thickBot="1" x14ac:dyDescent="0.3">
      <c r="A31" s="220"/>
      <c r="C31" s="221"/>
      <c r="D31" s="221"/>
      <c r="E31" s="222"/>
      <c r="F31" s="222"/>
      <c r="G31" s="223"/>
      <c r="H31" s="224"/>
      <c r="I31" s="224"/>
      <c r="J31" s="225"/>
    </row>
    <row r="32" spans="1:10" ht="26.25" thickBot="1" x14ac:dyDescent="0.25">
      <c r="A32" s="215" t="s">
        <v>178</v>
      </c>
      <c r="B32" s="216" t="s">
        <v>24</v>
      </c>
      <c r="C32" s="216" t="s">
        <v>178</v>
      </c>
      <c r="D32" s="217" t="s">
        <v>180</v>
      </c>
      <c r="E32" s="217" t="s">
        <v>181</v>
      </c>
      <c r="F32" s="217" t="s">
        <v>182</v>
      </c>
      <c r="G32" s="217" t="s">
        <v>183</v>
      </c>
      <c r="H32" s="218" t="s">
        <v>184</v>
      </c>
      <c r="I32" s="219"/>
    </row>
    <row r="33" spans="1:12" ht="13.5" x14ac:dyDescent="0.25">
      <c r="A33" s="220">
        <v>1</v>
      </c>
      <c r="B33" s="226" t="str">
        <f>IFERROR(VLOOKUP(H33,'[1]Consolidado MP Planta'!$A$2:$M$823,3,0),"")</f>
        <v>ETIQ.BLANCA 1 1/4 * 3/4 (UND)</v>
      </c>
      <c r="C33" s="221">
        <f t="shared" ref="C33:C38" si="6">+A33</f>
        <v>1</v>
      </c>
      <c r="D33" s="222" t="str">
        <f>IFERROR(VLOOKUP(H33,'[1]Consolidado MP Planta'!$A$2:$M$823,13,0),"")</f>
        <v>Und</v>
      </c>
      <c r="E33" s="222">
        <v>0.57999999999999996</v>
      </c>
      <c r="F33" s="222">
        <f t="shared" ref="F33:F38" si="7">IFERROR(C33*E33,"")</f>
        <v>0.57999999999999996</v>
      </c>
      <c r="G33" s="223">
        <f t="shared" ref="G33:G38" si="8">IFERROR(F33/$F$72,"")</f>
        <v>2.0954478671176792E-5</v>
      </c>
      <c r="H33" s="227" t="s">
        <v>116</v>
      </c>
      <c r="I33" s="227"/>
      <c r="J33" s="225"/>
      <c r="K33" s="727"/>
      <c r="L33" s="727"/>
    </row>
    <row r="34" spans="1:12" ht="13.5" hidden="1" x14ac:dyDescent="0.25">
      <c r="A34" s="220"/>
      <c r="B34" s="226" t="str">
        <f>IFERROR(VLOOKUP(H34,'[1]Consolidado MP Planta'!$A$2:$M$823,3,0),"")</f>
        <v/>
      </c>
      <c r="C34" s="221">
        <f t="shared" si="6"/>
        <v>0</v>
      </c>
      <c r="D34" s="222" t="str">
        <f>IFERROR(VLOOKUP(H34,'[1]Consolidado MP Planta'!$A$2:$M$823,13,0),"")</f>
        <v/>
      </c>
      <c r="E34" s="222" t="str">
        <f>IFERROR(VLOOKUP(H34,'[1]Consolidado MP Planta'!$A$2:$M$823,12,0),"")</f>
        <v/>
      </c>
      <c r="F34" s="222" t="str">
        <f t="shared" si="7"/>
        <v/>
      </c>
      <c r="G34" s="223" t="str">
        <f t="shared" si="8"/>
        <v/>
      </c>
      <c r="H34" s="227"/>
      <c r="I34" s="227"/>
      <c r="J34" s="225"/>
      <c r="K34" s="727"/>
      <c r="L34" s="727"/>
    </row>
    <row r="35" spans="1:12" ht="13.5" hidden="1" x14ac:dyDescent="0.25">
      <c r="A35" s="220"/>
      <c r="B35" s="226" t="str">
        <f>IFERROR(VLOOKUP(H35,'[1]Consolidado MP Planta'!$A$2:$M$823,3,0),"")</f>
        <v/>
      </c>
      <c r="C35" s="221">
        <f t="shared" si="6"/>
        <v>0</v>
      </c>
      <c r="D35" s="222" t="str">
        <f>IFERROR(VLOOKUP(H35,'[1]Consolidado MP Planta'!$A$2:$M$823,13,0),"")</f>
        <v/>
      </c>
      <c r="E35" s="222" t="str">
        <f>IFERROR(VLOOKUP(H35,'[1]Consolidado MP Planta'!$A$2:$M$823,12,0),"")</f>
        <v/>
      </c>
      <c r="F35" s="222" t="str">
        <f t="shared" si="7"/>
        <v/>
      </c>
      <c r="G35" s="223" t="str">
        <f t="shared" si="8"/>
        <v/>
      </c>
      <c r="H35" s="227"/>
      <c r="I35" s="227"/>
      <c r="J35" s="225"/>
      <c r="K35" s="727"/>
      <c r="L35" s="727"/>
    </row>
    <row r="36" spans="1:12" ht="13.5" hidden="1" x14ac:dyDescent="0.25">
      <c r="A36" s="220"/>
      <c r="B36" s="226" t="str">
        <f>IFERROR(VLOOKUP(H36,'[1]Consolidado MP Planta'!$A$2:$M$823,3,0),"")</f>
        <v/>
      </c>
      <c r="C36" s="221">
        <f t="shared" si="6"/>
        <v>0</v>
      </c>
      <c r="D36" s="222" t="str">
        <f>IFERROR(VLOOKUP(H36,'[1]Consolidado MP Planta'!$A$2:$M$823,13,0),"")</f>
        <v/>
      </c>
      <c r="E36" s="222" t="str">
        <f>IFERROR(VLOOKUP(H36,'[1]Consolidado MP Planta'!$A$2:$M$823,12,0),"")</f>
        <v/>
      </c>
      <c r="F36" s="222" t="str">
        <f t="shared" si="7"/>
        <v/>
      </c>
      <c r="G36" s="223" t="str">
        <f t="shared" si="8"/>
        <v/>
      </c>
      <c r="H36" s="227"/>
      <c r="I36" s="227"/>
      <c r="J36" s="225"/>
      <c r="K36" s="727"/>
      <c r="L36" s="727"/>
    </row>
    <row r="37" spans="1:12" ht="13.5" hidden="1" x14ac:dyDescent="0.25">
      <c r="A37" s="220"/>
      <c r="B37" s="226" t="str">
        <f>IFERROR(VLOOKUP(H37,'[1]Consolidado MP Planta'!$A$2:$M$823,3,0),"")</f>
        <v/>
      </c>
      <c r="C37" s="221">
        <f t="shared" si="6"/>
        <v>0</v>
      </c>
      <c r="D37" s="222" t="str">
        <f>IFERROR(VLOOKUP(H37,'[1]Consolidado MP Planta'!$A$2:$M$823,13,0),"")</f>
        <v/>
      </c>
      <c r="E37" s="222" t="str">
        <f>IFERROR(VLOOKUP(H37,'[1]Consolidado MP Planta'!$A$2:$M$823,12,0),"")</f>
        <v/>
      </c>
      <c r="F37" s="222" t="str">
        <f t="shared" si="7"/>
        <v/>
      </c>
      <c r="G37" s="223" t="str">
        <f t="shared" si="8"/>
        <v/>
      </c>
      <c r="H37" s="227"/>
      <c r="I37" s="227"/>
      <c r="J37" s="225"/>
      <c r="K37" s="228"/>
      <c r="L37" s="229"/>
    </row>
    <row r="38" spans="1:12" ht="13.5" hidden="1" x14ac:dyDescent="0.25">
      <c r="A38" s="220"/>
      <c r="B38" s="226" t="str">
        <f>IFERROR(VLOOKUP(H38,'[1]Consolidado MP Planta'!$A$2:$M$823,3,0),"")</f>
        <v/>
      </c>
      <c r="C38" s="221">
        <f t="shared" si="6"/>
        <v>0</v>
      </c>
      <c r="D38" s="222" t="str">
        <f>IFERROR(VLOOKUP(H38,'[1]Consolidado MP Planta'!$A$2:$M$823,13,0),"")</f>
        <v/>
      </c>
      <c r="E38" s="222" t="str">
        <f>IFERROR(VLOOKUP(H38,'[1]Consolidado MP Planta'!$A$2:$M$823,12,0),"")</f>
        <v/>
      </c>
      <c r="F38" s="222" t="str">
        <f t="shared" si="7"/>
        <v/>
      </c>
      <c r="G38" s="223" t="str">
        <f t="shared" si="8"/>
        <v/>
      </c>
      <c r="H38" s="227"/>
      <c r="I38" s="227"/>
      <c r="J38" s="225"/>
    </row>
    <row r="39" spans="1:12" ht="14.25" thickBot="1" x14ac:dyDescent="0.3">
      <c r="A39" s="220"/>
      <c r="B39" s="226"/>
      <c r="C39" s="221"/>
      <c r="D39" s="222"/>
      <c r="E39" s="222"/>
      <c r="F39" s="222"/>
      <c r="G39" s="223"/>
      <c r="H39" s="227"/>
      <c r="I39" s="227"/>
      <c r="J39" s="225"/>
    </row>
    <row r="40" spans="1:12" ht="26.25" hidden="1" thickBot="1" x14ac:dyDescent="0.25">
      <c r="A40" s="215" t="s">
        <v>178</v>
      </c>
      <c r="B40" s="216" t="s">
        <v>186</v>
      </c>
      <c r="C40" s="216" t="s">
        <v>178</v>
      </c>
      <c r="D40" s="217" t="s">
        <v>180</v>
      </c>
      <c r="E40" s="217" t="s">
        <v>181</v>
      </c>
      <c r="F40" s="217" t="s">
        <v>182</v>
      </c>
      <c r="G40" s="217" t="s">
        <v>183</v>
      </c>
      <c r="H40" s="218" t="s">
        <v>184</v>
      </c>
      <c r="I40" s="227"/>
      <c r="J40" s="225"/>
    </row>
    <row r="41" spans="1:12" ht="14.25" hidden="1" thickBot="1" x14ac:dyDescent="0.3">
      <c r="A41" s="220">
        <f>+A23</f>
        <v>0</v>
      </c>
      <c r="B41" s="226" t="str">
        <f>IFERROR(VLOOKUP(H41,[1]SEMIELABORADOS!$A$2:$M$6000,2,0),"")</f>
        <v/>
      </c>
      <c r="C41" s="221">
        <f>+A41</f>
        <v>0</v>
      </c>
      <c r="D41" s="222" t="str">
        <f>IFERROR(VLOOKUP(H41,[1]SEMIELABORADOS!$A$2:$M$6000,6,0),"")</f>
        <v/>
      </c>
      <c r="E41" s="222" t="str">
        <f>IFERROR(VLOOKUP(H41,[1]SEMIELABORADOS!$A$2:$M$65536,10,0),"")</f>
        <v/>
      </c>
      <c r="F41" s="222" t="str">
        <f>IFERROR(E41*C41,"")</f>
        <v/>
      </c>
      <c r="G41" s="223" t="str">
        <f t="shared" ref="G41:G47" si="9">IFERROR(F41/$F$72,"")</f>
        <v/>
      </c>
      <c r="H41" s="227"/>
      <c r="I41" s="227"/>
      <c r="J41" s="225"/>
    </row>
    <row r="42" spans="1:12" ht="14.25" hidden="1" thickBot="1" x14ac:dyDescent="0.3">
      <c r="A42" s="220">
        <f t="shared" ref="A42:A47" si="10">+A24</f>
        <v>0</v>
      </c>
      <c r="B42" s="226" t="str">
        <f>IFERROR(VLOOKUP(H42,[1]SEMIELABORADOS!$A$2:$M$6000,2,0),"")</f>
        <v/>
      </c>
      <c r="C42" s="221">
        <f t="shared" ref="C42:C47" si="11">+A42</f>
        <v>0</v>
      </c>
      <c r="D42" s="222" t="str">
        <f>IFERROR(VLOOKUP(H42,[1]SEMIELABORADOS!$A$2:$M$6000,6,0),"")</f>
        <v/>
      </c>
      <c r="E42" s="222" t="str">
        <f>IFERROR(VLOOKUP(H42,[1]SEMIELABORADOS!$A$2:$M$65536,10,0),"")</f>
        <v/>
      </c>
      <c r="F42" s="222" t="str">
        <f t="shared" ref="F42:F47" si="12">IFERROR(E42*C42,"")</f>
        <v/>
      </c>
      <c r="G42" s="223" t="str">
        <f t="shared" si="9"/>
        <v/>
      </c>
      <c r="H42" s="227"/>
      <c r="I42" s="227"/>
      <c r="J42" s="225"/>
    </row>
    <row r="43" spans="1:12" ht="14.25" hidden="1" thickBot="1" x14ac:dyDescent="0.3">
      <c r="A43" s="220">
        <f t="shared" si="10"/>
        <v>0</v>
      </c>
      <c r="B43" s="226" t="str">
        <f>IFERROR(VLOOKUP(H43,[1]SEMIELABORADOS!$A$2:$M$6000,2,0),"")</f>
        <v/>
      </c>
      <c r="C43" s="221">
        <f t="shared" si="11"/>
        <v>0</v>
      </c>
      <c r="D43" s="222" t="str">
        <f>IFERROR(VLOOKUP(H43,[1]SEMIELABORADOS!$A$2:$M$6000,6,0),"")</f>
        <v/>
      </c>
      <c r="E43" s="222" t="str">
        <f>IFERROR(VLOOKUP(H43,[1]SEMIELABORADOS!$A$2:$M$65536,10,0),"")</f>
        <v/>
      </c>
      <c r="F43" s="222" t="str">
        <f t="shared" si="12"/>
        <v/>
      </c>
      <c r="G43" s="223" t="str">
        <f t="shared" si="9"/>
        <v/>
      </c>
      <c r="H43" s="227"/>
      <c r="I43" s="227"/>
      <c r="J43" s="225"/>
    </row>
    <row r="44" spans="1:12" ht="14.25" hidden="1" thickBot="1" x14ac:dyDescent="0.3">
      <c r="A44" s="220">
        <f t="shared" si="10"/>
        <v>0</v>
      </c>
      <c r="B44" s="226" t="str">
        <f>IFERROR(VLOOKUP(H44,[1]SEMIELABORADOS!$A$2:$M$6000,2,0),"")</f>
        <v/>
      </c>
      <c r="C44" s="221">
        <f>+A44</f>
        <v>0</v>
      </c>
      <c r="D44" s="222" t="str">
        <f>IFERROR(VLOOKUP(H44,[1]SEMIELABORADOS!$A$2:$M$6000,6,0),"")</f>
        <v/>
      </c>
      <c r="E44" s="222" t="str">
        <f>IFERROR(VLOOKUP(H44,[1]SEMIELABORADOS!$A$2:$M$65536,10,0),"")</f>
        <v/>
      </c>
      <c r="F44" s="222" t="str">
        <f>IFERROR(E44*C44,"")</f>
        <v/>
      </c>
      <c r="G44" s="223" t="str">
        <f t="shared" si="9"/>
        <v/>
      </c>
      <c r="H44" s="227"/>
      <c r="I44" s="227"/>
      <c r="J44" s="225"/>
    </row>
    <row r="45" spans="1:12" ht="14.25" hidden="1" thickBot="1" x14ac:dyDescent="0.3">
      <c r="A45" s="220">
        <f t="shared" si="10"/>
        <v>0</v>
      </c>
      <c r="B45" s="226" t="str">
        <f>IFERROR(VLOOKUP(H45,[1]SEMIELABORADOS!$A$2:$M$6000,2,0),"")</f>
        <v/>
      </c>
      <c r="C45" s="221">
        <f>+A45</f>
        <v>0</v>
      </c>
      <c r="D45" s="222" t="str">
        <f>IFERROR(VLOOKUP(H45,[1]SEMIELABORADOS!$A$2:$M$6000,6,0),"")</f>
        <v/>
      </c>
      <c r="E45" s="222" t="str">
        <f>IFERROR(VLOOKUP(H45,[1]SEMIELABORADOS!$A$2:$M$65536,10,0),"")</f>
        <v/>
      </c>
      <c r="F45" s="222" t="str">
        <f>IFERROR(E45*C45,"")</f>
        <v/>
      </c>
      <c r="G45" s="223" t="str">
        <f t="shared" si="9"/>
        <v/>
      </c>
      <c r="H45" s="227"/>
      <c r="I45" s="227"/>
      <c r="J45" s="225"/>
    </row>
    <row r="46" spans="1:12" ht="14.25" hidden="1" thickBot="1" x14ac:dyDescent="0.3">
      <c r="A46" s="220">
        <f t="shared" si="10"/>
        <v>0</v>
      </c>
      <c r="B46" s="226" t="str">
        <f>IFERROR(VLOOKUP(H46,[1]SEMIELABORADOS!$A$2:$M$6000,2,0),"")</f>
        <v/>
      </c>
      <c r="C46" s="221">
        <f t="shared" si="11"/>
        <v>0</v>
      </c>
      <c r="D46" s="222" t="str">
        <f>IFERROR(VLOOKUP(H46,[1]SEMIELABORADOS!$A$2:$M$6000,6,0),"")</f>
        <v/>
      </c>
      <c r="E46" s="222" t="str">
        <f>IFERROR(VLOOKUP(H46,[1]SEMIELABORADOS!$A$2:$M$65536,10,0),"")</f>
        <v/>
      </c>
      <c r="F46" s="222" t="str">
        <f t="shared" si="12"/>
        <v/>
      </c>
      <c r="G46" s="223" t="str">
        <f t="shared" si="9"/>
        <v/>
      </c>
      <c r="H46" s="227"/>
      <c r="I46" s="227"/>
      <c r="J46" s="225"/>
    </row>
    <row r="47" spans="1:12" ht="14.25" hidden="1" thickBot="1" x14ac:dyDescent="0.3">
      <c r="A47" s="220">
        <f t="shared" si="10"/>
        <v>0</v>
      </c>
      <c r="B47" s="226" t="str">
        <f>IFERROR(VLOOKUP(H47,[1]SEMIELABORADOS!$A$2:$M$6000,2,0),"")</f>
        <v/>
      </c>
      <c r="C47" s="221">
        <f t="shared" si="11"/>
        <v>0</v>
      </c>
      <c r="D47" s="222" t="str">
        <f>IFERROR(VLOOKUP(H47,[1]SEMIELABORADOS!$A$2:$M$6000,6,0),"")</f>
        <v/>
      </c>
      <c r="E47" s="222" t="str">
        <f>IFERROR(VLOOKUP(H47,[1]SEMIELABORADOS!$A$2:$M$65536,10,0),"")</f>
        <v/>
      </c>
      <c r="F47" s="222" t="str">
        <f t="shared" si="12"/>
        <v/>
      </c>
      <c r="G47" s="223" t="str">
        <f t="shared" si="9"/>
        <v/>
      </c>
      <c r="H47" s="227"/>
      <c r="I47" s="227"/>
      <c r="J47" s="225"/>
    </row>
    <row r="48" spans="1:12" ht="14.25" hidden="1" thickBot="1" x14ac:dyDescent="0.3">
      <c r="A48" s="220"/>
      <c r="B48" s="226"/>
      <c r="C48" s="221"/>
      <c r="D48" s="222"/>
      <c r="E48" s="222"/>
      <c r="F48" s="222"/>
      <c r="G48" s="223"/>
      <c r="H48" s="227"/>
      <c r="I48" s="227"/>
      <c r="J48" s="225"/>
    </row>
    <row r="49" spans="1:17" ht="26.25" thickBot="1" x14ac:dyDescent="0.25">
      <c r="A49" s="215" t="s">
        <v>178</v>
      </c>
      <c r="B49" s="216" t="s">
        <v>187</v>
      </c>
      <c r="C49" s="216" t="s">
        <v>178</v>
      </c>
      <c r="D49" s="217" t="s">
        <v>180</v>
      </c>
      <c r="E49" s="217" t="s">
        <v>181</v>
      </c>
      <c r="F49" s="217" t="s">
        <v>182</v>
      </c>
      <c r="G49" s="217" t="s">
        <v>183</v>
      </c>
      <c r="H49" s="218" t="s">
        <v>184</v>
      </c>
      <c r="I49" s="219"/>
      <c r="J49" s="225"/>
    </row>
    <row r="50" spans="1:17" ht="13.5" hidden="1" x14ac:dyDescent="0.25">
      <c r="A50" s="220">
        <f>+A41</f>
        <v>0</v>
      </c>
      <c r="B50" s="226" t="str">
        <f>IFERROR(VLOOKUP(H50,[1]SEMIELABORADOS!$A$2:$M$6000,2,0),"")</f>
        <v/>
      </c>
      <c r="C50" s="221">
        <f>+A50</f>
        <v>0</v>
      </c>
      <c r="D50" s="222" t="str">
        <f>IFERROR(VLOOKUP(H50,[1]SEMIELABORADOS!$A$2:$M$6000,6,0),"")</f>
        <v/>
      </c>
      <c r="E50" s="222" t="str">
        <f>IFERROR(VLOOKUP(H50,[1]SEMIELABORADOS!$A$2:$M$65536,12,0),"")</f>
        <v/>
      </c>
      <c r="F50" s="222" t="str">
        <f>IFERROR(E50*C50,"")</f>
        <v/>
      </c>
      <c r="G50" s="223" t="str">
        <f>IFERROR(F50/$F$72,"")</f>
        <v/>
      </c>
      <c r="H50" s="227"/>
      <c r="I50" s="219"/>
      <c r="J50" s="225"/>
    </row>
    <row r="51" spans="1:17" ht="13.5" hidden="1" x14ac:dyDescent="0.25">
      <c r="A51" s="220">
        <f t="shared" ref="A51:A56" si="13">+A42</f>
        <v>0</v>
      </c>
      <c r="B51" s="226" t="str">
        <f>IFERROR(VLOOKUP(H51,[1]SEMIELABORADOS!$A$2:$M$6000,2,0),"")</f>
        <v/>
      </c>
      <c r="C51" s="221">
        <f t="shared" ref="C51:C56" si="14">+A51</f>
        <v>0</v>
      </c>
      <c r="D51" s="222" t="str">
        <f>IFERROR(VLOOKUP(H51,[1]SEMIELABORADOS!$A$2:$M$6000,6,0),"")</f>
        <v/>
      </c>
      <c r="E51" s="222" t="str">
        <f>IFERROR(VLOOKUP(H51,[1]SEMIELABORADOS!$A$2:$M$65536,12,0),"")</f>
        <v/>
      </c>
      <c r="F51" s="222" t="str">
        <f t="shared" ref="F51:F56" si="15">IFERROR(E51*C51,"")</f>
        <v/>
      </c>
      <c r="G51" s="223" t="str">
        <f t="shared" ref="G51:G56" si="16">IFERROR(F51/$F$72,"")</f>
        <v/>
      </c>
      <c r="H51" s="227"/>
      <c r="I51" s="219"/>
      <c r="J51" s="225"/>
      <c r="M51" s="230"/>
    </row>
    <row r="52" spans="1:17" ht="13.5" hidden="1" x14ac:dyDescent="0.25">
      <c r="A52" s="220">
        <f t="shared" si="13"/>
        <v>0</v>
      </c>
      <c r="B52" s="226" t="str">
        <f>IFERROR(VLOOKUP(H52,[1]SEMIELABORADOS!$A$2:$M$6000,2,0),"")</f>
        <v/>
      </c>
      <c r="C52" s="221">
        <f t="shared" si="14"/>
        <v>0</v>
      </c>
      <c r="D52" s="222" t="str">
        <f>IFERROR(VLOOKUP(H52,[1]SEMIELABORADOS!$A$2:$M$6000,6,0),"")</f>
        <v/>
      </c>
      <c r="E52" s="222" t="str">
        <f>IFERROR(VLOOKUP(H52,[1]SEMIELABORADOS!$A$2:$M$65536,12,0),"")</f>
        <v/>
      </c>
      <c r="F52" s="222" t="str">
        <f t="shared" si="15"/>
        <v/>
      </c>
      <c r="G52" s="223" t="str">
        <f t="shared" si="16"/>
        <v/>
      </c>
      <c r="H52" s="227"/>
      <c r="I52" s="219"/>
      <c r="J52" s="225"/>
    </row>
    <row r="53" spans="1:17" ht="13.5" hidden="1" x14ac:dyDescent="0.25">
      <c r="A53" s="220">
        <f t="shared" si="13"/>
        <v>0</v>
      </c>
      <c r="B53" s="226" t="str">
        <f>IFERROR(VLOOKUP(H53,[1]SEMIELABORADOS!$A$2:$M$6000,2,0),"")</f>
        <v/>
      </c>
      <c r="C53" s="221">
        <f t="shared" si="14"/>
        <v>0</v>
      </c>
      <c r="D53" s="222" t="str">
        <f>IFERROR(VLOOKUP(H53,[1]SEMIELABORADOS!$A$2:$M$6000,6,0),"")</f>
        <v/>
      </c>
      <c r="E53" s="222" t="str">
        <f>IFERROR(VLOOKUP(H53,[1]SEMIELABORADOS!$A$2:$M$65536,12,0),"")</f>
        <v/>
      </c>
      <c r="F53" s="222" t="str">
        <f t="shared" si="15"/>
        <v/>
      </c>
      <c r="G53" s="223" t="str">
        <f t="shared" si="16"/>
        <v/>
      </c>
      <c r="H53" s="227"/>
      <c r="I53" s="219"/>
      <c r="J53" s="225"/>
    </row>
    <row r="54" spans="1:17" ht="13.5" hidden="1" x14ac:dyDescent="0.25">
      <c r="A54" s="220">
        <f t="shared" si="13"/>
        <v>0</v>
      </c>
      <c r="B54" s="226" t="str">
        <f>IFERROR(VLOOKUP(H54,[1]SEMIELABORADOS!$A$2:$M$6000,2,0),"")</f>
        <v/>
      </c>
      <c r="C54" s="221">
        <f t="shared" si="14"/>
        <v>0</v>
      </c>
      <c r="D54" s="222" t="str">
        <f>IFERROR(VLOOKUP(H54,[1]SEMIELABORADOS!$A$2:$M$6000,6,0),"")</f>
        <v/>
      </c>
      <c r="E54" s="222" t="str">
        <f>IFERROR(VLOOKUP(H54,[1]SEMIELABORADOS!$A$2:$M$65536,12,0),"")</f>
        <v/>
      </c>
      <c r="F54" s="222" t="str">
        <f t="shared" si="15"/>
        <v/>
      </c>
      <c r="G54" s="223" t="str">
        <f t="shared" si="16"/>
        <v/>
      </c>
      <c r="H54" s="227"/>
      <c r="I54" s="219"/>
      <c r="J54" s="225"/>
    </row>
    <row r="55" spans="1:17" ht="13.5" hidden="1" x14ac:dyDescent="0.25">
      <c r="A55" s="220">
        <f t="shared" si="13"/>
        <v>0</v>
      </c>
      <c r="B55" s="226" t="str">
        <f>IFERROR(VLOOKUP(H55,[1]SEMIELABORADOS!$A$2:$M$6000,2,0),"")</f>
        <v/>
      </c>
      <c r="C55" s="221">
        <f t="shared" si="14"/>
        <v>0</v>
      </c>
      <c r="D55" s="222" t="str">
        <f>IFERROR(VLOOKUP(H55,[1]SEMIELABORADOS!$A$2:$M$6000,6,0),"")</f>
        <v/>
      </c>
      <c r="E55" s="222" t="str">
        <f>IFERROR(VLOOKUP(H55,[1]SEMIELABORADOS!$A$2:$M$65536,12,0),"")</f>
        <v/>
      </c>
      <c r="F55" s="222" t="str">
        <f t="shared" si="15"/>
        <v/>
      </c>
      <c r="G55" s="223" t="str">
        <f t="shared" si="16"/>
        <v/>
      </c>
      <c r="H55" s="227"/>
      <c r="I55" s="219"/>
      <c r="J55" s="225"/>
    </row>
    <row r="56" spans="1:17" ht="13.5" hidden="1" x14ac:dyDescent="0.25">
      <c r="A56" s="220">
        <f t="shared" si="13"/>
        <v>0</v>
      </c>
      <c r="B56" s="226" t="str">
        <f>IFERROR(VLOOKUP(H56,[1]SEMIELABORADOS!$A$2:$M$6000,2,0),"")</f>
        <v/>
      </c>
      <c r="C56" s="221">
        <f t="shared" si="14"/>
        <v>0</v>
      </c>
      <c r="D56" s="222" t="str">
        <f>IFERROR(VLOOKUP(H56,[1]SEMIELABORADOS!$A$2:$M$6000,6,0),"")</f>
        <v/>
      </c>
      <c r="E56" s="222" t="str">
        <f>IFERROR(VLOOKUP(H56,[1]SEMIELABORADOS!$A$2:$M$65536,12,0),"")</f>
        <v/>
      </c>
      <c r="F56" s="222" t="str">
        <f t="shared" si="15"/>
        <v/>
      </c>
      <c r="G56" s="223" t="str">
        <f t="shared" si="16"/>
        <v/>
      </c>
      <c r="H56" s="226"/>
      <c r="I56" s="219"/>
      <c r="J56" s="225"/>
    </row>
    <row r="57" spans="1:17" ht="13.5" x14ac:dyDescent="0.25">
      <c r="A57" s="220">
        <v>1</v>
      </c>
      <c r="B57" s="226" t="s">
        <v>188</v>
      </c>
      <c r="C57" s="221">
        <f>+A57</f>
        <v>1</v>
      </c>
      <c r="D57" s="221" t="s">
        <v>189</v>
      </c>
      <c r="E57" s="222">
        <f>+F71</f>
        <v>770</v>
      </c>
      <c r="F57" s="222">
        <f>IFERROR(C57*E57,"")</f>
        <v>770</v>
      </c>
      <c r="G57" s="223">
        <f>IFERROR(F57/$F$72,"")</f>
        <v>2.7818876856562296E-2</v>
      </c>
      <c r="H57" s="231"/>
      <c r="I57" s="231"/>
      <c r="J57" s="225"/>
    </row>
    <row r="58" spans="1:17" ht="14.25" thickBot="1" x14ac:dyDescent="0.3">
      <c r="A58" s="220"/>
      <c r="B58" s="226"/>
      <c r="C58" s="221"/>
      <c r="D58" s="221"/>
      <c r="E58" s="222"/>
      <c r="F58" s="222"/>
      <c r="G58" s="223"/>
      <c r="H58" s="231"/>
      <c r="I58" s="231"/>
      <c r="J58" s="225"/>
    </row>
    <row r="59" spans="1:17" ht="13.5" thickBot="1" x14ac:dyDescent="0.25">
      <c r="A59" s="232"/>
      <c r="B59" s="737" t="s">
        <v>190</v>
      </c>
      <c r="C59" s="737"/>
      <c r="D59" s="737"/>
      <c r="E59" s="737"/>
      <c r="F59" s="234">
        <f>SUM(F8:F20,F23:F30)</f>
        <v>26380.85</v>
      </c>
      <c r="G59" s="223">
        <f>+F59/$F$72</f>
        <v>0.95309820457330052</v>
      </c>
      <c r="H59" s="235">
        <f>+F59/$D$66</f>
        <v>26380.85</v>
      </c>
      <c r="I59" s="235"/>
      <c r="J59" s="236"/>
      <c r="K59" s="237"/>
      <c r="L59" s="237"/>
      <c r="M59" s="237"/>
      <c r="N59" s="237"/>
      <c r="O59" s="237"/>
      <c r="P59" s="237"/>
      <c r="Q59" s="238"/>
    </row>
    <row r="60" spans="1:17" x14ac:dyDescent="0.2">
      <c r="A60" s="232"/>
      <c r="B60" s="737" t="s">
        <v>191</v>
      </c>
      <c r="C60" s="737"/>
      <c r="D60" s="737"/>
      <c r="E60" s="737"/>
      <c r="F60" s="234">
        <f>SUM(F33:F38,F41:F47)</f>
        <v>0.57999999999999996</v>
      </c>
      <c r="G60" s="223">
        <f>+F60/$F$72</f>
        <v>2.0954478671176792E-5</v>
      </c>
      <c r="H60" s="235">
        <f>+F60/$D$66</f>
        <v>0.57999999999999996</v>
      </c>
      <c r="I60" s="235"/>
      <c r="J60" s="239"/>
      <c r="K60" s="738" t="s">
        <v>192</v>
      </c>
      <c r="L60" s="739"/>
      <c r="M60" s="739"/>
      <c r="N60" s="739"/>
      <c r="O60" s="240">
        <f>+F61</f>
        <v>26381.43</v>
      </c>
      <c r="P60" s="240"/>
      <c r="Q60" s="241"/>
    </row>
    <row r="61" spans="1:17" x14ac:dyDescent="0.2">
      <c r="A61" s="232"/>
      <c r="B61" s="737" t="s">
        <v>193</v>
      </c>
      <c r="C61" s="737"/>
      <c r="D61" s="737"/>
      <c r="E61" s="737"/>
      <c r="F61" s="234">
        <f>+F59+F60</f>
        <v>26381.43</v>
      </c>
      <c r="G61" s="223">
        <f>+F61/$F$72</f>
        <v>0.95311915905197175</v>
      </c>
      <c r="H61" s="235">
        <f>+F61/$D$66</f>
        <v>26381.43</v>
      </c>
      <c r="I61" s="235"/>
      <c r="J61" s="242"/>
      <c r="K61" s="243"/>
      <c r="M61" s="244" t="s">
        <v>194</v>
      </c>
      <c r="N61" s="245"/>
      <c r="O61" s="240">
        <f>+H62</f>
        <v>770</v>
      </c>
      <c r="P61" s="240"/>
      <c r="Q61" s="241"/>
    </row>
    <row r="62" spans="1:17" ht="13.5" thickBot="1" x14ac:dyDescent="0.25">
      <c r="A62" s="232"/>
      <c r="B62" s="233"/>
      <c r="C62" s="737" t="s">
        <v>195</v>
      </c>
      <c r="D62" s="737"/>
      <c r="E62" s="737"/>
      <c r="F62" s="234">
        <f>SUM(F50:F57)</f>
        <v>770</v>
      </c>
      <c r="G62" s="223">
        <f>+F62/$F$72</f>
        <v>2.7818876856562296E-2</v>
      </c>
      <c r="H62" s="235">
        <f>+F62/$D$66</f>
        <v>770</v>
      </c>
      <c r="I62" s="235"/>
      <c r="J62" s="242"/>
      <c r="K62" s="243"/>
      <c r="L62" s="243"/>
      <c r="M62" s="243" t="s">
        <v>196</v>
      </c>
      <c r="N62" s="246"/>
      <c r="O62" s="240">
        <f>O60*N62</f>
        <v>0</v>
      </c>
      <c r="P62" s="240"/>
      <c r="Q62" s="241"/>
    </row>
    <row r="63" spans="1:17" ht="13.5" thickBot="1" x14ac:dyDescent="0.25">
      <c r="A63" s="232"/>
      <c r="B63" s="247"/>
      <c r="C63" s="247"/>
      <c r="D63" s="247"/>
      <c r="E63" s="247"/>
      <c r="F63" s="248"/>
      <c r="G63" s="223"/>
      <c r="H63" s="249"/>
      <c r="I63" s="235"/>
      <c r="J63" s="242"/>
      <c r="K63" s="250"/>
      <c r="M63" s="251" t="s">
        <v>197</v>
      </c>
      <c r="N63" s="252"/>
      <c r="O63" s="253">
        <f>SUM(O60:O62)</f>
        <v>27151.43</v>
      </c>
      <c r="P63" s="254"/>
      <c r="Q63" s="241"/>
    </row>
    <row r="64" spans="1:17" x14ac:dyDescent="0.2">
      <c r="B64" s="740" t="s">
        <v>198</v>
      </c>
      <c r="C64" s="740"/>
      <c r="D64" s="255">
        <v>10000</v>
      </c>
      <c r="E64" s="256"/>
      <c r="G64" s="223"/>
      <c r="H64" s="249">
        <f>+H62/77</f>
        <v>10</v>
      </c>
      <c r="I64" s="257"/>
      <c r="J64" s="242"/>
      <c r="K64" s="250"/>
      <c r="L64" s="243"/>
      <c r="M64" s="243" t="s">
        <v>199</v>
      </c>
      <c r="N64" s="258"/>
      <c r="O64" s="240">
        <f>+H65</f>
        <v>640</v>
      </c>
      <c r="P64" s="240"/>
      <c r="Q64" s="241"/>
    </row>
    <row r="65" spans="2:17" x14ac:dyDescent="0.2">
      <c r="B65" s="740" t="s">
        <v>200</v>
      </c>
      <c r="C65" s="740"/>
      <c r="D65" s="259">
        <v>10000</v>
      </c>
      <c r="E65" s="256"/>
      <c r="G65" s="223"/>
      <c r="H65" s="249">
        <f>+H64*64</f>
        <v>640</v>
      </c>
      <c r="I65" s="257"/>
      <c r="J65" s="242"/>
      <c r="K65" s="250"/>
      <c r="L65" s="243"/>
      <c r="M65" s="741" t="s">
        <v>197</v>
      </c>
      <c r="N65" s="741"/>
      <c r="O65" s="240">
        <f>SUM(O63:O64)</f>
        <v>27791.43</v>
      </c>
      <c r="P65" s="240"/>
      <c r="Q65" s="241"/>
    </row>
    <row r="66" spans="2:17" ht="13.5" thickBot="1" x14ac:dyDescent="0.25">
      <c r="B66" s="733" t="s">
        <v>201</v>
      </c>
      <c r="C66" s="733"/>
      <c r="D66" s="255">
        <f>+D64/D65</f>
        <v>1</v>
      </c>
      <c r="E66" s="256"/>
      <c r="F66" s="260"/>
      <c r="G66" s="223"/>
      <c r="H66" s="249"/>
      <c r="I66" s="257"/>
      <c r="J66" s="242"/>
      <c r="K66" s="250"/>
      <c r="L66" s="741"/>
      <c r="M66" s="741"/>
      <c r="N66" s="258"/>
      <c r="O66" s="240">
        <f>+O65*N66</f>
        <v>0</v>
      </c>
      <c r="P66" s="240"/>
      <c r="Q66" s="241"/>
    </row>
    <row r="67" spans="2:17" ht="13.5" thickBot="1" x14ac:dyDescent="0.25">
      <c r="B67" s="733" t="s">
        <v>202</v>
      </c>
      <c r="C67" s="733"/>
      <c r="D67" s="261"/>
      <c r="E67" s="256"/>
      <c r="F67" s="260"/>
      <c r="G67" s="223"/>
      <c r="H67" s="249"/>
      <c r="I67" s="257"/>
      <c r="J67" s="242"/>
      <c r="K67" s="734" t="s">
        <v>203</v>
      </c>
      <c r="L67" s="735"/>
      <c r="M67" s="735"/>
      <c r="N67" s="736"/>
      <c r="O67" s="253">
        <f>SUM(O65:O66)</f>
        <v>27791.43</v>
      </c>
      <c r="P67" s="262" t="s">
        <v>204</v>
      </c>
      <c r="Q67" s="241"/>
    </row>
    <row r="68" spans="2:17" ht="13.5" thickBot="1" x14ac:dyDescent="0.25">
      <c r="C68" s="232" t="s">
        <v>205</v>
      </c>
      <c r="D68" s="263"/>
      <c r="E68" s="206" t="s">
        <v>206</v>
      </c>
      <c r="F68" s="264" t="s">
        <v>207</v>
      </c>
      <c r="G68" s="223"/>
      <c r="H68" s="249"/>
      <c r="I68" s="257"/>
      <c r="J68" s="265"/>
      <c r="K68" s="266"/>
      <c r="L68" s="747" t="s">
        <v>208</v>
      </c>
      <c r="M68" s="747"/>
      <c r="N68" s="747"/>
      <c r="O68" s="267">
        <f>+O67/D66</f>
        <v>27791.43</v>
      </c>
      <c r="P68" s="268">
        <f>+O68/D65</f>
        <v>2.7791429999999999</v>
      </c>
      <c r="Q68" s="269"/>
    </row>
    <row r="69" spans="2:17" ht="13.5" thickBot="1" x14ac:dyDescent="0.25">
      <c r="B69" s="748" t="s">
        <v>193</v>
      </c>
      <c r="C69" s="748"/>
      <c r="D69" s="748"/>
      <c r="E69" s="270">
        <f>+F69/F69</f>
        <v>1</v>
      </c>
      <c r="F69" s="271">
        <f>SUM(F61)</f>
        <v>26381.43</v>
      </c>
      <c r="G69" s="223">
        <f>+F69/$F$72</f>
        <v>0.95311915905197175</v>
      </c>
      <c r="H69" s="249"/>
      <c r="I69" s="257"/>
      <c r="K69" s="749"/>
      <c r="L69" s="750"/>
      <c r="M69" s="750"/>
      <c r="N69" s="750"/>
      <c r="O69" s="272"/>
      <c r="P69" s="273"/>
    </row>
    <row r="70" spans="2:17" ht="13.5" thickBot="1" x14ac:dyDescent="0.25">
      <c r="B70" s="751" t="s">
        <v>209</v>
      </c>
      <c r="C70" s="751"/>
      <c r="D70" s="751"/>
      <c r="E70" s="274">
        <v>0.02</v>
      </c>
      <c r="F70" s="271">
        <f>+F59*E70</f>
        <v>527.61699999999996</v>
      </c>
      <c r="G70" s="223">
        <f>+F70/$F$72</f>
        <v>1.9061964091466009E-2</v>
      </c>
      <c r="H70" s="235"/>
      <c r="I70" s="257"/>
      <c r="J70" s="275"/>
      <c r="O70" s="276"/>
      <c r="P70" s="233"/>
    </row>
    <row r="71" spans="2:17" ht="13.5" thickBot="1" x14ac:dyDescent="0.25">
      <c r="B71" s="752" t="s">
        <v>210</v>
      </c>
      <c r="C71" s="753"/>
      <c r="D71" s="277">
        <v>10</v>
      </c>
      <c r="E71" s="278">
        <v>77</v>
      </c>
      <c r="F71" s="271">
        <f>+E71*D71</f>
        <v>770</v>
      </c>
      <c r="G71" s="223">
        <f>+F71/$F$72</f>
        <v>2.7818876856562296E-2</v>
      </c>
      <c r="H71" s="235"/>
      <c r="I71" s="235"/>
      <c r="J71" s="225"/>
    </row>
    <row r="72" spans="2:17" ht="13.5" thickBot="1" x14ac:dyDescent="0.25">
      <c r="B72" s="754" t="s">
        <v>211</v>
      </c>
      <c r="C72" s="755"/>
      <c r="D72" s="755"/>
      <c r="E72" s="756"/>
      <c r="F72" s="248">
        <f>SUM(F69:F71)</f>
        <v>27679.046999999999</v>
      </c>
      <c r="G72" s="223">
        <f>+F72/$F$72</f>
        <v>1</v>
      </c>
      <c r="H72" s="757"/>
      <c r="I72" s="235"/>
      <c r="J72" s="225"/>
      <c r="M72" s="208" t="s">
        <v>212</v>
      </c>
    </row>
    <row r="73" spans="2:17" x14ac:dyDescent="0.2">
      <c r="C73" s="230"/>
      <c r="D73" s="230"/>
      <c r="E73" s="280"/>
      <c r="F73" s="271"/>
      <c r="G73" s="223"/>
      <c r="H73" s="757"/>
      <c r="I73" s="279"/>
      <c r="J73" s="208"/>
      <c r="M73" s="208" t="s">
        <v>213</v>
      </c>
    </row>
    <row r="74" spans="2:17" ht="13.5" thickBot="1" x14ac:dyDescent="0.25">
      <c r="B74" s="742" t="s">
        <v>214</v>
      </c>
      <c r="C74" s="742"/>
      <c r="D74" s="742"/>
      <c r="E74" s="742"/>
      <c r="F74" s="742"/>
      <c r="G74" s="223"/>
      <c r="H74" s="282"/>
      <c r="I74" s="279"/>
      <c r="J74" s="208"/>
      <c r="M74" s="208" t="s">
        <v>215</v>
      </c>
    </row>
    <row r="75" spans="2:17" ht="13.5" thickBot="1" x14ac:dyDescent="0.25">
      <c r="B75" s="283" t="s">
        <v>216</v>
      </c>
      <c r="C75" s="284">
        <f>+F59</f>
        <v>26380.85</v>
      </c>
      <c r="D75" s="284">
        <f>+D64</f>
        <v>10000</v>
      </c>
      <c r="E75" s="285">
        <f>+C75/D75</f>
        <v>2.6380849999999998</v>
      </c>
      <c r="F75" s="223"/>
      <c r="G75" s="282"/>
      <c r="H75" s="225"/>
      <c r="I75" s="282"/>
      <c r="J75" s="208"/>
    </row>
    <row r="76" spans="2:17" x14ac:dyDescent="0.2">
      <c r="B76" s="286"/>
      <c r="C76" s="287"/>
      <c r="D76" s="288"/>
      <c r="E76" s="271"/>
      <c r="F76" s="223"/>
      <c r="G76" s="282"/>
      <c r="H76" s="225"/>
      <c r="I76" s="225"/>
      <c r="J76" s="208"/>
    </row>
    <row r="77" spans="2:17" x14ac:dyDescent="0.2">
      <c r="B77" s="283" t="s">
        <v>217</v>
      </c>
      <c r="C77" s="284">
        <f>SUM(F69:F70)</f>
        <v>26909.046999999999</v>
      </c>
      <c r="D77" s="284">
        <f>+D64</f>
        <v>10000</v>
      </c>
      <c r="E77" s="289">
        <f>+C77/D77</f>
        <v>2.6909046999999999</v>
      </c>
      <c r="F77" s="223"/>
      <c r="G77" s="282"/>
      <c r="H77" s="225"/>
      <c r="I77" s="225"/>
      <c r="J77" s="208"/>
    </row>
    <row r="78" spans="2:17" x14ac:dyDescent="0.2">
      <c r="B78" s="283"/>
      <c r="C78" s="284"/>
      <c r="D78" s="284"/>
      <c r="E78" s="289"/>
      <c r="F78" s="223"/>
      <c r="G78" s="282"/>
      <c r="H78" s="225"/>
      <c r="I78" s="225"/>
      <c r="J78" s="208"/>
    </row>
    <row r="79" spans="2:17" ht="13.5" thickBot="1" x14ac:dyDescent="0.25">
      <c r="B79" s="283" t="s">
        <v>218</v>
      </c>
      <c r="C79" s="284">
        <f>+F71</f>
        <v>770</v>
      </c>
      <c r="D79" s="284">
        <f>+D64</f>
        <v>10000</v>
      </c>
      <c r="E79" s="289">
        <f>+C79/D79</f>
        <v>7.6999999999999999E-2</v>
      </c>
      <c r="F79" s="223"/>
      <c r="G79" s="282"/>
      <c r="H79" s="225"/>
      <c r="I79" s="225"/>
      <c r="J79" s="208"/>
    </row>
    <row r="80" spans="2:17" ht="13.5" thickBot="1" x14ac:dyDescent="0.25">
      <c r="B80" s="283" t="s">
        <v>219</v>
      </c>
      <c r="C80" s="284">
        <f>+F62</f>
        <v>770</v>
      </c>
      <c r="D80" s="284">
        <f>+D79</f>
        <v>10000</v>
      </c>
      <c r="E80" s="285">
        <f>+C80/D80</f>
        <v>7.6999999999999999E-2</v>
      </c>
      <c r="F80" s="223"/>
      <c r="G80" s="282"/>
      <c r="H80" s="225"/>
      <c r="I80" s="225"/>
      <c r="J80" s="208"/>
    </row>
    <row r="81" spans="1:10" ht="13.5" thickBot="1" x14ac:dyDescent="0.25">
      <c r="B81" s="247"/>
      <c r="C81" s="248"/>
      <c r="D81" s="248"/>
      <c r="E81" s="289"/>
      <c r="F81" s="223"/>
      <c r="G81" s="282"/>
      <c r="H81" s="225"/>
      <c r="I81" s="225"/>
      <c r="J81" s="208"/>
    </row>
    <row r="82" spans="1:10" ht="13.5" thickBot="1" x14ac:dyDescent="0.25">
      <c r="B82" s="283" t="s">
        <v>220</v>
      </c>
      <c r="C82" s="284">
        <f>+F60</f>
        <v>0.57999999999999996</v>
      </c>
      <c r="D82" s="284">
        <f>+D80</f>
        <v>10000</v>
      </c>
      <c r="E82" s="285">
        <f>+C82/D82</f>
        <v>5.7999999999999994E-5</v>
      </c>
      <c r="F82" s="223"/>
      <c r="G82" s="282"/>
      <c r="H82" s="225"/>
      <c r="I82" s="225"/>
      <c r="J82" s="225"/>
    </row>
    <row r="83" spans="1:10" ht="13.5" thickBot="1" x14ac:dyDescent="0.25">
      <c r="B83" s="247"/>
      <c r="C83" s="248"/>
      <c r="D83" s="248"/>
      <c r="E83" s="289"/>
      <c r="F83" s="223"/>
      <c r="G83" s="282"/>
      <c r="H83" s="225"/>
      <c r="I83" s="225"/>
    </row>
    <row r="84" spans="1:10" ht="13.5" thickBot="1" x14ac:dyDescent="0.25">
      <c r="B84" s="743" t="s">
        <v>221</v>
      </c>
      <c r="C84" s="744"/>
      <c r="D84" s="745"/>
      <c r="E84" s="285">
        <f>+E75+E80</f>
        <v>2.7150849999999997</v>
      </c>
      <c r="G84" s="223"/>
      <c r="H84" s="282"/>
      <c r="I84" s="225"/>
      <c r="J84" s="289"/>
    </row>
    <row r="85" spans="1:10" x14ac:dyDescent="0.2">
      <c r="I85" s="282"/>
      <c r="J85" s="208"/>
    </row>
    <row r="86" spans="1:10" ht="13.5" thickBot="1" x14ac:dyDescent="0.25">
      <c r="B86" s="742" t="s">
        <v>222</v>
      </c>
      <c r="C86" s="742"/>
      <c r="D86" s="742"/>
      <c r="E86" s="742"/>
      <c r="F86" s="742"/>
      <c r="G86" s="223"/>
      <c r="H86" s="282"/>
      <c r="J86" s="208"/>
    </row>
    <row r="87" spans="1:10" ht="13.5" thickBot="1" x14ac:dyDescent="0.25">
      <c r="B87" s="283" t="s">
        <v>216</v>
      </c>
      <c r="C87" s="284">
        <f>+C75</f>
        <v>26380.85</v>
      </c>
      <c r="D87" s="284">
        <f>+D66</f>
        <v>1</v>
      </c>
      <c r="E87" s="285">
        <f>+C87/D87</f>
        <v>26380.85</v>
      </c>
      <c r="F87" s="223"/>
      <c r="G87" s="282"/>
      <c r="H87" s="225"/>
      <c r="I87" s="282"/>
      <c r="J87" s="208"/>
    </row>
    <row r="88" spans="1:10" x14ac:dyDescent="0.2">
      <c r="B88" s="286"/>
      <c r="C88" s="287"/>
      <c r="D88" s="288"/>
      <c r="E88" s="271"/>
      <c r="F88" s="223"/>
      <c r="G88" s="282"/>
      <c r="H88" s="225"/>
      <c r="I88" s="225"/>
      <c r="J88" s="208"/>
    </row>
    <row r="89" spans="1:10" x14ac:dyDescent="0.2">
      <c r="B89" s="283" t="s">
        <v>217</v>
      </c>
      <c r="C89" s="284">
        <f>+C77</f>
        <v>26909.046999999999</v>
      </c>
      <c r="D89" s="284">
        <f>+D66</f>
        <v>1</v>
      </c>
      <c r="E89" s="289">
        <f>+C89/D89</f>
        <v>26909.046999999999</v>
      </c>
      <c r="F89" s="223"/>
      <c r="G89" s="282"/>
      <c r="H89" s="225"/>
      <c r="I89" s="225"/>
      <c r="J89" s="208"/>
    </row>
    <row r="90" spans="1:10" x14ac:dyDescent="0.2">
      <c r="B90" s="283"/>
      <c r="C90" s="284"/>
      <c r="D90" s="284"/>
      <c r="E90" s="289"/>
      <c r="F90" s="223"/>
      <c r="G90" s="282"/>
      <c r="H90" s="225"/>
      <c r="I90" s="225"/>
      <c r="J90" s="208"/>
    </row>
    <row r="91" spans="1:10" ht="13.5" thickBot="1" x14ac:dyDescent="0.25">
      <c r="B91" s="283" t="s">
        <v>219</v>
      </c>
      <c r="C91" s="284">
        <f>+C79</f>
        <v>770</v>
      </c>
      <c r="D91" s="284">
        <f>+D66</f>
        <v>1</v>
      </c>
      <c r="E91" s="289">
        <f>+C91/D91</f>
        <v>770</v>
      </c>
      <c r="F91" s="291"/>
      <c r="G91" s="281"/>
      <c r="H91" s="207"/>
      <c r="I91" s="225"/>
    </row>
    <row r="92" spans="1:10" ht="13.5" thickBot="1" x14ac:dyDescent="0.25">
      <c r="B92" s="283" t="s">
        <v>219</v>
      </c>
      <c r="C92" s="284">
        <f>+C80</f>
        <v>770</v>
      </c>
      <c r="D92" s="284">
        <f>+D91</f>
        <v>1</v>
      </c>
      <c r="E92" s="285">
        <f>+C92/D92</f>
        <v>770</v>
      </c>
      <c r="F92" s="290"/>
      <c r="G92" s="281"/>
      <c r="H92" s="207"/>
      <c r="I92" s="207"/>
    </row>
    <row r="93" spans="1:10" x14ac:dyDescent="0.2">
      <c r="I93" s="207"/>
    </row>
    <row r="94" spans="1:10" x14ac:dyDescent="0.2">
      <c r="A94" s="746"/>
      <c r="B94" s="746"/>
      <c r="C94" s="292"/>
      <c r="D94" s="292"/>
      <c r="E94" s="293"/>
      <c r="G94" s="294"/>
    </row>
    <row r="95" spans="1:10" x14ac:dyDescent="0.2">
      <c r="A95" s="226"/>
      <c r="B95" s="295"/>
      <c r="C95" s="296"/>
      <c r="D95" s="296"/>
      <c r="E95" s="297"/>
      <c r="G95" s="294"/>
    </row>
    <row r="96" spans="1:10" x14ac:dyDescent="0.2">
      <c r="A96" s="226"/>
      <c r="B96" s="295"/>
      <c r="C96" s="298"/>
      <c r="D96" s="298"/>
      <c r="E96" s="226"/>
      <c r="G96" s="294"/>
    </row>
    <row r="97" spans="1:7" x14ac:dyDescent="0.2">
      <c r="A97" s="226"/>
      <c r="B97" s="295"/>
      <c r="C97" s="299"/>
      <c r="D97" s="299"/>
      <c r="E97" s="226"/>
      <c r="G97" s="294"/>
    </row>
  </sheetData>
  <mergeCells count="30">
    <mergeCell ref="K35:L35"/>
    <mergeCell ref="A4:H4"/>
    <mergeCell ref="A5:H5"/>
    <mergeCell ref="F6:G6"/>
    <mergeCell ref="K33:L33"/>
    <mergeCell ref="K34:L34"/>
    <mergeCell ref="B67:C67"/>
    <mergeCell ref="K67:N67"/>
    <mergeCell ref="K36:L36"/>
    <mergeCell ref="B59:E59"/>
    <mergeCell ref="B60:E60"/>
    <mergeCell ref="K60:N60"/>
    <mergeCell ref="B61:E61"/>
    <mergeCell ref="C62:E62"/>
    <mergeCell ref="B64:C64"/>
    <mergeCell ref="B65:C65"/>
    <mergeCell ref="M65:N65"/>
    <mergeCell ref="B66:C66"/>
    <mergeCell ref="L66:M66"/>
    <mergeCell ref="B74:F74"/>
    <mergeCell ref="B84:D84"/>
    <mergeCell ref="B86:F86"/>
    <mergeCell ref="A94:B94"/>
    <mergeCell ref="L68:N68"/>
    <mergeCell ref="B69:D69"/>
    <mergeCell ref="K69:N69"/>
    <mergeCell ref="B70:D70"/>
    <mergeCell ref="B71:C71"/>
    <mergeCell ref="B72:E72"/>
    <mergeCell ref="H72:H7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FD7FD2-EF87-454A-9D01-D7232D40F5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EE103A-F7FE-45FC-82DE-06732A403E4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56548941-1FD5-4104-9239-4B50EF8AE8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25</vt:i4>
      </vt:variant>
      <vt:variant>
        <vt:lpstr>Rangos con nombre</vt:lpstr>
      </vt:variant>
      <vt:variant>
        <vt:i4>5</vt:i4>
      </vt:variant>
    </vt:vector>
  </HeadingPairs>
  <TitlesOfParts>
    <vt:vector size="30" baseType="lpstr">
      <vt:lpstr>Ensamble Industria</vt:lpstr>
      <vt:lpstr>Ensamble 2 Industria </vt:lpstr>
      <vt:lpstr>Ensamble Industria 3</vt:lpstr>
      <vt:lpstr>ENSAMBLE INDUSTRIA 4</vt:lpstr>
      <vt:lpstr>Costo Ensamble Industria</vt:lpstr>
      <vt:lpstr>Ensamble Local</vt:lpstr>
      <vt:lpstr>Ensamble local 2</vt:lpstr>
      <vt:lpstr>Ensamble Local 3</vt:lpstr>
      <vt:lpstr>Ensamble Local 4</vt:lpstr>
      <vt:lpstr>Base de Galleta Cheese cake </vt:lpstr>
      <vt:lpstr>Costo ensamble local</vt:lpstr>
      <vt:lpstr>Corte Galleta Chilena </vt:lpstr>
      <vt:lpstr>Pasta Torta Chilena </vt:lpstr>
      <vt:lpstr>Premezcla pasta Chilena </vt:lpstr>
      <vt:lpstr>Crema Dulce Leche</vt:lpstr>
      <vt:lpstr>Topping caramelo pecana</vt:lpstr>
      <vt:lpstr>Costo Topping caramelo pecana </vt:lpstr>
      <vt:lpstr>Salsa caramelo</vt:lpstr>
      <vt:lpstr>Costo Salsa Caramelo</vt:lpstr>
      <vt:lpstr>Costo Pecana Tostada</vt:lpstr>
      <vt:lpstr>RELLENO PIE PECANAS</vt:lpstr>
      <vt:lpstr>Costo relleno pie pecanas</vt:lpstr>
      <vt:lpstr>RELLENO CK Y MANJAR</vt:lpstr>
      <vt:lpstr>Costo relleno CK y Manjar </vt:lpstr>
      <vt:lpstr>Costo Relleno CK Premium</vt:lpstr>
      <vt:lpstr>'Ensamble Industria'!Área_de_impresión</vt:lpstr>
      <vt:lpstr>'RELLENO CK Y MANJAR'!Área_de_impresión</vt:lpstr>
      <vt:lpstr>'RELLENO PIE PECANAS'!Área_de_impresión</vt:lpstr>
      <vt:lpstr>'Salsa caramelo'!Área_de_impresión</vt:lpstr>
      <vt:lpstr>'Topping caramelo pecana'!Área_de_impresión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Allan Brenes</cp:lastModifiedBy>
  <cp:lastPrinted>2025-06-23T15:06:53Z</cp:lastPrinted>
  <dcterms:created xsi:type="dcterms:W3CDTF">2021-04-28T17:47:57Z</dcterms:created>
  <dcterms:modified xsi:type="dcterms:W3CDTF">2025-06-23T15:08:10Z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417600</vt:r8>
  </property>
  <property fmtid="{D5CDD505-2E9C-101B-9397-08002B2CF9AE}" pid="4" name="MediaServiceImageTags">
    <vt:lpwstr/>
  </property>
</Properties>
</file>
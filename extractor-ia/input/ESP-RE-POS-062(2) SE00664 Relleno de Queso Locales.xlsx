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B56B2BC8-0C37-4F2C-BDA5-2C9AE5A64297}" xr6:coauthVersionLast="47" xr6:coauthVersionMax="47" xr10:uidLastSave="{ECC875AC-BD65-4BF1-93E9-EE3B7EB9C8B4}"/>
  <bookViews>
    <workbookView xWindow="-120" yWindow="-120" windowWidth="29040" windowHeight="15840" xr2:uid="{5513FF0E-DD4E-4FAD-B482-65F2FCAE0743}"/>
  </bookViews>
  <sheets>
    <sheet name="Relleno de Queso" sheetId="2" r:id="rId1"/>
    <sheet name="Costo relleno de queso" sheetId="4" state="hidden" r:id="rId2"/>
    <sheet name="Empaque" sheetId="3" state="hidden" r:id="rId3"/>
    <sheet name="Costo Empaque " sheetId="5" state="hidden" r:id="rId4"/>
  </sheets>
  <externalReferences>
    <externalReference r:id="rId5"/>
    <externalReference r:id="rId6"/>
  </externalReferences>
  <definedNames>
    <definedName name="_xlnm.Print_Area" localSheetId="0">'Relleno de Queso'!$A$1:$I$38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K19" i="2"/>
  <c r="K18" i="2"/>
  <c r="K17" i="2"/>
  <c r="K16" i="2"/>
  <c r="K15" i="2"/>
  <c r="K13" i="2"/>
  <c r="K12" i="2"/>
  <c r="K11" i="2"/>
  <c r="J19" i="2"/>
  <c r="J18" i="2"/>
  <c r="J17" i="2"/>
  <c r="J16" i="2"/>
  <c r="J15" i="2"/>
  <c r="J14" i="2"/>
  <c r="J13" i="2"/>
  <c r="J12" i="2"/>
  <c r="J11" i="2"/>
  <c r="K10" i="2"/>
  <c r="J10" i="2"/>
  <c r="D73" i="5"/>
  <c r="D74" i="5"/>
  <c r="D76" i="5"/>
  <c r="D71" i="5"/>
  <c r="D69" i="5"/>
  <c r="F65" i="5"/>
  <c r="E51" i="5"/>
  <c r="F51" i="5"/>
  <c r="D60" i="5"/>
  <c r="D85" i="5"/>
  <c r="D86" i="5"/>
  <c r="C51" i="5"/>
  <c r="E50" i="5"/>
  <c r="D50" i="5"/>
  <c r="B50" i="5"/>
  <c r="E49" i="5"/>
  <c r="F49" i="5"/>
  <c r="D49" i="5"/>
  <c r="B49" i="5"/>
  <c r="A49" i="5"/>
  <c r="C49" i="5"/>
  <c r="E48" i="5"/>
  <c r="D48" i="5"/>
  <c r="B48" i="5"/>
  <c r="E47" i="5"/>
  <c r="D47" i="5"/>
  <c r="B47" i="5"/>
  <c r="E46" i="5"/>
  <c r="F46" i="5"/>
  <c r="D46" i="5"/>
  <c r="B46" i="5"/>
  <c r="E45" i="5"/>
  <c r="D45" i="5"/>
  <c r="B45" i="5"/>
  <c r="A45" i="5"/>
  <c r="C45" i="5"/>
  <c r="E41" i="5"/>
  <c r="D41" i="5"/>
  <c r="C41" i="5"/>
  <c r="B41" i="5"/>
  <c r="A41" i="5"/>
  <c r="A50" i="5"/>
  <c r="C50" i="5"/>
  <c r="F50" i="5"/>
  <c r="E40" i="5"/>
  <c r="D40" i="5"/>
  <c r="B40" i="5"/>
  <c r="A40" i="5"/>
  <c r="C40" i="5"/>
  <c r="E39" i="5"/>
  <c r="D39" i="5"/>
  <c r="B39" i="5"/>
  <c r="A39" i="5"/>
  <c r="C39" i="5"/>
  <c r="E38" i="5"/>
  <c r="D38" i="5"/>
  <c r="B38" i="5"/>
  <c r="A38" i="5"/>
  <c r="C38" i="5"/>
  <c r="E37" i="5"/>
  <c r="D37" i="5"/>
  <c r="B37" i="5"/>
  <c r="A37" i="5"/>
  <c r="A46" i="5"/>
  <c r="C46" i="5"/>
  <c r="E36" i="5"/>
  <c r="F36" i="5"/>
  <c r="D36" i="5"/>
  <c r="C36" i="5"/>
  <c r="B36" i="5"/>
  <c r="A36" i="5"/>
  <c r="A35" i="5"/>
  <c r="C35" i="5"/>
  <c r="E32" i="5"/>
  <c r="F32" i="5"/>
  <c r="D32" i="5"/>
  <c r="C32" i="5"/>
  <c r="B32" i="5"/>
  <c r="E31" i="5"/>
  <c r="F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F27" i="5"/>
  <c r="D27" i="5"/>
  <c r="C27" i="5"/>
  <c r="B27" i="5"/>
  <c r="E24" i="5"/>
  <c r="F24" i="5"/>
  <c r="D24" i="5"/>
  <c r="C24" i="5"/>
  <c r="B24" i="5"/>
  <c r="E23" i="5"/>
  <c r="F23" i="5"/>
  <c r="D23" i="5"/>
  <c r="C23" i="5"/>
  <c r="B23" i="5"/>
  <c r="E22" i="5"/>
  <c r="F22" i="5"/>
  <c r="D22" i="5"/>
  <c r="C22" i="5"/>
  <c r="B22" i="5"/>
  <c r="E21" i="5"/>
  <c r="F21" i="5"/>
  <c r="D21" i="5"/>
  <c r="C21" i="5"/>
  <c r="B21" i="5"/>
  <c r="E20" i="5"/>
  <c r="F20" i="5"/>
  <c r="D20" i="5"/>
  <c r="C20" i="5"/>
  <c r="B20" i="5"/>
  <c r="E19" i="5"/>
  <c r="F19" i="5"/>
  <c r="D19" i="5"/>
  <c r="C19" i="5"/>
  <c r="B19" i="5"/>
  <c r="E18" i="5"/>
  <c r="F18" i="5"/>
  <c r="D18" i="5"/>
  <c r="C18" i="5"/>
  <c r="B18" i="5"/>
  <c r="C17" i="5"/>
  <c r="B15" i="5"/>
  <c r="E14" i="5"/>
  <c r="D14" i="5"/>
  <c r="C14" i="5"/>
  <c r="B14" i="5"/>
  <c r="E13" i="5"/>
  <c r="F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F8" i="5"/>
  <c r="D8" i="5"/>
  <c r="C8" i="5"/>
  <c r="B8" i="5"/>
  <c r="H6" i="5"/>
  <c r="D73" i="4"/>
  <c r="D74" i="4"/>
  <c r="D76" i="4"/>
  <c r="D71" i="4"/>
  <c r="D69" i="4"/>
  <c r="F65" i="4"/>
  <c r="E51" i="4"/>
  <c r="F51" i="4"/>
  <c r="D60" i="4"/>
  <c r="D85" i="4"/>
  <c r="D86" i="4"/>
  <c r="C51" i="4"/>
  <c r="E50" i="4"/>
  <c r="D50" i="4"/>
  <c r="B50" i="4"/>
  <c r="E49" i="4"/>
  <c r="F49" i="4"/>
  <c r="D49" i="4"/>
  <c r="B49" i="4"/>
  <c r="A49" i="4"/>
  <c r="C49" i="4"/>
  <c r="E48" i="4"/>
  <c r="F48" i="4"/>
  <c r="D48" i="4"/>
  <c r="B48" i="4"/>
  <c r="E47" i="4"/>
  <c r="D47" i="4"/>
  <c r="B47" i="4"/>
  <c r="E46" i="4"/>
  <c r="D46" i="4"/>
  <c r="B46" i="4"/>
  <c r="E45" i="4"/>
  <c r="D45" i="4"/>
  <c r="B45" i="4"/>
  <c r="A45" i="4"/>
  <c r="C45" i="4"/>
  <c r="E44" i="4"/>
  <c r="D44" i="4"/>
  <c r="B44" i="4"/>
  <c r="E41" i="4"/>
  <c r="D41" i="4"/>
  <c r="B41" i="4"/>
  <c r="A41" i="4"/>
  <c r="A50" i="4"/>
  <c r="C50" i="4"/>
  <c r="E40" i="4"/>
  <c r="D40" i="4"/>
  <c r="C40" i="4"/>
  <c r="B40" i="4"/>
  <c r="A40" i="4"/>
  <c r="E39" i="4"/>
  <c r="D39" i="4"/>
  <c r="B39" i="4"/>
  <c r="A39" i="4"/>
  <c r="C39" i="4"/>
  <c r="E38" i="4"/>
  <c r="D38" i="4"/>
  <c r="B38" i="4"/>
  <c r="A38" i="4"/>
  <c r="C38" i="4"/>
  <c r="E37" i="4"/>
  <c r="F37" i="4"/>
  <c r="D37" i="4"/>
  <c r="B37" i="4"/>
  <c r="A37" i="4"/>
  <c r="A46" i="4"/>
  <c r="C46" i="4"/>
  <c r="E36" i="4"/>
  <c r="F36" i="4"/>
  <c r="D36" i="4"/>
  <c r="C36" i="4"/>
  <c r="B36" i="4"/>
  <c r="A36" i="4"/>
  <c r="E35" i="4"/>
  <c r="F35" i="4"/>
  <c r="D35" i="4"/>
  <c r="B35" i="4"/>
  <c r="A35" i="4"/>
  <c r="C35" i="4"/>
  <c r="E32" i="4"/>
  <c r="F32" i="4"/>
  <c r="D32" i="4"/>
  <c r="C32" i="4"/>
  <c r="B32" i="4"/>
  <c r="E31" i="4"/>
  <c r="F31" i="4"/>
  <c r="D31" i="4"/>
  <c r="C31" i="4"/>
  <c r="B31" i="4"/>
  <c r="E30" i="4"/>
  <c r="F30" i="4"/>
  <c r="D30" i="4"/>
  <c r="C30" i="4"/>
  <c r="B30" i="4"/>
  <c r="E29" i="4"/>
  <c r="F29" i="4"/>
  <c r="D29" i="4"/>
  <c r="C29" i="4"/>
  <c r="B29" i="4"/>
  <c r="E28" i="4"/>
  <c r="F28" i="4"/>
  <c r="D28" i="4"/>
  <c r="C28" i="4"/>
  <c r="B28" i="4"/>
  <c r="E27" i="4"/>
  <c r="F27" i="4"/>
  <c r="D27" i="4"/>
  <c r="C27" i="4"/>
  <c r="B27" i="4"/>
  <c r="E24" i="4"/>
  <c r="F24" i="4"/>
  <c r="D24" i="4"/>
  <c r="C24" i="4"/>
  <c r="B24" i="4"/>
  <c r="E23" i="4"/>
  <c r="F23" i="4"/>
  <c r="D23" i="4"/>
  <c r="C23" i="4"/>
  <c r="B23" i="4"/>
  <c r="E22" i="4"/>
  <c r="F22" i="4"/>
  <c r="D22" i="4"/>
  <c r="C22" i="4"/>
  <c r="B22" i="4"/>
  <c r="E21" i="4"/>
  <c r="F21" i="4"/>
  <c r="D21" i="4"/>
  <c r="C21" i="4"/>
  <c r="B21" i="4"/>
  <c r="E20" i="4"/>
  <c r="F20" i="4"/>
  <c r="D20" i="4"/>
  <c r="C20" i="4"/>
  <c r="B20" i="4"/>
  <c r="E19" i="4"/>
  <c r="F19" i="4"/>
  <c r="D19" i="4"/>
  <c r="C19" i="4"/>
  <c r="B19" i="4"/>
  <c r="E18" i="4"/>
  <c r="F18" i="4"/>
  <c r="D18" i="4"/>
  <c r="C18" i="4"/>
  <c r="B18" i="4"/>
  <c r="F17" i="4"/>
  <c r="D17" i="4"/>
  <c r="C17" i="4"/>
  <c r="B17" i="4"/>
  <c r="B15" i="4"/>
  <c r="E14" i="4"/>
  <c r="F14" i="4"/>
  <c r="D14" i="4"/>
  <c r="C14" i="4"/>
  <c r="B14" i="4"/>
  <c r="D13" i="4"/>
  <c r="C13" i="4"/>
  <c r="B13" i="4"/>
  <c r="D12" i="4"/>
  <c r="C12" i="4"/>
  <c r="B12" i="4"/>
  <c r="D11" i="4"/>
  <c r="C11" i="4"/>
  <c r="F11" i="4"/>
  <c r="B11" i="4"/>
  <c r="D10" i="4"/>
  <c r="C10" i="4"/>
  <c r="B10" i="4"/>
  <c r="D9" i="4"/>
  <c r="C9" i="4"/>
  <c r="F9" i="4"/>
  <c r="B9" i="4"/>
  <c r="D8" i="4"/>
  <c r="C8" i="4"/>
  <c r="B8" i="4"/>
  <c r="H6" i="4"/>
  <c r="F46" i="4"/>
  <c r="F9" i="5"/>
  <c r="F11" i="5"/>
  <c r="F50" i="4"/>
  <c r="F28" i="5"/>
  <c r="D81" i="5"/>
  <c r="D83" i="5"/>
  <c r="F40" i="5"/>
  <c r="F30" i="5"/>
  <c r="F41" i="5"/>
  <c r="C37" i="5"/>
  <c r="F37" i="5"/>
  <c r="F29" i="5"/>
  <c r="F10" i="5"/>
  <c r="F12" i="5"/>
  <c r="F14" i="5"/>
  <c r="D81" i="4"/>
  <c r="D83" i="4"/>
  <c r="F40" i="4"/>
  <c r="C41" i="4"/>
  <c r="F41" i="4"/>
  <c r="C37" i="4"/>
  <c r="F12" i="4"/>
  <c r="F8" i="4"/>
  <c r="F10" i="4"/>
  <c r="F13" i="4"/>
  <c r="F47" i="5"/>
  <c r="F38" i="5"/>
  <c r="F39" i="5"/>
  <c r="F45" i="5"/>
  <c r="A44" i="5"/>
  <c r="C44" i="5"/>
  <c r="A48" i="5"/>
  <c r="C48" i="5"/>
  <c r="F48" i="5"/>
  <c r="A47" i="5"/>
  <c r="C47" i="5"/>
  <c r="C73" i="5"/>
  <c r="F38" i="4"/>
  <c r="F39" i="4"/>
  <c r="F45" i="4"/>
  <c r="A44" i="4"/>
  <c r="C44" i="4"/>
  <c r="F44" i="4"/>
  <c r="F56" i="4"/>
  <c r="A48" i="4"/>
  <c r="C48" i="4"/>
  <c r="A47" i="4"/>
  <c r="C47" i="4"/>
  <c r="F47" i="4"/>
  <c r="C73" i="4"/>
  <c r="E73" i="5"/>
  <c r="C85" i="5"/>
  <c r="E85" i="5"/>
  <c r="E73" i="4"/>
  <c r="C85" i="4"/>
  <c r="E85" i="4"/>
  <c r="D25" i="3"/>
  <c r="E14" i="2"/>
  <c r="E13" i="2"/>
  <c r="E12" i="2"/>
  <c r="E10" i="2"/>
  <c r="E11" i="2"/>
  <c r="E16" i="2"/>
  <c r="E15" i="2"/>
  <c r="D26" i="2"/>
  <c r="F53" i="4"/>
  <c r="C74" i="4"/>
  <c r="F54" i="4"/>
  <c r="H56" i="4"/>
  <c r="H2" i="4"/>
  <c r="O55" i="4"/>
  <c r="H58" i="4"/>
  <c r="H59" i="4"/>
  <c r="O58" i="4"/>
  <c r="H54" i="4"/>
  <c r="G2" i="4"/>
  <c r="C76" i="4"/>
  <c r="E76" i="4"/>
  <c r="E35" i="5"/>
  <c r="F35" i="5"/>
  <c r="E74" i="4"/>
  <c r="E44" i="5"/>
  <c r="F44" i="5"/>
  <c r="C86" i="4"/>
  <c r="E86" i="4"/>
  <c r="F55" i="4"/>
  <c r="F64" i="4"/>
  <c r="H53" i="4"/>
  <c r="F2" i="4"/>
  <c r="C69" i="4"/>
  <c r="F56" i="5"/>
  <c r="E69" i="4"/>
  <c r="C81" i="4"/>
  <c r="E81" i="4"/>
  <c r="H55" i="4"/>
  <c r="F63" i="4"/>
  <c r="O54" i="4"/>
  <c r="F54" i="5"/>
  <c r="O56" i="4"/>
  <c r="O57" i="4"/>
  <c r="O59" i="4"/>
  <c r="E17" i="5"/>
  <c r="F17" i="5"/>
  <c r="E78" i="4"/>
  <c r="H54" i="5"/>
  <c r="G2" i="5"/>
  <c r="C76" i="5"/>
  <c r="E76" i="5"/>
  <c r="C71" i="4"/>
  <c r="E63" i="4"/>
  <c r="F66" i="4"/>
  <c r="H56" i="5"/>
  <c r="C74" i="5"/>
  <c r="O60" i="4"/>
  <c r="O61" i="4"/>
  <c r="O62" i="4"/>
  <c r="G66" i="4"/>
  <c r="G17" i="4"/>
  <c r="G65" i="4"/>
  <c r="G10" i="4"/>
  <c r="G51" i="4"/>
  <c r="G47" i="4"/>
  <c r="G9" i="4"/>
  <c r="G12" i="4"/>
  <c r="G27" i="4"/>
  <c r="G24" i="4"/>
  <c r="G11" i="4"/>
  <c r="G32" i="4"/>
  <c r="G37" i="4"/>
  <c r="G23" i="4"/>
  <c r="G18" i="4"/>
  <c r="G29" i="4"/>
  <c r="G8" i="4"/>
  <c r="G13" i="4"/>
  <c r="G19" i="4"/>
  <c r="G48" i="4"/>
  <c r="G28" i="4"/>
  <c r="G20" i="4"/>
  <c r="G46" i="4"/>
  <c r="G40" i="4"/>
  <c r="G38" i="4"/>
  <c r="G44" i="4"/>
  <c r="G21" i="4"/>
  <c r="G45" i="4"/>
  <c r="G14" i="4"/>
  <c r="G39" i="4"/>
  <c r="G22" i="4"/>
  <c r="G41" i="4"/>
  <c r="G30" i="4"/>
  <c r="G36" i="4"/>
  <c r="G31" i="4"/>
  <c r="G56" i="4"/>
  <c r="G35" i="4"/>
  <c r="G50" i="4"/>
  <c r="G49" i="4"/>
  <c r="G54" i="4"/>
  <c r="G53" i="4"/>
  <c r="G55" i="4"/>
  <c r="G64" i="4"/>
  <c r="F53" i="5"/>
  <c r="E71" i="4"/>
  <c r="C83" i="4"/>
  <c r="E83" i="4"/>
  <c r="C86" i="5"/>
  <c r="E86" i="5"/>
  <c r="E74" i="5"/>
  <c r="G63" i="4"/>
  <c r="H58" i="5"/>
  <c r="H59" i="5"/>
  <c r="O58" i="5"/>
  <c r="O55" i="5"/>
  <c r="H2" i="5"/>
  <c r="P62" i="4"/>
  <c r="E2" i="4"/>
  <c r="H53" i="5"/>
  <c r="F2" i="5"/>
  <c r="C69" i="5"/>
  <c r="F55" i="5"/>
  <c r="F64" i="5"/>
  <c r="E69" i="5"/>
  <c r="E78" i="5"/>
  <c r="C81" i="5"/>
  <c r="E81" i="5"/>
  <c r="H55" i="5"/>
  <c r="O54" i="5"/>
  <c r="F63" i="5"/>
  <c r="C71" i="5"/>
  <c r="E63" i="5"/>
  <c r="F66" i="5"/>
  <c r="O56" i="5"/>
  <c r="O57" i="5"/>
  <c r="O59" i="5"/>
  <c r="O60" i="5"/>
  <c r="O61" i="5"/>
  <c r="O62" i="5"/>
  <c r="G66" i="5"/>
  <c r="G45" i="5"/>
  <c r="G31" i="5"/>
  <c r="G46" i="5"/>
  <c r="G39" i="5"/>
  <c r="G65" i="5"/>
  <c r="G20" i="5"/>
  <c r="G8" i="5"/>
  <c r="G51" i="5"/>
  <c r="G24" i="5"/>
  <c r="G50" i="5"/>
  <c r="G21" i="5"/>
  <c r="G40" i="5"/>
  <c r="G12" i="5"/>
  <c r="G10" i="5"/>
  <c r="G22" i="5"/>
  <c r="G36" i="5"/>
  <c r="G49" i="5"/>
  <c r="G30" i="5"/>
  <c r="G47" i="5"/>
  <c r="G13" i="5"/>
  <c r="G14" i="5"/>
  <c r="G9" i="5"/>
  <c r="G41" i="5"/>
  <c r="G18" i="5"/>
  <c r="G48" i="5"/>
  <c r="G19" i="5"/>
  <c r="G23" i="5"/>
  <c r="G11" i="5"/>
  <c r="G37" i="5"/>
  <c r="G27" i="5"/>
  <c r="G32" i="5"/>
  <c r="G38" i="5"/>
  <c r="G28" i="5"/>
  <c r="G29" i="5"/>
  <c r="G44" i="5"/>
  <c r="G35" i="5"/>
  <c r="G56" i="5"/>
  <c r="G54" i="5"/>
  <c r="G17" i="5"/>
  <c r="G53" i="5"/>
  <c r="G64" i="5"/>
  <c r="G55" i="5"/>
  <c r="G63" i="5"/>
  <c r="E71" i="5"/>
  <c r="C83" i="5"/>
  <c r="E83" i="5"/>
  <c r="E2" i="5"/>
  <c r="P62" i="5"/>
</calcChain>
</file>

<file path=xl/sharedStrings.xml><?xml version="1.0" encoding="utf-8"?>
<sst xmlns="http://schemas.openxmlformats.org/spreadsheetml/2006/main" count="349" uniqueCount="150">
  <si>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</si>
  <si>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</si>
  <si>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</si>
  <si>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</si>
  <si>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</si>
  <si>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</si>
  <si>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</si>
  <si>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</si>
  <si>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</si>
  <si>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</si>
  <si>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</si>
  <si>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</si>
  <si>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</si>
  <si>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</si>
  <si>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</si>
  <si>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</si>
  <si>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</si>
  <si>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</si>
  <si>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</si>
  <si>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</si>
  <si>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</si>
  <si>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</si>
  <si>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</si>
  <si>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Tiempo de Horneo</t>
  </si>
  <si>
    <t>Horno:</t>
  </si>
  <si>
    <t>Temperatura de Horneo</t>
  </si>
  <si>
    <r>
      <rPr>
        <b/>
        <sz val="10"/>
        <rFont val="Century Gothic"/>
        <family val="2"/>
      </rPr>
      <t>Otros:</t>
    </r>
    <r>
      <rPr>
        <sz val="10"/>
        <rFont val="Century Gothic"/>
        <family val="2"/>
      </rPr>
      <t xml:space="preserve">  </t>
    </r>
  </si>
  <si>
    <t>Dos Pinos</t>
  </si>
  <si>
    <t>Nestle</t>
  </si>
  <si>
    <t>Ciabata</t>
  </si>
  <si>
    <t>Mayca</t>
  </si>
  <si>
    <t>1212410</t>
  </si>
  <si>
    <t>PRESERVANTE 1047S KILO</t>
  </si>
  <si>
    <t>Aseal</t>
  </si>
  <si>
    <t>95717</t>
  </si>
  <si>
    <t>CREMA CHANTILLY BLANCA (SPOON-IND)</t>
  </si>
  <si>
    <t>4.- Bajar del batidor y dosificar acorde a la necesidad inmediatamente.</t>
  </si>
  <si>
    <t>CONTROL DE CAMBIOS</t>
  </si>
  <si>
    <t>1730660</t>
  </si>
  <si>
    <t>QUESO CREMA PANADERO (CAJA: 5 K)</t>
  </si>
  <si>
    <t>11400046</t>
  </si>
  <si>
    <t>LECHE CONDENSADA (PAQ:11 K)</t>
  </si>
  <si>
    <t>101000073</t>
  </si>
  <si>
    <t>AZUCAR GLASS MOLIDA (PAQ: 4 K)</t>
  </si>
  <si>
    <t>FAS</t>
  </si>
  <si>
    <t># Codigo Netsuite</t>
  </si>
  <si>
    <t>MP10046</t>
  </si>
  <si>
    <t>MP10050</t>
  </si>
  <si>
    <t>MP10041</t>
  </si>
  <si>
    <t>MP10008</t>
  </si>
  <si>
    <t>SE00010</t>
  </si>
  <si>
    <t>Relleno de Queso Locales 160 g</t>
  </si>
  <si>
    <t>Esteban Cartin, Gte de Manufactura</t>
  </si>
  <si>
    <t xml:space="preserve">Jose Brizuela,Chef </t>
  </si>
  <si>
    <t>MP10224</t>
  </si>
  <si>
    <t>Jugo Limon</t>
  </si>
  <si>
    <t>MP10239</t>
  </si>
  <si>
    <t>Limon En Polvo</t>
  </si>
  <si>
    <t xml:space="preserve">2-Unir el azucar en polvo con con el limon en polvo y preservante agregar a la mezcla anterior mezclar por 2 minutos hasta imcorporar uniformemente </t>
  </si>
  <si>
    <t>3-Agregar la Crema Chantilly Blanca y mezclr hasta que la mezcla este uniforme por el lapso de 3 minutos a velocidad 2</t>
  </si>
  <si>
    <t xml:space="preserve">1-Crema el Queso Crema con el Batidor de Globo , junto con la Condensada , el Jugo Limon a velocidad 1 por 3 minutos </t>
  </si>
  <si>
    <t xml:space="preserve">5-Colocar en la Tina y Etiquetar y Fechar </t>
  </si>
  <si>
    <t>EM10259</t>
  </si>
  <si>
    <t>PLAST. AUTOAD 18 * 2000</t>
  </si>
  <si>
    <t>0702069</t>
  </si>
  <si>
    <t>EM10002</t>
  </si>
  <si>
    <t>ETIQ.BLANCA 1 1/4 * 3/4</t>
  </si>
  <si>
    <t>Cemusa</t>
  </si>
  <si>
    <t>cm</t>
  </si>
  <si>
    <t>ud</t>
  </si>
  <si>
    <t xml:space="preserve">Empaque </t>
  </si>
  <si>
    <t>1950904</t>
  </si>
  <si>
    <t>EM10044</t>
  </si>
  <si>
    <t>BOLSA AL 6x10x4</t>
  </si>
  <si>
    <t>Etiplast</t>
  </si>
  <si>
    <t>0702007</t>
  </si>
  <si>
    <t>EM10004</t>
  </si>
  <si>
    <t>ETIQ.FECHA VENCIMIENTO BLANCO</t>
  </si>
  <si>
    <t>EM10005</t>
  </si>
  <si>
    <t xml:space="preserve">1-Empacar 160  g de Relleno de Queso Locales en la Bolsa 6 x 10 y hacer nudo </t>
  </si>
  <si>
    <t xml:space="preserve">2-Fechar,Etiquetar ,y colocar fecha de Vencimiento </t>
  </si>
  <si>
    <t>Emsamble</t>
  </si>
  <si>
    <t xml:space="preserve">6-Enviar a empaque </t>
  </si>
  <si>
    <t>AREA QUE PRODUCE:</t>
  </si>
  <si>
    <t xml:space="preserve">AREA QUE EMPACA: </t>
  </si>
  <si>
    <t>Postres</t>
  </si>
  <si>
    <t>Empaque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</si>
  <si>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</si>
  <si>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</si>
  <si>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</si>
  <si>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</si>
  <si>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</si>
  <si>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</si>
  <si>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</si>
  <si>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</si>
  <si>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</si>
  <si>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</si>
  <si>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</si>
  <si>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</si>
  <si>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</si>
  <si>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</si>
  <si>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</si>
  <si>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</si>
  <si>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</si>
  <si>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</si>
  <si>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</si>
  <si>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</si>
  <si>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</si>
  <si>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</si>
  <si>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</si>
  <si>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</si>
  <si>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</si>
  <si>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</si>
  <si>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</si>
  <si>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</si>
  <si>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</si>
  <si>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</si>
  <si>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</si>
  <si>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</si>
  <si>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</si>
  <si>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</si>
  <si>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</si>
  <si>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</si>
  <si>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</si>
  <si>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</si>
  <si>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</si>
  <si>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</si>
  <si>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</si>
  <si>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</si>
  <si>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</si>
  <si>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</si>
  <si>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</si>
  <si>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</si>
  <si>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</si>
  <si>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</si>
  <si>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</si>
  <si>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</si>
  <si>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</si>
  <si>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</si>
  <si>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102000035</t>
  </si>
  <si>
    <t>0101132</t>
  </si>
  <si>
    <t>512000002</t>
  </si>
  <si>
    <t>Gramos</t>
  </si>
  <si>
    <t>SE00664</t>
  </si>
  <si>
    <t>PTL00222 ( 20500054) Empaque Relleno de Queso Locales 160 g</t>
  </si>
  <si>
    <t>ESP-RE-POS-062</t>
  </si>
  <si>
    <t>2, Cambio de limon liquido</t>
  </si>
  <si>
    <t>Javier Tong, chef</t>
  </si>
  <si>
    <t xml:space="preserve"> SE00664 Relleno de Queso Locales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</si>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</sst>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5" formatCode="_(* #,##0_);_(* \(#,##0\);_(* &quot;-&quot;_);_(@_)"/>
    <numFmt numFmtId="177" formatCode="_(* #,##0.00_);_(* \(#,##0.00\);_(* &quot;-&quot;??_);_(@_)"/>
    <numFmt numFmtId="179" formatCode="&quot;$&quot;#,##0_);[Red]\(&quot;$&quot;#,##0\)"/>
    <numFmt numFmtId="184" formatCode="0.000"/>
    <numFmt numFmtId="186" formatCode="[$-409]d\-mmm\-yy;@"/>
    <numFmt numFmtId="187" formatCode="_-* #,##0.0\ _€_-;\-* #,##0.0\ _€_-;_-* &quot;-&quot;??\ _€_-;_-@_-"/>
  </numFmts>
  <fonts count="49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0"/>
      <name val="Century Gothic"/>
      <family val="2"/>
    </font>
    <font>
      <b/>
      <sz val="14"/>
      <name val="Arial"/>
      <family val="2"/>
    </font>
    <font>
      <b/>
      <u/>
      <sz val="10"/>
      <name val="Tahoma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77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310">
    <xf numFmtId="0" fontId="0" fillId="0" borderId="0" xfId="0"/>
    <xf numFmtId="0" fontId="4" fillId="2" borderId="0" xfId="0" applyFont="1" applyFill="1"/>
    <xf numFmtId="0" fontId="5" fillId="2" borderId="1" xfId="6" applyFont="1" applyFill="1" applyBorder="1" applyAlignment="1">
      <alignment horizontal="right"/>
    </xf>
    <xf numFmtId="0" fontId="5" fillId="2" borderId="2" xfId="6" applyFont="1" applyFill="1" applyBorder="1" applyAlignment="1">
      <alignment horizontal="right"/>
    </xf>
    <xf numFmtId="0" fontId="4" fillId="2" borderId="3" xfId="6" applyFont="1" applyFill="1" applyBorder="1" applyAlignment="1">
      <alignment horizontal="right"/>
    </xf>
    <xf numFmtId="0" fontId="4" fillId="2" borderId="2" xfId="6" applyFont="1" applyFill="1" applyBorder="1" applyAlignment="1">
      <alignment horizontal="right"/>
    </xf>
    <xf numFmtId="0" fontId="4" fillId="0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49" fontId="6" fillId="2" borderId="5" xfId="0" applyNumberFormat="1" applyFont="1" applyFill="1" applyBorder="1" applyAlignment="1">
      <alignment horizontal="center" vertical="center"/>
    </xf>
    <xf numFmtId="0" fontId="4" fillId="2" borderId="0" xfId="0" applyFont="1" applyFill="1" applyBorder="1"/>
    <xf numFmtId="0" fontId="4" fillId="2" borderId="0" xfId="0" applyFont="1" applyFill="1" applyAlignment="1">
      <alignment horizontal="left" indent="1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/>
    <xf numFmtId="0" fontId="5" fillId="3" borderId="7" xfId="0" applyFont="1" applyFill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184" fontId="4" fillId="3" borderId="7" xfId="0" applyNumberFormat="1" applyFont="1" applyFill="1" applyBorder="1" applyAlignment="1">
      <alignment horizontal="center" wrapText="1"/>
    </xf>
    <xf numFmtId="0" fontId="4" fillId="3" borderId="7" xfId="0" applyFont="1" applyFill="1" applyBorder="1" applyAlignment="1"/>
    <xf numFmtId="0" fontId="4" fillId="3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9" fontId="4" fillId="2" borderId="0" xfId="8" applyFont="1" applyFill="1"/>
    <xf numFmtId="0" fontId="4" fillId="0" borderId="10" xfId="0" applyFont="1" applyFill="1" applyBorder="1" applyAlignment="1">
      <alignment horizontal="center"/>
    </xf>
    <xf numFmtId="0" fontId="6" fillId="2" borderId="0" xfId="0" applyFont="1" applyFill="1" applyAlignment="1">
      <alignment vertical="center"/>
    </xf>
    <xf numFmtId="1" fontId="11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1" fontId="4" fillId="2" borderId="0" xfId="0" applyNumberFormat="1" applyFont="1" applyFill="1" applyBorder="1" applyAlignment="1">
      <alignment horizontal="center"/>
    </xf>
    <xf numFmtId="184" fontId="4" fillId="2" borderId="0" xfId="0" applyNumberFormat="1" applyFont="1" applyFill="1" applyBorder="1" applyAlignment="1">
      <alignment horizontal="center" wrapText="1"/>
    </xf>
    <xf numFmtId="0" fontId="4" fillId="2" borderId="0" xfId="0" applyFont="1" applyFill="1" applyBorder="1" applyAlignment="1"/>
    <xf numFmtId="0" fontId="4" fillId="2" borderId="1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indent="1"/>
    </xf>
    <xf numFmtId="16" fontId="11" fillId="0" borderId="2" xfId="5" applyNumberFormat="1" applyFont="1" applyBorder="1" applyAlignment="1">
      <alignment horizontal="center"/>
    </xf>
    <xf numFmtId="0" fontId="9" fillId="0" borderId="2" xfId="5" applyNumberFormat="1" applyFont="1" applyBorder="1" applyAlignment="1">
      <alignment horizontal="center"/>
    </xf>
    <xf numFmtId="0" fontId="11" fillId="0" borderId="4" xfId="5" applyNumberFormat="1" applyFont="1" applyBorder="1" applyAlignment="1">
      <alignment horizontal="center"/>
    </xf>
    <xf numFmtId="0" fontId="11" fillId="0" borderId="0" xfId="5" applyFont="1"/>
    <xf numFmtId="0" fontId="11" fillId="0" borderId="2" xfId="5" applyFont="1" applyBorder="1" applyAlignment="1">
      <alignment horizontal="center"/>
    </xf>
    <xf numFmtId="0" fontId="9" fillId="0" borderId="2" xfId="5" applyNumberFormat="1" applyFont="1" applyBorder="1"/>
    <xf numFmtId="0" fontId="11" fillId="0" borderId="4" xfId="5" applyNumberFormat="1" applyFont="1" applyBorder="1"/>
    <xf numFmtId="0" fontId="11" fillId="0" borderId="4" xfId="5" applyFont="1" applyBorder="1" applyAlignment="1">
      <alignment horizontal="center"/>
    </xf>
    <xf numFmtId="0" fontId="13" fillId="2" borderId="12" xfId="6" applyFont="1" applyFill="1" applyBorder="1" applyAlignment="1">
      <alignment horizontal="center" vertical="center"/>
    </xf>
    <xf numFmtId="49" fontId="13" fillId="2" borderId="4" xfId="6" applyNumberFormat="1" applyFont="1" applyFill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/>
    </xf>
    <xf numFmtId="0" fontId="11" fillId="9" borderId="2" xfId="5" applyFont="1" applyFill="1" applyBorder="1" applyAlignment="1">
      <alignment horizontal="center"/>
    </xf>
    <xf numFmtId="12" fontId="11" fillId="0" borderId="2" xfId="5" applyNumberFormat="1" applyFont="1" applyBorder="1"/>
    <xf numFmtId="49" fontId="10" fillId="9" borderId="2" xfId="5" applyNumberFormat="1" applyFont="1" applyFill="1" applyBorder="1" applyAlignment="1">
      <alignment horizontal="center"/>
    </xf>
    <xf numFmtId="49" fontId="10" fillId="9" borderId="2" xfId="5" applyNumberFormat="1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49" fontId="6" fillId="2" borderId="0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1" fontId="5" fillId="3" borderId="13" xfId="0" applyNumberFormat="1" applyFont="1" applyFill="1" applyBorder="1" applyAlignment="1">
      <alignment horizontal="center"/>
    </xf>
    <xf numFmtId="1" fontId="5" fillId="3" borderId="13" xfId="0" applyNumberFormat="1" applyFont="1" applyFill="1" applyBorder="1" applyAlignment="1">
      <alignment horizontal="center" wrapText="1"/>
    </xf>
    <xf numFmtId="0" fontId="14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/>
    </xf>
    <xf numFmtId="0" fontId="14" fillId="9" borderId="2" xfId="0" applyFont="1" applyFill="1" applyBorder="1" applyAlignment="1">
      <alignment horizontal="center" vertical="top" wrapText="1"/>
    </xf>
    <xf numFmtId="0" fontId="14" fillId="9" borderId="2" xfId="0" applyFont="1" applyFill="1" applyBorder="1" applyAlignment="1">
      <alignment horizontal="left" vertical="top" wrapText="1"/>
    </xf>
    <xf numFmtId="1" fontId="0" fillId="0" borderId="2" xfId="0" applyNumberFormat="1" applyBorder="1" applyAlignment="1">
      <alignment horizontal="center"/>
    </xf>
    <xf numFmtId="16" fontId="10" fillId="0" borderId="2" xfId="0" applyNumberFormat="1" applyFont="1" applyBorder="1" applyAlignment="1">
      <alignment horizontal="center"/>
    </xf>
    <xf numFmtId="0" fontId="9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1" fontId="4" fillId="0" borderId="10" xfId="0" applyNumberFormat="1" applyFont="1" applyFill="1" applyBorder="1" applyAlignment="1">
      <alignment horizontal="center"/>
    </xf>
    <xf numFmtId="12" fontId="9" fillId="0" borderId="2" xfId="5" applyNumberFormat="1" applyFont="1" applyBorder="1" applyAlignment="1">
      <alignment horizontal="center" vertical="top"/>
    </xf>
    <xf numFmtId="0" fontId="9" fillId="0" borderId="2" xfId="5" applyNumberFormat="1" applyFont="1" applyBorder="1" applyAlignment="1">
      <alignment horizontal="center" vertical="top"/>
    </xf>
    <xf numFmtId="1" fontId="4" fillId="0" borderId="2" xfId="0" applyNumberFormat="1" applyFont="1" applyBorder="1" applyAlignment="1">
      <alignment horizontal="center" vertical="top"/>
    </xf>
    <xf numFmtId="49" fontId="10" fillId="0" borderId="2" xfId="0" applyNumberFormat="1" applyFont="1" applyBorder="1"/>
    <xf numFmtId="2" fontId="9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14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6" fontId="9" fillId="0" borderId="2" xfId="0" applyNumberFormat="1" applyFont="1" applyBorder="1" applyAlignment="1">
      <alignment horizont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1" fontId="5" fillId="0" borderId="13" xfId="0" applyNumberFormat="1" applyFont="1" applyFill="1" applyBorder="1" applyAlignment="1">
      <alignment horizontal="center"/>
    </xf>
    <xf numFmtId="1" fontId="5" fillId="0" borderId="13" xfId="0" applyNumberFormat="1" applyFont="1" applyFill="1" applyBorder="1" applyAlignment="1">
      <alignment horizontal="center" wrapText="1"/>
    </xf>
    <xf numFmtId="1" fontId="5" fillId="0" borderId="17" xfId="0" applyNumberFormat="1" applyFont="1" applyFill="1" applyBorder="1" applyAlignment="1">
      <alignment horizontal="center"/>
    </xf>
    <xf numFmtId="1" fontId="5" fillId="0" borderId="18" xfId="0" applyNumberFormat="1" applyFont="1" applyFill="1" applyBorder="1" applyAlignment="1">
      <alignment horizontal="center"/>
    </xf>
    <xf numFmtId="1" fontId="5" fillId="0" borderId="19" xfId="0" applyNumberFormat="1" applyFont="1" applyFill="1" applyBorder="1" applyAlignment="1">
      <alignment horizontal="center"/>
    </xf>
    <xf numFmtId="0" fontId="17" fillId="0" borderId="13" xfId="0" applyFont="1" applyFill="1" applyBorder="1" applyAlignment="1">
      <alignment horizontal="center" vertical="center"/>
    </xf>
    <xf numFmtId="14" fontId="47" fillId="2" borderId="11" xfId="7" applyNumberFormat="1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top" wrapText="1"/>
    </xf>
    <xf numFmtId="0" fontId="13" fillId="2" borderId="2" xfId="6" applyFont="1" applyFill="1" applyBorder="1" applyAlignment="1">
      <alignment horizontal="center" vertical="center"/>
    </xf>
    <xf numFmtId="49" fontId="13" fillId="2" borderId="2" xfId="6" applyNumberFormat="1" applyFont="1" applyFill="1" applyBorder="1" applyAlignment="1">
      <alignment horizontal="center" vertical="center"/>
    </xf>
    <xf numFmtId="0" fontId="10" fillId="9" borderId="0" xfId="0" applyFont="1" applyFill="1" applyAlignment="1">
      <alignment vertical="center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7" fontId="20" fillId="0" borderId="2" xfId="1" applyFont="1" applyFill="1" applyBorder="1" applyAlignment="1">
      <alignment horizontal="center" vertical="center"/>
    </xf>
    <xf numFmtId="177" fontId="20" fillId="0" borderId="0" xfId="1" applyFont="1" applyFill="1" applyBorder="1" applyAlignment="1">
      <alignment horizontal="center" vertical="center"/>
    </xf>
    <xf numFmtId="177" fontId="22" fillId="0" borderId="0" xfId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86" fontId="25" fillId="0" borderId="0" xfId="0" applyNumberFormat="1" applyFont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2" fontId="26" fillId="0" borderId="0" xfId="0" applyNumberFormat="1" applyFont="1" applyAlignment="1">
      <alignment horizontal="center"/>
    </xf>
    <xf numFmtId="4" fontId="26" fillId="0" borderId="0" xfId="2" applyNumberFormat="1" applyFont="1" applyFill="1" applyAlignment="1">
      <alignment horizontal="center" vertical="center"/>
    </xf>
    <xf numFmtId="4" fontId="20" fillId="0" borderId="0" xfId="2" applyNumberFormat="1" applyFont="1" applyFill="1" applyAlignment="1">
      <alignment horizontal="center" vertical="center"/>
    </xf>
    <xf numFmtId="10" fontId="20" fillId="0" borderId="0" xfId="9" applyNumberFormat="1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10" fontId="21" fillId="0" borderId="0" xfId="9" applyNumberFormat="1" applyFont="1" applyFill="1" applyAlignment="1">
      <alignment vertical="center"/>
    </xf>
    <xf numFmtId="0" fontId="10" fillId="0" borderId="0" xfId="0" applyFont="1"/>
    <xf numFmtId="49" fontId="20" fillId="0" borderId="0" xfId="0" applyNumberFormat="1" applyFont="1" applyAlignment="1">
      <alignment horizontal="center"/>
    </xf>
    <xf numFmtId="179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77" fontId="10" fillId="0" borderId="0" xfId="1" applyFont="1" applyFill="1" applyAlignment="1">
      <alignment vertical="center"/>
    </xf>
    <xf numFmtId="49" fontId="2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177" fontId="28" fillId="0" borderId="0" xfId="1" applyFont="1" applyFill="1" applyAlignment="1">
      <alignment horizontal="center" vertical="center"/>
    </xf>
    <xf numFmtId="10" fontId="21" fillId="4" borderId="23" xfId="9" applyNumberFormat="1" applyFont="1" applyFill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10" fillId="4" borderId="23" xfId="0" applyFont="1" applyFill="1" applyBorder="1" applyAlignment="1">
      <alignment vertical="center"/>
    </xf>
    <xf numFmtId="177" fontId="28" fillId="4" borderId="24" xfId="1" applyFont="1" applyFill="1" applyBorder="1" applyAlignment="1">
      <alignment horizontal="center" vertical="center"/>
    </xf>
    <xf numFmtId="177" fontId="30" fillId="0" borderId="0" xfId="1" applyFont="1" applyFill="1" applyBorder="1" applyAlignment="1">
      <alignment horizontal="right"/>
    </xf>
    <xf numFmtId="0" fontId="10" fillId="4" borderId="24" xfId="0" applyFont="1" applyFill="1" applyBorder="1" applyAlignment="1">
      <alignment vertical="center"/>
    </xf>
    <xf numFmtId="10" fontId="21" fillId="4" borderId="24" xfId="9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0" fontId="29" fillId="0" borderId="0" xfId="0" applyFont="1"/>
    <xf numFmtId="9" fontId="29" fillId="0" borderId="0" xfId="0" applyNumberFormat="1" applyFont="1"/>
    <xf numFmtId="9" fontId="48" fillId="0" borderId="0" xfId="9" applyFont="1" applyFill="1" applyAlignment="1">
      <alignment horizontal="center"/>
    </xf>
    <xf numFmtId="0" fontId="28" fillId="0" borderId="0" xfId="0" applyFont="1" applyAlignment="1">
      <alignment horizontal="right" vertical="center"/>
    </xf>
    <xf numFmtId="4" fontId="28" fillId="0" borderId="0" xfId="1" applyNumberFormat="1" applyFont="1" applyFill="1" applyAlignment="1">
      <alignment vertical="center"/>
    </xf>
    <xf numFmtId="4" fontId="28" fillId="0" borderId="0" xfId="2" applyNumberFormat="1" applyFont="1" applyAlignment="1">
      <alignment horizontal="center" vertical="center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2" fillId="0" borderId="11" xfId="0" applyFont="1" applyBorder="1" applyAlignment="1">
      <alignment horizontal="right"/>
    </xf>
    <xf numFmtId="177" fontId="33" fillId="5" borderId="25" xfId="1" applyFont="1" applyFill="1" applyBorder="1" applyAlignment="1">
      <alignment horizontal="right"/>
    </xf>
    <xf numFmtId="177" fontId="33" fillId="0" borderId="0" xfId="1" applyFont="1" applyFill="1" applyBorder="1" applyAlignment="1">
      <alignment horizontal="right"/>
    </xf>
    <xf numFmtId="177" fontId="20" fillId="0" borderId="2" xfId="1" applyFont="1" applyFill="1" applyBorder="1" applyAlignment="1">
      <alignment vertical="center"/>
    </xf>
    <xf numFmtId="0" fontId="34" fillId="0" borderId="0" xfId="0" applyFont="1" applyAlignment="1">
      <alignment horizontal="left" vertical="center"/>
    </xf>
    <xf numFmtId="4" fontId="28" fillId="0" borderId="0" xfId="2" applyNumberFormat="1" applyFont="1" applyFill="1" applyAlignment="1">
      <alignment horizontal="center" vertical="center"/>
    </xf>
    <xf numFmtId="10" fontId="35" fillId="0" borderId="0" xfId="9" applyNumberFormat="1" applyFont="1" applyFill="1" applyAlignment="1">
      <alignment horizontal="right"/>
    </xf>
    <xf numFmtId="187" fontId="20" fillId="4" borderId="2" xfId="1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177" fontId="20" fillId="6" borderId="2" xfId="1" applyFont="1" applyFill="1" applyBorder="1" applyAlignment="1">
      <alignment vertical="center"/>
    </xf>
    <xf numFmtId="177" fontId="36" fillId="0" borderId="0" xfId="0" applyNumberFormat="1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4" fontId="20" fillId="0" borderId="0" xfId="0" applyNumberFormat="1" applyFont="1" applyAlignment="1">
      <alignment horizontal="center" vertical="center"/>
    </xf>
    <xf numFmtId="0" fontId="21" fillId="4" borderId="26" xfId="0" applyFont="1" applyFill="1" applyBorder="1" applyAlignment="1">
      <alignment vertical="center"/>
    </xf>
    <xf numFmtId="0" fontId="38" fillId="0" borderId="0" xfId="0" applyFont="1" applyAlignment="1">
      <alignment vertical="center"/>
    </xf>
    <xf numFmtId="2" fontId="35" fillId="0" borderId="0" xfId="1" applyNumberFormat="1" applyFont="1" applyFill="1" applyBorder="1" applyAlignment="1">
      <alignment horizontal="center"/>
    </xf>
    <xf numFmtId="2" fontId="32" fillId="0" borderId="0" xfId="1" applyNumberFormat="1" applyFont="1" applyFill="1" applyBorder="1" applyAlignment="1">
      <alignment horizontal="center"/>
    </xf>
    <xf numFmtId="0" fontId="10" fillId="4" borderId="26" xfId="0" applyFont="1" applyFill="1" applyBorder="1" applyAlignment="1">
      <alignment vertical="center"/>
    </xf>
    <xf numFmtId="10" fontId="10" fillId="0" borderId="0" xfId="9" applyNumberFormat="1" applyFont="1" applyFill="1" applyAlignment="1">
      <alignment vertical="center"/>
    </xf>
    <xf numFmtId="4" fontId="10" fillId="0" borderId="0" xfId="1" applyNumberFormat="1" applyFont="1" applyFill="1" applyAlignment="1">
      <alignment vertical="center"/>
    </xf>
    <xf numFmtId="177" fontId="33" fillId="4" borderId="7" xfId="1" applyFont="1" applyFill="1" applyBorder="1" applyAlignment="1">
      <alignment horizontal="right"/>
    </xf>
    <xf numFmtId="0" fontId="20" fillId="4" borderId="8" xfId="0" applyFont="1" applyFill="1" applyBorder="1" applyAlignment="1">
      <alignment horizontal="right" vertical="center"/>
    </xf>
    <xf numFmtId="10" fontId="39" fillId="0" borderId="0" xfId="1" applyNumberFormat="1" applyFont="1" applyFill="1" applyAlignment="1">
      <alignment vertical="center"/>
    </xf>
    <xf numFmtId="10" fontId="21" fillId="0" borderId="0" xfId="9" applyNumberFormat="1" applyFont="1" applyFill="1" applyBorder="1" applyAlignment="1">
      <alignment vertical="center"/>
    </xf>
    <xf numFmtId="177" fontId="40" fillId="0" borderId="0" xfId="0" applyNumberFormat="1" applyFont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177" fontId="41" fillId="0" borderId="0" xfId="1" applyFont="1" applyFill="1" applyAlignment="1">
      <alignment vertical="center"/>
    </xf>
    <xf numFmtId="4" fontId="42" fillId="0" borderId="0" xfId="2" applyNumberFormat="1" applyFont="1" applyFill="1" applyAlignment="1">
      <alignment horizontal="center" vertical="center" wrapText="1"/>
    </xf>
    <xf numFmtId="9" fontId="10" fillId="0" borderId="0" xfId="1" applyNumberFormat="1" applyFont="1" applyFill="1" applyAlignment="1">
      <alignment vertical="center"/>
    </xf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 vertical="center"/>
    </xf>
    <xf numFmtId="4" fontId="27" fillId="0" borderId="0" xfId="1" applyNumberFormat="1" applyFont="1" applyFill="1" applyAlignment="1">
      <alignment vertical="center"/>
    </xf>
    <xf numFmtId="4" fontId="20" fillId="7" borderId="25" xfId="1" applyNumberFormat="1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77" fontId="43" fillId="0" borderId="0" xfId="1" applyFont="1" applyFill="1" applyAlignment="1">
      <alignment vertical="center"/>
    </xf>
    <xf numFmtId="9" fontId="43" fillId="0" borderId="0" xfId="1" applyNumberFormat="1" applyFont="1" applyFill="1" applyAlignment="1">
      <alignment vertical="center"/>
    </xf>
    <xf numFmtId="4" fontId="20" fillId="0" borderId="0" xfId="1" applyNumberFormat="1" applyFont="1" applyFill="1" applyAlignment="1">
      <alignment horizontal="center" vertical="center"/>
    </xf>
    <xf numFmtId="10" fontId="36" fillId="0" borderId="0" xfId="9" applyNumberFormat="1" applyFont="1" applyFill="1" applyAlignment="1">
      <alignment vertical="center"/>
    </xf>
    <xf numFmtId="177" fontId="36" fillId="0" borderId="0" xfId="1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177" fontId="10" fillId="0" borderId="0" xfId="1" applyFont="1" applyFill="1" applyBorder="1"/>
    <xf numFmtId="10" fontId="36" fillId="0" borderId="0" xfId="9" applyNumberFormat="1" applyFont="1" applyFill="1" applyBorder="1" applyAlignment="1">
      <alignment vertical="center"/>
    </xf>
    <xf numFmtId="0" fontId="36" fillId="0" borderId="0" xfId="0" applyFont="1" applyAlignment="1">
      <alignment horizontal="right"/>
    </xf>
    <xf numFmtId="177" fontId="10" fillId="0" borderId="0" xfId="1" applyFont="1" applyFill="1" applyBorder="1" applyAlignment="1">
      <alignment horizontal="center"/>
    </xf>
    <xf numFmtId="9" fontId="46" fillId="0" borderId="0" xfId="0" applyNumberFormat="1" applyFont="1" applyAlignment="1">
      <alignment horizontal="left"/>
    </xf>
    <xf numFmtId="4" fontId="20" fillId="0" borderId="0" xfId="0" applyNumberFormat="1" applyFont="1" applyAlignment="1">
      <alignment horizontal="center"/>
    </xf>
    <xf numFmtId="177" fontId="20" fillId="0" borderId="0" xfId="0" applyNumberFormat="1" applyFont="1"/>
    <xf numFmtId="0" fontId="11" fillId="11" borderId="0" xfId="5" applyFont="1" applyFill="1"/>
    <xf numFmtId="49" fontId="10" fillId="0" borderId="2" xfId="5" applyNumberFormat="1" applyFont="1" applyFill="1" applyBorder="1" applyAlignment="1">
      <alignment horizontal="center"/>
    </xf>
    <xf numFmtId="49" fontId="10" fillId="0" borderId="2" xfId="5" applyNumberFormat="1" applyFont="1" applyFill="1" applyBorder="1"/>
    <xf numFmtId="0" fontId="11" fillId="0" borderId="2" xfId="5" applyFont="1" applyFill="1" applyBorder="1" applyAlignment="1">
      <alignment horizontal="center"/>
    </xf>
    <xf numFmtId="0" fontId="12" fillId="0" borderId="2" xfId="5" applyFont="1" applyFill="1" applyBorder="1" applyAlignment="1">
      <alignment horizontal="center"/>
    </xf>
    <xf numFmtId="0" fontId="9" fillId="0" borderId="2" xfId="5" applyNumberFormat="1" applyFont="1" applyFill="1" applyBorder="1" applyAlignment="1">
      <alignment horizontal="center" vertical="top"/>
    </xf>
    <xf numFmtId="0" fontId="9" fillId="0" borderId="2" xfId="5" applyNumberFormat="1" applyFont="1" applyFill="1" applyBorder="1"/>
    <xf numFmtId="0" fontId="11" fillId="0" borderId="4" xfId="5" applyFont="1" applyFill="1" applyBorder="1" applyAlignment="1">
      <alignment horizontal="center"/>
    </xf>
    <xf numFmtId="0" fontId="4" fillId="2" borderId="50" xfId="6" applyFont="1" applyFill="1" applyBorder="1" applyAlignment="1">
      <alignment horizontal="center"/>
    </xf>
    <xf numFmtId="0" fontId="4" fillId="2" borderId="51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0" xfId="6" applyFont="1" applyFill="1" applyBorder="1" applyAlignment="1">
      <alignment horizontal="center"/>
    </xf>
    <xf numFmtId="0" fontId="4" fillId="2" borderId="52" xfId="6" applyFont="1" applyFill="1" applyBorder="1" applyAlignment="1">
      <alignment horizontal="center"/>
    </xf>
    <xf numFmtId="0" fontId="4" fillId="2" borderId="47" xfId="6" applyFont="1" applyFill="1" applyBorder="1" applyAlignment="1">
      <alignment horizontal="center"/>
    </xf>
    <xf numFmtId="186" fontId="13" fillId="2" borderId="53" xfId="6" applyNumberFormat="1" applyFont="1" applyFill="1" applyBorder="1" applyAlignment="1">
      <alignment horizontal="center" vertical="center" wrapText="1"/>
    </xf>
    <xf numFmtId="186" fontId="13" fillId="2" borderId="24" xfId="6" applyNumberFormat="1" applyFont="1" applyFill="1" applyBorder="1" applyAlignment="1">
      <alignment horizontal="center" vertical="center" wrapText="1"/>
    </xf>
    <xf numFmtId="0" fontId="3" fillId="2" borderId="1" xfId="6" applyFont="1" applyFill="1" applyBorder="1" applyAlignment="1">
      <alignment horizontal="center"/>
    </xf>
    <xf numFmtId="0" fontId="3" fillId="2" borderId="13" xfId="6" applyFont="1" applyFill="1" applyBorder="1" applyAlignment="1">
      <alignment horizontal="center"/>
    </xf>
    <xf numFmtId="0" fontId="7" fillId="5" borderId="6" xfId="6" applyFont="1" applyFill="1" applyBorder="1" applyAlignment="1">
      <alignment horizontal="center" vertical="center" wrapText="1"/>
    </xf>
    <xf numFmtId="0" fontId="7" fillId="5" borderId="7" xfId="6" applyFont="1" applyFill="1" applyBorder="1" applyAlignment="1">
      <alignment horizontal="center" vertical="center" wrapText="1"/>
    </xf>
    <xf numFmtId="0" fontId="7" fillId="5" borderId="8" xfId="6" applyFont="1" applyFill="1" applyBorder="1" applyAlignment="1">
      <alignment horizontal="center" vertical="center" wrapText="1"/>
    </xf>
    <xf numFmtId="0" fontId="5" fillId="2" borderId="15" xfId="6" applyFont="1" applyFill="1" applyBorder="1" applyAlignment="1">
      <alignment horizontal="right" vertical="top" wrapText="1"/>
    </xf>
    <xf numFmtId="0" fontId="5" fillId="2" borderId="54" xfId="6" applyFont="1" applyFill="1" applyBorder="1" applyAlignment="1">
      <alignment horizontal="right" vertical="top" wrapText="1"/>
    </xf>
    <xf numFmtId="0" fontId="5" fillId="2" borderId="55" xfId="6" applyFont="1" applyFill="1" applyBorder="1" applyAlignment="1">
      <alignment horizontal="right" vertical="top" wrapText="1"/>
    </xf>
    <xf numFmtId="14" fontId="4" fillId="2" borderId="56" xfId="6" applyNumberFormat="1" applyFont="1" applyFill="1" applyBorder="1" applyAlignment="1">
      <alignment horizontal="center" vertical="center" wrapText="1"/>
    </xf>
    <xf numFmtId="14" fontId="4" fillId="2" borderId="57" xfId="6" applyNumberFormat="1" applyFont="1" applyFill="1" applyBorder="1" applyAlignment="1">
      <alignment horizontal="center" vertical="center" wrapText="1"/>
    </xf>
    <xf numFmtId="0" fontId="4" fillId="2" borderId="42" xfId="6" applyFont="1" applyFill="1" applyBorder="1" applyAlignment="1">
      <alignment horizontal="left"/>
    </xf>
    <xf numFmtId="0" fontId="4" fillId="2" borderId="43" xfId="6" applyFont="1" applyFill="1" applyBorder="1" applyAlignment="1">
      <alignment horizontal="left"/>
    </xf>
    <xf numFmtId="0" fontId="4" fillId="2" borderId="58" xfId="6" applyFont="1" applyFill="1" applyBorder="1" applyAlignment="1">
      <alignment horizontal="left"/>
    </xf>
    <xf numFmtId="0" fontId="4" fillId="2" borderId="37" xfId="6" applyFont="1" applyFill="1" applyBorder="1" applyAlignment="1">
      <alignment horizontal="left"/>
    </xf>
    <xf numFmtId="0" fontId="4" fillId="2" borderId="28" xfId="6" applyFont="1" applyFill="1" applyBorder="1" applyAlignment="1">
      <alignment horizontal="left"/>
    </xf>
    <xf numFmtId="0" fontId="4" fillId="2" borderId="36" xfId="6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1" fontId="5" fillId="3" borderId="17" xfId="0" applyNumberFormat="1" applyFont="1" applyFill="1" applyBorder="1" applyAlignment="1">
      <alignment horizontal="center"/>
    </xf>
    <xf numFmtId="1" fontId="5" fillId="3" borderId="45" xfId="0" applyNumberFormat="1" applyFont="1" applyFill="1" applyBorder="1" applyAlignment="1">
      <alignment horizontal="center"/>
    </xf>
    <xf numFmtId="1" fontId="5" fillId="3" borderId="41" xfId="0" applyNumberFormat="1" applyFont="1" applyFill="1" applyBorder="1" applyAlignment="1">
      <alignment horizontal="center"/>
    </xf>
    <xf numFmtId="0" fontId="5" fillId="3" borderId="4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18" fillId="2" borderId="0" xfId="7" applyFont="1" applyFill="1"/>
    <xf numFmtId="0" fontId="18" fillId="2" borderId="5" xfId="7" applyFont="1" applyFill="1" applyBorder="1" applyAlignment="1">
      <alignment horizontal="right"/>
    </xf>
    <xf numFmtId="0" fontId="18" fillId="2" borderId="0" xfId="7" applyFont="1" applyFill="1" applyAlignment="1">
      <alignment horizontal="right"/>
    </xf>
    <xf numFmtId="0" fontId="47" fillId="2" borderId="47" xfId="7" applyFont="1" applyFill="1" applyBorder="1" applyAlignment="1">
      <alignment horizontal="center"/>
    </xf>
    <xf numFmtId="0" fontId="5" fillId="3" borderId="48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31" xfId="0" applyFont="1" applyBorder="1" applyAlignment="1">
      <alignment horizontal="right"/>
    </xf>
    <xf numFmtId="184" fontId="4" fillId="0" borderId="3" xfId="0" applyNumberFormat="1" applyFont="1" applyBorder="1" applyAlignment="1">
      <alignment horizontal="right"/>
    </xf>
    <xf numFmtId="0" fontId="4" fillId="2" borderId="9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5" fillId="0" borderId="27" xfId="0" applyFont="1" applyBorder="1" applyAlignment="1">
      <alignment horizontal="right"/>
    </xf>
    <xf numFmtId="0" fontId="5" fillId="0" borderId="28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84" fontId="4" fillId="0" borderId="37" xfId="0" applyNumberFormat="1" applyFont="1" applyBorder="1" applyAlignment="1">
      <alignment horizontal="center"/>
    </xf>
    <xf numFmtId="184" fontId="4" fillId="0" borderId="29" xfId="0" applyNumberFormat="1" applyFont="1" applyBorder="1" applyAlignment="1">
      <alignment horizontal="center"/>
    </xf>
    <xf numFmtId="184" fontId="4" fillId="0" borderId="37" xfId="0" applyNumberFormat="1" applyFont="1" applyBorder="1" applyAlignment="1">
      <alignment horizontal="left" wrapText="1"/>
    </xf>
    <xf numFmtId="184" fontId="4" fillId="0" borderId="28" xfId="0" applyNumberFormat="1" applyFont="1" applyBorder="1" applyAlignment="1">
      <alignment horizontal="left" wrapText="1"/>
    </xf>
    <xf numFmtId="184" fontId="4" fillId="0" borderId="29" xfId="0" applyNumberFormat="1" applyFont="1" applyBorder="1" applyAlignment="1">
      <alignment horizontal="left" wrapText="1"/>
    </xf>
    <xf numFmtId="0" fontId="5" fillId="0" borderId="38" xfId="0" applyFont="1" applyBorder="1" applyAlignment="1">
      <alignment horizontal="right"/>
    </xf>
    <xf numFmtId="0" fontId="5" fillId="0" borderId="39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84" fontId="4" fillId="0" borderId="40" xfId="0" applyNumberFormat="1" applyFont="1" applyBorder="1" applyAlignment="1">
      <alignment horizontal="center"/>
    </xf>
    <xf numFmtId="184" fontId="4" fillId="0" borderId="41" xfId="0" applyNumberFormat="1" applyFont="1" applyBorder="1" applyAlignment="1">
      <alignment horizontal="center"/>
    </xf>
    <xf numFmtId="0" fontId="5" fillId="3" borderId="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11" fillId="0" borderId="33" xfId="5" applyFont="1" applyBorder="1" applyAlignment="1">
      <alignment horizontal="left" wrapText="1"/>
    </xf>
    <xf numFmtId="0" fontId="11" fillId="0" borderId="34" xfId="5" applyFont="1" applyBorder="1" applyAlignment="1">
      <alignment horizontal="left" wrapText="1"/>
    </xf>
    <xf numFmtId="0" fontId="11" fillId="0" borderId="35" xfId="5" applyFont="1" applyBorder="1" applyAlignment="1">
      <alignment horizontal="left" wrapText="1"/>
    </xf>
    <xf numFmtId="0" fontId="11" fillId="0" borderId="33" xfId="5" applyFont="1" applyBorder="1" applyAlignment="1">
      <alignment horizontal="left"/>
    </xf>
    <xf numFmtId="0" fontId="11" fillId="0" borderId="34" xfId="5" applyFont="1" applyBorder="1" applyAlignment="1">
      <alignment horizontal="left"/>
    </xf>
    <xf numFmtId="0" fontId="11" fillId="0" borderId="35" xfId="5" applyFont="1" applyBorder="1" applyAlignment="1">
      <alignment horizontal="left"/>
    </xf>
    <xf numFmtId="0" fontId="11" fillId="0" borderId="27" xfId="5" applyFont="1" applyBorder="1" applyAlignment="1">
      <alignment horizontal="left" wrapText="1"/>
    </xf>
    <xf numFmtId="0" fontId="11" fillId="0" borderId="28" xfId="5" applyFont="1" applyBorder="1" applyAlignment="1">
      <alignment horizontal="left" wrapText="1"/>
    </xf>
    <xf numFmtId="0" fontId="11" fillId="0" borderId="29" xfId="5" applyFont="1" applyBorder="1" applyAlignment="1">
      <alignment horizontal="left" wrapText="1"/>
    </xf>
    <xf numFmtId="0" fontId="4" fillId="0" borderId="30" xfId="0" applyFont="1" applyFill="1" applyBorder="1" applyAlignment="1">
      <alignment horizontal="left"/>
    </xf>
    <xf numFmtId="0" fontId="4" fillId="0" borderId="31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32" xfId="0" applyFont="1" applyFill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5" fillId="12" borderId="30" xfId="0" applyFont="1" applyFill="1" applyBorder="1" applyAlignment="1">
      <alignment horizontal="left"/>
    </xf>
    <xf numFmtId="0" fontId="5" fillId="12" borderId="31" xfId="0" applyFont="1" applyFill="1" applyBorder="1" applyAlignment="1">
      <alignment horizontal="left"/>
    </xf>
    <xf numFmtId="0" fontId="5" fillId="12" borderId="3" xfId="0" applyFont="1" applyFill="1" applyBorder="1" applyAlignment="1">
      <alignment horizontal="left"/>
    </xf>
    <xf numFmtId="0" fontId="5" fillId="12" borderId="32" xfId="0" applyFont="1" applyFill="1" applyBorder="1" applyAlignment="1">
      <alignment horizontal="left"/>
    </xf>
    <xf numFmtId="0" fontId="23" fillId="0" borderId="47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right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9" fillId="0" borderId="50" xfId="0" applyFont="1" applyBorder="1" applyAlignment="1">
      <alignment horizontal="right"/>
    </xf>
    <xf numFmtId="0" fontId="29" fillId="0" borderId="51" xfId="0" applyFont="1" applyBorder="1" applyAlignment="1">
      <alignment horizontal="right"/>
    </xf>
    <xf numFmtId="4" fontId="42" fillId="0" borderId="0" xfId="2" applyNumberFormat="1" applyFont="1" applyFill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29" fillId="0" borderId="0" xfId="0" applyFont="1" applyAlignment="1">
      <alignment horizontal="right"/>
    </xf>
    <xf numFmtId="0" fontId="36" fillId="0" borderId="2" xfId="0" applyFont="1" applyBorder="1" applyAlignment="1">
      <alignment horizontal="right" vertical="center"/>
    </xf>
    <xf numFmtId="0" fontId="37" fillId="0" borderId="5" xfId="0" applyFont="1" applyBorder="1" applyAlignment="1">
      <alignment horizontal="right"/>
    </xf>
    <xf numFmtId="0" fontId="37" fillId="0" borderId="0" xfId="0" applyFont="1" applyAlignment="1">
      <alignment horizontal="right"/>
    </xf>
    <xf numFmtId="0" fontId="37" fillId="0" borderId="11" xfId="0" applyFont="1" applyBorder="1" applyAlignment="1">
      <alignment horizontal="right"/>
    </xf>
    <xf numFmtId="0" fontId="28" fillId="0" borderId="0" xfId="0" applyFont="1" applyAlignment="1">
      <alignment horizontal="center" vertical="center"/>
    </xf>
    <xf numFmtId="0" fontId="44" fillId="0" borderId="6" xfId="0" applyFont="1" applyBorder="1" applyAlignment="1">
      <alignment horizontal="right" vertical="center"/>
    </xf>
    <xf numFmtId="0" fontId="44" fillId="0" borderId="7" xfId="0" applyFont="1" applyBorder="1" applyAlignment="1">
      <alignment horizontal="right" vertical="center"/>
    </xf>
    <xf numFmtId="0" fontId="44" fillId="0" borderId="8" xfId="0" applyFont="1" applyBorder="1" applyAlignment="1">
      <alignment horizontal="right" vertical="center"/>
    </xf>
    <xf numFmtId="0" fontId="45" fillId="0" borderId="0" xfId="0" applyFont="1" applyAlignment="1">
      <alignment horizontal="right"/>
    </xf>
    <xf numFmtId="0" fontId="35" fillId="0" borderId="47" xfId="0" applyFont="1" applyBorder="1" applyAlignment="1">
      <alignment horizontal="right"/>
    </xf>
    <xf numFmtId="0" fontId="28" fillId="0" borderId="0" xfId="0" applyFont="1" applyAlignment="1">
      <alignment horizontal="right" vertical="center"/>
    </xf>
    <xf numFmtId="0" fontId="33" fillId="4" borderId="6" xfId="0" applyFont="1" applyFill="1" applyBorder="1" applyAlignment="1">
      <alignment horizontal="right"/>
    </xf>
    <xf numFmtId="0" fontId="33" fillId="4" borderId="7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20" fillId="0" borderId="47" xfId="0" applyFont="1" applyBorder="1" applyAlignment="1">
      <alignment horizontal="right" vertical="center"/>
    </xf>
    <xf numFmtId="0" fontId="20" fillId="0" borderId="59" xfId="0" applyFont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0" fontId="20" fillId="8" borderId="7" xfId="0" applyFont="1" applyFill="1" applyBorder="1" applyAlignment="1">
      <alignment horizontal="right" vertical="center"/>
    </xf>
    <xf numFmtId="0" fontId="20" fillId="8" borderId="8" xfId="0" applyFont="1" applyFill="1" applyBorder="1" applyAlignment="1">
      <alignment horizontal="right" vertical="center"/>
    </xf>
    <xf numFmtId="186" fontId="13" fillId="2" borderId="0" xfId="6" applyNumberFormat="1" applyFont="1" applyFill="1" applyBorder="1" applyAlignment="1">
      <alignment horizontal="center" vertical="center" wrapText="1"/>
    </xf>
    <xf numFmtId="0" fontId="3" fillId="2" borderId="42" xfId="6" applyFont="1" applyFill="1" applyBorder="1" applyAlignment="1">
      <alignment horizontal="center"/>
    </xf>
    <xf numFmtId="0" fontId="3" fillId="2" borderId="17" xfId="6" applyFont="1" applyFill="1" applyBorder="1" applyAlignment="1">
      <alignment horizontal="center"/>
    </xf>
    <xf numFmtId="0" fontId="5" fillId="2" borderId="2" xfId="6" applyFont="1" applyFill="1" applyBorder="1" applyAlignment="1">
      <alignment horizontal="right" vertical="top" wrapText="1"/>
    </xf>
    <xf numFmtId="14" fontId="4" fillId="2" borderId="2" xfId="6" applyNumberFormat="1" applyFont="1" applyFill="1" applyBorder="1" applyAlignment="1">
      <alignment horizontal="center" vertical="center" wrapText="1"/>
    </xf>
  </cellXfs>
  <cellStyles count="11">
    <cellStyle name="Millares" xfId="1" builtinId="3"/>
    <cellStyle name="Millares [0]" xfId="2" builtinId="6"/>
    <cellStyle name="Millares [0] 2" xfId="3" xr:uid="{9BAA1A46-0DC4-4577-A090-A8E480E4B2C9}"/>
    <cellStyle name="Millares 2" xfId="4" xr:uid="{43CAFDE1-19D7-4500-9A3D-7A058A287817}"/>
    <cellStyle name="Normal" xfId="0" builtinId="0"/>
    <cellStyle name="Normal 2" xfId="5" xr:uid="{687C6C7E-30A5-4C4E-811F-AD3BC30D40FF}"/>
    <cellStyle name="Normal_CRITERIOS DE EVALUACION PT DE GB" xfId="6" xr:uid="{4CB856AE-C15F-4187-AA1E-6BE877001ECF}"/>
    <cellStyle name="Normal_CRITERIOS DE EVALUACION PT DE GB 2" xfId="7" xr:uid="{30E98A83-397B-468A-9E32-27F9DD07A173}"/>
    <cellStyle name="Porcentaje" xfId="8" builtinId="5"/>
    <cellStyle name="Porcentaje 2" xfId="9" xr:uid="{4E541755-01B1-4E61-8449-2B0E9068616A}"/>
    <cellStyle name="Porcentaje 3" xfId="10" xr:uid="{2603C154-1795-457F-86E1-6DAF017BE96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28575</xdr:rowOff>
    </xdr:from>
    <xdr:to>
      <xdr:col>2</xdr:col>
      <xdr:colOff>0</xdr:colOff>
      <xdr:row>4</xdr:row>
      <xdr:rowOff>0</xdr:rowOff>
    </xdr:to>
    <xdr:pic>
      <xdr:nvPicPr>
        <xdr:cNvPr id="3169" name="Imagen 2">
          <a:extLst>
            <a:ext uri="{FF2B5EF4-FFF2-40B4-BE49-F238E27FC236}">
              <a16:creationId xmlns:a16="http://schemas.microsoft.com/office/drawing/2014/main" id="{24582ED1-7432-3449-8B55-E46362A24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28600"/>
          <a:ext cx="18288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</xdr:row>
      <xdr:rowOff>28575</xdr:rowOff>
    </xdr:from>
    <xdr:to>
      <xdr:col>1</xdr:col>
      <xdr:colOff>466725</xdr:colOff>
      <xdr:row>2</xdr:row>
      <xdr:rowOff>619125</xdr:rowOff>
    </xdr:to>
    <xdr:pic>
      <xdr:nvPicPr>
        <xdr:cNvPr id="6180" name="Imagen 2">
          <a:extLst>
            <a:ext uri="{FF2B5EF4-FFF2-40B4-BE49-F238E27FC236}">
              <a16:creationId xmlns:a16="http://schemas.microsoft.com/office/drawing/2014/main" id="{A552DD78-D92F-B985-F15B-494404F2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28600"/>
          <a:ext cx="12763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D1AB-B574-4106-BE2D-C6A85185B214}">
  <dimension ref="A1:M40"/>
  <sheetViews>
    <sheetView tabSelected="1" zoomScaleNormal="100" zoomScaleSheetLayoutView="100" workbookViewId="0">
      <selection activeCell="N10" sqref="N10:N11"/>
    </sheetView>
  </sheetViews>
  <sheetFormatPr baseColWidth="10" defaultRowHeight="13.5" x14ac:dyDescent="0.25"/>
  <cols>
    <col min="1" max="1" width="16.28515625" style="1" customWidth="1"/>
    <col min="2" max="2" width="15.28515625" style="1" customWidth="1"/>
    <col min="3" max="3" width="38" style="1" customWidth="1"/>
    <col min="4" max="6" width="11.42578125" style="1"/>
    <col min="7" max="7" width="12.42578125" style="1" customWidth="1"/>
    <col min="8" max="8" width="19.28515625" style="1" customWidth="1"/>
    <col min="9" max="9" width="15.7109375" style="1" customWidth="1"/>
    <col min="10" max="16384" width="11.42578125" style="1"/>
  </cols>
  <sheetData>
    <row r="1" spans="1:11" ht="15.75" x14ac:dyDescent="0.25">
      <c r="A1" s="190"/>
      <c r="B1" s="191"/>
      <c r="C1" s="198" t="s">
        <v>21</v>
      </c>
      <c r="D1" s="198"/>
      <c r="E1" s="198"/>
      <c r="F1" s="198"/>
      <c r="G1" s="198"/>
      <c r="H1" s="2" t="s">
        <v>0</v>
      </c>
      <c r="I1" s="41" t="s">
        <v>145</v>
      </c>
    </row>
    <row r="2" spans="1:11" ht="16.5" thickBot="1" x14ac:dyDescent="0.3">
      <c r="A2" s="192"/>
      <c r="B2" s="193"/>
      <c r="C2" s="199" t="s">
        <v>1</v>
      </c>
      <c r="D2" s="199"/>
      <c r="E2" s="199"/>
      <c r="F2" s="199"/>
      <c r="G2" s="199"/>
      <c r="H2" s="3" t="s">
        <v>2</v>
      </c>
      <c r="I2" s="42" t="s">
        <v>149</v>
      </c>
    </row>
    <row r="3" spans="1:11" ht="49.9" customHeight="1" thickBot="1" x14ac:dyDescent="0.3">
      <c r="A3" s="192"/>
      <c r="B3" s="193"/>
      <c r="C3" s="200" t="s">
        <v>148</v>
      </c>
      <c r="D3" s="201"/>
      <c r="E3" s="201"/>
      <c r="F3" s="201"/>
      <c r="G3" s="202"/>
      <c r="H3" s="203" t="s">
        <v>3</v>
      </c>
      <c r="I3" s="206">
        <v>45666</v>
      </c>
      <c r="J3" s="196"/>
    </row>
    <row r="4" spans="1:11" x14ac:dyDescent="0.25">
      <c r="A4" s="192"/>
      <c r="B4" s="193"/>
      <c r="C4" s="4" t="s">
        <v>4</v>
      </c>
      <c r="D4" s="208" t="s">
        <v>147</v>
      </c>
      <c r="E4" s="209"/>
      <c r="F4" s="209"/>
      <c r="G4" s="210"/>
      <c r="H4" s="204"/>
      <c r="I4" s="207"/>
      <c r="J4" s="197"/>
    </row>
    <row r="5" spans="1:11" ht="15" customHeight="1" thickBot="1" x14ac:dyDescent="0.3">
      <c r="A5" s="194"/>
      <c r="B5" s="195"/>
      <c r="C5" s="5" t="s">
        <v>5</v>
      </c>
      <c r="D5" s="211" t="s">
        <v>52</v>
      </c>
      <c r="E5" s="212"/>
      <c r="F5" s="212"/>
      <c r="G5" s="213"/>
      <c r="H5" s="205"/>
      <c r="I5" s="207"/>
    </row>
    <row r="6" spans="1:11" ht="15" customHeight="1" thickBot="1" x14ac:dyDescent="0.3">
      <c r="A6" s="225" t="s">
        <v>83</v>
      </c>
      <c r="B6" s="226"/>
      <c r="C6" s="226"/>
      <c r="D6" s="227" t="s">
        <v>85</v>
      </c>
      <c r="E6" s="227"/>
      <c r="F6" s="227"/>
      <c r="G6" s="224" t="s">
        <v>84</v>
      </c>
      <c r="H6" s="224"/>
      <c r="I6" s="81" t="s">
        <v>86</v>
      </c>
    </row>
    <row r="7" spans="1:11" x14ac:dyDescent="0.25">
      <c r="A7" s="228" t="s">
        <v>6</v>
      </c>
      <c r="B7" s="222" t="s">
        <v>45</v>
      </c>
      <c r="C7" s="214" t="s">
        <v>7</v>
      </c>
      <c r="D7" s="214" t="s">
        <v>8</v>
      </c>
      <c r="E7" s="214" t="s">
        <v>22</v>
      </c>
      <c r="F7" s="214"/>
      <c r="G7" s="216" t="s">
        <v>12</v>
      </c>
      <c r="H7" s="217"/>
      <c r="I7" s="218"/>
    </row>
    <row r="8" spans="1:11" ht="27" thickBot="1" x14ac:dyDescent="0.3">
      <c r="A8" s="229"/>
      <c r="B8" s="223"/>
      <c r="C8" s="215"/>
      <c r="D8" s="215"/>
      <c r="E8" s="52" t="s">
        <v>9</v>
      </c>
      <c r="F8" s="53" t="s">
        <v>10</v>
      </c>
      <c r="G8" s="219" t="s">
        <v>9</v>
      </c>
      <c r="H8" s="220"/>
      <c r="I8" s="221"/>
    </row>
    <row r="9" spans="1:11" x14ac:dyDescent="0.25">
      <c r="A9" s="72"/>
      <c r="B9" s="73"/>
      <c r="C9" s="80" t="s">
        <v>81</v>
      </c>
      <c r="D9" s="74"/>
      <c r="E9" s="75"/>
      <c r="F9" s="76"/>
      <c r="G9" s="77"/>
      <c r="H9" s="78"/>
      <c r="I9" s="79"/>
    </row>
    <row r="10" spans="1:11" s="36" customFormat="1" ht="15.75" x14ac:dyDescent="0.25">
      <c r="A10" s="54">
        <v>1730660</v>
      </c>
      <c r="B10" s="54" t="s">
        <v>46</v>
      </c>
      <c r="C10" s="55" t="s">
        <v>39</v>
      </c>
      <c r="D10" s="33" t="s">
        <v>27</v>
      </c>
      <c r="E10" s="44">
        <f>1500*3</f>
        <v>4500</v>
      </c>
      <c r="F10" s="37" t="s">
        <v>11</v>
      </c>
      <c r="G10" s="63"/>
      <c r="H10" s="34"/>
      <c r="I10" s="35"/>
      <c r="J10" s="36">
        <f>+E10/$D$22</f>
        <v>0.75</v>
      </c>
      <c r="K10" s="36">
        <f>+J10*1000</f>
        <v>750</v>
      </c>
    </row>
    <row r="11" spans="1:11" s="36" customFormat="1" ht="15.75" x14ac:dyDescent="0.25">
      <c r="A11" s="54" t="s">
        <v>40</v>
      </c>
      <c r="B11" s="54" t="s">
        <v>47</v>
      </c>
      <c r="C11" s="55" t="s">
        <v>41</v>
      </c>
      <c r="D11" s="33" t="s">
        <v>28</v>
      </c>
      <c r="E11" s="37">
        <f>300*3</f>
        <v>900</v>
      </c>
      <c r="F11" s="37" t="s">
        <v>11</v>
      </c>
      <c r="G11" s="63"/>
      <c r="H11" s="34"/>
      <c r="I11" s="35"/>
      <c r="J11" s="36">
        <f t="shared" ref="J11:J19" si="0">+E11/$D$22</f>
        <v>0.15</v>
      </c>
      <c r="K11" s="36">
        <f t="shared" ref="K11:K19" si="1">+J11*1000</f>
        <v>150</v>
      </c>
    </row>
    <row r="12" spans="1:11" s="36" customFormat="1" ht="15.75" x14ac:dyDescent="0.25">
      <c r="A12" s="56" t="s">
        <v>42</v>
      </c>
      <c r="B12" s="56" t="s">
        <v>48</v>
      </c>
      <c r="C12" s="57" t="s">
        <v>43</v>
      </c>
      <c r="D12" s="37" t="s">
        <v>29</v>
      </c>
      <c r="E12" s="45">
        <f>100*3</f>
        <v>300</v>
      </c>
      <c r="F12" s="37" t="s">
        <v>11</v>
      </c>
      <c r="G12" s="64"/>
      <c r="H12" s="38"/>
      <c r="I12" s="39"/>
      <c r="J12" s="36">
        <f t="shared" si="0"/>
        <v>0.05</v>
      </c>
      <c r="K12" s="36">
        <f t="shared" si="1"/>
        <v>50</v>
      </c>
    </row>
    <row r="13" spans="1:11" s="36" customFormat="1" ht="15.75" x14ac:dyDescent="0.25">
      <c r="A13" s="46" t="s">
        <v>31</v>
      </c>
      <c r="B13" s="46" t="s">
        <v>49</v>
      </c>
      <c r="C13" s="47" t="s">
        <v>32</v>
      </c>
      <c r="D13" s="37" t="s">
        <v>33</v>
      </c>
      <c r="E13" s="37">
        <f>8*3</f>
        <v>24</v>
      </c>
      <c r="F13" s="37" t="s">
        <v>11</v>
      </c>
      <c r="G13" s="64"/>
      <c r="H13" s="38"/>
      <c r="I13" s="40"/>
      <c r="J13" s="36">
        <f t="shared" si="0"/>
        <v>4.0000000000000001E-3</v>
      </c>
      <c r="K13" s="36">
        <f t="shared" si="1"/>
        <v>4</v>
      </c>
    </row>
    <row r="14" spans="1:11" s="36" customFormat="1" ht="15.75" x14ac:dyDescent="0.25">
      <c r="A14" s="183" t="s">
        <v>34</v>
      </c>
      <c r="B14" s="183" t="s">
        <v>50</v>
      </c>
      <c r="C14" s="184" t="s">
        <v>35</v>
      </c>
      <c r="D14" s="185" t="s">
        <v>44</v>
      </c>
      <c r="E14" s="186">
        <f>200*3</f>
        <v>600</v>
      </c>
      <c r="F14" s="185" t="s">
        <v>11</v>
      </c>
      <c r="G14" s="187"/>
      <c r="H14" s="188"/>
      <c r="I14" s="189"/>
      <c r="J14" s="182">
        <f t="shared" si="0"/>
        <v>0.1</v>
      </c>
    </row>
    <row r="15" spans="1:11" ht="15.75" x14ac:dyDescent="0.25">
      <c r="A15" s="58"/>
      <c r="B15" s="48" t="s">
        <v>54</v>
      </c>
      <c r="C15" s="49" t="s">
        <v>55</v>
      </c>
      <c r="D15" s="59"/>
      <c r="E15" s="25">
        <f>50*3</f>
        <v>150</v>
      </c>
      <c r="F15" s="27" t="s">
        <v>11</v>
      </c>
      <c r="G15" s="65"/>
      <c r="H15" s="8"/>
      <c r="I15" s="7"/>
      <c r="J15" s="36">
        <f t="shared" si="0"/>
        <v>2.5000000000000001E-2</v>
      </c>
      <c r="K15" s="36">
        <f t="shared" si="1"/>
        <v>25</v>
      </c>
    </row>
    <row r="16" spans="1:11" ht="15.75" x14ac:dyDescent="0.25">
      <c r="A16" s="58">
        <v>101132</v>
      </c>
      <c r="B16" s="48" t="s">
        <v>56</v>
      </c>
      <c r="C16" s="61" t="s">
        <v>57</v>
      </c>
      <c r="D16" s="60" t="s">
        <v>30</v>
      </c>
      <c r="E16" s="26">
        <f>25*3</f>
        <v>75</v>
      </c>
      <c r="F16" s="27" t="s">
        <v>11</v>
      </c>
      <c r="G16" s="65"/>
      <c r="H16" s="8"/>
      <c r="I16" s="7"/>
      <c r="J16" s="36">
        <f t="shared" si="0"/>
        <v>1.2500000000000001E-2</v>
      </c>
      <c r="K16" s="36">
        <f t="shared" si="1"/>
        <v>12.5</v>
      </c>
    </row>
    <row r="17" spans="1:13" ht="15.75" x14ac:dyDescent="0.25">
      <c r="A17" s="58"/>
      <c r="B17" s="48"/>
      <c r="C17" s="70" t="s">
        <v>70</v>
      </c>
      <c r="D17" s="59"/>
      <c r="E17" s="25"/>
      <c r="F17" s="27"/>
      <c r="G17" s="8"/>
      <c r="H17" s="8"/>
      <c r="I17" s="7"/>
      <c r="J17" s="36">
        <f t="shared" si="0"/>
        <v>0</v>
      </c>
      <c r="K17" s="36">
        <f t="shared" si="1"/>
        <v>0</v>
      </c>
    </row>
    <row r="18" spans="1:13" ht="15.75" x14ac:dyDescent="0.25">
      <c r="A18" s="69">
        <v>512000002</v>
      </c>
      <c r="B18" s="68" t="s">
        <v>62</v>
      </c>
      <c r="C18" s="66" t="s">
        <v>63</v>
      </c>
      <c r="D18" s="67" t="s">
        <v>30</v>
      </c>
      <c r="E18" s="26">
        <v>60</v>
      </c>
      <c r="F18" s="27" t="s">
        <v>68</v>
      </c>
      <c r="G18" s="8"/>
      <c r="H18" s="8"/>
      <c r="I18" s="7"/>
      <c r="J18" s="36">
        <f t="shared" si="0"/>
        <v>0.01</v>
      </c>
      <c r="K18" s="36">
        <f t="shared" si="1"/>
        <v>10</v>
      </c>
    </row>
    <row r="19" spans="1:13" ht="15.75" x14ac:dyDescent="0.25">
      <c r="A19" s="69" t="s">
        <v>64</v>
      </c>
      <c r="B19" s="68" t="s">
        <v>65</v>
      </c>
      <c r="C19" s="66" t="s">
        <v>66</v>
      </c>
      <c r="D19" s="67" t="s">
        <v>67</v>
      </c>
      <c r="E19" s="26">
        <v>1</v>
      </c>
      <c r="F19" s="27" t="s">
        <v>69</v>
      </c>
      <c r="G19" s="10"/>
      <c r="H19" s="10"/>
      <c r="I19" s="7"/>
      <c r="J19" s="36">
        <f t="shared" si="0"/>
        <v>1.6666666666666666E-4</v>
      </c>
      <c r="K19" s="36">
        <f t="shared" si="1"/>
        <v>0.16666666666666666</v>
      </c>
    </row>
    <row r="20" spans="1:13" ht="14.25" thickBot="1" x14ac:dyDescent="0.3">
      <c r="A20" s="11"/>
      <c r="B20" s="50"/>
      <c r="C20" s="12"/>
      <c r="D20" s="12"/>
      <c r="E20" s="28"/>
      <c r="F20" s="29"/>
      <c r="G20" s="30"/>
      <c r="H20" s="30"/>
      <c r="I20" s="31"/>
      <c r="L20" s="13"/>
    </row>
    <row r="21" spans="1:13" ht="14.25" thickBot="1" x14ac:dyDescent="0.3">
      <c r="A21" s="14"/>
      <c r="B21" s="51"/>
      <c r="C21" s="15"/>
      <c r="D21" s="16" t="s">
        <v>9</v>
      </c>
      <c r="E21" s="17" t="s">
        <v>12</v>
      </c>
      <c r="F21" s="18"/>
      <c r="G21" s="19"/>
      <c r="H21" s="19"/>
      <c r="I21" s="20"/>
      <c r="L21" s="13"/>
    </row>
    <row r="22" spans="1:13" x14ac:dyDescent="0.25">
      <c r="A22" s="230" t="s">
        <v>13</v>
      </c>
      <c r="B22" s="231"/>
      <c r="C22" s="232"/>
      <c r="D22" s="43">
        <v>6000</v>
      </c>
      <c r="E22" s="21" t="s">
        <v>11</v>
      </c>
      <c r="F22" s="233" t="s">
        <v>23</v>
      </c>
      <c r="G22" s="233"/>
      <c r="H22" s="234"/>
      <c r="I22" s="235"/>
      <c r="L22" s="13"/>
    </row>
    <row r="23" spans="1:13" x14ac:dyDescent="0.25">
      <c r="A23" s="236" t="s">
        <v>14</v>
      </c>
      <c r="B23" s="237"/>
      <c r="C23" s="238"/>
      <c r="D23" s="6">
        <v>4</v>
      </c>
      <c r="E23" s="9" t="s">
        <v>19</v>
      </c>
      <c r="F23" s="239" t="s">
        <v>24</v>
      </c>
      <c r="G23" s="239"/>
      <c r="H23" s="240"/>
      <c r="I23" s="241"/>
      <c r="L23" s="13"/>
    </row>
    <row r="24" spans="1:13" x14ac:dyDescent="0.25">
      <c r="A24" s="236" t="s">
        <v>15</v>
      </c>
      <c r="B24" s="237"/>
      <c r="C24" s="238"/>
      <c r="D24" s="6">
        <v>1</v>
      </c>
      <c r="E24" s="9" t="s">
        <v>20</v>
      </c>
      <c r="F24" s="239" t="s">
        <v>25</v>
      </c>
      <c r="G24" s="239"/>
      <c r="H24" s="240"/>
      <c r="I24" s="241"/>
      <c r="L24" s="13"/>
    </row>
    <row r="25" spans="1:13" x14ac:dyDescent="0.25">
      <c r="A25" s="236" t="s">
        <v>16</v>
      </c>
      <c r="B25" s="237"/>
      <c r="C25" s="238"/>
      <c r="D25" s="6">
        <v>6000</v>
      </c>
      <c r="E25" s="6" t="s">
        <v>11</v>
      </c>
      <c r="F25" s="242" t="s">
        <v>26</v>
      </c>
      <c r="G25" s="243"/>
      <c r="H25" s="243"/>
      <c r="I25" s="244"/>
      <c r="L25" s="13"/>
      <c r="M25" s="22"/>
    </row>
    <row r="26" spans="1:13" ht="14.25" thickBot="1" x14ac:dyDescent="0.3">
      <c r="A26" s="245" t="s">
        <v>17</v>
      </c>
      <c r="B26" s="246"/>
      <c r="C26" s="247"/>
      <c r="D26" s="62">
        <f>SUM(E10:E16)-D22</f>
        <v>549</v>
      </c>
      <c r="E26" s="23" t="s">
        <v>11</v>
      </c>
      <c r="F26" s="248"/>
      <c r="G26" s="248"/>
      <c r="H26" s="249"/>
      <c r="I26" s="250"/>
      <c r="J26" s="12"/>
      <c r="K26" s="12"/>
      <c r="L26" s="32"/>
      <c r="M26" s="12"/>
    </row>
    <row r="27" spans="1:13" ht="14.25" thickBot="1" x14ac:dyDescent="0.3">
      <c r="A27" s="251" t="s">
        <v>18</v>
      </c>
      <c r="B27" s="252"/>
      <c r="C27" s="252"/>
      <c r="D27" s="252"/>
      <c r="E27" s="252"/>
      <c r="F27" s="252"/>
      <c r="G27" s="252"/>
      <c r="H27" s="252"/>
      <c r="I27" s="253"/>
    </row>
    <row r="28" spans="1:13" ht="19.149999999999999" customHeight="1" x14ac:dyDescent="0.25">
      <c r="A28" s="254" t="s">
        <v>60</v>
      </c>
      <c r="B28" s="255"/>
      <c r="C28" s="255"/>
      <c r="D28" s="255"/>
      <c r="E28" s="255"/>
      <c r="F28" s="255"/>
      <c r="G28" s="255"/>
      <c r="H28" s="255"/>
      <c r="I28" s="256"/>
    </row>
    <row r="29" spans="1:13" ht="17.25" customHeight="1" x14ac:dyDescent="0.25">
      <c r="A29" s="257" t="s">
        <v>58</v>
      </c>
      <c r="B29" s="258"/>
      <c r="C29" s="258"/>
      <c r="D29" s="258"/>
      <c r="E29" s="258"/>
      <c r="F29" s="258"/>
      <c r="G29" s="258"/>
      <c r="H29" s="258"/>
      <c r="I29" s="259"/>
    </row>
    <row r="30" spans="1:13" ht="16.149999999999999" customHeight="1" x14ac:dyDescent="0.25">
      <c r="A30" s="260" t="s">
        <v>59</v>
      </c>
      <c r="B30" s="261"/>
      <c r="C30" s="261"/>
      <c r="D30" s="261"/>
      <c r="E30" s="261"/>
      <c r="F30" s="261"/>
      <c r="G30" s="261"/>
      <c r="H30" s="261"/>
      <c r="I30" s="262"/>
    </row>
    <row r="31" spans="1:13" ht="16.149999999999999" customHeight="1" x14ac:dyDescent="0.25">
      <c r="A31" s="260" t="s">
        <v>36</v>
      </c>
      <c r="B31" s="261"/>
      <c r="C31" s="261"/>
      <c r="D31" s="261"/>
      <c r="E31" s="261"/>
      <c r="F31" s="261"/>
      <c r="G31" s="261"/>
      <c r="H31" s="261"/>
      <c r="I31" s="262"/>
    </row>
    <row r="32" spans="1:13" ht="16.149999999999999" customHeight="1" x14ac:dyDescent="0.25">
      <c r="A32" s="263" t="s">
        <v>61</v>
      </c>
      <c r="B32" s="264"/>
      <c r="C32" s="265"/>
      <c r="D32" s="265"/>
      <c r="E32" s="265"/>
      <c r="F32" s="265"/>
      <c r="G32" s="265"/>
      <c r="H32" s="265"/>
      <c r="I32" s="266"/>
    </row>
    <row r="33" spans="1:9" ht="16.149999999999999" customHeight="1" x14ac:dyDescent="0.25">
      <c r="A33" s="260" t="s">
        <v>82</v>
      </c>
      <c r="B33" s="261"/>
      <c r="C33" s="261"/>
      <c r="D33" s="261"/>
      <c r="E33" s="261"/>
      <c r="F33" s="261"/>
      <c r="G33" s="261"/>
      <c r="H33" s="261"/>
      <c r="I33" s="262"/>
    </row>
    <row r="34" spans="1:9" ht="16.149999999999999" customHeight="1" x14ac:dyDescent="0.25">
      <c r="A34" s="263"/>
      <c r="B34" s="264"/>
      <c r="C34" s="265"/>
      <c r="D34" s="265"/>
      <c r="E34" s="265"/>
      <c r="F34" s="265"/>
      <c r="G34" s="265"/>
      <c r="H34" s="265"/>
      <c r="I34" s="266"/>
    </row>
    <row r="35" spans="1:9" ht="16.149999999999999" customHeight="1" x14ac:dyDescent="0.25">
      <c r="A35" s="260"/>
      <c r="B35" s="261"/>
      <c r="C35" s="261"/>
      <c r="D35" s="261"/>
      <c r="E35" s="261"/>
      <c r="F35" s="261"/>
      <c r="G35" s="261"/>
      <c r="H35" s="261"/>
      <c r="I35" s="262"/>
    </row>
    <row r="36" spans="1:9" x14ac:dyDescent="0.25">
      <c r="A36" s="270" t="s">
        <v>37</v>
      </c>
      <c r="B36" s="271"/>
      <c r="C36" s="272"/>
      <c r="D36" s="272"/>
      <c r="E36" s="272"/>
      <c r="F36" s="272"/>
      <c r="G36" s="272"/>
      <c r="H36" s="272"/>
      <c r="I36" s="273"/>
    </row>
    <row r="37" spans="1:9" x14ac:dyDescent="0.25">
      <c r="A37" s="267" t="s">
        <v>146</v>
      </c>
      <c r="B37" s="268"/>
      <c r="C37" s="268"/>
      <c r="D37" s="268"/>
      <c r="E37" s="268"/>
      <c r="F37" s="268"/>
      <c r="G37" s="268"/>
      <c r="H37" s="268"/>
      <c r="I37" s="269"/>
    </row>
    <row r="38" spans="1:9" x14ac:dyDescent="0.25">
      <c r="A38" s="267"/>
      <c r="B38" s="268"/>
      <c r="C38" s="268"/>
      <c r="D38" s="268"/>
      <c r="E38" s="268"/>
      <c r="F38" s="268"/>
      <c r="G38" s="268"/>
      <c r="H38" s="268"/>
      <c r="I38" s="269"/>
    </row>
    <row r="39" spans="1:9" x14ac:dyDescent="0.25">
      <c r="A39" s="267"/>
      <c r="B39" s="268"/>
      <c r="C39" s="268"/>
      <c r="D39" s="268"/>
      <c r="E39" s="268"/>
      <c r="F39" s="268"/>
      <c r="G39" s="268"/>
      <c r="H39" s="268"/>
      <c r="I39" s="269"/>
    </row>
    <row r="40" spans="1:9" x14ac:dyDescent="0.25">
      <c r="A40" s="24"/>
      <c r="B40" s="24"/>
      <c r="C40" s="24"/>
    </row>
  </sheetData>
  <mergeCells count="46">
    <mergeCell ref="A39:I39"/>
    <mergeCell ref="A33:I33"/>
    <mergeCell ref="A34:I34"/>
    <mergeCell ref="A35:I35"/>
    <mergeCell ref="A36:I36"/>
    <mergeCell ref="A37:I37"/>
    <mergeCell ref="A38:I38"/>
    <mergeCell ref="A27:I27"/>
    <mergeCell ref="A28:I28"/>
    <mergeCell ref="A29:I29"/>
    <mergeCell ref="A30:I30"/>
    <mergeCell ref="A31:I31"/>
    <mergeCell ref="A32:I32"/>
    <mergeCell ref="A24:C24"/>
    <mergeCell ref="F24:G24"/>
    <mergeCell ref="H24:I24"/>
    <mergeCell ref="A25:C25"/>
    <mergeCell ref="F25:I25"/>
    <mergeCell ref="A26:C26"/>
    <mergeCell ref="F26:G26"/>
    <mergeCell ref="H26:I26"/>
    <mergeCell ref="A22:C22"/>
    <mergeCell ref="F22:G22"/>
    <mergeCell ref="H22:I22"/>
    <mergeCell ref="A23:C23"/>
    <mergeCell ref="F23:G23"/>
    <mergeCell ref="H23:I23"/>
    <mergeCell ref="D7:D8"/>
    <mergeCell ref="E7:F7"/>
    <mergeCell ref="G7:I7"/>
    <mergeCell ref="G8:I8"/>
    <mergeCell ref="B7:B8"/>
    <mergeCell ref="G6:H6"/>
    <mergeCell ref="A6:C6"/>
    <mergeCell ref="D6:F6"/>
    <mergeCell ref="A7:A8"/>
    <mergeCell ref="C7:C8"/>
    <mergeCell ref="A1:B5"/>
    <mergeCell ref="J3:J4"/>
    <mergeCell ref="C1:G1"/>
    <mergeCell ref="C2:G2"/>
    <mergeCell ref="C3:G3"/>
    <mergeCell ref="H3:H5"/>
    <mergeCell ref="I3:I5"/>
    <mergeCell ref="D4:G4"/>
    <mergeCell ref="D5:G5"/>
  </mergeCells>
  <printOptions horizontalCentered="1"/>
  <pageMargins left="0" right="0" top="0.55118110236220474" bottom="0.74803149606299213" header="0.31496062992125984" footer="0.31496062992125984"/>
  <pageSetup scale="70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1231-55DF-4AB4-B5E6-76C44403F558}">
  <dimension ref="A1:Q91"/>
  <sheetViews>
    <sheetView topLeftCell="A25" workbookViewId="0">
      <selection activeCell="E25" sqref="E25"/>
    </sheetView>
  </sheetViews>
  <sheetFormatPr baseColWidth="10" defaultColWidth="8.42578125" defaultRowHeight="12.75" x14ac:dyDescent="0.2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9.7109375" style="90" bestFit="1" customWidth="1"/>
    <col min="6" max="6" width="9.5703125" style="90" bestFit="1" customWidth="1"/>
    <col min="7" max="7" width="9.5703125" style="172" bestFit="1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16384" width="8.42578125" style="90"/>
  </cols>
  <sheetData>
    <row r="1" spans="1:10" ht="27.75" customHeight="1" x14ac:dyDescent="0.2">
      <c r="A1" s="85"/>
      <c r="B1" s="85"/>
      <c r="C1" s="85"/>
      <c r="D1" s="85"/>
      <c r="E1" s="86" t="s">
        <v>87</v>
      </c>
      <c r="F1" s="87" t="s">
        <v>88</v>
      </c>
      <c r="G1" s="87" t="s">
        <v>89</v>
      </c>
      <c r="H1" s="87" t="s">
        <v>90</v>
      </c>
      <c r="I1" s="88"/>
    </row>
    <row r="2" spans="1:10" ht="30.75" customHeight="1" x14ac:dyDescent="0.2">
      <c r="A2" s="85"/>
      <c r="B2" s="85"/>
      <c r="C2" s="85"/>
      <c r="D2" s="85"/>
      <c r="E2" s="91">
        <f>IFERROR(O62,"")</f>
        <v>19014.788173871526</v>
      </c>
      <c r="F2" s="91">
        <f>IFERROR(H53,"")</f>
        <v>18367.919999999998</v>
      </c>
      <c r="G2" s="91">
        <f>IFERROR(H54,"")</f>
        <v>48.722730769230772</v>
      </c>
      <c r="H2" s="91">
        <f>IFERROR(H56,"")</f>
        <v>326.64680226153848</v>
      </c>
      <c r="I2" s="92"/>
    </row>
    <row r="3" spans="1:10" ht="15" customHeight="1" x14ac:dyDescent="0.2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25">
      <c r="A4" s="274"/>
      <c r="B4" s="274"/>
      <c r="C4" s="274"/>
      <c r="D4" s="274"/>
      <c r="E4" s="274"/>
      <c r="F4" s="274"/>
      <c r="G4" s="274"/>
      <c r="H4" s="274"/>
      <c r="I4" s="94"/>
    </row>
    <row r="5" spans="1:10" ht="19.5" customHeight="1" thickBot="1" x14ac:dyDescent="0.25">
      <c r="A5" s="275" t="s">
        <v>91</v>
      </c>
      <c r="B5" s="276"/>
      <c r="C5" s="276"/>
      <c r="D5" s="276"/>
      <c r="E5" s="276"/>
      <c r="F5" s="276"/>
      <c r="G5" s="276"/>
      <c r="H5" s="277"/>
      <c r="I5" s="95"/>
    </row>
    <row r="6" spans="1:10" ht="19.5" thickBot="1" x14ac:dyDescent="0.25">
      <c r="A6" s="95"/>
      <c r="B6" s="95"/>
      <c r="C6" s="95"/>
      <c r="D6" s="95"/>
      <c r="E6" s="95"/>
      <c r="F6" s="278" t="s">
        <v>92</v>
      </c>
      <c r="G6" s="278"/>
      <c r="H6" s="96">
        <f ca="1">TODAY()</f>
        <v>45671</v>
      </c>
      <c r="I6" s="96"/>
    </row>
    <row r="7" spans="1:10" ht="26.25" thickBot="1" x14ac:dyDescent="0.25">
      <c r="A7" s="97" t="s">
        <v>93</v>
      </c>
      <c r="B7" s="98" t="s">
        <v>94</v>
      </c>
      <c r="C7" s="98" t="s">
        <v>93</v>
      </c>
      <c r="D7" s="99" t="s">
        <v>95</v>
      </c>
      <c r="E7" s="99" t="s">
        <v>96</v>
      </c>
      <c r="F7" s="99" t="s">
        <v>97</v>
      </c>
      <c r="G7" s="99" t="s">
        <v>98</v>
      </c>
      <c r="H7" s="100" t="s">
        <v>99</v>
      </c>
      <c r="I7" s="101"/>
    </row>
    <row r="8" spans="1:10" ht="13.5" x14ac:dyDescent="0.25">
      <c r="A8" s="102">
        <v>4500</v>
      </c>
      <c r="B8" s="90" t="str">
        <f>IFERROR(VLOOKUP(H8,'[1]Consolidado MP Planta'!$A$2:$M$823,3,0),"")</f>
        <v>QUESO CREMA PANADERO (CAJA: 5 K)</v>
      </c>
      <c r="C8" s="103">
        <f>+A8</f>
        <v>4500</v>
      </c>
      <c r="D8" s="104" t="str">
        <f>IFERROR(VLOOKUP(H8,'[1]Consolidado MP Planta'!$A$2:$M$823,13,0),"")</f>
        <v>Gramos</v>
      </c>
      <c r="E8" s="104">
        <v>3.04</v>
      </c>
      <c r="F8" s="104">
        <f>IFERROR(C8*E8,"")</f>
        <v>13680</v>
      </c>
      <c r="G8" s="105">
        <f t="shared" ref="G8:G14" si="0">IFERROR(F8/$F$66,"")</f>
        <v>0.72530614388665138</v>
      </c>
      <c r="H8" s="106" t="s">
        <v>38</v>
      </c>
      <c r="I8" s="106"/>
      <c r="J8" s="107"/>
    </row>
    <row r="9" spans="1:10" ht="13.5" x14ac:dyDescent="0.25">
      <c r="A9" s="102">
        <v>900</v>
      </c>
      <c r="B9" s="90" t="str">
        <f>IFERROR(VLOOKUP(H9,'[1]Consolidado MP Planta'!$A$2:$M$823,3,0),"")</f>
        <v>LECHE CONDENSADA (PAQ:11 K)</v>
      </c>
      <c r="C9" s="103">
        <f t="shared" ref="C9:C14" si="1">+A9</f>
        <v>900</v>
      </c>
      <c r="D9" s="104" t="str">
        <f>IFERROR(VLOOKUP(H9,'[1]Consolidado MP Planta'!$A$2:$M$823,13,0),"")</f>
        <v>Gramos</v>
      </c>
      <c r="E9" s="104">
        <v>2.15</v>
      </c>
      <c r="F9" s="104">
        <f t="shared" ref="F9:F14" si="2">IFERROR(C9*E9,"")</f>
        <v>1935</v>
      </c>
      <c r="G9" s="105">
        <f t="shared" si="0"/>
        <v>0.10259264535238818</v>
      </c>
      <c r="H9" s="106" t="s">
        <v>40</v>
      </c>
      <c r="I9" s="106"/>
      <c r="J9" s="107"/>
    </row>
    <row r="10" spans="1:10" ht="13.5" x14ac:dyDescent="0.25">
      <c r="A10" s="102">
        <v>300</v>
      </c>
      <c r="B10" s="90" t="str">
        <f>IFERROR(VLOOKUP(H10,'[1]Consolidado MP Planta'!$A$2:$M$823,3,0),"")</f>
        <v>AZUCAR GLASS MOLIDA (PAQ: 4 K)</v>
      </c>
      <c r="C10" s="103">
        <f t="shared" si="1"/>
        <v>300</v>
      </c>
      <c r="D10" s="104" t="str">
        <f>IFERROR(VLOOKUP(H10,'[1]Consolidado MP Planta'!$A$2:$M$823,13,0),"")</f>
        <v>Gramos</v>
      </c>
      <c r="E10" s="104">
        <v>1.72</v>
      </c>
      <c r="F10" s="104">
        <f t="shared" si="2"/>
        <v>516</v>
      </c>
      <c r="G10" s="105">
        <f t="shared" si="0"/>
        <v>2.735803876063685E-2</v>
      </c>
      <c r="H10" s="106" t="s">
        <v>42</v>
      </c>
      <c r="I10" s="106"/>
      <c r="J10" s="107"/>
    </row>
    <row r="11" spans="1:10" ht="13.5" x14ac:dyDescent="0.25">
      <c r="A11" s="102">
        <v>24</v>
      </c>
      <c r="B11" s="90" t="str">
        <f>IFERROR(VLOOKUP(H11,'[1]Consolidado MP Planta'!$A$2:$M$823,3,0),"")</f>
        <v>PRESERVANTE 1047S (PAQ=5 KILO)</v>
      </c>
      <c r="C11" s="103">
        <f t="shared" si="1"/>
        <v>24</v>
      </c>
      <c r="D11" s="104" t="str">
        <f>IFERROR(VLOOKUP(H11,'[1]Consolidado MP Planta'!$A$2:$M$823,13,0),"")</f>
        <v>Gramos</v>
      </c>
      <c r="E11" s="104">
        <v>7.58</v>
      </c>
      <c r="F11" s="104">
        <f t="shared" si="2"/>
        <v>181.92000000000002</v>
      </c>
      <c r="G11" s="105">
        <f t="shared" si="0"/>
        <v>9.6452992467733634E-3</v>
      </c>
      <c r="H11" s="106" t="s">
        <v>31</v>
      </c>
      <c r="I11" s="106"/>
      <c r="J11" s="107"/>
    </row>
    <row r="12" spans="1:10" ht="13.5" x14ac:dyDescent="0.25">
      <c r="A12" s="102">
        <v>150</v>
      </c>
      <c r="B12" s="90" t="str">
        <f>IFERROR(VLOOKUP(H12,'[1]Consolidado MP Planta'!$A$2:$M$823,3,0),"")</f>
        <v>JUGO LIMON (UND=930 ml)</v>
      </c>
      <c r="C12" s="103">
        <f t="shared" si="1"/>
        <v>150</v>
      </c>
      <c r="D12" s="104">
        <f>IFERROR(VLOOKUP(H12,'[1]Consolidado MP Planta'!$A$2:$M$823,13,0),"")</f>
        <v>0</v>
      </c>
      <c r="E12" s="104">
        <v>1.78</v>
      </c>
      <c r="F12" s="104">
        <f t="shared" si="2"/>
        <v>267</v>
      </c>
      <c r="G12" s="105">
        <f t="shared" si="0"/>
        <v>1.4156194474980694E-2</v>
      </c>
      <c r="H12" s="106" t="s">
        <v>139</v>
      </c>
      <c r="I12" s="106"/>
      <c r="J12" s="107"/>
    </row>
    <row r="13" spans="1:10" ht="13.5" x14ac:dyDescent="0.25">
      <c r="A13" s="102">
        <v>75</v>
      </c>
      <c r="B13" s="90" t="str">
        <f>IFERROR(VLOOKUP(H13,'[1]Consolidado MP Planta'!$A$2:$M$823,3,0),"")</f>
        <v>LIMON EN POLVO (SACO:25 KG)</v>
      </c>
      <c r="C13" s="103">
        <f t="shared" si="1"/>
        <v>75</v>
      </c>
      <c r="D13" s="104" t="str">
        <f>IFERROR(VLOOKUP(H13,'[1]Consolidado MP Planta'!$A$2:$M$823,13,0),"")</f>
        <v>Gramos</v>
      </c>
      <c r="E13" s="104">
        <v>6</v>
      </c>
      <c r="F13" s="104">
        <f t="shared" si="2"/>
        <v>450</v>
      </c>
      <c r="G13" s="105">
        <f t="shared" si="0"/>
        <v>2.3858754733113531E-2</v>
      </c>
      <c r="H13" s="106" t="s">
        <v>140</v>
      </c>
      <c r="I13" s="106"/>
      <c r="J13" s="107"/>
    </row>
    <row r="14" spans="1:10" ht="13.5" x14ac:dyDescent="0.25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0" ht="14.25" thickBot="1" x14ac:dyDescent="0.3">
      <c r="A15" s="102"/>
      <c r="B15" s="90" t="str">
        <f>IFERROR(VLOOKUP(H15,'[2]ARTICULOS MP PLANTA'!$A$2:$G$589,2,0),"")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0" ht="26.25" thickBot="1" x14ac:dyDescent="0.25">
      <c r="A16" s="97" t="s">
        <v>93</v>
      </c>
      <c r="B16" s="98" t="s">
        <v>100</v>
      </c>
      <c r="C16" s="98" t="s">
        <v>93</v>
      </c>
      <c r="D16" s="99" t="s">
        <v>95</v>
      </c>
      <c r="E16" s="99" t="s">
        <v>96</v>
      </c>
      <c r="F16" s="99" t="s">
        <v>97</v>
      </c>
      <c r="G16" s="99" t="s">
        <v>98</v>
      </c>
      <c r="H16" s="100" t="s">
        <v>99</v>
      </c>
      <c r="I16" s="101"/>
      <c r="J16" s="107"/>
    </row>
    <row r="17" spans="1:12" ht="13.5" x14ac:dyDescent="0.25">
      <c r="A17" s="102">
        <v>600</v>
      </c>
      <c r="B17" s="90" t="str">
        <f>IFERROR(VLOOKUP(H17,[1]SEMIELABORADOS!$A$2:$M$6000,2,0),"")</f>
        <v>CREMA CHANTILLY BLANCA SPOON-IND KILO</v>
      </c>
      <c r="C17" s="103">
        <f>+A17</f>
        <v>600</v>
      </c>
      <c r="D17" s="103" t="str">
        <f>IFERROR(VLOOKUP(H17,[1]SEMIELABORADOS!$A$2:$M$6000,6,0),"")</f>
        <v>Gramo</v>
      </c>
      <c r="E17" s="104">
        <v>2.23</v>
      </c>
      <c r="F17" s="104">
        <f>IFERROR(E17*C17,"")</f>
        <v>1338</v>
      </c>
      <c r="G17" s="105">
        <f t="shared" ref="G17:G24" si="3">IFERROR(F17/$F$66,"")</f>
        <v>7.0940030739790896E-2</v>
      </c>
      <c r="H17" s="106" t="s">
        <v>34</v>
      </c>
      <c r="I17" s="106"/>
      <c r="J17" s="107"/>
    </row>
    <row r="18" spans="1:12" ht="13.5" hidden="1" x14ac:dyDescent="0.25">
      <c r="A18" s="102"/>
      <c r="B18" s="90" t="str">
        <f>IFERROR(VLOOKUP(H18,[1]SEMIELABORADOS!$A$2:$M$6000,2,0),"")</f>
        <v/>
      </c>
      <c r="C18" s="103">
        <f t="shared" ref="C18:C24" si="4">+A18</f>
        <v>0</v>
      </c>
      <c r="D18" s="103" t="str">
        <f>IFERROR(VLOOKUP(H18,[1]SEMIELABORADOS!$A$2:$M$6000,6,0),"")</f>
        <v/>
      </c>
      <c r="E18" s="104" t="str">
        <f>IFERROR(VLOOKUP(H18,[1]SEMIELABORADOS!$A$2:$H$65536,8,0),"")</f>
        <v/>
      </c>
      <c r="F18" s="104" t="str">
        <f t="shared" ref="F18:F24" si="5">IFERROR(E18*C18,"")</f>
        <v/>
      </c>
      <c r="G18" s="105" t="str">
        <f t="shared" si="3"/>
        <v/>
      </c>
      <c r="H18" s="106"/>
      <c r="I18" s="106"/>
      <c r="J18" s="107"/>
    </row>
    <row r="19" spans="1:12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12" ht="13.5" hidden="1" x14ac:dyDescent="0.25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12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12" ht="13.5" hidden="1" x14ac:dyDescent="0.25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12" ht="13.5" hidden="1" x14ac:dyDescent="0.25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12" ht="13.5" hidden="1" x14ac:dyDescent="0.25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12" ht="14.25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12" ht="26.25" thickBot="1" x14ac:dyDescent="0.25">
      <c r="A26" s="97" t="s">
        <v>93</v>
      </c>
      <c r="B26" s="98" t="s">
        <v>101</v>
      </c>
      <c r="C26" s="98" t="s">
        <v>93</v>
      </c>
      <c r="D26" s="99" t="s">
        <v>95</v>
      </c>
      <c r="E26" s="99" t="s">
        <v>96</v>
      </c>
      <c r="F26" s="99" t="s">
        <v>97</v>
      </c>
      <c r="G26" s="99" t="s">
        <v>98</v>
      </c>
      <c r="H26" s="100" t="s">
        <v>99</v>
      </c>
      <c r="I26" s="101"/>
    </row>
    <row r="27" spans="1:12" ht="13.5" x14ac:dyDescent="0.25">
      <c r="A27" s="102">
        <v>60</v>
      </c>
      <c r="B27" s="108" t="str">
        <f>IFERROR(VLOOKUP(H27,'[1]Consolidado MP Planta'!$A$2:$M$823,3,0),"")</f>
        <v>PLASTICO  AUTOAD (UND: 18 * 2000 M)</v>
      </c>
      <c r="C27" s="103">
        <f t="shared" ref="C27:C32" si="6">+A27</f>
        <v>60</v>
      </c>
      <c r="D27" s="104" t="str">
        <f>IFERROR(VLOOKUP(H27,'[1]Consolidado MP Planta'!$A$2:$M$823,13,0),"")</f>
        <v>Centimetros</v>
      </c>
      <c r="E27" s="104">
        <f>IFERROR(VLOOKUP(H27,'[1]Consolidado MP Planta'!$A$2:$M$823,12,0),"")</f>
        <v>0.80210000000000004</v>
      </c>
      <c r="F27" s="104">
        <f t="shared" ref="F27:F32" si="7">IFERROR(C27*E27,"")</f>
        <v>48.126000000000005</v>
      </c>
      <c r="G27" s="105">
        <f t="shared" ref="G27:G32" si="8">IFERROR(F27/$F$66,"")</f>
        <v>2.5516142895240486E-3</v>
      </c>
      <c r="H27" s="109" t="s">
        <v>141</v>
      </c>
      <c r="I27" s="109"/>
      <c r="J27" s="107"/>
      <c r="K27" s="279"/>
      <c r="L27" s="279"/>
    </row>
    <row r="28" spans="1:12" ht="13.5" x14ac:dyDescent="0.25">
      <c r="A28" s="102">
        <v>1</v>
      </c>
      <c r="B28" s="108" t="str">
        <f>IFERROR(VLOOKUP(H28,'[1]Consolidado MP Planta'!$A$2:$M$823,3,0),"")</f>
        <v>ETIQ.BLANCA 1 1/4 * 3/4 (UND)</v>
      </c>
      <c r="C28" s="103">
        <f t="shared" si="6"/>
        <v>1</v>
      </c>
      <c r="D28" s="104" t="str">
        <f>IFERROR(VLOOKUP(H28,'[1]Consolidado MP Planta'!$A$2:$M$823,13,0),"")</f>
        <v>Und</v>
      </c>
      <c r="E28" s="104">
        <f>IFERROR(VLOOKUP(H28,'[1]Consolidado MP Planta'!$A$2:$M$823,12,0),"")</f>
        <v>0.57999999999999996</v>
      </c>
      <c r="F28" s="104">
        <f t="shared" si="7"/>
        <v>0.57999999999999996</v>
      </c>
      <c r="G28" s="105">
        <f t="shared" si="8"/>
        <v>3.0751283878235213E-5</v>
      </c>
      <c r="H28" s="109" t="s">
        <v>64</v>
      </c>
      <c r="I28" s="109"/>
      <c r="J28" s="107"/>
      <c r="K28" s="279"/>
      <c r="L28" s="279"/>
    </row>
    <row r="29" spans="1:12" ht="13.5" hidden="1" x14ac:dyDescent="0.25">
      <c r="A29" s="102"/>
      <c r="B29" s="108" t="str">
        <f>IFERROR(VLOOKUP(H29,'[1]Consolidado MP Planta'!$A$2:$M$823,3,0),"")</f>
        <v/>
      </c>
      <c r="C29" s="103">
        <f t="shared" si="6"/>
        <v>0</v>
      </c>
      <c r="D29" s="104" t="str">
        <f>IFERROR(VLOOKUP(H29,'[1]Consolidado MP Planta'!$A$2:$M$823,13,0),"")</f>
        <v/>
      </c>
      <c r="E29" s="104" t="str">
        <f>IFERROR(VLOOKUP(H29,'[1]Consolidado MP Planta'!$A$2:$M$823,12,0),"")</f>
        <v/>
      </c>
      <c r="F29" s="104" t="str">
        <f t="shared" si="7"/>
        <v/>
      </c>
      <c r="G29" s="105" t="str">
        <f t="shared" si="8"/>
        <v/>
      </c>
      <c r="H29" s="109"/>
      <c r="I29" s="109"/>
      <c r="J29" s="107"/>
      <c r="K29" s="279"/>
      <c r="L29" s="279"/>
    </row>
    <row r="30" spans="1:12" ht="13.5" hidden="1" x14ac:dyDescent="0.25">
      <c r="A30" s="102"/>
      <c r="B30" s="108" t="str">
        <f>IFERROR(VLOOKUP(H30,'[1]Consolidado MP Planta'!$A$2:$M$823,3,0),"")</f>
        <v/>
      </c>
      <c r="C30" s="103">
        <f t="shared" si="6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7"/>
        <v/>
      </c>
      <c r="G30" s="105" t="str">
        <f t="shared" si="8"/>
        <v/>
      </c>
      <c r="H30" s="109"/>
      <c r="I30" s="109"/>
      <c r="J30" s="107"/>
      <c r="K30" s="279"/>
      <c r="L30" s="279"/>
    </row>
    <row r="31" spans="1:12" ht="13.5" hidden="1" x14ac:dyDescent="0.25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12" ht="13.5" hidden="1" x14ac:dyDescent="0.25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thickBot="1" x14ac:dyDescent="0.25">
      <c r="A34" s="97" t="s">
        <v>93</v>
      </c>
      <c r="B34" s="98" t="s">
        <v>102</v>
      </c>
      <c r="C34" s="98" t="s">
        <v>93</v>
      </c>
      <c r="D34" s="99" t="s">
        <v>95</v>
      </c>
      <c r="E34" s="99" t="s">
        <v>96</v>
      </c>
      <c r="F34" s="99" t="s">
        <v>97</v>
      </c>
      <c r="G34" s="99" t="s">
        <v>98</v>
      </c>
      <c r="H34" s="100" t="s">
        <v>99</v>
      </c>
      <c r="I34" s="109"/>
      <c r="J34" s="107"/>
    </row>
    <row r="35" spans="1:13" ht="13.5" x14ac:dyDescent="0.25">
      <c r="A35" s="102">
        <f>+A17</f>
        <v>600</v>
      </c>
      <c r="B35" s="108" t="str">
        <f>IFERROR(VLOOKUP(H35,[1]SEMIELABORADOS!$A$2:$M$6000,2,0),"")</f>
        <v>CREMA CHANTILLY BLANCA SPOON-IND KILO</v>
      </c>
      <c r="C35" s="103">
        <f>+A35</f>
        <v>600</v>
      </c>
      <c r="D35" s="104" t="str">
        <f>IFERROR(VLOOKUP(H35,[1]SEMIELABORADOS!$A$2:$M$6000,6,0),"")</f>
        <v>Gramo</v>
      </c>
      <c r="E35" s="104">
        <f>IFERROR(VLOOKUP(H35,[1]SEMIELABORADOS!$A$2:$M$65536,10,0),"")</f>
        <v>2.7884615384615379E-5</v>
      </c>
      <c r="F35" s="104">
        <f>IFERROR(E35*C35,"")</f>
        <v>1.6730769230769226E-2</v>
      </c>
      <c r="G35" s="105">
        <f t="shared" ref="G35:G41" si="9">IFERROR(F35/$F$66,"")</f>
        <v>8.8705626571832333E-7</v>
      </c>
      <c r="H35" s="109" t="s">
        <v>34</v>
      </c>
      <c r="I35" s="109"/>
      <c r="J35" s="107"/>
    </row>
    <row r="36" spans="1:13" ht="13.5" hidden="1" x14ac:dyDescent="0.25">
      <c r="A36" s="102">
        <f t="shared" ref="A36:A41" si="10">+A18</f>
        <v>0</v>
      </c>
      <c r="B36" s="108" t="str">
        <f>IFERROR(VLOOKUP(H36,[1]SEMIELABORADOS!$A$2:$M$6000,2,0),"")</f>
        <v/>
      </c>
      <c r="C36" s="103">
        <f t="shared" ref="C36:C41" si="11">+A36</f>
        <v>0</v>
      </c>
      <c r="D36" s="104" t="str">
        <f>IFERROR(VLOOKUP(H36,[1]SEMIELABORADOS!$A$2:$M$6000,6,0),"")</f>
        <v/>
      </c>
      <c r="E36" s="104" t="str">
        <f>IFERROR(VLOOKUP(H36,[1]SEMIELABORADOS!$A$2:$M$65536,10,0),"")</f>
        <v/>
      </c>
      <c r="F36" s="104" t="str">
        <f t="shared" ref="F36:F41" si="12">IFERROR(E36*C36,"")</f>
        <v/>
      </c>
      <c r="G36" s="105" t="str">
        <f t="shared" si="9"/>
        <v/>
      </c>
      <c r="H36" s="109"/>
      <c r="I36" s="109"/>
      <c r="J36" s="107"/>
    </row>
    <row r="37" spans="1:13" ht="13.5" hidden="1" x14ac:dyDescent="0.25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3.5" hidden="1" x14ac:dyDescent="0.25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3.5" hidden="1" x14ac:dyDescent="0.25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3.5" hidden="1" x14ac:dyDescent="0.25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3.5" hidden="1" x14ac:dyDescent="0.25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25">
      <c r="A43" s="97" t="s">
        <v>93</v>
      </c>
      <c r="B43" s="98" t="s">
        <v>103</v>
      </c>
      <c r="C43" s="98" t="s">
        <v>93</v>
      </c>
      <c r="D43" s="99" t="s">
        <v>95</v>
      </c>
      <c r="E43" s="99" t="s">
        <v>96</v>
      </c>
      <c r="F43" s="99" t="s">
        <v>97</v>
      </c>
      <c r="G43" s="99" t="s">
        <v>98</v>
      </c>
      <c r="H43" s="100" t="s">
        <v>99</v>
      </c>
      <c r="I43" s="101"/>
      <c r="J43" s="107"/>
    </row>
    <row r="44" spans="1:13" ht="13.5" x14ac:dyDescent="0.25">
      <c r="A44" s="102">
        <f>+A35</f>
        <v>600</v>
      </c>
      <c r="B44" s="108" t="str">
        <f>IFERROR(VLOOKUP(H44,[1]SEMIELABORADOS!$A$2:$M$6000,2,0),"")</f>
        <v>CREMA CHANTILLY BLANCA SPOON-IND KILO</v>
      </c>
      <c r="C44" s="103">
        <f>+A44</f>
        <v>600</v>
      </c>
      <c r="D44" s="104" t="str">
        <f>IFERROR(VLOOKUP(H44,[1]SEMIELABORADOS!$A$2:$M$6000,6,0),"")</f>
        <v>Gramo</v>
      </c>
      <c r="E44" s="104">
        <f>IFERROR(VLOOKUP(H44,[1]SEMIELABORADOS!$A$2:$M$65536,12,0),"")</f>
        <v>0.41607800376923076</v>
      </c>
      <c r="F44" s="104">
        <f>IFERROR(E44*C44,"")</f>
        <v>249.64680226153845</v>
      </c>
      <c r="G44" s="105">
        <f>IFERROR(F44/$F$66,"")</f>
        <v>1.3236137389031418E-2</v>
      </c>
      <c r="H44" s="109" t="s">
        <v>34</v>
      </c>
      <c r="I44" s="101"/>
      <c r="J44" s="107"/>
    </row>
    <row r="45" spans="1:13" ht="13.5" hidden="1" x14ac:dyDescent="0.25">
      <c r="A45" s="102">
        <f t="shared" ref="A45:A50" si="13">+A36</f>
        <v>0</v>
      </c>
      <c r="B45" s="108" t="str">
        <f>IFERROR(VLOOKUP(H45,[1]SEMIELABORADOS!$A$2:$M$6000,2,0),"")</f>
        <v/>
      </c>
      <c r="C45" s="103">
        <f t="shared" ref="C45:C50" si="14">+A45</f>
        <v>0</v>
      </c>
      <c r="D45" s="104" t="str">
        <f>IFERROR(VLOOKUP(H45,[1]SEMIELABORADOS!$A$2:$M$6000,6,0),"")</f>
        <v/>
      </c>
      <c r="E45" s="104" t="str">
        <f>IFERROR(VLOOKUP(H45,[1]SEMIELABORADOS!$A$2:$M$65536,12,0),"")</f>
        <v/>
      </c>
      <c r="F45" s="104" t="str">
        <f t="shared" ref="F45:F50" si="15">IFERROR(E45*C45,"")</f>
        <v/>
      </c>
      <c r="G45" s="105" t="str">
        <f t="shared" ref="G45:G50" si="16">IFERROR(F45/$F$66,"")</f>
        <v/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104</v>
      </c>
      <c r="C51" s="103">
        <f>+A51</f>
        <v>1</v>
      </c>
      <c r="D51" s="103" t="s">
        <v>105</v>
      </c>
      <c r="E51" s="104">
        <f>+F65</f>
        <v>77</v>
      </c>
      <c r="F51" s="104">
        <f>IFERROR(C51*E51,"")</f>
        <v>77</v>
      </c>
      <c r="G51" s="105">
        <f>IFERROR(F51/$F$66,"")</f>
        <v>4.0824980321105377E-3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25">
      <c r="A53" s="114"/>
      <c r="B53" s="280" t="s">
        <v>106</v>
      </c>
      <c r="C53" s="280"/>
      <c r="D53" s="280"/>
      <c r="E53" s="280"/>
      <c r="F53" s="116">
        <f>SUM(F8:F14,F17:F24)</f>
        <v>18367.919999999998</v>
      </c>
      <c r="G53" s="105">
        <f>+F53/$F$66</f>
        <v>0.97385710719433471</v>
      </c>
      <c r="H53" s="117">
        <f>+F53/$D$60</f>
        <v>18367.919999999998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80" t="s">
        <v>107</v>
      </c>
      <c r="C54" s="280"/>
      <c r="D54" s="280"/>
      <c r="E54" s="280"/>
      <c r="F54" s="116">
        <f>SUM(F27:F32,F35:F41)</f>
        <v>48.722730769230772</v>
      </c>
      <c r="G54" s="105">
        <f>+F54/$F$66</f>
        <v>2.5832526296680021E-3</v>
      </c>
      <c r="H54" s="117">
        <f>+F54/$D$60</f>
        <v>48.722730769230772</v>
      </c>
      <c r="I54" s="117"/>
      <c r="J54" s="121"/>
      <c r="K54" s="281" t="s">
        <v>108</v>
      </c>
      <c r="L54" s="282"/>
      <c r="M54" s="282"/>
      <c r="N54" s="282"/>
      <c r="O54" s="122">
        <f>+F55</f>
        <v>18416.642730769228</v>
      </c>
      <c r="P54" s="122"/>
      <c r="Q54" s="123"/>
    </row>
    <row r="55" spans="1:17" x14ac:dyDescent="0.2">
      <c r="A55" s="114"/>
      <c r="B55" s="280" t="s">
        <v>109</v>
      </c>
      <c r="C55" s="280"/>
      <c r="D55" s="280"/>
      <c r="E55" s="280"/>
      <c r="F55" s="116">
        <f>+F53+F54</f>
        <v>18416.642730769228</v>
      </c>
      <c r="G55" s="105">
        <f>+F55/$F$66</f>
        <v>0.97644035982400268</v>
      </c>
      <c r="H55" s="117">
        <f>+F55/$D$60</f>
        <v>18416.642730769228</v>
      </c>
      <c r="I55" s="117"/>
      <c r="J55" s="124"/>
      <c r="K55" s="125"/>
      <c r="M55" s="126" t="s">
        <v>110</v>
      </c>
      <c r="N55" s="127"/>
      <c r="O55" s="122">
        <f>+H56</f>
        <v>326.64680226153848</v>
      </c>
      <c r="P55" s="122"/>
      <c r="Q55" s="123"/>
    </row>
    <row r="56" spans="1:17" ht="13.5" thickBot="1" x14ac:dyDescent="0.25">
      <c r="A56" s="114"/>
      <c r="B56" s="115"/>
      <c r="C56" s="280" t="s">
        <v>111</v>
      </c>
      <c r="D56" s="280"/>
      <c r="E56" s="280"/>
      <c r="F56" s="116">
        <f>SUM(F44:F51)</f>
        <v>326.64680226153848</v>
      </c>
      <c r="G56" s="105">
        <f>+F56/$F$66</f>
        <v>1.7318635421141957E-2</v>
      </c>
      <c r="H56" s="117">
        <f>+F56/$D$60</f>
        <v>326.64680226153848</v>
      </c>
      <c r="I56" s="117"/>
      <c r="J56" s="124"/>
      <c r="K56" s="125"/>
      <c r="L56" s="125"/>
      <c r="M56" s="125" t="s">
        <v>112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113</v>
      </c>
      <c r="N57" s="134"/>
      <c r="O57" s="135">
        <f>SUM(O54:O56)</f>
        <v>18743.289533030766</v>
      </c>
      <c r="P57" s="136"/>
      <c r="Q57" s="123"/>
    </row>
    <row r="58" spans="1:17" x14ac:dyDescent="0.2">
      <c r="B58" s="284" t="s">
        <v>114</v>
      </c>
      <c r="C58" s="284"/>
      <c r="D58" s="137">
        <v>6000</v>
      </c>
      <c r="E58" s="138"/>
      <c r="G58" s="105"/>
      <c r="H58" s="131">
        <f>+H56/77</f>
        <v>4.2421662631368635</v>
      </c>
      <c r="I58" s="139"/>
      <c r="J58" s="124"/>
      <c r="K58" s="132"/>
      <c r="L58" s="125"/>
      <c r="M58" s="125" t="s">
        <v>115</v>
      </c>
      <c r="N58" s="140"/>
      <c r="O58" s="122">
        <f>+H59</f>
        <v>271.49864084075926</v>
      </c>
      <c r="P58" s="122"/>
      <c r="Q58" s="123"/>
    </row>
    <row r="59" spans="1:17" x14ac:dyDescent="0.2">
      <c r="B59" s="284" t="s">
        <v>116</v>
      </c>
      <c r="C59" s="284"/>
      <c r="D59" s="141">
        <v>6000</v>
      </c>
      <c r="E59" s="138"/>
      <c r="G59" s="105"/>
      <c r="H59" s="131">
        <f>+H58*64</f>
        <v>271.49864084075926</v>
      </c>
      <c r="I59" s="139"/>
      <c r="J59" s="124"/>
      <c r="K59" s="132"/>
      <c r="L59" s="125"/>
      <c r="M59" s="285" t="s">
        <v>113</v>
      </c>
      <c r="N59" s="285"/>
      <c r="O59" s="122">
        <f>SUM(O57:O58)</f>
        <v>19014.788173871526</v>
      </c>
      <c r="P59" s="122"/>
      <c r="Q59" s="123"/>
    </row>
    <row r="60" spans="1:17" ht="13.5" thickBot="1" x14ac:dyDescent="0.25">
      <c r="B60" s="286" t="s">
        <v>117</v>
      </c>
      <c r="C60" s="286"/>
      <c r="D60" s="137">
        <f>+D58/D59</f>
        <v>1</v>
      </c>
      <c r="E60" s="138"/>
      <c r="F60" s="142"/>
      <c r="G60" s="105"/>
      <c r="H60" s="131"/>
      <c r="I60" s="139"/>
      <c r="J60" s="124"/>
      <c r="K60" s="132"/>
      <c r="L60" s="285"/>
      <c r="M60" s="285"/>
      <c r="N60" s="140"/>
      <c r="O60" s="122">
        <f>+O59*N60</f>
        <v>0</v>
      </c>
      <c r="P60" s="122"/>
      <c r="Q60" s="123"/>
    </row>
    <row r="61" spans="1:17" ht="13.5" thickBot="1" x14ac:dyDescent="0.25">
      <c r="B61" s="286" t="s">
        <v>118</v>
      </c>
      <c r="C61" s="286"/>
      <c r="D61" s="143"/>
      <c r="E61" s="138"/>
      <c r="F61" s="142"/>
      <c r="G61" s="105"/>
      <c r="H61" s="131"/>
      <c r="I61" s="139"/>
      <c r="J61" s="124"/>
      <c r="K61" s="287" t="s">
        <v>119</v>
      </c>
      <c r="L61" s="288"/>
      <c r="M61" s="288"/>
      <c r="N61" s="289"/>
      <c r="O61" s="135">
        <f>SUM(O59:O60)</f>
        <v>19014.788173871526</v>
      </c>
      <c r="P61" s="144" t="s">
        <v>120</v>
      </c>
      <c r="Q61" s="123"/>
    </row>
    <row r="62" spans="1:17" ht="13.5" thickBot="1" x14ac:dyDescent="0.25">
      <c r="C62" s="114" t="s">
        <v>121</v>
      </c>
      <c r="D62" s="145"/>
      <c r="E62" s="88" t="s">
        <v>122</v>
      </c>
      <c r="F62" s="146" t="s">
        <v>123</v>
      </c>
      <c r="G62" s="105"/>
      <c r="H62" s="131"/>
      <c r="I62" s="139"/>
      <c r="J62" s="147"/>
      <c r="K62" s="148"/>
      <c r="L62" s="295" t="s">
        <v>124</v>
      </c>
      <c r="M62" s="295"/>
      <c r="N62" s="295"/>
      <c r="O62" s="149">
        <f>+O61/D60</f>
        <v>19014.788173871526</v>
      </c>
      <c r="P62" s="150">
        <f>+O62/D59</f>
        <v>3.1691313623119211</v>
      </c>
      <c r="Q62" s="151"/>
    </row>
    <row r="63" spans="1:17" ht="13.5" thickBot="1" x14ac:dyDescent="0.25">
      <c r="B63" s="296" t="s">
        <v>109</v>
      </c>
      <c r="C63" s="296"/>
      <c r="D63" s="296"/>
      <c r="E63" s="152">
        <f>+F63/F63</f>
        <v>1</v>
      </c>
      <c r="F63" s="153">
        <f>SUM(F55)</f>
        <v>18416.642730769228</v>
      </c>
      <c r="G63" s="105">
        <f>+F63/$F$66</f>
        <v>0.97644035982400268</v>
      </c>
      <c r="H63" s="131"/>
      <c r="I63" s="139"/>
      <c r="K63" s="297"/>
      <c r="L63" s="298"/>
      <c r="M63" s="298"/>
      <c r="N63" s="298"/>
      <c r="O63" s="154"/>
      <c r="P63" s="155"/>
    </row>
    <row r="64" spans="1:17" ht="13.5" thickBot="1" x14ac:dyDescent="0.25">
      <c r="B64" s="299" t="s">
        <v>125</v>
      </c>
      <c r="C64" s="299"/>
      <c r="D64" s="299"/>
      <c r="E64" s="156">
        <v>0.02</v>
      </c>
      <c r="F64" s="153">
        <f>+F53*E64</f>
        <v>367.35839999999996</v>
      </c>
      <c r="G64" s="105">
        <f>+F64/$F$66</f>
        <v>1.9477142143886694E-2</v>
      </c>
      <c r="H64" s="117"/>
      <c r="I64" s="139"/>
      <c r="J64" s="157"/>
      <c r="O64" s="158"/>
      <c r="P64" s="115"/>
    </row>
    <row r="65" spans="2:13" ht="13.5" thickBot="1" x14ac:dyDescent="0.25">
      <c r="B65" s="300" t="s">
        <v>126</v>
      </c>
      <c r="C65" s="301"/>
      <c r="D65" s="159">
        <v>1</v>
      </c>
      <c r="E65" s="160">
        <v>77</v>
      </c>
      <c r="F65" s="153">
        <f>+E65*D65</f>
        <v>77</v>
      </c>
      <c r="G65" s="105">
        <f>+F65/$F$66</f>
        <v>4.0824980321105377E-3</v>
      </c>
      <c r="H65" s="117"/>
      <c r="I65" s="117"/>
      <c r="J65" s="107"/>
    </row>
    <row r="66" spans="2:13" ht="13.5" thickBot="1" x14ac:dyDescent="0.25">
      <c r="B66" s="302" t="s">
        <v>127</v>
      </c>
      <c r="C66" s="303"/>
      <c r="D66" s="303"/>
      <c r="E66" s="304"/>
      <c r="F66" s="130">
        <f>SUM(F63:F65)</f>
        <v>18861.001130769229</v>
      </c>
      <c r="G66" s="105">
        <f>+F66/$F$66</f>
        <v>1</v>
      </c>
      <c r="H66" s="283"/>
      <c r="I66" s="117"/>
      <c r="J66" s="107"/>
      <c r="M66" s="90" t="s">
        <v>128</v>
      </c>
    </row>
    <row r="67" spans="2:13" x14ac:dyDescent="0.2">
      <c r="C67" s="112"/>
      <c r="D67" s="112"/>
      <c r="E67" s="162"/>
      <c r="F67" s="153"/>
      <c r="G67" s="105"/>
      <c r="H67" s="283"/>
      <c r="I67" s="161"/>
      <c r="J67" s="90"/>
      <c r="M67" s="90" t="s">
        <v>129</v>
      </c>
    </row>
    <row r="68" spans="2:13" ht="13.5" thickBot="1" x14ac:dyDescent="0.25">
      <c r="B68" s="290" t="s">
        <v>130</v>
      </c>
      <c r="C68" s="290"/>
      <c r="D68" s="290"/>
      <c r="E68" s="290"/>
      <c r="F68" s="290"/>
      <c r="G68" s="105"/>
      <c r="H68" s="164"/>
      <c r="I68" s="161"/>
      <c r="J68" s="90"/>
      <c r="M68" s="90" t="s">
        <v>131</v>
      </c>
    </row>
    <row r="69" spans="2:13" ht="13.5" thickBot="1" x14ac:dyDescent="0.25">
      <c r="B69" s="165" t="s">
        <v>132</v>
      </c>
      <c r="C69" s="166">
        <f>+F53</f>
        <v>18367.919999999998</v>
      </c>
      <c r="D69" s="166">
        <f>+D58</f>
        <v>6000</v>
      </c>
      <c r="E69" s="167">
        <f>+C69/D69</f>
        <v>3.0613199999999998</v>
      </c>
      <c r="F69" s="105"/>
      <c r="G69" s="164"/>
      <c r="H69" s="107"/>
      <c r="I69" s="164"/>
      <c r="J69" s="90"/>
    </row>
    <row r="70" spans="2:13" x14ac:dyDescent="0.2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3" x14ac:dyDescent="0.2">
      <c r="B71" s="165" t="s">
        <v>133</v>
      </c>
      <c r="C71" s="166">
        <f>SUM(F63:F64)</f>
        <v>18784.001130769229</v>
      </c>
      <c r="D71" s="166">
        <f>+D58</f>
        <v>6000</v>
      </c>
      <c r="E71" s="171">
        <f>+C71/D71</f>
        <v>3.1306668551282049</v>
      </c>
      <c r="F71" s="105"/>
      <c r="G71" s="164"/>
      <c r="H71" s="107"/>
      <c r="I71" s="107"/>
      <c r="J71" s="90"/>
    </row>
    <row r="72" spans="2:13" x14ac:dyDescent="0.2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3" ht="13.5" thickBot="1" x14ac:dyDescent="0.25">
      <c r="B73" s="165" t="s">
        <v>134</v>
      </c>
      <c r="C73" s="166">
        <f>+F65</f>
        <v>77</v>
      </c>
      <c r="D73" s="166">
        <f>+D58</f>
        <v>6000</v>
      </c>
      <c r="E73" s="171">
        <f>+C73/D73</f>
        <v>1.2833333333333334E-2</v>
      </c>
      <c r="F73" s="105"/>
      <c r="G73" s="164"/>
      <c r="H73" s="107"/>
      <c r="I73" s="107"/>
      <c r="J73" s="90"/>
    </row>
    <row r="74" spans="2:13" ht="13.5" thickBot="1" x14ac:dyDescent="0.25">
      <c r="B74" s="165" t="s">
        <v>135</v>
      </c>
      <c r="C74" s="166">
        <f>+F56</f>
        <v>326.64680226153848</v>
      </c>
      <c r="D74" s="166">
        <f>+D73</f>
        <v>6000</v>
      </c>
      <c r="E74" s="167">
        <f>+C74/D74</f>
        <v>5.4441133710256412E-2</v>
      </c>
      <c r="F74" s="105"/>
      <c r="G74" s="164"/>
      <c r="H74" s="107"/>
      <c r="I74" s="107"/>
      <c r="J74" s="90"/>
    </row>
    <row r="75" spans="2:13" ht="13.5" thickBot="1" x14ac:dyDescent="0.25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3" ht="13.5" thickBot="1" x14ac:dyDescent="0.25">
      <c r="B76" s="165" t="s">
        <v>136</v>
      </c>
      <c r="C76" s="166">
        <f>+F54</f>
        <v>48.722730769230772</v>
      </c>
      <c r="D76" s="166">
        <f>+D74</f>
        <v>6000</v>
      </c>
      <c r="E76" s="167">
        <f>+C76/D76</f>
        <v>8.1204551282051292E-3</v>
      </c>
      <c r="F76" s="105"/>
      <c r="G76" s="164"/>
      <c r="H76" s="107"/>
      <c r="I76" s="107"/>
      <c r="J76" s="107"/>
    </row>
    <row r="77" spans="2:13" ht="13.5" thickBot="1" x14ac:dyDescent="0.25">
      <c r="B77" s="129"/>
      <c r="C77" s="130"/>
      <c r="D77" s="130"/>
      <c r="E77" s="171"/>
      <c r="F77" s="105"/>
      <c r="G77" s="164"/>
      <c r="H77" s="107"/>
      <c r="I77" s="107"/>
    </row>
    <row r="78" spans="2:13" ht="13.5" thickBot="1" x14ac:dyDescent="0.25">
      <c r="B78" s="291" t="s">
        <v>137</v>
      </c>
      <c r="C78" s="292"/>
      <c r="D78" s="293"/>
      <c r="E78" s="167">
        <f>+E69+E74</f>
        <v>3.1157611337102562</v>
      </c>
      <c r="G78" s="105"/>
      <c r="H78" s="164"/>
      <c r="I78" s="107"/>
      <c r="J78" s="171"/>
    </row>
    <row r="79" spans="2:13" x14ac:dyDescent="0.2">
      <c r="I79" s="164"/>
      <c r="J79" s="90"/>
    </row>
    <row r="80" spans="2:13" ht="13.5" thickBot="1" x14ac:dyDescent="0.25">
      <c r="B80" s="290" t="s">
        <v>138</v>
      </c>
      <c r="C80" s="290"/>
      <c r="D80" s="290"/>
      <c r="E80" s="290"/>
      <c r="F80" s="290"/>
      <c r="G80" s="105"/>
      <c r="H80" s="164"/>
      <c r="J80" s="90"/>
    </row>
    <row r="81" spans="1:10" ht="13.5" thickBot="1" x14ac:dyDescent="0.25">
      <c r="B81" s="165" t="s">
        <v>132</v>
      </c>
      <c r="C81" s="166">
        <f>+C69</f>
        <v>18367.919999999998</v>
      </c>
      <c r="D81" s="166">
        <f>+D60</f>
        <v>1</v>
      </c>
      <c r="E81" s="167">
        <f>+C81/D81</f>
        <v>18367.919999999998</v>
      </c>
      <c r="F81" s="105"/>
      <c r="G81" s="164"/>
      <c r="H81" s="107"/>
      <c r="I81" s="164"/>
      <c r="J81" s="90"/>
    </row>
    <row r="82" spans="1:10" x14ac:dyDescent="0.2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">
      <c r="B83" s="165" t="s">
        <v>133</v>
      </c>
      <c r="C83" s="166">
        <f>+C71</f>
        <v>18784.001130769229</v>
      </c>
      <c r="D83" s="166">
        <f>+D60</f>
        <v>1</v>
      </c>
      <c r="E83" s="171">
        <f>+C83/D83</f>
        <v>18784.001130769229</v>
      </c>
      <c r="F83" s="105"/>
      <c r="G83" s="164"/>
      <c r="H83" s="107"/>
      <c r="I83" s="107"/>
      <c r="J83" s="90"/>
    </row>
    <row r="84" spans="1:10" x14ac:dyDescent="0.2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25">
      <c r="B85" s="165" t="s">
        <v>135</v>
      </c>
      <c r="C85" s="166">
        <f>+C73</f>
        <v>77</v>
      </c>
      <c r="D85" s="166">
        <f>+D60</f>
        <v>1</v>
      </c>
      <c r="E85" s="171">
        <f>+C85/D85</f>
        <v>77</v>
      </c>
      <c r="F85" s="173"/>
      <c r="G85" s="163"/>
      <c r="H85" s="89"/>
      <c r="I85" s="107"/>
    </row>
    <row r="86" spans="1:10" ht="13.5" thickBot="1" x14ac:dyDescent="0.25">
      <c r="B86" s="165" t="s">
        <v>135</v>
      </c>
      <c r="C86" s="166">
        <f>+C74</f>
        <v>326.64680226153848</v>
      </c>
      <c r="D86" s="166">
        <f>+D85</f>
        <v>1</v>
      </c>
      <c r="E86" s="167">
        <f>+C86/D86</f>
        <v>326.64680226153848</v>
      </c>
      <c r="F86" s="172"/>
      <c r="G86" s="163"/>
      <c r="H86" s="89"/>
      <c r="I86" s="89"/>
    </row>
    <row r="87" spans="1:10" x14ac:dyDescent="0.2">
      <c r="I87" s="89"/>
    </row>
    <row r="88" spans="1:10" x14ac:dyDescent="0.2">
      <c r="A88" s="294"/>
      <c r="B88" s="294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58:C58"/>
    <mergeCell ref="B59:C59"/>
    <mergeCell ref="M59:N59"/>
    <mergeCell ref="B60:C60"/>
    <mergeCell ref="L60:M60"/>
    <mergeCell ref="B61:C61"/>
    <mergeCell ref="K61:N61"/>
    <mergeCell ref="K30:L30"/>
    <mergeCell ref="B53:E53"/>
    <mergeCell ref="B54:E54"/>
    <mergeCell ref="K54:N54"/>
    <mergeCell ref="B55:E55"/>
    <mergeCell ref="C56:E56"/>
    <mergeCell ref="A4:H4"/>
    <mergeCell ref="A5:H5"/>
    <mergeCell ref="F6:G6"/>
    <mergeCell ref="K27:L27"/>
    <mergeCell ref="K28:L28"/>
    <mergeCell ref="K29:L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1D4C-BD1C-4CCD-A44A-3C34B6304A75}">
  <dimension ref="A1:M39"/>
  <sheetViews>
    <sheetView workbookViewId="0">
      <selection activeCell="D16" sqref="D16"/>
    </sheetView>
  </sheetViews>
  <sheetFormatPr baseColWidth="10" defaultRowHeight="13.5" x14ac:dyDescent="0.25"/>
  <cols>
    <col min="1" max="1" width="16.28515625" style="1" customWidth="1"/>
    <col min="2" max="2" width="15.28515625" style="1" customWidth="1"/>
    <col min="3" max="3" width="38" style="1" customWidth="1"/>
    <col min="4" max="6" width="11.42578125" style="1"/>
    <col min="7" max="7" width="13.85546875" style="1" customWidth="1"/>
    <col min="8" max="8" width="19.28515625" style="1" customWidth="1"/>
    <col min="9" max="9" width="15.7109375" style="1" customWidth="1"/>
    <col min="10" max="16384" width="11.42578125" style="1"/>
  </cols>
  <sheetData>
    <row r="1" spans="1:10" ht="15.75" x14ac:dyDescent="0.25">
      <c r="A1" s="190"/>
      <c r="B1" s="191"/>
      <c r="C1" s="198" t="s">
        <v>21</v>
      </c>
      <c r="D1" s="198"/>
      <c r="E1" s="198"/>
      <c r="F1" s="198"/>
      <c r="G1" s="306"/>
      <c r="H1" s="3" t="s">
        <v>0</v>
      </c>
      <c r="I1" s="83"/>
    </row>
    <row r="2" spans="1:10" ht="16.5" thickBot="1" x14ac:dyDescent="0.3">
      <c r="A2" s="192"/>
      <c r="B2" s="193"/>
      <c r="C2" s="199" t="s">
        <v>1</v>
      </c>
      <c r="D2" s="199"/>
      <c r="E2" s="199"/>
      <c r="F2" s="199"/>
      <c r="G2" s="307"/>
      <c r="H2" s="3" t="s">
        <v>2</v>
      </c>
      <c r="I2" s="84"/>
    </row>
    <row r="3" spans="1:10" ht="49.9" customHeight="1" thickBot="1" x14ac:dyDescent="0.3">
      <c r="A3" s="192"/>
      <c r="B3" s="193"/>
      <c r="C3" s="200" t="s">
        <v>144</v>
      </c>
      <c r="D3" s="201"/>
      <c r="E3" s="201"/>
      <c r="F3" s="201"/>
      <c r="G3" s="201"/>
      <c r="H3" s="308" t="s">
        <v>3</v>
      </c>
      <c r="I3" s="309"/>
      <c r="J3" s="305"/>
    </row>
    <row r="4" spans="1:10" x14ac:dyDescent="0.25">
      <c r="A4" s="192"/>
      <c r="B4" s="193"/>
      <c r="C4" s="4" t="s">
        <v>4</v>
      </c>
      <c r="D4" s="208" t="s">
        <v>53</v>
      </c>
      <c r="E4" s="209"/>
      <c r="F4" s="209"/>
      <c r="G4" s="209"/>
      <c r="H4" s="308"/>
      <c r="I4" s="309"/>
      <c r="J4" s="305"/>
    </row>
    <row r="5" spans="1:10" ht="15" customHeight="1" thickBot="1" x14ac:dyDescent="0.3">
      <c r="A5" s="194"/>
      <c r="B5" s="195"/>
      <c r="C5" s="5" t="s">
        <v>5</v>
      </c>
      <c r="D5" s="211" t="s">
        <v>52</v>
      </c>
      <c r="E5" s="212"/>
      <c r="F5" s="212"/>
      <c r="G5" s="212"/>
      <c r="H5" s="308"/>
      <c r="I5" s="309"/>
    </row>
    <row r="6" spans="1:10" ht="15" customHeight="1" thickBot="1" x14ac:dyDescent="0.3">
      <c r="A6" s="225" t="s">
        <v>83</v>
      </c>
      <c r="B6" s="226"/>
      <c r="C6" s="226"/>
      <c r="D6" s="227" t="s">
        <v>85</v>
      </c>
      <c r="E6" s="227"/>
      <c r="F6" s="227"/>
      <c r="G6" s="224" t="s">
        <v>84</v>
      </c>
      <c r="H6" s="224"/>
      <c r="I6" s="81" t="s">
        <v>86</v>
      </c>
    </row>
    <row r="7" spans="1:10" x14ac:dyDescent="0.25">
      <c r="A7" s="228" t="s">
        <v>6</v>
      </c>
      <c r="B7" s="222" t="s">
        <v>45</v>
      </c>
      <c r="C7" s="214" t="s">
        <v>7</v>
      </c>
      <c r="D7" s="214" t="s">
        <v>8</v>
      </c>
      <c r="E7" s="214" t="s">
        <v>22</v>
      </c>
      <c r="F7" s="214"/>
      <c r="G7" s="216" t="s">
        <v>12</v>
      </c>
      <c r="H7" s="217"/>
      <c r="I7" s="218"/>
    </row>
    <row r="8" spans="1:10" ht="27" thickBot="1" x14ac:dyDescent="0.3">
      <c r="A8" s="229"/>
      <c r="B8" s="223"/>
      <c r="C8" s="215"/>
      <c r="D8" s="215"/>
      <c r="E8" s="52" t="s">
        <v>9</v>
      </c>
      <c r="F8" s="53" t="s">
        <v>10</v>
      </c>
      <c r="G8" s="219" t="s">
        <v>9</v>
      </c>
      <c r="H8" s="220"/>
      <c r="I8" s="221"/>
    </row>
    <row r="9" spans="1:10" s="36" customFormat="1" ht="15.75" x14ac:dyDescent="0.25">
      <c r="A9" s="54"/>
      <c r="B9" s="54" t="s">
        <v>143</v>
      </c>
      <c r="C9" s="55" t="s">
        <v>51</v>
      </c>
      <c r="D9" s="33" t="s">
        <v>44</v>
      </c>
      <c r="E9" s="44">
        <v>160</v>
      </c>
      <c r="F9" s="37" t="s">
        <v>11</v>
      </c>
      <c r="G9" s="63"/>
      <c r="H9" s="34"/>
      <c r="I9" s="35"/>
      <c r="J9" s="36">
        <f>160/1000</f>
        <v>0.16</v>
      </c>
    </row>
    <row r="10" spans="1:10" s="36" customFormat="1" ht="15.75" x14ac:dyDescent="0.25">
      <c r="A10" s="54"/>
      <c r="B10" s="54"/>
      <c r="C10" s="55"/>
      <c r="D10" s="33"/>
      <c r="E10" s="37"/>
      <c r="F10" s="37"/>
      <c r="G10" s="63"/>
      <c r="H10" s="34"/>
      <c r="I10" s="35"/>
    </row>
    <row r="11" spans="1:10" s="36" customFormat="1" ht="15.75" x14ac:dyDescent="0.25">
      <c r="A11" s="56"/>
      <c r="B11" s="56"/>
      <c r="C11" s="82" t="s">
        <v>70</v>
      </c>
      <c r="D11" s="37"/>
      <c r="E11" s="45"/>
      <c r="F11" s="37"/>
      <c r="G11" s="64"/>
      <c r="H11" s="38"/>
      <c r="I11" s="39"/>
    </row>
    <row r="12" spans="1:10" s="36" customFormat="1" ht="15.75" x14ac:dyDescent="0.25">
      <c r="A12" s="68" t="s">
        <v>71</v>
      </c>
      <c r="B12" s="68" t="s">
        <v>72</v>
      </c>
      <c r="C12" s="66" t="s">
        <v>73</v>
      </c>
      <c r="D12" s="71" t="s">
        <v>74</v>
      </c>
      <c r="E12" s="26">
        <v>1</v>
      </c>
      <c r="F12" s="27" t="s">
        <v>69</v>
      </c>
      <c r="G12" s="64"/>
      <c r="H12" s="38"/>
      <c r="I12" s="40"/>
    </row>
    <row r="13" spans="1:10" s="36" customFormat="1" ht="15.75" x14ac:dyDescent="0.25">
      <c r="A13" s="68" t="s">
        <v>75</v>
      </c>
      <c r="B13" s="68" t="s">
        <v>76</v>
      </c>
      <c r="C13" s="66" t="s">
        <v>77</v>
      </c>
      <c r="D13" s="71" t="s">
        <v>74</v>
      </c>
      <c r="E13" s="26">
        <v>1</v>
      </c>
      <c r="F13" s="27" t="s">
        <v>69</v>
      </c>
      <c r="G13" s="64"/>
      <c r="H13" s="38"/>
      <c r="I13" s="40"/>
    </row>
    <row r="14" spans="1:10" ht="15" x14ac:dyDescent="0.25">
      <c r="A14" s="68" t="s">
        <v>64</v>
      </c>
      <c r="B14" s="68" t="s">
        <v>78</v>
      </c>
      <c r="C14" s="66" t="s">
        <v>66</v>
      </c>
      <c r="D14" s="71" t="s">
        <v>67</v>
      </c>
      <c r="E14" s="26">
        <v>1</v>
      </c>
      <c r="F14" s="27" t="s">
        <v>69</v>
      </c>
      <c r="G14" s="65"/>
      <c r="H14" s="8"/>
      <c r="I14" s="7"/>
    </row>
    <row r="15" spans="1:10" ht="15" x14ac:dyDescent="0.25">
      <c r="A15" s="58"/>
      <c r="B15" s="48"/>
      <c r="C15" s="61"/>
      <c r="D15" s="60"/>
      <c r="E15" s="26"/>
      <c r="F15" s="27"/>
      <c r="G15" s="65"/>
      <c r="H15" s="8"/>
      <c r="I15" s="7"/>
    </row>
    <row r="16" spans="1:10" ht="15.75" x14ac:dyDescent="0.25">
      <c r="A16" s="58"/>
      <c r="B16" s="48"/>
      <c r="C16" s="49"/>
      <c r="D16" s="59"/>
      <c r="E16" s="25"/>
      <c r="F16" s="27"/>
      <c r="G16" s="8"/>
      <c r="H16" s="8"/>
      <c r="I16" s="7"/>
    </row>
    <row r="17" spans="1:13" ht="15" x14ac:dyDescent="0.25">
      <c r="A17" s="69"/>
      <c r="B17" s="68"/>
      <c r="C17" s="66"/>
      <c r="D17" s="67"/>
      <c r="E17" s="26"/>
      <c r="F17" s="27"/>
      <c r="G17" s="8"/>
      <c r="H17" s="8"/>
      <c r="I17" s="7"/>
    </row>
    <row r="18" spans="1:13" ht="15" x14ac:dyDescent="0.25">
      <c r="A18" s="69"/>
      <c r="B18" s="68"/>
      <c r="C18" s="66"/>
      <c r="D18" s="67"/>
      <c r="E18" s="26"/>
      <c r="F18" s="27"/>
      <c r="G18" s="10"/>
      <c r="H18" s="10"/>
      <c r="I18" s="7"/>
    </row>
    <row r="19" spans="1:13" ht="14.25" thickBot="1" x14ac:dyDescent="0.3">
      <c r="A19" s="11"/>
      <c r="B19" s="50"/>
      <c r="C19" s="12"/>
      <c r="D19" s="12"/>
      <c r="E19" s="28"/>
      <c r="F19" s="29"/>
      <c r="G19" s="30"/>
      <c r="H19" s="30"/>
      <c r="I19" s="31"/>
      <c r="L19" s="13"/>
    </row>
    <row r="20" spans="1:13" ht="14.25" thickBot="1" x14ac:dyDescent="0.3">
      <c r="A20" s="14"/>
      <c r="B20" s="51"/>
      <c r="C20" s="15"/>
      <c r="D20" s="16" t="s">
        <v>9</v>
      </c>
      <c r="E20" s="17" t="s">
        <v>12</v>
      </c>
      <c r="F20" s="18"/>
      <c r="G20" s="19"/>
      <c r="H20" s="19"/>
      <c r="I20" s="20"/>
      <c r="L20" s="13"/>
    </row>
    <row r="21" spans="1:13" x14ac:dyDescent="0.25">
      <c r="A21" s="230" t="s">
        <v>13</v>
      </c>
      <c r="B21" s="231"/>
      <c r="C21" s="232"/>
      <c r="D21" s="43">
        <v>160</v>
      </c>
      <c r="E21" s="21" t="s">
        <v>11</v>
      </c>
      <c r="F21" s="233" t="s">
        <v>23</v>
      </c>
      <c r="G21" s="233"/>
      <c r="H21" s="234"/>
      <c r="I21" s="235"/>
      <c r="L21" s="13"/>
    </row>
    <row r="22" spans="1:13" x14ac:dyDescent="0.25">
      <c r="A22" s="236" t="s">
        <v>14</v>
      </c>
      <c r="B22" s="237"/>
      <c r="C22" s="238"/>
      <c r="D22" s="6">
        <v>2</v>
      </c>
      <c r="E22" s="9" t="s">
        <v>19</v>
      </c>
      <c r="F22" s="239" t="s">
        <v>24</v>
      </c>
      <c r="G22" s="239"/>
      <c r="H22" s="240"/>
      <c r="I22" s="241"/>
      <c r="L22" s="13"/>
    </row>
    <row r="23" spans="1:13" x14ac:dyDescent="0.25">
      <c r="A23" s="236" t="s">
        <v>15</v>
      </c>
      <c r="B23" s="237"/>
      <c r="C23" s="238"/>
      <c r="D23" s="6">
        <v>1</v>
      </c>
      <c r="E23" s="9" t="s">
        <v>20</v>
      </c>
      <c r="F23" s="239" t="s">
        <v>25</v>
      </c>
      <c r="G23" s="239"/>
      <c r="H23" s="240"/>
      <c r="I23" s="241"/>
      <c r="L23" s="13"/>
    </row>
    <row r="24" spans="1:13" x14ac:dyDescent="0.25">
      <c r="A24" s="236" t="s">
        <v>16</v>
      </c>
      <c r="B24" s="237"/>
      <c r="C24" s="238"/>
      <c r="D24" s="6">
        <v>160</v>
      </c>
      <c r="E24" s="6" t="s">
        <v>11</v>
      </c>
      <c r="F24" s="242" t="s">
        <v>26</v>
      </c>
      <c r="G24" s="243"/>
      <c r="H24" s="243"/>
      <c r="I24" s="244"/>
      <c r="L24" s="13"/>
      <c r="M24" s="22"/>
    </row>
    <row r="25" spans="1:13" ht="14.25" thickBot="1" x14ac:dyDescent="0.3">
      <c r="A25" s="245" t="s">
        <v>17</v>
      </c>
      <c r="B25" s="246"/>
      <c r="C25" s="247"/>
      <c r="D25" s="62">
        <f>SUM(E9:E15)-D21</f>
        <v>3</v>
      </c>
      <c r="E25" s="23" t="s">
        <v>11</v>
      </c>
      <c r="F25" s="248"/>
      <c r="G25" s="248"/>
      <c r="H25" s="249"/>
      <c r="I25" s="250"/>
      <c r="J25" s="12"/>
      <c r="K25" s="12"/>
      <c r="L25" s="32"/>
      <c r="M25" s="12"/>
    </row>
    <row r="26" spans="1:13" ht="14.25" thickBot="1" x14ac:dyDescent="0.3">
      <c r="A26" s="251" t="s">
        <v>18</v>
      </c>
      <c r="B26" s="252"/>
      <c r="C26" s="252"/>
      <c r="D26" s="252"/>
      <c r="E26" s="252"/>
      <c r="F26" s="252"/>
      <c r="G26" s="252"/>
      <c r="H26" s="252"/>
      <c r="I26" s="253"/>
    </row>
    <row r="27" spans="1:13" ht="19.149999999999999" customHeight="1" x14ac:dyDescent="0.25">
      <c r="A27" s="254" t="s">
        <v>79</v>
      </c>
      <c r="B27" s="255"/>
      <c r="C27" s="255"/>
      <c r="D27" s="255"/>
      <c r="E27" s="255"/>
      <c r="F27" s="255"/>
      <c r="G27" s="255"/>
      <c r="H27" s="255"/>
      <c r="I27" s="256"/>
    </row>
    <row r="28" spans="1:13" ht="17.25" customHeight="1" x14ac:dyDescent="0.25">
      <c r="A28" s="257" t="s">
        <v>80</v>
      </c>
      <c r="B28" s="258"/>
      <c r="C28" s="258"/>
      <c r="D28" s="258"/>
      <c r="E28" s="258"/>
      <c r="F28" s="258"/>
      <c r="G28" s="258"/>
      <c r="H28" s="258"/>
      <c r="I28" s="259"/>
    </row>
    <row r="29" spans="1:13" ht="16.149999999999999" customHeight="1" x14ac:dyDescent="0.25">
      <c r="A29" s="260"/>
      <c r="B29" s="261"/>
      <c r="C29" s="261"/>
      <c r="D29" s="261"/>
      <c r="E29" s="261"/>
      <c r="F29" s="261"/>
      <c r="G29" s="261"/>
      <c r="H29" s="261"/>
      <c r="I29" s="262"/>
    </row>
    <row r="30" spans="1:13" ht="16.149999999999999" customHeight="1" x14ac:dyDescent="0.25">
      <c r="A30" s="260"/>
      <c r="B30" s="261"/>
      <c r="C30" s="261"/>
      <c r="D30" s="261"/>
      <c r="E30" s="261"/>
      <c r="F30" s="261"/>
      <c r="G30" s="261"/>
      <c r="H30" s="261"/>
      <c r="I30" s="262"/>
    </row>
    <row r="31" spans="1:13" ht="16.149999999999999" customHeight="1" x14ac:dyDescent="0.25">
      <c r="A31" s="263"/>
      <c r="B31" s="264"/>
      <c r="C31" s="265"/>
      <c r="D31" s="265"/>
      <c r="E31" s="265"/>
      <c r="F31" s="265"/>
      <c r="G31" s="265"/>
      <c r="H31" s="265"/>
      <c r="I31" s="266"/>
    </row>
    <row r="32" spans="1:13" ht="16.149999999999999" customHeight="1" x14ac:dyDescent="0.25">
      <c r="A32" s="260"/>
      <c r="B32" s="261"/>
      <c r="C32" s="261"/>
      <c r="D32" s="261"/>
      <c r="E32" s="261"/>
      <c r="F32" s="261"/>
      <c r="G32" s="261"/>
      <c r="H32" s="261"/>
      <c r="I32" s="262"/>
    </row>
    <row r="33" spans="1:9" ht="16.149999999999999" customHeight="1" x14ac:dyDescent="0.25">
      <c r="A33" s="263"/>
      <c r="B33" s="264"/>
      <c r="C33" s="265"/>
      <c r="D33" s="265"/>
      <c r="E33" s="265"/>
      <c r="F33" s="265"/>
      <c r="G33" s="265"/>
      <c r="H33" s="265"/>
      <c r="I33" s="266"/>
    </row>
    <row r="34" spans="1:9" ht="16.149999999999999" customHeight="1" x14ac:dyDescent="0.25">
      <c r="A34" s="260"/>
      <c r="B34" s="261"/>
      <c r="C34" s="261"/>
      <c r="D34" s="261"/>
      <c r="E34" s="261"/>
      <c r="F34" s="261"/>
      <c r="G34" s="261"/>
      <c r="H34" s="261"/>
      <c r="I34" s="262"/>
    </row>
    <row r="35" spans="1:9" x14ac:dyDescent="0.25">
      <c r="A35" s="270" t="s">
        <v>37</v>
      </c>
      <c r="B35" s="271"/>
      <c r="C35" s="272"/>
      <c r="D35" s="272"/>
      <c r="E35" s="272"/>
      <c r="F35" s="272"/>
      <c r="G35" s="272"/>
      <c r="H35" s="272"/>
      <c r="I35" s="273"/>
    </row>
    <row r="36" spans="1:9" x14ac:dyDescent="0.25">
      <c r="A36" s="267"/>
      <c r="B36" s="268"/>
      <c r="C36" s="268"/>
      <c r="D36" s="268"/>
      <c r="E36" s="268"/>
      <c r="F36" s="268"/>
      <c r="G36" s="268"/>
      <c r="H36" s="268"/>
      <c r="I36" s="269"/>
    </row>
    <row r="37" spans="1:9" x14ac:dyDescent="0.25">
      <c r="A37" s="267"/>
      <c r="B37" s="268"/>
      <c r="C37" s="268"/>
      <c r="D37" s="268"/>
      <c r="E37" s="268"/>
      <c r="F37" s="268"/>
      <c r="G37" s="268"/>
      <c r="H37" s="268"/>
      <c r="I37" s="269"/>
    </row>
    <row r="38" spans="1:9" x14ac:dyDescent="0.25">
      <c r="A38" s="267"/>
      <c r="B38" s="268"/>
      <c r="C38" s="268"/>
      <c r="D38" s="268"/>
      <c r="E38" s="268"/>
      <c r="F38" s="268"/>
      <c r="G38" s="268"/>
      <c r="H38" s="268"/>
      <c r="I38" s="269"/>
    </row>
    <row r="39" spans="1:9" x14ac:dyDescent="0.25">
      <c r="A39" s="24"/>
      <c r="B39" s="24"/>
      <c r="C39" s="24"/>
    </row>
  </sheetData>
  <mergeCells count="46">
    <mergeCell ref="A1:B5"/>
    <mergeCell ref="C1:G1"/>
    <mergeCell ref="C2:G2"/>
    <mergeCell ref="C3:G3"/>
    <mergeCell ref="H3:H5"/>
    <mergeCell ref="I3:I5"/>
    <mergeCell ref="J3:J4"/>
    <mergeCell ref="D4:G4"/>
    <mergeCell ref="D5:G5"/>
    <mergeCell ref="A7:A8"/>
    <mergeCell ref="B7:B8"/>
    <mergeCell ref="C7:C8"/>
    <mergeCell ref="D7:D8"/>
    <mergeCell ref="E7:F7"/>
    <mergeCell ref="G7:I7"/>
    <mergeCell ref="G8:I8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I24"/>
    <mergeCell ref="A25:C25"/>
    <mergeCell ref="F25:G25"/>
    <mergeCell ref="H25:I25"/>
    <mergeCell ref="A26:I26"/>
    <mergeCell ref="A27:I27"/>
    <mergeCell ref="A28:I28"/>
    <mergeCell ref="A29:I29"/>
    <mergeCell ref="A30:I30"/>
    <mergeCell ref="A31:I31"/>
    <mergeCell ref="A38:I38"/>
    <mergeCell ref="A6:C6"/>
    <mergeCell ref="D6:F6"/>
    <mergeCell ref="G6:H6"/>
    <mergeCell ref="A32:I32"/>
    <mergeCell ref="A33:I33"/>
    <mergeCell ref="A34:I34"/>
    <mergeCell ref="A35:I35"/>
    <mergeCell ref="A36:I36"/>
    <mergeCell ref="A37:I3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1BB3-3C98-4022-92AF-2F46C1D1CDDE}">
  <dimension ref="A1:Q91"/>
  <sheetViews>
    <sheetView workbookViewId="0">
      <selection activeCell="I52" sqref="I52"/>
    </sheetView>
  </sheetViews>
  <sheetFormatPr baseColWidth="10" defaultColWidth="8.42578125" defaultRowHeight="12.75" x14ac:dyDescent="0.2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9.7109375" style="90" bestFit="1" customWidth="1"/>
    <col min="6" max="6" width="9.5703125" style="90" bestFit="1" customWidth="1"/>
    <col min="7" max="7" width="9.5703125" style="172" bestFit="1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16384" width="8.42578125" style="90"/>
  </cols>
  <sheetData>
    <row r="1" spans="1:10" ht="27.75" customHeight="1" x14ac:dyDescent="0.2">
      <c r="A1" s="85"/>
      <c r="B1" s="85"/>
      <c r="C1" s="85"/>
      <c r="D1" s="85"/>
      <c r="E1" s="86" t="s">
        <v>87</v>
      </c>
      <c r="F1" s="87" t="s">
        <v>88</v>
      </c>
      <c r="G1" s="87" t="s">
        <v>89</v>
      </c>
      <c r="H1" s="87" t="s">
        <v>90</v>
      </c>
      <c r="I1" s="88"/>
    </row>
    <row r="2" spans="1:10" ht="30.75" customHeight="1" x14ac:dyDescent="0.2">
      <c r="A2" s="85"/>
      <c r="B2" s="85"/>
      <c r="C2" s="85"/>
      <c r="D2" s="85"/>
      <c r="E2" s="91">
        <f>IFERROR(O62,"")</f>
        <v>795.96237525533661</v>
      </c>
      <c r="F2" s="91">
        <f>IFERROR(H53,"")</f>
        <v>489.81119999999999</v>
      </c>
      <c r="G2" s="91">
        <f>IFERROR(H54,"")</f>
        <v>8.2006301059419613</v>
      </c>
      <c r="H2" s="91">
        <f>IFERROR(H56,"")</f>
        <v>162.71058139364104</v>
      </c>
      <c r="I2" s="92"/>
    </row>
    <row r="3" spans="1:10" ht="15" customHeight="1" x14ac:dyDescent="0.2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25">
      <c r="A4" s="274"/>
      <c r="B4" s="274"/>
      <c r="C4" s="274"/>
      <c r="D4" s="274"/>
      <c r="E4" s="274"/>
      <c r="F4" s="274"/>
      <c r="G4" s="274"/>
      <c r="H4" s="274"/>
      <c r="I4" s="94"/>
    </row>
    <row r="5" spans="1:10" ht="19.5" customHeight="1" thickBot="1" x14ac:dyDescent="0.25">
      <c r="A5" s="275" t="s">
        <v>91</v>
      </c>
      <c r="B5" s="276"/>
      <c r="C5" s="276"/>
      <c r="D5" s="276"/>
      <c r="E5" s="276"/>
      <c r="F5" s="276"/>
      <c r="G5" s="276"/>
      <c r="H5" s="277"/>
      <c r="I5" s="95"/>
    </row>
    <row r="6" spans="1:10" ht="19.5" thickBot="1" x14ac:dyDescent="0.25">
      <c r="A6" s="95"/>
      <c r="B6" s="95"/>
      <c r="C6" s="95"/>
      <c r="D6" s="95"/>
      <c r="E6" s="95"/>
      <c r="F6" s="278" t="s">
        <v>92</v>
      </c>
      <c r="G6" s="278"/>
      <c r="H6" s="96">
        <f ca="1">TODAY()</f>
        <v>45671</v>
      </c>
      <c r="I6" s="96"/>
    </row>
    <row r="7" spans="1:10" ht="26.25" hidden="1" thickBot="1" x14ac:dyDescent="0.25">
      <c r="A7" s="97" t="s">
        <v>93</v>
      </c>
      <c r="B7" s="98" t="s">
        <v>94</v>
      </c>
      <c r="C7" s="98" t="s">
        <v>93</v>
      </c>
      <c r="D7" s="99" t="s">
        <v>95</v>
      </c>
      <c r="E7" s="99" t="s">
        <v>96</v>
      </c>
      <c r="F7" s="99" t="s">
        <v>97</v>
      </c>
      <c r="G7" s="99" t="s">
        <v>98</v>
      </c>
      <c r="H7" s="100" t="s">
        <v>99</v>
      </c>
      <c r="I7" s="101"/>
    </row>
    <row r="8" spans="1:10" ht="13.5" hidden="1" x14ac:dyDescent="0.25">
      <c r="A8" s="102"/>
      <c r="B8" s="90" t="str">
        <f>IFERROR(VLOOKUP(H8,'[1]Consolidado MP Planta'!$A$2:$M$823,3,0),"")</f>
        <v/>
      </c>
      <c r="C8" s="103">
        <f>+A8</f>
        <v>0</v>
      </c>
      <c r="D8" s="104" t="str">
        <f>IFERROR(VLOOKUP(H8,'[1]Consolidado MP Planta'!$A$2:$M$823,13,0),"")</f>
        <v/>
      </c>
      <c r="E8" s="104" t="str">
        <f>IFERROR(VLOOKUP(H8,'[1]Consolidado MP Planta'!$A$2:$M$823,12,0),"")</f>
        <v/>
      </c>
      <c r="F8" s="104" t="str">
        <f>IFERROR(C8*E8,"")</f>
        <v/>
      </c>
      <c r="G8" s="105" t="str">
        <f t="shared" ref="G8:G14" si="0">IFERROR(F8/$F$66,"")</f>
        <v/>
      </c>
      <c r="H8" s="106"/>
      <c r="I8" s="106"/>
      <c r="J8" s="107"/>
    </row>
    <row r="9" spans="1:10" ht="13.5" hidden="1" x14ac:dyDescent="0.25">
      <c r="A9" s="102"/>
      <c r="B9" s="90" t="str">
        <f>IFERROR(VLOOKUP(H9,'[1]Consolidado MP Planta'!$A$2:$M$823,3,0),"")</f>
        <v/>
      </c>
      <c r="C9" s="103">
        <f t="shared" ref="C9:C14" si="1">+A9</f>
        <v>0</v>
      </c>
      <c r="D9" s="104" t="str">
        <f>IFERROR(VLOOKUP(H9,'[1]Consolidado MP Planta'!$A$2:$M$823,13,0),"")</f>
        <v/>
      </c>
      <c r="E9" s="104" t="str">
        <f>IFERROR(VLOOKUP(H9,'[1]Consolidado MP Planta'!$A$2:$M$823,12,0),"")</f>
        <v/>
      </c>
      <c r="F9" s="104" t="str">
        <f t="shared" ref="F9:F14" si="2">IFERROR(C9*E9,"")</f>
        <v/>
      </c>
      <c r="G9" s="105" t="str">
        <f t="shared" si="0"/>
        <v/>
      </c>
      <c r="H9" s="106"/>
      <c r="I9" s="106"/>
      <c r="J9" s="107"/>
    </row>
    <row r="10" spans="1:10" ht="13.5" hidden="1" x14ac:dyDescent="0.25">
      <c r="A10" s="102"/>
      <c r="B10" s="90" t="str">
        <f>IFERROR(VLOOKUP(H10,'[1]Consolidado MP Planta'!$A$2:$M$823,3,0),"")</f>
        <v/>
      </c>
      <c r="C10" s="103">
        <f t="shared" si="1"/>
        <v>0</v>
      </c>
      <c r="D10" s="104" t="str">
        <f>IFERROR(VLOOKUP(H10,'[1]Consolidado MP Planta'!$A$2:$M$823,13,0),"")</f>
        <v/>
      </c>
      <c r="E10" s="104" t="str">
        <f>IFERROR(VLOOKUP(H10,'[1]Consolidado MP Planta'!$A$2:$M$823,12,0),"")</f>
        <v/>
      </c>
      <c r="F10" s="104" t="str">
        <f t="shared" si="2"/>
        <v/>
      </c>
      <c r="G10" s="105" t="str">
        <f t="shared" si="0"/>
        <v/>
      </c>
      <c r="H10" s="106"/>
      <c r="I10" s="106"/>
      <c r="J10" s="107"/>
    </row>
    <row r="11" spans="1:10" ht="13.5" hidden="1" x14ac:dyDescent="0.25">
      <c r="A11" s="102"/>
      <c r="B11" s="90" t="str">
        <f>IFERROR(VLOOKUP(H11,'[1]Consolidado MP Planta'!$A$2:$M$823,3,0),"")</f>
        <v/>
      </c>
      <c r="C11" s="103">
        <f t="shared" si="1"/>
        <v>0</v>
      </c>
      <c r="D11" s="104" t="str">
        <f>IFERROR(VLOOKUP(H11,'[1]Consolidado MP Planta'!$A$2:$M$823,13,0),"")</f>
        <v/>
      </c>
      <c r="E11" s="104" t="str">
        <f>IFERROR(VLOOKUP(H11,'[1]Consolidado MP Planta'!$A$2:$M$823,12,0),"")</f>
        <v/>
      </c>
      <c r="F11" s="104" t="str">
        <f t="shared" si="2"/>
        <v/>
      </c>
      <c r="G11" s="105" t="str">
        <f t="shared" si="0"/>
        <v/>
      </c>
      <c r="H11" s="106"/>
      <c r="I11" s="106"/>
      <c r="J11" s="107"/>
    </row>
    <row r="12" spans="1:10" ht="13.5" hidden="1" x14ac:dyDescent="0.25">
      <c r="A12" s="102"/>
      <c r="B12" s="90" t="str">
        <f>IFERROR(VLOOKUP(H12,'[1]Consolidado MP Planta'!$A$2:$M$823,3,0),"")</f>
        <v/>
      </c>
      <c r="C12" s="103">
        <f t="shared" si="1"/>
        <v>0</v>
      </c>
      <c r="D12" s="104" t="str">
        <f>IFERROR(VLOOKUP(H12,'[1]Consolidado MP Planta'!$A$2:$M$823,13,0),"")</f>
        <v/>
      </c>
      <c r="E12" s="104" t="str">
        <f>IFERROR(VLOOKUP(H12,'[1]Consolidado MP Planta'!$A$2:$M$823,12,0),"")</f>
        <v/>
      </c>
      <c r="F12" s="104" t="str">
        <f t="shared" si="2"/>
        <v/>
      </c>
      <c r="G12" s="105" t="str">
        <f t="shared" si="0"/>
        <v/>
      </c>
      <c r="H12" s="106"/>
      <c r="I12" s="106"/>
      <c r="J12" s="107"/>
    </row>
    <row r="13" spans="1:10" ht="13.5" hidden="1" x14ac:dyDescent="0.25">
      <c r="A13" s="102"/>
      <c r="B13" s="90" t="str">
        <f>IFERROR(VLOOKUP(H13,'[1]Consolidado MP Planta'!$A$2:$M$823,3,0),"")</f>
        <v/>
      </c>
      <c r="C13" s="103">
        <f t="shared" si="1"/>
        <v>0</v>
      </c>
      <c r="D13" s="104" t="str">
        <f>IFERROR(VLOOKUP(H13,'[1]Consolidado MP Planta'!$A$2:$M$823,13,0),"")</f>
        <v/>
      </c>
      <c r="E13" s="104" t="str">
        <f>IFERROR(VLOOKUP(H13,'[1]Consolidado MP Planta'!$A$2:$M$823,12,0),"")</f>
        <v/>
      </c>
      <c r="F13" s="104" t="str">
        <f t="shared" si="2"/>
        <v/>
      </c>
      <c r="G13" s="105" t="str">
        <f t="shared" si="0"/>
        <v/>
      </c>
      <c r="H13" s="106"/>
      <c r="I13" s="106"/>
      <c r="J13" s="107"/>
    </row>
    <row r="14" spans="1:10" ht="13.5" hidden="1" x14ac:dyDescent="0.25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0" ht="14.25" hidden="1" thickBot="1" x14ac:dyDescent="0.3">
      <c r="A15" s="102"/>
      <c r="B15" s="90" t="str">
        <f>IFERROR(VLOOKUP(H15,'[2]ARTICULOS MP PLANTA'!$A$2:$G$589,2,0),"")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0" ht="26.25" thickBot="1" x14ac:dyDescent="0.25">
      <c r="A16" s="97" t="s">
        <v>93</v>
      </c>
      <c r="B16" s="98" t="s">
        <v>100</v>
      </c>
      <c r="C16" s="98" t="s">
        <v>93</v>
      </c>
      <c r="D16" s="99" t="s">
        <v>95</v>
      </c>
      <c r="E16" s="99" t="s">
        <v>96</v>
      </c>
      <c r="F16" s="99" t="s">
        <v>97</v>
      </c>
      <c r="G16" s="99" t="s">
        <v>98</v>
      </c>
      <c r="H16" s="100" t="s">
        <v>99</v>
      </c>
      <c r="I16" s="101"/>
      <c r="J16" s="107"/>
    </row>
    <row r="17" spans="1:12" ht="13.5" x14ac:dyDescent="0.25">
      <c r="A17" s="102">
        <v>160</v>
      </c>
      <c r="B17" s="90" t="s">
        <v>51</v>
      </c>
      <c r="C17" s="103">
        <f>+A17</f>
        <v>160</v>
      </c>
      <c r="D17" s="103" t="s">
        <v>142</v>
      </c>
      <c r="E17" s="104">
        <f>+'Costo relleno de queso'!E69</f>
        <v>3.0613199999999998</v>
      </c>
      <c r="F17" s="104">
        <f>IFERROR(E17*C17,"")</f>
        <v>489.81119999999999</v>
      </c>
      <c r="G17" s="105">
        <f t="shared" ref="G17:G24" si="3">IFERROR(F17/$F$66,"")</f>
        <v>0.74011066647066104</v>
      </c>
      <c r="H17" s="106"/>
      <c r="I17" s="106"/>
      <c r="J17" s="107"/>
    </row>
    <row r="18" spans="1:12" ht="13.5" hidden="1" x14ac:dyDescent="0.25">
      <c r="A18" s="102"/>
      <c r="B18" s="90" t="str">
        <f>IFERROR(VLOOKUP(H18,[1]SEMIELABORADOS!$A$2:$M$6000,2,0),"")</f>
        <v/>
      </c>
      <c r="C18" s="103">
        <f t="shared" ref="C18:C24" si="4">+A18</f>
        <v>0</v>
      </c>
      <c r="D18" s="103" t="str">
        <f>IFERROR(VLOOKUP(H18,[1]SEMIELABORADOS!$A$2:$M$6000,6,0),"")</f>
        <v/>
      </c>
      <c r="E18" s="104" t="str">
        <f>IFERROR(VLOOKUP(H18,[1]SEMIELABORADOS!$A$2:$H$65536,8,0),"")</f>
        <v/>
      </c>
      <c r="F18" s="104" t="str">
        <f t="shared" ref="F18:F24" si="5">IFERROR(E18*C18,"")</f>
        <v/>
      </c>
      <c r="G18" s="105" t="str">
        <f t="shared" si="3"/>
        <v/>
      </c>
      <c r="H18" s="106"/>
      <c r="I18" s="106"/>
      <c r="J18" s="107"/>
    </row>
    <row r="19" spans="1:12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12" ht="13.5" hidden="1" x14ac:dyDescent="0.25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12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12" ht="13.5" hidden="1" x14ac:dyDescent="0.25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12" ht="13.5" hidden="1" x14ac:dyDescent="0.25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12" ht="13.5" hidden="1" x14ac:dyDescent="0.25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12" ht="14.25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12" ht="26.25" thickBot="1" x14ac:dyDescent="0.25">
      <c r="A26" s="97" t="s">
        <v>93</v>
      </c>
      <c r="B26" s="98" t="s">
        <v>101</v>
      </c>
      <c r="C26" s="98" t="s">
        <v>93</v>
      </c>
      <c r="D26" s="99" t="s">
        <v>95</v>
      </c>
      <c r="E26" s="99" t="s">
        <v>96</v>
      </c>
      <c r="F26" s="99" t="s">
        <v>97</v>
      </c>
      <c r="G26" s="99" t="s">
        <v>98</v>
      </c>
      <c r="H26" s="100" t="s">
        <v>99</v>
      </c>
      <c r="I26" s="101"/>
    </row>
    <row r="27" spans="1:12" ht="13.5" x14ac:dyDescent="0.25">
      <c r="A27" s="102">
        <v>1</v>
      </c>
      <c r="B27" s="108" t="str">
        <f>IFERROR(VLOOKUP(H27,'[1]Consolidado MP Planta'!$A$2:$M$823,3,0),"")</f>
        <v>BOLSA TRANSPARENTE  6 X 10 KILO</v>
      </c>
      <c r="C27" s="103">
        <f t="shared" ref="C27:C32" si="6">+A27</f>
        <v>1</v>
      </c>
      <c r="D27" s="104" t="str">
        <f>IFERROR(VLOOKUP(H27,'[1]Consolidado MP Planta'!$A$2:$M$823,13,0),"")</f>
        <v>Und</v>
      </c>
      <c r="E27" s="104">
        <f>IFERROR(VLOOKUP(H27,'[1]Consolidado MP Planta'!$A$2:$M$823,12,0),"")</f>
        <v>5.9880239520958085</v>
      </c>
      <c r="F27" s="104">
        <f t="shared" ref="F27:F32" si="7">IFERROR(C27*E27,"")</f>
        <v>5.9880239520958085</v>
      </c>
      <c r="G27" s="105">
        <f t="shared" ref="G27:G32" si="8">IFERROR(F27/$F$66,"")</f>
        <v>9.0479768490959595E-3</v>
      </c>
      <c r="H27" s="109" t="s">
        <v>71</v>
      </c>
      <c r="I27" s="109"/>
      <c r="J27" s="107"/>
      <c r="K27" s="279"/>
      <c r="L27" s="279"/>
    </row>
    <row r="28" spans="1:12" ht="13.5" x14ac:dyDescent="0.25">
      <c r="A28" s="102">
        <v>1</v>
      </c>
      <c r="B28" s="108" t="str">
        <f>IFERROR(VLOOKUP(H28,'[1]Consolidado MP Planta'!$A$2:$M$823,3,0),"")</f>
        <v>ETIQ.FECHA VENCIMIENTO BLANCO (ROLLO)</v>
      </c>
      <c r="C28" s="103">
        <f t="shared" si="6"/>
        <v>1</v>
      </c>
      <c r="D28" s="104" t="str">
        <f>IFERROR(VLOOKUP(H28,'[1]Consolidado MP Planta'!$A$2:$M$823,13,0),"")</f>
        <v>Gramos</v>
      </c>
      <c r="E28" s="104">
        <f>IFERROR(VLOOKUP(H28,'[1]Consolidado MP Planta'!$A$2:$M$823,12,0),"")</f>
        <v>0.33333333333333331</v>
      </c>
      <c r="F28" s="104">
        <f t="shared" si="7"/>
        <v>0.33333333333333331</v>
      </c>
      <c r="G28" s="105">
        <f t="shared" si="8"/>
        <v>5.0367071126634173E-4</v>
      </c>
      <c r="H28" s="109" t="s">
        <v>75</v>
      </c>
      <c r="I28" s="109"/>
      <c r="J28" s="107"/>
      <c r="K28" s="279"/>
      <c r="L28" s="279"/>
    </row>
    <row r="29" spans="1:12" ht="13.5" x14ac:dyDescent="0.25">
      <c r="A29" s="102">
        <v>1</v>
      </c>
      <c r="B29" s="108" t="str">
        <f>IFERROR(VLOOKUP(H29,'[1]Consolidado MP Planta'!$A$2:$M$823,3,0),"")</f>
        <v>ETIQ.BLANCA 1 1/4 * 3/4 (UND)</v>
      </c>
      <c r="C29" s="103">
        <f t="shared" si="6"/>
        <v>1</v>
      </c>
      <c r="D29" s="104" t="str">
        <f>IFERROR(VLOOKUP(H29,'[1]Consolidado MP Planta'!$A$2:$M$823,13,0),"")</f>
        <v>Und</v>
      </c>
      <c r="E29" s="104">
        <f>IFERROR(VLOOKUP(H29,'[1]Consolidado MP Planta'!$A$2:$M$823,12,0),"")</f>
        <v>0.57999999999999996</v>
      </c>
      <c r="F29" s="104">
        <f t="shared" si="7"/>
        <v>0.57999999999999996</v>
      </c>
      <c r="G29" s="105">
        <f t="shared" si="8"/>
        <v>8.7638703760343454E-4</v>
      </c>
      <c r="H29" s="109" t="s">
        <v>64</v>
      </c>
      <c r="I29" s="109"/>
      <c r="J29" s="107"/>
      <c r="K29" s="279"/>
      <c r="L29" s="279"/>
    </row>
    <row r="30" spans="1:12" ht="13.5" hidden="1" x14ac:dyDescent="0.25">
      <c r="A30" s="102"/>
      <c r="B30" s="108" t="str">
        <f>IFERROR(VLOOKUP(H30,'[1]Consolidado MP Planta'!$A$2:$M$823,3,0),"")</f>
        <v/>
      </c>
      <c r="C30" s="103">
        <f t="shared" si="6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7"/>
        <v/>
      </c>
      <c r="G30" s="105" t="str">
        <f t="shared" si="8"/>
        <v/>
      </c>
      <c r="H30" s="109"/>
      <c r="I30" s="109"/>
      <c r="J30" s="107"/>
      <c r="K30" s="279"/>
      <c r="L30" s="279"/>
    </row>
    <row r="31" spans="1:12" ht="13.5" hidden="1" x14ac:dyDescent="0.25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12" ht="13.5" hidden="1" x14ac:dyDescent="0.25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thickBot="1" x14ac:dyDescent="0.25">
      <c r="A34" s="97" t="s">
        <v>93</v>
      </c>
      <c r="B34" s="98" t="s">
        <v>102</v>
      </c>
      <c r="C34" s="98" t="s">
        <v>93</v>
      </c>
      <c r="D34" s="99" t="s">
        <v>95</v>
      </c>
      <c r="E34" s="99" t="s">
        <v>96</v>
      </c>
      <c r="F34" s="99" t="s">
        <v>97</v>
      </c>
      <c r="G34" s="99" t="s">
        <v>98</v>
      </c>
      <c r="H34" s="100" t="s">
        <v>99</v>
      </c>
      <c r="I34" s="109"/>
      <c r="J34" s="107"/>
    </row>
    <row r="35" spans="1:13" ht="13.5" x14ac:dyDescent="0.25">
      <c r="A35" s="102">
        <f>+A17</f>
        <v>160</v>
      </c>
      <c r="B35" s="108" t="s">
        <v>51</v>
      </c>
      <c r="C35" s="103">
        <f>+A35</f>
        <v>160</v>
      </c>
      <c r="D35" s="104" t="s">
        <v>142</v>
      </c>
      <c r="E35" s="104">
        <f>+'Costo relleno de queso'!E76</f>
        <v>8.1204551282051292E-3</v>
      </c>
      <c r="F35" s="104">
        <f>IFERROR(E35*C35,"")</f>
        <v>1.2992728205128206</v>
      </c>
      <c r="G35" s="105">
        <f t="shared" ref="G35:G41" si="9">IFERROR(F35/$F$66,"")</f>
        <v>1.963216996910155E-3</v>
      </c>
      <c r="H35" s="109"/>
      <c r="I35" s="109"/>
      <c r="J35" s="107"/>
    </row>
    <row r="36" spans="1:13" ht="13.5" hidden="1" x14ac:dyDescent="0.25">
      <c r="A36" s="102">
        <f t="shared" ref="A36:A41" si="10">+A18</f>
        <v>0</v>
      </c>
      <c r="B36" s="108" t="str">
        <f>IFERROR(VLOOKUP(H36,[1]SEMIELABORADOS!$A$2:$M$6000,2,0),"")</f>
        <v/>
      </c>
      <c r="C36" s="103">
        <f t="shared" ref="C36:C41" si="11">+A36</f>
        <v>0</v>
      </c>
      <c r="D36" s="104" t="str">
        <f>IFERROR(VLOOKUP(H36,[1]SEMIELABORADOS!$A$2:$M$6000,6,0),"")</f>
        <v/>
      </c>
      <c r="E36" s="104" t="str">
        <f>IFERROR(VLOOKUP(H36,[1]SEMIELABORADOS!$A$2:$M$65536,10,0),"")</f>
        <v/>
      </c>
      <c r="F36" s="104" t="str">
        <f t="shared" ref="F36:F41" si="12">IFERROR(E36*C36,"")</f>
        <v/>
      </c>
      <c r="G36" s="105" t="str">
        <f t="shared" si="9"/>
        <v/>
      </c>
      <c r="H36" s="109"/>
      <c r="I36" s="109"/>
      <c r="J36" s="107"/>
    </row>
    <row r="37" spans="1:13" ht="13.5" hidden="1" x14ac:dyDescent="0.25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3.5" hidden="1" x14ac:dyDescent="0.25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3.5" hidden="1" x14ac:dyDescent="0.25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3.5" hidden="1" x14ac:dyDescent="0.25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3.5" hidden="1" x14ac:dyDescent="0.25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25">
      <c r="A43" s="97" t="s">
        <v>93</v>
      </c>
      <c r="B43" s="98" t="s">
        <v>103</v>
      </c>
      <c r="C43" s="98" t="s">
        <v>93</v>
      </c>
      <c r="D43" s="99" t="s">
        <v>95</v>
      </c>
      <c r="E43" s="99" t="s">
        <v>96</v>
      </c>
      <c r="F43" s="99" t="s">
        <v>97</v>
      </c>
      <c r="G43" s="99" t="s">
        <v>98</v>
      </c>
      <c r="H43" s="100" t="s">
        <v>99</v>
      </c>
      <c r="I43" s="101"/>
      <c r="J43" s="107"/>
    </row>
    <row r="44" spans="1:13" ht="13.5" x14ac:dyDescent="0.25">
      <c r="A44" s="102">
        <f>+A35</f>
        <v>160</v>
      </c>
      <c r="B44" s="108" t="s">
        <v>51</v>
      </c>
      <c r="C44" s="103">
        <f>+A44</f>
        <v>160</v>
      </c>
      <c r="D44" s="104" t="s">
        <v>142</v>
      </c>
      <c r="E44" s="104">
        <f>+'Costo relleno de queso'!E74</f>
        <v>5.4441133710256412E-2</v>
      </c>
      <c r="F44" s="104">
        <f>IFERROR(E44*C44,"")</f>
        <v>8.710581393641025</v>
      </c>
      <c r="G44" s="105">
        <f>IFERROR(F44/$F$66,"")</f>
        <v>1.3161794178235613E-2</v>
      </c>
      <c r="H44" s="109"/>
      <c r="I44" s="101"/>
      <c r="J44" s="107"/>
    </row>
    <row r="45" spans="1:13" ht="13.5" hidden="1" x14ac:dyDescent="0.25">
      <c r="A45" s="102">
        <f t="shared" ref="A45:A50" si="13">+A36</f>
        <v>0</v>
      </c>
      <c r="B45" s="108" t="str">
        <f>IFERROR(VLOOKUP(H45,[1]SEMIELABORADOS!$A$2:$M$6000,2,0),"")</f>
        <v/>
      </c>
      <c r="C45" s="103">
        <f t="shared" ref="C45:C50" si="14">+A45</f>
        <v>0</v>
      </c>
      <c r="D45" s="104" t="str">
        <f>IFERROR(VLOOKUP(H45,[1]SEMIELABORADOS!$A$2:$M$6000,6,0),"")</f>
        <v/>
      </c>
      <c r="E45" s="104" t="str">
        <f>IFERROR(VLOOKUP(H45,[1]SEMIELABORADOS!$A$2:$M$65536,12,0),"")</f>
        <v/>
      </c>
      <c r="F45" s="104" t="str">
        <f t="shared" ref="F45:F50" si="15">IFERROR(E45*C45,"")</f>
        <v/>
      </c>
      <c r="G45" s="105" t="str">
        <f t="shared" ref="G45:G50" si="16">IFERROR(F45/$F$66,"")</f>
        <v/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104</v>
      </c>
      <c r="C51" s="103">
        <f>+A51</f>
        <v>1</v>
      </c>
      <c r="D51" s="103" t="s">
        <v>105</v>
      </c>
      <c r="E51" s="104">
        <f>+F65</f>
        <v>154</v>
      </c>
      <c r="F51" s="104">
        <f>IFERROR(C51*E51,"")</f>
        <v>154</v>
      </c>
      <c r="G51" s="105">
        <f>IFERROR(F51/$F$66,"")</f>
        <v>0.2326958686050499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25">
      <c r="A53" s="114"/>
      <c r="B53" s="280" t="s">
        <v>106</v>
      </c>
      <c r="C53" s="280"/>
      <c r="D53" s="280"/>
      <c r="E53" s="280"/>
      <c r="F53" s="116">
        <f>SUM(F8:F14,F17:F24)</f>
        <v>489.81119999999999</v>
      </c>
      <c r="G53" s="105">
        <f>+F53/$F$66</f>
        <v>0.74011066647066104</v>
      </c>
      <c r="H53" s="117">
        <f>+F53/$D$60</f>
        <v>489.81119999999999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80" t="s">
        <v>107</v>
      </c>
      <c r="C54" s="280"/>
      <c r="D54" s="280"/>
      <c r="E54" s="280"/>
      <c r="F54" s="116">
        <f>SUM(F27:F32,F35:F41)</f>
        <v>8.2006301059419613</v>
      </c>
      <c r="G54" s="105">
        <f>+F54/$F$66</f>
        <v>1.2391251594875889E-2</v>
      </c>
      <c r="H54" s="117">
        <f>+F54/$D$60</f>
        <v>8.2006301059419613</v>
      </c>
      <c r="I54" s="117"/>
      <c r="J54" s="121"/>
      <c r="K54" s="281" t="s">
        <v>108</v>
      </c>
      <c r="L54" s="282"/>
      <c r="M54" s="282"/>
      <c r="N54" s="282"/>
      <c r="O54" s="122">
        <f>+F55</f>
        <v>498.01183010594195</v>
      </c>
      <c r="P54" s="122"/>
      <c r="Q54" s="123"/>
    </row>
    <row r="55" spans="1:17" x14ac:dyDescent="0.2">
      <c r="A55" s="114"/>
      <c r="B55" s="280" t="s">
        <v>109</v>
      </c>
      <c r="C55" s="280"/>
      <c r="D55" s="280"/>
      <c r="E55" s="280"/>
      <c r="F55" s="116">
        <f>+F53+F54</f>
        <v>498.01183010594195</v>
      </c>
      <c r="G55" s="105">
        <f>+F55/$F$66</f>
        <v>0.75250191806553701</v>
      </c>
      <c r="H55" s="117">
        <f>+F55/$D$60</f>
        <v>498.01183010594195</v>
      </c>
      <c r="I55" s="117"/>
      <c r="J55" s="124"/>
      <c r="K55" s="125"/>
      <c r="M55" s="126" t="s">
        <v>110</v>
      </c>
      <c r="N55" s="127"/>
      <c r="O55" s="122">
        <f>+H56</f>
        <v>162.71058139364104</v>
      </c>
      <c r="P55" s="122"/>
      <c r="Q55" s="123"/>
    </row>
    <row r="56" spans="1:17" ht="13.5" thickBot="1" x14ac:dyDescent="0.25">
      <c r="A56" s="114"/>
      <c r="B56" s="115"/>
      <c r="C56" s="280" t="s">
        <v>111</v>
      </c>
      <c r="D56" s="280"/>
      <c r="E56" s="280"/>
      <c r="F56" s="116">
        <f>SUM(F44:F51)</f>
        <v>162.71058139364104</v>
      </c>
      <c r="G56" s="105">
        <f>+F56/$F$66</f>
        <v>0.24585766278328552</v>
      </c>
      <c r="H56" s="117">
        <f>+F56/$D$60</f>
        <v>162.71058139364104</v>
      </c>
      <c r="I56" s="117"/>
      <c r="J56" s="124"/>
      <c r="K56" s="125"/>
      <c r="L56" s="125"/>
      <c r="M56" s="125" t="s">
        <v>112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113</v>
      </c>
      <c r="N57" s="134"/>
      <c r="O57" s="135">
        <f>SUM(O54:O56)</f>
        <v>660.72241149958302</v>
      </c>
      <c r="P57" s="136"/>
      <c r="Q57" s="123"/>
    </row>
    <row r="58" spans="1:17" x14ac:dyDescent="0.2">
      <c r="B58" s="284" t="s">
        <v>114</v>
      </c>
      <c r="C58" s="284"/>
      <c r="D58" s="137">
        <v>160</v>
      </c>
      <c r="E58" s="138"/>
      <c r="G58" s="105"/>
      <c r="H58" s="131">
        <f>+H56/77</f>
        <v>2.1131244336836499</v>
      </c>
      <c r="I58" s="139"/>
      <c r="J58" s="124"/>
      <c r="K58" s="132"/>
      <c r="L58" s="125"/>
      <c r="M58" s="125" t="s">
        <v>115</v>
      </c>
      <c r="N58" s="140"/>
      <c r="O58" s="122">
        <f>+H59</f>
        <v>135.23996375575359</v>
      </c>
      <c r="P58" s="122"/>
      <c r="Q58" s="123"/>
    </row>
    <row r="59" spans="1:17" x14ac:dyDescent="0.2">
      <c r="B59" s="284" t="s">
        <v>116</v>
      </c>
      <c r="C59" s="284"/>
      <c r="D59" s="141">
        <v>160</v>
      </c>
      <c r="E59" s="138"/>
      <c r="G59" s="105"/>
      <c r="H59" s="131">
        <f>+H58*64</f>
        <v>135.23996375575359</v>
      </c>
      <c r="I59" s="139"/>
      <c r="J59" s="124"/>
      <c r="K59" s="132"/>
      <c r="L59" s="125"/>
      <c r="M59" s="285" t="s">
        <v>113</v>
      </c>
      <c r="N59" s="285"/>
      <c r="O59" s="122">
        <f>SUM(O57:O58)</f>
        <v>795.96237525533661</v>
      </c>
      <c r="P59" s="122"/>
      <c r="Q59" s="123"/>
    </row>
    <row r="60" spans="1:17" ht="13.5" thickBot="1" x14ac:dyDescent="0.25">
      <c r="B60" s="286" t="s">
        <v>117</v>
      </c>
      <c r="C60" s="286"/>
      <c r="D60" s="137">
        <f>+D58/D59</f>
        <v>1</v>
      </c>
      <c r="E60" s="138"/>
      <c r="F60" s="142"/>
      <c r="G60" s="105"/>
      <c r="H60" s="131"/>
      <c r="I60" s="139"/>
      <c r="J60" s="124"/>
      <c r="K60" s="132"/>
      <c r="L60" s="285"/>
      <c r="M60" s="285"/>
      <c r="N60" s="140"/>
      <c r="O60" s="122">
        <f>+O59*N60</f>
        <v>0</v>
      </c>
      <c r="P60" s="122"/>
      <c r="Q60" s="123"/>
    </row>
    <row r="61" spans="1:17" ht="13.5" thickBot="1" x14ac:dyDescent="0.25">
      <c r="B61" s="286" t="s">
        <v>118</v>
      </c>
      <c r="C61" s="286"/>
      <c r="D61" s="143"/>
      <c r="E61" s="138"/>
      <c r="F61" s="142"/>
      <c r="G61" s="105"/>
      <c r="H61" s="131"/>
      <c r="I61" s="139"/>
      <c r="J61" s="124"/>
      <c r="K61" s="287" t="s">
        <v>119</v>
      </c>
      <c r="L61" s="288"/>
      <c r="M61" s="288"/>
      <c r="N61" s="289"/>
      <c r="O61" s="135">
        <f>SUM(O59:O60)</f>
        <v>795.96237525533661</v>
      </c>
      <c r="P61" s="144" t="s">
        <v>120</v>
      </c>
      <c r="Q61" s="123"/>
    </row>
    <row r="62" spans="1:17" ht="13.5" thickBot="1" x14ac:dyDescent="0.25">
      <c r="C62" s="114" t="s">
        <v>121</v>
      </c>
      <c r="D62" s="145"/>
      <c r="E62" s="88" t="s">
        <v>122</v>
      </c>
      <c r="F62" s="146" t="s">
        <v>123</v>
      </c>
      <c r="G62" s="105"/>
      <c r="H62" s="131"/>
      <c r="I62" s="139"/>
      <c r="J62" s="147"/>
      <c r="K62" s="148"/>
      <c r="L62" s="295" t="s">
        <v>124</v>
      </c>
      <c r="M62" s="295"/>
      <c r="N62" s="295"/>
      <c r="O62" s="149">
        <f>+O61/D60</f>
        <v>795.96237525533661</v>
      </c>
      <c r="P62" s="150">
        <f>+O62/D59</f>
        <v>4.9747648453458542</v>
      </c>
      <c r="Q62" s="151"/>
    </row>
    <row r="63" spans="1:17" ht="13.5" thickBot="1" x14ac:dyDescent="0.25">
      <c r="B63" s="296" t="s">
        <v>109</v>
      </c>
      <c r="C63" s="296"/>
      <c r="D63" s="296"/>
      <c r="E63" s="152">
        <f>+F63/F63</f>
        <v>1</v>
      </c>
      <c r="F63" s="153">
        <f>SUM(F55)</f>
        <v>498.01183010594195</v>
      </c>
      <c r="G63" s="105">
        <f>+F63/$F$66</f>
        <v>0.75250191806553701</v>
      </c>
      <c r="H63" s="131"/>
      <c r="I63" s="139"/>
      <c r="K63" s="297"/>
      <c r="L63" s="298"/>
      <c r="M63" s="298"/>
      <c r="N63" s="298"/>
      <c r="O63" s="154"/>
      <c r="P63" s="155"/>
    </row>
    <row r="64" spans="1:17" ht="13.5" thickBot="1" x14ac:dyDescent="0.25">
      <c r="B64" s="299" t="s">
        <v>125</v>
      </c>
      <c r="C64" s="299"/>
      <c r="D64" s="299"/>
      <c r="E64" s="156">
        <v>0.02</v>
      </c>
      <c r="F64" s="153">
        <f>+F53*E64</f>
        <v>9.7962240000000005</v>
      </c>
      <c r="G64" s="105">
        <f>+F64/$F$66</f>
        <v>1.4802213329413222E-2</v>
      </c>
      <c r="H64" s="117"/>
      <c r="I64" s="139"/>
      <c r="J64" s="157"/>
      <c r="O64" s="158"/>
      <c r="P64" s="115"/>
    </row>
    <row r="65" spans="2:13" ht="13.5" thickBot="1" x14ac:dyDescent="0.25">
      <c r="B65" s="300" t="s">
        <v>126</v>
      </c>
      <c r="C65" s="301"/>
      <c r="D65" s="159">
        <v>2</v>
      </c>
      <c r="E65" s="160">
        <v>77</v>
      </c>
      <c r="F65" s="153">
        <f>+E65*D65</f>
        <v>154</v>
      </c>
      <c r="G65" s="105">
        <f>+F65/$F$66</f>
        <v>0.2326958686050499</v>
      </c>
      <c r="H65" s="117"/>
      <c r="I65" s="117"/>
      <c r="J65" s="107"/>
    </row>
    <row r="66" spans="2:13" ht="13.5" thickBot="1" x14ac:dyDescent="0.25">
      <c r="B66" s="302" t="s">
        <v>127</v>
      </c>
      <c r="C66" s="303"/>
      <c r="D66" s="303"/>
      <c r="E66" s="304"/>
      <c r="F66" s="130">
        <f>SUM(F63:F65)</f>
        <v>661.80805410594189</v>
      </c>
      <c r="G66" s="105">
        <f>+F66/$F$66</f>
        <v>1</v>
      </c>
      <c r="H66" s="283"/>
      <c r="I66" s="117"/>
      <c r="J66" s="107"/>
      <c r="M66" s="90" t="s">
        <v>128</v>
      </c>
    </row>
    <row r="67" spans="2:13" x14ac:dyDescent="0.2">
      <c r="C67" s="112"/>
      <c r="D67" s="112"/>
      <c r="E67" s="162"/>
      <c r="F67" s="153"/>
      <c r="G67" s="105"/>
      <c r="H67" s="283"/>
      <c r="I67" s="161"/>
      <c r="J67" s="90"/>
      <c r="M67" s="90" t="s">
        <v>129</v>
      </c>
    </row>
    <row r="68" spans="2:13" ht="13.5" thickBot="1" x14ac:dyDescent="0.25">
      <c r="B68" s="290" t="s">
        <v>130</v>
      </c>
      <c r="C68" s="290"/>
      <c r="D68" s="290"/>
      <c r="E68" s="290"/>
      <c r="F68" s="290"/>
      <c r="G68" s="105"/>
      <c r="H68" s="164"/>
      <c r="I68" s="161"/>
      <c r="J68" s="90"/>
      <c r="M68" s="90" t="s">
        <v>131</v>
      </c>
    </row>
    <row r="69" spans="2:13" ht="13.5" thickBot="1" x14ac:dyDescent="0.25">
      <c r="B69" s="165" t="s">
        <v>132</v>
      </c>
      <c r="C69" s="166">
        <f>+F53</f>
        <v>489.81119999999999</v>
      </c>
      <c r="D69" s="166">
        <f>+D58</f>
        <v>160</v>
      </c>
      <c r="E69" s="167">
        <f>+C69/D69</f>
        <v>3.0613199999999998</v>
      </c>
      <c r="F69" s="105"/>
      <c r="G69" s="164"/>
      <c r="H69" s="107"/>
      <c r="I69" s="164"/>
      <c r="J69" s="90"/>
    </row>
    <row r="70" spans="2:13" x14ac:dyDescent="0.2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3" x14ac:dyDescent="0.2">
      <c r="B71" s="165" t="s">
        <v>133</v>
      </c>
      <c r="C71" s="166">
        <f>SUM(F63:F64)</f>
        <v>507.80805410594195</v>
      </c>
      <c r="D71" s="166">
        <f>+D58</f>
        <v>160</v>
      </c>
      <c r="E71" s="171">
        <f>+C71/D71</f>
        <v>3.1738003381621374</v>
      </c>
      <c r="F71" s="105"/>
      <c r="G71" s="164"/>
      <c r="H71" s="107"/>
      <c r="I71" s="107"/>
      <c r="J71" s="90"/>
    </row>
    <row r="72" spans="2:13" x14ac:dyDescent="0.2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3" ht="13.5" thickBot="1" x14ac:dyDescent="0.25">
      <c r="B73" s="165" t="s">
        <v>134</v>
      </c>
      <c r="C73" s="166">
        <f>+F65</f>
        <v>154</v>
      </c>
      <c r="D73" s="166">
        <f>+D58</f>
        <v>160</v>
      </c>
      <c r="E73" s="171">
        <f>+C73/D73</f>
        <v>0.96250000000000002</v>
      </c>
      <c r="F73" s="105"/>
      <c r="G73" s="164"/>
      <c r="H73" s="107"/>
      <c r="I73" s="107"/>
      <c r="J73" s="90"/>
    </row>
    <row r="74" spans="2:13" ht="13.5" thickBot="1" x14ac:dyDescent="0.25">
      <c r="B74" s="165" t="s">
        <v>135</v>
      </c>
      <c r="C74" s="166">
        <f>+F56</f>
        <v>162.71058139364104</v>
      </c>
      <c r="D74" s="166">
        <f>+D73</f>
        <v>160</v>
      </c>
      <c r="E74" s="167">
        <f>+C74/D74</f>
        <v>1.0169411337102565</v>
      </c>
      <c r="F74" s="105"/>
      <c r="G74" s="164"/>
      <c r="H74" s="107"/>
      <c r="I74" s="107"/>
      <c r="J74" s="90"/>
    </row>
    <row r="75" spans="2:13" ht="13.5" thickBot="1" x14ac:dyDescent="0.25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3" ht="13.5" thickBot="1" x14ac:dyDescent="0.25">
      <c r="B76" s="165" t="s">
        <v>136</v>
      </c>
      <c r="C76" s="166">
        <f>+F54</f>
        <v>8.2006301059419613</v>
      </c>
      <c r="D76" s="166">
        <f>+D74</f>
        <v>160</v>
      </c>
      <c r="E76" s="167">
        <f>+C76/D76</f>
        <v>5.1253938162137261E-2</v>
      </c>
      <c r="F76" s="105"/>
      <c r="G76" s="164"/>
      <c r="H76" s="107"/>
      <c r="I76" s="107"/>
      <c r="J76" s="107"/>
    </row>
    <row r="77" spans="2:13" ht="13.5" thickBot="1" x14ac:dyDescent="0.25">
      <c r="B77" s="129"/>
      <c r="C77" s="130"/>
      <c r="D77" s="130"/>
      <c r="E77" s="171"/>
      <c r="F77" s="105"/>
      <c r="G77" s="164"/>
      <c r="H77" s="107"/>
      <c r="I77" s="107"/>
    </row>
    <row r="78" spans="2:13" ht="13.5" thickBot="1" x14ac:dyDescent="0.25">
      <c r="B78" s="291" t="s">
        <v>137</v>
      </c>
      <c r="C78" s="292"/>
      <c r="D78" s="293"/>
      <c r="E78" s="167">
        <f>+E69+E74</f>
        <v>4.0782611337102566</v>
      </c>
      <c r="G78" s="105"/>
      <c r="H78" s="164"/>
      <c r="I78" s="107"/>
      <c r="J78" s="171"/>
    </row>
    <row r="79" spans="2:13" x14ac:dyDescent="0.2">
      <c r="I79" s="164"/>
      <c r="J79" s="90"/>
    </row>
    <row r="80" spans="2:13" ht="13.5" thickBot="1" x14ac:dyDescent="0.25">
      <c r="B80" s="290" t="s">
        <v>138</v>
      </c>
      <c r="C80" s="290"/>
      <c r="D80" s="290"/>
      <c r="E80" s="290"/>
      <c r="F80" s="290"/>
      <c r="G80" s="105"/>
      <c r="H80" s="164"/>
      <c r="J80" s="90"/>
    </row>
    <row r="81" spans="1:10" ht="13.5" thickBot="1" x14ac:dyDescent="0.25">
      <c r="B81" s="165" t="s">
        <v>132</v>
      </c>
      <c r="C81" s="166">
        <f>+C69</f>
        <v>489.81119999999999</v>
      </c>
      <c r="D81" s="166">
        <f>+D60</f>
        <v>1</v>
      </c>
      <c r="E81" s="167">
        <f>+C81/D81</f>
        <v>489.81119999999999</v>
      </c>
      <c r="F81" s="105"/>
      <c r="G81" s="164"/>
      <c r="H81" s="107"/>
      <c r="I81" s="164"/>
      <c r="J81" s="90"/>
    </row>
    <row r="82" spans="1:10" x14ac:dyDescent="0.2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">
      <c r="B83" s="165" t="s">
        <v>133</v>
      </c>
      <c r="C83" s="166">
        <f>+C71</f>
        <v>507.80805410594195</v>
      </c>
      <c r="D83" s="166">
        <f>+D60</f>
        <v>1</v>
      </c>
      <c r="E83" s="171">
        <f>+C83/D83</f>
        <v>507.80805410594195</v>
      </c>
      <c r="F83" s="105"/>
      <c r="G83" s="164"/>
      <c r="H83" s="107"/>
      <c r="I83" s="107"/>
      <c r="J83" s="90"/>
    </row>
    <row r="84" spans="1:10" x14ac:dyDescent="0.2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25">
      <c r="B85" s="165" t="s">
        <v>135</v>
      </c>
      <c r="C85" s="166">
        <f>+C73</f>
        <v>154</v>
      </c>
      <c r="D85" s="166">
        <f>+D60</f>
        <v>1</v>
      </c>
      <c r="E85" s="171">
        <f>+C85/D85</f>
        <v>154</v>
      </c>
      <c r="F85" s="173"/>
      <c r="G85" s="163"/>
      <c r="H85" s="89"/>
      <c r="I85" s="107"/>
    </row>
    <row r="86" spans="1:10" ht="13.5" thickBot="1" x14ac:dyDescent="0.25">
      <c r="B86" s="165" t="s">
        <v>135</v>
      </c>
      <c r="C86" s="166">
        <f>+C74</f>
        <v>162.71058139364104</v>
      </c>
      <c r="D86" s="166">
        <f>+D85</f>
        <v>1</v>
      </c>
      <c r="E86" s="167">
        <f>+C86/D86</f>
        <v>162.71058139364104</v>
      </c>
      <c r="F86" s="172"/>
      <c r="G86" s="163"/>
      <c r="H86" s="89"/>
      <c r="I86" s="89"/>
    </row>
    <row r="87" spans="1:10" x14ac:dyDescent="0.2">
      <c r="I87" s="89"/>
    </row>
    <row r="88" spans="1:10" x14ac:dyDescent="0.2">
      <c r="A88" s="294"/>
      <c r="B88" s="294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58:C58"/>
    <mergeCell ref="B59:C59"/>
    <mergeCell ref="M59:N59"/>
    <mergeCell ref="B60:C60"/>
    <mergeCell ref="L60:M60"/>
    <mergeCell ref="B61:C61"/>
    <mergeCell ref="K61:N61"/>
    <mergeCell ref="K30:L30"/>
    <mergeCell ref="B53:E53"/>
    <mergeCell ref="B54:E54"/>
    <mergeCell ref="K54:N54"/>
    <mergeCell ref="B55:E55"/>
    <mergeCell ref="C56:E56"/>
    <mergeCell ref="A4:H4"/>
    <mergeCell ref="A5:H5"/>
    <mergeCell ref="F6:G6"/>
    <mergeCell ref="K27:L27"/>
    <mergeCell ref="K28:L28"/>
    <mergeCell ref="K29:L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B003E23-3A4E-4050-8BBA-F3E8FA787FA1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49A4AD1-8A67-4A42-B30B-577C64029D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A5DFE-C781-4694-A3DF-91745CA4B07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BE1D74B-8147-464C-B862-D45055A9D02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Relleno de Queso</vt:lpstr>
      <vt:lpstr>Costo relleno de queso</vt:lpstr>
      <vt:lpstr>Empaque</vt:lpstr>
      <vt:lpstr>Costo Empaque </vt:lpstr>
      <vt:lpstr>'Relleno de Queso'!Área_de_impresión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Miguel Coto Consultor</cp:lastModifiedBy>
  <cp:lastPrinted>2025-01-14T20:53:37Z</cp:lastPrinted>
  <dcterms:created xsi:type="dcterms:W3CDTF">2012-05-10T22:32:20Z</dcterms:created>
  <dcterms:modified xsi:type="dcterms:W3CDTF">2025-01-14T21:55:58Z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</Properties>
</file>
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9004AADA-1B63-47CE-94DA-77A6BD08C280}" xr6:coauthVersionLast="47" xr6:coauthVersionMax="47" xr10:uidLastSave="{EE5E07E5-9BC7-4714-A5DB-95CEB2C53285}"/>
  <bookViews>
    <workbookView xWindow="-120" yWindow="-120" windowWidth="20730" windowHeight="11040" xr2:uid="{A865FD74-D243-4FE2-A607-8D78D269319B}"/>
  </bookViews>
  <sheets>
    <sheet name="Relleno Lemon Court Yozu" sheetId="1" r:id="rId1"/>
  </sheets>
  <definedNames>
    <definedName name="_xlnm.Print_Area" localSheetId="0">'Relleno Lemon Court Yozu'!$A$1:$I$41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J27" i="1"/>
  <c r="D32" i="1" l="1"/>
</calcChain>
</file>

<file path=xl/sharedStrings.xml><?xml version="1.0" encoding="utf-8"?>
<sst xmlns="http://schemas.openxmlformats.org/spreadsheetml/2006/main" count="89" uniqueCount="72">
  <si>
    <t>CONTROL DE CAMBIOS</t>
  </si>
  <si>
    <t xml:space="preserve">3.Se deja enfriar, guardar y etiquetar. </t>
  </si>
  <si>
    <t>2. Cuando todo este completamente disuelto y cominze a hervir, incorporamos el almidon y dejamos que espese sin dejar de mover.</t>
  </si>
  <si>
    <t xml:space="preserve">1. Colocar todos los ingredientes en una olla, excepto el amidon disuelto en la otra parte del agua.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</si>
  <si>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</si>
  <si>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</si>
  <si>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</si>
  <si>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</si>
  <si>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</si>
  <si>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</si>
  <si>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</si>
  <si>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</si>
  <si>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</si>
  <si>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</si>
  <si>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</si>
  <si>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</si>
  <si>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</si>
  <si>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</si>
  <si>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</si>
  <si>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</si>
  <si>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DECORACION</t>
  </si>
  <si>
    <t>ASEAL</t>
  </si>
  <si>
    <t>Almidon Modificado</t>
  </si>
  <si>
    <t>MP10026</t>
  </si>
  <si>
    <t>Yema De Huevo Pasteurizada</t>
  </si>
  <si>
    <t>MP10037</t>
  </si>
  <si>
    <t>Aceal</t>
  </si>
  <si>
    <t>Preservante 1047S</t>
  </si>
  <si>
    <t>MP10008</t>
  </si>
  <si>
    <t xml:space="preserve">DOS PINOS </t>
  </si>
  <si>
    <t>Lactocrema Granel</t>
  </si>
  <si>
    <t>MP10022</t>
  </si>
  <si>
    <t>LA PERLA</t>
  </si>
  <si>
    <t>Jugo De Limon Mesino</t>
  </si>
  <si>
    <t>MP10680</t>
  </si>
  <si>
    <t>Rayadura</t>
  </si>
  <si>
    <t>ud</t>
  </si>
  <si>
    <t>Limones Maya</t>
  </si>
  <si>
    <t>MP10240</t>
  </si>
  <si>
    <t>FAS</t>
  </si>
  <si>
    <t xml:space="preserve">Agua </t>
  </si>
  <si>
    <t xml:space="preserve">Yuzu </t>
  </si>
  <si>
    <t>MP10899</t>
  </si>
  <si>
    <t>LAYCA</t>
  </si>
  <si>
    <t>Azucar Blanco Industrial</t>
  </si>
  <si>
    <t>MP10074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</si>
  <si>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</si>
  <si>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</si>
  <si>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</si>
  <si>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</si>
  <si>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</si>
  <si>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</si>
  <si>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</si>
  <si>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</si>
  <si>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</si>
  <si>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</si>
  <si>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Cocina 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</si>
  <si>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</si>
  <si>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</si>
  <si>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</si>
  <si>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</si>
  <si>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</si>
  <si>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</si>
  <si>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</si>
  <si>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SE00815 Relleno Lemon Court con yozu</t>
  </si>
  <si>
    <t>REVISIÓN:</t>
  </si>
  <si>
    <t>ESPECIFICACION DE RECETA</t>
  </si>
  <si>
    <t>CÓDIGO:</t>
  </si>
  <si>
    <t>SERVICIOS DE PASTELERIA S.A.</t>
  </si>
  <si>
    <t xml:space="preserve">Agua para 
Almidon </t>
  </si>
  <si>
    <t>01</t>
  </si>
  <si>
    <t>ESP-RE-COCS-137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</si>
</sst>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149">
    <xf numFmtId="0" fontId="0" fillId="0" borderId="0" xfId="0"/>
    <xf numFmtId="1" fontId="0" fillId="0" borderId="0" xfId="0" applyNumberFormat="1"/>
    <xf numFmtId="0" fontId="4" fillId="4" borderId="32" xfId="2" applyFont="1" applyFill="1" applyBorder="1" applyAlignment="1">
      <alignment horizontal="center"/>
    </xf>
    <xf numFmtId="1" fontId="4" fillId="4" borderId="21" xfId="2" applyNumberFormat="1" applyFont="1" applyFill="1" applyBorder="1" applyAlignment="1">
      <alignment horizontal="center" wrapText="1"/>
    </xf>
    <xf numFmtId="1" fontId="4" fillId="4" borderId="21" xfId="2" applyNumberFormat="1" applyFont="1" applyFill="1" applyBorder="1" applyAlignment="1">
      <alignment horizontal="center"/>
    </xf>
    <xf numFmtId="0" fontId="4" fillId="4" borderId="21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 wrapText="1"/>
    </xf>
    <xf numFmtId="0" fontId="4" fillId="4" borderId="23" xfId="2" applyFont="1" applyFill="1" applyBorder="1" applyAlignment="1">
      <alignment horizontal="center" vertical="center"/>
    </xf>
    <xf numFmtId="0" fontId="4" fillId="4" borderId="13" xfId="2" applyFont="1" applyFill="1" applyBorder="1" applyAlignment="1">
      <alignment horizontal="center" vertical="center" wrapText="1"/>
    </xf>
    <xf numFmtId="0" fontId="4" fillId="4" borderId="14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/>
    </xf>
    <xf numFmtId="14" fontId="5" fillId="2" borderId="0" xfId="1" applyNumberFormat="1" applyFont="1" applyFill="1" applyAlignment="1">
      <alignment horizontal="center" vertical="center" wrapText="1"/>
    </xf>
    <xf numFmtId="0" fontId="6" fillId="2" borderId="0" xfId="1" applyFont="1" applyFill="1"/>
    <xf numFmtId="0" fontId="5" fillId="2" borderId="3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14" fontId="3" fillId="2" borderId="6" xfId="1" applyNumberFormat="1" applyFont="1" applyFill="1" applyBorder="1" applyAlignment="1">
      <alignment horizontal="center" vertical="center" wrapText="1"/>
    </xf>
    <xf numFmtId="0" fontId="4" fillId="2" borderId="35" xfId="1" applyFont="1" applyFill="1" applyBorder="1" applyAlignment="1">
      <alignment horizontal="right" vertical="top" wrapText="1"/>
    </xf>
    <xf numFmtId="0" fontId="3" fillId="2" borderId="9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24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right"/>
    </xf>
    <xf numFmtId="0" fontId="3" fillId="2" borderId="27" xfId="1" applyFont="1" applyFill="1" applyBorder="1" applyAlignment="1">
      <alignment horizontal="center"/>
    </xf>
    <xf numFmtId="0" fontId="3" fillId="2" borderId="28" xfId="1" applyFont="1" applyFill="1" applyBorder="1" applyAlignment="1">
      <alignment horizontal="center"/>
    </xf>
    <xf numFmtId="14" fontId="3" fillId="2" borderId="36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right" vertical="top" wrapText="1"/>
    </xf>
    <xf numFmtId="0" fontId="3" fillId="2" borderId="15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30" xfId="1" applyFont="1" applyFill="1" applyBorder="1" applyAlignment="1">
      <alignment horizontal="center"/>
    </xf>
    <xf numFmtId="14" fontId="3" fillId="2" borderId="40" xfId="1" applyNumberFormat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49" fontId="3" fillId="2" borderId="10" xfId="1" applyNumberFormat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0" fontId="4" fillId="2" borderId="31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4" fillId="2" borderId="14" xfId="1" applyFont="1" applyFill="1" applyBorder="1" applyAlignment="1">
      <alignment horizontal="right"/>
    </xf>
    <xf numFmtId="0" fontId="4" fillId="2" borderId="14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7" fillId="6" borderId="19" xfId="1" applyFont="1" applyFill="1" applyBorder="1" applyAlignment="1">
      <alignment horizontal="center" vertical="center" wrapText="1"/>
    </xf>
    <xf numFmtId="0" fontId="7" fillId="6" borderId="18" xfId="1" applyFont="1" applyFill="1" applyBorder="1" applyAlignment="1">
      <alignment horizontal="center" vertical="center" wrapText="1"/>
    </xf>
    <xf numFmtId="0" fontId="7" fillId="6" borderId="17" xfId="1" applyFont="1" applyFill="1" applyBorder="1" applyAlignment="1">
      <alignment horizontal="center" vertical="center" wrapText="1"/>
    </xf>
    <xf numFmtId="49" fontId="8" fillId="5" borderId="11" xfId="2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1" xfId="0" applyFont="1" applyBorder="1"/>
    <xf numFmtId="16" fontId="10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vertical="center" wrapText="1"/>
    </xf>
    <xf numFmtId="1" fontId="10" fillId="0" borderId="26" xfId="2" applyNumberFormat="1" applyFont="1" applyBorder="1" applyAlignment="1">
      <alignment horizontal="center"/>
    </xf>
    <xf numFmtId="1" fontId="9" fillId="0" borderId="7" xfId="0" applyNumberFormat="1" applyFont="1" applyBorder="1"/>
    <xf numFmtId="16" fontId="10" fillId="0" borderId="11" xfId="2" applyNumberFormat="1" applyFont="1" applyBorder="1" applyAlignment="1">
      <alignment horizontal="center"/>
    </xf>
    <xf numFmtId="49" fontId="10" fillId="0" borderId="11" xfId="3" applyNumberFormat="1" applyFont="1" applyBorder="1" applyAlignment="1">
      <alignment horizontal="center"/>
    </xf>
    <xf numFmtId="49" fontId="10" fillId="0" borderId="11" xfId="3" applyNumberFormat="1" applyFont="1" applyBorder="1"/>
    <xf numFmtId="0" fontId="10" fillId="0" borderId="11" xfId="3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10" fillId="0" borderId="11" xfId="0" applyNumberFormat="1" applyFont="1" applyBorder="1"/>
    <xf numFmtId="16" fontId="10" fillId="0" borderId="11" xfId="3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10" fillId="0" borderId="11" xfId="0" applyNumberFormat="1" applyFont="1" applyBorder="1" applyAlignment="1">
      <alignment horizontal="center" vertical="center"/>
    </xf>
    <xf numFmtId="1" fontId="10" fillId="0" borderId="24" xfId="2" applyNumberFormat="1" applyFont="1" applyBorder="1" applyAlignment="1">
      <alignment horizontal="center"/>
    </xf>
    <xf numFmtId="0" fontId="9" fillId="0" borderId="0" xfId="0" applyFont="1"/>
    <xf numFmtId="0" fontId="10" fillId="0" borderId="11" xfId="0" applyFont="1" applyBorder="1" applyAlignment="1">
      <alignment horizontal="center"/>
    </xf>
    <xf numFmtId="1" fontId="10" fillId="0" borderId="11" xfId="0" applyNumberFormat="1" applyFont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10" fillId="0" borderId="16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2" xfId="0" applyFont="1" applyBorder="1" applyAlignment="1">
      <alignment horizontal="left" wrapText="1"/>
    </xf>
    <xf numFmtId="0" fontId="10" fillId="0" borderId="9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0" fontId="10" fillId="0" borderId="12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0" borderId="12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2" fillId="0" borderId="11" xfId="2" applyFont="1" applyBorder="1" applyAlignment="1">
      <alignment vertical="center"/>
    </xf>
    <xf numFmtId="1" fontId="11" fillId="0" borderId="11" xfId="2" applyNumberFormat="1" applyFont="1" applyBorder="1" applyAlignment="1">
      <alignment horizontal="center"/>
    </xf>
    <xf numFmtId="1" fontId="11" fillId="0" borderId="11" xfId="2" applyNumberFormat="1" applyFont="1" applyBorder="1" applyAlignment="1">
      <alignment horizontal="center" wrapText="1"/>
    </xf>
    <xf numFmtId="0" fontId="10" fillId="0" borderId="10" xfId="2" applyFont="1" applyBorder="1" applyAlignment="1">
      <alignment horizontal="center"/>
    </xf>
    <xf numFmtId="0" fontId="11" fillId="0" borderId="11" xfId="2" applyFont="1" applyBorder="1"/>
    <xf numFmtId="1" fontId="10" fillId="0" borderId="11" xfId="2" applyNumberFormat="1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11" xfId="0" applyFont="1" applyFill="1" applyBorder="1"/>
    <xf numFmtId="16" fontId="10" fillId="5" borderId="11" xfId="0" applyNumberFormat="1" applyFont="1" applyFill="1" applyBorder="1" applyAlignment="1">
      <alignment horizontal="center"/>
    </xf>
    <xf numFmtId="1" fontId="10" fillId="5" borderId="11" xfId="0" applyNumberFormat="1" applyFont="1" applyFill="1" applyBorder="1" applyAlignment="1">
      <alignment horizontal="center" wrapText="1"/>
    </xf>
    <xf numFmtId="49" fontId="10" fillId="0" borderId="12" xfId="2" applyNumberFormat="1" applyFont="1" applyBorder="1" applyAlignment="1">
      <alignment horizontal="center"/>
    </xf>
    <xf numFmtId="49" fontId="10" fillId="0" borderId="9" xfId="2" applyNumberFormat="1" applyFont="1" applyBorder="1" applyAlignment="1">
      <alignment horizontal="center"/>
    </xf>
    <xf numFmtId="49" fontId="10" fillId="0" borderId="11" xfId="2" applyNumberFormat="1" applyFont="1" applyBorder="1"/>
    <xf numFmtId="1" fontId="10" fillId="0" borderId="11" xfId="2" applyNumberFormat="1" applyFont="1" applyBorder="1" applyAlignment="1">
      <alignment horizontal="center" wrapText="1"/>
    </xf>
    <xf numFmtId="49" fontId="8" fillId="2" borderId="30" xfId="2" applyNumberFormat="1" applyFont="1" applyFill="1" applyBorder="1" applyAlignment="1">
      <alignment horizontal="center" vertical="center"/>
    </xf>
    <xf numFmtId="49" fontId="8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9" xfId="2" applyFont="1" applyFill="1" applyBorder="1" applyAlignment="1">
      <alignment horizontal="center"/>
    </xf>
    <xf numFmtId="0" fontId="10" fillId="4" borderId="19" xfId="2" applyFont="1" applyFill="1" applyBorder="1" applyAlignment="1">
      <alignment horizontal="center"/>
    </xf>
    <xf numFmtId="0" fontId="10" fillId="4" borderId="18" xfId="2" applyFont="1" applyFill="1" applyBorder="1" applyAlignment="1">
      <alignment horizontal="center"/>
    </xf>
    <xf numFmtId="0" fontId="10" fillId="4" borderId="18" xfId="2" applyFont="1" applyFill="1" applyBorder="1"/>
    <xf numFmtId="0" fontId="11" fillId="4" borderId="18" xfId="2" applyFont="1" applyFill="1" applyBorder="1" applyAlignment="1">
      <alignment horizontal="center"/>
    </xf>
    <xf numFmtId="1" fontId="11" fillId="4" borderId="18" xfId="2" applyNumberFormat="1" applyFont="1" applyFill="1" applyBorder="1" applyAlignment="1">
      <alignment horizontal="center"/>
    </xf>
    <xf numFmtId="164" fontId="10" fillId="4" borderId="18" xfId="2" applyNumberFormat="1" applyFont="1" applyFill="1" applyBorder="1" applyAlignment="1">
      <alignment horizontal="center" wrapText="1"/>
    </xf>
    <xf numFmtId="0" fontId="10" fillId="4" borderId="17" xfId="2" applyFont="1" applyFill="1" applyBorder="1" applyAlignment="1">
      <alignment horizontal="center"/>
    </xf>
    <xf numFmtId="0" fontId="11" fillId="0" borderId="28" xfId="2" applyFont="1" applyBorder="1" applyAlignment="1">
      <alignment horizontal="right"/>
    </xf>
    <xf numFmtId="0" fontId="11" fillId="0" borderId="27" xfId="2" applyFont="1" applyBorder="1" applyAlignment="1">
      <alignment horizontal="right"/>
    </xf>
    <xf numFmtId="0" fontId="11" fillId="0" borderId="8" xfId="2" applyFont="1" applyBorder="1" applyAlignment="1">
      <alignment horizontal="right"/>
    </xf>
    <xf numFmtId="1" fontId="10" fillId="0" borderId="7" xfId="0" applyNumberFormat="1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164" fontId="10" fillId="0" borderId="7" xfId="2" applyNumberFormat="1" applyFont="1" applyBorder="1" applyAlignment="1">
      <alignment horizontal="right"/>
    </xf>
    <xf numFmtId="0" fontId="10" fillId="2" borderId="26" xfId="2" applyFont="1" applyFill="1" applyBorder="1" applyAlignment="1">
      <alignment horizontal="center"/>
    </xf>
    <xf numFmtId="0" fontId="10" fillId="2" borderId="25" xfId="2" applyFont="1" applyFill="1" applyBorder="1" applyAlignment="1">
      <alignment horizontal="center"/>
    </xf>
    <xf numFmtId="0" fontId="11" fillId="0" borderId="5" xfId="2" applyFont="1" applyBorder="1" applyAlignment="1">
      <alignment horizontal="right"/>
    </xf>
    <xf numFmtId="0" fontId="11" fillId="0" borderId="4" xfId="2" applyFont="1" applyBorder="1" applyAlignment="1">
      <alignment horizontal="right"/>
    </xf>
    <xf numFmtId="0" fontId="11" fillId="0" borderId="9" xfId="2" applyFont="1" applyBorder="1" applyAlignment="1">
      <alignment horizontal="right"/>
    </xf>
    <xf numFmtId="0" fontId="10" fillId="0" borderId="11" xfId="2" applyFont="1" applyBorder="1" applyAlignment="1">
      <alignment horizontal="right"/>
    </xf>
    <xf numFmtId="164" fontId="10" fillId="0" borderId="24" xfId="2" applyNumberFormat="1" applyFont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164" fontId="10" fillId="0" borderId="24" xfId="2" applyNumberFormat="1" applyFont="1" applyBorder="1" applyAlignment="1">
      <alignment horizontal="right" wrapText="1"/>
    </xf>
    <xf numFmtId="164" fontId="10" fillId="0" borderId="9" xfId="2" applyNumberFormat="1" applyFont="1" applyBorder="1" applyAlignment="1">
      <alignment horizontal="right" wrapText="1"/>
    </xf>
    <xf numFmtId="0" fontId="11" fillId="0" borderId="23" xfId="2" applyFont="1" applyBorder="1" applyAlignment="1">
      <alignment horizontal="right"/>
    </xf>
    <xf numFmtId="0" fontId="11" fillId="0" borderId="22" xfId="2" applyFont="1" applyBorder="1" applyAlignment="1">
      <alignment horizontal="right"/>
    </xf>
    <xf numFmtId="0" fontId="11" fillId="0" borderId="21" xfId="2" applyFont="1" applyBorder="1" applyAlignment="1">
      <alignment horizontal="right"/>
    </xf>
    <xf numFmtId="1" fontId="10" fillId="0" borderId="21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1" xfId="2" applyFont="1" applyBorder="1" applyAlignment="1">
      <alignment horizontal="right"/>
    </xf>
    <xf numFmtId="164" fontId="10" fillId="0" borderId="20" xfId="2" applyNumberFormat="1" applyFont="1" applyBorder="1" applyAlignment="1">
      <alignment horizontal="center"/>
    </xf>
    <xf numFmtId="164" fontId="10" fillId="0" borderId="2" xfId="2" applyNumberFormat="1" applyFont="1" applyBorder="1" applyAlignment="1">
      <alignment horizontal="center"/>
    </xf>
    <xf numFmtId="0" fontId="11" fillId="4" borderId="19" xfId="2" applyFont="1" applyFill="1" applyBorder="1" applyAlignment="1">
      <alignment horizontal="center"/>
    </xf>
    <xf numFmtId="0" fontId="11" fillId="4" borderId="18" xfId="2" applyFont="1" applyFill="1" applyBorder="1" applyAlignment="1">
      <alignment horizontal="center"/>
    </xf>
    <xf numFmtId="0" fontId="11" fillId="4" borderId="17" xfId="2" applyFont="1" applyFill="1" applyBorder="1" applyAlignment="1">
      <alignment horizontal="center"/>
    </xf>
    <xf numFmtId="0" fontId="10" fillId="0" borderId="43" xfId="2" applyFont="1" applyBorder="1" applyAlignment="1">
      <alignment horizontal="left"/>
    </xf>
    <xf numFmtId="0" fontId="10" fillId="0" borderId="44" xfId="2" applyFont="1" applyBorder="1" applyAlignment="1">
      <alignment horizontal="left"/>
    </xf>
    <xf numFmtId="0" fontId="10" fillId="0" borderId="45" xfId="2" applyFont="1" applyBorder="1" applyAlignment="1">
      <alignment horizontal="left"/>
    </xf>
    <xf numFmtId="0" fontId="11" fillId="3" borderId="11" xfId="1" applyFont="1" applyFill="1" applyBorder="1" applyAlignment="1">
      <alignment horizontal="center"/>
    </xf>
    <xf numFmtId="0" fontId="10" fillId="2" borderId="11" xfId="1" applyFont="1" applyFill="1" applyBorder="1" applyAlignment="1">
      <alignment horizontal="left"/>
    </xf>
    <xf numFmtId="1" fontId="10" fillId="0" borderId="26" xfId="2" applyNumberFormat="1" applyFont="1" applyBorder="1" applyAlignment="1">
      <alignment horizontal="center" wrapText="1"/>
    </xf>
  </cellXfs>
  <cellStyles count="4">
    <cellStyle name="Normal" xfId="0" builtinId="0"/>
    <cellStyle name="Normal 2" xfId="2" xr:uid="{9EECD81B-6DF0-48AC-98E0-E55F3E8D46F5}"/>
    <cellStyle name="Normal 2 2" xfId="3" xr:uid="{78CAD49F-DA6D-43D1-BCA6-545D875B2D99}"/>
    <cellStyle name="Normal_CRITERIOS DE EVALUACION PT DE GB 2" xfId="1" xr:uid="{C8313D8D-11D9-4401-A2F1-15378E3825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107320</xdr:colOff>
      <xdr:row>0</xdr:row>
      <xdr:rowOff>178592</xdr:rowOff>
    </xdr:from>
    <xdr:ext cx="2047370" cy="916782"/>
    <xdr:pic>
      <xdr:nvPicPr>
        <xdr:cNvPr id="2" name="Imagen 1">
          <a:extLst>
            <a:ext uri="{FF2B5EF4-FFF2-40B4-BE49-F238E27FC236}">
              <a16:creationId xmlns:a16="http://schemas.microsoft.com/office/drawing/2014/main" id="{B558E9CC-7A54-48BC-AFCF-188B657A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20" y="178592"/>
          <a:ext cx="2047370" cy="916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5B9C-09E1-4CB6-A7C6-07A2F755E9EC}">
  <sheetPr>
    <pageSetUpPr fitToPage="1"/>
  </sheetPr>
  <dimension ref="A1:K4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customWidth="1"/>
    <col min="2" max="2" width="19.5703125" customWidth="1"/>
    <col min="3" max="3" width="44.42578125" customWidth="1"/>
    <col min="4" max="4" width="22.85546875" customWidth="1"/>
    <col min="5" max="5" width="17.140625" customWidth="1"/>
    <col min="6" max="6" width="15.7109375" customWidth="1"/>
    <col min="7" max="7" width="18.42578125" customWidth="1"/>
    <col min="8" max="8" width="19.28515625" customWidth="1"/>
    <col min="9" max="9" width="22" customWidth="1"/>
  </cols>
  <sheetData>
    <row r="1" spans="1:9" ht="17.25" x14ac:dyDescent="0.3">
      <c r="A1" s="42"/>
      <c r="B1" s="41"/>
      <c r="C1" s="40" t="s">
        <v>68</v>
      </c>
      <c r="D1" s="40"/>
      <c r="E1" s="40"/>
      <c r="F1" s="40"/>
      <c r="G1" s="40"/>
      <c r="H1" s="39" t="s">
        <v>67</v>
      </c>
      <c r="I1" s="38" t="s">
        <v>71</v>
      </c>
    </row>
    <row r="2" spans="1:9" ht="18" thickBot="1" x14ac:dyDescent="0.35">
      <c r="A2" s="32"/>
      <c r="B2" s="31"/>
      <c r="C2" s="37" t="s">
        <v>66</v>
      </c>
      <c r="D2" s="37"/>
      <c r="E2" s="37"/>
      <c r="F2" s="37"/>
      <c r="G2" s="37"/>
      <c r="H2" s="36" t="s">
        <v>65</v>
      </c>
      <c r="I2" s="35" t="s">
        <v>70</v>
      </c>
    </row>
    <row r="3" spans="1:9" ht="27.75" customHeight="1" thickBot="1" x14ac:dyDescent="0.3">
      <c r="A3" s="32"/>
      <c r="B3" s="31"/>
      <c r="C3" s="43" t="s">
        <v>64</v>
      </c>
      <c r="D3" s="44"/>
      <c r="E3" s="44"/>
      <c r="F3" s="44"/>
      <c r="G3" s="45"/>
      <c r="H3" s="34" t="s">
        <v>63</v>
      </c>
      <c r="I3" s="33">
        <v>46066</v>
      </c>
    </row>
    <row r="4" spans="1:9" ht="17.25" x14ac:dyDescent="0.3">
      <c r="A4" s="32"/>
      <c r="B4" s="31"/>
      <c r="C4" s="30" t="s">
        <v>62</v>
      </c>
      <c r="D4" s="29" t="s">
        <v>61</v>
      </c>
      <c r="E4" s="28"/>
      <c r="F4" s="28"/>
      <c r="G4" s="27"/>
      <c r="H4" s="26"/>
      <c r="I4" s="25"/>
    </row>
    <row r="5" spans="1:9" ht="18" thickBot="1" x14ac:dyDescent="0.35">
      <c r="A5" s="24"/>
      <c r="B5" s="23"/>
      <c r="C5" s="22" t="s">
        <v>60</v>
      </c>
      <c r="D5" s="21" t="s">
        <v>59</v>
      </c>
      <c r="E5" s="20"/>
      <c r="F5" s="20"/>
      <c r="G5" s="19"/>
      <c r="H5" s="18"/>
      <c r="I5" s="17"/>
    </row>
    <row r="6" spans="1:9" ht="21" customHeight="1" thickBot="1" x14ac:dyDescent="0.3">
      <c r="A6" s="16" t="s">
        <v>58</v>
      </c>
      <c r="B6" s="16"/>
      <c r="C6" s="16"/>
      <c r="D6" s="15" t="s">
        <v>56</v>
      </c>
      <c r="E6" s="15"/>
      <c r="F6" s="15"/>
      <c r="G6" s="14" t="s">
        <v>57</v>
      </c>
      <c r="H6" s="14"/>
      <c r="I6" s="13" t="s">
        <v>56</v>
      </c>
    </row>
    <row r="7" spans="1:9" ht="32.25" customHeight="1" x14ac:dyDescent="0.25">
      <c r="A7" s="12" t="s">
        <v>55</v>
      </c>
      <c r="B7" s="11" t="s">
        <v>54</v>
      </c>
      <c r="C7" s="10" t="s">
        <v>53</v>
      </c>
      <c r="D7" s="10" t="s">
        <v>52</v>
      </c>
      <c r="E7" s="10" t="s">
        <v>51</v>
      </c>
      <c r="F7" s="10"/>
      <c r="G7" s="10" t="s">
        <v>50</v>
      </c>
      <c r="H7" s="10"/>
      <c r="I7" s="9" t="s">
        <v>49</v>
      </c>
    </row>
    <row r="8" spans="1:9" ht="31.5" thickBot="1" x14ac:dyDescent="0.3">
      <c r="A8" s="8"/>
      <c r="B8" s="7"/>
      <c r="C8" s="6"/>
      <c r="D8" s="5"/>
      <c r="E8" s="4" t="s">
        <v>18</v>
      </c>
      <c r="F8" s="3" t="s">
        <v>48</v>
      </c>
      <c r="G8" s="4" t="s">
        <v>18</v>
      </c>
      <c r="H8" s="3" t="s">
        <v>48</v>
      </c>
      <c r="I8" s="2" t="s">
        <v>47</v>
      </c>
    </row>
    <row r="9" spans="1:9" ht="20.25" x14ac:dyDescent="0.3">
      <c r="A9" s="84"/>
      <c r="B9" s="85"/>
      <c r="C9" s="86" t="s">
        <v>46</v>
      </c>
      <c r="D9" s="85"/>
      <c r="E9" s="87"/>
      <c r="F9" s="88"/>
      <c r="G9" s="87"/>
      <c r="H9" s="88"/>
      <c r="I9" s="89"/>
    </row>
    <row r="10" spans="1:9" ht="20.25" x14ac:dyDescent="0.3">
      <c r="A10" s="46"/>
      <c r="B10" s="47" t="s">
        <v>45</v>
      </c>
      <c r="C10" s="48" t="s">
        <v>44</v>
      </c>
      <c r="D10" s="49" t="s">
        <v>43</v>
      </c>
      <c r="E10" s="50">
        <f>150*20</f>
        <v>3000</v>
      </c>
      <c r="F10" s="51" t="s">
        <v>5</v>
      </c>
      <c r="G10" s="52"/>
      <c r="H10" s="53"/>
      <c r="I10" s="58"/>
    </row>
    <row r="11" spans="1:9" ht="20.25" x14ac:dyDescent="0.3">
      <c r="A11" s="47"/>
      <c r="B11" s="47" t="s">
        <v>42</v>
      </c>
      <c r="C11" s="48" t="s">
        <v>41</v>
      </c>
      <c r="D11" s="54"/>
      <c r="E11" s="50">
        <f>40*20</f>
        <v>800</v>
      </c>
      <c r="F11" s="51" t="s">
        <v>5</v>
      </c>
      <c r="G11" s="52"/>
      <c r="H11" s="53"/>
      <c r="I11" s="58"/>
    </row>
    <row r="12" spans="1:9" ht="20.25" x14ac:dyDescent="0.3">
      <c r="A12" s="47"/>
      <c r="B12" s="55"/>
      <c r="C12" s="56" t="s">
        <v>40</v>
      </c>
      <c r="D12" s="57" t="s">
        <v>39</v>
      </c>
      <c r="E12" s="50">
        <f>167*20</f>
        <v>3340</v>
      </c>
      <c r="F12" s="51" t="s">
        <v>5</v>
      </c>
      <c r="G12" s="52"/>
      <c r="H12" s="53"/>
      <c r="I12" s="58"/>
    </row>
    <row r="13" spans="1:9" ht="40.5" x14ac:dyDescent="0.3">
      <c r="A13" s="58"/>
      <c r="B13" s="59"/>
      <c r="C13" s="60" t="s">
        <v>40</v>
      </c>
      <c r="D13" s="61" t="s">
        <v>39</v>
      </c>
      <c r="E13" s="50">
        <f>40*20</f>
        <v>800</v>
      </c>
      <c r="F13" s="51" t="s">
        <v>5</v>
      </c>
      <c r="G13" s="148" t="s">
        <v>69</v>
      </c>
      <c r="H13" s="53"/>
      <c r="I13" s="58"/>
    </row>
    <row r="14" spans="1:9" ht="20.25" x14ac:dyDescent="0.3">
      <c r="A14" s="58"/>
      <c r="B14" s="47" t="s">
        <v>38</v>
      </c>
      <c r="C14" s="48" t="s">
        <v>37</v>
      </c>
      <c r="D14" s="49" t="s">
        <v>32</v>
      </c>
      <c r="E14" s="62">
        <f>1*20</f>
        <v>20</v>
      </c>
      <c r="F14" s="51" t="s">
        <v>36</v>
      </c>
      <c r="G14" s="52" t="s">
        <v>35</v>
      </c>
      <c r="H14" s="53"/>
      <c r="I14" s="58"/>
    </row>
    <row r="15" spans="1:9" ht="20.25" x14ac:dyDescent="0.3">
      <c r="A15" s="58"/>
      <c r="B15" s="47" t="s">
        <v>34</v>
      </c>
      <c r="C15" s="48" t="s">
        <v>33</v>
      </c>
      <c r="D15" s="49" t="s">
        <v>32</v>
      </c>
      <c r="E15" s="63">
        <f>48*20</f>
        <v>960</v>
      </c>
      <c r="F15" s="51" t="s">
        <v>5</v>
      </c>
      <c r="G15" s="64"/>
      <c r="H15" s="53"/>
      <c r="I15" s="58"/>
    </row>
    <row r="16" spans="1:9" ht="20.25" x14ac:dyDescent="0.3">
      <c r="A16" s="58"/>
      <c r="B16" s="47" t="s">
        <v>31</v>
      </c>
      <c r="C16" s="48" t="s">
        <v>30</v>
      </c>
      <c r="D16" s="49" t="s">
        <v>29</v>
      </c>
      <c r="E16" s="47">
        <f>24*20</f>
        <v>480</v>
      </c>
      <c r="F16" s="51" t="s">
        <v>5</v>
      </c>
      <c r="G16" s="64"/>
      <c r="H16" s="53"/>
      <c r="I16" s="58"/>
    </row>
    <row r="17" spans="1:11" ht="20.25" x14ac:dyDescent="0.3">
      <c r="A17" s="58"/>
      <c r="B17" s="47" t="s">
        <v>28</v>
      </c>
      <c r="C17" s="48" t="s">
        <v>27</v>
      </c>
      <c r="D17" s="54" t="s">
        <v>26</v>
      </c>
      <c r="E17" s="47">
        <f>1*20</f>
        <v>20</v>
      </c>
      <c r="F17" s="51" t="s">
        <v>5</v>
      </c>
      <c r="G17" s="64"/>
      <c r="H17" s="53"/>
      <c r="I17" s="58"/>
    </row>
    <row r="18" spans="1:11" ht="20.25" x14ac:dyDescent="0.3">
      <c r="A18" s="58"/>
      <c r="B18" s="47" t="s">
        <v>25</v>
      </c>
      <c r="C18" s="65" t="s">
        <v>24</v>
      </c>
      <c r="D18" s="54"/>
      <c r="E18" s="47">
        <f>48*20</f>
        <v>960</v>
      </c>
      <c r="F18" s="51" t="s">
        <v>5</v>
      </c>
      <c r="G18" s="64"/>
      <c r="H18" s="53"/>
      <c r="I18" s="58"/>
    </row>
    <row r="19" spans="1:11" ht="20.25" x14ac:dyDescent="0.3">
      <c r="A19" s="58"/>
      <c r="B19" s="47" t="s">
        <v>23</v>
      </c>
      <c r="C19" s="48" t="s">
        <v>22</v>
      </c>
      <c r="D19" s="66" t="s">
        <v>21</v>
      </c>
      <c r="E19" s="67">
        <v>440</v>
      </c>
      <c r="F19" s="68"/>
      <c r="G19" s="64"/>
      <c r="H19" s="48"/>
      <c r="I19" s="58"/>
    </row>
    <row r="20" spans="1:11" ht="20.25" x14ac:dyDescent="0.3">
      <c r="A20" s="58"/>
      <c r="B20" s="47"/>
      <c r="C20" s="48"/>
      <c r="D20" s="66"/>
      <c r="E20" s="67"/>
      <c r="F20" s="68"/>
      <c r="G20" s="64"/>
      <c r="H20" s="48"/>
      <c r="I20" s="58"/>
    </row>
    <row r="21" spans="1:11" ht="20.25" x14ac:dyDescent="0.3">
      <c r="A21" s="58"/>
      <c r="B21" s="58"/>
      <c r="C21" s="90" t="s">
        <v>20</v>
      </c>
      <c r="D21" s="47"/>
      <c r="E21" s="48"/>
      <c r="F21" s="47"/>
      <c r="G21" s="91"/>
      <c r="H21" s="47"/>
      <c r="I21" s="58"/>
    </row>
    <row r="22" spans="1:11" ht="20.25" x14ac:dyDescent="0.3">
      <c r="A22" s="58"/>
      <c r="B22" s="92"/>
      <c r="C22" s="65"/>
      <c r="D22" s="54"/>
      <c r="E22" s="93"/>
      <c r="F22" s="93"/>
      <c r="G22" s="91"/>
      <c r="H22" s="94"/>
      <c r="I22" s="58"/>
    </row>
    <row r="23" spans="1:11" ht="20.25" x14ac:dyDescent="0.3">
      <c r="A23" s="48"/>
      <c r="B23" s="95"/>
      <c r="C23" s="96"/>
      <c r="D23" s="97"/>
      <c r="E23" s="95"/>
      <c r="F23" s="98"/>
      <c r="G23" s="87"/>
      <c r="H23" s="88"/>
      <c r="I23" s="89"/>
    </row>
    <row r="24" spans="1:11" ht="20.25" x14ac:dyDescent="0.3">
      <c r="A24" s="58"/>
      <c r="B24" s="58"/>
      <c r="C24" s="90" t="s">
        <v>19</v>
      </c>
      <c r="D24" s="48"/>
      <c r="E24" s="48"/>
      <c r="F24" s="47"/>
      <c r="G24" s="91"/>
      <c r="H24" s="47"/>
      <c r="I24" s="89"/>
    </row>
    <row r="25" spans="1:11" ht="20.25" x14ac:dyDescent="0.3">
      <c r="A25" s="99"/>
      <c r="B25" s="100"/>
      <c r="C25" s="101"/>
      <c r="D25" s="58"/>
      <c r="E25" s="58"/>
      <c r="F25" s="102"/>
      <c r="G25" s="58"/>
      <c r="H25" s="58"/>
      <c r="I25" s="89"/>
    </row>
    <row r="26" spans="1:11" ht="21" thickBot="1" x14ac:dyDescent="0.35">
      <c r="A26" s="103"/>
      <c r="B26" s="104"/>
      <c r="C26" s="105"/>
      <c r="D26" s="105"/>
      <c r="E26" s="106"/>
      <c r="F26" s="107"/>
      <c r="G26" s="105"/>
      <c r="H26" s="105"/>
      <c r="I26" s="108"/>
      <c r="K26" s="1"/>
    </row>
    <row r="27" spans="1:11" ht="21" thickBot="1" x14ac:dyDescent="0.35">
      <c r="A27" s="109"/>
      <c r="B27" s="110"/>
      <c r="C27" s="111"/>
      <c r="D27" s="112" t="s">
        <v>18</v>
      </c>
      <c r="E27" s="113" t="s">
        <v>17</v>
      </c>
      <c r="F27" s="114"/>
      <c r="G27" s="111"/>
      <c r="H27" s="111"/>
      <c r="I27" s="115"/>
      <c r="J27" s="1">
        <f>10000/300</f>
        <v>33.333333333333336</v>
      </c>
    </row>
    <row r="28" spans="1:11" ht="20.25" x14ac:dyDescent="0.3">
      <c r="A28" s="116" t="s">
        <v>16</v>
      </c>
      <c r="B28" s="117"/>
      <c r="C28" s="118"/>
      <c r="D28" s="119">
        <v>10000</v>
      </c>
      <c r="E28" s="120" t="s">
        <v>5</v>
      </c>
      <c r="F28" s="121" t="s">
        <v>15</v>
      </c>
      <c r="G28" s="121"/>
      <c r="H28" s="122"/>
      <c r="I28" s="123"/>
    </row>
    <row r="29" spans="1:11" ht="20.25" x14ac:dyDescent="0.3">
      <c r="A29" s="124" t="s">
        <v>14</v>
      </c>
      <c r="B29" s="125"/>
      <c r="C29" s="126"/>
      <c r="D29" s="66">
        <v>15</v>
      </c>
      <c r="E29" s="66" t="s">
        <v>13</v>
      </c>
      <c r="F29" s="127" t="s">
        <v>12</v>
      </c>
      <c r="G29" s="127"/>
      <c r="H29" s="128"/>
      <c r="I29" s="129"/>
    </row>
    <row r="30" spans="1:11" ht="20.25" x14ac:dyDescent="0.3">
      <c r="A30" s="124" t="s">
        <v>11</v>
      </c>
      <c r="B30" s="125"/>
      <c r="C30" s="126"/>
      <c r="D30" s="66">
        <v>1</v>
      </c>
      <c r="E30" s="66" t="s">
        <v>10</v>
      </c>
      <c r="F30" s="127" t="s">
        <v>9</v>
      </c>
      <c r="G30" s="127"/>
      <c r="H30" s="128"/>
      <c r="I30" s="129"/>
    </row>
    <row r="31" spans="1:11" ht="20.25" x14ac:dyDescent="0.3">
      <c r="A31" s="124" t="s">
        <v>8</v>
      </c>
      <c r="B31" s="125"/>
      <c r="C31" s="126"/>
      <c r="D31" s="66">
        <v>10000</v>
      </c>
      <c r="E31" s="66" t="s">
        <v>5</v>
      </c>
      <c r="F31" s="130" t="s">
        <v>7</v>
      </c>
      <c r="G31" s="131"/>
      <c r="H31" s="128"/>
      <c r="I31" s="129"/>
    </row>
    <row r="32" spans="1:11" ht="21" thickBot="1" x14ac:dyDescent="0.35">
      <c r="A32" s="132" t="s">
        <v>6</v>
      </c>
      <c r="B32" s="133"/>
      <c r="C32" s="134"/>
      <c r="D32" s="135">
        <f>SUM(E10:E18)-D28</f>
        <v>380</v>
      </c>
      <c r="E32" s="136" t="s">
        <v>5</v>
      </c>
      <c r="F32" s="137"/>
      <c r="G32" s="137"/>
      <c r="H32" s="138"/>
      <c r="I32" s="139"/>
    </row>
    <row r="33" spans="1:9" ht="21" thickBot="1" x14ac:dyDescent="0.35">
      <c r="A33" s="140" t="s">
        <v>4</v>
      </c>
      <c r="B33" s="141"/>
      <c r="C33" s="141"/>
      <c r="D33" s="141"/>
      <c r="E33" s="141"/>
      <c r="F33" s="141"/>
      <c r="G33" s="141"/>
      <c r="H33" s="141"/>
      <c r="I33" s="142"/>
    </row>
    <row r="34" spans="1:9" ht="20.45" customHeight="1" x14ac:dyDescent="0.3">
      <c r="A34" s="69" t="s">
        <v>3</v>
      </c>
      <c r="B34" s="70"/>
      <c r="C34" s="71"/>
      <c r="D34" s="71"/>
      <c r="E34" s="71"/>
      <c r="F34" s="71"/>
      <c r="G34" s="71"/>
      <c r="H34" s="71"/>
      <c r="I34" s="72"/>
    </row>
    <row r="35" spans="1:9" ht="20.25" x14ac:dyDescent="0.3">
      <c r="A35" s="73" t="s">
        <v>2</v>
      </c>
      <c r="B35" s="74"/>
      <c r="C35" s="75"/>
      <c r="D35" s="75"/>
      <c r="E35" s="75"/>
      <c r="F35" s="75"/>
      <c r="G35" s="75"/>
      <c r="H35" s="75"/>
      <c r="I35" s="76"/>
    </row>
    <row r="36" spans="1:9" ht="19.899999999999999" customHeight="1" x14ac:dyDescent="0.3">
      <c r="A36" s="77" t="s">
        <v>1</v>
      </c>
      <c r="B36" s="78"/>
      <c r="C36" s="79"/>
      <c r="D36" s="79"/>
      <c r="E36" s="79"/>
      <c r="F36" s="79"/>
      <c r="G36" s="79"/>
      <c r="H36" s="79"/>
      <c r="I36" s="80"/>
    </row>
    <row r="37" spans="1:9" ht="20.45" customHeight="1" x14ac:dyDescent="0.25">
      <c r="A37" s="81"/>
      <c r="B37" s="82"/>
      <c r="C37" s="82"/>
      <c r="D37" s="82"/>
      <c r="E37" s="82"/>
      <c r="F37" s="82"/>
      <c r="G37" s="82"/>
      <c r="H37" s="82"/>
      <c r="I37" s="83"/>
    </row>
    <row r="38" spans="1:9" ht="20.25" x14ac:dyDescent="0.3">
      <c r="A38" s="143"/>
      <c r="B38" s="144"/>
      <c r="C38" s="144"/>
      <c r="D38" s="144"/>
      <c r="E38" s="144"/>
      <c r="F38" s="144"/>
      <c r="G38" s="144"/>
      <c r="H38" s="144"/>
      <c r="I38" s="145"/>
    </row>
    <row r="39" spans="1:9" ht="20.25" x14ac:dyDescent="0.3">
      <c r="A39" s="146" t="s">
        <v>0</v>
      </c>
      <c r="B39" s="146"/>
      <c r="C39" s="146"/>
      <c r="D39" s="146"/>
      <c r="E39" s="146"/>
      <c r="F39" s="146"/>
      <c r="G39" s="146"/>
      <c r="H39" s="146"/>
      <c r="I39" s="146"/>
    </row>
    <row r="40" spans="1:9" ht="20.25" x14ac:dyDescent="0.3">
      <c r="A40" s="147"/>
      <c r="B40" s="147"/>
      <c r="C40" s="147"/>
      <c r="D40" s="147"/>
      <c r="E40" s="147"/>
      <c r="F40" s="147"/>
      <c r="G40" s="147"/>
      <c r="H40" s="147"/>
      <c r="I40" s="147"/>
    </row>
    <row r="41" spans="1:9" ht="20.25" x14ac:dyDescent="0.3">
      <c r="A41" s="147"/>
      <c r="B41" s="147"/>
      <c r="C41" s="147"/>
      <c r="D41" s="147"/>
      <c r="E41" s="147"/>
      <c r="F41" s="147"/>
      <c r="G41" s="147"/>
      <c r="H41" s="147"/>
      <c r="I41" s="147"/>
    </row>
  </sheetData>
  <mergeCells count="41">
    <mergeCell ref="A38:I38"/>
    <mergeCell ref="A39:I39"/>
    <mergeCell ref="A40:I40"/>
    <mergeCell ref="A33:I33"/>
    <mergeCell ref="A34:I34"/>
    <mergeCell ref="A41:I41"/>
    <mergeCell ref="A36:I36"/>
    <mergeCell ref="A37:I37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28:C28"/>
    <mergeCell ref="F28:G28"/>
    <mergeCell ref="H28:I28"/>
    <mergeCell ref="A29:C29"/>
    <mergeCell ref="F29:G29"/>
    <mergeCell ref="H29:I2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97FAD1B-4259-4E27-99DD-8A91F17E97F1}"/>
</file>

<file path=customXml/itemProps2.xml><?xml version="1.0" encoding="utf-8"?>
<ds:datastoreItem xmlns:ds="http://schemas.openxmlformats.org/officeDocument/2006/customXml" ds:itemID="{3FF37265-BDC2-4A97-89CD-104748A76702}"/>
</file>

<file path=customXml/itemProps3.xml><?xml version="1.0" encoding="utf-8"?>
<ds:datastoreItem xmlns:ds="http://schemas.openxmlformats.org/officeDocument/2006/customXml" ds:itemID="{73CB1259-FF59-4925-B9BA-B87765A036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Relleno Lemon Court Yozu</vt:lpstr>
      <vt:lpstr>'Relleno Lemon Court Yozu'!Área_de_impresión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2026-02-13T17:02:17Z</cp:lastPrinted>
  <dcterms:created xsi:type="dcterms:W3CDTF">2026-02-13T16:08:56Z</dcterms:created>
  <dcterms:modified xsi:type="dcterms:W3CDTF">2026-02-13T17:03:39Z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
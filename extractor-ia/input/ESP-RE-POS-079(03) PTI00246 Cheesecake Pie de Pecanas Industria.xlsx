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5939459F-8BA1-4966-9056-A1DC2CAF4AC9}" xr6:coauthVersionLast="47" xr6:coauthVersionMax="47" xr10:uidLastSave="{00000000-0000-0000-0000-000000000000}"/>
  <bookViews>
    <workbookView xWindow="-120" yWindow="-120" windowWidth="20730" windowHeight="11040" xr2:uid="{A6BD5283-0C96-4BDF-B4B7-270999D4F01E}"/>
  </bookViews>
  <sheets>
    <sheet name="Ensamble Industria 5" sheetId="1" r:id="rId1"/>
  </sheets>
  <definedNames>
    <definedName name="_xlnm.Print_Area" localSheetId="0">'Ensamble Industria 5'!$A$1:$I$52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<sst xmlns="http://schemas.openxmlformats.org/spreadsheetml/2006/main" count="118" uniqueCount="90">
  <si>
    <t>Control de cambios</t>
  </si>
  <si>
    <r>
      <t>5.- T</t>
    </r>
    <r>
      <rPr>
        <sz val="11"/>
        <rFont val="Arial"/>
        <family val="2"/>
      </rPr>
      <t>apar y etiquetar</t>
    </r>
  </si>
  <si>
    <r>
      <t xml:space="preserve">4.-  </t>
    </r>
    <r>
      <rPr>
        <sz val="11"/>
        <rFont val="Arial"/>
        <family val="2"/>
      </rPr>
      <t>Desmoldar con ayuda de una espatula, Pegar a la orla con manjar, decorar con colocho de crema de dulce en el borde y el topping de caramelo y pecanas en el centro.</t>
    </r>
  </si>
  <si>
    <r>
      <t xml:space="preserve">3.- </t>
    </r>
    <r>
      <rPr>
        <sz val="11"/>
        <rFont val="Arial"/>
        <family val="2"/>
      </rPr>
      <t>Agregar la el relleno de cheesecake premium, emparejar con ayuda de una espatula. Enfriar por 6 horas como minimo.</t>
    </r>
  </si>
  <si>
    <r>
      <t xml:space="preserve">2.- </t>
    </r>
    <r>
      <rPr>
        <sz val="11"/>
        <rFont val="Arial"/>
        <family val="2"/>
      </rPr>
      <t>Una vez fria la galleta, agregar el relleno de pecanas. Hornear por 20 min aprox. Enfriar</t>
    </r>
  </si>
  <si>
    <r>
      <t xml:space="preserve">1.- </t>
    </r>
    <r>
      <rPr>
        <sz val="11"/>
        <rFont val="Arial"/>
        <family val="2"/>
      </rPr>
      <t>Colocar dentro del molde desarmable redondo 21 cm ,previamente ensagrasado, poner 1/4 de papel mantequilla en la base del molde (dejando el sobrante hacia abajo del molde) colocar la galleta y presionar hacia los bordes y en la base, hornear a 175°C por 7 min en el Argental, a 175°C por 8 min en el Dicte 1 y Dicte 2, a 170°C en el Dicte 3 y a 175°C por 7 min en el Marshal</t>
    </r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</si>
  <si>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</si>
  <si>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</si>
  <si>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</si>
  <si>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</si>
  <si>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</si>
  <si>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</si>
  <si>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</si>
  <si>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</si>
  <si>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</si>
  <si>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</si>
  <si>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</si>
  <si>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1/4 de papel</t>
  </si>
  <si>
    <t>0.25</t>
  </si>
  <si>
    <t>Papel Mantequilla</t>
  </si>
  <si>
    <t>EM10018</t>
  </si>
  <si>
    <t>ETIPLAST</t>
  </si>
  <si>
    <t>ETIQ.BLANCA 1 1/4 * 3/4 (UND)</t>
  </si>
  <si>
    <t>EM10002</t>
  </si>
  <si>
    <t>CEMUSA</t>
  </si>
  <si>
    <t>ETIQ.FECHA VENCIMIENTO BLANCO (ROLLO)</t>
  </si>
  <si>
    <t>EM10004</t>
  </si>
  <si>
    <t>Cemusa</t>
  </si>
  <si>
    <t>ETIQUETA BLANCA R-153 (UND)</t>
  </si>
  <si>
    <t>EM10124</t>
  </si>
  <si>
    <t>Exp PMT</t>
  </si>
  <si>
    <t>QUEQUERA RED C/BASE ALTA 9" (CAJA:100 U)</t>
  </si>
  <si>
    <t>EM10021</t>
  </si>
  <si>
    <t>RAPIBOX</t>
  </si>
  <si>
    <t>ORLA CARTON 9" DORADA (UND )</t>
  </si>
  <si>
    <t>EM10020</t>
  </si>
  <si>
    <t>cm</t>
  </si>
  <si>
    <t>CINTA ADHESIVA TRANSPARENT 2*100 M (UND)</t>
  </si>
  <si>
    <t>EM10248</t>
  </si>
  <si>
    <t>EMPAQUE</t>
  </si>
  <si>
    <t>NESTLE</t>
  </si>
  <si>
    <t>Manjar Leche Condensada</t>
  </si>
  <si>
    <t>MP10007</t>
  </si>
  <si>
    <t>FAS</t>
  </si>
  <si>
    <t>TOPPING CARAMELO Y PECANA</t>
  </si>
  <si>
    <t>SE00705</t>
  </si>
  <si>
    <t>Boquilla Wilton #61</t>
  </si>
  <si>
    <t>CREMA DULCE DE LECHE</t>
  </si>
  <si>
    <t>SE00032</t>
  </si>
  <si>
    <t>DECORACION</t>
  </si>
  <si>
    <t>RELLENO CHEESECAKE PREMIUM</t>
  </si>
  <si>
    <t>SE00709</t>
  </si>
  <si>
    <t>PECANA ENTERA</t>
  </si>
  <si>
    <t>MP10562</t>
  </si>
  <si>
    <t>RELLENO PIE DE PECANAS</t>
  </si>
  <si>
    <t>SE00708</t>
  </si>
  <si>
    <t>Base y borde</t>
  </si>
  <si>
    <t>BASE GALLETA P/CHEESE CAKE (KILO)</t>
  </si>
  <si>
    <t>SE00041</t>
  </si>
  <si>
    <t>907000002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</si>
  <si>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</si>
  <si>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</si>
  <si>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</si>
  <si>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</si>
  <si>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</si>
  <si>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</si>
  <si>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</si>
  <si>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</si>
  <si>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</si>
  <si>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</si>
  <si>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</si>
  <si>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</si>
  <si>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</si>
  <si>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</si>
  <si>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</si>
  <si>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</si>
  <si>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PTI00246 Cheesecake Pie de Pecanas Industria</t>
  </si>
  <si>
    <t>REVISIÓN:</t>
  </si>
  <si>
    <t>ESPECIFICACION DE RECETA</t>
  </si>
  <si>
    <t>ESP-RE-POS-079</t>
  </si>
  <si>
    <t>CÓDIGO:</t>
  </si>
  <si>
    <t>SERVICIOS DE PASTELERIA S.A.</t>
  </si>
  <si>
    <t>EM10447</t>
  </si>
  <si>
    <t>ETIQUETA CHESSCAKE PIE DE PECANAS</t>
  </si>
  <si>
    <t>2, Se actualiza cantidad de galleta, crema beige, se agrega codigo de estiqueta y se actualiza etiqueta de ingredientes</t>
  </si>
  <si>
    <t>EM10326</t>
  </si>
  <si>
    <t>Etiq Blanca 3x3</t>
  </si>
  <si>
    <t>Postres</t>
  </si>
  <si>
    <t xml:space="preserve">3,Se actualiza peso final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</si>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</sst>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9.85"/>
      <color indexed="8"/>
      <name val="Arial"/>
      <family val="2"/>
    </font>
    <font>
      <b/>
      <sz val="10"/>
      <color rgb="FFFF0000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4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" fillId="2" borderId="0" xfId="2" applyFont="1" applyFill="1"/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164" fontId="1" fillId="3" borderId="5" xfId="0" applyNumberFormat="1" applyFont="1" applyFill="1" applyBorder="1" applyAlignment="1">
      <alignment horizontal="center" wrapText="1"/>
    </xf>
    <xf numFmtId="1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1" xfId="1" applyNumberFormat="1" applyBorder="1" applyAlignment="1">
      <alignment horizontal="center" wrapText="1"/>
    </xf>
    <xf numFmtId="0" fontId="4" fillId="0" borderId="21" xfId="1" applyFont="1" applyBorder="1"/>
    <xf numFmtId="0" fontId="0" fillId="0" borderId="21" xfId="0" applyBorder="1"/>
    <xf numFmtId="0" fontId="1" fillId="0" borderId="6" xfId="1" quotePrefix="1" applyBorder="1" applyAlignment="1">
      <alignment horizontal="right"/>
    </xf>
    <xf numFmtId="1" fontId="1" fillId="0" borderId="27" xfId="1" applyNumberFormat="1" applyBorder="1" applyAlignment="1">
      <alignment horizontal="center" wrapText="1"/>
    </xf>
    <xf numFmtId="0" fontId="4" fillId="0" borderId="27" xfId="1" applyFont="1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1" fillId="0" borderId="28" xfId="1" quotePrefix="1" applyBorder="1" applyAlignment="1">
      <alignment horizontal="right"/>
    </xf>
    <xf numFmtId="0" fontId="1" fillId="0" borderId="29" xfId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1" fillId="0" borderId="30" xfId="1" applyBorder="1" applyAlignment="1">
      <alignment horizontal="center"/>
    </xf>
    <xf numFmtId="0" fontId="6" fillId="0" borderId="21" xfId="1" applyFont="1" applyBorder="1"/>
    <xf numFmtId="0" fontId="3" fillId="4" borderId="30" xfId="1" applyFont="1" applyFill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3" fillId="4" borderId="31" xfId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1" fontId="1" fillId="0" borderId="25" xfId="1" applyNumberFormat="1" applyBorder="1" applyAlignment="1">
      <alignment horizontal="center"/>
    </xf>
    <xf numFmtId="0" fontId="8" fillId="2" borderId="21" xfId="1" quotePrefix="1" applyFont="1" applyFill="1" applyBorder="1"/>
    <xf numFmtId="0" fontId="1" fillId="0" borderId="21" xfId="1" quotePrefix="1" applyBorder="1" applyAlignment="1">
      <alignment horizontal="center"/>
    </xf>
    <xf numFmtId="0" fontId="3" fillId="4" borderId="21" xfId="1" applyFont="1" applyFill="1" applyBorder="1" applyAlignment="1">
      <alignment horizontal="center"/>
    </xf>
    <xf numFmtId="0" fontId="9" fillId="0" borderId="21" xfId="1" applyFont="1" applyBorder="1"/>
    <xf numFmtId="0" fontId="10" fillId="0" borderId="21" xfId="1" applyFont="1" applyBorder="1" applyAlignment="1">
      <alignment horizontal="center" vertical="center"/>
    </xf>
    <xf numFmtId="1" fontId="1" fillId="0" borderId="21" xfId="1" applyNumberFormat="1" applyBorder="1"/>
    <xf numFmtId="12" fontId="7" fillId="0" borderId="21" xfId="1" applyNumberFormat="1" applyFont="1" applyBorder="1"/>
    <xf numFmtId="0" fontId="0" fillId="0" borderId="21" xfId="1" applyFont="1" applyBorder="1" applyAlignment="1">
      <alignment horizontal="left"/>
    </xf>
    <xf numFmtId="1" fontId="0" fillId="0" borderId="21" xfId="1" applyNumberFormat="1" applyFont="1" applyBorder="1"/>
    <xf numFmtId="0" fontId="0" fillId="0" borderId="21" xfId="0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3" fillId="0" borderId="21" xfId="1" applyFont="1" applyBorder="1" applyAlignment="1">
      <alignment horizontal="left"/>
    </xf>
    <xf numFmtId="0" fontId="7" fillId="0" borderId="25" xfId="1" applyFont="1" applyBorder="1" applyAlignment="1">
      <alignment horizontal="center"/>
    </xf>
    <xf numFmtId="0" fontId="1" fillId="2" borderId="0" xfId="0" applyFont="1" applyFill="1"/>
    <xf numFmtId="0" fontId="7" fillId="0" borderId="32" xfId="1" applyFont="1" applyBorder="1" applyAlignment="1">
      <alignment horizontal="center"/>
    </xf>
    <xf numFmtId="0" fontId="1" fillId="0" borderId="21" xfId="1" applyBorder="1" applyAlignment="1">
      <alignment horizontal="left"/>
    </xf>
    <xf numFmtId="0" fontId="3" fillId="3" borderId="29" xfId="0" applyFont="1" applyFill="1" applyBorder="1" applyAlignment="1">
      <alignment horizontal="center"/>
    </xf>
    <xf numFmtId="1" fontId="3" fillId="3" borderId="27" xfId="0" applyNumberFormat="1" applyFont="1" applyFill="1" applyBorder="1" applyAlignment="1">
      <alignment horizontal="center" wrapText="1"/>
    </xf>
    <xf numFmtId="1" fontId="3" fillId="3" borderId="27" xfId="0" applyNumberFormat="1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 wrapText="1"/>
    </xf>
    <xf numFmtId="1" fontId="3" fillId="3" borderId="15" xfId="0" applyNumberFormat="1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 vertical="center" wrapText="1"/>
    </xf>
    <xf numFmtId="14" fontId="11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5" xfId="3" applyFont="1" applyFill="1" applyBorder="1" applyAlignment="1">
      <alignment horizontal="right"/>
    </xf>
    <xf numFmtId="0" fontId="1" fillId="2" borderId="21" xfId="3" applyFont="1" applyFill="1" applyBorder="1" applyAlignment="1">
      <alignment horizontal="right"/>
    </xf>
    <xf numFmtId="49" fontId="0" fillId="2" borderId="30" xfId="3" applyNumberFormat="1" applyFont="1" applyFill="1" applyBorder="1" applyAlignment="1">
      <alignment horizontal="center"/>
    </xf>
    <xf numFmtId="0" fontId="3" fillId="2" borderId="21" xfId="3" applyFont="1" applyFill="1" applyBorder="1" applyAlignment="1">
      <alignment horizontal="right"/>
    </xf>
    <xf numFmtId="0" fontId="1" fillId="2" borderId="35" xfId="3" applyFont="1" applyFill="1" applyBorder="1" applyAlignment="1">
      <alignment horizontal="center"/>
    </xf>
    <xf numFmtId="0" fontId="3" fillId="2" borderId="32" xfId="3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0" borderId="9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4" fillId="0" borderId="9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164" fontId="1" fillId="0" borderId="19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right" wrapText="1"/>
    </xf>
    <xf numFmtId="164" fontId="1" fillId="0" borderId="20" xfId="0" applyNumberFormat="1" applyFont="1" applyBorder="1" applyAlignment="1">
      <alignment horizontal="right" wrapText="1"/>
    </xf>
    <xf numFmtId="0" fontId="3" fillId="0" borderId="17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5" fillId="0" borderId="1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9" fillId="2" borderId="0" xfId="3" applyFont="1" applyFill="1"/>
    <xf numFmtId="0" fontId="3" fillId="3" borderId="3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13" fillId="2" borderId="32" xfId="3" applyFont="1" applyFill="1" applyBorder="1" applyAlignment="1">
      <alignment horizontal="center"/>
    </xf>
    <xf numFmtId="0" fontId="13" fillId="2" borderId="21" xfId="3" applyFont="1" applyFill="1" applyBorder="1" applyAlignment="1">
      <alignment horizontal="center"/>
    </xf>
    <xf numFmtId="0" fontId="12" fillId="5" borderId="19" xfId="3" applyFont="1" applyFill="1" applyBorder="1" applyAlignment="1">
      <alignment horizontal="center" vertical="center" wrapText="1"/>
    </xf>
    <xf numFmtId="0" fontId="12" fillId="5" borderId="22" xfId="3" applyFont="1" applyFill="1" applyBorder="1" applyAlignment="1">
      <alignment horizontal="center" vertical="center" wrapText="1"/>
    </xf>
    <xf numFmtId="0" fontId="12" fillId="5" borderId="20" xfId="3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right" vertical="top" wrapText="1"/>
    </xf>
    <xf numFmtId="0" fontId="3" fillId="2" borderId="15" xfId="3" applyFont="1" applyFill="1" applyBorder="1" applyAlignment="1">
      <alignment horizontal="right" vertical="top" wrapText="1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164" fontId="1" fillId="0" borderId="25" xfId="0" applyNumberFormat="1" applyFont="1" applyBorder="1" applyAlignment="1">
      <alignment horizontal="right"/>
    </xf>
    <xf numFmtId="0" fontId="1" fillId="2" borderId="2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6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0" fontId="11" fillId="2" borderId="5" xfId="3" applyFont="1" applyFill="1" applyBorder="1" applyAlignment="1">
      <alignment horizontal="center"/>
    </xf>
    <xf numFmtId="14" fontId="0" fillId="2" borderId="30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38" xfId="3" applyNumberFormat="1" applyFont="1" applyFill="1" applyBorder="1" applyAlignment="1">
      <alignment horizontal="center" vertical="center" wrapText="1"/>
    </xf>
    <xf numFmtId="0" fontId="1" fillId="2" borderId="21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</cellXfs>
  <cellStyles count="4">
    <cellStyle name="Normal" xfId="0" builtinId="0"/>
    <cellStyle name="Normal 2" xfId="1" xr:uid="{4EF0BDAF-0BB3-4E79-8917-04DF9D63C818}"/>
    <cellStyle name="Normal_CRITERIOS DE EVALUACION PT DE GB 2" xfId="3" xr:uid="{310590D2-86ED-4A34-9C08-CEB74C54585A}"/>
    <cellStyle name="Porcentaje 2" xfId="2" xr:uid="{971A7B42-8BBB-47BC-BB7A-9EBBE7CE9C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183516</xdr:colOff>
      <xdr:row>0</xdr:row>
      <xdr:rowOff>207963</xdr:rowOff>
    </xdr:from>
    <xdr:ext cx="1071862" cy="49053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734D23C-B9BF-4A1A-BBA7-F501A4EC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516" y="207963"/>
          <a:ext cx="1071862" cy="490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0811-70DC-4185-94A5-6A015673F282}">
  <dimension ref="A1:M52"/>
  <sheetViews>
    <sheetView tabSelected="1" zoomScale="120" zoomScaleNormal="120" workbookViewId="0">
      <selection activeCell="C1" sqref="C1:G1"/>
    </sheetView>
  </sheetViews>
  <sheetFormatPr baseColWidth="10" defaultRowHeight="12.75" x14ac:dyDescent="0.2"/>
  <cols>
    <col min="3" max="3" width="43.28515625" bestFit="1" customWidth="1"/>
    <col min="8" max="8" width="18.28515625" customWidth="1"/>
    <col min="9" max="9" width="16.28515625" bestFit="1" customWidth="1"/>
  </cols>
  <sheetData>
    <row r="1" spans="1:11" ht="18" x14ac:dyDescent="0.25">
      <c r="A1" s="129"/>
      <c r="B1" s="130"/>
      <c r="C1" s="116" t="s">
        <v>81</v>
      </c>
      <c r="D1" s="116"/>
      <c r="E1" s="116"/>
      <c r="F1" s="116"/>
      <c r="G1" s="116"/>
      <c r="H1" s="75" t="s">
        <v>80</v>
      </c>
      <c r="I1" s="74" t="s">
        <v>79</v>
      </c>
    </row>
    <row r="2" spans="1:11" ht="18" x14ac:dyDescent="0.25">
      <c r="A2" s="131"/>
      <c r="B2" s="132"/>
      <c r="C2" s="117" t="s">
        <v>78</v>
      </c>
      <c r="D2" s="117"/>
      <c r="E2" s="117"/>
      <c r="F2" s="117"/>
      <c r="G2" s="117"/>
      <c r="H2" s="73" t="s">
        <v>77</v>
      </c>
      <c r="I2" s="72" t="s">
        <v>89</v>
      </c>
    </row>
    <row r="3" spans="1:11" ht="15" x14ac:dyDescent="0.2">
      <c r="A3" s="131"/>
      <c r="B3" s="132"/>
      <c r="C3" s="118" t="s">
        <v>76</v>
      </c>
      <c r="D3" s="119"/>
      <c r="E3" s="119"/>
      <c r="F3" s="119"/>
      <c r="G3" s="120"/>
      <c r="H3" s="121" t="s">
        <v>75</v>
      </c>
      <c r="I3" s="137">
        <v>45814</v>
      </c>
    </row>
    <row r="4" spans="1:11" x14ac:dyDescent="0.2">
      <c r="A4" s="131"/>
      <c r="B4" s="132"/>
      <c r="C4" s="71" t="s">
        <v>74</v>
      </c>
      <c r="D4" s="140" t="s">
        <v>73</v>
      </c>
      <c r="E4" s="140"/>
      <c r="F4" s="140"/>
      <c r="G4" s="140"/>
      <c r="H4" s="121"/>
      <c r="I4" s="138"/>
    </row>
    <row r="5" spans="1:11" ht="13.5" thickBot="1" x14ac:dyDescent="0.25">
      <c r="A5" s="133"/>
      <c r="B5" s="134"/>
      <c r="C5" s="70" t="s">
        <v>72</v>
      </c>
      <c r="D5" s="141" t="s">
        <v>71</v>
      </c>
      <c r="E5" s="141"/>
      <c r="F5" s="141"/>
      <c r="G5" s="141"/>
      <c r="H5" s="122"/>
      <c r="I5" s="139"/>
    </row>
    <row r="6" spans="1:11" x14ac:dyDescent="0.2">
      <c r="A6" s="69"/>
      <c r="B6" s="69"/>
      <c r="C6" s="68"/>
      <c r="D6" s="67"/>
      <c r="E6" s="67"/>
      <c r="F6" s="67"/>
      <c r="G6" s="67"/>
      <c r="H6" s="66"/>
      <c r="I6" s="65"/>
    </row>
    <row r="7" spans="1:11" ht="16.5" thickBot="1" x14ac:dyDescent="0.3">
      <c r="A7" s="135" t="s">
        <v>70</v>
      </c>
      <c r="B7" s="135"/>
      <c r="C7" s="135"/>
      <c r="D7" s="136" t="s">
        <v>87</v>
      </c>
      <c r="E7" s="136"/>
      <c r="F7" s="136"/>
      <c r="G7" s="105" t="s">
        <v>69</v>
      </c>
      <c r="H7" s="105"/>
      <c r="I7" s="64" t="s">
        <v>87</v>
      </c>
    </row>
    <row r="8" spans="1:11" ht="25.5" x14ac:dyDescent="0.2">
      <c r="A8" s="106" t="s">
        <v>68</v>
      </c>
      <c r="B8" s="111" t="s">
        <v>67</v>
      </c>
      <c r="C8" s="108" t="s">
        <v>66</v>
      </c>
      <c r="D8" s="108" t="s">
        <v>65</v>
      </c>
      <c r="E8" s="108" t="s">
        <v>64</v>
      </c>
      <c r="F8" s="108"/>
      <c r="G8" s="108" t="s">
        <v>63</v>
      </c>
      <c r="H8" s="108"/>
      <c r="I8" s="63" t="s">
        <v>62</v>
      </c>
    </row>
    <row r="9" spans="1:11" ht="26.25" thickBot="1" x14ac:dyDescent="0.25">
      <c r="A9" s="107"/>
      <c r="B9" s="112"/>
      <c r="C9" s="109"/>
      <c r="D9" s="110"/>
      <c r="E9" s="62" t="s">
        <v>16</v>
      </c>
      <c r="F9" s="61" t="s">
        <v>61</v>
      </c>
      <c r="G9" s="60" t="s">
        <v>16</v>
      </c>
      <c r="H9" s="59" t="s">
        <v>61</v>
      </c>
      <c r="I9" s="58" t="s">
        <v>60</v>
      </c>
    </row>
    <row r="10" spans="1:11" ht="15.75" x14ac:dyDescent="0.25">
      <c r="A10" s="19" t="s">
        <v>59</v>
      </c>
      <c r="B10" s="19" t="s">
        <v>58</v>
      </c>
      <c r="C10" s="57" t="s">
        <v>57</v>
      </c>
      <c r="D10" s="56" t="s">
        <v>43</v>
      </c>
      <c r="E10" s="56">
        <v>300</v>
      </c>
      <c r="F10" s="56" t="s">
        <v>7</v>
      </c>
      <c r="G10" s="50" t="s">
        <v>56</v>
      </c>
      <c r="H10" s="47"/>
      <c r="I10" s="47"/>
    </row>
    <row r="11" spans="1:11" ht="15.75" x14ac:dyDescent="0.25">
      <c r="A11" s="19"/>
      <c r="B11" s="19" t="s">
        <v>55</v>
      </c>
      <c r="C11" s="49" t="s">
        <v>54</v>
      </c>
      <c r="D11" s="54" t="s">
        <v>43</v>
      </c>
      <c r="E11" s="54">
        <v>280</v>
      </c>
      <c r="F11" s="54" t="s">
        <v>7</v>
      </c>
      <c r="G11" s="30"/>
      <c r="H11" s="19"/>
      <c r="I11" s="44"/>
      <c r="K11" s="55"/>
    </row>
    <row r="12" spans="1:11" ht="15.75" x14ac:dyDescent="0.25">
      <c r="A12" s="19"/>
      <c r="B12" s="51" t="s">
        <v>53</v>
      </c>
      <c r="C12" s="22" t="s">
        <v>52</v>
      </c>
      <c r="D12" s="54" t="s">
        <v>43</v>
      </c>
      <c r="E12" s="54">
        <v>35</v>
      </c>
      <c r="F12" s="54" t="s">
        <v>7</v>
      </c>
      <c r="G12" s="30"/>
      <c r="H12" s="19"/>
      <c r="I12" s="44"/>
    </row>
    <row r="13" spans="1:11" ht="15.75" x14ac:dyDescent="0.25">
      <c r="A13" s="51"/>
      <c r="B13" s="34" t="s">
        <v>51</v>
      </c>
      <c r="C13" s="33" t="s">
        <v>50</v>
      </c>
      <c r="D13" s="38" t="s">
        <v>43</v>
      </c>
      <c r="E13" s="48">
        <v>700</v>
      </c>
      <c r="F13" s="38" t="s">
        <v>7</v>
      </c>
      <c r="G13" s="47"/>
      <c r="H13" s="47"/>
      <c r="I13" s="47"/>
    </row>
    <row r="14" spans="1:11" ht="15" x14ac:dyDescent="0.2">
      <c r="A14" s="51"/>
      <c r="B14" s="51"/>
      <c r="C14" s="22"/>
      <c r="D14" s="52"/>
      <c r="E14" s="52"/>
      <c r="F14" s="52"/>
      <c r="G14" s="30"/>
      <c r="H14" s="19"/>
      <c r="I14" s="44"/>
    </row>
    <row r="15" spans="1:11" ht="15" x14ac:dyDescent="0.2">
      <c r="A15" s="19"/>
      <c r="B15" s="19"/>
      <c r="C15" s="53" t="s">
        <v>49</v>
      </c>
      <c r="D15" s="52"/>
      <c r="E15" s="52"/>
      <c r="F15" s="52"/>
      <c r="G15" s="30"/>
      <c r="H15" s="19"/>
      <c r="I15" s="44"/>
    </row>
    <row r="16" spans="1:11" ht="15" x14ac:dyDescent="0.2">
      <c r="B16" s="51" t="s">
        <v>48</v>
      </c>
      <c r="C16" s="22" t="s">
        <v>47</v>
      </c>
      <c r="D16" s="32" t="s">
        <v>43</v>
      </c>
      <c r="E16" s="32">
        <v>60</v>
      </c>
      <c r="F16" s="32" t="s">
        <v>7</v>
      </c>
      <c r="G16" s="50" t="s">
        <v>46</v>
      </c>
      <c r="H16" s="47"/>
      <c r="I16" s="47"/>
    </row>
    <row r="17" spans="1:12" ht="15" x14ac:dyDescent="0.2">
      <c r="A17" s="46"/>
      <c r="B17" s="46" t="s">
        <v>45</v>
      </c>
      <c r="C17" s="21" t="s">
        <v>44</v>
      </c>
      <c r="D17" s="32" t="s">
        <v>43</v>
      </c>
      <c r="E17" s="32">
        <v>180</v>
      </c>
      <c r="F17" s="32" t="s">
        <v>7</v>
      </c>
      <c r="G17" s="50"/>
      <c r="H17" s="47"/>
      <c r="I17" s="47"/>
    </row>
    <row r="18" spans="1:12" ht="15" x14ac:dyDescent="0.2">
      <c r="A18" s="46"/>
      <c r="B18" s="51" t="s">
        <v>42</v>
      </c>
      <c r="C18" t="s">
        <v>41</v>
      </c>
      <c r="D18" s="32" t="s">
        <v>40</v>
      </c>
      <c r="E18" s="32">
        <v>10</v>
      </c>
      <c r="F18" s="32" t="s">
        <v>7</v>
      </c>
      <c r="G18" s="50"/>
      <c r="H18" s="47"/>
      <c r="I18" s="47"/>
    </row>
    <row r="19" spans="1:12" ht="15.75" x14ac:dyDescent="0.25">
      <c r="A19" s="19"/>
      <c r="B19" s="19"/>
      <c r="C19" s="49"/>
      <c r="D19" s="38"/>
      <c r="E19" s="48"/>
      <c r="F19" s="38"/>
      <c r="G19" s="47"/>
      <c r="H19" s="47"/>
      <c r="I19" s="47"/>
    </row>
    <row r="20" spans="1:12" ht="15.75" x14ac:dyDescent="0.25">
      <c r="A20" s="46"/>
      <c r="B20" s="46"/>
      <c r="C20" s="45" t="s">
        <v>39</v>
      </c>
      <c r="D20" s="32"/>
      <c r="E20" s="32"/>
      <c r="F20" s="32"/>
      <c r="G20" s="30"/>
      <c r="H20" s="19"/>
      <c r="I20" s="44"/>
    </row>
    <row r="21" spans="1:12" ht="15" x14ac:dyDescent="0.2">
      <c r="A21" s="34"/>
      <c r="B21" s="34" t="s">
        <v>82</v>
      </c>
      <c r="C21" s="33" t="s">
        <v>83</v>
      </c>
      <c r="D21" s="32"/>
      <c r="E21" s="32">
        <v>1</v>
      </c>
      <c r="F21" s="32" t="s">
        <v>10</v>
      </c>
      <c r="G21" s="30"/>
      <c r="H21" s="19"/>
      <c r="I21" s="44"/>
    </row>
    <row r="22" spans="1:12" ht="15" x14ac:dyDescent="0.2">
      <c r="A22" s="34">
        <v>703020</v>
      </c>
      <c r="B22" s="34" t="s">
        <v>38</v>
      </c>
      <c r="C22" s="33" t="s">
        <v>37</v>
      </c>
      <c r="D22" s="32" t="s">
        <v>21</v>
      </c>
      <c r="E22" s="32">
        <v>60</v>
      </c>
      <c r="F22" s="32" t="s">
        <v>36</v>
      </c>
      <c r="G22" s="30"/>
      <c r="H22" s="19"/>
      <c r="I22" s="44"/>
    </row>
    <row r="23" spans="1:12" ht="15.75" x14ac:dyDescent="0.25">
      <c r="A23" s="43">
        <v>1950693</v>
      </c>
      <c r="B23" s="43" t="s">
        <v>35</v>
      </c>
      <c r="C23" s="42" t="s">
        <v>34</v>
      </c>
      <c r="D23" s="38" t="s">
        <v>33</v>
      </c>
      <c r="E23" s="38">
        <v>1</v>
      </c>
      <c r="F23" s="38" t="s">
        <v>10</v>
      </c>
      <c r="G23" s="41"/>
      <c r="H23" s="40"/>
      <c r="I23" s="39"/>
    </row>
    <row r="24" spans="1:12" ht="15.75" x14ac:dyDescent="0.25">
      <c r="A24" s="34">
        <v>51400021</v>
      </c>
      <c r="B24" s="34" t="s">
        <v>32</v>
      </c>
      <c r="C24" s="33" t="s">
        <v>31</v>
      </c>
      <c r="D24" s="38" t="s">
        <v>30</v>
      </c>
      <c r="E24" s="38">
        <v>1</v>
      </c>
      <c r="F24" s="38" t="s">
        <v>10</v>
      </c>
      <c r="G24" s="41"/>
      <c r="H24" s="40"/>
      <c r="I24" s="39"/>
    </row>
    <row r="25" spans="1:12" ht="15.75" x14ac:dyDescent="0.25">
      <c r="A25" s="34">
        <v>702123</v>
      </c>
      <c r="B25" s="51" t="s">
        <v>85</v>
      </c>
      <c r="C25" t="s">
        <v>86</v>
      </c>
      <c r="D25" s="38" t="s">
        <v>27</v>
      </c>
      <c r="E25" s="38">
        <v>1</v>
      </c>
      <c r="F25" s="38" t="s">
        <v>10</v>
      </c>
      <c r="G25" s="30"/>
      <c r="H25" s="19"/>
      <c r="I25" s="37"/>
    </row>
    <row r="26" spans="1:12" ht="15.75" x14ac:dyDescent="0.25">
      <c r="A26" s="34">
        <v>701096</v>
      </c>
      <c r="B26" s="34" t="s">
        <v>29</v>
      </c>
      <c r="C26" s="33" t="s">
        <v>28</v>
      </c>
      <c r="D26" s="38" t="s">
        <v>27</v>
      </c>
      <c r="E26" s="38">
        <v>1</v>
      </c>
      <c r="F26" s="38" t="s">
        <v>10</v>
      </c>
      <c r="G26" s="30"/>
      <c r="H26" s="19"/>
      <c r="I26" s="37"/>
    </row>
    <row r="27" spans="1:12" ht="15" x14ac:dyDescent="0.2">
      <c r="A27" s="34">
        <v>702007</v>
      </c>
      <c r="B27" s="34" t="s">
        <v>26</v>
      </c>
      <c r="C27" s="33" t="s">
        <v>25</v>
      </c>
      <c r="D27" s="36" t="s">
        <v>24</v>
      </c>
      <c r="E27" s="32">
        <v>1</v>
      </c>
      <c r="F27" s="32" t="s">
        <v>10</v>
      </c>
      <c r="G27" s="30"/>
      <c r="H27" s="19"/>
      <c r="I27" s="35"/>
    </row>
    <row r="28" spans="1:12" ht="15" x14ac:dyDescent="0.2">
      <c r="A28" s="34">
        <v>702069</v>
      </c>
      <c r="B28" s="34" t="s">
        <v>23</v>
      </c>
      <c r="C28" s="33" t="s">
        <v>22</v>
      </c>
      <c r="D28" s="32" t="s">
        <v>21</v>
      </c>
      <c r="E28" s="31">
        <v>1</v>
      </c>
      <c r="F28" s="31" t="s">
        <v>10</v>
      </c>
      <c r="G28" s="30"/>
      <c r="H28" s="19"/>
      <c r="I28" s="29"/>
    </row>
    <row r="29" spans="1:12" ht="15" thickBot="1" x14ac:dyDescent="0.25">
      <c r="A29" s="28"/>
      <c r="B29" s="27" t="s">
        <v>20</v>
      </c>
      <c r="C29" s="26" t="s">
        <v>19</v>
      </c>
      <c r="D29" s="25"/>
      <c r="E29" s="24" t="s">
        <v>18</v>
      </c>
      <c r="F29" s="24" t="s">
        <v>10</v>
      </c>
      <c r="G29" s="24" t="s">
        <v>17</v>
      </c>
      <c r="H29" s="20"/>
      <c r="I29" s="19"/>
      <c r="L29" s="3"/>
    </row>
    <row r="30" spans="1:12" ht="15" thickBot="1" x14ac:dyDescent="0.25">
      <c r="A30" s="23"/>
      <c r="B30" s="22"/>
      <c r="C30" s="22"/>
      <c r="D30" s="21"/>
      <c r="E30" s="20"/>
      <c r="F30" s="20"/>
      <c r="G30" s="20"/>
      <c r="H30" s="20"/>
      <c r="I30" s="19"/>
      <c r="L30" s="3"/>
    </row>
    <row r="31" spans="1:12" ht="13.5" thickBot="1" x14ac:dyDescent="0.25">
      <c r="A31" s="18"/>
      <c r="B31" s="17"/>
      <c r="C31" s="13"/>
      <c r="D31" s="16" t="s">
        <v>16</v>
      </c>
      <c r="E31" s="15" t="s">
        <v>15</v>
      </c>
      <c r="F31" s="14"/>
      <c r="G31" s="13"/>
      <c r="H31" s="13"/>
      <c r="I31" s="12"/>
      <c r="L31" s="3"/>
    </row>
    <row r="32" spans="1:12" x14ac:dyDescent="0.2">
      <c r="A32" s="123" t="s">
        <v>14</v>
      </c>
      <c r="B32" s="124"/>
      <c r="C32" s="125"/>
      <c r="D32" s="11">
        <v>1493</v>
      </c>
      <c r="E32" s="10" t="s">
        <v>7</v>
      </c>
      <c r="F32" s="126"/>
      <c r="G32" s="126"/>
      <c r="H32" s="127"/>
      <c r="I32" s="128"/>
      <c r="L32" s="3"/>
    </row>
    <row r="33" spans="1:13" x14ac:dyDescent="0.2">
      <c r="A33" s="88" t="s">
        <v>13</v>
      </c>
      <c r="B33" s="89"/>
      <c r="C33" s="90"/>
      <c r="D33" s="9">
        <v>5</v>
      </c>
      <c r="E33" s="7" t="s">
        <v>12</v>
      </c>
      <c r="F33" s="91"/>
      <c r="G33" s="91"/>
      <c r="H33" s="92"/>
      <c r="I33" s="93"/>
      <c r="L33" s="3"/>
    </row>
    <row r="34" spans="1:13" x14ac:dyDescent="0.2">
      <c r="A34" s="88" t="s">
        <v>11</v>
      </c>
      <c r="B34" s="89"/>
      <c r="C34" s="90"/>
      <c r="D34" s="7">
        <v>1</v>
      </c>
      <c r="E34" s="7" t="s">
        <v>10</v>
      </c>
      <c r="F34" s="91"/>
      <c r="G34" s="91"/>
      <c r="H34" s="92"/>
      <c r="I34" s="93"/>
      <c r="L34" s="3"/>
    </row>
    <row r="35" spans="1:13" x14ac:dyDescent="0.2">
      <c r="A35" s="88" t="s">
        <v>9</v>
      </c>
      <c r="B35" s="89"/>
      <c r="C35" s="90"/>
      <c r="D35" s="8">
        <v>1493</v>
      </c>
      <c r="E35" s="7" t="s">
        <v>7</v>
      </c>
      <c r="F35" s="94"/>
      <c r="G35" s="95"/>
      <c r="H35" s="92"/>
      <c r="I35" s="93"/>
      <c r="L35" s="3"/>
      <c r="M35" s="6"/>
    </row>
    <row r="36" spans="1:13" ht="13.5" thickBot="1" x14ac:dyDescent="0.25">
      <c r="A36" s="96" t="s">
        <v>8</v>
      </c>
      <c r="B36" s="97"/>
      <c r="C36" s="98"/>
      <c r="D36" s="5">
        <f>SUM(E10:E18)-D32</f>
        <v>72</v>
      </c>
      <c r="E36" s="4" t="s">
        <v>7</v>
      </c>
      <c r="F36" s="99"/>
      <c r="G36" s="99"/>
      <c r="H36" s="100"/>
      <c r="I36" s="101"/>
      <c r="L36" s="3"/>
    </row>
    <row r="37" spans="1:13" ht="13.5" thickBot="1" x14ac:dyDescent="0.25">
      <c r="A37" s="76" t="s">
        <v>6</v>
      </c>
      <c r="B37" s="77"/>
      <c r="C37" s="77"/>
      <c r="D37" s="77"/>
      <c r="E37" s="77"/>
      <c r="F37" s="77"/>
      <c r="G37" s="77"/>
      <c r="H37" s="77"/>
      <c r="I37" s="78"/>
    </row>
    <row r="38" spans="1:13" ht="44.45" customHeight="1" x14ac:dyDescent="0.2">
      <c r="A38" s="102" t="s">
        <v>5</v>
      </c>
      <c r="B38" s="103"/>
      <c r="C38" s="103"/>
      <c r="D38" s="103"/>
      <c r="E38" s="103"/>
      <c r="F38" s="103"/>
      <c r="G38" s="103"/>
      <c r="H38" s="103"/>
      <c r="I38" s="104"/>
    </row>
    <row r="39" spans="1:13" ht="15" x14ac:dyDescent="0.25">
      <c r="A39" s="79" t="s">
        <v>4</v>
      </c>
      <c r="B39" s="80"/>
      <c r="C39" s="80"/>
      <c r="D39" s="80"/>
      <c r="E39" s="80"/>
      <c r="F39" s="80"/>
      <c r="G39" s="80"/>
      <c r="H39" s="80"/>
      <c r="I39" s="81"/>
    </row>
    <row r="40" spans="1:13" ht="15" x14ac:dyDescent="0.25">
      <c r="A40" s="79" t="s">
        <v>3</v>
      </c>
      <c r="B40" s="80"/>
      <c r="C40" s="80"/>
      <c r="D40" s="80"/>
      <c r="E40" s="80"/>
      <c r="F40" s="80"/>
      <c r="G40" s="80"/>
      <c r="H40" s="80"/>
      <c r="I40" s="81"/>
    </row>
    <row r="41" spans="1:13" ht="15" x14ac:dyDescent="0.25">
      <c r="A41" s="79" t="s">
        <v>2</v>
      </c>
      <c r="B41" s="80"/>
      <c r="C41" s="80"/>
      <c r="D41" s="80"/>
      <c r="E41" s="80"/>
      <c r="F41" s="80"/>
      <c r="G41" s="80"/>
      <c r="H41" s="80"/>
      <c r="I41" s="81"/>
    </row>
    <row r="42" spans="1:13" ht="15" x14ac:dyDescent="0.25">
      <c r="A42" s="79" t="s">
        <v>1</v>
      </c>
      <c r="B42" s="80"/>
      <c r="C42" s="80"/>
      <c r="D42" s="80"/>
      <c r="E42" s="80"/>
      <c r="F42" s="80"/>
      <c r="G42" s="80"/>
      <c r="H42" s="80"/>
      <c r="I42" s="81"/>
    </row>
    <row r="43" spans="1:13" ht="15" x14ac:dyDescent="0.25">
      <c r="A43" s="79"/>
      <c r="B43" s="80"/>
      <c r="C43" s="80"/>
      <c r="D43" s="80"/>
      <c r="E43" s="80"/>
      <c r="F43" s="80"/>
      <c r="G43" s="80"/>
      <c r="H43" s="80"/>
      <c r="I43" s="81"/>
    </row>
    <row r="44" spans="1:13" ht="14.25" x14ac:dyDescent="0.2">
      <c r="A44" s="82"/>
      <c r="B44" s="83"/>
      <c r="C44" s="83"/>
      <c r="D44" s="83"/>
      <c r="E44" s="83"/>
      <c r="F44" s="83"/>
      <c r="G44" s="83"/>
      <c r="H44" s="83"/>
      <c r="I44" s="84"/>
    </row>
    <row r="45" spans="1:13" ht="14.25" x14ac:dyDescent="0.2">
      <c r="A45" s="82"/>
      <c r="B45" s="83"/>
      <c r="C45" s="83"/>
      <c r="D45" s="83"/>
      <c r="E45" s="83"/>
      <c r="F45" s="83"/>
      <c r="G45" s="83"/>
      <c r="H45" s="83"/>
      <c r="I45" s="84"/>
    </row>
    <row r="46" spans="1:13" ht="15" thickBot="1" x14ac:dyDescent="0.25">
      <c r="A46" s="85"/>
      <c r="B46" s="86"/>
      <c r="C46" s="86"/>
      <c r="D46" s="86"/>
      <c r="E46" s="86"/>
      <c r="F46" s="86"/>
      <c r="G46" s="86"/>
      <c r="H46" s="86"/>
      <c r="I46" s="87"/>
    </row>
    <row r="47" spans="1:13" ht="13.5" thickBot="1" x14ac:dyDescent="0.25">
      <c r="A47" s="76" t="s">
        <v>0</v>
      </c>
      <c r="B47" s="77"/>
      <c r="C47" s="77"/>
      <c r="D47" s="77"/>
      <c r="E47" s="77"/>
      <c r="F47" s="77"/>
      <c r="G47" s="77"/>
      <c r="H47" s="77"/>
      <c r="I47" s="78"/>
    </row>
    <row r="48" spans="1:13" x14ac:dyDescent="0.2">
      <c r="A48" s="113" t="s">
        <v>84</v>
      </c>
      <c r="B48" s="114"/>
      <c r="C48" s="114"/>
      <c r="D48" s="114"/>
      <c r="E48" s="114"/>
      <c r="F48" s="114"/>
      <c r="G48" s="114"/>
      <c r="H48" s="114"/>
      <c r="I48" s="115"/>
    </row>
    <row r="49" spans="1:2" x14ac:dyDescent="0.2">
      <c r="A49" s="2" t="s">
        <v>88</v>
      </c>
      <c r="B49" s="2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</sheetData>
  <mergeCells count="44">
    <mergeCell ref="A48:I48"/>
    <mergeCell ref="C1:G1"/>
    <mergeCell ref="C2:G2"/>
    <mergeCell ref="C3:G3"/>
    <mergeCell ref="H3:H5"/>
    <mergeCell ref="A32:C32"/>
    <mergeCell ref="F32:G32"/>
    <mergeCell ref="H32:I32"/>
    <mergeCell ref="A1:B5"/>
    <mergeCell ref="A7:C7"/>
    <mergeCell ref="D7:F7"/>
    <mergeCell ref="I3:I5"/>
    <mergeCell ref="D4:G4"/>
    <mergeCell ref="D5:G5"/>
    <mergeCell ref="A33:C33"/>
    <mergeCell ref="F33:G33"/>
    <mergeCell ref="H33:I33"/>
    <mergeCell ref="G7:H7"/>
    <mergeCell ref="A8:A9"/>
    <mergeCell ref="C8:C9"/>
    <mergeCell ref="D8:D9"/>
    <mergeCell ref="E8:F8"/>
    <mergeCell ref="G8:H8"/>
    <mergeCell ref="B8:B9"/>
    <mergeCell ref="A34:C34"/>
    <mergeCell ref="F34:G34"/>
    <mergeCell ref="H34:I34"/>
    <mergeCell ref="A42:I42"/>
    <mergeCell ref="A35:C35"/>
    <mergeCell ref="F35:G35"/>
    <mergeCell ref="H35:I35"/>
    <mergeCell ref="A36:C36"/>
    <mergeCell ref="F36:G36"/>
    <mergeCell ref="H36:I36"/>
    <mergeCell ref="A37:I37"/>
    <mergeCell ref="A38:I38"/>
    <mergeCell ref="A39:I39"/>
    <mergeCell ref="A40:I40"/>
    <mergeCell ref="A41:I41"/>
    <mergeCell ref="A47:I47"/>
    <mergeCell ref="A43:I43"/>
    <mergeCell ref="A44:I44"/>
    <mergeCell ref="A45:I45"/>
    <mergeCell ref="A46:I46"/>
  </mergeCells>
  <pageMargins left="0.7" right="0.7" top="0.75" bottom="0.75" header="0.3" footer="0.3"/>
  <pageSetup paperSize="9" scale="58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AAE5E07-62FB-4F82-AF99-0691192610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4B887D-8078-4B78-B064-32CC42D7B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35B6FA-E3CC-4AEA-AB32-48E15C098F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5</vt:lpstr>
      <vt:lpstr>'Ensamble Industria 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2025-05-27T20:26:03Z</cp:lastPrinted>
  <dcterms:created xsi:type="dcterms:W3CDTF">2025-05-06T16:44:53Z</dcterms:created>
  <dcterms:modified xsi:type="dcterms:W3CDTF">2025-05-30T16:56:30Z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
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1.xml" ContentType="application/vnd.openxmlformats-officedocument.spreadsheetml.comments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2" documentId="8_{A3BFF89D-AD16-44DC-B81F-0E7D73999337}" xr6:coauthVersionLast="47" xr6:coauthVersionMax="47" xr10:uidLastSave="{ACC1C2B9-4C11-4415-9755-A26745176352}"/>
  <bookViews>
    <workbookView xWindow="-120" yWindow="-120" windowWidth="20730" windowHeight="11040" tabRatio="801" firstSheet="20" activeTab="20" xr2:uid="{93DF36B7-6ED9-40F2-93AD-A97D508EA7D8}"/>
  </bookViews>
  <sheets>
    <sheet name="Premezcla Easy BC" sheetId="7" state="hidden" r:id="rId1"/>
    <sheet name="Batido Easy Vainilla BC " sheetId="8" state="hidden" r:id="rId2"/>
    <sheet name="Costo de borona " sheetId="22" state="hidden" r:id="rId3"/>
    <sheet name="Rosquete Easy 300" sheetId="3" state="hidden" r:id="rId4"/>
    <sheet name="Costo Rosquete 300 g" sheetId="4" state="hidden" r:id="rId5"/>
    <sheet name="Ensamble" sheetId="1" state="hidden" r:id="rId6"/>
    <sheet name="Crema chantilly Blanca" sheetId="9" state="hidden" r:id="rId7"/>
    <sheet name="Crema Verde electrico" sheetId="11" state="hidden" r:id="rId8"/>
    <sheet name="Crema Naranja Bucca" sheetId="10" state="hidden" r:id="rId9"/>
    <sheet name="Premezcla Batido Vainilla Dawn" sheetId="16" state="hidden" r:id="rId10"/>
    <sheet name="Batido Vainilla Easy Dawn" sheetId="15" state="hidden" r:id="rId11"/>
    <sheet name="Rosquete Easy 320" sheetId="14" state="hidden" r:id="rId12"/>
    <sheet name="Procesado de Borona " sheetId="13" state="hidden" r:id="rId13"/>
    <sheet name="Crema Chantilly Morado Barnie" sheetId="12" state="hidden" r:id="rId14"/>
    <sheet name="Crema Dulce de leche" sheetId="6" state="hidden" r:id="rId15"/>
    <sheet name="Hoja1" sheetId="17" state="hidden" r:id="rId16"/>
    <sheet name="Ensamble 2" sheetId="5" state="hidden" r:id="rId17"/>
    <sheet name="Ensamble 3" sheetId="18" state="hidden" r:id="rId18"/>
    <sheet name="Costo Ensamble " sheetId="2" state="hidden" r:id="rId19"/>
    <sheet name="Fiestera opicion 1" sheetId="19" state="hidden" r:id="rId20"/>
    <sheet name="Fiestera Opcion 1-1" sheetId="26" r:id="rId21"/>
    <sheet name="Costo opcion 1" sheetId="20" state="hidden" r:id="rId22"/>
    <sheet name="Fiestera Opcion 2" sheetId="23" state="hidden" r:id="rId23"/>
    <sheet name="Costo Opcion 2" sheetId="24" state="hidden" r:id="rId24"/>
    <sheet name="Hoja8" sheetId="25" state="hidden" r:id="rId25"/>
  </sheets>
  <externalReferences>
    <externalReference r:id="rId26"/>
    <externalReference r:id="rId27"/>
  </externalReferences>
  <definedNames>
    <definedName name="_xlnm.Print_Area" localSheetId="5">Ensamble!$A$1:$I$53</definedName>
    <definedName name="_xlnm.Print_Area" localSheetId="20">'Fiestera Opcion 1-1'!$A$1:$I$46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24" l="1"/>
  <c r="D81" i="24"/>
  <c r="D73" i="24"/>
  <c r="D74" i="24" s="1"/>
  <c r="D76" i="24" s="1"/>
  <c r="D71" i="24"/>
  <c r="D69" i="24"/>
  <c r="F65" i="24"/>
  <c r="E51" i="24" s="1"/>
  <c r="F51" i="24" s="1"/>
  <c r="D60" i="24"/>
  <c r="D85" i="24" s="1"/>
  <c r="D86" i="24" s="1"/>
  <c r="C51" i="24"/>
  <c r="E50" i="24"/>
  <c r="D50" i="24"/>
  <c r="B50" i="24"/>
  <c r="E49" i="24"/>
  <c r="F49" i="24" s="1"/>
  <c r="D49" i="24"/>
  <c r="B49" i="24"/>
  <c r="A49" i="24"/>
  <c r="C49" i="24" s="1"/>
  <c r="A48" i="24"/>
  <c r="C48" i="24" s="1"/>
  <c r="F48" i="24" s="1"/>
  <c r="E46" i="24"/>
  <c r="D46" i="24"/>
  <c r="B46" i="24"/>
  <c r="E45" i="24"/>
  <c r="D45" i="24"/>
  <c r="B45" i="24"/>
  <c r="A41" i="24"/>
  <c r="A50" i="24" s="1"/>
  <c r="C50" i="24" s="1"/>
  <c r="E40" i="24"/>
  <c r="F40" i="24" s="1"/>
  <c r="D40" i="24"/>
  <c r="C40" i="24"/>
  <c r="B40" i="24"/>
  <c r="A40" i="24"/>
  <c r="C39" i="24"/>
  <c r="F39" i="24" s="1"/>
  <c r="A39" i="24"/>
  <c r="C38" i="24"/>
  <c r="F38" i="24" s="1"/>
  <c r="A38" i="24"/>
  <c r="A47" i="24" s="1"/>
  <c r="C47" i="24" s="1"/>
  <c r="F47" i="24" s="1"/>
  <c r="E37" i="24"/>
  <c r="D37" i="24"/>
  <c r="B37" i="24"/>
  <c r="A37" i="24"/>
  <c r="C37" i="24" s="1"/>
  <c r="E36" i="24"/>
  <c r="D36" i="24"/>
  <c r="B36" i="24"/>
  <c r="A36" i="24"/>
  <c r="C36" i="24" s="1"/>
  <c r="A35" i="24"/>
  <c r="C35" i="24" s="1"/>
  <c r="D32" i="24"/>
  <c r="C32" i="24"/>
  <c r="F32" i="24" s="1"/>
  <c r="B32" i="24"/>
  <c r="F31" i="24"/>
  <c r="D31" i="24"/>
  <c r="C31" i="24"/>
  <c r="B31" i="24"/>
  <c r="F30" i="24"/>
  <c r="D30" i="24"/>
  <c r="C30" i="24"/>
  <c r="B30" i="24"/>
  <c r="D29" i="24"/>
  <c r="C29" i="24"/>
  <c r="F29" i="24" s="1"/>
  <c r="B29" i="24"/>
  <c r="C28" i="24"/>
  <c r="F28" i="24" s="1"/>
  <c r="B28" i="24"/>
  <c r="D27" i="24"/>
  <c r="C27" i="24"/>
  <c r="F27" i="24" s="1"/>
  <c r="B27" i="24"/>
  <c r="E24" i="24"/>
  <c r="F24" i="24" s="1"/>
  <c r="D24" i="24"/>
  <c r="C24" i="24"/>
  <c r="B24" i="24"/>
  <c r="C23" i="24"/>
  <c r="F22" i="24"/>
  <c r="D22" i="24"/>
  <c r="C22" i="24"/>
  <c r="B22" i="24"/>
  <c r="F21" i="24"/>
  <c r="C21" i="24"/>
  <c r="F20" i="24"/>
  <c r="C20" i="24"/>
  <c r="F19" i="24"/>
  <c r="D19" i="24"/>
  <c r="C19" i="24"/>
  <c r="B19" i="24"/>
  <c r="D18" i="24"/>
  <c r="C18" i="24"/>
  <c r="F18" i="24" s="1"/>
  <c r="B18" i="24"/>
  <c r="C17" i="24"/>
  <c r="B15" i="24"/>
  <c r="E14" i="24"/>
  <c r="D14" i="24"/>
  <c r="C14" i="24"/>
  <c r="B14" i="24"/>
  <c r="E13" i="24"/>
  <c r="F13" i="24" s="1"/>
  <c r="D13" i="24"/>
  <c r="C13" i="24"/>
  <c r="B13" i="24"/>
  <c r="E12" i="24"/>
  <c r="D12" i="24"/>
  <c r="C12" i="24"/>
  <c r="B12" i="24"/>
  <c r="E11" i="24"/>
  <c r="F11" i="24" s="1"/>
  <c r="D11" i="24"/>
  <c r="C11" i="24"/>
  <c r="B11" i="24"/>
  <c r="E10" i="24"/>
  <c r="F10" i="24" s="1"/>
  <c r="D10" i="24"/>
  <c r="C10" i="24"/>
  <c r="B10" i="24"/>
  <c r="E9" i="24"/>
  <c r="F9" i="24" s="1"/>
  <c r="D9" i="24"/>
  <c r="C9" i="24"/>
  <c r="B9" i="24"/>
  <c r="E8" i="24"/>
  <c r="F8" i="24" s="1"/>
  <c r="D8" i="24"/>
  <c r="C8" i="24"/>
  <c r="B8" i="24"/>
  <c r="H6" i="24"/>
  <c r="D73" i="22"/>
  <c r="D74" i="22" s="1"/>
  <c r="D76" i="22" s="1"/>
  <c r="D71" i="22"/>
  <c r="D69" i="22"/>
  <c r="F65" i="22"/>
  <c r="E51" i="22" s="1"/>
  <c r="F51" i="22" s="1"/>
  <c r="D60" i="22"/>
  <c r="D85" i="22" s="1"/>
  <c r="D86" i="22" s="1"/>
  <c r="C51" i="22"/>
  <c r="E50" i="22"/>
  <c r="D50" i="22"/>
  <c r="B50" i="22"/>
  <c r="E49" i="22"/>
  <c r="D49" i="22"/>
  <c r="B49" i="22"/>
  <c r="A49" i="22"/>
  <c r="C49" i="22" s="1"/>
  <c r="E48" i="22"/>
  <c r="D48" i="22"/>
  <c r="B48" i="22"/>
  <c r="E47" i="22"/>
  <c r="D47" i="22"/>
  <c r="B47" i="22"/>
  <c r="E46" i="22"/>
  <c r="D46" i="22"/>
  <c r="B46" i="22"/>
  <c r="E45" i="22"/>
  <c r="D45" i="22"/>
  <c r="B45" i="22"/>
  <c r="A45" i="22"/>
  <c r="C45" i="22" s="1"/>
  <c r="E44" i="22"/>
  <c r="D44" i="22"/>
  <c r="B44" i="22"/>
  <c r="E41" i="22"/>
  <c r="D41" i="22"/>
  <c r="B41" i="22"/>
  <c r="A41" i="22"/>
  <c r="A50" i="22" s="1"/>
  <c r="C50" i="22" s="1"/>
  <c r="E40" i="22"/>
  <c r="D40" i="22"/>
  <c r="C40" i="22"/>
  <c r="B40" i="22"/>
  <c r="A40" i="22"/>
  <c r="E39" i="22"/>
  <c r="F39" i="22" s="1"/>
  <c r="D39" i="22"/>
  <c r="B39" i="22"/>
  <c r="A39" i="22"/>
  <c r="C39" i="22" s="1"/>
  <c r="E38" i="22"/>
  <c r="F38" i="22" s="1"/>
  <c r="D38" i="22"/>
  <c r="B38" i="22"/>
  <c r="A38" i="22"/>
  <c r="C38" i="22" s="1"/>
  <c r="E37" i="22"/>
  <c r="D37" i="22"/>
  <c r="B37" i="22"/>
  <c r="A37" i="22"/>
  <c r="A46" i="22" s="1"/>
  <c r="C46" i="22" s="1"/>
  <c r="E36" i="22"/>
  <c r="F36" i="22" s="1"/>
  <c r="D36" i="22"/>
  <c r="C36" i="22"/>
  <c r="B36" i="22"/>
  <c r="A36" i="22"/>
  <c r="E35" i="22"/>
  <c r="D35" i="22"/>
  <c r="B35" i="22"/>
  <c r="A35" i="22"/>
  <c r="C35" i="22" s="1"/>
  <c r="E32" i="22"/>
  <c r="D32" i="22"/>
  <c r="C32" i="22"/>
  <c r="B32" i="22"/>
  <c r="E31" i="22"/>
  <c r="F31" i="22" s="1"/>
  <c r="D31" i="22"/>
  <c r="C31" i="22"/>
  <c r="B31" i="22"/>
  <c r="E30" i="22"/>
  <c r="D30" i="22"/>
  <c r="C30" i="22"/>
  <c r="B30" i="22"/>
  <c r="E29" i="22"/>
  <c r="F29" i="22" s="1"/>
  <c r="D29" i="22"/>
  <c r="C29" i="22"/>
  <c r="B29" i="22"/>
  <c r="C28" i="22"/>
  <c r="C27" i="22"/>
  <c r="F27" i="22" s="1"/>
  <c r="E24" i="22"/>
  <c r="F24" i="22" s="1"/>
  <c r="D24" i="22"/>
  <c r="C24" i="22"/>
  <c r="B24" i="22"/>
  <c r="E23" i="22"/>
  <c r="F23" i="22" s="1"/>
  <c r="D23" i="22"/>
  <c r="C23" i="22"/>
  <c r="B23" i="22"/>
  <c r="E22" i="22"/>
  <c r="F22" i="22" s="1"/>
  <c r="D22" i="22"/>
  <c r="C22" i="22"/>
  <c r="B22" i="22"/>
  <c r="E21" i="22"/>
  <c r="D21" i="22"/>
  <c r="C21" i="22"/>
  <c r="B21" i="22"/>
  <c r="E20" i="22"/>
  <c r="D20" i="22"/>
  <c r="C20" i="22"/>
  <c r="B20" i="22"/>
  <c r="E19" i="22"/>
  <c r="D19" i="22"/>
  <c r="C19" i="22"/>
  <c r="B19" i="22"/>
  <c r="E18" i="22"/>
  <c r="F18" i="22" s="1"/>
  <c r="D18" i="22"/>
  <c r="C18" i="22"/>
  <c r="B18" i="22"/>
  <c r="F17" i="22"/>
  <c r="C17" i="22"/>
  <c r="B15" i="22"/>
  <c r="E14" i="22"/>
  <c r="D14" i="22"/>
  <c r="C14" i="22"/>
  <c r="B14" i="22"/>
  <c r="E13" i="22"/>
  <c r="D13" i="22"/>
  <c r="C13" i="22"/>
  <c r="B13" i="22"/>
  <c r="E12" i="22"/>
  <c r="D12" i="22"/>
  <c r="C12" i="22"/>
  <c r="B12" i="22"/>
  <c r="E11" i="22"/>
  <c r="D11" i="22"/>
  <c r="C11" i="22"/>
  <c r="B11" i="22"/>
  <c r="E10" i="22"/>
  <c r="D10" i="22"/>
  <c r="C10" i="22"/>
  <c r="B10" i="22"/>
  <c r="E9" i="22"/>
  <c r="D9" i="22"/>
  <c r="C9" i="22"/>
  <c r="B9" i="22"/>
  <c r="E8" i="22"/>
  <c r="D8" i="22"/>
  <c r="C8" i="22"/>
  <c r="B8" i="22"/>
  <c r="H6" i="22"/>
  <c r="D81" i="20"/>
  <c r="D73" i="20"/>
  <c r="D74" i="20" s="1"/>
  <c r="D76" i="20" s="1"/>
  <c r="C73" i="20"/>
  <c r="C85" i="20" s="1"/>
  <c r="D71" i="20"/>
  <c r="D69" i="20"/>
  <c r="F65" i="20"/>
  <c r="E51" i="20" s="1"/>
  <c r="D60" i="20"/>
  <c r="D85" i="20" s="1"/>
  <c r="D86" i="20" s="1"/>
  <c r="C51" i="20"/>
  <c r="D50" i="20"/>
  <c r="B50" i="20"/>
  <c r="E49" i="20"/>
  <c r="F49" i="20" s="1"/>
  <c r="D49" i="20"/>
  <c r="C49" i="20"/>
  <c r="B49" i="20"/>
  <c r="A49" i="20"/>
  <c r="A48" i="20"/>
  <c r="C48" i="20" s="1"/>
  <c r="F48" i="20" s="1"/>
  <c r="E46" i="20"/>
  <c r="D46" i="20"/>
  <c r="B46" i="20"/>
  <c r="E45" i="20"/>
  <c r="D45" i="20"/>
  <c r="B45" i="20"/>
  <c r="A44" i="20"/>
  <c r="C44" i="20" s="1"/>
  <c r="F44" i="20" s="1"/>
  <c r="A41" i="20"/>
  <c r="A50" i="20" s="1"/>
  <c r="C50" i="20" s="1"/>
  <c r="E40" i="20"/>
  <c r="D40" i="20"/>
  <c r="B40" i="20"/>
  <c r="A40" i="20"/>
  <c r="C40" i="20" s="1"/>
  <c r="C39" i="20"/>
  <c r="F39" i="20" s="1"/>
  <c r="A39" i="20"/>
  <c r="A38" i="20"/>
  <c r="A47" i="20" s="1"/>
  <c r="C47" i="20" s="1"/>
  <c r="F47" i="20" s="1"/>
  <c r="E37" i="20"/>
  <c r="F37" i="20" s="1"/>
  <c r="D37" i="20"/>
  <c r="C37" i="20"/>
  <c r="B37" i="20"/>
  <c r="A37" i="20"/>
  <c r="A46" i="20" s="1"/>
  <c r="C46" i="20" s="1"/>
  <c r="E36" i="20"/>
  <c r="D36" i="20"/>
  <c r="B36" i="20"/>
  <c r="A36" i="20"/>
  <c r="C36" i="20" s="1"/>
  <c r="A35" i="20"/>
  <c r="C35" i="20" s="1"/>
  <c r="F32" i="20"/>
  <c r="D32" i="20"/>
  <c r="C32" i="20"/>
  <c r="B32" i="20"/>
  <c r="F31" i="20"/>
  <c r="D31" i="20"/>
  <c r="C31" i="20"/>
  <c r="B31" i="20"/>
  <c r="D30" i="20"/>
  <c r="C30" i="20"/>
  <c r="F30" i="20" s="1"/>
  <c r="B30" i="20"/>
  <c r="D29" i="20"/>
  <c r="C29" i="20"/>
  <c r="F29" i="20" s="1"/>
  <c r="B29" i="20"/>
  <c r="C28" i="20"/>
  <c r="F28" i="20" s="1"/>
  <c r="B28" i="20"/>
  <c r="F27" i="20"/>
  <c r="D27" i="20"/>
  <c r="C27" i="20"/>
  <c r="B27" i="20"/>
  <c r="E24" i="20"/>
  <c r="F24" i="20" s="1"/>
  <c r="D24" i="20"/>
  <c r="C24" i="20"/>
  <c r="B24" i="20"/>
  <c r="C23" i="20"/>
  <c r="F22" i="20"/>
  <c r="D22" i="20"/>
  <c r="C22" i="20"/>
  <c r="B22" i="20"/>
  <c r="F21" i="20"/>
  <c r="C21" i="20"/>
  <c r="C20" i="20"/>
  <c r="F20" i="20" s="1"/>
  <c r="F19" i="20"/>
  <c r="D19" i="20"/>
  <c r="C19" i="20"/>
  <c r="B19" i="20"/>
  <c r="D18" i="20"/>
  <c r="C18" i="20"/>
  <c r="F18" i="20" s="1"/>
  <c r="B18" i="20"/>
  <c r="C17" i="20"/>
  <c r="B15" i="20"/>
  <c r="E14" i="20"/>
  <c r="D14" i="20"/>
  <c r="C14" i="20"/>
  <c r="B14" i="20"/>
  <c r="E13" i="20"/>
  <c r="F13" i="20" s="1"/>
  <c r="D13" i="20"/>
  <c r="C13" i="20"/>
  <c r="B13" i="20"/>
  <c r="E12" i="20"/>
  <c r="D12" i="20"/>
  <c r="C12" i="20"/>
  <c r="B12" i="20"/>
  <c r="E11" i="20"/>
  <c r="F11" i="20" s="1"/>
  <c r="D11" i="20"/>
  <c r="C11" i="20"/>
  <c r="B11" i="20"/>
  <c r="E10" i="20"/>
  <c r="D10" i="20"/>
  <c r="C10" i="20"/>
  <c r="B10" i="20"/>
  <c r="E9" i="20"/>
  <c r="F9" i="20" s="1"/>
  <c r="D9" i="20"/>
  <c r="C9" i="20"/>
  <c r="B9" i="20"/>
  <c r="E8" i="20"/>
  <c r="D8" i="20"/>
  <c r="C8" i="20"/>
  <c r="B8" i="20"/>
  <c r="H6" i="20"/>
  <c r="D36" i="18"/>
  <c r="D28" i="16"/>
  <c r="D31" i="16" s="1"/>
  <c r="H25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D30" i="15"/>
  <c r="D29" i="15"/>
  <c r="H14" i="15"/>
  <c r="G14" i="15"/>
  <c r="H13" i="15"/>
  <c r="G13" i="15"/>
  <c r="H12" i="15"/>
  <c r="G12" i="15"/>
  <c r="H11" i="15"/>
  <c r="G11" i="15"/>
  <c r="H10" i="15"/>
  <c r="G10" i="15"/>
  <c r="D19" i="14"/>
  <c r="D23" i="14" s="1"/>
  <c r="G14" i="14"/>
  <c r="G13" i="14"/>
  <c r="G12" i="14"/>
  <c r="G10" i="14"/>
  <c r="G9" i="14"/>
  <c r="G8" i="14"/>
  <c r="F40" i="22" l="1"/>
  <c r="F9" i="22"/>
  <c r="F11" i="22"/>
  <c r="F13" i="22"/>
  <c r="F50" i="24"/>
  <c r="F12" i="24"/>
  <c r="F19" i="22"/>
  <c r="F21" i="22"/>
  <c r="F14" i="24"/>
  <c r="F36" i="24"/>
  <c r="F37" i="24"/>
  <c r="A46" i="24"/>
  <c r="C46" i="24" s="1"/>
  <c r="F46" i="24" s="1"/>
  <c r="A44" i="24"/>
  <c r="C44" i="24" s="1"/>
  <c r="F44" i="24" s="1"/>
  <c r="A45" i="24"/>
  <c r="C45" i="24" s="1"/>
  <c r="F45" i="24" s="1"/>
  <c r="C73" i="24"/>
  <c r="C41" i="24"/>
  <c r="F41" i="24" s="1"/>
  <c r="F51" i="20"/>
  <c r="F46" i="22"/>
  <c r="F50" i="22"/>
  <c r="F49" i="22"/>
  <c r="D81" i="22"/>
  <c r="D83" i="22"/>
  <c r="F30" i="22"/>
  <c r="F32" i="22"/>
  <c r="F20" i="22"/>
  <c r="C41" i="22"/>
  <c r="F41" i="22" s="1"/>
  <c r="C37" i="22"/>
  <c r="F37" i="22" s="1"/>
  <c r="F8" i="22"/>
  <c r="F10" i="22"/>
  <c r="F12" i="22"/>
  <c r="F14" i="22"/>
  <c r="F28" i="22"/>
  <c r="F35" i="22"/>
  <c r="F44" i="22"/>
  <c r="F45" i="22"/>
  <c r="A44" i="22"/>
  <c r="C44" i="22" s="1"/>
  <c r="A48" i="22"/>
  <c r="C48" i="22" s="1"/>
  <c r="F48" i="22" s="1"/>
  <c r="A47" i="22"/>
  <c r="C47" i="22" s="1"/>
  <c r="F47" i="22" s="1"/>
  <c r="C73" i="22"/>
  <c r="F8" i="20"/>
  <c r="F10" i="20"/>
  <c r="F12" i="20"/>
  <c r="F14" i="20"/>
  <c r="F36" i="20"/>
  <c r="F46" i="20"/>
  <c r="F40" i="20"/>
  <c r="C38" i="20"/>
  <c r="F38" i="20" s="1"/>
  <c r="A45" i="20"/>
  <c r="C45" i="20" s="1"/>
  <c r="F45" i="20"/>
  <c r="E85" i="20"/>
  <c r="E73" i="20"/>
  <c r="D83" i="20"/>
  <c r="C41" i="20"/>
  <c r="D21" i="14"/>
  <c r="E11" i="14" s="1"/>
  <c r="G11" i="14" s="1"/>
  <c r="D21" i="13"/>
  <c r="D22" i="13" s="1"/>
  <c r="D20" i="12"/>
  <c r="D19" i="12"/>
  <c r="G13" i="12"/>
  <c r="G12" i="12"/>
  <c r="G11" i="12"/>
  <c r="G10" i="12"/>
  <c r="G9" i="12"/>
  <c r="E17" i="11"/>
  <c r="E16" i="11"/>
  <c r="D20" i="10"/>
  <c r="D23" i="10" s="1"/>
  <c r="E32" i="9"/>
  <c r="E29" i="9"/>
  <c r="D19" i="6"/>
  <c r="D22" i="8"/>
  <c r="F15" i="8"/>
  <c r="D73" i="4"/>
  <c r="D74" i="4" s="1"/>
  <c r="D76" i="4" s="1"/>
  <c r="D71" i="4"/>
  <c r="D69" i="4"/>
  <c r="F65" i="4"/>
  <c r="E51" i="4" s="1"/>
  <c r="F51" i="4" s="1"/>
  <c r="D60" i="4"/>
  <c r="D85" i="4" s="1"/>
  <c r="D86" i="4" s="1"/>
  <c r="C51" i="4"/>
  <c r="E50" i="4"/>
  <c r="D50" i="4"/>
  <c r="B50" i="4"/>
  <c r="E49" i="4"/>
  <c r="D49" i="4"/>
  <c r="B49" i="4"/>
  <c r="E48" i="4"/>
  <c r="D48" i="4"/>
  <c r="B48" i="4"/>
  <c r="E47" i="4"/>
  <c r="D47" i="4"/>
  <c r="B47" i="4"/>
  <c r="E46" i="4"/>
  <c r="D46" i="4"/>
  <c r="B46" i="4"/>
  <c r="E41" i="4"/>
  <c r="D41" i="4"/>
  <c r="B41" i="4"/>
  <c r="A41" i="4"/>
  <c r="A50" i="4" s="1"/>
  <c r="C50" i="4" s="1"/>
  <c r="E40" i="4"/>
  <c r="D40" i="4"/>
  <c r="B40" i="4"/>
  <c r="A40" i="4"/>
  <c r="C40" i="4" s="1"/>
  <c r="E39" i="4"/>
  <c r="D39" i="4"/>
  <c r="B39" i="4"/>
  <c r="A39" i="4"/>
  <c r="C39" i="4" s="1"/>
  <c r="E38" i="4"/>
  <c r="D38" i="4"/>
  <c r="B38" i="4"/>
  <c r="A38" i="4"/>
  <c r="C38" i="4" s="1"/>
  <c r="E37" i="4"/>
  <c r="D37" i="4"/>
  <c r="B37" i="4"/>
  <c r="A37" i="4"/>
  <c r="A46" i="4" s="1"/>
  <c r="C46" i="4" s="1"/>
  <c r="A36" i="4"/>
  <c r="C36" i="4" s="1"/>
  <c r="F36" i="4" s="1"/>
  <c r="A35" i="4"/>
  <c r="C35" i="4" s="1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4" i="4"/>
  <c r="F24" i="4" s="1"/>
  <c r="D24" i="4"/>
  <c r="C24" i="4"/>
  <c r="B24" i="4"/>
  <c r="E23" i="4"/>
  <c r="F23" i="4" s="1"/>
  <c r="D23" i="4"/>
  <c r="C23" i="4"/>
  <c r="B23" i="4"/>
  <c r="E22" i="4"/>
  <c r="F22" i="4" s="1"/>
  <c r="D22" i="4"/>
  <c r="C22" i="4"/>
  <c r="B22" i="4"/>
  <c r="E21" i="4"/>
  <c r="F21" i="4" s="1"/>
  <c r="D21" i="4"/>
  <c r="C21" i="4"/>
  <c r="B21" i="4"/>
  <c r="E20" i="4"/>
  <c r="F20" i="4" s="1"/>
  <c r="D20" i="4"/>
  <c r="C20" i="4"/>
  <c r="B20" i="4"/>
  <c r="E19" i="4"/>
  <c r="D19" i="4"/>
  <c r="C19" i="4"/>
  <c r="B19" i="4"/>
  <c r="F18" i="4"/>
  <c r="D18" i="4"/>
  <c r="C18" i="4"/>
  <c r="B18" i="4"/>
  <c r="C17" i="4"/>
  <c r="B15" i="4"/>
  <c r="E14" i="4"/>
  <c r="F14" i="4" s="1"/>
  <c r="D14" i="4"/>
  <c r="C14" i="4"/>
  <c r="B14" i="4"/>
  <c r="E13" i="4"/>
  <c r="D13" i="4"/>
  <c r="C13" i="4"/>
  <c r="B13" i="4"/>
  <c r="E12" i="4"/>
  <c r="F12" i="4" s="1"/>
  <c r="D12" i="4"/>
  <c r="C12" i="4"/>
  <c r="B12" i="4"/>
  <c r="E11" i="4"/>
  <c r="D11" i="4"/>
  <c r="C11" i="4"/>
  <c r="B11" i="4"/>
  <c r="E10" i="4"/>
  <c r="F10" i="4" s="1"/>
  <c r="D10" i="4"/>
  <c r="C10" i="4"/>
  <c r="B10" i="4"/>
  <c r="E9" i="4"/>
  <c r="D9" i="4"/>
  <c r="C9" i="4"/>
  <c r="B9" i="4"/>
  <c r="E8" i="4"/>
  <c r="F8" i="4" s="1"/>
  <c r="D8" i="4"/>
  <c r="C8" i="4"/>
  <c r="B8" i="4"/>
  <c r="H6" i="4"/>
  <c r="F53" i="22" l="1"/>
  <c r="C69" i="22" s="1"/>
  <c r="E73" i="24"/>
  <c r="C85" i="24"/>
  <c r="E85" i="24" s="1"/>
  <c r="F56" i="24"/>
  <c r="F54" i="22"/>
  <c r="F56" i="22"/>
  <c r="C85" i="22"/>
  <c r="E85" i="22" s="1"/>
  <c r="E73" i="22"/>
  <c r="F19" i="4"/>
  <c r="F31" i="4"/>
  <c r="F40" i="4"/>
  <c r="D83" i="4"/>
  <c r="D81" i="4"/>
  <c r="F46" i="4"/>
  <c r="F50" i="4"/>
  <c r="F30" i="4"/>
  <c r="F32" i="4"/>
  <c r="C37" i="4"/>
  <c r="F37" i="4" s="1"/>
  <c r="A49" i="4"/>
  <c r="C49" i="4" s="1"/>
  <c r="F49" i="4" s="1"/>
  <c r="C41" i="4"/>
  <c r="F41" i="4" s="1"/>
  <c r="F9" i="4"/>
  <c r="F11" i="4"/>
  <c r="F13" i="4"/>
  <c r="F29" i="4"/>
  <c r="F27" i="4"/>
  <c r="F28" i="4"/>
  <c r="A45" i="4"/>
  <c r="C45" i="4" s="1"/>
  <c r="F17" i="4"/>
  <c r="F35" i="4"/>
  <c r="F38" i="4"/>
  <c r="F39" i="4"/>
  <c r="F45" i="4"/>
  <c r="A44" i="4"/>
  <c r="C44" i="4" s="1"/>
  <c r="F44" i="4" s="1"/>
  <c r="A48" i="4"/>
  <c r="C48" i="4" s="1"/>
  <c r="F48" i="4" s="1"/>
  <c r="A47" i="4"/>
  <c r="C47" i="4" s="1"/>
  <c r="F47" i="4" s="1"/>
  <c r="C73" i="4"/>
  <c r="F64" i="22" l="1"/>
  <c r="H53" i="22"/>
  <c r="F2" i="22" s="1"/>
  <c r="F55" i="22"/>
  <c r="H55" i="22" s="1"/>
  <c r="C76" i="22"/>
  <c r="E76" i="22" s="1"/>
  <c r="E41" i="20" s="1"/>
  <c r="F41" i="20" s="1"/>
  <c r="H56" i="24"/>
  <c r="C74" i="24"/>
  <c r="H54" i="22"/>
  <c r="G2" i="22" s="1"/>
  <c r="E69" i="22"/>
  <c r="E23" i="20" s="1"/>
  <c r="C81" i="22"/>
  <c r="E81" i="22" s="1"/>
  <c r="H56" i="22"/>
  <c r="C74" i="22"/>
  <c r="F53" i="4"/>
  <c r="F64" i="4" s="1"/>
  <c r="F56" i="4"/>
  <c r="F54" i="4"/>
  <c r="C85" i="4"/>
  <c r="E85" i="4" s="1"/>
  <c r="E73" i="4"/>
  <c r="D21" i="3"/>
  <c r="D19" i="3"/>
  <c r="E9" i="3" s="1"/>
  <c r="D17" i="3"/>
  <c r="D34" i="5"/>
  <c r="O54" i="22" l="1"/>
  <c r="F63" i="22"/>
  <c r="F66" i="22" s="1"/>
  <c r="G63" i="22" s="1"/>
  <c r="F23" i="24"/>
  <c r="F23" i="20"/>
  <c r="O55" i="24"/>
  <c r="H2" i="24"/>
  <c r="H58" i="24"/>
  <c r="H59" i="24" s="1"/>
  <c r="O58" i="24" s="1"/>
  <c r="E74" i="24"/>
  <c r="C86" i="24"/>
  <c r="E86" i="24" s="1"/>
  <c r="H2" i="22"/>
  <c r="H58" i="22"/>
  <c r="H59" i="22" s="1"/>
  <c r="O58" i="22" s="1"/>
  <c r="O55" i="22"/>
  <c r="O56" i="22"/>
  <c r="E74" i="22"/>
  <c r="C86" i="22"/>
  <c r="E86" i="22" s="1"/>
  <c r="H53" i="4"/>
  <c r="E17" i="24" s="1"/>
  <c r="F17" i="24" s="1"/>
  <c r="C69" i="4"/>
  <c r="E69" i="4" s="1"/>
  <c r="H54" i="4"/>
  <c r="C76" i="4"/>
  <c r="E76" i="4" s="1"/>
  <c r="F55" i="4"/>
  <c r="H56" i="4"/>
  <c r="C74" i="4"/>
  <c r="C71" i="22" l="1"/>
  <c r="E63" i="22"/>
  <c r="O57" i="22"/>
  <c r="O59" i="22" s="1"/>
  <c r="O60" i="22" s="1"/>
  <c r="O61" i="22" s="1"/>
  <c r="O62" i="22" s="1"/>
  <c r="E78" i="22"/>
  <c r="E50" i="20"/>
  <c r="F50" i="20" s="1"/>
  <c r="F56" i="20" s="1"/>
  <c r="F53" i="24"/>
  <c r="H53" i="24" s="1"/>
  <c r="F2" i="24" s="1"/>
  <c r="E35" i="20"/>
  <c r="F35" i="20" s="1"/>
  <c r="F54" i="20" s="1"/>
  <c r="C76" i="20" s="1"/>
  <c r="E76" i="20" s="1"/>
  <c r="E35" i="24"/>
  <c r="F35" i="24" s="1"/>
  <c r="F54" i="24" s="1"/>
  <c r="C83" i="22"/>
  <c r="E83" i="22" s="1"/>
  <c r="E71" i="22"/>
  <c r="G66" i="22"/>
  <c r="G9" i="22"/>
  <c r="G32" i="22"/>
  <c r="G20" i="22"/>
  <c r="G8" i="22"/>
  <c r="G21" i="22"/>
  <c r="G50" i="22"/>
  <c r="G38" i="22"/>
  <c r="G30" i="22"/>
  <c r="G65" i="22"/>
  <c r="G14" i="22"/>
  <c r="G24" i="22"/>
  <c r="G13" i="22"/>
  <c r="G36" i="22"/>
  <c r="G29" i="22"/>
  <c r="G10" i="22"/>
  <c r="G22" i="22"/>
  <c r="G51" i="22"/>
  <c r="G49" i="22"/>
  <c r="G37" i="22"/>
  <c r="G27" i="22"/>
  <c r="G17" i="22"/>
  <c r="G41" i="22"/>
  <c r="G39" i="22"/>
  <c r="G12" i="22"/>
  <c r="G28" i="22"/>
  <c r="G11" i="22"/>
  <c r="G19" i="22"/>
  <c r="G23" i="22"/>
  <c r="G40" i="22"/>
  <c r="G18" i="22"/>
  <c r="G31" i="22"/>
  <c r="G46" i="22"/>
  <c r="G47" i="22"/>
  <c r="G35" i="22"/>
  <c r="G48" i="22"/>
  <c r="G54" i="22"/>
  <c r="G44" i="22"/>
  <c r="G45" i="22"/>
  <c r="G53" i="22"/>
  <c r="G55" i="22"/>
  <c r="G64" i="22"/>
  <c r="G56" i="22"/>
  <c r="F2" i="4"/>
  <c r="E17" i="20"/>
  <c r="F17" i="20" s="1"/>
  <c r="F53" i="20" s="1"/>
  <c r="C81" i="4"/>
  <c r="E81" i="4" s="1"/>
  <c r="E17" i="2"/>
  <c r="G2" i="4"/>
  <c r="E35" i="2"/>
  <c r="H2" i="4"/>
  <c r="H58" i="4"/>
  <c r="H59" i="4" s="1"/>
  <c r="O58" i="4" s="1"/>
  <c r="O55" i="4"/>
  <c r="H55" i="4"/>
  <c r="F63" i="4"/>
  <c r="O54" i="4"/>
  <c r="E74" i="4"/>
  <c r="E78" i="4" s="1"/>
  <c r="C86" i="4"/>
  <c r="E86" i="4" s="1"/>
  <c r="F64" i="24" l="1"/>
  <c r="C69" i="24"/>
  <c r="C81" i="24" s="1"/>
  <c r="E81" i="24" s="1"/>
  <c r="F55" i="24"/>
  <c r="H55" i="24" s="1"/>
  <c r="C74" i="20"/>
  <c r="H56" i="20"/>
  <c r="F55" i="20"/>
  <c r="H55" i="20" s="1"/>
  <c r="H54" i="20"/>
  <c r="G2" i="20" s="1"/>
  <c r="C76" i="24"/>
  <c r="E76" i="24" s="1"/>
  <c r="H54" i="24"/>
  <c r="G2" i="24" s="1"/>
  <c r="P62" i="22"/>
  <c r="E2" i="22"/>
  <c r="H53" i="20"/>
  <c r="F2" i="20" s="1"/>
  <c r="C69" i="20"/>
  <c r="F64" i="20"/>
  <c r="O56" i="4"/>
  <c r="O57" i="4" s="1"/>
  <c r="O59" i="4" s="1"/>
  <c r="C71" i="4"/>
  <c r="E63" i="4"/>
  <c r="F66" i="4"/>
  <c r="G63" i="4" s="1"/>
  <c r="F63" i="24" l="1"/>
  <c r="E69" i="24"/>
  <c r="E78" i="24" s="1"/>
  <c r="O54" i="24"/>
  <c r="O56" i="24" s="1"/>
  <c r="O57" i="24" s="1"/>
  <c r="O59" i="24" s="1"/>
  <c r="O60" i="24" s="1"/>
  <c r="O61" i="24" s="1"/>
  <c r="O62" i="24" s="1"/>
  <c r="O54" i="20"/>
  <c r="O56" i="20" s="1"/>
  <c r="O57" i="20" s="1"/>
  <c r="F63" i="20"/>
  <c r="E63" i="20" s="1"/>
  <c r="H58" i="20"/>
  <c r="H59" i="20" s="1"/>
  <c r="O58" i="20" s="1"/>
  <c r="O55" i="20"/>
  <c r="H2" i="20"/>
  <c r="C86" i="20"/>
  <c r="E86" i="20" s="1"/>
  <c r="E74" i="20"/>
  <c r="F66" i="24"/>
  <c r="C71" i="24"/>
  <c r="E63" i="24"/>
  <c r="C81" i="20"/>
  <c r="E81" i="20" s="1"/>
  <c r="E69" i="20"/>
  <c r="C83" i="4"/>
  <c r="E83" i="4" s="1"/>
  <c r="E71" i="4"/>
  <c r="G66" i="4"/>
  <c r="G11" i="4"/>
  <c r="G41" i="4"/>
  <c r="G20" i="4"/>
  <c r="G17" i="4"/>
  <c r="G14" i="4"/>
  <c r="G35" i="4"/>
  <c r="G24" i="4"/>
  <c r="G37" i="4"/>
  <c r="G65" i="4"/>
  <c r="G50" i="4"/>
  <c r="G12" i="4"/>
  <c r="G18" i="4"/>
  <c r="G46" i="4"/>
  <c r="G29" i="4"/>
  <c r="G40" i="4"/>
  <c r="G22" i="4"/>
  <c r="G51" i="4"/>
  <c r="G8" i="4"/>
  <c r="G30" i="4"/>
  <c r="G27" i="4"/>
  <c r="G19" i="4"/>
  <c r="G13" i="4"/>
  <c r="G31" i="4"/>
  <c r="G23" i="4"/>
  <c r="G32" i="4"/>
  <c r="G49" i="4"/>
  <c r="G10" i="4"/>
  <c r="G28" i="4"/>
  <c r="G9" i="4"/>
  <c r="G21" i="4"/>
  <c r="G36" i="4"/>
  <c r="G48" i="4"/>
  <c r="G47" i="4"/>
  <c r="G38" i="4"/>
  <c r="G45" i="4"/>
  <c r="G39" i="4"/>
  <c r="G53" i="4"/>
  <c r="G44" i="4"/>
  <c r="G64" i="4"/>
  <c r="G56" i="4"/>
  <c r="G54" i="4"/>
  <c r="G55" i="4"/>
  <c r="O60" i="4"/>
  <c r="O61" i="4" s="1"/>
  <c r="O62" i="4" s="1"/>
  <c r="O59" i="20" l="1"/>
  <c r="O60" i="20" s="1"/>
  <c r="O61" i="20" s="1"/>
  <c r="O62" i="20" s="1"/>
  <c r="C71" i="20"/>
  <c r="E71" i="20" s="1"/>
  <c r="F66" i="20"/>
  <c r="G50" i="20" s="1"/>
  <c r="E78" i="20"/>
  <c r="P62" i="24"/>
  <c r="E2" i="24"/>
  <c r="C83" i="24"/>
  <c r="E83" i="24" s="1"/>
  <c r="E71" i="24"/>
  <c r="G63" i="24"/>
  <c r="G8" i="24"/>
  <c r="G22" i="24"/>
  <c r="G11" i="24"/>
  <c r="G47" i="24"/>
  <c r="G10" i="24"/>
  <c r="G49" i="24"/>
  <c r="G9" i="24"/>
  <c r="G45" i="24"/>
  <c r="G46" i="24"/>
  <c r="G56" i="24"/>
  <c r="G31" i="24"/>
  <c r="G27" i="24"/>
  <c r="G12" i="24"/>
  <c r="G40" i="24"/>
  <c r="G41" i="24"/>
  <c r="G44" i="24"/>
  <c r="G23" i="24"/>
  <c r="G50" i="24"/>
  <c r="G38" i="24"/>
  <c r="G65" i="24"/>
  <c r="G53" i="24"/>
  <c r="G54" i="24"/>
  <c r="G66" i="24"/>
  <c r="G13" i="24"/>
  <c r="G24" i="24"/>
  <c r="G28" i="24"/>
  <c r="G64" i="24"/>
  <c r="G14" i="24"/>
  <c r="G51" i="24"/>
  <c r="G19" i="24"/>
  <c r="G39" i="24"/>
  <c r="G37" i="24"/>
  <c r="G21" i="24"/>
  <c r="G48" i="24"/>
  <c r="G17" i="24"/>
  <c r="G29" i="24"/>
  <c r="G30" i="24"/>
  <c r="G32" i="24"/>
  <c r="G20" i="24"/>
  <c r="G18" i="24"/>
  <c r="G35" i="24"/>
  <c r="G36" i="24"/>
  <c r="G55" i="24"/>
  <c r="E2" i="20"/>
  <c r="P62" i="20"/>
  <c r="G31" i="20"/>
  <c r="G17" i="20"/>
  <c r="C83" i="20"/>
  <c r="E83" i="20" s="1"/>
  <c r="G63" i="20"/>
  <c r="G64" i="20"/>
  <c r="P62" i="4"/>
  <c r="E2" i="4"/>
  <c r="G65" i="20" l="1"/>
  <c r="G44" i="20"/>
  <c r="G38" i="20"/>
  <c r="G9" i="20"/>
  <c r="G18" i="20"/>
  <c r="G46" i="20"/>
  <c r="G30" i="20"/>
  <c r="G45" i="20"/>
  <c r="G37" i="20"/>
  <c r="G12" i="20"/>
  <c r="G56" i="20"/>
  <c r="G35" i="20"/>
  <c r="G14" i="20"/>
  <c r="G21" i="20"/>
  <c r="G48" i="20"/>
  <c r="G29" i="20"/>
  <c r="G66" i="20"/>
  <c r="G51" i="20"/>
  <c r="G10" i="20"/>
  <c r="G54" i="20"/>
  <c r="G47" i="20"/>
  <c r="G8" i="20"/>
  <c r="G55" i="20"/>
  <c r="G41" i="20"/>
  <c r="G22" i="20"/>
  <c r="G39" i="20"/>
  <c r="G53" i="20"/>
  <c r="G28" i="20"/>
  <c r="G27" i="20"/>
  <c r="G24" i="20"/>
  <c r="G11" i="20"/>
  <c r="G36" i="20"/>
  <c r="G19" i="20"/>
  <c r="G20" i="20"/>
  <c r="G49" i="20"/>
  <c r="G40" i="20"/>
  <c r="G32" i="20"/>
  <c r="G13" i="20"/>
  <c r="G23" i="20"/>
  <c r="D73" i="2"/>
  <c r="D74" i="2" s="1"/>
  <c r="D76" i="2" s="1"/>
  <c r="D71" i="2"/>
  <c r="D69" i="2"/>
  <c r="F65" i="2"/>
  <c r="C73" i="2" s="1"/>
  <c r="D60" i="2"/>
  <c r="D85" i="2" s="1"/>
  <c r="D86" i="2" s="1"/>
  <c r="C51" i="2"/>
  <c r="E50" i="2"/>
  <c r="D50" i="2"/>
  <c r="B50" i="2"/>
  <c r="E49" i="2"/>
  <c r="D49" i="2"/>
  <c r="B49" i="2"/>
  <c r="A49" i="2"/>
  <c r="C49" i="2" s="1"/>
  <c r="E46" i="2"/>
  <c r="D46" i="2"/>
  <c r="B46" i="2"/>
  <c r="E45" i="2"/>
  <c r="D45" i="2"/>
  <c r="B45" i="2"/>
  <c r="A41" i="2"/>
  <c r="A50" i="2" s="1"/>
  <c r="C50" i="2" s="1"/>
  <c r="E40" i="2"/>
  <c r="D40" i="2"/>
  <c r="B40" i="2"/>
  <c r="A40" i="2"/>
  <c r="C40" i="2" s="1"/>
  <c r="A39" i="2"/>
  <c r="C39" i="2" s="1"/>
  <c r="A38" i="2"/>
  <c r="C38" i="2" s="1"/>
  <c r="F38" i="2" s="1"/>
  <c r="E37" i="2"/>
  <c r="D37" i="2"/>
  <c r="B37" i="2"/>
  <c r="A37" i="2"/>
  <c r="A46" i="2" s="1"/>
  <c r="C46" i="2" s="1"/>
  <c r="E36" i="2"/>
  <c r="D36" i="2"/>
  <c r="C36" i="2"/>
  <c r="B36" i="2"/>
  <c r="A36" i="2"/>
  <c r="A45" i="2" s="1"/>
  <c r="C45" i="2" s="1"/>
  <c r="A35" i="2"/>
  <c r="C35" i="2" s="1"/>
  <c r="D32" i="2"/>
  <c r="C32" i="2"/>
  <c r="B32" i="2"/>
  <c r="D31" i="2"/>
  <c r="C31" i="2"/>
  <c r="B31" i="2"/>
  <c r="D30" i="2"/>
  <c r="C30" i="2"/>
  <c r="B30" i="2"/>
  <c r="D29" i="2"/>
  <c r="C29" i="2"/>
  <c r="B29" i="2"/>
  <c r="C28" i="2"/>
  <c r="B28" i="2"/>
  <c r="D27" i="2"/>
  <c r="C27" i="2"/>
  <c r="B27" i="2"/>
  <c r="E24" i="2"/>
  <c r="F24" i="2" s="1"/>
  <c r="D24" i="2"/>
  <c r="C24" i="2"/>
  <c r="B24" i="2"/>
  <c r="C23" i="2"/>
  <c r="F23" i="2" s="1"/>
  <c r="D22" i="2"/>
  <c r="C22" i="2"/>
  <c r="B22" i="2"/>
  <c r="F21" i="2"/>
  <c r="C21" i="2"/>
  <c r="C20" i="2"/>
  <c r="D19" i="2"/>
  <c r="C19" i="2"/>
  <c r="B19" i="2"/>
  <c r="D18" i="2"/>
  <c r="C18" i="2"/>
  <c r="B18" i="2"/>
  <c r="C17" i="2"/>
  <c r="B15" i="2"/>
  <c r="E14" i="2"/>
  <c r="D14" i="2"/>
  <c r="C14" i="2"/>
  <c r="B14" i="2"/>
  <c r="E13" i="2"/>
  <c r="F13" i="2" s="1"/>
  <c r="D13" i="2"/>
  <c r="C13" i="2"/>
  <c r="B13" i="2"/>
  <c r="E12" i="2"/>
  <c r="D12" i="2"/>
  <c r="C12" i="2"/>
  <c r="B12" i="2"/>
  <c r="E11" i="2"/>
  <c r="F11" i="2" s="1"/>
  <c r="D11" i="2"/>
  <c r="C11" i="2"/>
  <c r="B11" i="2"/>
  <c r="E10" i="2"/>
  <c r="D10" i="2"/>
  <c r="C10" i="2"/>
  <c r="B10" i="2"/>
  <c r="E9" i="2"/>
  <c r="F9" i="2" s="1"/>
  <c r="D9" i="2"/>
  <c r="C9" i="2"/>
  <c r="B9" i="2"/>
  <c r="E8" i="2"/>
  <c r="D8" i="2"/>
  <c r="C8" i="2"/>
  <c r="B8" i="2"/>
  <c r="H6" i="2"/>
  <c r="D35" i="1"/>
  <c r="F32" i="2" l="1"/>
  <c r="F31" i="2"/>
  <c r="F29" i="2"/>
  <c r="F28" i="2"/>
  <c r="F27" i="2"/>
  <c r="F51" i="2"/>
  <c r="E51" i="2"/>
  <c r="F8" i="2"/>
  <c r="F10" i="2"/>
  <c r="F12" i="2"/>
  <c r="F14" i="2"/>
  <c r="F46" i="2"/>
  <c r="F30" i="2"/>
  <c r="F50" i="2"/>
  <c r="C41" i="2"/>
  <c r="F41" i="2" s="1"/>
  <c r="F40" i="2"/>
  <c r="F22" i="2"/>
  <c r="F39" i="2"/>
  <c r="F20" i="2"/>
  <c r="F37" i="2"/>
  <c r="F19" i="2"/>
  <c r="C37" i="2"/>
  <c r="F36" i="2"/>
  <c r="F45" i="2"/>
  <c r="F18" i="2"/>
  <c r="F35" i="2"/>
  <c r="F17" i="2"/>
  <c r="C85" i="2"/>
  <c r="E85" i="2" s="1"/>
  <c r="E73" i="2"/>
  <c r="F49" i="2"/>
  <c r="D83" i="2"/>
  <c r="A44" i="2"/>
  <c r="C44" i="2" s="1"/>
  <c r="F44" i="2" s="1"/>
  <c r="A48" i="2"/>
  <c r="C48" i="2" s="1"/>
  <c r="F48" i="2" s="1"/>
  <c r="D81" i="2"/>
  <c r="A47" i="2"/>
  <c r="C47" i="2" s="1"/>
  <c r="F47" i="2" s="1"/>
  <c r="F53" i="2" l="1"/>
  <c r="H53" i="2" s="1"/>
  <c r="F2" i="2" s="1"/>
  <c r="F54" i="2"/>
  <c r="H54" i="2" s="1"/>
  <c r="G2" i="2" s="1"/>
  <c r="F56" i="2"/>
  <c r="C69" i="2" l="1"/>
  <c r="C81" i="2" s="1"/>
  <c r="E81" i="2" s="1"/>
  <c r="F64" i="2"/>
  <c r="F55" i="2"/>
  <c r="H55" i="2" s="1"/>
  <c r="C76" i="2"/>
  <c r="E76" i="2" s="1"/>
  <c r="H56" i="2"/>
  <c r="C74" i="2"/>
  <c r="E69" i="2" l="1"/>
  <c r="O54" i="2"/>
  <c r="O56" i="2" s="1"/>
  <c r="F63" i="2"/>
  <c r="F66" i="2" s="1"/>
  <c r="G63" i="2" s="1"/>
  <c r="H2" i="2"/>
  <c r="H58" i="2"/>
  <c r="O55" i="2"/>
  <c r="E74" i="2"/>
  <c r="C86" i="2"/>
  <c r="E86" i="2" s="1"/>
  <c r="E78" i="2" l="1"/>
  <c r="H59" i="2"/>
  <c r="O58" i="2" s="1"/>
  <c r="O57" i="2"/>
  <c r="E63" i="2"/>
  <c r="C71" i="2"/>
  <c r="C83" i="2" s="1"/>
  <c r="E83" i="2" s="1"/>
  <c r="G66" i="2"/>
  <c r="G65" i="2"/>
  <c r="G18" i="2"/>
  <c r="G39" i="2"/>
  <c r="G13" i="2"/>
  <c r="G31" i="2"/>
  <c r="G22" i="2"/>
  <c r="G40" i="2"/>
  <c r="G12" i="2"/>
  <c r="G28" i="2"/>
  <c r="G51" i="2"/>
  <c r="G32" i="2"/>
  <c r="G14" i="2"/>
  <c r="G29" i="2"/>
  <c r="G19" i="2"/>
  <c r="G23" i="2"/>
  <c r="G46" i="2"/>
  <c r="G9" i="2"/>
  <c r="G20" i="2"/>
  <c r="G35" i="2"/>
  <c r="G24" i="2"/>
  <c r="G50" i="2"/>
  <c r="G8" i="2"/>
  <c r="G17" i="2"/>
  <c r="G41" i="2"/>
  <c r="G27" i="2"/>
  <c r="G37" i="2"/>
  <c r="G11" i="2"/>
  <c r="G21" i="2"/>
  <c r="G38" i="2"/>
  <c r="G30" i="2"/>
  <c r="G10" i="2"/>
  <c r="G45" i="2"/>
  <c r="G36" i="2"/>
  <c r="G49" i="2"/>
  <c r="G44" i="2"/>
  <c r="G48" i="2"/>
  <c r="G54" i="2"/>
  <c r="G53" i="2"/>
  <c r="G47" i="2"/>
  <c r="G64" i="2"/>
  <c r="G56" i="2"/>
  <c r="G55" i="2"/>
  <c r="O59" i="2" l="1"/>
  <c r="O60" i="2" s="1"/>
  <c r="E71" i="2"/>
  <c r="O61" i="2" l="1"/>
  <c r="O62" i="2" s="1"/>
  <c r="P62" i="2" s="1"/>
  <c r="E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Ramirez</author>
  </authors>
  <commentList>
    <comment ref="E27" authorId="0" shapeId="0" xr:uid="{2F8AD9FC-4070-489A-9B74-8E45D1E008C5}">
      <text>
        <r>
          <rPr>
            <b/>
            <sz val="9"/>
            <color indexed="81"/>
            <rFont val="Tahoma"/>
            <family val="2"/>
          </rPr>
          <t>Esteban Ramirez:</t>
        </r>
        <r>
          <rPr>
            <sz val="9"/>
            <color indexed="81"/>
            <rFont val="Tahoma"/>
            <family val="2"/>
          </rPr>
          <t xml:space="preserve">
Confirmar este codigo de quequera - Ver el precio que dio selena en su momento de ¢274
</t>
        </r>
      </text>
    </comment>
  </commentList>
</comments>
</file>

<file path=xl/sharedStrings.xml><?xml version="1.0" encoding="utf-8"?>
<sst xmlns="http://schemas.openxmlformats.org/spreadsheetml/2006/main" count="2156" uniqueCount="425">
  <si>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</si>
  <si>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</si>
  <si>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</si>
  <si>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</si>
  <si>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</si>
  <si>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</si>
  <si>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</si>
  <si>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</si>
  <si>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</si>
  <si>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</si>
  <si>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</si>
  <si>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</si>
  <si>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</si>
  <si>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</si>
  <si>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</si>
  <si>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</si>
  <si>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</si>
  <si>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</si>
  <si>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</si>
  <si>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</si>
  <si>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</si>
  <si>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</si>
  <si>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</si>
  <si>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</si>
  <si>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</si>
  <si>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</si>
  <si>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>DECORACIÓN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</si>
  <si>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</si>
  <si>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</si>
  <si>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</si>
  <si>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</si>
  <si>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</si>
  <si>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</si>
  <si>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</si>
  <si>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</si>
  <si>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</si>
  <si>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</si>
  <si>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Juan Pablo Brenes , chef</t>
  </si>
  <si>
    <t>Torta Fiestera Walmart ambiente</t>
  </si>
  <si>
    <t>SE00454</t>
  </si>
  <si>
    <t>ROSQUETE EASY VAINILLA BC 350 G</t>
  </si>
  <si>
    <t>SE00032</t>
  </si>
  <si>
    <t>CREMA DULCE LECHE KILO</t>
  </si>
  <si>
    <t>FAS</t>
  </si>
  <si>
    <t>1 1/2 ud</t>
  </si>
  <si>
    <t>1/2 taza por capa</t>
  </si>
  <si>
    <t>DECORACION</t>
  </si>
  <si>
    <t>SE00010</t>
  </si>
  <si>
    <t>CREMA CHANTILLY BLANCA (SPOON-IND)</t>
  </si>
  <si>
    <t>SE00066</t>
  </si>
  <si>
    <t>CREMA CHANTILLY MORADO BARNIE KILO</t>
  </si>
  <si>
    <t>CREMA NARANJA BUCCA 20000G</t>
  </si>
  <si>
    <t>SE00457</t>
  </si>
  <si>
    <t xml:space="preserve">Crema Chantilly Verde Electrico </t>
  </si>
  <si>
    <t>SE00392</t>
  </si>
  <si>
    <t xml:space="preserve">CHOCOLATE RALLADO OSCURO </t>
  </si>
  <si>
    <t>EMPAQUE</t>
  </si>
  <si>
    <t>EM10009</t>
  </si>
  <si>
    <t xml:space="preserve">Quequera Red  Base/Domo 10 </t>
  </si>
  <si>
    <t>Export pmt</t>
  </si>
  <si>
    <t>EM10084</t>
  </si>
  <si>
    <t xml:space="preserve">Orla # 10 Bucca </t>
  </si>
  <si>
    <t>EM10005</t>
  </si>
  <si>
    <t xml:space="preserve">ETIQ.FECHA VENCIMIENTO </t>
  </si>
  <si>
    <t>Etiplast</t>
  </si>
  <si>
    <t>EM10002</t>
  </si>
  <si>
    <t>ETIQ.BLANCA 1 1/4 * 3/4</t>
  </si>
  <si>
    <t>Cemusa</t>
  </si>
  <si>
    <t>EM10011</t>
  </si>
  <si>
    <t>ETIQUETA BLANCA 2 5/8X1 15/16 PRE BLANCA</t>
  </si>
  <si>
    <t>EM10248</t>
  </si>
  <si>
    <t>CINTA ADHESIVA TRANSPARENTE 2*100</t>
  </si>
  <si>
    <t>Mayca</t>
  </si>
  <si>
    <t>cm</t>
  </si>
  <si>
    <t>1.- Partir los rosquetes por la mitad y rellenar dos capas con 1/2 taza de crema dulce de leche.</t>
  </si>
  <si>
    <t>2.- Encremar con crema chantilly blanca de forma lisa.</t>
  </si>
  <si>
    <t>3.- Con boquilla 2C hacer al borde un circulo de conchas con la crema naranja, luego la verde y luego la morada barnie, al centro colocar el chocolate rallado oscuro.</t>
  </si>
  <si>
    <t>4.- Tapar y etiquetar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</si>
  <si>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</si>
  <si>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</si>
  <si>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</si>
  <si>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</si>
  <si>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</si>
  <si>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</si>
  <si>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</si>
  <si>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</si>
  <si>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</si>
  <si>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</si>
  <si>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</si>
  <si>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</si>
  <si>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</si>
  <si>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</si>
  <si>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</si>
  <si>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</si>
  <si>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</si>
  <si>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</si>
  <si>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</si>
  <si>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</si>
  <si>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</si>
  <si>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</si>
  <si>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</si>
  <si>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</si>
  <si>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</si>
  <si>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</si>
  <si>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</si>
  <si>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</si>
  <si>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</si>
  <si>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</si>
  <si>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</si>
  <si>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</si>
  <si>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</si>
  <si>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</si>
  <si>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</si>
  <si>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</si>
  <si>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</si>
  <si>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</si>
  <si>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</si>
  <si>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</si>
  <si>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</si>
  <si>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</si>
  <si>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</si>
  <si>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</si>
  <si>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</si>
  <si>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</si>
  <si>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</si>
  <si>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</si>
  <si>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</si>
  <si>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</si>
  <si>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</si>
  <si>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UND </t>
  </si>
  <si>
    <t>96344</t>
  </si>
  <si>
    <t>95717</t>
  </si>
  <si>
    <t>905000060</t>
  </si>
  <si>
    <t>Gramo</t>
  </si>
  <si>
    <t>905000063</t>
  </si>
  <si>
    <t>905000101</t>
  </si>
  <si>
    <t>121603</t>
  </si>
  <si>
    <t>1952875</t>
  </si>
  <si>
    <t>703020</t>
  </si>
  <si>
    <t>0702012</t>
  </si>
  <si>
    <t>0702069</t>
  </si>
  <si>
    <t>0702123</t>
  </si>
  <si>
    <t>UND</t>
  </si>
  <si>
    <t>NUEVO</t>
  </si>
  <si>
    <t>Rosquete easy vainilla BC 300g</t>
  </si>
  <si>
    <t>910000011</t>
  </si>
  <si>
    <t>SE00071</t>
  </si>
  <si>
    <t>Borona P/Decorar</t>
  </si>
  <si>
    <t>Juan Pablo Brenes, Chef</t>
  </si>
  <si>
    <t>907000286</t>
  </si>
  <si>
    <t>SE00437</t>
  </si>
  <si>
    <t>BATIDO EASY VAINILLA BC</t>
  </si>
  <si>
    <t>MEZCLA P/ENGRASE MOLDES KILO</t>
  </si>
  <si>
    <t>EM10004</t>
  </si>
  <si>
    <t>ETIQ.FECHA VENCIMIENTO BLANCO (ROLLO)</t>
  </si>
  <si>
    <t>ETIQUETA BLANCA 2 5/8X1 15/16 (UND)</t>
  </si>
  <si>
    <t>AS00028</t>
  </si>
  <si>
    <t>BOLSA TRANSPARENTE 56X96X1.80 KILO</t>
  </si>
  <si>
    <t>Plasticos P</t>
  </si>
  <si>
    <t>PESO POR PORCION</t>
  </si>
  <si>
    <t>1.- Dosificar en moldes engrasados 300g de mezcla.</t>
  </si>
  <si>
    <t>2.- Hornear por 30 minutos en el Dicte 1 a 175°C, en el Dicte 2 por 20 minutos a 175°C, en el Argental por 20 minutos a 175°C, en el Marshall por 18 minutos a 175°C, en el vulcan a 325°F por 25 minutos y en el Curitiba a 130°C por 28.</t>
  </si>
  <si>
    <t>3.- Enfriar, desmoldar y empacar 12 unidades por lata, cubrir con bolsa plastica. Etiqueta nombre y fecha.</t>
  </si>
  <si>
    <t>Control de cambios</t>
  </si>
  <si>
    <t>Gramos</t>
  </si>
  <si>
    <t>902000019</t>
  </si>
  <si>
    <t>0702007</t>
  </si>
  <si>
    <t>1950928</t>
  </si>
  <si>
    <t>SE00401</t>
  </si>
  <si>
    <t>ESP-RE-BAF-118</t>
  </si>
  <si>
    <t>02</t>
  </si>
  <si>
    <t>907000286(SE00437) Batido Easy Vainilla BC</t>
  </si>
  <si>
    <t>Javier Tong, Chef</t>
  </si>
  <si>
    <t>Esteban Cartin, Gerente de Manufactura</t>
  </si>
  <si>
    <t>Batidos</t>
  </si>
  <si>
    <t>SE00436</t>
  </si>
  <si>
    <t>PREMEZCLA EASY VAINILLA BC</t>
  </si>
  <si>
    <t>1210482</t>
  </si>
  <si>
    <t>MP10005</t>
  </si>
  <si>
    <t>HUEVO LIQUIDO ESPECIAL INNOV (CAJA:10 K)</t>
  </si>
  <si>
    <t>INNOVO</t>
  </si>
  <si>
    <t>10415</t>
  </si>
  <si>
    <t>AGUA POTABLE (PLANTA)</t>
  </si>
  <si>
    <t>MP10002</t>
  </si>
  <si>
    <t>ACEITE CAPULLO RBD (UND:17 L)</t>
  </si>
  <si>
    <t>CAPULLO</t>
  </si>
  <si>
    <t>1.- Agregar el huevo y la mitad del agua con los secos, batir 1 minuto a velocidad 1, luego 2 minutos en 2.</t>
  </si>
  <si>
    <t>2.- Agregar la otra mitad del agua y el aceite y batir por 2 minutos en velocidad 2.</t>
  </si>
  <si>
    <t>3.- Dosificar.</t>
  </si>
  <si>
    <t>CONTROL DE CAMBIOS</t>
  </si>
  <si>
    <t>Revision #2: Actualizacion del procedimiento.</t>
  </si>
  <si>
    <t>ESP-RE-PRES-129</t>
  </si>
  <si>
    <t>906000136(SE00436)  Premezcla Easy vainilla BC</t>
  </si>
  <si>
    <t>15/03/2023</t>
  </si>
  <si>
    <t>Premezclas</t>
  </si>
  <si>
    <t>MP10491</t>
  </si>
  <si>
    <t>EASY VAINILLA BC</t>
  </si>
  <si>
    <t>Puratos</t>
  </si>
  <si>
    <t>510301</t>
  </si>
  <si>
    <t>MP10074</t>
  </si>
  <si>
    <t>AZUCAR BLANCO INDUSTRIAL (SACO:50 K)</t>
  </si>
  <si>
    <t>Layca</t>
  </si>
  <si>
    <t>11200072</t>
  </si>
  <si>
    <t>MP10478</t>
  </si>
  <si>
    <t>HARINA SILVER CAKE (SACO: 25K)</t>
  </si>
  <si>
    <t>Fhacasa</t>
  </si>
  <si>
    <t>0510107</t>
  </si>
  <si>
    <t>MP10036</t>
  </si>
  <si>
    <t xml:space="preserve">Harina Harisol Winter </t>
  </si>
  <si>
    <t>1212410</t>
  </si>
  <si>
    <t>MP10008</t>
  </si>
  <si>
    <t>PRESERVANTE 1047S (PAQ=5 KILO)</t>
  </si>
  <si>
    <t>MP10304</t>
  </si>
  <si>
    <t>POLVO HORNEAR FLEISHMAN (PAQ:2.5 K)</t>
  </si>
  <si>
    <t>Fleishman</t>
  </si>
  <si>
    <t>1950708</t>
  </si>
  <si>
    <t>EM10013</t>
  </si>
  <si>
    <t>BOLSA 17x25 TRANSP KILO</t>
  </si>
  <si>
    <t>EM10258</t>
  </si>
  <si>
    <t>BOLSA TRANSP 20x30x2000</t>
  </si>
  <si>
    <t>EM10037</t>
  </si>
  <si>
    <t>BOLSA 8x12 TRANSPARENTE KILO</t>
  </si>
  <si>
    <t>EM10133</t>
  </si>
  <si>
    <t>ETIQUETA ROJA LETRA ALERJENO (UND)</t>
  </si>
  <si>
    <t>tanda</t>
  </si>
  <si>
    <t>1.- En una bolsa 20x30 empacar el nucleo easy con el harina. En una bolsa 17x25 empacar el azucar, y etiquetar.</t>
  </si>
  <si>
    <t>2.- En la otra bolsa 8x12 empacar el preservante, polvo de hornear. Colocar en la misma bolsa del harina.</t>
  </si>
  <si>
    <t>2, Actualizacion de procedimiento y de bolsas</t>
  </si>
  <si>
    <t xml:space="preserve">ESP-RE-DES-040 </t>
  </si>
  <si>
    <t>04</t>
  </si>
  <si>
    <t>Crema de Dulce de Leche(24500g) 96344(SE00032)</t>
  </si>
  <si>
    <t>Jeffry Rodriguez, Gerente de Manufactura</t>
  </si>
  <si>
    <t>Decoracion</t>
  </si>
  <si>
    <t>MP10165</t>
  </si>
  <si>
    <t>CREMA BETTER DULCE LECHE RICH (UND:4 K)</t>
  </si>
  <si>
    <t>Rich</t>
  </si>
  <si>
    <t>4 Galones</t>
  </si>
  <si>
    <t>MP10048</t>
  </si>
  <si>
    <t>CREMA PRESTIGE GRAND (UND:4 K)</t>
  </si>
  <si>
    <t>2 Galones</t>
  </si>
  <si>
    <t>Spoon</t>
  </si>
  <si>
    <t>Aseal</t>
  </si>
  <si>
    <t>1.- Colocar la crema de dulce de leche y la prestige en la top cream con el agua y preservante.</t>
  </si>
  <si>
    <t>2.- Batir por 12 minutos, mantener en refrigeracin a 5°C.</t>
  </si>
  <si>
    <t>4, Actualizacion de codigos</t>
  </si>
  <si>
    <t xml:space="preserve">ESP-RE-DES-036 </t>
  </si>
  <si>
    <t>10</t>
  </si>
  <si>
    <t>Crema Blanca Spoon (20800g)   (95717(SE00010))</t>
  </si>
  <si>
    <t>ICG</t>
  </si>
  <si>
    <t>MP10047</t>
  </si>
  <si>
    <t>BETTERCREME SUPREMO (UND:4 K)</t>
  </si>
  <si>
    <t>Richs</t>
  </si>
  <si>
    <t>4 galones</t>
  </si>
  <si>
    <t>1 galones</t>
  </si>
  <si>
    <t>AyA</t>
  </si>
  <si>
    <t>Etiplas</t>
  </si>
  <si>
    <t>Tanda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</si>
  <si>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</si>
  <si>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</si>
  <si>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</si>
  <si>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</si>
  <si>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</si>
  <si>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Control de Cambios</t>
  </si>
  <si>
    <t>9, Actuaizacion de codigos</t>
  </si>
  <si>
    <t>10, Actuaizacion de procedimiento</t>
  </si>
  <si>
    <t xml:space="preserve">ESP-RE-DES-060 </t>
  </si>
  <si>
    <t>07</t>
  </si>
  <si>
    <t>ESP-RE-DES-060  Crema naranja Bucca 905000060 SE00401</t>
  </si>
  <si>
    <t>Esteban Cartin. Gte de Manufactura</t>
  </si>
  <si>
    <t>0310148</t>
  </si>
  <si>
    <t>BETTERCREME SUPREMO 4K</t>
  </si>
  <si>
    <t>Rich´s</t>
  </si>
  <si>
    <t>11400031</t>
  </si>
  <si>
    <t>CREMA PRESTIGE GRAND 4 KILOS</t>
  </si>
  <si>
    <t>3 Galones</t>
  </si>
  <si>
    <t>AGUA</t>
  </si>
  <si>
    <t>PRESERVANTE 1047S KILO</t>
  </si>
  <si>
    <t>10400007</t>
  </si>
  <si>
    <t>MP10153</t>
  </si>
  <si>
    <t>COLORANTE GEL ELECTRIC ORANGE (UND=4.5 OZ)</t>
  </si>
  <si>
    <t>American Colors</t>
  </si>
  <si>
    <t>ETIQ.FECHA VENCIMIENTO VERDE</t>
  </si>
  <si>
    <t>1.- Colocar todos los ingredientes (preservante disuelto con agua) en la top cream, Batir por 10 a 12 minutos, hasta que se obtenga la consistencia deseada.</t>
  </si>
  <si>
    <t>2.- Colocar en una tina, etiquetar con fecha de producción.</t>
  </si>
  <si>
    <t>Revisión #6: Actualización de codigo interno.</t>
  </si>
  <si>
    <t xml:space="preserve">Revision #7 : Codigos Netsuite </t>
  </si>
  <si>
    <t>ESP-RE-DES-080</t>
  </si>
  <si>
    <t>Crema Verde Electrico 905000063(SE00457)</t>
  </si>
  <si>
    <t>24/04/2023</t>
  </si>
  <si>
    <t>CREMA CHANTILLY BLANCA SPOON-IND KILO</t>
  </si>
  <si>
    <t>MP10152</t>
  </si>
  <si>
    <t>COLORANTE GEL ELECTRIC GREEN (UD=130ml)</t>
  </si>
  <si>
    <t>Master Pack</t>
  </si>
  <si>
    <t>MP10156</t>
  </si>
  <si>
    <t>COLORANTE GEL LEMON YELLOW UND 130 ML</t>
  </si>
  <si>
    <t>Minutos</t>
  </si>
  <si>
    <t>1, Mezclar la crema con los colorantes, hatsa homogeneo</t>
  </si>
  <si>
    <t>2.- Mantener en refrigeración.</t>
  </si>
  <si>
    <t>2: Se agrega el codigo del producto.</t>
  </si>
  <si>
    <t>3: Actualizacion de colorantes y codigos y cantidades.</t>
  </si>
  <si>
    <t>4: Se Elimina la crema supremo, la crema prestige, el preservante, el agua. Se agrega el subproducto crema chantilly Spoon</t>
  </si>
  <si>
    <t>ESP-RE-DEF-077</t>
  </si>
  <si>
    <t>905000101(SE00066) Crema  Chantilly Morado Barnie</t>
  </si>
  <si>
    <t>MP10155</t>
  </si>
  <si>
    <t>COLORANTE EXOTIC PURPLE</t>
  </si>
  <si>
    <t>10400011</t>
  </si>
  <si>
    <t>MP10149</t>
  </si>
  <si>
    <t>COLORANTE ARTIFICIAL ROSADO F225 (LITRO)</t>
  </si>
  <si>
    <t>Azteck</t>
  </si>
  <si>
    <t>2, Se cambia el colorante rosado y se aumenta cantidad</t>
  </si>
  <si>
    <t xml:space="preserve">3: Se aumenta el colorante rosado. </t>
  </si>
  <si>
    <t xml:space="preserve">ESP-RE-DES-032 </t>
  </si>
  <si>
    <t>Procesado de Borona (1206g) 910000011(SE00071)</t>
  </si>
  <si>
    <t>907000310</t>
  </si>
  <si>
    <t>SE00448</t>
  </si>
  <si>
    <t>Rosquete Vainilla Dawn 320g</t>
  </si>
  <si>
    <t>EM10252</t>
  </si>
  <si>
    <t>Plástico Autoaderible 1/ 12*2000</t>
  </si>
  <si>
    <t>BELCA</t>
  </si>
  <si>
    <t>CEMUSA</t>
  </si>
  <si>
    <t>25 min</t>
  </si>
  <si>
    <t>20 min</t>
  </si>
  <si>
    <t>Marshall</t>
  </si>
  <si>
    <t>Vulcan</t>
  </si>
  <si>
    <t>175°C</t>
  </si>
  <si>
    <t>300°F</t>
  </si>
  <si>
    <r>
      <rPr>
        <b/>
        <sz val="11"/>
        <rFont val="Times New Roman"/>
        <family val="1"/>
      </rPr>
      <t>1-.</t>
    </r>
    <r>
      <rPr>
        <sz val="11"/>
        <rFont val="Times New Roman"/>
        <family val="1"/>
      </rPr>
      <t xml:space="preserve"> Colocar los rosquetes en una bandeja limpia, en pedazos y bien separados unos de otros</t>
    </r>
  </si>
  <si>
    <r>
      <rPr>
        <b/>
        <sz val="11"/>
        <rFont val="Times New Roman"/>
        <family val="1"/>
      </rPr>
      <t>2-.</t>
    </r>
    <r>
      <rPr>
        <sz val="11"/>
        <rFont val="Times New Roman"/>
        <family val="1"/>
      </rPr>
      <t xml:space="preserve"> Hornear por 25 minutos a 175°C en el Marshall o 20 minutos a 300°F en el Vulcan. Sacar y enfriar</t>
    </r>
  </si>
  <si>
    <r>
      <rPr>
        <b/>
        <sz val="11"/>
        <rFont val="Times New Roman"/>
        <family val="1"/>
      </rPr>
      <t xml:space="preserve">3-. </t>
    </r>
    <r>
      <rPr>
        <sz val="11"/>
        <rFont val="Times New Roman"/>
        <family val="1"/>
      </rPr>
      <t>Colocar el producto en el procesador y procesar por impulsos hasta formar la borona o deshacer el rosquete</t>
    </r>
  </si>
  <si>
    <r>
      <rPr>
        <b/>
        <sz val="11"/>
        <rFont val="Times New Roman"/>
        <family val="1"/>
      </rPr>
      <t xml:space="preserve">4-. </t>
    </r>
    <r>
      <rPr>
        <sz val="11"/>
        <rFont val="Times New Roman"/>
        <family val="1"/>
      </rPr>
      <t>Colocar en baldes sellados y sanitizados. No procesar grandes cantidades para evitar la formación de moho</t>
    </r>
  </si>
  <si>
    <t>Versión #02 : Se actualiza formato, receta, tiempos y temperaturas de horneos</t>
  </si>
  <si>
    <t>Version #3: Se cambian los rosquetes.</t>
  </si>
  <si>
    <t xml:space="preserve">ESP-RE-BAS-178 </t>
  </si>
  <si>
    <t>907000310(SE00448) Rosquete nucleo vainilla Dawn Redondo 320g</t>
  </si>
  <si>
    <t>23/03/2023</t>
  </si>
  <si>
    <t>Esteban Cartín. Gte de Manufactura</t>
  </si>
  <si>
    <t>SE00444</t>
  </si>
  <si>
    <t>BATIDO NUCLEO VAINILLA DAWN</t>
  </si>
  <si>
    <t>ETIQ.BLANCA 1 1/4 * 3/4 (UND)</t>
  </si>
  <si>
    <t>Min</t>
  </si>
  <si>
    <t>1.- Pesar 320g de mezcla en los moldes previamente engrasados.</t>
  </si>
  <si>
    <t>2.- Hornear por Dicte 1 o 2 a 175°C por 50 min</t>
  </si>
  <si>
    <t>3.- Enfriar, desmoldar, colocar 12 rosquetes por lata, etiquetar con nombre y fecha de producción.</t>
  </si>
  <si>
    <t>2, Cambio de horneo</t>
  </si>
  <si>
    <t xml:space="preserve">ESP-RE-BAS-169 </t>
  </si>
  <si>
    <t>907000306(SE00444) Batido Nucleo vainilla Dawn</t>
  </si>
  <si>
    <t>27/01/2023</t>
  </si>
  <si>
    <t>Javier Tong, chef</t>
  </si>
  <si>
    <t>SE00443</t>
  </si>
  <si>
    <t>PREMEZCLA BATIDO NUCLEO VAINILLA DAWN</t>
  </si>
  <si>
    <t xml:space="preserve">HUEVO ENTERO PASTERI INNOVO ( CAJA: 10 K) </t>
  </si>
  <si>
    <t>MP10315</t>
  </si>
  <si>
    <t>PRESERVANTE MIXTO (UND:17 K)</t>
  </si>
  <si>
    <t>PURATOS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</si>
  <si>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</si>
  <si>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</si>
  <si>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</si>
  <si>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7 min en velocidad 3. con globo</t>
  </si>
  <si>
    <t>2, Se reduce la cantidad de Mixo.</t>
  </si>
  <si>
    <t>ESP-RE-PRES-132</t>
  </si>
  <si>
    <t>906000138(SE00443) Premezcla Batido Nucleo Vainilla  Dawn</t>
  </si>
  <si>
    <t>Premezcla</t>
  </si>
  <si>
    <t>LAICA</t>
  </si>
  <si>
    <t>HARINA SILVER CAKE</t>
  </si>
  <si>
    <t>FAHACASA</t>
  </si>
  <si>
    <t>MP10493</t>
  </si>
  <si>
    <t>COCENTRADO VAINILLA DAWN</t>
  </si>
  <si>
    <t>DAWN</t>
  </si>
  <si>
    <t>MP10481</t>
  </si>
  <si>
    <t>GOMA XANTANA</t>
  </si>
  <si>
    <t>MABAKER &amp; CHEF</t>
  </si>
  <si>
    <t>ASEAL</t>
  </si>
  <si>
    <t>MP10494</t>
  </si>
  <si>
    <t>CMC</t>
  </si>
  <si>
    <t>UNIVERSAL DE ALIMENTOS</t>
  </si>
  <si>
    <t>MP10234</t>
  </si>
  <si>
    <t>LECHE POLVO INDUSTRIAL (SACO:25 KG)</t>
  </si>
  <si>
    <t>DOS PINOS</t>
  </si>
  <si>
    <t>MP10085</t>
  </si>
  <si>
    <t>BICARBONATO DE SODIO (PAQ:2.5 K)</t>
  </si>
  <si>
    <t>1, En una bolsa 17x25 empacar el azucar. Etiquetar</t>
  </si>
  <si>
    <t>2, En una bolsa 17x25 empacar las harinas, concentrado,cmc, leche en polvo y la goma. Etiquetar</t>
  </si>
  <si>
    <t>3, En una bolsa 8*12 pesar el preservante y el bicarbonato (se debe pesar justo antes de su uso)</t>
  </si>
  <si>
    <t>Revision #2: Ajuste en la cantidad de goma xantana y cmc</t>
  </si>
  <si>
    <t>PTI00216 Torta Fiestera Walmart ambiente</t>
  </si>
  <si>
    <t>SE00624 Rosquete easy vainilla BC 300g</t>
  </si>
  <si>
    <t>SE00624</t>
  </si>
  <si>
    <t>Diferencia en costo mano obra , gif y la quequera</t>
  </si>
  <si>
    <t>77 mano obra</t>
  </si>
  <si>
    <t>64 gif</t>
  </si>
  <si>
    <t>ESP-RE-DEF-107</t>
  </si>
  <si>
    <t>Nathalie Hume , chef</t>
  </si>
  <si>
    <t>3/4 taza por capa</t>
  </si>
  <si>
    <t>SE00639</t>
  </si>
  <si>
    <t>CREMA CHANTILLY AMARILLA BUCCA</t>
  </si>
  <si>
    <t>marmoleado</t>
  </si>
  <si>
    <t>SE00640</t>
  </si>
  <si>
    <t>Boquilla 2c</t>
  </si>
  <si>
    <t>1 cucharada</t>
  </si>
  <si>
    <t>Orla # 10 Bucca</t>
  </si>
  <si>
    <t>1.- Partir los rosquetes por la mitad y rellenar dos capas con 3/4 taza de crema dulce de leche.</t>
  </si>
  <si>
    <t>3.- Con boquilla 2C hacer al borde un circulo de conchas con la crema amarilla, luego la verde y luego la morada barnie, al centro colocar la borona de queque.</t>
  </si>
  <si>
    <t>Revicion 2- Actualizacion post corrida.</t>
  </si>
  <si>
    <t>Revision #3: Se agrega orla azul</t>
  </si>
  <si>
    <t>Revision #4: Reingenieria de torta, se cambia el color naranja a amarillo y se aumenta relleno.</t>
  </si>
  <si>
    <t>Marmoleado</t>
  </si>
  <si>
    <t>3.- Con boquilla 2C hacer al borde un circulo de conchas con la crema naranja, luego la verde y luego la morada barnie, al centro colocar la borona de queque.</t>
  </si>
  <si>
    <t>905000059</t>
  </si>
  <si>
    <t>MODI 77 COLONES X MIN</t>
  </si>
  <si>
    <t xml:space="preserve">Gf 64 colones min </t>
  </si>
  <si>
    <t>BORONA VAINILLA BUCCA</t>
  </si>
  <si>
    <t>se00624</t>
  </si>
  <si>
    <t>SE00667</t>
  </si>
  <si>
    <t>2.- Encremar con crema chantilly blanca de forma lisa y marmolear con la crema naranja.</t>
  </si>
  <si>
    <t>Boquilla 822</t>
  </si>
  <si>
    <t>3.- Con boquilla 822 hacer al borde un circulo de conchas con la crema naranja, luego la verde y luego la morada barnie, al centro colocar la borona de queque.</t>
  </si>
  <si>
    <t>Rosquete easy vainilla BC 350g</t>
  </si>
  <si>
    <t>SE00723</t>
  </si>
  <si>
    <t>Juan Pablo Brenes chef</t>
  </si>
  <si>
    <t>EM10443</t>
  </si>
  <si>
    <t>Etiqueta Blanca Lisa Bopp Brillante</t>
  </si>
  <si>
    <t>Etiqueta torta fiestera Suli</t>
  </si>
  <si>
    <t>PTI00273 Torta Fiestera Suli</t>
  </si>
  <si>
    <t>EM10488</t>
  </si>
  <si>
    <t>ESP-RE-DEF-049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</si>
</sst>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74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0"/>
      <color theme="1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color rgb="FF000000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9.85"/>
      <color indexed="8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4"/>
      <name val="Times New Roman"/>
      <family val="1"/>
    </font>
    <font>
      <b/>
      <sz val="11"/>
      <color rgb="FFFF0000"/>
      <name val="Arial"/>
      <family val="2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rgb="FF000000"/>
      <name val="Century Gothic"/>
      <family val="2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20"/>
      <name val="Century Gothic"/>
      <family val="2"/>
    </font>
    <font>
      <b/>
      <sz val="12"/>
      <color rgb="FFFF0000"/>
      <name val="Century Gothic"/>
      <family val="2"/>
    </font>
    <font>
      <sz val="14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7" fillId="0" borderId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995">
    <xf numFmtId="0" fontId="0" fillId="0" borderId="0" xfId="0"/>
    <xf numFmtId="0" fontId="3" fillId="0" borderId="0" xfId="1"/>
    <xf numFmtId="0" fontId="2" fillId="3" borderId="0" xfId="1" applyFont="1" applyFill="1"/>
    <xf numFmtId="0" fontId="2" fillId="3" borderId="0" xfId="1" applyFont="1" applyFill="1" applyAlignment="1">
      <alignment horizontal="left" indent="1"/>
    </xf>
    <xf numFmtId="9" fontId="2" fillId="3" borderId="0" xfId="2" applyFont="1" applyFill="1"/>
    <xf numFmtId="0" fontId="2" fillId="3" borderId="0" xfId="0" applyFont="1" applyFill="1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1" fillId="0" borderId="11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6" xfId="0" applyFont="1" applyFill="1" applyBorder="1"/>
    <xf numFmtId="164" fontId="2" fillId="3" borderId="26" xfId="0" applyNumberFormat="1" applyFont="1" applyFill="1" applyBorder="1" applyAlignment="1">
      <alignment horizontal="center" wrapText="1"/>
    </xf>
    <xf numFmtId="1" fontId="2" fillId="3" borderId="26" xfId="0" applyNumberFormat="1" applyFont="1" applyFill="1" applyBorder="1" applyAlignment="1">
      <alignment horizontal="center"/>
    </xf>
    <xf numFmtId="49" fontId="5" fillId="3" borderId="27" xfId="0" applyNumberFormat="1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0" borderId="1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0" xfId="0" applyFont="1" applyBorder="1"/>
    <xf numFmtId="1" fontId="2" fillId="0" borderId="10" xfId="0" applyNumberFormat="1" applyFont="1" applyBorder="1" applyAlignment="1">
      <alignment horizontal="center" wrapText="1"/>
    </xf>
    <xf numFmtId="1" fontId="2" fillId="5" borderId="11" xfId="0" applyNumberFormat="1" applyFont="1" applyFill="1" applyBorder="1" applyAlignment="1">
      <alignment horizontal="center"/>
    </xf>
    <xf numFmtId="1" fontId="2" fillId="0" borderId="20" xfId="0" applyNumberFormat="1" applyFont="1" applyBorder="1" applyAlignment="1">
      <alignment horizontal="center" wrapText="1"/>
    </xf>
    <xf numFmtId="1" fontId="2" fillId="0" borderId="8" xfId="0" applyNumberFormat="1" applyFont="1" applyBorder="1" applyAlignment="1">
      <alignment horizontal="center" wrapText="1"/>
    </xf>
    <xf numFmtId="0" fontId="3" fillId="0" borderId="0" xfId="3"/>
    <xf numFmtId="0" fontId="2" fillId="5" borderId="10" xfId="0" applyFont="1" applyFill="1" applyBorder="1" applyAlignment="1">
      <alignment horizontal="center"/>
    </xf>
    <xf numFmtId="1" fontId="2" fillId="5" borderId="11" xfId="3" applyNumberFormat="1" applyFont="1" applyFill="1" applyBorder="1" applyAlignment="1">
      <alignment horizontal="center" wrapText="1"/>
    </xf>
    <xf numFmtId="0" fontId="2" fillId="5" borderId="21" xfId="0" applyFont="1" applyFill="1" applyBorder="1" applyAlignment="1">
      <alignment horizontal="center"/>
    </xf>
    <xf numFmtId="0" fontId="1" fillId="5" borderId="11" xfId="0" applyFont="1" applyFill="1" applyBorder="1"/>
    <xf numFmtId="0" fontId="1" fillId="5" borderId="12" xfId="0" applyFont="1" applyFill="1" applyBorder="1" applyAlignment="1">
      <alignment horizontal="center"/>
    </xf>
    <xf numFmtId="0" fontId="1" fillId="5" borderId="4" xfId="0" applyFont="1" applyFill="1" applyBorder="1"/>
    <xf numFmtId="1" fontId="2" fillId="5" borderId="8" xfId="0" applyNumberFormat="1" applyFont="1" applyFill="1" applyBorder="1" applyAlignment="1">
      <alignment horizontal="center" wrapText="1"/>
    </xf>
    <xf numFmtId="1" fontId="2" fillId="5" borderId="8" xfId="0" applyNumberFormat="1" applyFont="1" applyFill="1" applyBorder="1" applyAlignment="1">
      <alignment horizontal="center"/>
    </xf>
    <xf numFmtId="0" fontId="1" fillId="5" borderId="10" xfId="0" applyFont="1" applyFill="1" applyBorder="1"/>
    <xf numFmtId="1" fontId="2" fillId="5" borderId="20" xfId="0" applyNumberFormat="1" applyFont="1" applyFill="1" applyBorder="1" applyAlignment="1">
      <alignment horizontal="center" wrapText="1"/>
    </xf>
    <xf numFmtId="12" fontId="2" fillId="5" borderId="11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 wrapText="1"/>
    </xf>
    <xf numFmtId="0" fontId="1" fillId="0" borderId="13" xfId="0" applyFont="1" applyBorder="1"/>
    <xf numFmtId="1" fontId="2" fillId="0" borderId="23" xfId="0" applyNumberFormat="1" applyFont="1" applyBorder="1" applyAlignment="1">
      <alignment horizontal="center" wrapText="1"/>
    </xf>
    <xf numFmtId="1" fontId="2" fillId="0" borderId="14" xfId="0" applyNumberFormat="1" applyFont="1" applyBorder="1" applyAlignment="1">
      <alignment horizontal="center" wrapText="1"/>
    </xf>
    <xf numFmtId="0" fontId="2" fillId="0" borderId="24" xfId="0" applyFont="1" applyBorder="1" applyAlignment="1">
      <alignment horizontal="center"/>
    </xf>
    <xf numFmtId="0" fontId="4" fillId="4" borderId="29" xfId="0" applyFont="1" applyFill="1" applyBorder="1" applyAlignment="1">
      <alignment horizontal="center" vertical="center"/>
    </xf>
    <xf numFmtId="1" fontId="4" fillId="4" borderId="28" xfId="0" applyNumberFormat="1" applyFont="1" applyFill="1" applyBorder="1" applyAlignment="1">
      <alignment horizontal="center" vertical="center" wrapText="1"/>
    </xf>
    <xf numFmtId="1" fontId="4" fillId="4" borderId="28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4" fontId="8" fillId="3" borderId="31" xfId="4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right"/>
    </xf>
    <xf numFmtId="0" fontId="1" fillId="5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49" fontId="5" fillId="3" borderId="26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" fontId="2" fillId="7" borderId="14" xfId="0" applyNumberFormat="1" applyFont="1" applyFill="1" applyBorder="1" applyAlignment="1">
      <alignment horizontal="center"/>
    </xf>
    <xf numFmtId="0" fontId="6" fillId="5" borderId="11" xfId="0" applyFont="1" applyFill="1" applyBorder="1"/>
    <xf numFmtId="0" fontId="13" fillId="0" borderId="12" xfId="0" applyFont="1" applyBorder="1" applyAlignment="1">
      <alignment horizontal="center"/>
    </xf>
    <xf numFmtId="0" fontId="3" fillId="0" borderId="11" xfId="0" applyFont="1" applyBorder="1"/>
    <xf numFmtId="0" fontId="13" fillId="0" borderId="11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5" fillId="0" borderId="11" xfId="0" applyFont="1" applyBorder="1" applyAlignment="1">
      <alignment horizontal="left"/>
    </xf>
    <xf numFmtId="0" fontId="14" fillId="0" borderId="21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4" fillId="0" borderId="11" xfId="0" applyFont="1" applyBorder="1" applyAlignment="1">
      <alignment horizontal="center"/>
    </xf>
    <xf numFmtId="0" fontId="14" fillId="0" borderId="11" xfId="0" applyFont="1" applyBorder="1"/>
    <xf numFmtId="0" fontId="13" fillId="0" borderId="21" xfId="0" applyFont="1" applyBorder="1" applyAlignment="1">
      <alignment horizontal="center"/>
    </xf>
    <xf numFmtId="0" fontId="14" fillId="5" borderId="0" xfId="0" applyFont="1" applyFill="1" applyAlignment="1">
      <alignment vertical="center"/>
    </xf>
    <xf numFmtId="0" fontId="15" fillId="8" borderId="11" xfId="0" applyFont="1" applyFill="1" applyBorder="1" applyAlignment="1">
      <alignment horizontal="center" vertical="center" wrapText="1"/>
    </xf>
    <xf numFmtId="0" fontId="15" fillId="8" borderId="1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3" fontId="15" fillId="0" borderId="11" xfId="5" applyFont="1" applyFill="1" applyBorder="1" applyAlignment="1">
      <alignment horizontal="center" vertical="center"/>
    </xf>
    <xf numFmtId="43" fontId="15" fillId="0" borderId="0" xfId="5" applyFont="1" applyFill="1" applyBorder="1" applyAlignment="1">
      <alignment horizontal="center" vertical="center"/>
    </xf>
    <xf numFmtId="43" fontId="18" fillId="0" borderId="0" xfId="5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67" fontId="21" fillId="0" borderId="0" xfId="0" applyNumberFormat="1" applyFont="1" applyAlignment="1">
      <alignment horizontal="center" vertical="center" wrapText="1"/>
    </xf>
    <xf numFmtId="0" fontId="15" fillId="9" borderId="47" xfId="0" applyFont="1" applyFill="1" applyBorder="1" applyAlignment="1">
      <alignment horizontal="center" vertical="center"/>
    </xf>
    <xf numFmtId="0" fontId="15" fillId="9" borderId="48" xfId="0" applyFont="1" applyFill="1" applyBorder="1" applyAlignment="1">
      <alignment horizontal="center" vertical="center"/>
    </xf>
    <xf numFmtId="0" fontId="15" fillId="9" borderId="48" xfId="0" applyFont="1" applyFill="1" applyBorder="1" applyAlignment="1">
      <alignment horizontal="center" vertical="center" wrapText="1"/>
    </xf>
    <xf numFmtId="0" fontId="15" fillId="9" borderId="49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2" fillId="0" borderId="0" xfId="0" applyNumberFormat="1" applyFont="1" applyAlignment="1">
      <alignment horizontal="center"/>
    </xf>
    <xf numFmtId="4" fontId="22" fillId="0" borderId="0" xfId="6" applyNumberFormat="1" applyFont="1" applyFill="1" applyAlignment="1">
      <alignment horizontal="center" vertical="center"/>
    </xf>
    <xf numFmtId="4" fontId="15" fillId="0" borderId="0" xfId="6" applyNumberFormat="1" applyFont="1" applyFill="1" applyAlignment="1">
      <alignment horizontal="center" vertical="center"/>
    </xf>
    <xf numFmtId="10" fontId="15" fillId="0" borderId="0" xfId="7" applyNumberFormat="1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10" fontId="17" fillId="0" borderId="0" xfId="7" applyNumberFormat="1" applyFont="1" applyFill="1" applyAlignment="1">
      <alignment vertical="center"/>
    </xf>
    <xf numFmtId="0" fontId="14" fillId="0" borderId="0" xfId="0" applyFont="1"/>
    <xf numFmtId="49" fontId="15" fillId="0" borderId="0" xfId="0" applyNumberFormat="1" applyFont="1" applyAlignment="1">
      <alignment horizontal="center"/>
    </xf>
    <xf numFmtId="168" fontId="14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43" fontId="14" fillId="0" borderId="0" xfId="5" applyFont="1" applyFill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15" fillId="0" borderId="0" xfId="5" applyNumberFormat="1" applyFont="1" applyFill="1" applyAlignment="1">
      <alignment vertical="center"/>
    </xf>
    <xf numFmtId="43" fontId="24" fillId="0" borderId="0" xfId="5" applyFont="1" applyFill="1" applyAlignment="1">
      <alignment horizontal="center" vertical="center"/>
    </xf>
    <xf numFmtId="10" fontId="17" fillId="9" borderId="50" xfId="7" applyNumberFormat="1" applyFont="1" applyFill="1" applyBorder="1" applyAlignment="1">
      <alignment vertical="center"/>
    </xf>
    <xf numFmtId="0" fontId="14" fillId="9" borderId="45" xfId="0" applyFont="1" applyFill="1" applyBorder="1" applyAlignment="1">
      <alignment vertical="center"/>
    </xf>
    <xf numFmtId="0" fontId="14" fillId="9" borderId="50" xfId="0" applyFont="1" applyFill="1" applyBorder="1" applyAlignment="1">
      <alignment vertical="center"/>
    </xf>
    <xf numFmtId="43" fontId="24" fillId="9" borderId="51" xfId="5" applyFont="1" applyFill="1" applyBorder="1" applyAlignment="1">
      <alignment horizontal="center" vertical="center"/>
    </xf>
    <xf numFmtId="43" fontId="26" fillId="0" borderId="0" xfId="5" applyFont="1" applyFill="1" applyBorder="1" applyAlignment="1">
      <alignment horizontal="right"/>
    </xf>
    <xf numFmtId="0" fontId="14" fillId="9" borderId="51" xfId="0" applyFont="1" applyFill="1" applyBorder="1" applyAlignment="1">
      <alignment vertical="center"/>
    </xf>
    <xf numFmtId="10" fontId="17" fillId="9" borderId="51" xfId="7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0" fontId="25" fillId="0" borderId="0" xfId="0" applyFont="1"/>
    <xf numFmtId="9" fontId="25" fillId="0" borderId="0" xfId="0" applyNumberFormat="1" applyFont="1"/>
    <xf numFmtId="9" fontId="27" fillId="0" borderId="0" xfId="7" applyFont="1" applyFill="1" applyAlignment="1">
      <alignment horizontal="center"/>
    </xf>
    <xf numFmtId="0" fontId="24" fillId="0" borderId="0" xfId="0" applyFont="1" applyAlignment="1">
      <alignment horizontal="right" vertical="center"/>
    </xf>
    <xf numFmtId="4" fontId="24" fillId="0" borderId="0" xfId="5" applyNumberFormat="1" applyFont="1" applyFill="1" applyAlignment="1">
      <alignment vertical="center"/>
    </xf>
    <xf numFmtId="4" fontId="24" fillId="0" borderId="0" xfId="6" applyNumberFormat="1" applyFont="1" applyAlignment="1">
      <alignment horizontal="center" vertical="center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29" fillId="0" borderId="16" xfId="0" applyFont="1" applyBorder="1" applyAlignment="1">
      <alignment horizontal="right"/>
    </xf>
    <xf numFmtId="43" fontId="30" fillId="6" borderId="52" xfId="5" applyFont="1" applyFill="1" applyBorder="1" applyAlignment="1">
      <alignment horizontal="right"/>
    </xf>
    <xf numFmtId="43" fontId="30" fillId="0" borderId="0" xfId="5" applyFont="1" applyFill="1" applyBorder="1" applyAlignment="1">
      <alignment horizontal="right"/>
    </xf>
    <xf numFmtId="43" fontId="15" fillId="0" borderId="11" xfId="5" applyFont="1" applyFill="1" applyBorder="1" applyAlignment="1">
      <alignment vertical="center"/>
    </xf>
    <xf numFmtId="0" fontId="31" fillId="0" borderId="0" xfId="0" applyFont="1" applyAlignment="1">
      <alignment horizontal="left" vertical="center"/>
    </xf>
    <xf numFmtId="4" fontId="24" fillId="0" borderId="0" xfId="6" applyNumberFormat="1" applyFont="1" applyFill="1" applyAlignment="1">
      <alignment horizontal="center" vertical="center"/>
    </xf>
    <xf numFmtId="10" fontId="32" fillId="0" borderId="0" xfId="7" applyNumberFormat="1" applyFont="1" applyFill="1" applyAlignment="1">
      <alignment horizontal="right"/>
    </xf>
    <xf numFmtId="169" fontId="15" fillId="9" borderId="11" xfId="5" applyNumberFormat="1" applyFont="1" applyFill="1" applyBorder="1" applyAlignment="1">
      <alignment vertical="center"/>
    </xf>
    <xf numFmtId="4" fontId="14" fillId="0" borderId="0" xfId="0" applyNumberFormat="1" applyFont="1" applyAlignment="1">
      <alignment horizontal="center" vertical="center"/>
    </xf>
    <xf numFmtId="43" fontId="15" fillId="10" borderId="11" xfId="5" applyFont="1" applyFill="1" applyBorder="1" applyAlignment="1">
      <alignment vertical="center"/>
    </xf>
    <xf numFmtId="166" fontId="33" fillId="0" borderId="0" xfId="0" applyNumberFormat="1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7" fillId="9" borderId="53" xfId="0" applyFont="1" applyFill="1" applyBorder="1" applyAlignment="1">
      <alignment vertical="center"/>
    </xf>
    <xf numFmtId="0" fontId="35" fillId="0" borderId="0" xfId="0" applyFont="1" applyAlignment="1">
      <alignment vertical="center"/>
    </xf>
    <xf numFmtId="2" fontId="32" fillId="0" borderId="0" xfId="5" applyNumberFormat="1" applyFont="1" applyFill="1" applyBorder="1" applyAlignment="1">
      <alignment horizontal="center"/>
    </xf>
    <xf numFmtId="2" fontId="29" fillId="0" borderId="0" xfId="5" applyNumberFormat="1" applyFont="1" applyFill="1" applyBorder="1" applyAlignment="1">
      <alignment horizontal="center"/>
    </xf>
    <xf numFmtId="0" fontId="14" fillId="9" borderId="53" xfId="0" applyFont="1" applyFill="1" applyBorder="1" applyAlignment="1">
      <alignment vertical="center"/>
    </xf>
    <xf numFmtId="10" fontId="14" fillId="0" borderId="0" xfId="7" applyNumberFormat="1" applyFont="1" applyFill="1" applyAlignment="1">
      <alignment vertical="center"/>
    </xf>
    <xf numFmtId="4" fontId="14" fillId="0" borderId="0" xfId="5" applyNumberFormat="1" applyFont="1" applyFill="1" applyAlignment="1">
      <alignment vertical="center"/>
    </xf>
    <xf numFmtId="43" fontId="30" fillId="9" borderId="45" xfId="5" applyFont="1" applyFill="1" applyBorder="1" applyAlignment="1">
      <alignment horizontal="right"/>
    </xf>
    <xf numFmtId="0" fontId="15" fillId="9" borderId="46" xfId="0" applyFont="1" applyFill="1" applyBorder="1" applyAlignment="1">
      <alignment horizontal="right" vertical="center"/>
    </xf>
    <xf numFmtId="10" fontId="36" fillId="0" borderId="0" xfId="5" applyNumberFormat="1" applyFont="1" applyFill="1" applyAlignment="1">
      <alignment vertical="center"/>
    </xf>
    <xf numFmtId="10" fontId="17" fillId="0" borderId="0" xfId="7" applyNumberFormat="1" applyFont="1" applyFill="1" applyBorder="1" applyAlignment="1">
      <alignment vertical="center"/>
    </xf>
    <xf numFmtId="166" fontId="37" fillId="0" borderId="0" xfId="0" applyNumberFormat="1" applyFont="1" applyAlignment="1">
      <alignment horizontal="center" vertical="center"/>
    </xf>
    <xf numFmtId="0" fontId="14" fillId="5" borderId="52" xfId="0" applyFont="1" applyFill="1" applyBorder="1" applyAlignment="1">
      <alignment horizontal="center" vertical="center"/>
    </xf>
    <xf numFmtId="43" fontId="38" fillId="0" borderId="0" xfId="5" applyFont="1" applyFill="1" applyAlignment="1">
      <alignment vertical="center"/>
    </xf>
    <xf numFmtId="4" fontId="39" fillId="0" borderId="0" xfId="6" applyNumberFormat="1" applyFont="1" applyFill="1" applyAlignment="1">
      <alignment horizontal="center" vertical="center" wrapText="1"/>
    </xf>
    <xf numFmtId="9" fontId="14" fillId="0" borderId="0" xfId="5" applyNumberFormat="1" applyFont="1" applyFill="1" applyAlignment="1">
      <alignment vertical="center"/>
    </xf>
    <xf numFmtId="0" fontId="2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4" fontId="23" fillId="0" borderId="0" xfId="5" applyNumberFormat="1" applyFont="1" applyFill="1" applyAlignment="1">
      <alignment vertical="center"/>
    </xf>
    <xf numFmtId="4" fontId="15" fillId="12" borderId="52" xfId="5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43" fontId="40" fillId="0" borderId="0" xfId="5" applyFont="1" applyFill="1" applyAlignment="1">
      <alignment vertical="center"/>
    </xf>
    <xf numFmtId="9" fontId="40" fillId="0" borderId="0" xfId="5" applyNumberFormat="1" applyFont="1" applyFill="1" applyAlignment="1">
      <alignment vertical="center"/>
    </xf>
    <xf numFmtId="4" fontId="15" fillId="0" borderId="0" xfId="5" applyNumberFormat="1" applyFont="1" applyFill="1" applyAlignment="1">
      <alignment horizontal="center" vertical="center"/>
    </xf>
    <xf numFmtId="10" fontId="33" fillId="0" borderId="0" xfId="7" applyNumberFormat="1" applyFont="1" applyFill="1" applyAlignment="1">
      <alignment vertical="center"/>
    </xf>
    <xf numFmtId="43" fontId="33" fillId="0" borderId="0" xfId="5" applyFont="1" applyFill="1" applyBorder="1" applyAlignment="1">
      <alignment vertical="center"/>
    </xf>
    <xf numFmtId="4" fontId="14" fillId="0" borderId="0" xfId="0" applyNumberFormat="1" applyFont="1" applyAlignment="1">
      <alignment horizontal="center"/>
    </xf>
    <xf numFmtId="43" fontId="14" fillId="0" borderId="0" xfId="5" applyFont="1" applyFill="1" applyBorder="1"/>
    <xf numFmtId="10" fontId="33" fillId="0" borderId="0" xfId="7" applyNumberFormat="1" applyFont="1" applyFill="1" applyBorder="1" applyAlignment="1">
      <alignment vertical="center"/>
    </xf>
    <xf numFmtId="0" fontId="33" fillId="0" borderId="0" xfId="0" applyFont="1" applyAlignment="1">
      <alignment horizontal="right"/>
    </xf>
    <xf numFmtId="43" fontId="14" fillId="0" borderId="0" xfId="5" applyFont="1" applyFill="1" applyBorder="1" applyAlignment="1">
      <alignment horizontal="center"/>
    </xf>
    <xf numFmtId="9" fontId="43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166" fontId="15" fillId="0" borderId="0" xfId="0" applyNumberFormat="1" applyFont="1"/>
    <xf numFmtId="0" fontId="3" fillId="7" borderId="0" xfId="0" applyFont="1" applyFill="1" applyAlignment="1">
      <alignment horizontal="center"/>
    </xf>
    <xf numFmtId="0" fontId="3" fillId="7" borderId="0" xfId="0" applyFont="1" applyFill="1"/>
    <xf numFmtId="0" fontId="3" fillId="7" borderId="12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12" fillId="7" borderId="11" xfId="0" applyFont="1" applyFill="1" applyBorder="1"/>
    <xf numFmtId="0" fontId="13" fillId="7" borderId="12" xfId="0" applyFont="1" applyFill="1" applyBorder="1" applyAlignment="1">
      <alignment horizontal="center"/>
    </xf>
    <xf numFmtId="0" fontId="14" fillId="7" borderId="8" xfId="0" applyFont="1" applyFill="1" applyBorder="1"/>
    <xf numFmtId="0" fontId="2" fillId="7" borderId="21" xfId="0" applyFont="1" applyFill="1" applyBorder="1" applyAlignment="1">
      <alignment horizontal="center"/>
    </xf>
    <xf numFmtId="1" fontId="2" fillId="7" borderId="8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2" fillId="7" borderId="35" xfId="0" applyFont="1" applyFill="1" applyBorder="1" applyAlignment="1">
      <alignment horizontal="center"/>
    </xf>
    <xf numFmtId="1" fontId="4" fillId="7" borderId="8" xfId="0" applyNumberFormat="1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11" xfId="0" applyFont="1" applyFill="1" applyBorder="1"/>
    <xf numFmtId="0" fontId="3" fillId="13" borderId="0" xfId="0" applyFont="1" applyFill="1" applyAlignment="1">
      <alignment horizontal="center"/>
    </xf>
    <xf numFmtId="0" fontId="3" fillId="13" borderId="0" xfId="0" applyFont="1" applyFill="1"/>
    <xf numFmtId="0" fontId="0" fillId="0" borderId="0" xfId="0" applyAlignment="1">
      <alignment horizontal="center"/>
    </xf>
    <xf numFmtId="0" fontId="2" fillId="5" borderId="35" xfId="0" applyFont="1" applyFill="1" applyBorder="1" applyAlignment="1">
      <alignment horizontal="center"/>
    </xf>
    <xf numFmtId="1" fontId="4" fillId="5" borderId="8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14" borderId="0" xfId="0" applyFont="1" applyFill="1" applyAlignment="1">
      <alignment horizontal="center"/>
    </xf>
    <xf numFmtId="0" fontId="4" fillId="3" borderId="14" xfId="4" applyFont="1" applyFill="1" applyBorder="1" applyAlignment="1">
      <alignment horizontal="right"/>
    </xf>
    <xf numFmtId="0" fontId="2" fillId="3" borderId="13" xfId="4" applyFont="1" applyFill="1" applyBorder="1" applyAlignment="1">
      <alignment horizontal="center"/>
    </xf>
    <xf numFmtId="0" fontId="4" fillId="3" borderId="11" xfId="4" applyFont="1" applyFill="1" applyBorder="1" applyAlignment="1">
      <alignment horizontal="right"/>
    </xf>
    <xf numFmtId="49" fontId="2" fillId="3" borderId="10" xfId="4" applyNumberFormat="1" applyFont="1" applyFill="1" applyBorder="1" applyAlignment="1">
      <alignment horizontal="center"/>
    </xf>
    <xf numFmtId="0" fontId="2" fillId="3" borderId="8" xfId="4" applyFont="1" applyFill="1" applyBorder="1" applyAlignment="1">
      <alignment horizontal="right"/>
    </xf>
    <xf numFmtId="0" fontId="2" fillId="3" borderId="11" xfId="4" applyFont="1" applyFill="1" applyBorder="1" applyAlignment="1">
      <alignment horizontal="right"/>
    </xf>
    <xf numFmtId="0" fontId="4" fillId="4" borderId="13" xfId="8" applyFont="1" applyFill="1" applyBorder="1" applyAlignment="1">
      <alignment horizontal="center" vertical="center" wrapText="1"/>
    </xf>
    <xf numFmtId="1" fontId="4" fillId="4" borderId="2" xfId="8" applyNumberFormat="1" applyFont="1" applyFill="1" applyBorder="1" applyAlignment="1">
      <alignment horizontal="center"/>
    </xf>
    <xf numFmtId="1" fontId="4" fillId="4" borderId="2" xfId="8" applyNumberFormat="1" applyFont="1" applyFill="1" applyBorder="1" applyAlignment="1">
      <alignment horizontal="center" wrapText="1"/>
    </xf>
    <xf numFmtId="0" fontId="4" fillId="4" borderId="1" xfId="8" applyFont="1" applyFill="1" applyBorder="1" applyAlignment="1">
      <alignment horizontal="center"/>
    </xf>
    <xf numFmtId="49" fontId="13" fillId="0" borderId="8" xfId="8" applyNumberFormat="1" applyFont="1" applyBorder="1" applyAlignment="1">
      <alignment horizontal="center"/>
    </xf>
    <xf numFmtId="0" fontId="3" fillId="0" borderId="8" xfId="0" applyFont="1" applyBorder="1"/>
    <xf numFmtId="0" fontId="13" fillId="0" borderId="8" xfId="8" applyFont="1" applyBorder="1" applyAlignment="1">
      <alignment horizontal="center" vertical="center"/>
    </xf>
    <xf numFmtId="1" fontId="44" fillId="0" borderId="8" xfId="8" applyNumberFormat="1" applyFont="1" applyBorder="1" applyAlignment="1">
      <alignment horizontal="center"/>
    </xf>
    <xf numFmtId="1" fontId="13" fillId="0" borderId="8" xfId="8" applyNumberFormat="1" applyFont="1" applyBorder="1" applyAlignment="1">
      <alignment horizontal="center"/>
    </xf>
    <xf numFmtId="0" fontId="13" fillId="0" borderId="8" xfId="8" applyFont="1" applyBorder="1" applyAlignment="1">
      <alignment horizontal="center"/>
    </xf>
    <xf numFmtId="0" fontId="13" fillId="0" borderId="7" xfId="8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13" fillId="0" borderId="11" xfId="8" applyFont="1" applyBorder="1" applyAlignment="1">
      <alignment horizontal="center"/>
    </xf>
    <xf numFmtId="1" fontId="44" fillId="0" borderId="11" xfId="8" applyNumberFormat="1" applyFont="1" applyBorder="1" applyAlignment="1">
      <alignment horizontal="center"/>
    </xf>
    <xf numFmtId="1" fontId="13" fillId="0" borderId="11" xfId="8" applyNumberFormat="1" applyFont="1" applyBorder="1" applyAlignment="1">
      <alignment horizontal="center"/>
    </xf>
    <xf numFmtId="165" fontId="13" fillId="0" borderId="11" xfId="8" applyNumberFormat="1" applyFont="1" applyBorder="1" applyAlignment="1">
      <alignment horizontal="center"/>
    </xf>
    <xf numFmtId="0" fontId="13" fillId="0" borderId="10" xfId="8" applyFont="1" applyBorder="1" applyAlignment="1">
      <alignment horizontal="center"/>
    </xf>
    <xf numFmtId="49" fontId="13" fillId="0" borderId="11" xfId="8" applyNumberFormat="1" applyFont="1" applyBorder="1" applyAlignment="1">
      <alignment horizontal="center"/>
    </xf>
    <xf numFmtId="49" fontId="14" fillId="0" borderId="11" xfId="8" applyNumberFormat="1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2" fillId="0" borderId="12" xfId="8" quotePrefix="1" applyFont="1" applyBorder="1" applyAlignment="1">
      <alignment horizontal="center"/>
    </xf>
    <xf numFmtId="0" fontId="2" fillId="0" borderId="21" xfId="8" quotePrefix="1" applyFont="1" applyBorder="1" applyAlignment="1">
      <alignment horizontal="center"/>
    </xf>
    <xf numFmtId="0" fontId="2" fillId="0" borderId="11" xfId="8" quotePrefix="1" applyFont="1" applyBorder="1"/>
    <xf numFmtId="0" fontId="13" fillId="0" borderId="11" xfId="8" applyFont="1" applyBorder="1"/>
    <xf numFmtId="1" fontId="2" fillId="0" borderId="11" xfId="8" applyNumberFormat="1" applyFont="1" applyBorder="1" applyAlignment="1">
      <alignment horizontal="center" wrapText="1"/>
    </xf>
    <xf numFmtId="0" fontId="2" fillId="0" borderId="10" xfId="8" applyFont="1" applyBorder="1" applyAlignment="1">
      <alignment horizontal="center"/>
    </xf>
    <xf numFmtId="49" fontId="5" fillId="3" borderId="17" xfId="8" applyNumberFormat="1" applyFont="1" applyFill="1" applyBorder="1" applyAlignment="1">
      <alignment horizontal="center" vertical="center"/>
    </xf>
    <xf numFmtId="49" fontId="5" fillId="3" borderId="0" xfId="8" applyNumberFormat="1" applyFont="1" applyFill="1" applyAlignment="1">
      <alignment horizontal="center" vertical="center"/>
    </xf>
    <xf numFmtId="0" fontId="3" fillId="0" borderId="0" xfId="8"/>
    <xf numFmtId="1" fontId="2" fillId="3" borderId="0" xfId="8" applyNumberFormat="1" applyFont="1" applyFill="1" applyAlignment="1">
      <alignment horizontal="center"/>
    </xf>
    <xf numFmtId="164" fontId="2" fillId="3" borderId="0" xfId="8" applyNumberFormat="1" applyFont="1" applyFill="1" applyAlignment="1">
      <alignment horizontal="center" wrapText="1"/>
    </xf>
    <xf numFmtId="0" fontId="2" fillId="3" borderId="16" xfId="8" applyFont="1" applyFill="1" applyBorder="1" applyAlignment="1">
      <alignment horizontal="center"/>
    </xf>
    <xf numFmtId="0" fontId="2" fillId="4" borderId="44" xfId="8" applyFont="1" applyFill="1" applyBorder="1" applyAlignment="1">
      <alignment horizontal="center"/>
    </xf>
    <xf numFmtId="0" fontId="2" fillId="4" borderId="45" xfId="8" applyFont="1" applyFill="1" applyBorder="1" applyAlignment="1">
      <alignment horizontal="center"/>
    </xf>
    <xf numFmtId="0" fontId="2" fillId="4" borderId="45" xfId="8" applyFont="1" applyFill="1" applyBorder="1"/>
    <xf numFmtId="0" fontId="4" fillId="4" borderId="45" xfId="8" applyFont="1" applyFill="1" applyBorder="1" applyAlignment="1">
      <alignment horizontal="center"/>
    </xf>
    <xf numFmtId="1" fontId="4" fillId="4" borderId="45" xfId="8" applyNumberFormat="1" applyFont="1" applyFill="1" applyBorder="1" applyAlignment="1">
      <alignment horizontal="center"/>
    </xf>
    <xf numFmtId="164" fontId="2" fillId="4" borderId="45" xfId="8" applyNumberFormat="1" applyFont="1" applyFill="1" applyBorder="1" applyAlignment="1">
      <alignment horizontal="center" wrapText="1"/>
    </xf>
    <xf numFmtId="0" fontId="2" fillId="4" borderId="46" xfId="8" applyFont="1" applyFill="1" applyBorder="1" applyAlignment="1">
      <alignment horizontal="center"/>
    </xf>
    <xf numFmtId="1" fontId="4" fillId="0" borderId="8" xfId="8" applyNumberFormat="1" applyFont="1" applyBorder="1" applyAlignment="1">
      <alignment horizontal="center"/>
    </xf>
    <xf numFmtId="0" fontId="2" fillId="0" borderId="56" xfId="8" applyFont="1" applyBorder="1" applyAlignment="1">
      <alignment horizontal="center"/>
    </xf>
    <xf numFmtId="0" fontId="2" fillId="0" borderId="11" xfId="8" applyFont="1" applyBorder="1" applyAlignment="1">
      <alignment horizontal="center"/>
    </xf>
    <xf numFmtId="1" fontId="2" fillId="0" borderId="11" xfId="8" applyNumberFormat="1" applyFont="1" applyBorder="1" applyAlignment="1">
      <alignment horizontal="center"/>
    </xf>
    <xf numFmtId="1" fontId="2" fillId="0" borderId="2" xfId="8" applyNumberFormat="1" applyFont="1" applyBorder="1" applyAlignment="1">
      <alignment horizontal="center"/>
    </xf>
    <xf numFmtId="0" fontId="2" fillId="0" borderId="2" xfId="8" applyFont="1" applyBorder="1" applyAlignment="1">
      <alignment horizontal="center"/>
    </xf>
    <xf numFmtId="10" fontId="15" fillId="0" borderId="0" xfId="2" applyNumberFormat="1" applyFont="1" applyFill="1" applyAlignment="1">
      <alignment vertical="center"/>
    </xf>
    <xf numFmtId="10" fontId="17" fillId="0" borderId="0" xfId="2" applyNumberFormat="1" applyFont="1" applyFill="1" applyAlignment="1">
      <alignment vertical="center"/>
    </xf>
    <xf numFmtId="10" fontId="17" fillId="9" borderId="50" xfId="2" applyNumberFormat="1" applyFont="1" applyFill="1" applyBorder="1" applyAlignment="1">
      <alignment vertical="center"/>
    </xf>
    <xf numFmtId="10" fontId="17" fillId="9" borderId="51" xfId="2" applyNumberFormat="1" applyFont="1" applyFill="1" applyBorder="1" applyAlignment="1">
      <alignment vertical="center"/>
    </xf>
    <xf numFmtId="9" fontId="27" fillId="0" borderId="0" xfId="2" applyFont="1" applyFill="1" applyAlignment="1">
      <alignment horizontal="center"/>
    </xf>
    <xf numFmtId="10" fontId="32" fillId="0" borderId="0" xfId="2" applyNumberFormat="1" applyFont="1" applyFill="1" applyAlignment="1">
      <alignment horizontal="right"/>
    </xf>
    <xf numFmtId="10" fontId="14" fillId="0" borderId="0" xfId="2" applyNumberFormat="1" applyFont="1" applyFill="1" applyAlignment="1">
      <alignment vertical="center"/>
    </xf>
    <xf numFmtId="10" fontId="17" fillId="0" borderId="0" xfId="2" applyNumberFormat="1" applyFont="1" applyFill="1" applyBorder="1" applyAlignment="1">
      <alignment vertical="center"/>
    </xf>
    <xf numFmtId="10" fontId="33" fillId="0" borderId="0" xfId="2" applyNumberFormat="1" applyFont="1" applyFill="1" applyAlignment="1">
      <alignment vertical="center"/>
    </xf>
    <xf numFmtId="10" fontId="33" fillId="0" borderId="0" xfId="2" applyNumberFormat="1" applyFont="1" applyFill="1" applyBorder="1" applyAlignment="1">
      <alignment vertical="center"/>
    </xf>
    <xf numFmtId="0" fontId="3" fillId="15" borderId="0" xfId="0" applyFont="1" applyFill="1"/>
    <xf numFmtId="0" fontId="12" fillId="15" borderId="11" xfId="0" applyFont="1" applyFill="1" applyBorder="1"/>
    <xf numFmtId="0" fontId="14" fillId="15" borderId="8" xfId="0" applyFont="1" applyFill="1" applyBorder="1"/>
    <xf numFmtId="0" fontId="0" fillId="15" borderId="0" xfId="0" applyFill="1"/>
    <xf numFmtId="0" fontId="3" fillId="15" borderId="11" xfId="0" applyFont="1" applyFill="1" applyBorder="1"/>
    <xf numFmtId="0" fontId="3" fillId="16" borderId="0" xfId="0" applyFont="1" applyFill="1"/>
    <xf numFmtId="0" fontId="45" fillId="3" borderId="14" xfId="4" applyFont="1" applyFill="1" applyBorder="1" applyAlignment="1">
      <alignment horizontal="right"/>
    </xf>
    <xf numFmtId="0" fontId="3" fillId="3" borderId="13" xfId="4" applyFont="1" applyFill="1" applyBorder="1" applyAlignment="1">
      <alignment horizontal="center"/>
    </xf>
    <xf numFmtId="0" fontId="3" fillId="3" borderId="0" xfId="0" applyFont="1" applyFill="1"/>
    <xf numFmtId="0" fontId="45" fillId="3" borderId="11" xfId="4" applyFont="1" applyFill="1" applyBorder="1" applyAlignment="1">
      <alignment horizontal="right"/>
    </xf>
    <xf numFmtId="49" fontId="0" fillId="3" borderId="10" xfId="4" applyNumberFormat="1" applyFont="1" applyFill="1" applyBorder="1" applyAlignment="1">
      <alignment horizontal="center"/>
    </xf>
    <xf numFmtId="0" fontId="3" fillId="3" borderId="11" xfId="4" applyFont="1" applyFill="1" applyBorder="1" applyAlignment="1">
      <alignment horizontal="right"/>
    </xf>
    <xf numFmtId="0" fontId="3" fillId="3" borderId="2" xfId="4" applyFont="1" applyFill="1" applyBorder="1" applyAlignment="1">
      <alignment horizontal="right"/>
    </xf>
    <xf numFmtId="0" fontId="3" fillId="3" borderId="0" xfId="4" applyFont="1" applyFill="1" applyAlignment="1">
      <alignment horizontal="center"/>
    </xf>
    <xf numFmtId="0" fontId="3" fillId="3" borderId="0" xfId="4" applyFont="1" applyFill="1" applyAlignment="1">
      <alignment horizontal="right"/>
    </xf>
    <xf numFmtId="0" fontId="3" fillId="3" borderId="0" xfId="4" applyFont="1" applyFill="1" applyAlignment="1">
      <alignment horizontal="left"/>
    </xf>
    <xf numFmtId="0" fontId="45" fillId="3" borderId="0" xfId="4" applyFont="1" applyFill="1" applyAlignment="1">
      <alignment horizontal="right" vertical="top" wrapText="1"/>
    </xf>
    <xf numFmtId="14" fontId="3" fillId="3" borderId="0" xfId="4" applyNumberFormat="1" applyFont="1" applyFill="1" applyAlignment="1">
      <alignment horizontal="center" vertical="center" wrapText="1"/>
    </xf>
    <xf numFmtId="14" fontId="49" fillId="3" borderId="0" xfId="4" applyNumberFormat="1" applyFont="1" applyFill="1" applyAlignment="1">
      <alignment horizontal="center" vertical="center" wrapText="1"/>
    </xf>
    <xf numFmtId="0" fontId="45" fillId="4" borderId="13" xfId="0" applyFont="1" applyFill="1" applyBorder="1" applyAlignment="1">
      <alignment horizontal="center" vertical="center" wrapText="1"/>
    </xf>
    <xf numFmtId="1" fontId="45" fillId="4" borderId="28" xfId="0" applyNumberFormat="1" applyFont="1" applyFill="1" applyBorder="1" applyAlignment="1">
      <alignment horizontal="center"/>
    </xf>
    <xf numFmtId="1" fontId="45" fillId="4" borderId="2" xfId="0" applyNumberFormat="1" applyFont="1" applyFill="1" applyBorder="1" applyAlignment="1">
      <alignment horizontal="center" wrapText="1"/>
    </xf>
    <xf numFmtId="1" fontId="45" fillId="4" borderId="2" xfId="0" applyNumberFormat="1" applyFont="1" applyFill="1" applyBorder="1" applyAlignment="1">
      <alignment horizontal="center"/>
    </xf>
    <xf numFmtId="0" fontId="45" fillId="4" borderId="1" xfId="0" applyFont="1" applyFill="1" applyBorder="1" applyAlignment="1">
      <alignment horizontal="center"/>
    </xf>
    <xf numFmtId="0" fontId="50" fillId="0" borderId="11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/>
    </xf>
    <xf numFmtId="0" fontId="51" fillId="0" borderId="8" xfId="0" applyFont="1" applyBorder="1" applyAlignment="1">
      <alignment horizontal="center"/>
    </xf>
    <xf numFmtId="1" fontId="51" fillId="0" borderId="8" xfId="0" applyNumberFormat="1" applyFont="1" applyBorder="1" applyAlignment="1">
      <alignment horizontal="center"/>
    </xf>
    <xf numFmtId="0" fontId="45" fillId="5" borderId="7" xfId="0" applyFont="1" applyFill="1" applyBorder="1" applyAlignment="1">
      <alignment horizontal="center"/>
    </xf>
    <xf numFmtId="0" fontId="50" fillId="0" borderId="9" xfId="0" applyFont="1" applyBorder="1" applyAlignment="1">
      <alignment horizontal="center" vertical="center"/>
    </xf>
    <xf numFmtId="0" fontId="50" fillId="0" borderId="39" xfId="0" applyFont="1" applyBorder="1" applyAlignment="1">
      <alignment horizontal="center" vertical="center"/>
    </xf>
    <xf numFmtId="0" fontId="14" fillId="0" borderId="8" xfId="0" applyFont="1" applyBorder="1"/>
    <xf numFmtId="0" fontId="7" fillId="0" borderId="8" xfId="0" applyFont="1" applyBorder="1"/>
    <xf numFmtId="164" fontId="51" fillId="0" borderId="8" xfId="0" applyNumberFormat="1" applyFont="1" applyBorder="1" applyAlignment="1">
      <alignment horizontal="center"/>
    </xf>
    <xf numFmtId="49" fontId="52" fillId="3" borderId="17" xfId="0" applyNumberFormat="1" applyFont="1" applyFill="1" applyBorder="1" applyAlignment="1">
      <alignment horizontal="center" vertical="center"/>
    </xf>
    <xf numFmtId="49" fontId="52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 wrapText="1"/>
    </xf>
    <xf numFmtId="0" fontId="3" fillId="3" borderId="16" xfId="0" applyFont="1" applyFill="1" applyBorder="1" applyAlignment="1">
      <alignment horizontal="center"/>
    </xf>
    <xf numFmtId="0" fontId="3" fillId="3" borderId="0" xfId="0" applyFont="1" applyFill="1" applyAlignment="1">
      <alignment horizontal="left" indent="1"/>
    </xf>
    <xf numFmtId="0" fontId="3" fillId="4" borderId="44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3" fillId="4" borderId="45" xfId="0" applyFont="1" applyFill="1" applyBorder="1"/>
    <xf numFmtId="0" fontId="45" fillId="4" borderId="45" xfId="0" applyFont="1" applyFill="1" applyBorder="1" applyAlignment="1">
      <alignment horizontal="center"/>
    </xf>
    <xf numFmtId="1" fontId="45" fillId="4" borderId="45" xfId="0" applyNumberFormat="1" applyFont="1" applyFill="1" applyBorder="1" applyAlignment="1">
      <alignment horizontal="center"/>
    </xf>
    <xf numFmtId="164" fontId="3" fillId="4" borderId="45" xfId="0" applyNumberFormat="1" applyFont="1" applyFill="1" applyBorder="1" applyAlignment="1">
      <alignment horizontal="center" wrapText="1"/>
    </xf>
    <xf numFmtId="0" fontId="3" fillId="4" borderId="46" xfId="0" applyFont="1" applyFill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45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9" fontId="3" fillId="3" borderId="0" xfId="2" applyFill="1"/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2" fillId="3" borderId="0" xfId="0" applyFont="1" applyFill="1" applyAlignment="1">
      <alignment vertical="center"/>
    </xf>
    <xf numFmtId="49" fontId="3" fillId="3" borderId="10" xfId="4" applyNumberFormat="1" applyFont="1" applyFill="1" applyBorder="1" applyAlignment="1">
      <alignment horizontal="center"/>
    </xf>
    <xf numFmtId="0" fontId="55" fillId="0" borderId="11" xfId="0" applyFont="1" applyBorder="1" applyAlignment="1">
      <alignment horizontal="center"/>
    </xf>
    <xf numFmtId="0" fontId="46" fillId="5" borderId="11" xfId="0" applyFont="1" applyFill="1" applyBorder="1" applyAlignment="1">
      <alignment horizontal="center"/>
    </xf>
    <xf numFmtId="0" fontId="0" fillId="5" borderId="11" xfId="0" applyFill="1" applyBorder="1" applyAlignment="1">
      <alignment horizontal="left"/>
    </xf>
    <xf numFmtId="0" fontId="0" fillId="5" borderId="11" xfId="0" quotePrefix="1" applyFill="1" applyBorder="1" applyAlignment="1">
      <alignment horizontal="center"/>
    </xf>
    <xf numFmtId="0" fontId="0" fillId="5" borderId="11" xfId="0" applyFill="1" applyBorder="1" applyAlignment="1">
      <alignment vertical="center"/>
    </xf>
    <xf numFmtId="0" fontId="51" fillId="0" borderId="39" xfId="0" applyFont="1" applyBorder="1" applyAlignment="1">
      <alignment horizontal="center"/>
    </xf>
    <xf numFmtId="0" fontId="3" fillId="3" borderId="11" xfId="0" applyFont="1" applyFill="1" applyBorder="1"/>
    <xf numFmtId="1" fontId="3" fillId="3" borderId="11" xfId="0" applyNumberFormat="1" applyFon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 wrapText="1"/>
    </xf>
    <xf numFmtId="0" fontId="2" fillId="3" borderId="28" xfId="4" applyFont="1" applyFill="1" applyBorder="1" applyAlignment="1">
      <alignment horizontal="right"/>
    </xf>
    <xf numFmtId="14" fontId="49" fillId="3" borderId="46" xfId="4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16" fontId="13" fillId="3" borderId="11" xfId="0" applyNumberFormat="1" applyFont="1" applyFill="1" applyBorder="1" applyAlignment="1">
      <alignment horizontal="center"/>
    </xf>
    <xf numFmtId="1" fontId="51" fillId="3" borderId="11" xfId="0" applyNumberFormat="1" applyFont="1" applyFill="1" applyBorder="1" applyAlignment="1">
      <alignment horizontal="center"/>
    </xf>
    <xf numFmtId="1" fontId="13" fillId="3" borderId="11" xfId="0" applyNumberFormat="1" applyFont="1" applyFill="1" applyBorder="1" applyAlignment="1">
      <alignment horizontal="center" wrapText="1"/>
    </xf>
    <xf numFmtId="1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1" fillId="3" borderId="11" xfId="0" applyFont="1" applyFill="1" applyBorder="1" applyAlignment="1">
      <alignment horizontal="center"/>
    </xf>
    <xf numFmtId="0" fontId="13" fillId="0" borderId="11" xfId="0" applyFont="1" applyBorder="1"/>
    <xf numFmtId="49" fontId="5" fillId="3" borderId="17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 wrapText="1"/>
    </xf>
    <xf numFmtId="0" fontId="2" fillId="3" borderId="16" xfId="0" applyFont="1" applyFill="1" applyBorder="1" applyAlignment="1">
      <alignment horizontal="center"/>
    </xf>
    <xf numFmtId="0" fontId="2" fillId="4" borderId="44" xfId="0" applyFont="1" applyFill="1" applyBorder="1" applyAlignment="1">
      <alignment horizontal="center"/>
    </xf>
    <xf numFmtId="0" fontId="2" fillId="4" borderId="45" xfId="0" applyFont="1" applyFill="1" applyBorder="1" applyAlignment="1">
      <alignment horizontal="center"/>
    </xf>
    <xf numFmtId="0" fontId="2" fillId="4" borderId="45" xfId="0" applyFont="1" applyFill="1" applyBorder="1"/>
    <xf numFmtId="0" fontId="4" fillId="4" borderId="45" xfId="0" applyFont="1" applyFill="1" applyBorder="1" applyAlignment="1">
      <alignment horizontal="center"/>
    </xf>
    <xf numFmtId="1" fontId="4" fillId="4" borderId="45" xfId="0" applyNumberFormat="1" applyFont="1" applyFill="1" applyBorder="1" applyAlignment="1">
      <alignment horizontal="center"/>
    </xf>
    <xf numFmtId="164" fontId="2" fillId="4" borderId="45" xfId="0" applyNumberFormat="1" applyFont="1" applyFill="1" applyBorder="1" applyAlignment="1">
      <alignment horizontal="center" wrapText="1"/>
    </xf>
    <xf numFmtId="0" fontId="2" fillId="4" borderId="46" xfId="0" applyFont="1" applyFill="1" applyBorder="1" applyAlignment="1">
      <alignment horizontal="center"/>
    </xf>
    <xf numFmtId="0" fontId="2" fillId="0" borderId="56" xfId="0" applyFont="1" applyBorder="1" applyAlignment="1">
      <alignment horizontal="center"/>
    </xf>
    <xf numFmtId="9" fontId="2" fillId="3" borderId="0" xfId="7" applyFont="1" applyFill="1"/>
    <xf numFmtId="0" fontId="2" fillId="0" borderId="2" xfId="0" applyFont="1" applyBorder="1" applyAlignment="1">
      <alignment horizontal="center"/>
    </xf>
    <xf numFmtId="0" fontId="5" fillId="3" borderId="0" xfId="0" applyFont="1" applyFill="1" applyAlignment="1">
      <alignment vertical="center"/>
    </xf>
    <xf numFmtId="0" fontId="2" fillId="3" borderId="11" xfId="0" applyFont="1" applyFill="1" applyBorder="1"/>
    <xf numFmtId="0" fontId="4" fillId="4" borderId="29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49" fontId="2" fillId="0" borderId="21" xfId="0" applyNumberFormat="1" applyFont="1" applyBorder="1" applyAlignment="1">
      <alignment horizontal="center"/>
    </xf>
    <xf numFmtId="49" fontId="4" fillId="0" borderId="11" xfId="0" applyNumberFormat="1" applyFont="1" applyBorder="1"/>
    <xf numFmtId="16" fontId="2" fillId="0" borderId="11" xfId="0" applyNumberFormat="1" applyFont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16" fontId="13" fillId="0" borderId="11" xfId="0" applyNumberFormat="1" applyFont="1" applyBorder="1" applyAlignment="1">
      <alignment horizontal="center"/>
    </xf>
    <xf numFmtId="1" fontId="51" fillId="0" borderId="11" xfId="0" applyNumberFormat="1" applyFont="1" applyBorder="1" applyAlignment="1">
      <alignment horizontal="center"/>
    </xf>
    <xf numFmtId="1" fontId="13" fillId="0" borderId="11" xfId="0" applyNumberFormat="1" applyFont="1" applyBorder="1" applyAlignment="1">
      <alignment horizontal="center" wrapText="1"/>
    </xf>
    <xf numFmtId="1" fontId="51" fillId="0" borderId="11" xfId="0" applyNumberFormat="1" applyFont="1" applyBorder="1" applyAlignment="1">
      <alignment horizontal="center" wrapText="1"/>
    </xf>
    <xf numFmtId="49" fontId="13" fillId="0" borderId="36" xfId="0" applyNumberFormat="1" applyFont="1" applyBorder="1" applyAlignment="1">
      <alignment horizontal="center"/>
    </xf>
    <xf numFmtId="49" fontId="14" fillId="0" borderId="28" xfId="0" applyNumberFormat="1" applyFont="1" applyBorder="1"/>
    <xf numFmtId="16" fontId="13" fillId="0" borderId="28" xfId="0" applyNumberFormat="1" applyFont="1" applyBorder="1" applyAlignment="1">
      <alignment horizontal="center"/>
    </xf>
    <xf numFmtId="1" fontId="51" fillId="0" borderId="28" xfId="0" applyNumberFormat="1" applyFont="1" applyBorder="1" applyAlignment="1">
      <alignment horizontal="center"/>
    </xf>
    <xf numFmtId="1" fontId="51" fillId="0" borderId="28" xfId="0" applyNumberFormat="1" applyFont="1" applyBorder="1" applyAlignment="1">
      <alignment horizontal="center" wrapText="1"/>
    </xf>
    <xf numFmtId="1" fontId="2" fillId="0" borderId="60" xfId="0" applyNumberFormat="1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49" fontId="13" fillId="5" borderId="40" xfId="0" applyNumberFormat="1" applyFont="1" applyFill="1" applyBorder="1" applyAlignment="1">
      <alignment horizontal="center"/>
    </xf>
    <xf numFmtId="49" fontId="13" fillId="5" borderId="43" xfId="0" applyNumberFormat="1" applyFont="1" applyFill="1" applyBorder="1" applyAlignment="1">
      <alignment horizontal="center"/>
    </xf>
    <xf numFmtId="49" fontId="14" fillId="5" borderId="43" xfId="0" applyNumberFormat="1" applyFont="1" applyFill="1" applyBorder="1"/>
    <xf numFmtId="16" fontId="13" fillId="5" borderId="43" xfId="0" applyNumberFormat="1" applyFont="1" applyFill="1" applyBorder="1" applyAlignment="1">
      <alignment horizontal="center"/>
    </xf>
    <xf numFmtId="1" fontId="51" fillId="5" borderId="43" xfId="0" applyNumberFormat="1" applyFont="1" applyFill="1" applyBorder="1" applyAlignment="1">
      <alignment horizontal="center"/>
    </xf>
    <xf numFmtId="1" fontId="51" fillId="5" borderId="43" xfId="0" applyNumberFormat="1" applyFont="1" applyFill="1" applyBorder="1" applyAlignment="1">
      <alignment horizontal="center" wrapText="1"/>
    </xf>
    <xf numFmtId="1" fontId="2" fillId="5" borderId="43" xfId="0" applyNumberFormat="1" applyFont="1" applyFill="1" applyBorder="1" applyAlignment="1">
      <alignment horizontal="center"/>
    </xf>
    <xf numFmtId="0" fontId="2" fillId="5" borderId="43" xfId="0" applyFont="1" applyFill="1" applyBorder="1" applyAlignment="1">
      <alignment horizontal="center"/>
    </xf>
    <xf numFmtId="0" fontId="2" fillId="5" borderId="58" xfId="0" applyFont="1" applyFill="1" applyBorder="1" applyAlignment="1">
      <alignment horizontal="center"/>
    </xf>
    <xf numFmtId="49" fontId="13" fillId="5" borderId="17" xfId="0" applyNumberFormat="1" applyFont="1" applyFill="1" applyBorder="1" applyAlignment="1">
      <alignment horizontal="center"/>
    </xf>
    <xf numFmtId="49" fontId="13" fillId="5" borderId="0" xfId="0" applyNumberFormat="1" applyFont="1" applyFill="1" applyAlignment="1">
      <alignment horizontal="center"/>
    </xf>
    <xf numFmtId="49" fontId="14" fillId="5" borderId="0" xfId="0" applyNumberFormat="1" applyFont="1" applyFill="1"/>
    <xf numFmtId="16" fontId="13" fillId="5" borderId="0" xfId="0" applyNumberFormat="1" applyFont="1" applyFill="1" applyAlignment="1">
      <alignment horizontal="center"/>
    </xf>
    <xf numFmtId="1" fontId="51" fillId="5" borderId="0" xfId="0" applyNumberFormat="1" applyFont="1" applyFill="1" applyAlignment="1">
      <alignment horizontal="center"/>
    </xf>
    <xf numFmtId="1" fontId="51" fillId="5" borderId="0" xfId="0" applyNumberFormat="1" applyFont="1" applyFill="1" applyAlignment="1">
      <alignment horizontal="center" wrapText="1"/>
    </xf>
    <xf numFmtId="1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27" xfId="0" quotePrefix="1" applyFont="1" applyFill="1" applyBorder="1" applyAlignment="1">
      <alignment horizontal="right"/>
    </xf>
    <xf numFmtId="0" fontId="2" fillId="5" borderId="26" xfId="0" quotePrefix="1" applyFont="1" applyFill="1" applyBorder="1" applyAlignment="1">
      <alignment horizontal="right"/>
    </xf>
    <xf numFmtId="0" fontId="2" fillId="5" borderId="26" xfId="0" quotePrefix="1" applyFont="1" applyFill="1" applyBorder="1"/>
    <xf numFmtId="0" fontId="13" fillId="5" borderId="26" xfId="0" applyFont="1" applyFill="1" applyBorder="1"/>
    <xf numFmtId="1" fontId="2" fillId="5" borderId="26" xfId="0" applyNumberFormat="1" applyFont="1" applyFill="1" applyBorder="1" applyAlignment="1">
      <alignment horizontal="center" wrapText="1"/>
    </xf>
    <xf numFmtId="0" fontId="2" fillId="5" borderId="3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13" fillId="0" borderId="12" xfId="0" applyNumberFormat="1" applyFont="1" applyBorder="1" applyAlignment="1">
      <alignment horizontal="center"/>
    </xf>
    <xf numFmtId="49" fontId="14" fillId="0" borderId="11" xfId="0" applyNumberFormat="1" applyFont="1" applyBorder="1"/>
    <xf numFmtId="16" fontId="51" fillId="0" borderId="11" xfId="0" applyNumberFormat="1" applyFont="1" applyBorder="1" applyAlignment="1">
      <alignment horizontal="center"/>
    </xf>
    <xf numFmtId="1" fontId="56" fillId="0" borderId="11" xfId="0" applyNumberFormat="1" applyFont="1" applyBorder="1" applyAlignment="1">
      <alignment horizontal="center"/>
    </xf>
    <xf numFmtId="49" fontId="13" fillId="0" borderId="21" xfId="0" applyNumberFormat="1" applyFont="1" applyBorder="1" applyAlignment="1">
      <alignment horizontal="center"/>
    </xf>
    <xf numFmtId="0" fontId="2" fillId="0" borderId="12" xfId="0" quotePrefix="1" applyFont="1" applyBorder="1" applyAlignment="1">
      <alignment horizontal="right"/>
    </xf>
    <xf numFmtId="0" fontId="2" fillId="0" borderId="21" xfId="0" quotePrefix="1" applyFont="1" applyBorder="1" applyAlignment="1">
      <alignment horizontal="right"/>
    </xf>
    <xf numFmtId="0" fontId="2" fillId="0" borderId="11" xfId="0" quotePrefix="1" applyFont="1" applyBorder="1"/>
    <xf numFmtId="0" fontId="2" fillId="3" borderId="2" xfId="4" applyFont="1" applyFill="1" applyBorder="1" applyAlignment="1">
      <alignment horizontal="right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0" xfId="0" applyBorder="1" applyAlignment="1">
      <alignment horizontal="left" vertical="center"/>
    </xf>
    <xf numFmtId="49" fontId="13" fillId="0" borderId="11" xfId="0" applyNumberFormat="1" applyFont="1" applyBorder="1" applyAlignment="1">
      <alignment horizontal="center"/>
    </xf>
    <xf numFmtId="0" fontId="51" fillId="0" borderId="0" xfId="0" applyFont="1"/>
    <xf numFmtId="0" fontId="2" fillId="3" borderId="39" xfId="4" applyFont="1" applyFill="1" applyBorder="1" applyAlignment="1">
      <alignment horizontal="right"/>
    </xf>
    <xf numFmtId="0" fontId="2" fillId="3" borderId="36" xfId="4" applyFont="1" applyFill="1" applyBorder="1" applyAlignment="1">
      <alignment horizontal="right"/>
    </xf>
    <xf numFmtId="14" fontId="57" fillId="3" borderId="46" xfId="4" applyNumberFormat="1" applyFont="1" applyFill="1" applyBorder="1" applyAlignment="1">
      <alignment horizontal="center" vertical="center" wrapText="1"/>
    </xf>
    <xf numFmtId="0" fontId="58" fillId="0" borderId="12" xfId="0" applyFont="1" applyBorder="1" applyAlignment="1">
      <alignment horizontal="center" vertical="center"/>
    </xf>
    <xf numFmtId="0" fontId="58" fillId="0" borderId="21" xfId="0" applyFont="1" applyBorder="1" applyAlignment="1">
      <alignment horizontal="center" vertical="center"/>
    </xf>
    <xf numFmtId="0" fontId="59" fillId="0" borderId="11" xfId="0" applyFont="1" applyBorder="1"/>
    <xf numFmtId="16" fontId="13" fillId="0" borderId="11" xfId="3" applyNumberFormat="1" applyFont="1" applyBorder="1" applyAlignment="1">
      <alignment horizontal="center" vertical="center"/>
    </xf>
    <xf numFmtId="1" fontId="13" fillId="0" borderId="28" xfId="3" applyNumberFormat="1" applyFont="1" applyBorder="1" applyAlignment="1">
      <alignment horizontal="center" vertical="center"/>
    </xf>
    <xf numFmtId="1" fontId="13" fillId="0" borderId="28" xfId="3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1" fontId="13" fillId="0" borderId="11" xfId="3" applyNumberFormat="1" applyFont="1" applyBorder="1" applyAlignment="1">
      <alignment horizontal="center"/>
    </xf>
    <xf numFmtId="1" fontId="13" fillId="0" borderId="11" xfId="3" applyNumberFormat="1" applyFont="1" applyBorder="1" applyAlignment="1">
      <alignment horizontal="center" wrapText="1"/>
    </xf>
    <xf numFmtId="0" fontId="2" fillId="3" borderId="14" xfId="0" applyFont="1" applyFill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20" xfId="0" applyNumberFormat="1" applyFont="1" applyBorder="1"/>
    <xf numFmtId="164" fontId="2" fillId="0" borderId="4" xfId="0" applyNumberFormat="1" applyFont="1" applyBorder="1"/>
    <xf numFmtId="0" fontId="60" fillId="19" borderId="17" xfId="3" applyFont="1" applyFill="1" applyBorder="1" applyAlignment="1">
      <alignment vertical="center"/>
    </xf>
    <xf numFmtId="0" fontId="60" fillId="19" borderId="0" xfId="3" applyFont="1" applyFill="1" applyAlignment="1">
      <alignment vertical="center"/>
    </xf>
    <xf numFmtId="1" fontId="4" fillId="4" borderId="28" xfId="0" applyNumberFormat="1" applyFont="1" applyFill="1" applyBorder="1" applyAlignment="1">
      <alignment horizontal="center"/>
    </xf>
    <xf numFmtId="1" fontId="4" fillId="4" borderId="28" xfId="0" applyNumberFormat="1" applyFont="1" applyFill="1" applyBorder="1" applyAlignment="1">
      <alignment horizontal="center" wrapText="1"/>
    </xf>
    <xf numFmtId="0" fontId="13" fillId="0" borderId="11" xfId="0" applyFont="1" applyBorder="1" applyAlignment="1">
      <alignment horizontal="center" vertical="center"/>
    </xf>
    <xf numFmtId="1" fontId="44" fillId="0" borderId="11" xfId="0" applyNumberFormat="1" applyFont="1" applyBorder="1" applyAlignment="1">
      <alignment horizontal="center"/>
    </xf>
    <xf numFmtId="1" fontId="13" fillId="0" borderId="11" xfId="0" applyNumberFormat="1" applyFont="1" applyBorder="1" applyAlignment="1">
      <alignment horizontal="center"/>
    </xf>
    <xf numFmtId="49" fontId="13" fillId="0" borderId="71" xfId="0" applyNumberFormat="1" applyFont="1" applyBorder="1" applyAlignment="1">
      <alignment horizontal="center"/>
    </xf>
    <xf numFmtId="49" fontId="13" fillId="0" borderId="63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16" fontId="13" fillId="0" borderId="21" xfId="0" applyNumberFormat="1" applyFont="1" applyBorder="1" applyAlignment="1">
      <alignment horizontal="center"/>
    </xf>
    <xf numFmtId="1" fontId="13" fillId="0" borderId="8" xfId="0" applyNumberFormat="1" applyFont="1" applyBorder="1" applyAlignment="1">
      <alignment horizontal="center"/>
    </xf>
    <xf numFmtId="1" fontId="13" fillId="0" borderId="8" xfId="0" applyNumberFormat="1" applyFont="1" applyBorder="1" applyAlignment="1">
      <alignment horizontal="center" wrapText="1"/>
    </xf>
    <xf numFmtId="49" fontId="2" fillId="0" borderId="11" xfId="0" applyNumberFormat="1" applyFont="1" applyBorder="1" applyAlignment="1">
      <alignment horizontal="center"/>
    </xf>
    <xf numFmtId="49" fontId="2" fillId="0" borderId="11" xfId="0" applyNumberFormat="1" applyFont="1" applyBorder="1"/>
    <xf numFmtId="0" fontId="13" fillId="0" borderId="28" xfId="0" applyFont="1" applyBorder="1"/>
    <xf numFmtId="1" fontId="2" fillId="0" borderId="28" xfId="0" applyNumberFormat="1" applyFont="1" applyBorder="1" applyAlignment="1">
      <alignment horizontal="center" wrapText="1"/>
    </xf>
    <xf numFmtId="0" fontId="2" fillId="0" borderId="29" xfId="0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21" xfId="0" quotePrefix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3" fillId="0" borderId="70" xfId="0" applyFont="1" applyBorder="1" applyAlignment="1">
      <alignment horizontal="left" vertical="center"/>
    </xf>
    <xf numFmtId="0" fontId="7" fillId="0" borderId="11" xfId="3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61" fillId="0" borderId="8" xfId="0" applyFont="1" applyBorder="1"/>
    <xf numFmtId="165" fontId="0" fillId="0" borderId="11" xfId="0" applyNumberFormat="1" applyBorder="1" applyAlignment="1">
      <alignment horizontal="left" vertical="center"/>
    </xf>
    <xf numFmtId="1" fontId="54" fillId="0" borderId="11" xfId="3" applyNumberFormat="1" applyFont="1" applyBorder="1" applyAlignment="1">
      <alignment horizontal="center"/>
    </xf>
    <xf numFmtId="1" fontId="54" fillId="0" borderId="11" xfId="3" applyNumberFormat="1" applyFont="1" applyBorder="1" applyAlignment="1">
      <alignment horizontal="center" wrapText="1"/>
    </xf>
    <xf numFmtId="0" fontId="45" fillId="5" borderId="10" xfId="0" applyFont="1" applyFill="1" applyBorder="1" applyAlignment="1">
      <alignment horizontal="center"/>
    </xf>
    <xf numFmtId="49" fontId="54" fillId="0" borderId="12" xfId="3" applyNumberFormat="1" applyFont="1" applyBorder="1" applyAlignment="1">
      <alignment horizontal="center"/>
    </xf>
    <xf numFmtId="49" fontId="54" fillId="0" borderId="21" xfId="3" applyNumberFormat="1" applyFont="1" applyBorder="1" applyAlignment="1">
      <alignment horizontal="center"/>
    </xf>
    <xf numFmtId="49" fontId="3" fillId="0" borderId="11" xfId="3" applyNumberFormat="1" applyBorder="1"/>
    <xf numFmtId="16" fontId="54" fillId="0" borderId="11" xfId="3" applyNumberFormat="1" applyFont="1" applyBorder="1" applyAlignment="1">
      <alignment horizontal="center"/>
    </xf>
    <xf numFmtId="49" fontId="45" fillId="0" borderId="11" xfId="3" applyNumberFormat="1" applyFont="1" applyBorder="1"/>
    <xf numFmtId="49" fontId="54" fillId="5" borderId="12" xfId="0" applyNumberFormat="1" applyFont="1" applyFill="1" applyBorder="1" applyAlignment="1">
      <alignment horizontal="right"/>
    </xf>
    <xf numFmtId="49" fontId="54" fillId="5" borderId="21" xfId="0" applyNumberFormat="1" applyFont="1" applyFill="1" applyBorder="1" applyAlignment="1">
      <alignment horizontal="right"/>
    </xf>
    <xf numFmtId="49" fontId="3" fillId="5" borderId="11" xfId="0" applyNumberFormat="1" applyFont="1" applyFill="1" applyBorder="1"/>
    <xf numFmtId="0" fontId="7" fillId="0" borderId="11" xfId="0" applyFont="1" applyBorder="1"/>
    <xf numFmtId="0" fontId="3" fillId="0" borderId="10" xfId="0" applyFont="1" applyBorder="1" applyAlignment="1">
      <alignment horizontal="center"/>
    </xf>
    <xf numFmtId="0" fontId="3" fillId="0" borderId="12" xfId="0" quotePrefix="1" applyFont="1" applyBorder="1" applyAlignment="1">
      <alignment horizontal="right"/>
    </xf>
    <xf numFmtId="0" fontId="3" fillId="0" borderId="21" xfId="0" quotePrefix="1" applyFont="1" applyBorder="1" applyAlignment="1">
      <alignment horizontal="right"/>
    </xf>
    <xf numFmtId="0" fontId="3" fillId="0" borderId="11" xfId="0" quotePrefix="1" applyFont="1" applyBorder="1"/>
    <xf numFmtId="0" fontId="54" fillId="0" borderId="11" xfId="0" applyFont="1" applyBorder="1"/>
    <xf numFmtId="1" fontId="3" fillId="0" borderId="11" xfId="0" applyNumberFormat="1" applyFont="1" applyBorder="1" applyAlignment="1">
      <alignment horizontal="center" wrapText="1"/>
    </xf>
    <xf numFmtId="9" fontId="3" fillId="3" borderId="0" xfId="2" applyFont="1" applyFill="1"/>
    <xf numFmtId="0" fontId="0" fillId="3" borderId="0" xfId="0" applyFill="1"/>
    <xf numFmtId="2" fontId="3" fillId="0" borderId="8" xfId="0" applyNumberFormat="1" applyFont="1" applyBorder="1" applyAlignment="1">
      <alignment horizontal="center"/>
    </xf>
    <xf numFmtId="0" fontId="7" fillId="0" borderId="60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2" fontId="3" fillId="0" borderId="11" xfId="0" applyNumberFormat="1" applyFont="1" applyBorder="1" applyAlignment="1">
      <alignment horizontal="center" wrapText="1"/>
    </xf>
    <xf numFmtId="2" fontId="22" fillId="15" borderId="0" xfId="0" applyNumberFormat="1" applyFont="1" applyFill="1" applyAlignment="1">
      <alignment horizontal="center"/>
    </xf>
    <xf numFmtId="0" fontId="14" fillId="15" borderId="0" xfId="0" applyFont="1" applyFill="1"/>
    <xf numFmtId="4" fontId="22" fillId="15" borderId="0" xfId="6" applyNumberFormat="1" applyFont="1" applyFill="1" applyAlignment="1">
      <alignment horizontal="center" vertical="center"/>
    </xf>
    <xf numFmtId="4" fontId="15" fillId="15" borderId="0" xfId="6" applyNumberFormat="1" applyFont="1" applyFill="1" applyAlignment="1">
      <alignment horizontal="center" vertical="center"/>
    </xf>
    <xf numFmtId="2" fontId="22" fillId="20" borderId="0" xfId="0" applyNumberFormat="1" applyFont="1" applyFill="1" applyAlignment="1">
      <alignment horizontal="center"/>
    </xf>
    <xf numFmtId="0" fontId="14" fillId="20" borderId="0" xfId="0" applyFont="1" applyFill="1"/>
    <xf numFmtId="4" fontId="22" fillId="20" borderId="0" xfId="6" applyNumberFormat="1" applyFont="1" applyFill="1" applyAlignment="1">
      <alignment horizontal="center" vertical="center"/>
    </xf>
    <xf numFmtId="4" fontId="15" fillId="20" borderId="0" xfId="6" applyNumberFormat="1" applyFont="1" applyFill="1" applyAlignment="1">
      <alignment horizontal="center" vertical="center"/>
    </xf>
    <xf numFmtId="10" fontId="15" fillId="20" borderId="0" xfId="7" applyNumberFormat="1" applyFont="1" applyFill="1" applyAlignment="1">
      <alignment vertical="center"/>
    </xf>
    <xf numFmtId="49" fontId="15" fillId="20" borderId="0" xfId="0" applyNumberFormat="1" applyFont="1" applyFill="1" applyAlignment="1">
      <alignment horizontal="center"/>
    </xf>
    <xf numFmtId="165" fontId="2" fillId="5" borderId="20" xfId="0" applyNumberFormat="1" applyFont="1" applyFill="1" applyBorder="1" applyAlignment="1">
      <alignment horizontal="center"/>
    </xf>
    <xf numFmtId="0" fontId="3" fillId="5" borderId="0" xfId="0" applyFont="1" applyFill="1"/>
    <xf numFmtId="0" fontId="12" fillId="5" borderId="11" xfId="0" applyFont="1" applyFill="1" applyBorder="1"/>
    <xf numFmtId="0" fontId="14" fillId="5" borderId="8" xfId="0" applyFont="1" applyFill="1" applyBorder="1"/>
    <xf numFmtId="0" fontId="13" fillId="0" borderId="0" xfId="0" applyFont="1" applyAlignment="1">
      <alignment horizontal="center"/>
    </xf>
    <xf numFmtId="0" fontId="3" fillId="14" borderId="11" xfId="0" applyFont="1" applyFill="1" applyBorder="1" applyAlignment="1">
      <alignment horizontal="center"/>
    </xf>
    <xf numFmtId="0" fontId="3" fillId="14" borderId="11" xfId="0" applyFont="1" applyFill="1" applyBorder="1"/>
    <xf numFmtId="0" fontId="3" fillId="5" borderId="11" xfId="0" applyFont="1" applyFill="1" applyBorder="1"/>
    <xf numFmtId="0" fontId="3" fillId="21" borderId="0" xfId="0" applyFont="1" applyFill="1"/>
    <xf numFmtId="165" fontId="2" fillId="5" borderId="5" xfId="0" applyNumberFormat="1" applyFont="1" applyFill="1" applyBorder="1" applyAlignment="1">
      <alignment horizontal="center"/>
    </xf>
    <xf numFmtId="0" fontId="14" fillId="7" borderId="0" xfId="0" applyFont="1" applyFill="1" applyAlignment="1">
      <alignment vertical="center"/>
    </xf>
    <xf numFmtId="2" fontId="22" fillId="7" borderId="0" xfId="0" applyNumberFormat="1" applyFont="1" applyFill="1" applyAlignment="1">
      <alignment horizontal="center"/>
    </xf>
    <xf numFmtId="1" fontId="2" fillId="5" borderId="60" xfId="0" applyNumberFormat="1" applyFont="1" applyFill="1" applyBorder="1" applyAlignment="1">
      <alignment horizontal="center" wrapText="1"/>
    </xf>
    <xf numFmtId="4" fontId="22" fillId="7" borderId="0" xfId="6" applyNumberFormat="1" applyFont="1" applyFill="1" applyAlignment="1">
      <alignment horizontal="center" vertical="center"/>
    </xf>
    <xf numFmtId="4" fontId="15" fillId="7" borderId="0" xfId="6" applyNumberFormat="1" applyFont="1" applyFill="1" applyAlignment="1">
      <alignment horizontal="center" vertical="center"/>
    </xf>
    <xf numFmtId="1" fontId="2" fillId="7" borderId="60" xfId="0" applyNumberFormat="1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4" fontId="22" fillId="22" borderId="0" xfId="6" applyNumberFormat="1" applyFont="1" applyFill="1" applyAlignment="1">
      <alignment horizontal="center" vertical="center"/>
    </xf>
    <xf numFmtId="2" fontId="22" fillId="22" borderId="0" xfId="0" applyNumberFormat="1" applyFont="1" applyFill="1" applyAlignment="1">
      <alignment horizontal="center"/>
    </xf>
    <xf numFmtId="4" fontId="15" fillId="22" borderId="0" xfId="6" applyNumberFormat="1" applyFont="1" applyFill="1" applyAlignment="1">
      <alignment horizontal="center" vertical="center"/>
    </xf>
    <xf numFmtId="0" fontId="14" fillId="22" borderId="0" xfId="0" applyFont="1" applyFill="1" applyAlignment="1">
      <alignment vertical="center"/>
    </xf>
    <xf numFmtId="2" fontId="22" fillId="23" borderId="0" xfId="0" applyNumberFormat="1" applyFont="1" applyFill="1" applyAlignment="1">
      <alignment horizontal="center"/>
    </xf>
    <xf numFmtId="0" fontId="14" fillId="23" borderId="0" xfId="0" applyFont="1" applyFill="1"/>
    <xf numFmtId="4" fontId="22" fillId="23" borderId="0" xfId="6" applyNumberFormat="1" applyFont="1" applyFill="1" applyAlignment="1">
      <alignment horizontal="center" vertical="center"/>
    </xf>
    <xf numFmtId="4" fontId="15" fillId="23" borderId="0" xfId="6" applyNumberFormat="1" applyFont="1" applyFill="1" applyAlignment="1">
      <alignment horizontal="center" vertical="center"/>
    </xf>
    <xf numFmtId="0" fontId="65" fillId="7" borderId="0" xfId="0" applyFont="1" applyFill="1" applyAlignment="1">
      <alignment horizontal="center"/>
    </xf>
    <xf numFmtId="0" fontId="65" fillId="7" borderId="0" xfId="0" applyFont="1" applyFill="1"/>
    <xf numFmtId="0" fontId="65" fillId="0" borderId="24" xfId="0" applyFont="1" applyBorder="1" applyAlignment="1">
      <alignment horizontal="center"/>
    </xf>
    <xf numFmtId="1" fontId="65" fillId="0" borderId="14" xfId="0" applyNumberFormat="1" applyFont="1" applyBorder="1" applyAlignment="1">
      <alignment horizontal="center"/>
    </xf>
    <xf numFmtId="1" fontId="65" fillId="0" borderId="14" xfId="0" applyNumberFormat="1" applyFont="1" applyBorder="1" applyAlignment="1">
      <alignment horizontal="center" wrapText="1"/>
    </xf>
    <xf numFmtId="1" fontId="65" fillId="0" borderId="23" xfId="0" applyNumberFormat="1" applyFont="1" applyBorder="1" applyAlignment="1">
      <alignment horizontal="center" wrapText="1"/>
    </xf>
    <xf numFmtId="0" fontId="66" fillId="0" borderId="13" xfId="0" applyFont="1" applyBorder="1"/>
    <xf numFmtId="0" fontId="65" fillId="0" borderId="12" xfId="0" applyFont="1" applyBorder="1" applyAlignment="1">
      <alignment horizontal="center"/>
    </xf>
    <xf numFmtId="0" fontId="65" fillId="0" borderId="21" xfId="0" applyFont="1" applyBorder="1" applyAlignment="1">
      <alignment horizontal="center"/>
    </xf>
    <xf numFmtId="0" fontId="67" fillId="0" borderId="11" xfId="0" applyFont="1" applyBorder="1"/>
    <xf numFmtId="1" fontId="65" fillId="0" borderId="11" xfId="0" applyNumberFormat="1" applyFont="1" applyBorder="1" applyAlignment="1">
      <alignment horizontal="center"/>
    </xf>
    <xf numFmtId="1" fontId="65" fillId="0" borderId="11" xfId="0" applyNumberFormat="1" applyFont="1" applyBorder="1" applyAlignment="1">
      <alignment horizontal="center" wrapText="1"/>
    </xf>
    <xf numFmtId="1" fontId="65" fillId="0" borderId="20" xfId="0" applyNumberFormat="1" applyFont="1" applyBorder="1" applyAlignment="1">
      <alignment horizontal="center" wrapText="1"/>
    </xf>
    <xf numFmtId="0" fontId="66" fillId="5" borderId="10" xfId="0" applyFont="1" applyFill="1" applyBorder="1"/>
    <xf numFmtId="0" fontId="66" fillId="0" borderId="12" xfId="0" applyFont="1" applyBorder="1" applyAlignment="1">
      <alignment horizontal="center"/>
    </xf>
    <xf numFmtId="0" fontId="66" fillId="0" borderId="21" xfId="0" applyFont="1" applyBorder="1" applyAlignment="1">
      <alignment horizontal="center"/>
    </xf>
    <xf numFmtId="0" fontId="66" fillId="0" borderId="11" xfId="0" applyFont="1" applyBorder="1"/>
    <xf numFmtId="1" fontId="65" fillId="0" borderId="8" xfId="0" applyNumberFormat="1" applyFont="1" applyBorder="1" applyAlignment="1">
      <alignment horizontal="center"/>
    </xf>
    <xf numFmtId="1" fontId="65" fillId="0" borderId="8" xfId="0" applyNumberFormat="1" applyFont="1" applyBorder="1" applyAlignment="1">
      <alignment horizontal="center" wrapText="1"/>
    </xf>
    <xf numFmtId="12" fontId="65" fillId="0" borderId="11" xfId="0" applyNumberFormat="1" applyFont="1" applyBorder="1" applyAlignment="1">
      <alignment horizontal="center"/>
    </xf>
    <xf numFmtId="0" fontId="68" fillId="0" borderId="11" xfId="0" applyFont="1" applyBorder="1"/>
    <xf numFmtId="0" fontId="66" fillId="0" borderId="0" xfId="0" applyFont="1" applyAlignment="1">
      <alignment horizontal="center"/>
    </xf>
    <xf numFmtId="0" fontId="65" fillId="0" borderId="11" xfId="0" applyFont="1" applyBorder="1" applyAlignment="1">
      <alignment horizontal="center"/>
    </xf>
    <xf numFmtId="0" fontId="65" fillId="0" borderId="11" xfId="0" applyFont="1" applyBorder="1"/>
    <xf numFmtId="0" fontId="66" fillId="5" borderId="4" xfId="0" applyFont="1" applyFill="1" applyBorder="1"/>
    <xf numFmtId="0" fontId="66" fillId="0" borderId="11" xfId="0" applyFont="1" applyBorder="1" applyAlignment="1">
      <alignment horizontal="center"/>
    </xf>
    <xf numFmtId="0" fontId="65" fillId="0" borderId="20" xfId="0" applyFont="1" applyBorder="1" applyAlignment="1">
      <alignment horizontal="center"/>
    </xf>
    <xf numFmtId="0" fontId="69" fillId="0" borderId="11" xfId="0" applyFont="1" applyBorder="1" applyAlignment="1">
      <alignment horizontal="left"/>
    </xf>
    <xf numFmtId="0" fontId="65" fillId="0" borderId="8" xfId="0" applyFont="1" applyBorder="1" applyAlignment="1">
      <alignment horizontal="center"/>
    </xf>
    <xf numFmtId="1" fontId="65" fillId="0" borderId="11" xfId="3" applyNumberFormat="1" applyFont="1" applyBorder="1" applyAlignment="1">
      <alignment horizontal="center" wrapText="1"/>
    </xf>
    <xf numFmtId="0" fontId="65" fillId="5" borderId="10" xfId="0" applyFont="1" applyFill="1" applyBorder="1" applyAlignment="1">
      <alignment horizontal="center"/>
    </xf>
    <xf numFmtId="1" fontId="65" fillId="5" borderId="11" xfId="3" applyNumberFormat="1" applyFont="1" applyFill="1" applyBorder="1" applyAlignment="1">
      <alignment horizontal="center" wrapText="1"/>
    </xf>
    <xf numFmtId="1" fontId="65" fillId="0" borderId="10" xfId="0" applyNumberFormat="1" applyFont="1" applyBorder="1" applyAlignment="1">
      <alignment horizontal="center" wrapText="1"/>
    </xf>
    <xf numFmtId="0" fontId="66" fillId="0" borderId="10" xfId="0" applyFont="1" applyBorder="1"/>
    <xf numFmtId="165" fontId="65" fillId="0" borderId="11" xfId="0" applyNumberFormat="1" applyFont="1" applyBorder="1" applyAlignment="1">
      <alignment horizontal="center"/>
    </xf>
    <xf numFmtId="0" fontId="65" fillId="0" borderId="10" xfId="0" applyFont="1" applyBorder="1" applyAlignment="1">
      <alignment horizontal="center"/>
    </xf>
    <xf numFmtId="49" fontId="70" fillId="3" borderId="27" xfId="0" applyNumberFormat="1" applyFont="1" applyFill="1" applyBorder="1" applyAlignment="1">
      <alignment horizontal="left" vertical="center"/>
    </xf>
    <xf numFmtId="49" fontId="70" fillId="3" borderId="26" xfId="0" applyNumberFormat="1" applyFont="1" applyFill="1" applyBorder="1" applyAlignment="1">
      <alignment horizontal="left" vertical="center"/>
    </xf>
    <xf numFmtId="0" fontId="65" fillId="3" borderId="26" xfId="0" applyFont="1" applyFill="1" applyBorder="1"/>
    <xf numFmtId="1" fontId="65" fillId="3" borderId="26" xfId="0" applyNumberFormat="1" applyFont="1" applyFill="1" applyBorder="1" applyAlignment="1">
      <alignment horizontal="center"/>
    </xf>
    <xf numFmtId="164" fontId="65" fillId="3" borderId="26" xfId="0" applyNumberFormat="1" applyFont="1" applyFill="1" applyBorder="1" applyAlignment="1">
      <alignment horizontal="center" wrapText="1"/>
    </xf>
    <xf numFmtId="0" fontId="65" fillId="3" borderId="1" xfId="0" applyFont="1" applyFill="1" applyBorder="1" applyAlignment="1">
      <alignment horizontal="center"/>
    </xf>
    <xf numFmtId="0" fontId="65" fillId="4" borderId="17" xfId="0" applyFont="1" applyFill="1" applyBorder="1" applyAlignment="1">
      <alignment horizontal="center"/>
    </xf>
    <xf numFmtId="0" fontId="65" fillId="4" borderId="0" xfId="0" applyFont="1" applyFill="1" applyAlignment="1">
      <alignment horizontal="center"/>
    </xf>
    <xf numFmtId="0" fontId="65" fillId="4" borderId="0" xfId="0" applyFont="1" applyFill="1"/>
    <xf numFmtId="0" fontId="69" fillId="4" borderId="0" xfId="0" applyFont="1" applyFill="1" applyAlignment="1">
      <alignment horizontal="center"/>
    </xf>
    <xf numFmtId="1" fontId="69" fillId="4" borderId="0" xfId="0" applyNumberFormat="1" applyFont="1" applyFill="1" applyAlignment="1">
      <alignment horizontal="center"/>
    </xf>
    <xf numFmtId="164" fontId="65" fillId="4" borderId="0" xfId="0" applyNumberFormat="1" applyFont="1" applyFill="1" applyAlignment="1">
      <alignment horizontal="center" wrapText="1"/>
    </xf>
    <xf numFmtId="0" fontId="65" fillId="4" borderId="16" xfId="0" applyFont="1" applyFill="1" applyBorder="1" applyAlignment="1">
      <alignment horizontal="center"/>
    </xf>
    <xf numFmtId="0" fontId="65" fillId="0" borderId="14" xfId="0" applyFont="1" applyBorder="1" applyAlignment="1">
      <alignment horizontal="center"/>
    </xf>
    <xf numFmtId="1" fontId="66" fillId="0" borderId="11" xfId="0" applyNumberFormat="1" applyFont="1" applyBorder="1" applyAlignment="1">
      <alignment horizontal="center"/>
    </xf>
    <xf numFmtId="1" fontId="66" fillId="0" borderId="2" xfId="0" applyNumberFormat="1" applyFont="1" applyBorder="1" applyAlignment="1">
      <alignment horizontal="center"/>
    </xf>
    <xf numFmtId="0" fontId="66" fillId="0" borderId="2" xfId="0" applyFont="1" applyBorder="1" applyAlignment="1">
      <alignment horizontal="center"/>
    </xf>
    <xf numFmtId="12" fontId="65" fillId="0" borderId="11" xfId="3" applyNumberFormat="1" applyFont="1" applyBorder="1"/>
    <xf numFmtId="165" fontId="65" fillId="5" borderId="11" xfId="0" applyNumberFormat="1" applyFont="1" applyFill="1" applyBorder="1"/>
    <xf numFmtId="165" fontId="65" fillId="5" borderId="11" xfId="0" applyNumberFormat="1" applyFont="1" applyFill="1" applyBorder="1" applyAlignment="1">
      <alignment horizontal="center"/>
    </xf>
    <xf numFmtId="1" fontId="69" fillId="0" borderId="11" xfId="0" applyNumberFormat="1" applyFont="1" applyBorder="1" applyAlignment="1">
      <alignment horizontal="center"/>
    </xf>
    <xf numFmtId="0" fontId="67" fillId="0" borderId="11" xfId="0" applyFont="1" applyBorder="1" applyAlignment="1">
      <alignment horizontal="center"/>
    </xf>
    <xf numFmtId="14" fontId="72" fillId="3" borderId="31" xfId="4" applyNumberFormat="1" applyFont="1" applyFill="1" applyBorder="1" applyAlignment="1">
      <alignment horizontal="center" vertical="center" wrapText="1"/>
    </xf>
    <xf numFmtId="1" fontId="73" fillId="0" borderId="11" xfId="0" applyNumberFormat="1" applyFont="1" applyBorder="1" applyAlignment="1">
      <alignment horizontal="center"/>
    </xf>
    <xf numFmtId="0" fontId="65" fillId="0" borderId="12" xfId="0" applyFont="1" applyBorder="1" applyAlignment="1">
      <alignment horizontal="left" wrapText="1"/>
    </xf>
    <xf numFmtId="0" fontId="65" fillId="0" borderId="21" xfId="0" applyFont="1" applyBorder="1" applyAlignment="1">
      <alignment horizontal="left" wrapText="1"/>
    </xf>
    <xf numFmtId="0" fontId="65" fillId="0" borderId="11" xfId="0" applyFont="1" applyBorder="1" applyAlignment="1">
      <alignment horizontal="left" wrapText="1"/>
    </xf>
    <xf numFmtId="0" fontId="65" fillId="0" borderId="10" xfId="0" applyFont="1" applyBorder="1" applyAlignment="1">
      <alignment horizontal="left" wrapText="1"/>
    </xf>
    <xf numFmtId="0" fontId="65" fillId="0" borderId="6" xfId="0" applyFont="1" applyBorder="1" applyAlignment="1">
      <alignment horizontal="left" vertical="center" wrapText="1"/>
    </xf>
    <xf numFmtId="0" fontId="65" fillId="0" borderId="5" xfId="0" applyFont="1" applyBorder="1" applyAlignment="1">
      <alignment horizontal="left" vertical="center" wrapText="1"/>
    </xf>
    <xf numFmtId="0" fontId="65" fillId="0" borderId="4" xfId="0" applyFont="1" applyBorder="1" applyAlignment="1">
      <alignment horizontal="left" vertical="center" wrapText="1"/>
    </xf>
    <xf numFmtId="0" fontId="65" fillId="0" borderId="3" xfId="0" applyFont="1" applyBorder="1" applyAlignment="1">
      <alignment horizontal="left" wrapText="1"/>
    </xf>
    <xf numFmtId="0" fontId="65" fillId="0" borderId="41" xfId="0" applyFont="1" applyBorder="1" applyAlignment="1">
      <alignment horizontal="left" wrapText="1"/>
    </xf>
    <xf numFmtId="0" fontId="65" fillId="0" borderId="2" xfId="0" applyFont="1" applyBorder="1" applyAlignment="1">
      <alignment horizontal="left" wrapText="1"/>
    </xf>
    <xf numFmtId="0" fontId="65" fillId="0" borderId="1" xfId="0" applyFont="1" applyBorder="1" applyAlignment="1">
      <alignment horizontal="left" wrapText="1"/>
    </xf>
    <xf numFmtId="0" fontId="65" fillId="0" borderId="9" xfId="0" applyFont="1" applyBorder="1" applyAlignment="1">
      <alignment horizontal="left" wrapText="1"/>
    </xf>
    <xf numFmtId="0" fontId="65" fillId="0" borderId="39" xfId="0" applyFont="1" applyBorder="1" applyAlignment="1">
      <alignment horizontal="left" wrapText="1"/>
    </xf>
    <xf numFmtId="0" fontId="65" fillId="0" borderId="8" xfId="0" applyFont="1" applyBorder="1" applyAlignment="1">
      <alignment horizontal="left" wrapText="1"/>
    </xf>
    <xf numFmtId="0" fontId="65" fillId="0" borderId="7" xfId="0" applyFont="1" applyBorder="1" applyAlignment="1">
      <alignment horizontal="left" wrapText="1"/>
    </xf>
    <xf numFmtId="0" fontId="65" fillId="0" borderId="3" xfId="0" applyFont="1" applyBorder="1" applyAlignment="1">
      <alignment horizontal="left"/>
    </xf>
    <xf numFmtId="0" fontId="65" fillId="0" borderId="41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9" fillId="2" borderId="6" xfId="0" applyFont="1" applyFill="1" applyBorder="1" applyAlignment="1">
      <alignment horizontal="center"/>
    </xf>
    <xf numFmtId="0" fontId="69" fillId="2" borderId="5" xfId="0" applyFont="1" applyFill="1" applyBorder="1" applyAlignment="1">
      <alignment horizontal="center"/>
    </xf>
    <xf numFmtId="0" fontId="69" fillId="2" borderId="4" xfId="0" applyFont="1" applyFill="1" applyBorder="1" applyAlignment="1">
      <alignment horizontal="center"/>
    </xf>
    <xf numFmtId="0" fontId="69" fillId="0" borderId="3" xfId="0" applyFont="1" applyBorder="1" applyAlignment="1">
      <alignment horizontal="left" wrapText="1"/>
    </xf>
    <xf numFmtId="0" fontId="69" fillId="0" borderId="41" xfId="0" applyFont="1" applyBorder="1" applyAlignment="1">
      <alignment horizontal="left" wrapText="1"/>
    </xf>
    <xf numFmtId="0" fontId="69" fillId="0" borderId="2" xfId="0" applyFont="1" applyBorder="1" applyAlignment="1">
      <alignment horizontal="left" wrapText="1"/>
    </xf>
    <xf numFmtId="0" fontId="69" fillId="0" borderId="1" xfId="0" applyFont="1" applyBorder="1" applyAlignment="1">
      <alignment horizontal="left" wrapText="1"/>
    </xf>
    <xf numFmtId="0" fontId="69" fillId="4" borderId="44" xfId="0" applyFont="1" applyFill="1" applyBorder="1" applyAlignment="1">
      <alignment horizontal="center"/>
    </xf>
    <xf numFmtId="0" fontId="69" fillId="4" borderId="45" xfId="0" applyFont="1" applyFill="1" applyBorder="1" applyAlignment="1">
      <alignment horizontal="center"/>
    </xf>
    <xf numFmtId="0" fontId="69" fillId="4" borderId="46" xfId="0" applyFont="1" applyFill="1" applyBorder="1" applyAlignment="1">
      <alignment horizontal="center"/>
    </xf>
    <xf numFmtId="0" fontId="65" fillId="0" borderId="15" xfId="0" applyFont="1" applyBorder="1" applyAlignment="1">
      <alignment horizontal="left"/>
    </xf>
    <xf numFmtId="0" fontId="65" fillId="0" borderId="24" xfId="0" applyFont="1" applyBorder="1" applyAlignment="1">
      <alignment horizontal="left"/>
    </xf>
    <xf numFmtId="0" fontId="65" fillId="0" borderId="14" xfId="0" applyFont="1" applyBorder="1" applyAlignment="1">
      <alignment horizontal="left"/>
    </xf>
    <xf numFmtId="0" fontId="65" fillId="0" borderId="13" xfId="0" applyFont="1" applyBorder="1" applyAlignment="1">
      <alignment horizontal="left"/>
    </xf>
    <xf numFmtId="0" fontId="66" fillId="0" borderId="11" xfId="0" applyFont="1" applyBorder="1" applyAlignment="1">
      <alignment horizontal="center"/>
    </xf>
    <xf numFmtId="0" fontId="65" fillId="3" borderId="23" xfId="0" applyFont="1" applyFill="1" applyBorder="1" applyAlignment="1">
      <alignment horizontal="center"/>
    </xf>
    <xf numFmtId="0" fontId="65" fillId="3" borderId="22" xfId="0" applyFont="1" applyFill="1" applyBorder="1" applyAlignment="1">
      <alignment horizontal="center"/>
    </xf>
    <xf numFmtId="0" fontId="69" fillId="0" borderId="6" xfId="0" applyFont="1" applyBorder="1" applyAlignment="1">
      <alignment horizontal="right"/>
    </xf>
    <xf numFmtId="0" fontId="69" fillId="0" borderId="5" xfId="0" applyFont="1" applyBorder="1" applyAlignment="1">
      <alignment horizontal="right"/>
    </xf>
    <xf numFmtId="0" fontId="69" fillId="0" borderId="21" xfId="0" applyFont="1" applyBorder="1" applyAlignment="1">
      <alignment horizontal="right"/>
    </xf>
    <xf numFmtId="164" fontId="65" fillId="0" borderId="11" xfId="0" applyNumberFormat="1" applyFont="1" applyBorder="1" applyAlignment="1">
      <alignment horizontal="right" wrapText="1"/>
    </xf>
    <xf numFmtId="164" fontId="65" fillId="0" borderId="20" xfId="0" applyNumberFormat="1" applyFont="1" applyBorder="1" applyAlignment="1">
      <alignment horizontal="center"/>
    </xf>
    <xf numFmtId="164" fontId="65" fillId="0" borderId="4" xfId="0" applyNumberFormat="1" applyFont="1" applyBorder="1" applyAlignment="1">
      <alignment horizontal="center"/>
    </xf>
    <xf numFmtId="0" fontId="69" fillId="0" borderId="3" xfId="0" applyFont="1" applyBorder="1" applyAlignment="1">
      <alignment horizontal="right"/>
    </xf>
    <xf numFmtId="0" fontId="69" fillId="0" borderId="41" xfId="0" applyFont="1" applyBorder="1" applyAlignment="1">
      <alignment horizontal="right"/>
    </xf>
    <xf numFmtId="0" fontId="69" fillId="0" borderId="2" xfId="0" applyFont="1" applyBorder="1" applyAlignment="1">
      <alignment horizontal="right"/>
    </xf>
    <xf numFmtId="0" fontId="65" fillId="0" borderId="2" xfId="0" applyFont="1" applyBorder="1" applyAlignment="1">
      <alignment horizontal="right"/>
    </xf>
    <xf numFmtId="164" fontId="65" fillId="0" borderId="19" xfId="0" applyNumberFormat="1" applyFont="1" applyBorder="1" applyAlignment="1">
      <alignment horizontal="center"/>
    </xf>
    <xf numFmtId="164" fontId="65" fillId="0" borderId="18" xfId="0" applyNumberFormat="1" applyFont="1" applyBorder="1" applyAlignment="1">
      <alignment horizontal="center"/>
    </xf>
    <xf numFmtId="0" fontId="65" fillId="0" borderId="11" xfId="0" applyFont="1" applyBorder="1" applyAlignment="1">
      <alignment horizontal="right"/>
    </xf>
    <xf numFmtId="14" fontId="2" fillId="3" borderId="29" xfId="4" applyNumberFormat="1" applyFont="1" applyFill="1" applyBorder="1" applyAlignment="1">
      <alignment horizontal="center" vertical="center" wrapText="1"/>
    </xf>
    <xf numFmtId="14" fontId="2" fillId="3" borderId="34" xfId="4" applyNumberFormat="1" applyFont="1" applyFill="1" applyBorder="1" applyAlignment="1">
      <alignment horizontal="center" vertical="center" wrapText="1"/>
    </xf>
    <xf numFmtId="14" fontId="2" fillId="3" borderId="32" xfId="4" applyNumberFormat="1" applyFont="1" applyFill="1" applyBorder="1" applyAlignment="1">
      <alignment horizontal="center" vertical="center" wrapText="1"/>
    </xf>
    <xf numFmtId="0" fontId="2" fillId="3" borderId="11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72" fillId="3" borderId="26" xfId="4" applyFont="1" applyFill="1" applyBorder="1" applyAlignment="1">
      <alignment horizontal="center" vertical="center"/>
    </xf>
    <xf numFmtId="0" fontId="9" fillId="3" borderId="26" xfId="4" applyFont="1" applyFill="1" applyBorder="1" applyAlignment="1">
      <alignment vertical="center"/>
    </xf>
    <xf numFmtId="0" fontId="71" fillId="6" borderId="25" xfId="4" applyFont="1" applyFill="1" applyBorder="1" applyAlignment="1">
      <alignment horizontal="center" vertical="center" wrapText="1"/>
    </xf>
    <xf numFmtId="0" fontId="71" fillId="6" borderId="38" xfId="4" applyFont="1" applyFill="1" applyBorder="1" applyAlignment="1">
      <alignment horizontal="center" vertical="center" wrapText="1"/>
    </xf>
    <xf numFmtId="0" fontId="71" fillId="6" borderId="22" xfId="4" applyFont="1" applyFill="1" applyBorder="1" applyAlignment="1">
      <alignment horizontal="center" vertical="center" wrapText="1"/>
    </xf>
    <xf numFmtId="0" fontId="4" fillId="3" borderId="36" xfId="4" applyFont="1" applyFill="1" applyBorder="1" applyAlignment="1">
      <alignment horizontal="right" vertical="top" wrapText="1"/>
    </xf>
    <xf numFmtId="0" fontId="4" fillId="3" borderId="35" xfId="4" applyFont="1" applyFill="1" applyBorder="1" applyAlignment="1">
      <alignment horizontal="right" vertical="top" wrapText="1"/>
    </xf>
    <xf numFmtId="0" fontId="4" fillId="3" borderId="33" xfId="4" applyFont="1" applyFill="1" applyBorder="1" applyAlignment="1">
      <alignment horizontal="right" vertical="top" wrapText="1"/>
    </xf>
    <xf numFmtId="0" fontId="69" fillId="0" borderId="25" xfId="0" applyFont="1" applyBorder="1" applyAlignment="1">
      <alignment horizontal="right"/>
    </xf>
    <xf numFmtId="0" fontId="69" fillId="0" borderId="38" xfId="0" applyFont="1" applyBorder="1" applyAlignment="1">
      <alignment horizontal="right"/>
    </xf>
    <xf numFmtId="0" fontId="69" fillId="0" borderId="24" xfId="0" applyFont="1" applyBorder="1" applyAlignment="1">
      <alignment horizontal="right"/>
    </xf>
    <xf numFmtId="164" fontId="65" fillId="0" borderId="14" xfId="0" applyNumberFormat="1" applyFont="1" applyBorder="1" applyAlignment="1">
      <alignment horizontal="right"/>
    </xf>
    <xf numFmtId="0" fontId="9" fillId="3" borderId="27" xfId="4" applyFont="1" applyFill="1" applyBorder="1" applyAlignment="1">
      <alignment horizontal="right" vertical="center"/>
    </xf>
    <xf numFmtId="0" fontId="9" fillId="3" borderId="26" xfId="4" applyFont="1" applyFill="1" applyBorder="1" applyAlignment="1">
      <alignment horizontal="right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2" fillId="3" borderId="40" xfId="4" applyFont="1" applyFill="1" applyBorder="1" applyAlignment="1">
      <alignment horizontal="center"/>
    </xf>
    <xf numFmtId="0" fontId="2" fillId="3" borderId="43" xfId="4" applyFont="1" applyFill="1" applyBorder="1" applyAlignment="1">
      <alignment horizontal="center"/>
    </xf>
    <xf numFmtId="0" fontId="2" fillId="3" borderId="17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27" xfId="4" applyFont="1" applyFill="1" applyBorder="1" applyAlignment="1">
      <alignment horizontal="center"/>
    </xf>
    <xf numFmtId="0" fontId="2" fillId="3" borderId="26" xfId="4" applyFont="1" applyFill="1" applyBorder="1" applyAlignment="1">
      <alignment horizontal="center"/>
    </xf>
    <xf numFmtId="0" fontId="11" fillId="3" borderId="14" xfId="4" applyFont="1" applyFill="1" applyBorder="1" applyAlignment="1">
      <alignment horizontal="center"/>
    </xf>
    <xf numFmtId="0" fontId="11" fillId="3" borderId="28" xfId="4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14" fontId="3" fillId="3" borderId="10" xfId="4" applyNumberFormat="1" applyFont="1" applyFill="1" applyBorder="1" applyAlignment="1">
      <alignment horizontal="center" vertical="center" wrapText="1"/>
    </xf>
    <xf numFmtId="14" fontId="3" fillId="3" borderId="1" xfId="4" applyNumberFormat="1" applyFont="1" applyFill="1" applyBorder="1" applyAlignment="1">
      <alignment horizontal="center" vertical="center" wrapText="1"/>
    </xf>
    <xf numFmtId="0" fontId="3" fillId="3" borderId="11" xfId="4" applyFont="1" applyFill="1" applyBorder="1" applyAlignment="1">
      <alignment horizontal="left"/>
    </xf>
    <xf numFmtId="0" fontId="3" fillId="3" borderId="2" xfId="4" applyFont="1" applyFill="1" applyBorder="1" applyAlignment="1">
      <alignment horizontal="left"/>
    </xf>
    <xf numFmtId="0" fontId="3" fillId="3" borderId="40" xfId="4" applyFont="1" applyFill="1" applyBorder="1" applyAlignment="1">
      <alignment horizontal="center"/>
    </xf>
    <xf numFmtId="0" fontId="3" fillId="3" borderId="61" xfId="4" applyFont="1" applyFill="1" applyBorder="1" applyAlignment="1">
      <alignment horizontal="center"/>
    </xf>
    <xf numFmtId="0" fontId="3" fillId="3" borderId="17" xfId="4" applyFont="1" applyFill="1" applyBorder="1" applyAlignment="1">
      <alignment horizontal="center"/>
    </xf>
    <xf numFmtId="0" fontId="3" fillId="3" borderId="35" xfId="4" applyFont="1" applyFill="1" applyBorder="1" applyAlignment="1">
      <alignment horizontal="center"/>
    </xf>
    <xf numFmtId="0" fontId="3" fillId="3" borderId="27" xfId="4" applyFont="1" applyFill="1" applyBorder="1" applyAlignment="1">
      <alignment horizontal="center"/>
    </xf>
    <xf numFmtId="0" fontId="3" fillId="3" borderId="33" xfId="4" applyFont="1" applyFill="1" applyBorder="1" applyAlignment="1">
      <alignment horizontal="center"/>
    </xf>
    <xf numFmtId="0" fontId="47" fillId="3" borderId="14" xfId="4" applyFont="1" applyFill="1" applyBorder="1" applyAlignment="1">
      <alignment horizontal="center"/>
    </xf>
    <xf numFmtId="0" fontId="47" fillId="3" borderId="11" xfId="4" applyFont="1" applyFill="1" applyBorder="1" applyAlignment="1">
      <alignment horizontal="center"/>
    </xf>
    <xf numFmtId="0" fontId="48" fillId="6" borderId="20" xfId="4" applyFont="1" applyFill="1" applyBorder="1" applyAlignment="1">
      <alignment horizontal="center" vertical="center" wrapText="1"/>
    </xf>
    <xf numFmtId="0" fontId="48" fillId="6" borderId="5" xfId="4" applyFont="1" applyFill="1" applyBorder="1" applyAlignment="1">
      <alignment horizontal="center" vertical="center" wrapText="1"/>
    </xf>
    <xf numFmtId="0" fontId="48" fillId="6" borderId="21" xfId="4" applyFont="1" applyFill="1" applyBorder="1" applyAlignment="1">
      <alignment horizontal="center" vertical="center" wrapText="1"/>
    </xf>
    <xf numFmtId="0" fontId="45" fillId="3" borderId="11" xfId="4" applyFont="1" applyFill="1" applyBorder="1" applyAlignment="1">
      <alignment horizontal="right" vertical="top" wrapText="1"/>
    </xf>
    <xf numFmtId="0" fontId="45" fillId="3" borderId="2" xfId="4" applyFont="1" applyFill="1" applyBorder="1" applyAlignment="1">
      <alignment horizontal="right" vertical="top" wrapText="1"/>
    </xf>
    <xf numFmtId="0" fontId="47" fillId="3" borderId="0" xfId="4" applyFont="1" applyFill="1" applyAlignment="1">
      <alignment horizontal="right"/>
    </xf>
    <xf numFmtId="0" fontId="49" fillId="3" borderId="26" xfId="4" applyFont="1" applyFill="1" applyBorder="1" applyAlignment="1">
      <alignment horizontal="center"/>
    </xf>
    <xf numFmtId="0" fontId="47" fillId="3" borderId="0" xfId="4" applyFont="1" applyFill="1"/>
    <xf numFmtId="0" fontId="45" fillId="4" borderId="15" xfId="0" applyFont="1" applyFill="1" applyBorder="1" applyAlignment="1">
      <alignment horizontal="center" vertical="center"/>
    </xf>
    <xf numFmtId="0" fontId="45" fillId="4" borderId="30" xfId="0" applyFont="1" applyFill="1" applyBorder="1" applyAlignment="1">
      <alignment horizontal="center" vertical="center"/>
    </xf>
    <xf numFmtId="0" fontId="45" fillId="4" borderId="37" xfId="0" applyFont="1" applyFill="1" applyBorder="1" applyAlignment="1">
      <alignment horizontal="center" vertical="center" wrapText="1"/>
    </xf>
    <xf numFmtId="0" fontId="45" fillId="4" borderId="8" xfId="0" applyFont="1" applyFill="1" applyBorder="1" applyAlignment="1">
      <alignment horizontal="center" vertical="center" wrapText="1"/>
    </xf>
    <xf numFmtId="0" fontId="45" fillId="4" borderId="14" xfId="0" applyFont="1" applyFill="1" applyBorder="1" applyAlignment="1">
      <alignment horizontal="center" vertical="center"/>
    </xf>
    <xf numFmtId="0" fontId="45" fillId="4" borderId="28" xfId="0" applyFont="1" applyFill="1" applyBorder="1" applyAlignment="1">
      <alignment horizontal="center" vertical="center"/>
    </xf>
    <xf numFmtId="0" fontId="45" fillId="0" borderId="54" xfId="0" applyFont="1" applyBorder="1" applyAlignment="1">
      <alignment horizontal="right"/>
    </xf>
    <xf numFmtId="0" fontId="45" fillId="0" borderId="55" xfId="0" applyFont="1" applyBorder="1" applyAlignment="1">
      <alignment horizontal="right"/>
    </xf>
    <xf numFmtId="0" fontId="45" fillId="0" borderId="39" xfId="0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0" fontId="3" fillId="3" borderId="56" xfId="0" applyFont="1" applyFill="1" applyBorder="1" applyAlignment="1">
      <alignment horizontal="center"/>
    </xf>
    <xf numFmtId="0" fontId="3" fillId="3" borderId="57" xfId="0" applyFont="1" applyFill="1" applyBorder="1" applyAlignment="1">
      <alignment horizontal="center"/>
    </xf>
    <xf numFmtId="0" fontId="45" fillId="0" borderId="6" xfId="0" applyFont="1" applyBorder="1" applyAlignment="1">
      <alignment horizontal="right"/>
    </xf>
    <xf numFmtId="0" fontId="45" fillId="0" borderId="5" xfId="0" applyFont="1" applyBorder="1" applyAlignment="1">
      <alignment horizontal="right"/>
    </xf>
    <xf numFmtId="0" fontId="45" fillId="0" borderId="21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164" fontId="3" fillId="0" borderId="20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53" fillId="0" borderId="54" xfId="3" applyFont="1" applyBorder="1" applyAlignment="1">
      <alignment horizontal="left" wrapText="1"/>
    </xf>
    <xf numFmtId="0" fontId="53" fillId="0" borderId="55" xfId="3" applyFont="1" applyBorder="1" applyAlignment="1">
      <alignment horizontal="left" wrapText="1"/>
    </xf>
    <xf numFmtId="0" fontId="53" fillId="0" borderId="57" xfId="3" applyFont="1" applyBorder="1" applyAlignment="1">
      <alignment horizontal="left" wrapText="1"/>
    </xf>
    <xf numFmtId="164" fontId="3" fillId="0" borderId="20" xfId="0" applyNumberFormat="1" applyFont="1" applyBorder="1" applyAlignment="1">
      <alignment horizontal="right" wrapText="1"/>
    </xf>
    <xf numFmtId="164" fontId="3" fillId="0" borderId="21" xfId="0" applyNumberFormat="1" applyFont="1" applyBorder="1" applyAlignment="1">
      <alignment horizontal="right" wrapText="1"/>
    </xf>
    <xf numFmtId="0" fontId="45" fillId="0" borderId="3" xfId="0" applyFont="1" applyBorder="1" applyAlignment="1">
      <alignment horizontal="right"/>
    </xf>
    <xf numFmtId="0" fontId="45" fillId="0" borderId="41" xfId="0" applyFont="1" applyBorder="1" applyAlignment="1">
      <alignment horizontal="right"/>
    </xf>
    <xf numFmtId="0" fontId="45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4" fontId="3" fillId="0" borderId="19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0" fontId="45" fillId="4" borderId="44" xfId="0" applyFont="1" applyFill="1" applyBorder="1" applyAlignment="1">
      <alignment horizontal="left"/>
    </xf>
    <xf numFmtId="0" fontId="45" fillId="4" borderId="45" xfId="0" applyFont="1" applyFill="1" applyBorder="1" applyAlignment="1">
      <alignment horizontal="left"/>
    </xf>
    <xf numFmtId="0" fontId="45" fillId="4" borderId="46" xfId="0" applyFont="1" applyFill="1" applyBorder="1" applyAlignment="1">
      <alignment horizontal="left"/>
    </xf>
    <xf numFmtId="0" fontId="54" fillId="0" borderId="27" xfId="3" applyFont="1" applyBorder="1" applyAlignment="1">
      <alignment horizontal="left"/>
    </xf>
    <xf numFmtId="0" fontId="54" fillId="0" borderId="26" xfId="3" applyFont="1" applyBorder="1" applyAlignment="1">
      <alignment horizontal="left"/>
    </xf>
    <xf numFmtId="0" fontId="54" fillId="0" borderId="31" xfId="3" applyFont="1" applyBorder="1" applyAlignment="1">
      <alignment horizontal="left"/>
    </xf>
    <xf numFmtId="0" fontId="54" fillId="0" borderId="54" xfId="3" applyFont="1" applyBorder="1" applyAlignment="1">
      <alignment horizontal="left"/>
    </xf>
    <xf numFmtId="0" fontId="54" fillId="0" borderId="55" xfId="3" applyFont="1" applyBorder="1" applyAlignment="1">
      <alignment horizontal="left"/>
    </xf>
    <xf numFmtId="0" fontId="54" fillId="0" borderId="57" xfId="3" applyFont="1" applyBorder="1" applyAlignment="1">
      <alignment horizontal="left"/>
    </xf>
    <xf numFmtId="14" fontId="0" fillId="3" borderId="10" xfId="4" applyNumberFormat="1" applyFont="1" applyFill="1" applyBorder="1" applyAlignment="1">
      <alignment horizontal="center" vertical="center" wrapText="1"/>
    </xf>
    <xf numFmtId="0" fontId="45" fillId="4" borderId="37" xfId="0" applyFont="1" applyFill="1" applyBorder="1" applyAlignment="1">
      <alignment horizontal="center" vertical="center"/>
    </xf>
    <xf numFmtId="0" fontId="45" fillId="4" borderId="8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1" fillId="0" borderId="44" xfId="0" applyFont="1" applyBorder="1" applyAlignment="1">
      <alignment horizontal="right" vertical="center"/>
    </xf>
    <xf numFmtId="0" fontId="41" fillId="0" borderId="45" xfId="0" applyFont="1" applyBorder="1" applyAlignment="1">
      <alignment horizontal="right" vertical="center"/>
    </xf>
    <xf numFmtId="0" fontId="41" fillId="0" borderId="46" xfId="0" applyFont="1" applyBorder="1" applyAlignment="1">
      <alignment horizontal="right" vertical="center"/>
    </xf>
    <xf numFmtId="0" fontId="42" fillId="0" borderId="0" xfId="0" applyFont="1" applyAlignment="1">
      <alignment horizontal="right"/>
    </xf>
    <xf numFmtId="0" fontId="32" fillId="0" borderId="26" xfId="0" applyFont="1" applyBorder="1" applyAlignment="1">
      <alignment horizontal="right"/>
    </xf>
    <xf numFmtId="0" fontId="24" fillId="0" borderId="0" xfId="0" applyFont="1" applyAlignment="1">
      <alignment horizontal="right" vertical="center"/>
    </xf>
    <xf numFmtId="0" fontId="30" fillId="9" borderId="44" xfId="0" applyFont="1" applyFill="1" applyBorder="1" applyAlignment="1">
      <alignment horizontal="right"/>
    </xf>
    <xf numFmtId="0" fontId="30" fillId="9" borderId="45" xfId="0" applyFont="1" applyFill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15" fillId="0" borderId="26" xfId="0" applyFont="1" applyBorder="1" applyAlignment="1">
      <alignment horizontal="right" vertical="center"/>
    </xf>
    <xf numFmtId="0" fontId="15" fillId="0" borderId="31" xfId="0" applyFont="1" applyBorder="1" applyAlignment="1">
      <alignment horizontal="right" vertical="center"/>
    </xf>
    <xf numFmtId="0" fontId="15" fillId="11" borderId="44" xfId="0" applyFont="1" applyFill="1" applyBorder="1" applyAlignment="1">
      <alignment horizontal="right" vertical="center"/>
    </xf>
    <xf numFmtId="0" fontId="15" fillId="11" borderId="45" xfId="0" applyFont="1" applyFill="1" applyBorder="1" applyAlignment="1">
      <alignment horizontal="right" vertical="center"/>
    </xf>
    <xf numFmtId="0" fontId="15" fillId="11" borderId="46" xfId="0" applyFont="1" applyFill="1" applyBorder="1" applyAlignment="1">
      <alignment horizontal="right" vertical="center"/>
    </xf>
    <xf numFmtId="4" fontId="39" fillId="0" borderId="0" xfId="6" applyNumberFormat="1" applyFont="1" applyFill="1" applyAlignment="1">
      <alignment horizontal="center" vertical="center" wrapText="1"/>
    </xf>
    <xf numFmtId="0" fontId="33" fillId="0" borderId="11" xfId="0" applyFont="1" applyBorder="1" applyAlignment="1">
      <alignment horizontal="right" vertical="center"/>
    </xf>
    <xf numFmtId="0" fontId="34" fillId="0" borderId="17" xfId="0" applyFont="1" applyBorder="1" applyAlignment="1">
      <alignment horizontal="right"/>
    </xf>
    <xf numFmtId="0" fontId="34" fillId="0" borderId="0" xfId="0" applyFont="1" applyAlignment="1">
      <alignment horizontal="right"/>
    </xf>
    <xf numFmtId="0" fontId="34" fillId="0" borderId="16" xfId="0" applyFont="1" applyBorder="1" applyAlignment="1">
      <alignment horizontal="right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25" fillId="0" borderId="40" xfId="0" applyFont="1" applyBorder="1" applyAlignment="1">
      <alignment horizontal="right"/>
    </xf>
    <xf numFmtId="0" fontId="25" fillId="0" borderId="43" xfId="0" applyFont="1" applyBorder="1" applyAlignment="1">
      <alignment horizontal="right"/>
    </xf>
    <xf numFmtId="0" fontId="14" fillId="0" borderId="11" xfId="0" applyFont="1" applyBorder="1" applyAlignment="1">
      <alignment horizontal="right" vertical="center"/>
    </xf>
    <xf numFmtId="0" fontId="25" fillId="0" borderId="0" xfId="0" applyFont="1" applyAlignment="1">
      <alignment horizontal="right"/>
    </xf>
    <xf numFmtId="0" fontId="19" fillId="0" borderId="26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right" vertical="center" wrapText="1"/>
    </xf>
    <xf numFmtId="0" fontId="2" fillId="0" borderId="59" xfId="8" applyFont="1" applyBorder="1" applyAlignment="1">
      <alignment horizontal="left"/>
    </xf>
    <xf numFmtId="0" fontId="2" fillId="0" borderId="35" xfId="8" applyFont="1" applyBorder="1" applyAlignment="1">
      <alignment horizontal="left"/>
    </xf>
    <xf numFmtId="0" fontId="2" fillId="0" borderId="60" xfId="8" applyFont="1" applyBorder="1" applyAlignment="1">
      <alignment horizontal="left"/>
    </xf>
    <xf numFmtId="0" fontId="2" fillId="0" borderId="34" xfId="8" applyFont="1" applyBorder="1" applyAlignment="1">
      <alignment horizontal="left"/>
    </xf>
    <xf numFmtId="0" fontId="45" fillId="2" borderId="20" xfId="8" applyFont="1" applyFill="1" applyBorder="1" applyAlignment="1">
      <alignment horizontal="center"/>
    </xf>
    <xf numFmtId="0" fontId="45" fillId="2" borderId="5" xfId="8" applyFont="1" applyFill="1" applyBorder="1" applyAlignment="1">
      <alignment horizontal="center"/>
    </xf>
    <xf numFmtId="0" fontId="45" fillId="2" borderId="21" xfId="8" applyFont="1" applyFill="1" applyBorder="1" applyAlignment="1">
      <alignment horizontal="center"/>
    </xf>
    <xf numFmtId="0" fontId="5" fillId="3" borderId="20" xfId="8" applyFont="1" applyFill="1" applyBorder="1" applyAlignment="1">
      <alignment horizontal="left" vertical="center"/>
    </xf>
    <xf numFmtId="0" fontId="5" fillId="3" borderId="5" xfId="8" applyFont="1" applyFill="1" applyBorder="1" applyAlignment="1">
      <alignment horizontal="left" vertical="center"/>
    </xf>
    <xf numFmtId="0" fontId="5" fillId="3" borderId="21" xfId="8" applyFont="1" applyFill="1" applyBorder="1" applyAlignment="1">
      <alignment horizontal="left" vertical="center"/>
    </xf>
    <xf numFmtId="0" fontId="2" fillId="0" borderId="9" xfId="8" applyFont="1" applyBorder="1" applyAlignment="1">
      <alignment horizontal="left" wrapText="1"/>
    </xf>
    <xf numFmtId="0" fontId="2" fillId="0" borderId="39" xfId="8" applyFont="1" applyBorder="1" applyAlignment="1">
      <alignment horizontal="left" wrapText="1"/>
    </xf>
    <xf numFmtId="0" fontId="2" fillId="0" borderId="8" xfId="8" applyFont="1" applyBorder="1" applyAlignment="1">
      <alignment horizontal="left" wrapText="1"/>
    </xf>
    <xf numFmtId="0" fontId="2" fillId="0" borderId="7" xfId="8" applyFont="1" applyBorder="1" applyAlignment="1">
      <alignment horizontal="left" wrapText="1"/>
    </xf>
    <xf numFmtId="0" fontId="4" fillId="0" borderId="6" xfId="8" applyFont="1" applyBorder="1" applyAlignment="1">
      <alignment horizontal="right"/>
    </xf>
    <xf numFmtId="0" fontId="4" fillId="0" borderId="5" xfId="8" applyFont="1" applyBorder="1" applyAlignment="1">
      <alignment horizontal="right"/>
    </xf>
    <xf numFmtId="0" fontId="4" fillId="0" borderId="21" xfId="8" applyFont="1" applyBorder="1" applyAlignment="1">
      <alignment horizontal="right"/>
    </xf>
    <xf numFmtId="0" fontId="2" fillId="0" borderId="11" xfId="8" applyFont="1" applyBorder="1" applyAlignment="1">
      <alignment horizontal="right"/>
    </xf>
    <xf numFmtId="164" fontId="2" fillId="0" borderId="20" xfId="8" applyNumberFormat="1" applyFont="1" applyBorder="1" applyAlignment="1">
      <alignment horizontal="center"/>
    </xf>
    <xf numFmtId="164" fontId="2" fillId="0" borderId="4" xfId="8" applyNumberFormat="1" applyFont="1" applyBorder="1" applyAlignment="1">
      <alignment horizontal="center"/>
    </xf>
    <xf numFmtId="164" fontId="2" fillId="0" borderId="20" xfId="8" applyNumberFormat="1" applyFont="1" applyBorder="1" applyAlignment="1">
      <alignment horizontal="right" wrapText="1"/>
    </xf>
    <xf numFmtId="164" fontId="2" fillId="0" borderId="21" xfId="8" applyNumberFormat="1" applyFont="1" applyBorder="1" applyAlignment="1">
      <alignment horizontal="right" wrapText="1"/>
    </xf>
    <xf numFmtId="0" fontId="4" fillId="0" borderId="3" xfId="8" applyFont="1" applyBorder="1" applyAlignment="1">
      <alignment horizontal="right"/>
    </xf>
    <xf numFmtId="0" fontId="4" fillId="0" borderId="41" xfId="8" applyFont="1" applyBorder="1" applyAlignment="1">
      <alignment horizontal="right"/>
    </xf>
    <xf numFmtId="0" fontId="4" fillId="0" borderId="2" xfId="8" applyFont="1" applyBorder="1" applyAlignment="1">
      <alignment horizontal="right"/>
    </xf>
    <xf numFmtId="0" fontId="2" fillId="0" borderId="2" xfId="8" applyFont="1" applyBorder="1" applyAlignment="1">
      <alignment horizontal="right"/>
    </xf>
    <xf numFmtId="164" fontId="2" fillId="0" borderId="19" xfId="8" applyNumberFormat="1" applyFont="1" applyBorder="1" applyAlignment="1">
      <alignment horizontal="center"/>
    </xf>
    <xf numFmtId="164" fontId="2" fillId="0" borderId="18" xfId="8" applyNumberFormat="1" applyFont="1" applyBorder="1" applyAlignment="1">
      <alignment horizontal="center"/>
    </xf>
    <xf numFmtId="0" fontId="4" fillId="4" borderId="40" xfId="8" applyFont="1" applyFill="1" applyBorder="1" applyAlignment="1">
      <alignment horizontal="left"/>
    </xf>
    <xf numFmtId="0" fontId="4" fillId="4" borderId="43" xfId="8" applyFont="1" applyFill="1" applyBorder="1" applyAlignment="1">
      <alignment horizontal="left"/>
    </xf>
    <xf numFmtId="0" fontId="4" fillId="4" borderId="58" xfId="8" applyFont="1" applyFill="1" applyBorder="1" applyAlignment="1">
      <alignment horizontal="left"/>
    </xf>
    <xf numFmtId="0" fontId="2" fillId="0" borderId="12" xfId="8" applyFont="1" applyBorder="1" applyAlignment="1">
      <alignment horizontal="left"/>
    </xf>
    <xf numFmtId="0" fontId="2" fillId="0" borderId="21" xfId="8" applyFont="1" applyBorder="1" applyAlignment="1">
      <alignment horizontal="left"/>
    </xf>
    <xf numFmtId="0" fontId="2" fillId="0" borderId="11" xfId="8" applyFont="1" applyBorder="1" applyAlignment="1">
      <alignment horizontal="left"/>
    </xf>
    <xf numFmtId="0" fontId="2" fillId="0" borderId="10" xfId="8" applyFont="1" applyBorder="1" applyAlignment="1">
      <alignment horizontal="left"/>
    </xf>
    <xf numFmtId="0" fontId="4" fillId="0" borderId="54" xfId="8" applyFont="1" applyBorder="1" applyAlignment="1">
      <alignment horizontal="right"/>
    </xf>
    <xf numFmtId="0" fontId="4" fillId="0" borderId="55" xfId="8" applyFont="1" applyBorder="1" applyAlignment="1">
      <alignment horizontal="right"/>
    </xf>
    <xf numFmtId="0" fontId="4" fillId="0" borderId="39" xfId="8" applyFont="1" applyBorder="1" applyAlignment="1">
      <alignment horizontal="right"/>
    </xf>
    <xf numFmtId="164" fontId="2" fillId="0" borderId="8" xfId="8" applyNumberFormat="1" applyFont="1" applyBorder="1" applyAlignment="1">
      <alignment horizontal="right"/>
    </xf>
    <xf numFmtId="0" fontId="2" fillId="3" borderId="56" xfId="8" applyFont="1" applyFill="1" applyBorder="1" applyAlignment="1">
      <alignment horizontal="center"/>
    </xf>
    <xf numFmtId="0" fontId="2" fillId="3" borderId="57" xfId="8" applyFont="1" applyFill="1" applyBorder="1" applyAlignment="1">
      <alignment horizontal="center"/>
    </xf>
    <xf numFmtId="0" fontId="2" fillId="3" borderId="23" xfId="4" applyFont="1" applyFill="1" applyBorder="1" applyAlignment="1">
      <alignment horizontal="left"/>
    </xf>
    <xf numFmtId="0" fontId="2" fillId="3" borderId="38" xfId="4" applyFont="1" applyFill="1" applyBorder="1" applyAlignment="1">
      <alignment horizontal="left"/>
    </xf>
    <xf numFmtId="0" fontId="2" fillId="3" borderId="24" xfId="4" applyFont="1" applyFill="1" applyBorder="1" applyAlignment="1">
      <alignment horizontal="left"/>
    </xf>
    <xf numFmtId="0" fontId="2" fillId="3" borderId="20" xfId="4" applyFont="1" applyFill="1" applyBorder="1" applyAlignment="1">
      <alignment horizontal="left"/>
    </xf>
    <xf numFmtId="0" fontId="2" fillId="3" borderId="5" xfId="4" applyFont="1" applyFill="1" applyBorder="1" applyAlignment="1">
      <alignment horizontal="left"/>
    </xf>
    <xf numFmtId="0" fontId="2" fillId="3" borderId="21" xfId="4" applyFont="1" applyFill="1" applyBorder="1" applyAlignment="1">
      <alignment horizontal="left"/>
    </xf>
    <xf numFmtId="0" fontId="4" fillId="4" borderId="14" xfId="8" applyFont="1" applyFill="1" applyBorder="1" applyAlignment="1">
      <alignment horizontal="center" vertical="center"/>
    </xf>
    <xf numFmtId="0" fontId="9" fillId="6" borderId="44" xfId="4" applyFont="1" applyFill="1" applyBorder="1" applyAlignment="1">
      <alignment horizontal="center" vertical="center" wrapText="1"/>
    </xf>
    <xf numFmtId="0" fontId="9" fillId="6" borderId="45" xfId="4" applyFont="1" applyFill="1" applyBorder="1" applyAlignment="1">
      <alignment horizontal="center" vertical="center" wrapText="1"/>
    </xf>
    <xf numFmtId="0" fontId="9" fillId="6" borderId="46" xfId="4" applyFont="1" applyFill="1" applyBorder="1" applyAlignment="1">
      <alignment horizontal="center" vertical="center" wrapText="1"/>
    </xf>
    <xf numFmtId="0" fontId="4" fillId="5" borderId="36" xfId="4" applyFont="1" applyFill="1" applyBorder="1" applyAlignment="1">
      <alignment horizontal="right" vertical="top" wrapText="1"/>
    </xf>
    <xf numFmtId="0" fontId="4" fillId="5" borderId="35" xfId="4" applyFont="1" applyFill="1" applyBorder="1" applyAlignment="1">
      <alignment horizontal="right" vertical="top" wrapText="1"/>
    </xf>
    <xf numFmtId="0" fontId="4" fillId="5" borderId="33" xfId="4" applyFont="1" applyFill="1" applyBorder="1" applyAlignment="1">
      <alignment horizontal="right" vertical="top" wrapText="1"/>
    </xf>
    <xf numFmtId="0" fontId="4" fillId="4" borderId="15" xfId="8" applyFont="1" applyFill="1" applyBorder="1" applyAlignment="1">
      <alignment horizontal="center" vertical="center"/>
    </xf>
    <xf numFmtId="0" fontId="4" fillId="4" borderId="3" xfId="8" applyFont="1" applyFill="1" applyBorder="1" applyAlignment="1">
      <alignment horizontal="center" vertical="center"/>
    </xf>
    <xf numFmtId="0" fontId="4" fillId="4" borderId="37" xfId="8" applyFont="1" applyFill="1" applyBorder="1" applyAlignment="1">
      <alignment horizontal="center" vertical="center"/>
    </xf>
    <xf numFmtId="0" fontId="4" fillId="4" borderId="42" xfId="8" applyFont="1" applyFill="1" applyBorder="1" applyAlignment="1">
      <alignment horizontal="center" vertical="center"/>
    </xf>
    <xf numFmtId="0" fontId="4" fillId="4" borderId="2" xfId="8" applyFont="1" applyFill="1" applyBorder="1" applyAlignment="1">
      <alignment horizontal="center" vertical="center"/>
    </xf>
    <xf numFmtId="0" fontId="8" fillId="3" borderId="26" xfId="4" applyFont="1" applyFill="1" applyBorder="1" applyAlignment="1">
      <alignment horizontal="center" vertical="center"/>
    </xf>
    <xf numFmtId="1" fontId="1" fillId="5" borderId="11" xfId="0" applyNumberFormat="1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25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0" fontId="2" fillId="3" borderId="23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4" fontId="2" fillId="0" borderId="20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164" fontId="2" fillId="0" borderId="11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right"/>
    </xf>
    <xf numFmtId="0" fontId="4" fillId="0" borderId="4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5" fontId="2" fillId="5" borderId="20" xfId="0" applyNumberFormat="1" applyFont="1" applyFill="1" applyBorder="1" applyAlignment="1">
      <alignment horizontal="center"/>
    </xf>
    <xf numFmtId="165" fontId="2" fillId="5" borderId="21" xfId="0" applyNumberFormat="1" applyFont="1" applyFill="1" applyBorder="1" applyAlignment="1">
      <alignment horizontal="center"/>
    </xf>
    <xf numFmtId="0" fontId="4" fillId="4" borderId="37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9" fillId="6" borderId="25" xfId="4" applyFont="1" applyFill="1" applyBorder="1" applyAlignment="1">
      <alignment horizontal="center" vertical="center" wrapText="1"/>
    </xf>
    <xf numFmtId="0" fontId="9" fillId="6" borderId="38" xfId="4" applyFont="1" applyFill="1" applyBorder="1" applyAlignment="1">
      <alignment horizontal="center" vertical="center" wrapText="1"/>
    </xf>
    <xf numFmtId="0" fontId="9" fillId="6" borderId="22" xfId="4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2" fillId="0" borderId="4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2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4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4" borderId="17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6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64" fontId="2" fillId="0" borderId="1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2" fontId="2" fillId="5" borderId="20" xfId="3" applyNumberFormat="1" applyFont="1" applyFill="1" applyBorder="1" applyAlignment="1">
      <alignment horizontal="center"/>
    </xf>
    <xf numFmtId="12" fontId="2" fillId="5" borderId="21" xfId="3" applyNumberFormat="1" applyFont="1" applyFill="1" applyBorder="1" applyAlignment="1">
      <alignment horizontal="center"/>
    </xf>
    <xf numFmtId="1" fontId="51" fillId="0" borderId="20" xfId="0" applyNumberFormat="1" applyFont="1" applyBorder="1" applyAlignment="1">
      <alignment horizontal="center"/>
    </xf>
    <xf numFmtId="1" fontId="51" fillId="0" borderId="21" xfId="0" applyNumberFormat="1" applyFont="1" applyBorder="1" applyAlignment="1">
      <alignment horizontal="center"/>
    </xf>
    <xf numFmtId="0" fontId="4" fillId="0" borderId="54" xfId="0" applyFont="1" applyBorder="1" applyAlignment="1">
      <alignment horizontal="right"/>
    </xf>
    <xf numFmtId="0" fontId="4" fillId="0" borderId="55" xfId="0" applyFont="1" applyBorder="1" applyAlignment="1">
      <alignment horizontal="right"/>
    </xf>
    <xf numFmtId="0" fontId="4" fillId="0" borderId="39" xfId="0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0" fontId="2" fillId="3" borderId="56" xfId="0" applyFont="1" applyFill="1" applyBorder="1" applyAlignment="1">
      <alignment horizontal="center"/>
    </xf>
    <xf numFmtId="0" fontId="2" fillId="3" borderId="57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64" xfId="4" applyFont="1" applyFill="1" applyBorder="1" applyAlignment="1">
      <alignment horizontal="center"/>
    </xf>
    <xf numFmtId="0" fontId="2" fillId="3" borderId="65" xfId="4" applyFont="1" applyFill="1" applyBorder="1" applyAlignment="1">
      <alignment horizontal="center"/>
    </xf>
    <xf numFmtId="0" fontId="2" fillId="3" borderId="66" xfId="4" applyFont="1" applyFill="1" applyBorder="1" applyAlignment="1">
      <alignment horizontal="center"/>
    </xf>
    <xf numFmtId="0" fontId="4" fillId="4" borderId="44" xfId="0" applyFont="1" applyFill="1" applyBorder="1" applyAlignment="1">
      <alignment horizontal="left"/>
    </xf>
    <xf numFmtId="0" fontId="4" fillId="4" borderId="45" xfId="0" applyFont="1" applyFill="1" applyBorder="1" applyAlignment="1">
      <alignment horizontal="left"/>
    </xf>
    <xf numFmtId="0" fontId="4" fillId="4" borderId="46" xfId="0" applyFont="1" applyFill="1" applyBorder="1" applyAlignment="1">
      <alignment horizontal="left"/>
    </xf>
    <xf numFmtId="164" fontId="2" fillId="0" borderId="20" xfId="0" applyNumberFormat="1" applyFont="1" applyBorder="1" applyAlignment="1">
      <alignment horizontal="right" wrapText="1"/>
    </xf>
    <xf numFmtId="164" fontId="2" fillId="0" borderId="21" xfId="0" applyNumberFormat="1" applyFont="1" applyBorder="1" applyAlignment="1">
      <alignment horizontal="right" wrapText="1"/>
    </xf>
    <xf numFmtId="0" fontId="13" fillId="0" borderId="54" xfId="0" applyFont="1" applyBorder="1" applyAlignment="1">
      <alignment horizontal="left"/>
    </xf>
    <xf numFmtId="0" fontId="13" fillId="0" borderId="55" xfId="0" applyFont="1" applyBorder="1" applyAlignment="1">
      <alignment horizontal="left"/>
    </xf>
    <xf numFmtId="0" fontId="13" fillId="0" borderId="57" xfId="0" applyFont="1" applyBorder="1" applyAlignment="1">
      <alignment horizontal="left"/>
    </xf>
    <xf numFmtId="0" fontId="4" fillId="4" borderId="1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13" fillId="0" borderId="27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3" fillId="0" borderId="31" xfId="0" applyFont="1" applyBorder="1" applyAlignment="1">
      <alignment horizontal="left"/>
    </xf>
    <xf numFmtId="0" fontId="4" fillId="17" borderId="67" xfId="0" applyFont="1" applyFill="1" applyBorder="1" applyAlignment="1">
      <alignment horizontal="left"/>
    </xf>
    <xf numFmtId="0" fontId="4" fillId="17" borderId="33" xfId="0" applyFont="1" applyFill="1" applyBorder="1" applyAlignment="1">
      <alignment horizontal="left"/>
    </xf>
    <xf numFmtId="0" fontId="4" fillId="17" borderId="42" xfId="0" applyFont="1" applyFill="1" applyBorder="1" applyAlignment="1">
      <alignment horizontal="left"/>
    </xf>
    <xf numFmtId="0" fontId="4" fillId="17" borderId="32" xfId="0" applyFont="1" applyFill="1" applyBorder="1" applyAlignment="1">
      <alignment horizontal="left"/>
    </xf>
    <xf numFmtId="0" fontId="9" fillId="6" borderId="47" xfId="4" applyFont="1" applyFill="1" applyBorder="1" applyAlignment="1">
      <alignment horizontal="center"/>
    </xf>
    <xf numFmtId="0" fontId="9" fillId="6" borderId="48" xfId="4" applyFont="1" applyFill="1" applyBorder="1" applyAlignment="1">
      <alignment horizontal="center"/>
    </xf>
    <xf numFmtId="0" fontId="9" fillId="6" borderId="49" xfId="4" applyFont="1" applyFill="1" applyBorder="1" applyAlignment="1">
      <alignment horizontal="center"/>
    </xf>
    <xf numFmtId="0" fontId="51" fillId="0" borderId="6" xfId="3" applyFont="1" applyBorder="1" applyAlignment="1">
      <alignment horizontal="left"/>
    </xf>
    <xf numFmtId="0" fontId="51" fillId="0" borderId="5" xfId="3" applyFont="1" applyBorder="1" applyAlignment="1">
      <alignment horizontal="left"/>
    </xf>
    <xf numFmtId="0" fontId="51" fillId="0" borderId="4" xfId="3" applyFont="1" applyBorder="1" applyAlignment="1">
      <alignment horizontal="left"/>
    </xf>
    <xf numFmtId="0" fontId="4" fillId="17" borderId="3" xfId="0" applyFont="1" applyFill="1" applyBorder="1" applyAlignment="1">
      <alignment horizontal="left"/>
    </xf>
    <xf numFmtId="0" fontId="4" fillId="17" borderId="41" xfId="0" applyFont="1" applyFill="1" applyBorder="1" applyAlignment="1">
      <alignment horizontal="left"/>
    </xf>
    <xf numFmtId="0" fontId="4" fillId="17" borderId="2" xfId="0" applyFont="1" applyFill="1" applyBorder="1" applyAlignment="1">
      <alignment horizontal="left"/>
    </xf>
    <xf numFmtId="0" fontId="4" fillId="17" borderId="1" xfId="0" applyFont="1" applyFill="1" applyBorder="1" applyAlignment="1">
      <alignment horizontal="left"/>
    </xf>
    <xf numFmtId="0" fontId="0" fillId="3" borderId="11" xfId="4" applyFont="1" applyFill="1" applyBorder="1" applyAlignment="1">
      <alignment horizontal="left"/>
    </xf>
    <xf numFmtId="0" fontId="45" fillId="4" borderId="2" xfId="0" applyFont="1" applyFill="1" applyBorder="1" applyAlignment="1">
      <alignment horizontal="center" vertical="center"/>
    </xf>
    <xf numFmtId="0" fontId="45" fillId="4" borderId="3" xfId="0" applyFont="1" applyFill="1" applyBorder="1" applyAlignment="1">
      <alignment horizontal="center" vertical="center"/>
    </xf>
    <xf numFmtId="0" fontId="45" fillId="4" borderId="42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3" borderId="62" xfId="4" applyFont="1" applyFill="1" applyBorder="1" applyAlignment="1">
      <alignment horizontal="left"/>
    </xf>
    <xf numFmtId="0" fontId="2" fillId="3" borderId="63" xfId="4" applyFont="1" applyFill="1" applyBorder="1" applyAlignment="1">
      <alignment horizontal="left"/>
    </xf>
    <xf numFmtId="0" fontId="2" fillId="3" borderId="36" xfId="4" applyFont="1" applyFill="1" applyBorder="1" applyAlignment="1">
      <alignment horizontal="left"/>
    </xf>
    <xf numFmtId="0" fontId="2" fillId="3" borderId="61" xfId="4" applyFont="1" applyFill="1" applyBorder="1" applyAlignment="1">
      <alignment horizontal="center"/>
    </xf>
    <xf numFmtId="0" fontId="2" fillId="3" borderId="35" xfId="4" applyFont="1" applyFill="1" applyBorder="1" applyAlignment="1">
      <alignment horizontal="center"/>
    </xf>
    <xf numFmtId="0" fontId="2" fillId="3" borderId="33" xfId="4" applyFont="1" applyFill="1" applyBorder="1" applyAlignment="1">
      <alignment horizontal="center"/>
    </xf>
    <xf numFmtId="0" fontId="11" fillId="3" borderId="24" xfId="4" applyFont="1" applyFill="1" applyBorder="1" applyAlignment="1">
      <alignment horizontal="center"/>
    </xf>
    <xf numFmtId="0" fontId="11" fillId="3" borderId="36" xfId="4" applyFont="1" applyFill="1" applyBorder="1" applyAlignment="1">
      <alignment horizontal="center"/>
    </xf>
    <xf numFmtId="0" fontId="53" fillId="3" borderId="44" xfId="4" applyFont="1" applyFill="1" applyBorder="1" applyAlignment="1">
      <alignment horizontal="right" vertical="center"/>
    </xf>
    <xf numFmtId="0" fontId="53" fillId="3" borderId="45" xfId="4" applyFont="1" applyFill="1" applyBorder="1" applyAlignment="1">
      <alignment horizontal="right" vertical="center"/>
    </xf>
    <xf numFmtId="0" fontId="57" fillId="3" borderId="45" xfId="4" applyFont="1" applyFill="1" applyBorder="1" applyAlignment="1">
      <alignment horizontal="center" vertical="center"/>
    </xf>
    <xf numFmtId="0" fontId="53" fillId="3" borderId="45" xfId="4" applyFont="1" applyFill="1" applyBorder="1" applyAlignment="1">
      <alignment horizontal="center" vertical="center"/>
    </xf>
    <xf numFmtId="0" fontId="13" fillId="0" borderId="71" xfId="3" applyFont="1" applyBorder="1" applyAlignment="1">
      <alignment horizontal="left" vertical="center"/>
    </xf>
    <xf numFmtId="0" fontId="13" fillId="0" borderId="63" xfId="3" applyFont="1" applyBorder="1" applyAlignment="1">
      <alignment horizontal="left" vertical="center"/>
    </xf>
    <xf numFmtId="0" fontId="13" fillId="0" borderId="72" xfId="3" applyFont="1" applyBorder="1" applyAlignment="1">
      <alignment horizontal="left" vertical="center"/>
    </xf>
    <xf numFmtId="0" fontId="6" fillId="18" borderId="44" xfId="3" applyFont="1" applyFill="1" applyBorder="1" applyAlignment="1">
      <alignment horizontal="left" vertical="center"/>
    </xf>
    <xf numFmtId="0" fontId="6" fillId="18" borderId="45" xfId="3" applyFont="1" applyFill="1" applyBorder="1" applyAlignment="1">
      <alignment horizontal="left" vertical="center"/>
    </xf>
    <xf numFmtId="0" fontId="6" fillId="18" borderId="46" xfId="3" applyFont="1" applyFill="1" applyBorder="1" applyAlignment="1">
      <alignment horizontal="left" vertical="center"/>
    </xf>
    <xf numFmtId="0" fontId="13" fillId="0" borderId="54" xfId="3" applyFont="1" applyBorder="1" applyAlignment="1">
      <alignment horizontal="left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7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/>
    </xf>
    <xf numFmtId="0" fontId="13" fillId="0" borderId="55" xfId="3" applyFont="1" applyBorder="1" applyAlignment="1">
      <alignment horizontal="left" vertical="center"/>
    </xf>
    <xf numFmtId="0" fontId="13" fillId="0" borderId="57" xfId="3" applyFont="1" applyBorder="1" applyAlignment="1">
      <alignment horizontal="left" vertical="center"/>
    </xf>
    <xf numFmtId="0" fontId="13" fillId="0" borderId="6" xfId="3" applyFont="1" applyBorder="1" applyAlignment="1">
      <alignment horizontal="left" vertical="center"/>
    </xf>
    <xf numFmtId="0" fontId="13" fillId="0" borderId="5" xfId="3" applyFont="1" applyBorder="1" applyAlignment="1">
      <alignment horizontal="left" vertical="center"/>
    </xf>
    <xf numFmtId="0" fontId="13" fillId="0" borderId="4" xfId="3" applyFont="1" applyBorder="1" applyAlignment="1">
      <alignment horizontal="left" vertical="center"/>
    </xf>
    <xf numFmtId="0" fontId="13" fillId="0" borderId="6" xfId="3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2" fillId="3" borderId="19" xfId="4" applyFont="1" applyFill="1" applyBorder="1" applyAlignment="1">
      <alignment horizontal="left"/>
    </xf>
    <xf numFmtId="0" fontId="2" fillId="3" borderId="68" xfId="4" applyFont="1" applyFill="1" applyBorder="1" applyAlignment="1">
      <alignment horizontal="left"/>
    </xf>
    <xf numFmtId="0" fontId="2" fillId="3" borderId="41" xfId="4" applyFont="1" applyFill="1" applyBorder="1" applyAlignment="1">
      <alignment horizontal="left"/>
    </xf>
    <xf numFmtId="0" fontId="47" fillId="3" borderId="44" xfId="4" applyFont="1" applyFill="1" applyBorder="1" applyAlignment="1">
      <alignment horizontal="right"/>
    </xf>
    <xf numFmtId="0" fontId="47" fillId="3" borderId="45" xfId="4" applyFont="1" applyFill="1" applyBorder="1" applyAlignment="1">
      <alignment horizontal="right"/>
    </xf>
    <xf numFmtId="0" fontId="49" fillId="3" borderId="45" xfId="4" applyFont="1" applyFill="1" applyBorder="1" applyAlignment="1">
      <alignment horizontal="center"/>
    </xf>
    <xf numFmtId="0" fontId="47" fillId="3" borderId="45" xfId="4" applyFont="1" applyFill="1" applyBorder="1"/>
  </cellXfs>
  <cellStyles count="10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2 2" xfId="8" xr:uid="{EFE4F5E3-F39A-4DEC-AC57-AC8EED8CCC7A}"/>
    <cellStyle name="Normal 3" xfId="1" xr:uid="{803E519B-2740-4E7A-923A-CB7740063403}"/>
    <cellStyle name="Normal_CRITERIOS DE EVALUACION PT DE GB 2" xfId="4" xr:uid="{0E6C28D8-E8D3-415B-A485-03AE705826C7}"/>
    <cellStyle name="Porcentaje" xfId="7" builtinId="5"/>
    <cellStyle name="Porcentaje 2" xfId="2" xr:uid="{0C666092-3C53-4391-8862-D26D35EA70F5}"/>
    <cellStyle name="Porcentaje 2 2" xfId="9" xr:uid="{F24EB082-7476-4F73-81EA-B2BBCCE9DC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gif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387349</xdr:colOff>
      <xdr:row>0</xdr:row>
      <xdr:rowOff>1</xdr:rowOff>
    </xdr:from>
    <xdr:to>
      <xdr:col>1</xdr:col>
      <xdr:colOff>245312</xdr:colOff>
      <xdr:row>4</xdr:row>
      <xdr:rowOff>190501</xdr:rowOff>
    </xdr:to>
    <xdr:pic>
      <xdr:nvPicPr>
        <xdr:cNvPr id="2" name="Imagen 29">
          <a:extLst>
            <a:ext uri="{FF2B5EF4-FFF2-40B4-BE49-F238E27FC236}">
              <a16:creationId xmlns:a16="http://schemas.microsoft.com/office/drawing/2014/main" id="{56D58C9C-1C57-4F64-92A8-6AC7F7408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49" y="1"/>
          <a:ext cx="924763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292100</xdr:colOff>
      <xdr:row>0</xdr:row>
      <xdr:rowOff>222249</xdr:rowOff>
    </xdr:from>
    <xdr:ext cx="1562100" cy="1023065"/>
    <xdr:pic>
      <xdr:nvPicPr>
        <xdr:cNvPr id="2" name="Imagen 29">
          <a:extLst>
            <a:ext uri="{FF2B5EF4-FFF2-40B4-BE49-F238E27FC236}">
              <a16:creationId xmlns:a16="http://schemas.microsoft.com/office/drawing/2014/main" id="{8F24AB0A-BD9A-4EB9-8651-2A32C9E3C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222249"/>
          <a:ext cx="1562100" cy="1023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1</xdr:col>
      <xdr:colOff>600075</xdr:colOff>
      <xdr:row>4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95E98C-D596-4650-B0D4-A03347FE5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7150"/>
          <a:ext cx="11144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14</xdr:row>
      <xdr:rowOff>28575</xdr:rowOff>
    </xdr:from>
    <xdr:to>
      <xdr:col>6</xdr:col>
      <xdr:colOff>428625</xdr:colOff>
      <xdr:row>25</xdr:row>
      <xdr:rowOff>57150</xdr:rowOff>
    </xdr:to>
    <xdr:pic>
      <xdr:nvPicPr>
        <xdr:cNvPr id="3" name="Picture 3" descr="100_0099">
          <a:extLst>
            <a:ext uri="{FF2B5EF4-FFF2-40B4-BE49-F238E27FC236}">
              <a16:creationId xmlns:a16="http://schemas.microsoft.com/office/drawing/2014/main" id="{A1824675-2B3E-49F5-836A-7C24E510D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3476625"/>
          <a:ext cx="181927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0</xdr:row>
      <xdr:rowOff>0</xdr:rowOff>
    </xdr:from>
    <xdr:to>
      <xdr:col>2</xdr:col>
      <xdr:colOff>657225</xdr:colOff>
      <xdr:row>3</xdr:row>
      <xdr:rowOff>0</xdr:rowOff>
    </xdr:to>
    <xdr:pic>
      <xdr:nvPicPr>
        <xdr:cNvPr id="4" name="5 Imagen" descr="C:\Users\mbeeche\Desktop\logo de spoon nuevo.gif">
          <a:extLst>
            <a:ext uri="{FF2B5EF4-FFF2-40B4-BE49-F238E27FC236}">
              <a16:creationId xmlns:a16="http://schemas.microsoft.com/office/drawing/2014/main" id="{D09F1E6D-704A-4BA0-96B5-F93BA56A0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0"/>
          <a:ext cx="16859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533400</xdr:colOff>
      <xdr:row>14</xdr:row>
      <xdr:rowOff>104775</xdr:rowOff>
    </xdr:from>
    <xdr:to>
      <xdr:col>6</xdr:col>
      <xdr:colOff>514350</xdr:colOff>
      <xdr:row>25</xdr:row>
      <xdr:rowOff>85725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EADEEF33-C3CB-4D57-9540-1EE7035F3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t="6250" r="10417" b="14063"/>
        <a:stretch>
          <a:fillRect/>
        </a:stretch>
      </xdr:blipFill>
      <xdr:spPr bwMode="auto">
        <a:xfrm>
          <a:off x="3248025" y="3552825"/>
          <a:ext cx="226695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276226</xdr:colOff>
      <xdr:row>0</xdr:row>
      <xdr:rowOff>66676</xdr:rowOff>
    </xdr:from>
    <xdr:to>
      <xdr:col>2</xdr:col>
      <xdr:colOff>571501</xdr:colOff>
      <xdr:row>3</xdr:row>
      <xdr:rowOff>125924</xdr:rowOff>
    </xdr:to>
    <xdr:pic>
      <xdr:nvPicPr>
        <xdr:cNvPr id="2" name="5 Imagen" descr="C:\Users\mbeeche\Desktop\logo de spoon nuevo.gif">
          <a:extLst>
            <a:ext uri="{FF2B5EF4-FFF2-40B4-BE49-F238E27FC236}">
              <a16:creationId xmlns:a16="http://schemas.microsoft.com/office/drawing/2014/main" id="{3F60BEB5-5D1A-4EFD-AC5C-AE4CAAC85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6" y="66676"/>
          <a:ext cx="1371600" cy="706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48685</xdr:rowOff>
    </xdr:from>
    <xdr:to>
      <xdr:col>1</xdr:col>
      <xdr:colOff>492125</xdr:colOff>
      <xdr:row>4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733F81-8337-4D71-8284-B5F5EA238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48685"/>
          <a:ext cx="1276350" cy="8561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228599</xdr:colOff>
      <xdr:row>0</xdr:row>
      <xdr:rowOff>95250</xdr:rowOff>
    </xdr:from>
    <xdr:ext cx="1697567" cy="1280583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61013BF2-242B-4B44-9BC0-34A405266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28599" y="95250"/>
          <a:ext cx="1697567" cy="1280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38100</xdr:rowOff>
    </xdr:from>
    <xdr:ext cx="1346974" cy="1237760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7DA28C21-C8FC-4622-A78A-BE01F774F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09550" y="38100"/>
          <a:ext cx="1346974" cy="1237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255868</xdr:colOff>
      <xdr:row>0</xdr:row>
      <xdr:rowOff>36232</xdr:rowOff>
    </xdr:from>
    <xdr:to>
      <xdr:col>1</xdr:col>
      <xdr:colOff>381000</xdr:colOff>
      <xdr:row>4</xdr:row>
      <xdr:rowOff>114601</xdr:rowOff>
    </xdr:to>
    <xdr:pic>
      <xdr:nvPicPr>
        <xdr:cNvPr id="3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BF733F5B-A99C-4F63-B87A-F1738B574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255868" y="36232"/>
          <a:ext cx="1201457" cy="8975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66675</xdr:rowOff>
    </xdr:from>
    <xdr:to>
      <xdr:col>1</xdr:col>
      <xdr:colOff>381000</xdr:colOff>
      <xdr:row>4</xdr:row>
      <xdr:rowOff>96151</xdr:rowOff>
    </xdr:to>
    <xdr:pic>
      <xdr:nvPicPr>
        <xdr:cNvPr id="2" name="Picture 11" descr="LOGO FINAL">
          <a:extLst>
            <a:ext uri="{FF2B5EF4-FFF2-40B4-BE49-F238E27FC236}">
              <a16:creationId xmlns:a16="http://schemas.microsoft.com/office/drawing/2014/main" id="{FD475E97-E8BC-478C-AA78-CAD37E693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29" r="11829"/>
        <a:stretch>
          <a:fillRect/>
        </a:stretch>
      </xdr:blipFill>
      <xdr:spPr bwMode="auto">
        <a:xfrm>
          <a:off x="114300" y="66675"/>
          <a:ext cx="1343025" cy="87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1</xdr:row>
      <xdr:rowOff>19050</xdr:rowOff>
    </xdr:from>
    <xdr:to>
      <xdr:col>1</xdr:col>
      <xdr:colOff>455705</xdr:colOff>
      <xdr:row>4</xdr:row>
      <xdr:rowOff>152400</xdr:rowOff>
    </xdr:to>
    <xdr:pic>
      <xdr:nvPicPr>
        <xdr:cNvPr id="2" name="Imagen 29">
          <a:extLst>
            <a:ext uri="{FF2B5EF4-FFF2-40B4-BE49-F238E27FC236}">
              <a16:creationId xmlns:a16="http://schemas.microsoft.com/office/drawing/2014/main" id="{50A2BF4F-81DE-4E20-B595-8E28D0F58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6" y="219075"/>
          <a:ext cx="1274854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266701</xdr:colOff>
      <xdr:row>0</xdr:row>
      <xdr:rowOff>0</xdr:rowOff>
    </xdr:from>
    <xdr:to>
      <xdr:col>1</xdr:col>
      <xdr:colOff>314325</xdr:colOff>
      <xdr:row>4</xdr:row>
      <xdr:rowOff>150667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2B499B14-C194-447C-A6C8-0A6652FA1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266701" y="0"/>
          <a:ext cx="1133474" cy="969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18</xdr:row>
      <xdr:rowOff>161925</xdr:rowOff>
    </xdr:from>
    <xdr:to>
      <xdr:col>23</xdr:col>
      <xdr:colOff>191470</xdr:colOff>
      <xdr:row>40</xdr:row>
      <xdr:rowOff>19604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30E53C-AA24-0851-1853-7259149A7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2581275"/>
          <a:ext cx="6954220" cy="397247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211065</xdr:colOff>
      <xdr:row>0</xdr:row>
      <xdr:rowOff>55201</xdr:rowOff>
    </xdr:from>
    <xdr:to>
      <xdr:col>1</xdr:col>
      <xdr:colOff>928686</xdr:colOff>
      <xdr:row>4</xdr:row>
      <xdr:rowOff>88570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66125E2D-356C-469A-B606-E013E0BAF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65" y="55201"/>
          <a:ext cx="1836809" cy="1081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18</xdr:row>
      <xdr:rowOff>161925</xdr:rowOff>
    </xdr:from>
    <xdr:to>
      <xdr:col>20</xdr:col>
      <xdr:colOff>77170</xdr:colOff>
      <xdr:row>39</xdr:row>
      <xdr:rowOff>133904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E297D59-1EFA-456E-AAFA-B9C27CC7E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2581275"/>
          <a:ext cx="6954220" cy="397247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18</xdr:row>
      <xdr:rowOff>161925</xdr:rowOff>
    </xdr:from>
    <xdr:to>
      <xdr:col>17</xdr:col>
      <xdr:colOff>381970</xdr:colOff>
      <xdr:row>39</xdr:row>
      <xdr:rowOff>76754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C80E18-F3BB-4C28-BEDD-7B4352E5E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2581275"/>
          <a:ext cx="5153995" cy="39153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DDDA-F718-40BF-B398-B5D28ADAA365}">
  <dimension ref="A1:I39"/>
  <sheetViews>
    <sheetView workbookViewId="0">
      <selection activeCell="C12" sqref="C12"/>
    </sheetView>
  </sheetViews>
  <sheetFormatPr baseColWidth="10" defaultRowHeight="15" x14ac:dyDescent="0.25"/>
  <cols>
    <col min="1" max="1" width="16" customWidth="1"/>
    <col min="2" max="2" width="14.42578125" customWidth="1"/>
    <col min="3" max="3" width="36" customWidth="1"/>
    <col min="8" max="8" width="19.28515625" customWidth="1"/>
    <col min="9" max="9" width="18.5703125" customWidth="1"/>
  </cols>
  <sheetData>
    <row r="1" spans="1:9" ht="18" x14ac:dyDescent="0.25">
      <c r="A1" s="682"/>
      <c r="B1" s="683"/>
      <c r="C1" s="688" t="s">
        <v>35</v>
      </c>
      <c r="D1" s="688"/>
      <c r="E1" s="688"/>
      <c r="F1" s="688"/>
      <c r="G1" s="688"/>
      <c r="H1" s="274" t="s">
        <v>34</v>
      </c>
      <c r="I1" s="275" t="s">
        <v>191</v>
      </c>
    </row>
    <row r="2" spans="1:9" ht="18" x14ac:dyDescent="0.25">
      <c r="A2" s="684"/>
      <c r="B2" s="685"/>
      <c r="C2" s="689" t="s">
        <v>33</v>
      </c>
      <c r="D2" s="689"/>
      <c r="E2" s="689"/>
      <c r="F2" s="689"/>
      <c r="G2" s="689"/>
      <c r="H2" s="277" t="s">
        <v>32</v>
      </c>
      <c r="I2" s="323" t="s">
        <v>170</v>
      </c>
    </row>
    <row r="3" spans="1:9" x14ac:dyDescent="0.25">
      <c r="A3" s="684"/>
      <c r="B3" s="685"/>
      <c r="C3" s="690" t="s">
        <v>192</v>
      </c>
      <c r="D3" s="691"/>
      <c r="E3" s="691"/>
      <c r="F3" s="691"/>
      <c r="G3" s="692"/>
      <c r="H3" s="693" t="s">
        <v>31</v>
      </c>
      <c r="I3" s="678" t="s">
        <v>193</v>
      </c>
    </row>
    <row r="4" spans="1:9" x14ac:dyDescent="0.25">
      <c r="A4" s="684"/>
      <c r="B4" s="685"/>
      <c r="C4" s="279" t="s">
        <v>30</v>
      </c>
      <c r="D4" s="680" t="s">
        <v>172</v>
      </c>
      <c r="E4" s="680"/>
      <c r="F4" s="680"/>
      <c r="G4" s="680"/>
      <c r="H4" s="693"/>
      <c r="I4" s="678"/>
    </row>
    <row r="5" spans="1:9" ht="15.75" thickBot="1" x14ac:dyDescent="0.3">
      <c r="A5" s="686"/>
      <c r="B5" s="687"/>
      <c r="C5" s="280" t="s">
        <v>29</v>
      </c>
      <c r="D5" s="681" t="s">
        <v>173</v>
      </c>
      <c r="E5" s="681"/>
      <c r="F5" s="681"/>
      <c r="G5" s="681"/>
      <c r="H5" s="694"/>
      <c r="I5" s="679"/>
    </row>
    <row r="6" spans="1:9" x14ac:dyDescent="0.25">
      <c r="A6" s="281"/>
      <c r="B6" s="281"/>
      <c r="C6" s="282"/>
      <c r="D6" s="283"/>
      <c r="E6" s="283"/>
      <c r="F6" s="283"/>
      <c r="G6" s="283"/>
      <c r="H6" s="284"/>
      <c r="I6" s="285"/>
    </row>
    <row r="7" spans="1:9" ht="18.75" thickBot="1" x14ac:dyDescent="0.3">
      <c r="A7" s="695" t="s">
        <v>27</v>
      </c>
      <c r="B7" s="695"/>
      <c r="C7" s="695"/>
      <c r="D7" s="696" t="s">
        <v>194</v>
      </c>
      <c r="E7" s="696"/>
      <c r="F7" s="696"/>
      <c r="G7" s="697" t="s">
        <v>25</v>
      </c>
      <c r="H7" s="697"/>
      <c r="I7" s="286" t="s">
        <v>194</v>
      </c>
    </row>
    <row r="8" spans="1:9" x14ac:dyDescent="0.25">
      <c r="A8" s="698" t="s">
        <v>23</v>
      </c>
      <c r="B8" s="700" t="s">
        <v>36</v>
      </c>
      <c r="C8" s="702" t="s">
        <v>22</v>
      </c>
      <c r="D8" s="702" t="s">
        <v>21</v>
      </c>
      <c r="E8" s="702" t="s">
        <v>20</v>
      </c>
      <c r="F8" s="702"/>
      <c r="G8" s="702" t="s">
        <v>19</v>
      </c>
      <c r="H8" s="702"/>
      <c r="I8" s="287" t="s">
        <v>18</v>
      </c>
    </row>
    <row r="9" spans="1:9" ht="27" thickBot="1" x14ac:dyDescent="0.3">
      <c r="A9" s="699"/>
      <c r="B9" s="701"/>
      <c r="C9" s="703"/>
      <c r="D9" s="703"/>
      <c r="E9" s="288" t="s">
        <v>15</v>
      </c>
      <c r="F9" s="289" t="s">
        <v>17</v>
      </c>
      <c r="G9" s="290" t="s">
        <v>15</v>
      </c>
      <c r="H9" s="289" t="s">
        <v>17</v>
      </c>
      <c r="I9" s="291" t="s">
        <v>16</v>
      </c>
    </row>
    <row r="10" spans="1:9" ht="15.75" x14ac:dyDescent="0.25">
      <c r="A10" s="324">
        <v>11200080</v>
      </c>
      <c r="B10" s="324" t="s">
        <v>195</v>
      </c>
      <c r="C10" s="84" t="s">
        <v>196</v>
      </c>
      <c r="D10" s="293" t="s">
        <v>197</v>
      </c>
      <c r="E10" s="293">
        <v>4600</v>
      </c>
      <c r="F10" s="294" t="s">
        <v>2</v>
      </c>
      <c r="G10" s="295"/>
      <c r="H10" s="294"/>
      <c r="I10" s="296"/>
    </row>
    <row r="11" spans="1:9" ht="15.75" x14ac:dyDescent="0.25">
      <c r="A11" s="325" t="s">
        <v>198</v>
      </c>
      <c r="B11" s="325" t="s">
        <v>199</v>
      </c>
      <c r="C11" s="326" t="s">
        <v>200</v>
      </c>
      <c r="D11" s="293" t="s">
        <v>201</v>
      </c>
      <c r="E11" s="293">
        <v>11000</v>
      </c>
      <c r="F11" s="294" t="s">
        <v>2</v>
      </c>
      <c r="G11" s="295"/>
      <c r="H11" s="294"/>
      <c r="I11" s="296"/>
    </row>
    <row r="12" spans="1:9" ht="15.75" x14ac:dyDescent="0.25">
      <c r="A12" s="222" t="s">
        <v>202</v>
      </c>
      <c r="B12" s="222" t="s">
        <v>203</v>
      </c>
      <c r="C12" s="223" t="s">
        <v>204</v>
      </c>
      <c r="D12" s="293" t="s">
        <v>205</v>
      </c>
      <c r="E12" s="293">
        <v>7500</v>
      </c>
      <c r="F12" s="294" t="s">
        <v>2</v>
      </c>
      <c r="G12" s="295"/>
      <c r="H12" s="294"/>
      <c r="I12" s="296"/>
    </row>
    <row r="13" spans="1:9" ht="15.75" x14ac:dyDescent="0.25">
      <c r="A13" s="231" t="s">
        <v>206</v>
      </c>
      <c r="B13" s="231" t="s">
        <v>207</v>
      </c>
      <c r="C13" s="232" t="s">
        <v>208</v>
      </c>
      <c r="D13" s="293" t="s">
        <v>205</v>
      </c>
      <c r="E13" s="293">
        <v>1900</v>
      </c>
      <c r="F13" s="294"/>
      <c r="G13" s="295"/>
      <c r="H13" s="294"/>
      <c r="I13" s="296"/>
    </row>
    <row r="14" spans="1:9" ht="15.75" x14ac:dyDescent="0.25">
      <c r="A14" s="325" t="s">
        <v>209</v>
      </c>
      <c r="B14" s="325" t="s">
        <v>210</v>
      </c>
      <c r="C14" s="326" t="s">
        <v>211</v>
      </c>
      <c r="D14" s="293" t="s">
        <v>72</v>
      </c>
      <c r="E14" s="293">
        <v>50</v>
      </c>
      <c r="F14" s="294" t="s">
        <v>2</v>
      </c>
      <c r="G14" s="295"/>
      <c r="H14" s="294"/>
      <c r="I14" s="296"/>
    </row>
    <row r="15" spans="1:9" ht="15.75" x14ac:dyDescent="0.25">
      <c r="A15" s="327">
        <v>10100046</v>
      </c>
      <c r="B15" s="327" t="s">
        <v>212</v>
      </c>
      <c r="C15" s="328" t="s">
        <v>213</v>
      </c>
      <c r="D15" s="293" t="s">
        <v>214</v>
      </c>
      <c r="E15" s="293">
        <v>300</v>
      </c>
      <c r="F15" s="294" t="s">
        <v>2</v>
      </c>
      <c r="G15" s="295"/>
      <c r="H15" s="294"/>
      <c r="I15" s="296"/>
    </row>
    <row r="16" spans="1:9" ht="15.75" x14ac:dyDescent="0.25">
      <c r="A16" s="327"/>
      <c r="B16" s="327"/>
      <c r="C16" s="328"/>
      <c r="D16" s="329"/>
      <c r="E16" s="294"/>
      <c r="F16" s="294"/>
      <c r="G16" s="295"/>
      <c r="H16" s="294"/>
      <c r="I16" s="296"/>
    </row>
    <row r="17" spans="1:9" ht="15.75" x14ac:dyDescent="0.25">
      <c r="A17" s="325" t="s">
        <v>215</v>
      </c>
      <c r="B17" s="325" t="s">
        <v>216</v>
      </c>
      <c r="C17" s="326" t="s">
        <v>217</v>
      </c>
      <c r="D17" s="329"/>
      <c r="E17" s="294">
        <v>1</v>
      </c>
      <c r="F17" s="294" t="s">
        <v>7</v>
      </c>
      <c r="G17" s="295"/>
      <c r="H17" s="294"/>
      <c r="I17" s="296"/>
    </row>
    <row r="18" spans="1:9" ht="15.75" x14ac:dyDescent="0.25">
      <c r="A18" s="325">
        <v>503000042</v>
      </c>
      <c r="B18" s="325" t="s">
        <v>218</v>
      </c>
      <c r="C18" s="326" t="s">
        <v>219</v>
      </c>
      <c r="D18" s="329"/>
      <c r="E18" s="294">
        <v>1</v>
      </c>
      <c r="F18" s="294" t="s">
        <v>7</v>
      </c>
      <c r="G18" s="295"/>
      <c r="H18" s="294"/>
      <c r="I18" s="296"/>
    </row>
    <row r="19" spans="1:9" ht="15.75" x14ac:dyDescent="0.25">
      <c r="A19" s="325" t="s">
        <v>141</v>
      </c>
      <c r="B19" s="325" t="s">
        <v>68</v>
      </c>
      <c r="C19" s="326" t="s">
        <v>155</v>
      </c>
      <c r="D19" s="329"/>
      <c r="E19" s="294">
        <v>2</v>
      </c>
      <c r="F19" s="294" t="s">
        <v>7</v>
      </c>
      <c r="G19" s="295"/>
      <c r="H19" s="294"/>
      <c r="I19" s="296"/>
    </row>
    <row r="20" spans="1:9" ht="15.75" x14ac:dyDescent="0.25">
      <c r="A20" s="222">
        <v>1950705</v>
      </c>
      <c r="B20" s="222" t="s">
        <v>220</v>
      </c>
      <c r="C20" s="223" t="s">
        <v>221</v>
      </c>
      <c r="D20" s="293"/>
      <c r="E20" s="293">
        <v>1</v>
      </c>
      <c r="F20" s="293" t="s">
        <v>7</v>
      </c>
      <c r="G20" s="295"/>
      <c r="H20" s="294"/>
      <c r="I20" s="296"/>
    </row>
    <row r="21" spans="1:9" ht="15.75" thickBot="1" x14ac:dyDescent="0.3">
      <c r="A21" s="222">
        <v>60100010</v>
      </c>
      <c r="B21" s="222" t="s">
        <v>222</v>
      </c>
      <c r="C21" s="223" t="s">
        <v>223</v>
      </c>
      <c r="D21" s="330"/>
      <c r="E21" s="331">
        <v>1</v>
      </c>
      <c r="F21" s="332" t="s">
        <v>7</v>
      </c>
      <c r="G21" s="276"/>
      <c r="H21" s="276"/>
      <c r="I21" s="306"/>
    </row>
    <row r="22" spans="1:9" ht="15.75" thickBot="1" x14ac:dyDescent="0.3">
      <c r="A22" s="308"/>
      <c r="B22" s="309"/>
      <c r="C22" s="310"/>
      <c r="D22" s="311" t="s">
        <v>15</v>
      </c>
      <c r="E22" s="312" t="s">
        <v>14</v>
      </c>
      <c r="F22" s="313"/>
      <c r="G22" s="310"/>
      <c r="H22" s="310"/>
      <c r="I22" s="314"/>
    </row>
    <row r="23" spans="1:9" x14ac:dyDescent="0.25">
      <c r="A23" s="704" t="s">
        <v>13</v>
      </c>
      <c r="B23" s="705"/>
      <c r="C23" s="706"/>
      <c r="D23" s="315">
        <v>25350</v>
      </c>
      <c r="E23" s="316" t="s">
        <v>2</v>
      </c>
      <c r="F23" s="707"/>
      <c r="G23" s="707"/>
      <c r="H23" s="708"/>
      <c r="I23" s="709"/>
    </row>
    <row r="24" spans="1:9" x14ac:dyDescent="0.25">
      <c r="A24" s="710" t="s">
        <v>11</v>
      </c>
      <c r="B24" s="711"/>
      <c r="C24" s="712"/>
      <c r="D24" s="317">
        <v>4</v>
      </c>
      <c r="E24" s="203" t="s">
        <v>10</v>
      </c>
      <c r="F24" s="713"/>
      <c r="G24" s="713"/>
      <c r="H24" s="714"/>
      <c r="I24" s="715"/>
    </row>
    <row r="25" spans="1:9" x14ac:dyDescent="0.25">
      <c r="A25" s="710" t="s">
        <v>8</v>
      </c>
      <c r="B25" s="711"/>
      <c r="C25" s="712"/>
      <c r="D25" s="203">
        <v>1</v>
      </c>
      <c r="E25" s="203" t="s">
        <v>224</v>
      </c>
      <c r="F25" s="713"/>
      <c r="G25" s="713"/>
      <c r="H25" s="714"/>
      <c r="I25" s="715"/>
    </row>
    <row r="26" spans="1:9" x14ac:dyDescent="0.25">
      <c r="A26" s="710" t="s">
        <v>5</v>
      </c>
      <c r="B26" s="711"/>
      <c r="C26" s="712"/>
      <c r="D26" s="318">
        <v>25350</v>
      </c>
      <c r="E26" s="203" t="s">
        <v>2</v>
      </c>
      <c r="F26" s="719"/>
      <c r="G26" s="720"/>
      <c r="H26" s="714"/>
      <c r="I26" s="715"/>
    </row>
    <row r="27" spans="1:9" ht="15.75" thickBot="1" x14ac:dyDescent="0.3">
      <c r="A27" s="721" t="s">
        <v>3</v>
      </c>
      <c r="B27" s="722"/>
      <c r="C27" s="723"/>
      <c r="D27" s="320">
        <v>0</v>
      </c>
      <c r="E27" s="321" t="s">
        <v>2</v>
      </c>
      <c r="F27" s="724"/>
      <c r="G27" s="724"/>
      <c r="H27" s="725"/>
      <c r="I27" s="726"/>
    </row>
    <row r="28" spans="1:9" ht="15.75" thickBot="1" x14ac:dyDescent="0.3">
      <c r="A28" s="727" t="s">
        <v>1</v>
      </c>
      <c r="B28" s="728"/>
      <c r="C28" s="728"/>
      <c r="D28" s="728"/>
      <c r="E28" s="728"/>
      <c r="F28" s="728"/>
      <c r="G28" s="728"/>
      <c r="H28" s="728"/>
      <c r="I28" s="729"/>
    </row>
    <row r="29" spans="1:9" x14ac:dyDescent="0.25">
      <c r="A29" s="716" t="s">
        <v>225</v>
      </c>
      <c r="B29" s="717"/>
      <c r="C29" s="717"/>
      <c r="D29" s="717"/>
      <c r="E29" s="717"/>
      <c r="F29" s="717"/>
      <c r="G29" s="717"/>
      <c r="H29" s="717"/>
      <c r="I29" s="718"/>
    </row>
    <row r="30" spans="1:9" ht="14.1" customHeight="1" x14ac:dyDescent="0.25">
      <c r="A30" s="716" t="s">
        <v>226</v>
      </c>
      <c r="B30" s="717"/>
      <c r="C30" s="717"/>
      <c r="D30" s="717"/>
      <c r="E30" s="717"/>
      <c r="F30" s="717"/>
      <c r="G30" s="717"/>
      <c r="H30" s="717"/>
      <c r="I30" s="718"/>
    </row>
    <row r="31" spans="1:9" x14ac:dyDescent="0.25">
      <c r="A31" s="716"/>
      <c r="B31" s="717"/>
      <c r="C31" s="717"/>
      <c r="D31" s="717"/>
      <c r="E31" s="717"/>
      <c r="F31" s="717"/>
      <c r="G31" s="717"/>
      <c r="H31" s="717"/>
      <c r="I31" s="718"/>
    </row>
    <row r="32" spans="1:9" x14ac:dyDescent="0.25">
      <c r="A32" s="716"/>
      <c r="B32" s="717"/>
      <c r="C32" s="717"/>
      <c r="D32" s="717"/>
      <c r="E32" s="717"/>
      <c r="F32" s="717"/>
      <c r="G32" s="717"/>
      <c r="H32" s="717"/>
      <c r="I32" s="718"/>
    </row>
    <row r="33" spans="1:9" x14ac:dyDescent="0.25">
      <c r="A33" s="716"/>
      <c r="B33" s="717"/>
      <c r="C33" s="717"/>
      <c r="D33" s="717"/>
      <c r="E33" s="717"/>
      <c r="F33" s="717"/>
      <c r="G33" s="717"/>
      <c r="H33" s="717"/>
      <c r="I33" s="718"/>
    </row>
    <row r="34" spans="1:9" x14ac:dyDescent="0.25">
      <c r="A34" s="716"/>
      <c r="B34" s="717"/>
      <c r="C34" s="717"/>
      <c r="D34" s="717"/>
      <c r="E34" s="717"/>
      <c r="F34" s="717"/>
      <c r="G34" s="717"/>
      <c r="H34" s="717"/>
      <c r="I34" s="718"/>
    </row>
    <row r="35" spans="1:9" x14ac:dyDescent="0.25">
      <c r="A35" s="733"/>
      <c r="B35" s="734"/>
      <c r="C35" s="734"/>
      <c r="D35" s="734"/>
      <c r="E35" s="734"/>
      <c r="F35" s="734"/>
      <c r="G35" s="734"/>
      <c r="H35" s="734"/>
      <c r="I35" s="735"/>
    </row>
    <row r="36" spans="1:9" x14ac:dyDescent="0.25">
      <c r="A36" s="733"/>
      <c r="B36" s="734"/>
      <c r="C36" s="734"/>
      <c r="D36" s="734"/>
      <c r="E36" s="734"/>
      <c r="F36" s="734"/>
      <c r="G36" s="734"/>
      <c r="H36" s="734"/>
      <c r="I36" s="735"/>
    </row>
    <row r="37" spans="1:9" ht="15.75" thickBot="1" x14ac:dyDescent="0.3">
      <c r="A37" s="730"/>
      <c r="B37" s="731"/>
      <c r="C37" s="731"/>
      <c r="D37" s="731"/>
      <c r="E37" s="731"/>
      <c r="F37" s="731"/>
      <c r="G37" s="731"/>
      <c r="H37" s="731"/>
      <c r="I37" s="732"/>
    </row>
    <row r="38" spans="1:9" ht="15.75" thickBot="1" x14ac:dyDescent="0.3">
      <c r="A38" s="727" t="s">
        <v>163</v>
      </c>
      <c r="B38" s="728"/>
      <c r="C38" s="728"/>
      <c r="D38" s="728"/>
      <c r="E38" s="728"/>
      <c r="F38" s="728"/>
      <c r="G38" s="728"/>
      <c r="H38" s="728"/>
      <c r="I38" s="729"/>
    </row>
    <row r="39" spans="1:9" x14ac:dyDescent="0.25">
      <c r="A39" t="s">
        <v>227</v>
      </c>
    </row>
  </sheetData>
  <mergeCells count="43">
    <mergeCell ref="A37:I37"/>
    <mergeCell ref="A38:I38"/>
    <mergeCell ref="A31:I31"/>
    <mergeCell ref="A32:I32"/>
    <mergeCell ref="A33:I33"/>
    <mergeCell ref="A34:I34"/>
    <mergeCell ref="A35:I35"/>
    <mergeCell ref="A36:I36"/>
    <mergeCell ref="A30:I30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23:C23"/>
    <mergeCell ref="F23:G23"/>
    <mergeCell ref="H23:I23"/>
    <mergeCell ref="A24:C24"/>
    <mergeCell ref="F24:G24"/>
    <mergeCell ref="H24:I24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9584-A5D8-432A-86BB-5E7CD942373F}">
  <dimension ref="A1:M34"/>
  <sheetViews>
    <sheetView workbookViewId="0">
      <selection activeCell="B10" sqref="B10"/>
    </sheetView>
  </sheetViews>
  <sheetFormatPr baseColWidth="10" defaultColWidth="11.42578125" defaultRowHeight="12.75" x14ac:dyDescent="0.2"/>
  <cols>
    <col min="1" max="1" width="16.28515625" style="276" customWidth="1"/>
    <col min="2" max="2" width="15.7109375" style="276" customWidth="1"/>
    <col min="3" max="3" width="44.7109375" style="276" customWidth="1"/>
    <col min="4" max="4" width="15.5703125" style="276" customWidth="1"/>
    <col min="5" max="5" width="11.42578125" style="276"/>
    <col min="6" max="6" width="13.28515625" style="276" customWidth="1"/>
    <col min="7" max="7" width="12.5703125" style="276" customWidth="1"/>
    <col min="8" max="8" width="15.5703125" style="276" customWidth="1"/>
    <col min="9" max="9" width="16" style="276" customWidth="1"/>
    <col min="10" max="16384" width="11.42578125" style="276"/>
  </cols>
  <sheetData>
    <row r="1" spans="1:12" ht="18" x14ac:dyDescent="0.25">
      <c r="A1" s="682"/>
      <c r="B1" s="683"/>
      <c r="C1" s="688" t="s">
        <v>35</v>
      </c>
      <c r="D1" s="688"/>
      <c r="E1" s="688"/>
      <c r="F1" s="688"/>
      <c r="G1" s="688"/>
      <c r="H1" s="274" t="s">
        <v>34</v>
      </c>
      <c r="I1" s="275" t="s">
        <v>169</v>
      </c>
    </row>
    <row r="2" spans="1:12" ht="18" x14ac:dyDescent="0.25">
      <c r="A2" s="684"/>
      <c r="B2" s="685"/>
      <c r="C2" s="689" t="s">
        <v>33</v>
      </c>
      <c r="D2" s="689"/>
      <c r="E2" s="689"/>
      <c r="F2" s="689"/>
      <c r="G2" s="689"/>
      <c r="H2" s="277" t="s">
        <v>32</v>
      </c>
      <c r="I2" s="278" t="s">
        <v>170</v>
      </c>
    </row>
    <row r="3" spans="1:12" ht="50.1" customHeight="1" x14ac:dyDescent="0.2">
      <c r="A3" s="684"/>
      <c r="B3" s="685"/>
      <c r="C3" s="690" t="s">
        <v>171</v>
      </c>
      <c r="D3" s="691"/>
      <c r="E3" s="691"/>
      <c r="F3" s="691"/>
      <c r="G3" s="692"/>
      <c r="H3" s="693" t="s">
        <v>31</v>
      </c>
      <c r="I3" s="736">
        <v>45167</v>
      </c>
    </row>
    <row r="4" spans="1:12" x14ac:dyDescent="0.2">
      <c r="A4" s="684"/>
      <c r="B4" s="685"/>
      <c r="C4" s="279" t="s">
        <v>30</v>
      </c>
      <c r="D4" s="680" t="s">
        <v>172</v>
      </c>
      <c r="E4" s="680"/>
      <c r="F4" s="680"/>
      <c r="G4" s="680"/>
      <c r="H4" s="693"/>
      <c r="I4" s="678"/>
    </row>
    <row r="5" spans="1:12" ht="13.5" thickBot="1" x14ac:dyDescent="0.25">
      <c r="A5" s="686"/>
      <c r="B5" s="687"/>
      <c r="C5" s="280" t="s">
        <v>29</v>
      </c>
      <c r="D5" s="681" t="s">
        <v>173</v>
      </c>
      <c r="E5" s="681"/>
      <c r="F5" s="681"/>
      <c r="G5" s="681"/>
      <c r="H5" s="694"/>
      <c r="I5" s="679"/>
    </row>
    <row r="6" spans="1:12" x14ac:dyDescent="0.2">
      <c r="A6" s="281"/>
      <c r="B6" s="281"/>
      <c r="C6" s="282"/>
      <c r="D6" s="283"/>
      <c r="E6" s="283"/>
      <c r="F6" s="283"/>
      <c r="G6" s="283"/>
      <c r="H6" s="284"/>
      <c r="I6" s="285"/>
    </row>
    <row r="7" spans="1:12" ht="18.75" thickBot="1" x14ac:dyDescent="0.3">
      <c r="A7" s="695" t="s">
        <v>27</v>
      </c>
      <c r="B7" s="695"/>
      <c r="C7" s="695"/>
      <c r="D7" s="696" t="s">
        <v>174</v>
      </c>
      <c r="E7" s="696"/>
      <c r="F7" s="696"/>
      <c r="G7" s="697" t="s">
        <v>25</v>
      </c>
      <c r="H7" s="697"/>
      <c r="I7" s="286" t="s">
        <v>174</v>
      </c>
    </row>
    <row r="8" spans="1:12" ht="25.5" x14ac:dyDescent="0.2">
      <c r="A8" s="698" t="s">
        <v>23</v>
      </c>
      <c r="B8" s="737" t="s">
        <v>36</v>
      </c>
      <c r="C8" s="702" t="s">
        <v>22</v>
      </c>
      <c r="D8" s="702" t="s">
        <v>21</v>
      </c>
      <c r="E8" s="702" t="s">
        <v>20</v>
      </c>
      <c r="F8" s="702"/>
      <c r="G8" s="702" t="s">
        <v>19</v>
      </c>
      <c r="H8" s="702"/>
      <c r="I8" s="287" t="s">
        <v>18</v>
      </c>
    </row>
    <row r="9" spans="1:12" ht="26.25" thickBot="1" x14ac:dyDescent="0.25">
      <c r="A9" s="699"/>
      <c r="B9" s="738"/>
      <c r="C9" s="703"/>
      <c r="D9" s="703"/>
      <c r="E9" s="288" t="s">
        <v>15</v>
      </c>
      <c r="F9" s="289" t="s">
        <v>17</v>
      </c>
      <c r="G9" s="290" t="s">
        <v>15</v>
      </c>
      <c r="H9" s="289" t="s">
        <v>17</v>
      </c>
      <c r="I9" s="291" t="s">
        <v>16</v>
      </c>
    </row>
    <row r="10" spans="1:12" ht="15.75" x14ac:dyDescent="0.25">
      <c r="A10" s="292">
        <v>906000136</v>
      </c>
      <c r="B10" s="292" t="s">
        <v>175</v>
      </c>
      <c r="C10" s="84" t="s">
        <v>176</v>
      </c>
      <c r="D10" s="293" t="s">
        <v>43</v>
      </c>
      <c r="E10" s="293">
        <v>25350</v>
      </c>
      <c r="F10" s="294" t="s">
        <v>2</v>
      </c>
      <c r="G10" s="295"/>
      <c r="H10" s="294"/>
      <c r="I10" s="296"/>
    </row>
    <row r="11" spans="1:12" ht="15.75" x14ac:dyDescent="0.25">
      <c r="A11" s="222" t="s">
        <v>177</v>
      </c>
      <c r="B11" s="222" t="s">
        <v>178</v>
      </c>
      <c r="C11" s="223" t="s">
        <v>179</v>
      </c>
      <c r="D11" s="293" t="s">
        <v>180</v>
      </c>
      <c r="E11" s="293">
        <v>9600</v>
      </c>
      <c r="F11" s="294" t="s">
        <v>2</v>
      </c>
      <c r="G11" s="295"/>
      <c r="H11" s="294"/>
      <c r="I11" s="296"/>
    </row>
    <row r="12" spans="1:12" ht="15.75" x14ac:dyDescent="0.25">
      <c r="A12" s="222" t="s">
        <v>181</v>
      </c>
      <c r="B12" s="222"/>
      <c r="C12" s="223" t="s">
        <v>182</v>
      </c>
      <c r="D12" s="293" t="s">
        <v>43</v>
      </c>
      <c r="E12" s="293">
        <v>10200</v>
      </c>
      <c r="F12" s="294" t="s">
        <v>2</v>
      </c>
      <c r="G12" s="295"/>
      <c r="H12" s="294"/>
      <c r="I12" s="296"/>
    </row>
    <row r="13" spans="1:12" ht="15.75" x14ac:dyDescent="0.25">
      <c r="A13" s="292">
        <v>10100050</v>
      </c>
      <c r="B13" s="292" t="s">
        <v>183</v>
      </c>
      <c r="C13" s="84" t="s">
        <v>184</v>
      </c>
      <c r="D13" s="293" t="s">
        <v>185</v>
      </c>
      <c r="E13" s="293">
        <v>1400</v>
      </c>
      <c r="F13" s="294" t="s">
        <v>2</v>
      </c>
      <c r="G13" s="295"/>
      <c r="H13" s="294"/>
      <c r="I13" s="296"/>
    </row>
    <row r="14" spans="1:12" ht="15.75" x14ac:dyDescent="0.25">
      <c r="A14" s="297"/>
      <c r="B14" s="298"/>
      <c r="C14" s="299"/>
      <c r="D14" s="294"/>
      <c r="E14" s="294"/>
      <c r="F14" s="294"/>
      <c r="G14" s="293">
        <v>4600</v>
      </c>
      <c r="H14" s="294"/>
      <c r="I14" s="296"/>
    </row>
    <row r="15" spans="1:12" ht="15.75" x14ac:dyDescent="0.25">
      <c r="A15" s="297"/>
      <c r="B15" s="298"/>
      <c r="C15" s="300"/>
      <c r="D15" s="294"/>
      <c r="E15" s="294"/>
      <c r="F15" s="301">
        <f>+G14/D18</f>
        <v>0.1</v>
      </c>
      <c r="G15" s="295"/>
      <c r="H15" s="294"/>
      <c r="I15" s="296"/>
    </row>
    <row r="16" spans="1:12" ht="13.5" thickBot="1" x14ac:dyDescent="0.25">
      <c r="A16" s="302"/>
      <c r="B16" s="303"/>
      <c r="E16" s="304"/>
      <c r="F16" s="305"/>
      <c r="I16" s="306"/>
      <c r="L16" s="307"/>
    </row>
    <row r="17" spans="1:13" ht="13.5" thickBot="1" x14ac:dyDescent="0.25">
      <c r="A17" s="308"/>
      <c r="B17" s="309"/>
      <c r="C17" s="310"/>
      <c r="D17" s="311" t="s">
        <v>15</v>
      </c>
      <c r="E17" s="312" t="s">
        <v>14</v>
      </c>
      <c r="F17" s="313"/>
      <c r="G17" s="310"/>
      <c r="H17" s="310"/>
      <c r="I17" s="314"/>
      <c r="L17" s="307"/>
    </row>
    <row r="18" spans="1:13" x14ac:dyDescent="0.2">
      <c r="A18" s="704" t="s">
        <v>13</v>
      </c>
      <c r="B18" s="705"/>
      <c r="C18" s="706"/>
      <c r="D18" s="315">
        <v>46000</v>
      </c>
      <c r="E18" s="316" t="s">
        <v>2</v>
      </c>
      <c r="F18" s="707"/>
      <c r="G18" s="707"/>
      <c r="H18" s="708"/>
      <c r="I18" s="709"/>
      <c r="L18" s="307"/>
    </row>
    <row r="19" spans="1:13" x14ac:dyDescent="0.2">
      <c r="A19" s="710" t="s">
        <v>11</v>
      </c>
      <c r="B19" s="711"/>
      <c r="C19" s="712"/>
      <c r="D19" s="317">
        <v>11</v>
      </c>
      <c r="E19" s="203" t="s">
        <v>10</v>
      </c>
      <c r="F19" s="713"/>
      <c r="G19" s="713"/>
      <c r="H19" s="714"/>
      <c r="I19" s="715"/>
      <c r="L19" s="307"/>
    </row>
    <row r="20" spans="1:13" x14ac:dyDescent="0.2">
      <c r="A20" s="710" t="s">
        <v>8</v>
      </c>
      <c r="B20" s="711"/>
      <c r="C20" s="712"/>
      <c r="D20" s="203">
        <v>1</v>
      </c>
      <c r="E20" s="203" t="s">
        <v>7</v>
      </c>
      <c r="F20" s="713"/>
      <c r="G20" s="713"/>
      <c r="H20" s="714"/>
      <c r="I20" s="715"/>
      <c r="L20" s="307"/>
    </row>
    <row r="21" spans="1:13" x14ac:dyDescent="0.2">
      <c r="A21" s="710" t="s">
        <v>5</v>
      </c>
      <c r="B21" s="711"/>
      <c r="C21" s="712"/>
      <c r="D21" s="318">
        <v>49000</v>
      </c>
      <c r="E21" s="203" t="s">
        <v>2</v>
      </c>
      <c r="F21" s="719"/>
      <c r="G21" s="720"/>
      <c r="H21" s="714"/>
      <c r="I21" s="715"/>
      <c r="L21" s="307"/>
      <c r="M21" s="319"/>
    </row>
    <row r="22" spans="1:13" ht="13.5" thickBot="1" x14ac:dyDescent="0.25">
      <c r="A22" s="721" t="s">
        <v>3</v>
      </c>
      <c r="B22" s="722"/>
      <c r="C22" s="723"/>
      <c r="D22" s="320">
        <f>SUM(E10:E13)-D18</f>
        <v>550</v>
      </c>
      <c r="E22" s="321" t="s">
        <v>2</v>
      </c>
      <c r="F22" s="724"/>
      <c r="G22" s="724"/>
      <c r="H22" s="725"/>
      <c r="I22" s="726"/>
      <c r="L22" s="307"/>
    </row>
    <row r="23" spans="1:13" ht="13.5" thickBot="1" x14ac:dyDescent="0.25">
      <c r="A23" s="727" t="s">
        <v>1</v>
      </c>
      <c r="B23" s="728"/>
      <c r="C23" s="728"/>
      <c r="D23" s="728"/>
      <c r="E23" s="728"/>
      <c r="F23" s="728"/>
      <c r="G23" s="728"/>
      <c r="H23" s="728"/>
      <c r="I23" s="729"/>
    </row>
    <row r="24" spans="1:13" ht="15" x14ac:dyDescent="0.25">
      <c r="A24" s="716" t="s">
        <v>186</v>
      </c>
      <c r="B24" s="717"/>
      <c r="C24" s="717"/>
      <c r="D24" s="717"/>
      <c r="E24" s="717"/>
      <c r="F24" s="717"/>
      <c r="G24" s="717"/>
      <c r="H24" s="717"/>
      <c r="I24" s="718"/>
    </row>
    <row r="25" spans="1:13" ht="15" x14ac:dyDescent="0.25">
      <c r="A25" s="716" t="s">
        <v>187</v>
      </c>
      <c r="B25" s="717"/>
      <c r="C25" s="717"/>
      <c r="D25" s="717"/>
      <c r="E25" s="717"/>
      <c r="F25" s="717"/>
      <c r="G25" s="717"/>
      <c r="H25" s="717"/>
      <c r="I25" s="718"/>
    </row>
    <row r="26" spans="1:13" ht="15" x14ac:dyDescent="0.25">
      <c r="A26" s="716" t="s">
        <v>188</v>
      </c>
      <c r="B26" s="717"/>
      <c r="C26" s="717"/>
      <c r="D26" s="717"/>
      <c r="E26" s="717"/>
      <c r="F26" s="717"/>
      <c r="G26" s="717"/>
      <c r="H26" s="717"/>
      <c r="I26" s="718"/>
    </row>
    <row r="27" spans="1:13" ht="15" x14ac:dyDescent="0.25">
      <c r="A27" s="716"/>
      <c r="B27" s="717"/>
      <c r="C27" s="717"/>
      <c r="D27" s="717"/>
      <c r="E27" s="717"/>
      <c r="F27" s="717"/>
      <c r="G27" s="717"/>
      <c r="H27" s="717"/>
      <c r="I27" s="718"/>
    </row>
    <row r="28" spans="1:13" ht="15" x14ac:dyDescent="0.25">
      <c r="A28" s="716"/>
      <c r="B28" s="717"/>
      <c r="C28" s="717"/>
      <c r="D28" s="717"/>
      <c r="E28" s="717"/>
      <c r="F28" s="717"/>
      <c r="G28" s="717"/>
      <c r="H28" s="717"/>
      <c r="I28" s="718"/>
    </row>
    <row r="29" spans="1:13" ht="15" x14ac:dyDescent="0.25">
      <c r="A29" s="716"/>
      <c r="B29" s="717"/>
      <c r="C29" s="717"/>
      <c r="D29" s="717"/>
      <c r="E29" s="717"/>
      <c r="F29" s="717"/>
      <c r="G29" s="717"/>
      <c r="H29" s="717"/>
      <c r="I29" s="718"/>
    </row>
    <row r="30" spans="1:13" ht="14.25" x14ac:dyDescent="0.2">
      <c r="A30" s="733" t="s">
        <v>189</v>
      </c>
      <c r="B30" s="734"/>
      <c r="C30" s="734"/>
      <c r="D30" s="734"/>
      <c r="E30" s="734"/>
      <c r="F30" s="734"/>
      <c r="G30" s="734"/>
      <c r="H30" s="734"/>
      <c r="I30" s="735"/>
    </row>
    <row r="31" spans="1:13" ht="14.25" x14ac:dyDescent="0.2">
      <c r="A31" s="733" t="s">
        <v>190</v>
      </c>
      <c r="B31" s="734"/>
      <c r="C31" s="734"/>
      <c r="D31" s="734"/>
      <c r="E31" s="734"/>
      <c r="F31" s="734"/>
      <c r="G31" s="734"/>
      <c r="H31" s="734"/>
      <c r="I31" s="735"/>
    </row>
    <row r="32" spans="1:13" ht="15" thickBot="1" x14ac:dyDescent="0.25">
      <c r="A32" s="730"/>
      <c r="B32" s="731"/>
      <c r="C32" s="731"/>
      <c r="D32" s="731"/>
      <c r="E32" s="731"/>
      <c r="F32" s="731"/>
      <c r="G32" s="731"/>
      <c r="H32" s="731"/>
      <c r="I32" s="732"/>
    </row>
    <row r="34" spans="1:3" x14ac:dyDescent="0.2">
      <c r="A34" s="322"/>
      <c r="B34" s="322"/>
      <c r="C34" s="322"/>
    </row>
  </sheetData>
  <mergeCells count="42">
    <mergeCell ref="A32:I32"/>
    <mergeCell ref="A26:I26"/>
    <mergeCell ref="A27:I27"/>
    <mergeCell ref="A28:I28"/>
    <mergeCell ref="A29:I29"/>
    <mergeCell ref="A30:I30"/>
    <mergeCell ref="A31:I31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18:C18"/>
    <mergeCell ref="F18:G18"/>
    <mergeCell ref="H18:I18"/>
    <mergeCell ref="A19:C19"/>
    <mergeCell ref="F19:G19"/>
    <mergeCell ref="H19:I19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4B8A-C75B-4A72-8EBD-6FB5B594B05C}">
  <dimension ref="A1:Q91"/>
  <sheetViews>
    <sheetView topLeftCell="A16" workbookViewId="0">
      <selection activeCell="M28" sqref="M28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71093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71093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71093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71093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71093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71093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71093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71093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71093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71093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71093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71093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71093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71093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71093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71093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71093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71093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71093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71093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71093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71093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71093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71093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71093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71093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71093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71093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71093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71093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71093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71093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71093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71093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71093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71093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71093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71093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71093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71093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71093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71093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71093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71093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71093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71093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71093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71093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71093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71093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71093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71093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71093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71093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71093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71093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71093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71093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71093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71093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71093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71093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71093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71093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78</v>
      </c>
      <c r="F1" s="88" t="s">
        <v>79</v>
      </c>
      <c r="G1" s="88" t="s">
        <v>80</v>
      </c>
      <c r="H1" s="88" t="s">
        <v>81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3331.39</v>
      </c>
      <c r="F2" s="92">
        <f>IFERROR(H53,"")</f>
        <v>2341.98</v>
      </c>
      <c r="G2" s="92">
        <f>IFERROR(H54,"")</f>
        <v>2.41</v>
      </c>
      <c r="H2" s="92">
        <f>IFERROR(H56,"")</f>
        <v>539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765"/>
      <c r="B4" s="765"/>
      <c r="C4" s="765"/>
      <c r="D4" s="765"/>
      <c r="E4" s="765"/>
      <c r="F4" s="765"/>
      <c r="G4" s="765"/>
      <c r="H4" s="765"/>
      <c r="I4" s="95"/>
    </row>
    <row r="5" spans="1:10" ht="19.5" customHeight="1" thickBot="1" x14ac:dyDescent="0.3">
      <c r="A5" s="766" t="s">
        <v>82</v>
      </c>
      <c r="B5" s="767"/>
      <c r="C5" s="767"/>
      <c r="D5" s="767"/>
      <c r="E5" s="767"/>
      <c r="F5" s="767"/>
      <c r="G5" s="767"/>
      <c r="H5" s="768"/>
      <c r="I5" s="96"/>
    </row>
    <row r="6" spans="1:10" ht="19.5" thickBot="1" x14ac:dyDescent="0.3">
      <c r="A6" s="96"/>
      <c r="B6" s="96"/>
      <c r="C6" s="96"/>
      <c r="D6" s="96"/>
      <c r="E6" s="96"/>
      <c r="F6" s="769" t="s">
        <v>83</v>
      </c>
      <c r="G6" s="769"/>
      <c r="H6" s="97">
        <f ca="1">TODAY()</f>
        <v>46149</v>
      </c>
      <c r="I6" s="97"/>
    </row>
    <row r="7" spans="1:10" ht="26.25" hidden="1" thickBot="1" x14ac:dyDescent="0.3">
      <c r="A7" s="98" t="s">
        <v>84</v>
      </c>
      <c r="B7" s="99" t="s">
        <v>85</v>
      </c>
      <c r="C7" s="99" t="s">
        <v>84</v>
      </c>
      <c r="D7" s="100" t="s">
        <v>86</v>
      </c>
      <c r="E7" s="100" t="s">
        <v>87</v>
      </c>
      <c r="F7" s="100" t="s">
        <v>88</v>
      </c>
      <c r="G7" s="100" t="s">
        <v>89</v>
      </c>
      <c r="H7" s="101" t="s">
        <v>90</v>
      </c>
      <c r="I7" s="102"/>
    </row>
    <row r="8" spans="1:10" ht="13.5" hidden="1" x14ac:dyDescent="0.25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3.5" hidden="1" x14ac:dyDescent="0.25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3.5" hidden="1" x14ac:dyDescent="0.25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3.5" hidden="1" x14ac:dyDescent="0.25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3.5" hidden="1" x14ac:dyDescent="0.25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3.5" hidden="1" x14ac:dyDescent="0.25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3.5" hidden="1" x14ac:dyDescent="0.25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84</v>
      </c>
      <c r="B16" s="99" t="s">
        <v>91</v>
      </c>
      <c r="C16" s="99" t="s">
        <v>84</v>
      </c>
      <c r="D16" s="100" t="s">
        <v>86</v>
      </c>
      <c r="E16" s="100" t="s">
        <v>87</v>
      </c>
      <c r="F16" s="100" t="s">
        <v>88</v>
      </c>
      <c r="G16" s="100" t="s">
        <v>89</v>
      </c>
      <c r="H16" s="101" t="s">
        <v>90</v>
      </c>
      <c r="I16" s="102"/>
      <c r="J16" s="108"/>
    </row>
    <row r="17" spans="1:12" ht="13.5" x14ac:dyDescent="0.25">
      <c r="A17" s="103">
        <v>6</v>
      </c>
      <c r="B17" s="91" t="s">
        <v>144</v>
      </c>
      <c r="C17" s="104">
        <f>+A17</f>
        <v>6</v>
      </c>
      <c r="D17" s="104" t="s">
        <v>129</v>
      </c>
      <c r="E17" s="105">
        <v>390.33</v>
      </c>
      <c r="F17" s="105">
        <f>IFERROR(E17*C17,"")</f>
        <v>2341.98</v>
      </c>
      <c r="G17" s="106">
        <f t="shared" ref="G17:G24" si="3">IFERROR(F17/$F$66,"")</f>
        <v>0.79924794971697788</v>
      </c>
      <c r="H17" s="107" t="s">
        <v>386</v>
      </c>
      <c r="I17" s="107"/>
      <c r="J17" s="108"/>
    </row>
    <row r="18" spans="1:12" ht="13.5" hidden="1" x14ac:dyDescent="0.25">
      <c r="A18" s="103"/>
      <c r="B18" s="91" t="str">
        <f>IFERROR(VLOOKUP(H18,[1]SEMIELABORADOS!$A$2:$M$6000,2,0),"")</f>
        <v/>
      </c>
      <c r="C18" s="104">
        <f t="shared" ref="C18:C24" si="4">+A18</f>
        <v>0</v>
      </c>
      <c r="D18" s="104" t="str">
        <f>IFERROR(VLOOKUP(H18,[1]SEMIELABORADOS!$A$2:$M$6000,6,0),"")</f>
        <v/>
      </c>
      <c r="E18" s="105" t="str">
        <f>IFERROR(VLOOKUP(H18,[1]SEMIELABORADOS!$A$2:$H$65536,8,0),"")</f>
        <v/>
      </c>
      <c r="F18" s="105" t="str">
        <f t="shared" ref="F18:F24" si="5">IFERROR(E18*C18,"")</f>
        <v/>
      </c>
      <c r="G18" s="106" t="str">
        <f t="shared" si="3"/>
        <v/>
      </c>
      <c r="H18" s="107"/>
      <c r="I18" s="107"/>
      <c r="J18" s="108"/>
    </row>
    <row r="19" spans="1:12" ht="13.5" hidden="1" x14ac:dyDescent="0.25">
      <c r="A19" s="103"/>
      <c r="B19" s="91" t="str">
        <f>IFERROR(VLOOKUP(H19,[1]SEMIELABORADOS!$A$2:$M$6000,2,0),"")</f>
        <v/>
      </c>
      <c r="C19" s="104">
        <f>+A19</f>
        <v>0</v>
      </c>
      <c r="D19" s="104" t="str">
        <f>IFERROR(VLOOKUP(H19,[1]SEMIELABORADOS!$A$2:$M$6000,6,0),"")</f>
        <v/>
      </c>
      <c r="E19" s="105" t="str">
        <f>IFERROR(VLOOKUP(H19,[1]SEMIELABORADOS!$A$2:$H$65536,8,0),"")</f>
        <v/>
      </c>
      <c r="F19" s="105" t="str">
        <f>IFERROR(E19*C19,"")</f>
        <v/>
      </c>
      <c r="G19" s="106" t="str">
        <f t="shared" si="3"/>
        <v/>
      </c>
      <c r="H19" s="107"/>
      <c r="I19" s="107"/>
      <c r="J19" s="108"/>
    </row>
    <row r="20" spans="1:12" ht="13.5" hidden="1" x14ac:dyDescent="0.25">
      <c r="A20" s="103"/>
      <c r="B20" s="91" t="str">
        <f>IFERROR(VLOOKUP(H20,[1]SEMIELABORADOS!$A$2:$M$6000,2,0),"")</f>
        <v/>
      </c>
      <c r="C20" s="104">
        <f>+A20</f>
        <v>0</v>
      </c>
      <c r="D20" s="104" t="str">
        <f>IFERROR(VLOOKUP(H20,[1]SEMIELABORADOS!$A$2:$M$6000,6,0),"")</f>
        <v/>
      </c>
      <c r="E20" s="105" t="str">
        <f>IFERROR(VLOOKUP(H20,[1]SEMIELABORADOS!$A$2:$H$65536,8,0),"")</f>
        <v/>
      </c>
      <c r="F20" s="105" t="str">
        <f>IFERROR(E20*C20,"")</f>
        <v/>
      </c>
      <c r="G20" s="106" t="str">
        <f t="shared" si="3"/>
        <v/>
      </c>
      <c r="H20" s="107"/>
      <c r="I20" s="107"/>
      <c r="J20" s="108"/>
    </row>
    <row r="21" spans="1:12" ht="13.5" hidden="1" x14ac:dyDescent="0.25">
      <c r="A21" s="103"/>
      <c r="B21" s="91" t="str">
        <f>IFERROR(VLOOKUP(H21,[1]SEMIELABORADOS!$A$2:$M$6000,2,0),"")</f>
        <v/>
      </c>
      <c r="C21" s="104">
        <f>+A21</f>
        <v>0</v>
      </c>
      <c r="D21" s="104" t="str">
        <f>IFERROR(VLOOKUP(H21,[1]SEMIELABORADOS!$A$2:$M$6000,6,0),"")</f>
        <v/>
      </c>
      <c r="E21" s="105" t="str">
        <f>IFERROR(VLOOKUP(H21,[1]SEMIELABORADOS!$A$2:$H$65536,8,0),"")</f>
        <v/>
      </c>
      <c r="F21" s="105" t="str">
        <f>IFERROR(E21*C21,"")</f>
        <v/>
      </c>
      <c r="G21" s="106" t="str">
        <f t="shared" si="3"/>
        <v/>
      </c>
      <c r="H21" s="107"/>
      <c r="I21" s="107"/>
      <c r="J21" s="108"/>
    </row>
    <row r="22" spans="1:12" ht="13.5" hidden="1" x14ac:dyDescent="0.25">
      <c r="A22" s="103"/>
      <c r="B22" s="91" t="str">
        <f>IFERROR(VLOOKUP(H22,[1]SEMIELABORADOS!$A$2:$M$6000,2,0),"")</f>
        <v/>
      </c>
      <c r="C22" s="104">
        <f t="shared" si="4"/>
        <v>0</v>
      </c>
      <c r="D22" s="104" t="str">
        <f>IFERROR(VLOOKUP(H22,[1]SEMIELABORADOS!$A$2:$M$6000,6,0),"")</f>
        <v/>
      </c>
      <c r="E22" s="105" t="str">
        <f>IFERROR(VLOOKUP(H22,[1]SEMIELABORADOS!$A$2:$H$65536,8,0),"")</f>
        <v/>
      </c>
      <c r="F22" s="105" t="str">
        <f t="shared" si="5"/>
        <v/>
      </c>
      <c r="G22" s="106" t="str">
        <f t="shared" si="3"/>
        <v/>
      </c>
      <c r="H22" s="107"/>
      <c r="I22" s="107"/>
      <c r="J22" s="108"/>
    </row>
    <row r="23" spans="1:12" ht="13.5" hidden="1" x14ac:dyDescent="0.25">
      <c r="A23" s="103"/>
      <c r="B23" s="91" t="str">
        <f>IFERROR(VLOOKUP(H23,[1]SEMIELABORADOS!$A$2:$M$6000,2,0),"")</f>
        <v/>
      </c>
      <c r="C23" s="104">
        <f t="shared" si="4"/>
        <v>0</v>
      </c>
      <c r="D23" s="104" t="str">
        <f>IFERROR(VLOOKUP(H23,[1]SEMIELABORADOS!$A$2:$M$6000,6,0),"")</f>
        <v/>
      </c>
      <c r="E23" s="105" t="str">
        <f>IFERROR(VLOOKUP(H23,[1]SEMIELABORADOS!$A$2:$H$65536,8,0),"")</f>
        <v/>
      </c>
      <c r="F23" s="105" t="str">
        <f t="shared" si="5"/>
        <v/>
      </c>
      <c r="G23" s="106" t="str">
        <f t="shared" si="3"/>
        <v/>
      </c>
      <c r="H23" s="107"/>
      <c r="I23" s="107"/>
      <c r="J23" s="108"/>
    </row>
    <row r="24" spans="1:12" ht="13.5" hidden="1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 x14ac:dyDescent="0.3">
      <c r="A26" s="98" t="s">
        <v>84</v>
      </c>
      <c r="B26" s="99" t="s">
        <v>56</v>
      </c>
      <c r="C26" s="99" t="s">
        <v>84</v>
      </c>
      <c r="D26" s="100" t="s">
        <v>86</v>
      </c>
      <c r="E26" s="100" t="s">
        <v>87</v>
      </c>
      <c r="F26" s="100" t="s">
        <v>88</v>
      </c>
      <c r="G26" s="100" t="s">
        <v>89</v>
      </c>
      <c r="H26" s="101" t="s">
        <v>90</v>
      </c>
      <c r="I26" s="102"/>
    </row>
    <row r="27" spans="1:12" ht="13.5" x14ac:dyDescent="0.25">
      <c r="A27" s="103">
        <v>1</v>
      </c>
      <c r="B27" s="109" t="s">
        <v>155</v>
      </c>
      <c r="C27" s="104">
        <f t="shared" ref="C27:C32" si="6">+A27</f>
        <v>1</v>
      </c>
      <c r="D27" s="105" t="s">
        <v>142</v>
      </c>
      <c r="E27" s="105">
        <v>2.13</v>
      </c>
      <c r="F27" s="105">
        <f t="shared" ref="F27:F32" si="7">IFERROR(C27*E27,"")</f>
        <v>2.13</v>
      </c>
      <c r="G27" s="106">
        <f t="shared" ref="G27:G32" si="8">IFERROR(F27/$F$66,"")</f>
        <v>7.2690549573316721E-4</v>
      </c>
      <c r="H27" s="110" t="s">
        <v>68</v>
      </c>
      <c r="I27" s="110"/>
      <c r="J27" s="108"/>
      <c r="K27" s="759"/>
      <c r="L27" s="759"/>
    </row>
    <row r="28" spans="1:12" ht="13.5" x14ac:dyDescent="0.25">
      <c r="A28" s="103">
        <v>1</v>
      </c>
      <c r="B28" s="109" t="s">
        <v>154</v>
      </c>
      <c r="C28" s="104">
        <f t="shared" si="6"/>
        <v>1</v>
      </c>
      <c r="D28" s="105" t="s">
        <v>142</v>
      </c>
      <c r="E28" s="105">
        <v>0.28000000000000003</v>
      </c>
      <c r="F28" s="105">
        <f t="shared" si="7"/>
        <v>0.28000000000000003</v>
      </c>
      <c r="G28" s="106">
        <f t="shared" si="8"/>
        <v>9.5555652021261421E-5</v>
      </c>
      <c r="H28" s="110" t="s">
        <v>153</v>
      </c>
      <c r="I28" s="110"/>
      <c r="J28" s="108"/>
      <c r="K28" s="759"/>
      <c r="L28" s="759"/>
    </row>
    <row r="29" spans="1:12" ht="13.5" hidden="1" x14ac:dyDescent="0.25">
      <c r="A29" s="103"/>
      <c r="B29" s="109" t="str">
        <f>IFERROR(VLOOKUP(H29,'[1]Consolidado MP Planta'!$A$2:$M$823,3,0),"")</f>
        <v/>
      </c>
      <c r="C29" s="104">
        <f t="shared" si="6"/>
        <v>0</v>
      </c>
      <c r="D29" s="105" t="str">
        <f>IFERROR(VLOOKUP(H29,'[1]Consolidado MP Planta'!$A$2:$M$823,13,0),"")</f>
        <v/>
      </c>
      <c r="E29" s="105" t="str">
        <f>IFERROR(VLOOKUP(H29,'[1]Consolidado MP Planta'!$A$2:$M$823,12,0),"")</f>
        <v/>
      </c>
      <c r="F29" s="105" t="str">
        <f t="shared" si="7"/>
        <v/>
      </c>
      <c r="G29" s="106" t="str">
        <f t="shared" si="8"/>
        <v/>
      </c>
      <c r="H29" s="110"/>
      <c r="I29" s="110"/>
      <c r="J29" s="108"/>
      <c r="K29" s="759"/>
      <c r="L29" s="759"/>
    </row>
    <row r="30" spans="1:12" ht="13.5" hidden="1" x14ac:dyDescent="0.25">
      <c r="A30" s="103"/>
      <c r="B30" s="109" t="str">
        <f>IFERROR(VLOOKUP(H30,'[1]Consolidado MP Planta'!$A$2:$M$823,3,0),"")</f>
        <v/>
      </c>
      <c r="C30" s="104">
        <f t="shared" si="6"/>
        <v>0</v>
      </c>
      <c r="D30" s="105" t="str">
        <f>IFERROR(VLOOKUP(H30,'[1]Consolidado MP Planta'!$A$2:$M$823,13,0),"")</f>
        <v/>
      </c>
      <c r="E30" s="105" t="str">
        <f>IFERROR(VLOOKUP(H30,'[1]Consolidado MP Planta'!$A$2:$M$823,12,0),"")</f>
        <v/>
      </c>
      <c r="F30" s="105" t="str">
        <f t="shared" si="7"/>
        <v/>
      </c>
      <c r="G30" s="106" t="str">
        <f t="shared" si="8"/>
        <v/>
      </c>
      <c r="H30" s="110"/>
      <c r="I30" s="110"/>
      <c r="J30" s="108"/>
      <c r="K30" s="759"/>
      <c r="L30" s="759"/>
    </row>
    <row r="31" spans="1:12" ht="13.5" hidden="1" x14ac:dyDescent="0.25">
      <c r="A31" s="103"/>
      <c r="B31" s="109" t="str">
        <f>IFERROR(VLOOKUP(H31,'[1]Consolidado MP Planta'!$A$2:$M$823,3,0),"")</f>
        <v/>
      </c>
      <c r="C31" s="104">
        <f t="shared" si="6"/>
        <v>0</v>
      </c>
      <c r="D31" s="105" t="str">
        <f>IFERROR(VLOOKUP(H31,'[1]Consolidado MP Planta'!$A$2:$M$823,13,0),"")</f>
        <v/>
      </c>
      <c r="E31" s="105" t="str">
        <f>IFERROR(VLOOKUP(H31,'[1]Consolidado MP Planta'!$A$2:$M$823,12,0),"")</f>
        <v/>
      </c>
      <c r="F31" s="105" t="str">
        <f t="shared" si="7"/>
        <v/>
      </c>
      <c r="G31" s="106" t="str">
        <f t="shared" si="8"/>
        <v/>
      </c>
      <c r="H31" s="110"/>
      <c r="I31" s="110"/>
      <c r="J31" s="108"/>
      <c r="K31" s="111"/>
      <c r="L31" s="112"/>
    </row>
    <row r="32" spans="1:12" ht="13.5" hidden="1" x14ac:dyDescent="0.25">
      <c r="A32" s="103"/>
      <c r="B32" s="109" t="str">
        <f>IFERROR(VLOOKUP(H32,'[1]Consolidado MP Planta'!$A$2:$M$823,3,0),"")</f>
        <v/>
      </c>
      <c r="C32" s="104">
        <f t="shared" si="6"/>
        <v>0</v>
      </c>
      <c r="D32" s="105" t="str">
        <f>IFERROR(VLOOKUP(H32,'[1]Consolidado MP Planta'!$A$2:$M$823,13,0),"")</f>
        <v/>
      </c>
      <c r="E32" s="105" t="str">
        <f>IFERROR(VLOOKUP(H32,'[1]Consolidado MP Planta'!$A$2:$M$823,12,0),"")</f>
        <v/>
      </c>
      <c r="F32" s="105" t="str">
        <f t="shared" si="7"/>
        <v/>
      </c>
      <c r="G32" s="106" t="str">
        <f t="shared" si="8"/>
        <v/>
      </c>
      <c r="H32" s="110"/>
      <c r="I32" s="110"/>
      <c r="J32" s="108"/>
    </row>
    <row r="33" spans="1:13" ht="14.25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hidden="1" thickBot="1" x14ac:dyDescent="0.25">
      <c r="A34" s="98" t="s">
        <v>84</v>
      </c>
      <c r="B34" s="99" t="s">
        <v>92</v>
      </c>
      <c r="C34" s="99" t="s">
        <v>84</v>
      </c>
      <c r="D34" s="100" t="s">
        <v>86</v>
      </c>
      <c r="E34" s="100" t="s">
        <v>87</v>
      </c>
      <c r="F34" s="100" t="s">
        <v>88</v>
      </c>
      <c r="G34" s="100" t="s">
        <v>89</v>
      </c>
      <c r="H34" s="101" t="s">
        <v>90</v>
      </c>
      <c r="I34" s="110"/>
      <c r="J34" s="108"/>
    </row>
    <row r="35" spans="1:13" ht="13.5" hidden="1" x14ac:dyDescent="0.25">
      <c r="A35" s="103">
        <f>+A17</f>
        <v>6</v>
      </c>
      <c r="B35" s="109" t="str">
        <f>IFERROR(VLOOKUP(H35,[1]SEMIELABORADOS!$A$2:$M$6000,2,0),"")</f>
        <v/>
      </c>
      <c r="C35" s="104">
        <f>+A35</f>
        <v>6</v>
      </c>
      <c r="D35" s="105" t="str">
        <f>IFERROR(VLOOKUP(H35,[1]SEMIELABORADOS!$A$2:$M$6000,6,0),"")</f>
        <v/>
      </c>
      <c r="E35" s="105" t="str">
        <f>IFERROR(VLOOKUP(H35,[1]SEMIELABORADOS!$A$2:$M$65536,10,0),"")</f>
        <v/>
      </c>
      <c r="F35" s="105" t="str">
        <f>IFERROR(E35*C35,"")</f>
        <v/>
      </c>
      <c r="G35" s="106" t="str">
        <f t="shared" ref="G35:G41" si="9">IFERROR(F35/$F$66,"")</f>
        <v/>
      </c>
      <c r="H35" s="110"/>
      <c r="I35" s="110"/>
      <c r="J35" s="108"/>
    </row>
    <row r="36" spans="1:13" ht="13.5" hidden="1" x14ac:dyDescent="0.25">
      <c r="A36" s="103">
        <f t="shared" ref="A36:A41" si="10">+A18</f>
        <v>0</v>
      </c>
      <c r="B36" s="109" t="str">
        <f>IFERROR(VLOOKUP(H36,[1]SEMIELABORADOS!$A$2:$M$6000,2,0),"")</f>
        <v/>
      </c>
      <c r="C36" s="104">
        <f t="shared" ref="C36:C41" si="11">+A36</f>
        <v>0</v>
      </c>
      <c r="D36" s="105" t="str">
        <f>IFERROR(VLOOKUP(H36,[1]SEMIELABORADOS!$A$2:$M$6000,6,0),"")</f>
        <v/>
      </c>
      <c r="E36" s="105" t="str">
        <f>IFERROR(VLOOKUP(H36,[1]SEMIELABORADOS!$A$2:$M$65536,10,0),"")</f>
        <v/>
      </c>
      <c r="F36" s="105" t="str">
        <f t="shared" ref="F36:F41" si="12">IFERROR(E36*C36,"")</f>
        <v/>
      </c>
      <c r="G36" s="106" t="str">
        <f t="shared" si="9"/>
        <v/>
      </c>
      <c r="H36" s="110"/>
      <c r="I36" s="110"/>
      <c r="J36" s="108"/>
    </row>
    <row r="37" spans="1:13" ht="13.5" hidden="1" x14ac:dyDescent="0.25">
      <c r="A37" s="103">
        <f t="shared" si="10"/>
        <v>0</v>
      </c>
      <c r="B37" s="109" t="str">
        <f>IFERROR(VLOOKUP(H37,[1]SEMIELABORADOS!$A$2:$M$6000,2,0),"")</f>
        <v/>
      </c>
      <c r="C37" s="104">
        <f t="shared" si="11"/>
        <v>0</v>
      </c>
      <c r="D37" s="105" t="str">
        <f>IFERROR(VLOOKUP(H37,[1]SEMIELABORADOS!$A$2:$M$6000,6,0),"")</f>
        <v/>
      </c>
      <c r="E37" s="105" t="str">
        <f>IFERROR(VLOOKUP(H37,[1]SEMIELABORADOS!$A$2:$M$65536,10,0),"")</f>
        <v/>
      </c>
      <c r="F37" s="105" t="str">
        <f t="shared" si="12"/>
        <v/>
      </c>
      <c r="G37" s="106" t="str">
        <f t="shared" si="9"/>
        <v/>
      </c>
      <c r="H37" s="110"/>
      <c r="I37" s="110"/>
      <c r="J37" s="108"/>
    </row>
    <row r="38" spans="1:13" ht="13.5" hidden="1" x14ac:dyDescent="0.25">
      <c r="A38" s="103">
        <f t="shared" si="10"/>
        <v>0</v>
      </c>
      <c r="B38" s="109" t="str">
        <f>IFERROR(VLOOKUP(H38,[1]SEMIELABORADOS!$A$2:$M$6000,2,0),"")</f>
        <v/>
      </c>
      <c r="C38" s="104">
        <f>+A38</f>
        <v>0</v>
      </c>
      <c r="D38" s="105" t="str">
        <f>IFERROR(VLOOKUP(H38,[1]SEMIELABORADOS!$A$2:$M$6000,6,0),"")</f>
        <v/>
      </c>
      <c r="E38" s="105" t="str">
        <f>IFERROR(VLOOKUP(H38,[1]SEMIELABORADOS!$A$2:$M$65536,10,0),"")</f>
        <v/>
      </c>
      <c r="F38" s="105" t="str">
        <f>IFERROR(E38*C38,"")</f>
        <v/>
      </c>
      <c r="G38" s="106" t="str">
        <f t="shared" si="9"/>
        <v/>
      </c>
      <c r="H38" s="110"/>
      <c r="I38" s="110"/>
      <c r="J38" s="108"/>
    </row>
    <row r="39" spans="1:13" ht="13.5" hidden="1" x14ac:dyDescent="0.25">
      <c r="A39" s="103">
        <f t="shared" si="10"/>
        <v>0</v>
      </c>
      <c r="B39" s="109" t="str">
        <f>IFERROR(VLOOKUP(H39,[1]SEMIELABORADOS!$A$2:$M$6000,2,0),"")</f>
        <v/>
      </c>
      <c r="C39" s="104">
        <f>+A39</f>
        <v>0</v>
      </c>
      <c r="D39" s="105" t="str">
        <f>IFERROR(VLOOKUP(H39,[1]SEMIELABORADOS!$A$2:$M$6000,6,0),"")</f>
        <v/>
      </c>
      <c r="E39" s="105" t="str">
        <f>IFERROR(VLOOKUP(H39,[1]SEMIELABORADOS!$A$2:$M$65536,10,0),"")</f>
        <v/>
      </c>
      <c r="F39" s="105" t="str">
        <f>IFERROR(E39*C39,"")</f>
        <v/>
      </c>
      <c r="G39" s="106" t="str">
        <f t="shared" si="9"/>
        <v/>
      </c>
      <c r="H39" s="110"/>
      <c r="I39" s="110"/>
      <c r="J39" s="108"/>
    </row>
    <row r="40" spans="1:13" ht="13.5" hidden="1" x14ac:dyDescent="0.25">
      <c r="A40" s="103">
        <f t="shared" si="10"/>
        <v>0</v>
      </c>
      <c r="B40" s="109" t="str">
        <f>IFERROR(VLOOKUP(H40,[1]SEMIELABORADOS!$A$2:$M$6000,2,0),"")</f>
        <v/>
      </c>
      <c r="C40" s="104">
        <f t="shared" si="11"/>
        <v>0</v>
      </c>
      <c r="D40" s="105" t="str">
        <f>IFERROR(VLOOKUP(H40,[1]SEMIELABORADOS!$A$2:$M$6000,6,0),"")</f>
        <v/>
      </c>
      <c r="E40" s="105" t="str">
        <f>IFERROR(VLOOKUP(H40,[1]SEMIELABORADOS!$A$2:$M$65536,10,0),"")</f>
        <v/>
      </c>
      <c r="F40" s="105" t="str">
        <f t="shared" si="12"/>
        <v/>
      </c>
      <c r="G40" s="106" t="str">
        <f t="shared" si="9"/>
        <v/>
      </c>
      <c r="H40" s="110"/>
      <c r="I40" s="110"/>
      <c r="J40" s="108"/>
    </row>
    <row r="41" spans="1:13" ht="13.5" hidden="1" x14ac:dyDescent="0.25">
      <c r="A41" s="103">
        <f t="shared" si="10"/>
        <v>0</v>
      </c>
      <c r="B41" s="109" t="str">
        <f>IFERROR(VLOOKUP(H41,[1]SEMIELABORADOS!$A$2:$M$6000,2,0),"")</f>
        <v/>
      </c>
      <c r="C41" s="104">
        <f t="shared" si="11"/>
        <v>0</v>
      </c>
      <c r="D41" s="105" t="str">
        <f>IFERROR(VLOOKUP(H41,[1]SEMIELABORADOS!$A$2:$M$6000,6,0),"")</f>
        <v/>
      </c>
      <c r="E41" s="105" t="str">
        <f>IFERROR(VLOOKUP(H41,[1]SEMIELABORADOS!$A$2:$M$65536,10,0),"")</f>
        <v/>
      </c>
      <c r="F41" s="105" t="str">
        <f t="shared" si="12"/>
        <v/>
      </c>
      <c r="G41" s="106" t="str">
        <f t="shared" si="9"/>
        <v/>
      </c>
      <c r="H41" s="110"/>
      <c r="I41" s="110"/>
      <c r="J41" s="108"/>
    </row>
    <row r="42" spans="1:13" ht="14.25" hidden="1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84</v>
      </c>
      <c r="B43" s="99" t="s">
        <v>93</v>
      </c>
      <c r="C43" s="99" t="s">
        <v>84</v>
      </c>
      <c r="D43" s="100" t="s">
        <v>86</v>
      </c>
      <c r="E43" s="100" t="s">
        <v>87</v>
      </c>
      <c r="F43" s="100" t="s">
        <v>88</v>
      </c>
      <c r="G43" s="100" t="s">
        <v>89</v>
      </c>
      <c r="H43" s="101" t="s">
        <v>90</v>
      </c>
      <c r="I43" s="102"/>
      <c r="J43" s="108"/>
    </row>
    <row r="44" spans="1:13" ht="13.5" hidden="1" x14ac:dyDescent="0.25">
      <c r="A44" s="103">
        <f>+A35</f>
        <v>6</v>
      </c>
      <c r="B44" s="109" t="str">
        <f>IFERROR(VLOOKUP(H44,[1]SEMIELABORADOS!$A$2:$M$6000,2,0),"")</f>
        <v/>
      </c>
      <c r="C44" s="104">
        <f>+A44</f>
        <v>6</v>
      </c>
      <c r="D44" s="105" t="str">
        <f>IFERROR(VLOOKUP(H44,[1]SEMIELABORADOS!$A$2:$M$6000,6,0),"")</f>
        <v/>
      </c>
      <c r="E44" s="105" t="str">
        <f>IFERROR(VLOOKUP(H44,[1]SEMIELABORADOS!$A$2:$M$65536,12,0),"")</f>
        <v/>
      </c>
      <c r="F44" s="105" t="str">
        <f>IFERROR(E44*C44,"")</f>
        <v/>
      </c>
      <c r="G44" s="106" t="str">
        <f>IFERROR(F44/$F$66,"")</f>
        <v/>
      </c>
      <c r="H44" s="110"/>
      <c r="I44" s="102"/>
      <c r="J44" s="108"/>
    </row>
    <row r="45" spans="1:13" ht="13.5" hidden="1" x14ac:dyDescent="0.25">
      <c r="A45" s="103">
        <f t="shared" ref="A45:A50" si="13">+A36</f>
        <v>0</v>
      </c>
      <c r="B45" s="109" t="str">
        <f>IFERROR(VLOOKUP(H45,[1]SEMIELABORADOS!$A$2:$M$6000,2,0),"")</f>
        <v/>
      </c>
      <c r="C45" s="104">
        <f t="shared" ref="C45:C50" si="14">+A45</f>
        <v>0</v>
      </c>
      <c r="D45" s="105" t="str">
        <f>IFERROR(VLOOKUP(H45,[1]SEMIELABORADOS!$A$2:$M$6000,6,0),"")</f>
        <v/>
      </c>
      <c r="E45" s="105" t="str">
        <f>IFERROR(VLOOKUP(H45,[1]SEMIELABORADOS!$A$2:$M$65536,12,0),"")</f>
        <v/>
      </c>
      <c r="F45" s="105" t="str">
        <f t="shared" ref="F45:F50" si="15">IFERROR(E45*C45,"")</f>
        <v/>
      </c>
      <c r="G45" s="106" t="str">
        <f t="shared" ref="G45:G50" si="16">IFERROR(F45/$F$66,"")</f>
        <v/>
      </c>
      <c r="H45" s="110"/>
      <c r="I45" s="102"/>
      <c r="J45" s="108"/>
      <c r="M45" s="113"/>
    </row>
    <row r="46" spans="1:13" ht="13.5" hidden="1" x14ac:dyDescent="0.25">
      <c r="A46" s="103">
        <f t="shared" si="13"/>
        <v>0</v>
      </c>
      <c r="B46" s="109" t="str">
        <f>IFERROR(VLOOKUP(H46,[1]SEMIELABORADOS!$A$2:$M$6000,2,0),"")</f>
        <v/>
      </c>
      <c r="C46" s="104">
        <f t="shared" si="14"/>
        <v>0</v>
      </c>
      <c r="D46" s="105" t="str">
        <f>IFERROR(VLOOKUP(H46,[1]SEMIELABORADOS!$A$2:$M$6000,6,0),"")</f>
        <v/>
      </c>
      <c r="E46" s="105" t="str">
        <f>IFERROR(VLOOKUP(H46,[1]SEMIELABORADOS!$A$2:$M$65536,12,0),"")</f>
        <v/>
      </c>
      <c r="F46" s="105" t="str">
        <f t="shared" si="15"/>
        <v/>
      </c>
      <c r="G46" s="106" t="str">
        <f t="shared" si="16"/>
        <v/>
      </c>
      <c r="H46" s="110"/>
      <c r="I46" s="102"/>
      <c r="J46" s="108"/>
    </row>
    <row r="47" spans="1:13" ht="13.5" hidden="1" x14ac:dyDescent="0.25">
      <c r="A47" s="103">
        <f t="shared" si="13"/>
        <v>0</v>
      </c>
      <c r="B47" s="109" t="str">
        <f>IFERROR(VLOOKUP(H47,[1]SEMIELABORADOS!$A$2:$M$6000,2,0),"")</f>
        <v/>
      </c>
      <c r="C47" s="104">
        <f t="shared" si="14"/>
        <v>0</v>
      </c>
      <c r="D47" s="105" t="str">
        <f>IFERROR(VLOOKUP(H47,[1]SEMIELABORADOS!$A$2:$M$6000,6,0),"")</f>
        <v/>
      </c>
      <c r="E47" s="105" t="str">
        <f>IFERROR(VLOOKUP(H47,[1]SEMIELABORADOS!$A$2:$M$65536,12,0),"")</f>
        <v/>
      </c>
      <c r="F47" s="105" t="str">
        <f t="shared" si="15"/>
        <v/>
      </c>
      <c r="G47" s="106" t="str">
        <f t="shared" si="16"/>
        <v/>
      </c>
      <c r="H47" s="110"/>
      <c r="I47" s="102"/>
      <c r="J47" s="108"/>
    </row>
    <row r="48" spans="1:13" ht="13.5" hidden="1" x14ac:dyDescent="0.25">
      <c r="A48" s="103">
        <f t="shared" si="13"/>
        <v>0</v>
      </c>
      <c r="B48" s="109" t="str">
        <f>IFERROR(VLOOKUP(H48,[1]SEMIELABORADOS!$A$2:$M$6000,2,0),"")</f>
        <v/>
      </c>
      <c r="C48" s="104">
        <f t="shared" si="14"/>
        <v>0</v>
      </c>
      <c r="D48" s="105" t="str">
        <f>IFERROR(VLOOKUP(H48,[1]SEMIELABORADOS!$A$2:$M$6000,6,0),"")</f>
        <v/>
      </c>
      <c r="E48" s="105" t="str">
        <f>IFERROR(VLOOKUP(H48,[1]SEMIELABORADOS!$A$2:$M$65536,12,0),"")</f>
        <v/>
      </c>
      <c r="F48" s="105" t="str">
        <f t="shared" si="15"/>
        <v/>
      </c>
      <c r="G48" s="106" t="str">
        <f t="shared" si="16"/>
        <v/>
      </c>
      <c r="H48" s="110"/>
      <c r="I48" s="102"/>
      <c r="J48" s="108"/>
    </row>
    <row r="49" spans="1:17" ht="13.5" hidden="1" x14ac:dyDescent="0.25">
      <c r="A49" s="103">
        <f t="shared" si="13"/>
        <v>0</v>
      </c>
      <c r="B49" s="109" t="str">
        <f>IFERROR(VLOOKUP(H49,[1]SEMIELABORADOS!$A$2:$M$6000,2,0),"")</f>
        <v/>
      </c>
      <c r="C49" s="104">
        <f t="shared" si="14"/>
        <v>0</v>
      </c>
      <c r="D49" s="105" t="str">
        <f>IFERROR(VLOOKUP(H49,[1]SEMIELABORADOS!$A$2:$M$6000,6,0),"")</f>
        <v/>
      </c>
      <c r="E49" s="105" t="str">
        <f>IFERROR(VLOOKUP(H49,[1]SEMIELABORADOS!$A$2:$M$65536,12,0),"")</f>
        <v/>
      </c>
      <c r="F49" s="105" t="str">
        <f t="shared" si="15"/>
        <v/>
      </c>
      <c r="G49" s="106" t="str">
        <f t="shared" si="16"/>
        <v/>
      </c>
      <c r="H49" s="110"/>
      <c r="I49" s="102"/>
      <c r="J49" s="108"/>
    </row>
    <row r="50" spans="1:17" ht="13.5" hidden="1" x14ac:dyDescent="0.25">
      <c r="A50" s="103">
        <f t="shared" si="13"/>
        <v>0</v>
      </c>
      <c r="B50" s="109" t="str">
        <f>IFERROR(VLOOKUP(H50,[1]SEMIELABORADOS!$A$2:$M$6000,2,0),"")</f>
        <v/>
      </c>
      <c r="C50" s="104">
        <f t="shared" si="14"/>
        <v>0</v>
      </c>
      <c r="D50" s="105" t="str">
        <f>IFERROR(VLOOKUP(H50,[1]SEMIELABORADOS!$A$2:$M$6000,6,0),"")</f>
        <v/>
      </c>
      <c r="E50" s="105" t="str">
        <f>IFERROR(VLOOKUP(H50,[1]SEMIELABORADOS!$A$2:$M$65536,12,0),"")</f>
        <v/>
      </c>
      <c r="F50" s="105" t="str">
        <f t="shared" si="15"/>
        <v/>
      </c>
      <c r="G50" s="106" t="str">
        <f t="shared" si="16"/>
        <v/>
      </c>
      <c r="H50" s="109"/>
      <c r="I50" s="102"/>
      <c r="J50" s="108"/>
    </row>
    <row r="51" spans="1:17" ht="13.5" x14ac:dyDescent="0.25">
      <c r="A51" s="103">
        <v>1</v>
      </c>
      <c r="B51" s="109" t="s">
        <v>94</v>
      </c>
      <c r="C51" s="104">
        <f>+A51</f>
        <v>1</v>
      </c>
      <c r="D51" s="104" t="s">
        <v>95</v>
      </c>
      <c r="E51" s="105">
        <f>+F65</f>
        <v>539</v>
      </c>
      <c r="F51" s="105">
        <f>IFERROR(C51*E51,"")</f>
        <v>539</v>
      </c>
      <c r="G51" s="106">
        <f>IFERROR(F51/$F$66,"")</f>
        <v>0.18394463014092824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760" t="s">
        <v>96</v>
      </c>
      <c r="C53" s="760"/>
      <c r="D53" s="760"/>
      <c r="E53" s="760"/>
      <c r="F53" s="117">
        <f>SUM(F8:F14,F17:F24)</f>
        <v>2341.98</v>
      </c>
      <c r="G53" s="106">
        <f>+F53/$F$66</f>
        <v>0.79924794971697788</v>
      </c>
      <c r="H53" s="118">
        <f>+F53/$D$60</f>
        <v>2341.98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760" t="s">
        <v>97</v>
      </c>
      <c r="C54" s="760"/>
      <c r="D54" s="760"/>
      <c r="E54" s="760"/>
      <c r="F54" s="117">
        <f>SUM(F27:F32,F35:F41)</f>
        <v>2.41</v>
      </c>
      <c r="G54" s="106">
        <f>+F54/$F$66</f>
        <v>8.2246114775442862E-4</v>
      </c>
      <c r="H54" s="118">
        <f>+F54/$D$60</f>
        <v>2.41</v>
      </c>
      <c r="I54" s="118"/>
      <c r="J54" s="122"/>
      <c r="K54" s="761" t="s">
        <v>98</v>
      </c>
      <c r="L54" s="762"/>
      <c r="M54" s="762"/>
      <c r="N54" s="762"/>
      <c r="O54" s="123">
        <f>+F55</f>
        <v>2344.39</v>
      </c>
      <c r="P54" s="123"/>
      <c r="Q54" s="124"/>
    </row>
    <row r="55" spans="1:17" x14ac:dyDescent="0.2">
      <c r="A55" s="115"/>
      <c r="B55" s="760" t="s">
        <v>99</v>
      </c>
      <c r="C55" s="760"/>
      <c r="D55" s="760"/>
      <c r="E55" s="760"/>
      <c r="F55" s="117">
        <f>+F53+F54</f>
        <v>2344.39</v>
      </c>
      <c r="G55" s="106">
        <f>+F55/$F$66</f>
        <v>0.8000704108647323</v>
      </c>
      <c r="H55" s="118">
        <f>+F55/$D$60</f>
        <v>2344.39</v>
      </c>
      <c r="I55" s="118"/>
      <c r="J55" s="125"/>
      <c r="K55" s="126"/>
      <c r="M55" s="127" t="s">
        <v>100</v>
      </c>
      <c r="N55" s="128"/>
      <c r="O55" s="123">
        <f>+H56</f>
        <v>539</v>
      </c>
      <c r="P55" s="123"/>
      <c r="Q55" s="124"/>
    </row>
    <row r="56" spans="1:17" ht="13.5" thickBot="1" x14ac:dyDescent="0.25">
      <c r="A56" s="115"/>
      <c r="B56" s="116"/>
      <c r="C56" s="760" t="s">
        <v>101</v>
      </c>
      <c r="D56" s="760"/>
      <c r="E56" s="760"/>
      <c r="F56" s="117">
        <f>SUM(F44:F51)</f>
        <v>539</v>
      </c>
      <c r="G56" s="106">
        <f>+F56/$F$66</f>
        <v>0.18394463014092824</v>
      </c>
      <c r="H56" s="118">
        <f>+F56/$D$60</f>
        <v>539</v>
      </c>
      <c r="I56" s="118"/>
      <c r="J56" s="125"/>
      <c r="K56" s="126"/>
      <c r="L56" s="126"/>
      <c r="M56" s="126" t="s">
        <v>102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103</v>
      </c>
      <c r="N57" s="135"/>
      <c r="O57" s="136">
        <f>SUM(O54:O56)</f>
        <v>2883.39</v>
      </c>
      <c r="P57" s="137"/>
      <c r="Q57" s="124"/>
    </row>
    <row r="58" spans="1:17" x14ac:dyDescent="0.2">
      <c r="B58" s="763" t="s">
        <v>104</v>
      </c>
      <c r="C58" s="763"/>
      <c r="D58" s="138">
        <v>1200</v>
      </c>
      <c r="E58" s="139"/>
      <c r="G58" s="106"/>
      <c r="H58" s="132">
        <f>+H56/77</f>
        <v>7</v>
      </c>
      <c r="I58" s="140"/>
      <c r="J58" s="125"/>
      <c r="K58" s="133"/>
      <c r="L58" s="126"/>
      <c r="M58" s="126" t="s">
        <v>105</v>
      </c>
      <c r="N58" s="141"/>
      <c r="O58" s="123">
        <f>+H59</f>
        <v>448</v>
      </c>
      <c r="P58" s="123"/>
      <c r="Q58" s="124"/>
    </row>
    <row r="59" spans="1:17" x14ac:dyDescent="0.2">
      <c r="B59" s="763" t="s">
        <v>106</v>
      </c>
      <c r="C59" s="763"/>
      <c r="D59" s="142">
        <v>1200</v>
      </c>
      <c r="E59" s="139"/>
      <c r="G59" s="106"/>
      <c r="H59" s="132">
        <f>+H58*64</f>
        <v>448</v>
      </c>
      <c r="I59" s="140"/>
      <c r="J59" s="125"/>
      <c r="K59" s="133"/>
      <c r="L59" s="126"/>
      <c r="M59" s="764" t="s">
        <v>103</v>
      </c>
      <c r="N59" s="764"/>
      <c r="O59" s="123">
        <f>SUM(O57:O58)</f>
        <v>3331.39</v>
      </c>
      <c r="P59" s="123"/>
      <c r="Q59" s="124"/>
    </row>
    <row r="60" spans="1:17" ht="13.5" thickBot="1" x14ac:dyDescent="0.25">
      <c r="B60" s="755" t="s">
        <v>107</v>
      </c>
      <c r="C60" s="755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764"/>
      <c r="M60" s="764"/>
      <c r="N60" s="141"/>
      <c r="O60" s="123">
        <f>+O59*N60</f>
        <v>0</v>
      </c>
      <c r="P60" s="123"/>
      <c r="Q60" s="124"/>
    </row>
    <row r="61" spans="1:17" ht="13.5" thickBot="1" x14ac:dyDescent="0.25">
      <c r="B61" s="755" t="s">
        <v>108</v>
      </c>
      <c r="C61" s="755"/>
      <c r="D61" s="144"/>
      <c r="E61" s="139"/>
      <c r="F61" s="143"/>
      <c r="G61" s="106"/>
      <c r="H61" s="132"/>
      <c r="I61" s="140"/>
      <c r="J61" s="125"/>
      <c r="K61" s="756" t="s">
        <v>109</v>
      </c>
      <c r="L61" s="757"/>
      <c r="M61" s="757"/>
      <c r="N61" s="758"/>
      <c r="O61" s="136">
        <f>SUM(O59:O60)</f>
        <v>3331.39</v>
      </c>
      <c r="P61" s="145" t="s">
        <v>110</v>
      </c>
      <c r="Q61" s="124"/>
    </row>
    <row r="62" spans="1:17" ht="13.5" thickBot="1" x14ac:dyDescent="0.25">
      <c r="C62" s="115" t="s">
        <v>111</v>
      </c>
      <c r="D62" s="146"/>
      <c r="E62" s="89" t="s">
        <v>112</v>
      </c>
      <c r="F62" s="147" t="s">
        <v>113</v>
      </c>
      <c r="G62" s="106"/>
      <c r="H62" s="132"/>
      <c r="I62" s="140"/>
      <c r="J62" s="148"/>
      <c r="K62" s="149"/>
      <c r="L62" s="744" t="s">
        <v>114</v>
      </c>
      <c r="M62" s="744"/>
      <c r="N62" s="744"/>
      <c r="O62" s="150">
        <f>+O61/D60</f>
        <v>3331.39</v>
      </c>
      <c r="P62" s="151">
        <f>+O62/D59</f>
        <v>2.7761583333333331</v>
      </c>
      <c r="Q62" s="152"/>
    </row>
    <row r="63" spans="1:17" ht="13.5" thickBot="1" x14ac:dyDescent="0.25">
      <c r="B63" s="745" t="s">
        <v>99</v>
      </c>
      <c r="C63" s="745"/>
      <c r="D63" s="745"/>
      <c r="E63" s="153">
        <f>+F63/F63</f>
        <v>1</v>
      </c>
      <c r="F63" s="154">
        <f>SUM(F55)</f>
        <v>2344.39</v>
      </c>
      <c r="G63" s="106">
        <f>+F63/$F$66</f>
        <v>0.8000704108647323</v>
      </c>
      <c r="H63" s="132"/>
      <c r="I63" s="140"/>
      <c r="K63" s="746"/>
      <c r="L63" s="747"/>
      <c r="M63" s="747"/>
      <c r="N63" s="747"/>
      <c r="O63" s="155"/>
      <c r="P63" s="156"/>
    </row>
    <row r="64" spans="1:17" ht="13.5" thickBot="1" x14ac:dyDescent="0.3">
      <c r="B64" s="748" t="s">
        <v>115</v>
      </c>
      <c r="C64" s="748"/>
      <c r="D64" s="748"/>
      <c r="E64" s="157">
        <v>0.02</v>
      </c>
      <c r="F64" s="154">
        <f>+F53*E64</f>
        <v>46.839600000000004</v>
      </c>
      <c r="G64" s="106">
        <f>+F64/$F$66</f>
        <v>1.5984958994339559E-2</v>
      </c>
      <c r="H64" s="118"/>
      <c r="I64" s="140"/>
      <c r="J64" s="158"/>
      <c r="O64" s="159"/>
      <c r="P64" s="116"/>
    </row>
    <row r="65" spans="2:13" ht="13.5" thickBot="1" x14ac:dyDescent="0.3">
      <c r="B65" s="749" t="s">
        <v>116</v>
      </c>
      <c r="C65" s="750"/>
      <c r="D65" s="160">
        <v>7</v>
      </c>
      <c r="E65" s="161">
        <v>77</v>
      </c>
      <c r="F65" s="154">
        <f>+E65*D65</f>
        <v>539</v>
      </c>
      <c r="G65" s="106">
        <f>+F65/$F$66</f>
        <v>0.18394463014092824</v>
      </c>
      <c r="H65" s="118"/>
      <c r="I65" s="118"/>
      <c r="J65" s="108"/>
    </row>
    <row r="66" spans="2:13" ht="13.5" thickBot="1" x14ac:dyDescent="0.3">
      <c r="B66" s="751" t="s">
        <v>117</v>
      </c>
      <c r="C66" s="752"/>
      <c r="D66" s="752"/>
      <c r="E66" s="753"/>
      <c r="F66" s="131">
        <f>SUM(F63:F65)</f>
        <v>2930.2295999999997</v>
      </c>
      <c r="G66" s="106">
        <f>+F66/$F$66</f>
        <v>1</v>
      </c>
      <c r="H66" s="754"/>
      <c r="I66" s="118"/>
      <c r="J66" s="108"/>
      <c r="M66" s="91" t="s">
        <v>408</v>
      </c>
    </row>
    <row r="67" spans="2:13" x14ac:dyDescent="0.25">
      <c r="C67" s="113"/>
      <c r="D67" s="113"/>
      <c r="E67" s="163"/>
      <c r="F67" s="154"/>
      <c r="G67" s="106"/>
      <c r="H67" s="754"/>
      <c r="I67" s="162"/>
      <c r="J67" s="91"/>
      <c r="M67" s="91" t="s">
        <v>409</v>
      </c>
    </row>
    <row r="68" spans="2:13" ht="13.5" thickBot="1" x14ac:dyDescent="0.3">
      <c r="B68" s="739" t="s">
        <v>120</v>
      </c>
      <c r="C68" s="739"/>
      <c r="D68" s="739"/>
      <c r="E68" s="739"/>
      <c r="F68" s="739"/>
      <c r="G68" s="106"/>
      <c r="H68" s="165"/>
      <c r="I68" s="162"/>
      <c r="J68" s="91"/>
      <c r="M68" s="91" t="s">
        <v>121</v>
      </c>
    </row>
    <row r="69" spans="2:13" ht="13.5" thickBot="1" x14ac:dyDescent="0.3">
      <c r="B69" s="166" t="s">
        <v>122</v>
      </c>
      <c r="C69" s="167">
        <f>+F53</f>
        <v>2341.98</v>
      </c>
      <c r="D69" s="167">
        <f>+D58</f>
        <v>1200</v>
      </c>
      <c r="E69" s="168">
        <f>+C69/D69</f>
        <v>1.9516500000000001</v>
      </c>
      <c r="F69" s="106"/>
      <c r="G69" s="165"/>
      <c r="H69" s="108"/>
      <c r="I69" s="165"/>
      <c r="J69" s="91"/>
    </row>
    <row r="70" spans="2:13" x14ac:dyDescent="0.25">
      <c r="B70" s="169"/>
      <c r="C70" s="170"/>
      <c r="D70" s="171"/>
      <c r="E70" s="154"/>
      <c r="F70" s="106"/>
      <c r="G70" s="165"/>
      <c r="H70" s="108"/>
      <c r="I70" s="108"/>
      <c r="J70" s="91"/>
    </row>
    <row r="71" spans="2:13" x14ac:dyDescent="0.25">
      <c r="B71" s="166" t="s">
        <v>123</v>
      </c>
      <c r="C71" s="167">
        <f>SUM(F63:F64)</f>
        <v>2391.2295999999997</v>
      </c>
      <c r="D71" s="167">
        <f>+D58</f>
        <v>1200</v>
      </c>
      <c r="E71" s="172">
        <f>+C71/D71</f>
        <v>1.9926913333333331</v>
      </c>
      <c r="F71" s="106"/>
      <c r="G71" s="165"/>
      <c r="H71" s="108"/>
      <c r="I71" s="108"/>
      <c r="J71" s="91"/>
    </row>
    <row r="72" spans="2:13" x14ac:dyDescent="0.25">
      <c r="B72" s="166"/>
      <c r="C72" s="167"/>
      <c r="D72" s="167"/>
      <c r="E72" s="172"/>
      <c r="F72" s="106"/>
      <c r="G72" s="165"/>
      <c r="H72" s="108"/>
      <c r="I72" s="108"/>
      <c r="J72" s="91"/>
    </row>
    <row r="73" spans="2:13" ht="13.5" thickBot="1" x14ac:dyDescent="0.3">
      <c r="B73" s="166" t="s">
        <v>124</v>
      </c>
      <c r="C73" s="167">
        <f>+F65</f>
        <v>539</v>
      </c>
      <c r="D73" s="167">
        <f>+D58</f>
        <v>1200</v>
      </c>
      <c r="E73" s="172">
        <f>+C73/D73</f>
        <v>0.44916666666666666</v>
      </c>
      <c r="F73" s="106"/>
      <c r="G73" s="165"/>
      <c r="H73" s="108"/>
      <c r="I73" s="108"/>
      <c r="J73" s="91"/>
    </row>
    <row r="74" spans="2:13" ht="13.5" thickBot="1" x14ac:dyDescent="0.3">
      <c r="B74" s="166" t="s">
        <v>125</v>
      </c>
      <c r="C74" s="167">
        <f>+F56</f>
        <v>539</v>
      </c>
      <c r="D74" s="167">
        <f>+D73</f>
        <v>1200</v>
      </c>
      <c r="E74" s="168">
        <f>+C74/D74</f>
        <v>0.44916666666666666</v>
      </c>
      <c r="F74" s="106"/>
      <c r="G74" s="165"/>
      <c r="H74" s="108"/>
      <c r="I74" s="108"/>
      <c r="J74" s="91"/>
    </row>
    <row r="75" spans="2:13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3" ht="13.5" thickBot="1" x14ac:dyDescent="0.3">
      <c r="B76" s="166" t="s">
        <v>126</v>
      </c>
      <c r="C76" s="167">
        <f>+F54</f>
        <v>2.41</v>
      </c>
      <c r="D76" s="167">
        <f>+D74</f>
        <v>1200</v>
      </c>
      <c r="E76" s="168">
        <f>+C76/D76</f>
        <v>2.0083333333333333E-3</v>
      </c>
      <c r="F76" s="106"/>
      <c r="G76" s="165"/>
      <c r="H76" s="108"/>
      <c r="I76" s="108"/>
      <c r="J76" s="108"/>
    </row>
    <row r="77" spans="2:13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3" ht="13.5" thickBot="1" x14ac:dyDescent="0.3">
      <c r="B78" s="740" t="s">
        <v>127</v>
      </c>
      <c r="C78" s="741"/>
      <c r="D78" s="742"/>
      <c r="E78" s="168">
        <f>+E69+E74</f>
        <v>2.4008166666666666</v>
      </c>
      <c r="G78" s="106"/>
      <c r="H78" s="165"/>
      <c r="I78" s="108"/>
      <c r="J78" s="172"/>
    </row>
    <row r="79" spans="2:13" x14ac:dyDescent="0.25">
      <c r="I79" s="165"/>
      <c r="J79" s="91"/>
    </row>
    <row r="80" spans="2:13" ht="13.5" thickBot="1" x14ac:dyDescent="0.3">
      <c r="B80" s="739" t="s">
        <v>128</v>
      </c>
      <c r="C80" s="739"/>
      <c r="D80" s="739"/>
      <c r="E80" s="739"/>
      <c r="F80" s="739"/>
      <c r="G80" s="106"/>
      <c r="H80" s="165"/>
      <c r="J80" s="91"/>
    </row>
    <row r="81" spans="1:10" ht="13.5" thickBot="1" x14ac:dyDescent="0.3">
      <c r="B81" s="166" t="s">
        <v>122</v>
      </c>
      <c r="C81" s="167">
        <f>+C69</f>
        <v>2341.98</v>
      </c>
      <c r="D81" s="167">
        <f>+D60</f>
        <v>1</v>
      </c>
      <c r="E81" s="168">
        <f>+C81/D81</f>
        <v>2341.98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123</v>
      </c>
      <c r="C83" s="167">
        <f>+C71</f>
        <v>2391.2295999999997</v>
      </c>
      <c r="D83" s="167">
        <f>+D60</f>
        <v>1</v>
      </c>
      <c r="E83" s="172">
        <f>+C83/D83</f>
        <v>2391.2295999999997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125</v>
      </c>
      <c r="C85" s="167">
        <f>+C73</f>
        <v>539</v>
      </c>
      <c r="D85" s="167">
        <f>+D60</f>
        <v>1</v>
      </c>
      <c r="E85" s="172">
        <f>+C85/D85</f>
        <v>539</v>
      </c>
      <c r="F85" s="174"/>
      <c r="G85" s="164"/>
      <c r="H85" s="90"/>
      <c r="I85" s="108"/>
    </row>
    <row r="86" spans="1:10" ht="13.5" thickBot="1" x14ac:dyDescent="0.3">
      <c r="B86" s="166" t="s">
        <v>125</v>
      </c>
      <c r="C86" s="167">
        <f>+C74</f>
        <v>539</v>
      </c>
      <c r="D86" s="167">
        <f>+D85</f>
        <v>1</v>
      </c>
      <c r="E86" s="168">
        <f>+C86/D86</f>
        <v>539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743"/>
      <c r="B88" s="743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0FDA-BA66-4B62-B61D-CACE9EBFEEEC}">
  <dimension ref="A1:I29"/>
  <sheetViews>
    <sheetView workbookViewId="0">
      <selection activeCell="E8" sqref="E8"/>
    </sheetView>
  </sheetViews>
  <sheetFormatPr baseColWidth="10" defaultRowHeight="15" x14ac:dyDescent="0.25"/>
  <cols>
    <col min="3" max="3" width="40.28515625" customWidth="1"/>
    <col min="8" max="8" width="17.28515625" customWidth="1"/>
    <col min="9" max="9" width="17" customWidth="1"/>
  </cols>
  <sheetData>
    <row r="1" spans="1:9" ht="15.75" x14ac:dyDescent="0.25">
      <c r="A1" s="668"/>
      <c r="B1" s="669"/>
      <c r="C1" s="674" t="s">
        <v>35</v>
      </c>
      <c r="D1" s="674"/>
      <c r="E1" s="674"/>
      <c r="F1" s="674"/>
      <c r="G1" s="674"/>
      <c r="H1" s="205" t="s">
        <v>34</v>
      </c>
      <c r="I1" s="206"/>
    </row>
    <row r="2" spans="1:9" ht="16.5" thickBot="1" x14ac:dyDescent="0.3">
      <c r="A2" s="670"/>
      <c r="B2" s="671"/>
      <c r="C2" s="675" t="s">
        <v>33</v>
      </c>
      <c r="D2" s="675"/>
      <c r="E2" s="675"/>
      <c r="F2" s="675"/>
      <c r="G2" s="675"/>
      <c r="H2" s="207" t="s">
        <v>32</v>
      </c>
      <c r="I2" s="208"/>
    </row>
    <row r="3" spans="1:9" ht="18.75" thickBot="1" x14ac:dyDescent="0.3">
      <c r="A3" s="670"/>
      <c r="B3" s="671"/>
      <c r="C3" s="818" t="s">
        <v>385</v>
      </c>
      <c r="D3" s="819"/>
      <c r="E3" s="819"/>
      <c r="F3" s="819"/>
      <c r="G3" s="820"/>
      <c r="H3" s="821" t="s">
        <v>31</v>
      </c>
      <c r="I3" s="643"/>
    </row>
    <row r="4" spans="1:9" x14ac:dyDescent="0.25">
      <c r="A4" s="670"/>
      <c r="B4" s="671"/>
      <c r="C4" s="209" t="s">
        <v>30</v>
      </c>
      <c r="D4" s="811" t="s">
        <v>148</v>
      </c>
      <c r="E4" s="812"/>
      <c r="F4" s="812"/>
      <c r="G4" s="813"/>
      <c r="H4" s="822"/>
      <c r="I4" s="644"/>
    </row>
    <row r="5" spans="1:9" ht="15.75" thickBot="1" x14ac:dyDescent="0.3">
      <c r="A5" s="672"/>
      <c r="B5" s="673"/>
      <c r="C5" s="210" t="s">
        <v>29</v>
      </c>
      <c r="D5" s="814" t="s">
        <v>28</v>
      </c>
      <c r="E5" s="815"/>
      <c r="F5" s="815"/>
      <c r="G5" s="816"/>
      <c r="H5" s="823"/>
      <c r="I5" s="644"/>
    </row>
    <row r="6" spans="1:9" ht="25.5" x14ac:dyDescent="0.25">
      <c r="A6" s="824" t="s">
        <v>23</v>
      </c>
      <c r="B6" s="826" t="s">
        <v>36</v>
      </c>
      <c r="C6" s="817" t="s">
        <v>22</v>
      </c>
      <c r="D6" s="817" t="s">
        <v>21</v>
      </c>
      <c r="E6" s="817" t="s">
        <v>20</v>
      </c>
      <c r="F6" s="817"/>
      <c r="G6" s="817" t="s">
        <v>19</v>
      </c>
      <c r="H6" s="817"/>
      <c r="I6" s="211" t="s">
        <v>18</v>
      </c>
    </row>
    <row r="7" spans="1:9" ht="27" thickBot="1" x14ac:dyDescent="0.3">
      <c r="A7" s="825"/>
      <c r="B7" s="827"/>
      <c r="C7" s="828"/>
      <c r="D7" s="828"/>
      <c r="E7" s="212" t="s">
        <v>15</v>
      </c>
      <c r="F7" s="213" t="s">
        <v>17</v>
      </c>
      <c r="G7" s="212" t="s">
        <v>15</v>
      </c>
      <c r="H7" s="213" t="s">
        <v>17</v>
      </c>
      <c r="I7" s="214" t="s">
        <v>16</v>
      </c>
    </row>
    <row r="8" spans="1:9" x14ac:dyDescent="0.25">
      <c r="A8" s="215" t="s">
        <v>149</v>
      </c>
      <c r="B8" s="215" t="s">
        <v>150</v>
      </c>
      <c r="C8" s="216" t="s">
        <v>151</v>
      </c>
      <c r="D8" s="217" t="s">
        <v>43</v>
      </c>
      <c r="E8" s="218">
        <v>46000</v>
      </c>
      <c r="F8" s="219" t="s">
        <v>2</v>
      </c>
      <c r="G8" s="219"/>
      <c r="H8" s="220"/>
      <c r="I8" s="221"/>
    </row>
    <row r="9" spans="1:9" x14ac:dyDescent="0.25">
      <c r="A9" s="222">
        <v>902000019</v>
      </c>
      <c r="B9" s="222"/>
      <c r="C9" s="223" t="s">
        <v>152</v>
      </c>
      <c r="D9" s="224" t="s">
        <v>43</v>
      </c>
      <c r="E9" s="225">
        <f>20*D19</f>
        <v>3033.333333333333</v>
      </c>
      <c r="F9" s="226" t="s">
        <v>2</v>
      </c>
      <c r="G9" s="227"/>
      <c r="H9" s="224"/>
      <c r="I9" s="228"/>
    </row>
    <row r="10" spans="1:9" x14ac:dyDescent="0.25">
      <c r="A10" s="229"/>
      <c r="B10" s="229"/>
      <c r="C10" s="230"/>
      <c r="D10" s="224"/>
      <c r="E10" s="226"/>
      <c r="F10" s="226"/>
      <c r="G10" s="226"/>
      <c r="H10" s="224"/>
      <c r="I10" s="228"/>
    </row>
    <row r="11" spans="1:9" x14ac:dyDescent="0.25">
      <c r="A11" s="231">
        <v>702007</v>
      </c>
      <c r="B11" s="231" t="s">
        <v>153</v>
      </c>
      <c r="C11" s="232" t="s">
        <v>154</v>
      </c>
      <c r="D11" s="224" t="s">
        <v>64</v>
      </c>
      <c r="E11" s="226">
        <v>11.821428571428571</v>
      </c>
      <c r="F11" s="226" t="s">
        <v>7</v>
      </c>
      <c r="G11" s="226"/>
      <c r="H11" s="224"/>
      <c r="I11" s="228"/>
    </row>
    <row r="12" spans="1:9" x14ac:dyDescent="0.25">
      <c r="A12" s="231">
        <v>702123</v>
      </c>
      <c r="B12" s="231" t="s">
        <v>68</v>
      </c>
      <c r="C12" s="232" t="s">
        <v>155</v>
      </c>
      <c r="D12" s="224" t="s">
        <v>43</v>
      </c>
      <c r="E12" s="226">
        <v>10</v>
      </c>
      <c r="F12" s="226" t="s">
        <v>7</v>
      </c>
      <c r="G12" s="226"/>
      <c r="H12" s="224"/>
      <c r="I12" s="228"/>
    </row>
    <row r="13" spans="1:9" x14ac:dyDescent="0.25">
      <c r="A13" s="231">
        <v>1950928</v>
      </c>
      <c r="B13" s="231" t="s">
        <v>156</v>
      </c>
      <c r="C13" s="232" t="s">
        <v>157</v>
      </c>
      <c r="D13" s="224" t="s">
        <v>158</v>
      </c>
      <c r="E13" s="226">
        <v>10</v>
      </c>
      <c r="F13" s="226" t="s">
        <v>7</v>
      </c>
      <c r="G13" s="227"/>
      <c r="H13" s="224"/>
      <c r="I13" s="228"/>
    </row>
    <row r="14" spans="1:9" x14ac:dyDescent="0.25">
      <c r="A14" s="233"/>
      <c r="B14" s="234"/>
      <c r="C14" s="235"/>
      <c r="D14" s="236"/>
      <c r="E14" s="237"/>
      <c r="F14" s="237"/>
      <c r="G14" s="237"/>
      <c r="H14" s="237"/>
      <c r="I14" s="238"/>
    </row>
    <row r="15" spans="1:9" ht="15.75" thickBot="1" x14ac:dyDescent="0.3">
      <c r="A15" s="239"/>
      <c r="B15" s="240"/>
      <c r="C15" s="241"/>
      <c r="D15" s="241"/>
      <c r="E15" s="242"/>
      <c r="F15" s="243"/>
      <c r="G15" s="241"/>
      <c r="H15" s="241"/>
      <c r="I15" s="244"/>
    </row>
    <row r="16" spans="1:9" ht="15.75" thickBot="1" x14ac:dyDescent="0.3">
      <c r="A16" s="245"/>
      <c r="B16" s="246"/>
      <c r="C16" s="247"/>
      <c r="D16" s="248" t="s">
        <v>15</v>
      </c>
      <c r="E16" s="249" t="s">
        <v>14</v>
      </c>
      <c r="F16" s="250"/>
      <c r="G16" s="247"/>
      <c r="H16" s="247"/>
      <c r="I16" s="251"/>
    </row>
    <row r="17" spans="1:9" x14ac:dyDescent="0.25">
      <c r="A17" s="805" t="s">
        <v>13</v>
      </c>
      <c r="B17" s="806"/>
      <c r="C17" s="807"/>
      <c r="D17" s="252">
        <f>130*350</f>
        <v>45500</v>
      </c>
      <c r="E17" s="253" t="s">
        <v>2</v>
      </c>
      <c r="F17" s="808" t="s">
        <v>12</v>
      </c>
      <c r="G17" s="808"/>
      <c r="H17" s="809"/>
      <c r="I17" s="810"/>
    </row>
    <row r="18" spans="1:9" x14ac:dyDescent="0.25">
      <c r="A18" s="784" t="s">
        <v>11</v>
      </c>
      <c r="B18" s="785"/>
      <c r="C18" s="786"/>
      <c r="D18" s="254">
        <v>50</v>
      </c>
      <c r="E18" s="254" t="s">
        <v>10</v>
      </c>
      <c r="F18" s="787" t="s">
        <v>9</v>
      </c>
      <c r="G18" s="787"/>
      <c r="H18" s="788"/>
      <c r="I18" s="789"/>
    </row>
    <row r="19" spans="1:9" x14ac:dyDescent="0.25">
      <c r="A19" s="784" t="s">
        <v>8</v>
      </c>
      <c r="B19" s="785"/>
      <c r="C19" s="786"/>
      <c r="D19" s="255">
        <f>+D17/D20</f>
        <v>151.66666666666666</v>
      </c>
      <c r="E19" s="254" t="s">
        <v>7</v>
      </c>
      <c r="F19" s="787" t="s">
        <v>6</v>
      </c>
      <c r="G19" s="787"/>
      <c r="H19" s="788"/>
      <c r="I19" s="789"/>
    </row>
    <row r="20" spans="1:9" x14ac:dyDescent="0.25">
      <c r="A20" s="784" t="s">
        <v>159</v>
      </c>
      <c r="B20" s="785"/>
      <c r="C20" s="786"/>
      <c r="D20" s="255">
        <v>300</v>
      </c>
      <c r="E20" s="254" t="s">
        <v>2</v>
      </c>
      <c r="F20" s="790" t="s">
        <v>4</v>
      </c>
      <c r="G20" s="791"/>
      <c r="H20" s="788"/>
      <c r="I20" s="789"/>
    </row>
    <row r="21" spans="1:9" ht="15.75" thickBot="1" x14ac:dyDescent="0.3">
      <c r="A21" s="792" t="s">
        <v>3</v>
      </c>
      <c r="B21" s="793"/>
      <c r="C21" s="794"/>
      <c r="D21" s="256">
        <f>+E8-D17</f>
        <v>500</v>
      </c>
      <c r="E21" s="257" t="s">
        <v>2</v>
      </c>
      <c r="F21" s="795"/>
      <c r="G21" s="795"/>
      <c r="H21" s="796"/>
      <c r="I21" s="797"/>
    </row>
    <row r="22" spans="1:9" x14ac:dyDescent="0.25">
      <c r="A22" s="798" t="s">
        <v>1</v>
      </c>
      <c r="B22" s="799"/>
      <c r="C22" s="799"/>
      <c r="D22" s="799"/>
      <c r="E22" s="799"/>
      <c r="F22" s="799"/>
      <c r="G22" s="799"/>
      <c r="H22" s="799"/>
      <c r="I22" s="800"/>
    </row>
    <row r="23" spans="1:9" x14ac:dyDescent="0.25">
      <c r="A23" s="801" t="s">
        <v>160</v>
      </c>
      <c r="B23" s="802"/>
      <c r="C23" s="803"/>
      <c r="D23" s="803"/>
      <c r="E23" s="803"/>
      <c r="F23" s="803"/>
      <c r="G23" s="803"/>
      <c r="H23" s="803"/>
      <c r="I23" s="804"/>
    </row>
    <row r="24" spans="1:9" x14ac:dyDescent="0.25">
      <c r="A24" s="780" t="s">
        <v>161</v>
      </c>
      <c r="B24" s="781"/>
      <c r="C24" s="782"/>
      <c r="D24" s="782"/>
      <c r="E24" s="782"/>
      <c r="F24" s="782"/>
      <c r="G24" s="782"/>
      <c r="H24" s="782"/>
      <c r="I24" s="783"/>
    </row>
    <row r="25" spans="1:9" x14ac:dyDescent="0.25">
      <c r="A25" s="770" t="s">
        <v>162</v>
      </c>
      <c r="B25" s="771"/>
      <c r="C25" s="772"/>
      <c r="D25" s="772"/>
      <c r="E25" s="772"/>
      <c r="F25" s="772"/>
      <c r="G25" s="772"/>
      <c r="H25" s="772"/>
      <c r="I25" s="773"/>
    </row>
    <row r="26" spans="1:9" x14ac:dyDescent="0.25">
      <c r="A26" s="774" t="s">
        <v>163</v>
      </c>
      <c r="B26" s="775"/>
      <c r="C26" s="775"/>
      <c r="D26" s="775"/>
      <c r="E26" s="775"/>
      <c r="F26" s="775"/>
      <c r="G26" s="775"/>
      <c r="H26" s="775"/>
      <c r="I26" s="776"/>
    </row>
    <row r="27" spans="1:9" x14ac:dyDescent="0.25">
      <c r="A27" s="777"/>
      <c r="B27" s="778"/>
      <c r="C27" s="778"/>
      <c r="D27" s="778"/>
      <c r="E27" s="778"/>
      <c r="F27" s="778"/>
      <c r="G27" s="778"/>
      <c r="H27" s="778"/>
      <c r="I27" s="779"/>
    </row>
    <row r="28" spans="1:9" x14ac:dyDescent="0.25">
      <c r="A28" s="777"/>
      <c r="B28" s="778"/>
      <c r="C28" s="778"/>
      <c r="D28" s="778"/>
      <c r="E28" s="778"/>
      <c r="F28" s="778"/>
      <c r="G28" s="778"/>
      <c r="H28" s="778"/>
      <c r="I28" s="779"/>
    </row>
    <row r="29" spans="1:9" x14ac:dyDescent="0.25">
      <c r="A29" s="777"/>
      <c r="B29" s="778"/>
      <c r="C29" s="778"/>
      <c r="D29" s="778"/>
      <c r="E29" s="778"/>
      <c r="F29" s="778"/>
      <c r="G29" s="778"/>
      <c r="H29" s="778"/>
      <c r="I29" s="779"/>
    </row>
  </sheetData>
  <mergeCells count="37"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  <mergeCell ref="A17:C17"/>
    <mergeCell ref="F17:G17"/>
    <mergeCell ref="H17:I17"/>
    <mergeCell ref="A18:C18"/>
    <mergeCell ref="F18:G18"/>
    <mergeCell ref="H18:I18"/>
    <mergeCell ref="A24:I24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I22"/>
    <mergeCell ref="A23:I23"/>
    <mergeCell ref="A25:I25"/>
    <mergeCell ref="A26:I26"/>
    <mergeCell ref="A27:I27"/>
    <mergeCell ref="A28:I28"/>
    <mergeCell ref="A29:I2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FDF2-C15E-4E81-ABF7-FA5A6707D554}">
  <dimension ref="A1:Q91"/>
  <sheetViews>
    <sheetView topLeftCell="A2" workbookViewId="0">
      <selection activeCell="K36" sqref="K36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266" bestFit="1" customWidth="1"/>
    <col min="8" max="8" width="10.42578125" style="164" bestFit="1" customWidth="1"/>
    <col min="9" max="9" width="4.5703125" style="164" customWidth="1"/>
    <col min="10" max="10" width="1.71093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5" width="9.28515625" style="91" customWidth="1"/>
    <col min="16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71093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71093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71093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71093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71093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71093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71093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71093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71093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71093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71093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71093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71093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71093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71093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71093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71093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71093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71093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71093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71093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71093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71093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71093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71093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71093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71093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71093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71093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71093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71093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71093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71093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71093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71093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71093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71093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71093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71093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71093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71093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71093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71093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71093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71093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71093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71093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71093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71093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71093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71093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71093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71093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71093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71093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71093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71093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71093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71093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71093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71093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71093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71093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78</v>
      </c>
      <c r="F1" s="88" t="s">
        <v>79</v>
      </c>
      <c r="G1" s="88" t="s">
        <v>80</v>
      </c>
      <c r="H1" s="88" t="s">
        <v>81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384.29561324778632</v>
      </c>
      <c r="F2" s="92">
        <f>IFERROR(H53,"")</f>
        <v>380.48782417582424</v>
      </c>
      <c r="G2" s="92">
        <f>IFERROR(H54,"")</f>
        <v>3.4633846153846153</v>
      </c>
      <c r="H2" s="92">
        <f>IFERROR(H56,"")</f>
        <v>26.775758241758243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765"/>
      <c r="B4" s="765"/>
      <c r="C4" s="765"/>
      <c r="D4" s="765"/>
      <c r="E4" s="765"/>
      <c r="F4" s="765"/>
      <c r="G4" s="765"/>
      <c r="H4" s="765"/>
      <c r="I4" s="95"/>
    </row>
    <row r="5" spans="1:10" ht="19.5" customHeight="1" thickBot="1" x14ac:dyDescent="0.3">
      <c r="A5" s="766" t="s">
        <v>82</v>
      </c>
      <c r="B5" s="767"/>
      <c r="C5" s="767"/>
      <c r="D5" s="767"/>
      <c r="E5" s="767"/>
      <c r="F5" s="767"/>
      <c r="G5" s="767"/>
      <c r="H5" s="768"/>
      <c r="I5" s="96"/>
    </row>
    <row r="6" spans="1:10" ht="19.5" thickBot="1" x14ac:dyDescent="0.3">
      <c r="A6" s="96"/>
      <c r="B6" s="96"/>
      <c r="C6" s="96"/>
      <c r="D6" s="96"/>
      <c r="E6" s="96"/>
      <c r="F6" s="769" t="s">
        <v>83</v>
      </c>
      <c r="G6" s="769"/>
      <c r="H6" s="97">
        <f ca="1">TODAY()</f>
        <v>46149</v>
      </c>
      <c r="I6" s="97"/>
    </row>
    <row r="7" spans="1:10" ht="26.25" hidden="1" thickBot="1" x14ac:dyDescent="0.3">
      <c r="A7" s="98" t="s">
        <v>84</v>
      </c>
      <c r="B7" s="99" t="s">
        <v>85</v>
      </c>
      <c r="C7" s="99" t="s">
        <v>84</v>
      </c>
      <c r="D7" s="100" t="s">
        <v>86</v>
      </c>
      <c r="E7" s="100" t="s">
        <v>87</v>
      </c>
      <c r="F7" s="100" t="s">
        <v>88</v>
      </c>
      <c r="G7" s="100" t="s">
        <v>89</v>
      </c>
      <c r="H7" s="101" t="s">
        <v>90</v>
      </c>
      <c r="I7" s="102"/>
    </row>
    <row r="8" spans="1:10" ht="13.5" hidden="1" x14ac:dyDescent="0.25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258" t="str">
        <f t="shared" ref="G8:G14" si="0">IFERROR(F8/$F$66,"")</f>
        <v/>
      </c>
      <c r="H8" s="107"/>
      <c r="I8" s="107"/>
      <c r="J8" s="259"/>
    </row>
    <row r="9" spans="1:10" ht="13.5" hidden="1" x14ac:dyDescent="0.25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258" t="str">
        <f t="shared" si="0"/>
        <v/>
      </c>
      <c r="H9" s="107"/>
      <c r="I9" s="107"/>
      <c r="J9" s="259"/>
    </row>
    <row r="10" spans="1:10" ht="13.5" hidden="1" x14ac:dyDescent="0.25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258" t="str">
        <f t="shared" si="0"/>
        <v/>
      </c>
      <c r="H10" s="107"/>
      <c r="I10" s="107"/>
      <c r="J10" s="259"/>
    </row>
    <row r="11" spans="1:10" ht="13.5" hidden="1" x14ac:dyDescent="0.25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258" t="str">
        <f t="shared" si="0"/>
        <v/>
      </c>
      <c r="H11" s="107"/>
      <c r="I11" s="107"/>
      <c r="J11" s="259"/>
    </row>
    <row r="12" spans="1:10" ht="13.5" hidden="1" x14ac:dyDescent="0.25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258" t="str">
        <f t="shared" si="0"/>
        <v/>
      </c>
      <c r="H12" s="107"/>
      <c r="I12" s="107"/>
      <c r="J12" s="259"/>
    </row>
    <row r="13" spans="1:10" ht="13.5" hidden="1" x14ac:dyDescent="0.25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258" t="str">
        <f t="shared" si="0"/>
        <v/>
      </c>
      <c r="H13" s="107"/>
      <c r="I13" s="107"/>
      <c r="J13" s="259"/>
    </row>
    <row r="14" spans="1:10" ht="13.5" hidden="1" x14ac:dyDescent="0.25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258" t="str">
        <f t="shared" si="0"/>
        <v/>
      </c>
      <c r="H14" s="107"/>
      <c r="I14" s="107"/>
      <c r="J14" s="259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258"/>
      <c r="H15" s="107"/>
      <c r="I15" s="107"/>
      <c r="J15" s="259"/>
    </row>
    <row r="16" spans="1:10" ht="26.25" thickBot="1" x14ac:dyDescent="0.3">
      <c r="A16" s="98" t="s">
        <v>84</v>
      </c>
      <c r="B16" s="99" t="s">
        <v>91</v>
      </c>
      <c r="C16" s="99" t="s">
        <v>84</v>
      </c>
      <c r="D16" s="100" t="s">
        <v>86</v>
      </c>
      <c r="E16" s="100" t="s">
        <v>87</v>
      </c>
      <c r="F16" s="100" t="s">
        <v>88</v>
      </c>
      <c r="G16" s="100" t="s">
        <v>89</v>
      </c>
      <c r="H16" s="101" t="s">
        <v>90</v>
      </c>
      <c r="I16" s="102"/>
      <c r="J16" s="259"/>
    </row>
    <row r="17" spans="1:12" ht="13.5" x14ac:dyDescent="0.25">
      <c r="A17" s="103">
        <v>46000</v>
      </c>
      <c r="B17" s="91" t="s">
        <v>151</v>
      </c>
      <c r="C17" s="104">
        <f>+A17</f>
        <v>46000</v>
      </c>
      <c r="D17" s="104" t="s">
        <v>164</v>
      </c>
      <c r="E17" s="105">
        <v>1.1200000000000001</v>
      </c>
      <c r="F17" s="105">
        <f>IFERROR(E17*C17,"")</f>
        <v>51520.000000000007</v>
      </c>
      <c r="G17" s="258">
        <f t="shared" ref="G17:G24" si="3">IFERROR(F17/$F$66,"")</f>
        <v>0.82515510449468266</v>
      </c>
      <c r="H17" s="107" t="s">
        <v>149</v>
      </c>
      <c r="I17" s="107"/>
      <c r="J17" s="259"/>
    </row>
    <row r="18" spans="1:12" ht="13.5" x14ac:dyDescent="0.25">
      <c r="A18" s="103">
        <v>3033</v>
      </c>
      <c r="B18" s="91" t="str">
        <f>IFERROR(VLOOKUP(H18,[1]SEMIELABORADOS!$A$2:$M$6000,2,0),"")</f>
        <v>MEZCLA P/ENGRASE MOLDES KILO</v>
      </c>
      <c r="C18" s="104">
        <f t="shared" ref="C18:C24" si="4">+A18</f>
        <v>3033</v>
      </c>
      <c r="D18" s="104" t="str">
        <f>IFERROR(VLOOKUP(H18,[1]SEMIELABORADOS!$A$2:$M$6000,6,0),"")</f>
        <v>Gramo</v>
      </c>
      <c r="E18" s="105">
        <v>2.04</v>
      </c>
      <c r="F18" s="105">
        <f t="shared" ref="F18:F24" si="5">IFERROR(E18*C18,"")</f>
        <v>6187.32</v>
      </c>
      <c r="G18" s="258">
        <f t="shared" si="3"/>
        <v>9.9097412289247649E-2</v>
      </c>
      <c r="H18" s="107" t="s">
        <v>165</v>
      </c>
      <c r="I18" s="107"/>
      <c r="J18" s="259"/>
    </row>
    <row r="19" spans="1:12" ht="13.5" hidden="1" x14ac:dyDescent="0.25">
      <c r="A19" s="103"/>
      <c r="B19" s="91" t="str">
        <f>IFERROR(VLOOKUP(H19,[1]SEMIELABORADOS!$A$2:$M$6000,2,0),"")</f>
        <v/>
      </c>
      <c r="C19" s="104">
        <f>+A19</f>
        <v>0</v>
      </c>
      <c r="D19" s="104" t="str">
        <f>IFERROR(VLOOKUP(H19,[1]SEMIELABORADOS!$A$2:$M$6000,6,0),"")</f>
        <v/>
      </c>
      <c r="E19" s="105" t="str">
        <f>IFERROR(VLOOKUP(H19,[1]SEMIELABORADOS!$A$2:$H$65536,8,0),"")</f>
        <v/>
      </c>
      <c r="F19" s="105" t="str">
        <f>IFERROR(E19*C19,"")</f>
        <v/>
      </c>
      <c r="G19" s="258" t="str">
        <f t="shared" si="3"/>
        <v/>
      </c>
      <c r="H19" s="107"/>
      <c r="I19" s="107"/>
      <c r="J19" s="259"/>
    </row>
    <row r="20" spans="1:12" ht="13.5" hidden="1" x14ac:dyDescent="0.25">
      <c r="A20" s="103"/>
      <c r="B20" s="91" t="str">
        <f>IFERROR(VLOOKUP(H20,[1]SEMIELABORADOS!$A$2:$M$6000,2,0),"")</f>
        <v/>
      </c>
      <c r="C20" s="104">
        <f>+A20</f>
        <v>0</v>
      </c>
      <c r="D20" s="104" t="str">
        <f>IFERROR(VLOOKUP(H20,[1]SEMIELABORADOS!$A$2:$M$6000,6,0),"")</f>
        <v/>
      </c>
      <c r="E20" s="105" t="str">
        <f>IFERROR(VLOOKUP(H20,[1]SEMIELABORADOS!$A$2:$H$65536,8,0),"")</f>
        <v/>
      </c>
      <c r="F20" s="105" t="str">
        <f>IFERROR(E20*C20,"")</f>
        <v/>
      </c>
      <c r="G20" s="258" t="str">
        <f t="shared" si="3"/>
        <v/>
      </c>
      <c r="H20" s="107"/>
      <c r="I20" s="107"/>
      <c r="J20" s="259"/>
    </row>
    <row r="21" spans="1:12" ht="13.5" hidden="1" x14ac:dyDescent="0.25">
      <c r="A21" s="103"/>
      <c r="B21" s="91" t="str">
        <f>IFERROR(VLOOKUP(H21,[1]SEMIELABORADOS!$A$2:$M$6000,2,0),"")</f>
        <v/>
      </c>
      <c r="C21" s="104">
        <f>+A21</f>
        <v>0</v>
      </c>
      <c r="D21" s="104" t="str">
        <f>IFERROR(VLOOKUP(H21,[1]SEMIELABORADOS!$A$2:$M$6000,6,0),"")</f>
        <v/>
      </c>
      <c r="E21" s="105" t="str">
        <f>IFERROR(VLOOKUP(H21,[1]SEMIELABORADOS!$A$2:$H$65536,8,0),"")</f>
        <v/>
      </c>
      <c r="F21" s="105" t="str">
        <f>IFERROR(E21*C21,"")</f>
        <v/>
      </c>
      <c r="G21" s="258" t="str">
        <f t="shared" si="3"/>
        <v/>
      </c>
      <c r="H21" s="107"/>
      <c r="I21" s="107"/>
      <c r="J21" s="259"/>
    </row>
    <row r="22" spans="1:12" ht="13.5" hidden="1" x14ac:dyDescent="0.25">
      <c r="A22" s="103"/>
      <c r="B22" s="91" t="str">
        <f>IFERROR(VLOOKUP(H22,[1]SEMIELABORADOS!$A$2:$M$6000,2,0),"")</f>
        <v/>
      </c>
      <c r="C22" s="104">
        <f t="shared" si="4"/>
        <v>0</v>
      </c>
      <c r="D22" s="104" t="str">
        <f>IFERROR(VLOOKUP(H22,[1]SEMIELABORADOS!$A$2:$M$6000,6,0),"")</f>
        <v/>
      </c>
      <c r="E22" s="105" t="str">
        <f>IFERROR(VLOOKUP(H22,[1]SEMIELABORADOS!$A$2:$H$65536,8,0),"")</f>
        <v/>
      </c>
      <c r="F22" s="105" t="str">
        <f t="shared" si="5"/>
        <v/>
      </c>
      <c r="G22" s="258" t="str">
        <f t="shared" si="3"/>
        <v/>
      </c>
      <c r="H22" s="107"/>
      <c r="I22" s="107"/>
      <c r="J22" s="259"/>
    </row>
    <row r="23" spans="1:12" ht="13.5" hidden="1" x14ac:dyDescent="0.25">
      <c r="A23" s="103"/>
      <c r="B23" s="91" t="str">
        <f>IFERROR(VLOOKUP(H23,[1]SEMIELABORADOS!$A$2:$M$6000,2,0),"")</f>
        <v/>
      </c>
      <c r="C23" s="104">
        <f t="shared" si="4"/>
        <v>0</v>
      </c>
      <c r="D23" s="104" t="str">
        <f>IFERROR(VLOOKUP(H23,[1]SEMIELABORADOS!$A$2:$M$6000,6,0),"")</f>
        <v/>
      </c>
      <c r="E23" s="105" t="str">
        <f>IFERROR(VLOOKUP(H23,[1]SEMIELABORADOS!$A$2:$H$65536,8,0),"")</f>
        <v/>
      </c>
      <c r="F23" s="105" t="str">
        <f t="shared" si="5"/>
        <v/>
      </c>
      <c r="G23" s="258" t="str">
        <f t="shared" si="3"/>
        <v/>
      </c>
      <c r="H23" s="107"/>
      <c r="I23" s="107"/>
      <c r="J23" s="259"/>
    </row>
    <row r="24" spans="1:12" ht="13.5" hidden="1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258" t="str">
        <f t="shared" si="3"/>
        <v/>
      </c>
      <c r="H24" s="107"/>
      <c r="I24" s="107"/>
      <c r="J24" s="259"/>
    </row>
    <row r="25" spans="1:12" ht="14.25" thickBot="1" x14ac:dyDescent="0.3">
      <c r="A25" s="103"/>
      <c r="C25" s="104"/>
      <c r="D25" s="104"/>
      <c r="E25" s="105"/>
      <c r="F25" s="105"/>
      <c r="G25" s="258"/>
      <c r="H25" s="107"/>
      <c r="I25" s="107"/>
      <c r="J25" s="259"/>
    </row>
    <row r="26" spans="1:12" ht="26.25" thickBot="1" x14ac:dyDescent="0.3">
      <c r="A26" s="98" t="s">
        <v>84</v>
      </c>
      <c r="B26" s="99" t="s">
        <v>56</v>
      </c>
      <c r="C26" s="99" t="s">
        <v>84</v>
      </c>
      <c r="D26" s="100" t="s">
        <v>86</v>
      </c>
      <c r="E26" s="100" t="s">
        <v>87</v>
      </c>
      <c r="F26" s="100" t="s">
        <v>88</v>
      </c>
      <c r="G26" s="100" t="s">
        <v>89</v>
      </c>
      <c r="H26" s="101" t="s">
        <v>90</v>
      </c>
      <c r="I26" s="102"/>
    </row>
    <row r="27" spans="1:12" ht="13.5" x14ac:dyDescent="0.25">
      <c r="A27" s="103">
        <v>12</v>
      </c>
      <c r="B27" s="109" t="str">
        <f>IFERROR(VLOOKUP(H27,'[1]Consolidado MP Planta'!$A$2:$M$823,3,0),"")</f>
        <v>ETIQ.FECHA VENCIMIENTO BLANCO (ROLLO)</v>
      </c>
      <c r="C27" s="104">
        <f t="shared" ref="C27:C32" si="6">+A27</f>
        <v>12</v>
      </c>
      <c r="D27" s="105" t="str">
        <f>IFERROR(VLOOKUP(H27,'[1]Consolidado MP Planta'!$A$2:$M$823,13,0),"")</f>
        <v>Gramos</v>
      </c>
      <c r="E27" s="105">
        <f>IFERROR(VLOOKUP(H27,'[1]Consolidado MP Planta'!$A$2:$M$823,12,0),"")</f>
        <v>0.33333333333333331</v>
      </c>
      <c r="F27" s="105">
        <f t="shared" ref="F27:F32" si="7">IFERROR(C27*E27,"")</f>
        <v>4</v>
      </c>
      <c r="G27" s="258">
        <f t="shared" ref="G27:G32" si="8">IFERROR(F27/$F$66,"")</f>
        <v>6.4064837305487777E-5</v>
      </c>
      <c r="H27" s="110" t="s">
        <v>166</v>
      </c>
      <c r="I27" s="110"/>
      <c r="J27" s="259"/>
      <c r="K27" s="759"/>
      <c r="L27" s="759"/>
    </row>
    <row r="28" spans="1:12" ht="13.5" x14ac:dyDescent="0.25">
      <c r="A28" s="103">
        <v>10</v>
      </c>
      <c r="B28" s="109" t="str">
        <f>IFERROR(VLOOKUP(H28,'[1]Consolidado MP Planta'!$A$2:$M$823,3,0),"")</f>
        <v>ETIQUETA BLANCA 2 5/8X1 15/16 (UND)</v>
      </c>
      <c r="C28" s="104">
        <f t="shared" si="6"/>
        <v>10</v>
      </c>
      <c r="D28" s="105" t="str">
        <f>IFERROR(VLOOKUP(H28,'[1]Consolidado MP Planta'!$A$2:$M$823,13,0),"")</f>
        <v>Und</v>
      </c>
      <c r="E28" s="105">
        <f>IFERROR(VLOOKUP(H28,'[1]Consolidado MP Planta'!$A$2:$M$823,12,0),"")</f>
        <v>2.1280000000000001</v>
      </c>
      <c r="F28" s="105">
        <f t="shared" si="7"/>
        <v>21.28</v>
      </c>
      <c r="G28" s="258">
        <f t="shared" si="8"/>
        <v>3.4082493446519499E-4</v>
      </c>
      <c r="H28" s="110" t="s">
        <v>141</v>
      </c>
      <c r="I28" s="110"/>
      <c r="J28" s="259"/>
      <c r="K28" s="759"/>
      <c r="L28" s="759"/>
    </row>
    <row r="29" spans="1:12" ht="13.5" x14ac:dyDescent="0.25">
      <c r="A29" s="103">
        <v>10</v>
      </c>
      <c r="B29" s="109" t="str">
        <f>IFERROR(VLOOKUP(H29,'[1]Consolidado MP Planta'!$A$2:$M$823,3,0),"")</f>
        <v>BOLSA TRANSPARENTE 56X96X1.80 KILO</v>
      </c>
      <c r="C29" s="104">
        <f t="shared" si="6"/>
        <v>10</v>
      </c>
      <c r="D29" s="105" t="str">
        <f>IFERROR(VLOOKUP(H29,'[1]Consolidado MP Planta'!$A$2:$M$823,13,0),"")</f>
        <v>Und</v>
      </c>
      <c r="E29" s="105">
        <f>IFERROR(VLOOKUP(H29,'[1]Consolidado MP Planta'!$A$2:$M$823,12,0),"")</f>
        <v>50</v>
      </c>
      <c r="F29" s="105">
        <f t="shared" si="7"/>
        <v>500</v>
      </c>
      <c r="G29" s="258">
        <f t="shared" si="8"/>
        <v>8.0081046631859717E-3</v>
      </c>
      <c r="H29" s="110" t="s">
        <v>167</v>
      </c>
      <c r="I29" s="110"/>
      <c r="J29" s="259"/>
      <c r="K29" s="759"/>
      <c r="L29" s="759"/>
    </row>
    <row r="30" spans="1:12" ht="13.5" hidden="1" x14ac:dyDescent="0.25">
      <c r="A30" s="103"/>
      <c r="B30" s="109" t="str">
        <f>IFERROR(VLOOKUP(H30,'[1]Consolidado MP Planta'!$A$2:$M$823,3,0),"")</f>
        <v/>
      </c>
      <c r="C30" s="104">
        <f t="shared" si="6"/>
        <v>0</v>
      </c>
      <c r="D30" s="105" t="str">
        <f>IFERROR(VLOOKUP(H30,'[1]Consolidado MP Planta'!$A$2:$M$823,13,0),"")</f>
        <v/>
      </c>
      <c r="E30" s="105" t="str">
        <f>IFERROR(VLOOKUP(H30,'[1]Consolidado MP Planta'!$A$2:$M$823,12,0),"")</f>
        <v/>
      </c>
      <c r="F30" s="105" t="str">
        <f t="shared" si="7"/>
        <v/>
      </c>
      <c r="G30" s="258" t="str">
        <f t="shared" si="8"/>
        <v/>
      </c>
      <c r="H30" s="110"/>
      <c r="I30" s="110"/>
      <c r="J30" s="259"/>
      <c r="K30" s="759"/>
      <c r="L30" s="759"/>
    </row>
    <row r="31" spans="1:12" ht="13.5" hidden="1" x14ac:dyDescent="0.25">
      <c r="A31" s="103"/>
      <c r="B31" s="109" t="str">
        <f>IFERROR(VLOOKUP(H31,'[1]Consolidado MP Planta'!$A$2:$M$823,3,0),"")</f>
        <v/>
      </c>
      <c r="C31" s="104">
        <f t="shared" si="6"/>
        <v>0</v>
      </c>
      <c r="D31" s="105" t="str">
        <f>IFERROR(VLOOKUP(H31,'[1]Consolidado MP Planta'!$A$2:$M$823,13,0),"")</f>
        <v/>
      </c>
      <c r="E31" s="105" t="str">
        <f>IFERROR(VLOOKUP(H31,'[1]Consolidado MP Planta'!$A$2:$M$823,12,0),"")</f>
        <v/>
      </c>
      <c r="F31" s="105" t="str">
        <f t="shared" si="7"/>
        <v/>
      </c>
      <c r="G31" s="258" t="str">
        <f t="shared" si="8"/>
        <v/>
      </c>
      <c r="H31" s="110"/>
      <c r="I31" s="110"/>
      <c r="J31" s="259"/>
      <c r="K31" s="111"/>
      <c r="L31" s="112"/>
    </row>
    <row r="32" spans="1:12" ht="13.5" hidden="1" x14ac:dyDescent="0.25">
      <c r="A32" s="103"/>
      <c r="B32" s="109" t="str">
        <f>IFERROR(VLOOKUP(H32,'[1]Consolidado MP Planta'!$A$2:$M$823,3,0),"")</f>
        <v/>
      </c>
      <c r="C32" s="104">
        <f t="shared" si="6"/>
        <v>0</v>
      </c>
      <c r="D32" s="105" t="str">
        <f>IFERROR(VLOOKUP(H32,'[1]Consolidado MP Planta'!$A$2:$M$823,13,0),"")</f>
        <v/>
      </c>
      <c r="E32" s="105" t="str">
        <f>IFERROR(VLOOKUP(H32,'[1]Consolidado MP Planta'!$A$2:$M$823,12,0),"")</f>
        <v/>
      </c>
      <c r="F32" s="105" t="str">
        <f t="shared" si="7"/>
        <v/>
      </c>
      <c r="G32" s="258" t="str">
        <f t="shared" si="8"/>
        <v/>
      </c>
      <c r="H32" s="110"/>
      <c r="I32" s="110"/>
      <c r="J32" s="259"/>
    </row>
    <row r="33" spans="1:13" ht="14.25" thickBot="1" x14ac:dyDescent="0.3">
      <c r="A33" s="103"/>
      <c r="B33" s="109"/>
      <c r="C33" s="104"/>
      <c r="D33" s="105"/>
      <c r="E33" s="105"/>
      <c r="F33" s="105"/>
      <c r="G33" s="258"/>
      <c r="H33" s="110"/>
      <c r="I33" s="110"/>
      <c r="J33" s="259"/>
    </row>
    <row r="34" spans="1:13" ht="26.25" thickBot="1" x14ac:dyDescent="0.25">
      <c r="A34" s="98" t="s">
        <v>84</v>
      </c>
      <c r="B34" s="99" t="s">
        <v>92</v>
      </c>
      <c r="C34" s="99" t="s">
        <v>84</v>
      </c>
      <c r="D34" s="100" t="s">
        <v>86</v>
      </c>
      <c r="E34" s="100" t="s">
        <v>87</v>
      </c>
      <c r="F34" s="100" t="s">
        <v>88</v>
      </c>
      <c r="G34" s="100" t="s">
        <v>89</v>
      </c>
      <c r="H34" s="101" t="s">
        <v>90</v>
      </c>
      <c r="I34" s="110"/>
      <c r="J34" s="259"/>
    </row>
    <row r="35" spans="1:13" ht="13.5" x14ac:dyDescent="0.25">
      <c r="A35" s="103">
        <f>+A17</f>
        <v>46000</v>
      </c>
      <c r="B35" s="109" t="s">
        <v>151</v>
      </c>
      <c r="C35" s="104">
        <f>+A35</f>
        <v>46000</v>
      </c>
      <c r="D35" s="104" t="s">
        <v>164</v>
      </c>
      <c r="E35" s="105">
        <v>0</v>
      </c>
      <c r="F35" s="105">
        <f>IFERROR(E35*C35,"")</f>
        <v>0</v>
      </c>
      <c r="G35" s="258">
        <f t="shared" ref="G35:G41" si="9">IFERROR(F35/$F$66,"")</f>
        <v>0</v>
      </c>
      <c r="H35" s="110" t="s">
        <v>149</v>
      </c>
      <c r="I35" s="110"/>
      <c r="J35" s="259"/>
    </row>
    <row r="36" spans="1:13" ht="13.5" x14ac:dyDescent="0.25">
      <c r="A36" s="103">
        <f t="shared" ref="A36:A41" si="10">+A18</f>
        <v>3033</v>
      </c>
      <c r="B36" s="109" t="s">
        <v>152</v>
      </c>
      <c r="C36" s="104">
        <f t="shared" ref="C36:C41" si="11">+A36</f>
        <v>3033</v>
      </c>
      <c r="D36" s="105" t="s">
        <v>164</v>
      </c>
      <c r="E36" s="105">
        <v>0</v>
      </c>
      <c r="F36" s="105">
        <f t="shared" ref="F36:F41" si="12">IFERROR(E36*C36,"")</f>
        <v>0</v>
      </c>
      <c r="G36" s="258">
        <f t="shared" si="9"/>
        <v>0</v>
      </c>
      <c r="H36" s="110"/>
      <c r="I36" s="110"/>
      <c r="J36" s="259"/>
    </row>
    <row r="37" spans="1:13" ht="13.5" hidden="1" x14ac:dyDescent="0.25">
      <c r="A37" s="103">
        <f t="shared" si="10"/>
        <v>0</v>
      </c>
      <c r="B37" s="109" t="str">
        <f>IFERROR(VLOOKUP(H37,[1]SEMIELABORADOS!$A$2:$M$6000,2,0),"")</f>
        <v/>
      </c>
      <c r="C37" s="104">
        <f t="shared" si="11"/>
        <v>0</v>
      </c>
      <c r="D37" s="105" t="str">
        <f>IFERROR(VLOOKUP(H37,[1]SEMIELABORADOS!$A$2:$M$6000,6,0),"")</f>
        <v/>
      </c>
      <c r="E37" s="105" t="str">
        <f>IFERROR(VLOOKUP(H37,[1]SEMIELABORADOS!$A$2:$M$65536,10,0),"")</f>
        <v/>
      </c>
      <c r="F37" s="105" t="str">
        <f t="shared" si="12"/>
        <v/>
      </c>
      <c r="G37" s="258" t="str">
        <f t="shared" si="9"/>
        <v/>
      </c>
      <c r="H37" s="110"/>
      <c r="I37" s="110"/>
      <c r="J37" s="259"/>
    </row>
    <row r="38" spans="1:13" ht="13.5" hidden="1" x14ac:dyDescent="0.25">
      <c r="A38" s="103">
        <f t="shared" si="10"/>
        <v>0</v>
      </c>
      <c r="B38" s="109" t="str">
        <f>IFERROR(VLOOKUP(H38,[1]SEMIELABORADOS!$A$2:$M$6000,2,0),"")</f>
        <v/>
      </c>
      <c r="C38" s="104">
        <f>+A38</f>
        <v>0</v>
      </c>
      <c r="D38" s="105" t="str">
        <f>IFERROR(VLOOKUP(H38,[1]SEMIELABORADOS!$A$2:$M$6000,6,0),"")</f>
        <v/>
      </c>
      <c r="E38" s="105" t="str">
        <f>IFERROR(VLOOKUP(H38,[1]SEMIELABORADOS!$A$2:$M$65536,10,0),"")</f>
        <v/>
      </c>
      <c r="F38" s="105" t="str">
        <f>IFERROR(E38*C38,"")</f>
        <v/>
      </c>
      <c r="G38" s="258" t="str">
        <f t="shared" si="9"/>
        <v/>
      </c>
      <c r="H38" s="110"/>
      <c r="I38" s="110"/>
      <c r="J38" s="259"/>
    </row>
    <row r="39" spans="1:13" ht="13.5" hidden="1" x14ac:dyDescent="0.25">
      <c r="A39" s="103">
        <f t="shared" si="10"/>
        <v>0</v>
      </c>
      <c r="B39" s="109" t="str">
        <f>IFERROR(VLOOKUP(H39,[1]SEMIELABORADOS!$A$2:$M$6000,2,0),"")</f>
        <v/>
      </c>
      <c r="C39" s="104">
        <f>+A39</f>
        <v>0</v>
      </c>
      <c r="D39" s="105" t="str">
        <f>IFERROR(VLOOKUP(H39,[1]SEMIELABORADOS!$A$2:$M$6000,6,0),"")</f>
        <v/>
      </c>
      <c r="E39" s="105" t="str">
        <f>IFERROR(VLOOKUP(H39,[1]SEMIELABORADOS!$A$2:$M$65536,10,0),"")</f>
        <v/>
      </c>
      <c r="F39" s="105" t="str">
        <f>IFERROR(E39*C39,"")</f>
        <v/>
      </c>
      <c r="G39" s="258" t="str">
        <f t="shared" si="9"/>
        <v/>
      </c>
      <c r="H39" s="110"/>
      <c r="I39" s="110"/>
      <c r="J39" s="259"/>
    </row>
    <row r="40" spans="1:13" ht="13.5" hidden="1" x14ac:dyDescent="0.25">
      <c r="A40" s="103">
        <f t="shared" si="10"/>
        <v>0</v>
      </c>
      <c r="B40" s="109" t="str">
        <f>IFERROR(VLOOKUP(H40,[1]SEMIELABORADOS!$A$2:$M$6000,2,0),"")</f>
        <v/>
      </c>
      <c r="C40" s="104">
        <f t="shared" si="11"/>
        <v>0</v>
      </c>
      <c r="D40" s="105" t="str">
        <f>IFERROR(VLOOKUP(H40,[1]SEMIELABORADOS!$A$2:$M$6000,6,0),"")</f>
        <v/>
      </c>
      <c r="E40" s="105" t="str">
        <f>IFERROR(VLOOKUP(H40,[1]SEMIELABORADOS!$A$2:$M$65536,10,0),"")</f>
        <v/>
      </c>
      <c r="F40" s="105" t="str">
        <f t="shared" si="12"/>
        <v/>
      </c>
      <c r="G40" s="258" t="str">
        <f t="shared" si="9"/>
        <v/>
      </c>
      <c r="H40" s="110"/>
      <c r="I40" s="110"/>
      <c r="J40" s="259"/>
    </row>
    <row r="41" spans="1:13" ht="13.5" hidden="1" x14ac:dyDescent="0.25">
      <c r="A41" s="103">
        <f t="shared" si="10"/>
        <v>0</v>
      </c>
      <c r="B41" s="109" t="str">
        <f>IFERROR(VLOOKUP(H41,[1]SEMIELABORADOS!$A$2:$M$6000,2,0),"")</f>
        <v/>
      </c>
      <c r="C41" s="104">
        <f t="shared" si="11"/>
        <v>0</v>
      </c>
      <c r="D41" s="105" t="str">
        <f>IFERROR(VLOOKUP(H41,[1]SEMIELABORADOS!$A$2:$M$6000,6,0),"")</f>
        <v/>
      </c>
      <c r="E41" s="105" t="str">
        <f>IFERROR(VLOOKUP(H41,[1]SEMIELABORADOS!$A$2:$M$65536,10,0),"")</f>
        <v/>
      </c>
      <c r="F41" s="105" t="str">
        <f t="shared" si="12"/>
        <v/>
      </c>
      <c r="G41" s="258" t="str">
        <f t="shared" si="9"/>
        <v/>
      </c>
      <c r="H41" s="110"/>
      <c r="I41" s="110"/>
      <c r="J41" s="259"/>
    </row>
    <row r="42" spans="1:13" ht="14.25" thickBot="1" x14ac:dyDescent="0.3">
      <c r="A42" s="103"/>
      <c r="B42" s="109"/>
      <c r="C42" s="104"/>
      <c r="D42" s="105"/>
      <c r="E42" s="105"/>
      <c r="F42" s="105"/>
      <c r="G42" s="258"/>
      <c r="H42" s="110"/>
      <c r="I42" s="110"/>
      <c r="J42" s="259"/>
    </row>
    <row r="43" spans="1:13" ht="26.25" thickBot="1" x14ac:dyDescent="0.3">
      <c r="A43" s="98" t="s">
        <v>84</v>
      </c>
      <c r="B43" s="99" t="s">
        <v>93</v>
      </c>
      <c r="C43" s="99" t="s">
        <v>84</v>
      </c>
      <c r="D43" s="100" t="s">
        <v>86</v>
      </c>
      <c r="E43" s="100" t="s">
        <v>87</v>
      </c>
      <c r="F43" s="100" t="s">
        <v>88</v>
      </c>
      <c r="G43" s="100" t="s">
        <v>89</v>
      </c>
      <c r="H43" s="101" t="s">
        <v>90</v>
      </c>
      <c r="I43" s="102"/>
      <c r="J43" s="259"/>
    </row>
    <row r="44" spans="1:13" ht="13.5" x14ac:dyDescent="0.25">
      <c r="A44" s="103">
        <f>+A35</f>
        <v>46000</v>
      </c>
      <c r="B44" s="109" t="s">
        <v>151</v>
      </c>
      <c r="C44" s="104">
        <f>+A44</f>
        <v>46000</v>
      </c>
      <c r="D44" s="104" t="s">
        <v>164</v>
      </c>
      <c r="E44" s="105">
        <v>0.02</v>
      </c>
      <c r="F44" s="105">
        <f>IFERROR(E44*C44,"")</f>
        <v>920</v>
      </c>
      <c r="G44" s="258">
        <f>IFERROR(F44/$F$66,"")</f>
        <v>1.4734912580262188E-2</v>
      </c>
      <c r="H44" s="110" t="s">
        <v>149</v>
      </c>
      <c r="I44" s="102"/>
      <c r="J44" s="259"/>
    </row>
    <row r="45" spans="1:13" ht="13.5" x14ac:dyDescent="0.25">
      <c r="A45" s="103">
        <f t="shared" ref="A45:A50" si="13">+A36</f>
        <v>3033</v>
      </c>
      <c r="B45" s="109" t="s">
        <v>152</v>
      </c>
      <c r="C45" s="104">
        <f t="shared" ref="C45:C50" si="14">+A45</f>
        <v>3033</v>
      </c>
      <c r="D45" s="105" t="s">
        <v>164</v>
      </c>
      <c r="E45" s="105">
        <v>0.03</v>
      </c>
      <c r="F45" s="105">
        <f t="shared" ref="F45:F50" si="15">IFERROR(E45*C45,"")</f>
        <v>90.99</v>
      </c>
      <c r="G45" s="258">
        <f t="shared" ref="G45:G50" si="16">IFERROR(F45/$F$66,"")</f>
        <v>1.4573148866065832E-3</v>
      </c>
      <c r="H45" s="110"/>
      <c r="I45" s="102"/>
      <c r="J45" s="259"/>
      <c r="M45" s="113"/>
    </row>
    <row r="46" spans="1:13" ht="13.5" hidden="1" x14ac:dyDescent="0.25">
      <c r="A46" s="103">
        <f t="shared" si="13"/>
        <v>0</v>
      </c>
      <c r="B46" s="109" t="str">
        <f>IFERROR(VLOOKUP(H46,[1]SEMIELABORADOS!$A$2:$M$6000,2,0),"")</f>
        <v/>
      </c>
      <c r="C46" s="104">
        <f t="shared" si="14"/>
        <v>0</v>
      </c>
      <c r="D46" s="105" t="str">
        <f>IFERROR(VLOOKUP(H46,[1]SEMIELABORADOS!$A$2:$M$6000,6,0),"")</f>
        <v/>
      </c>
      <c r="E46" s="105" t="str">
        <f>IFERROR(VLOOKUP(H46,[1]SEMIELABORADOS!$A$2:$M$65536,12,0),"")</f>
        <v/>
      </c>
      <c r="F46" s="105" t="str">
        <f t="shared" si="15"/>
        <v/>
      </c>
      <c r="G46" s="258" t="str">
        <f t="shared" si="16"/>
        <v/>
      </c>
      <c r="H46" s="110"/>
      <c r="I46" s="102"/>
      <c r="J46" s="259"/>
    </row>
    <row r="47" spans="1:13" ht="13.5" hidden="1" x14ac:dyDescent="0.25">
      <c r="A47" s="103">
        <f t="shared" si="13"/>
        <v>0</v>
      </c>
      <c r="B47" s="109" t="str">
        <f>IFERROR(VLOOKUP(H47,[1]SEMIELABORADOS!$A$2:$M$6000,2,0),"")</f>
        <v/>
      </c>
      <c r="C47" s="104">
        <f t="shared" si="14"/>
        <v>0</v>
      </c>
      <c r="D47" s="105" t="str">
        <f>IFERROR(VLOOKUP(H47,[1]SEMIELABORADOS!$A$2:$M$6000,6,0),"")</f>
        <v/>
      </c>
      <c r="E47" s="105" t="str">
        <f>IFERROR(VLOOKUP(H47,[1]SEMIELABORADOS!$A$2:$M$65536,12,0),"")</f>
        <v/>
      </c>
      <c r="F47" s="105" t="str">
        <f t="shared" si="15"/>
        <v/>
      </c>
      <c r="G47" s="258" t="str">
        <f t="shared" si="16"/>
        <v/>
      </c>
      <c r="H47" s="110"/>
      <c r="I47" s="102"/>
      <c r="J47" s="259"/>
    </row>
    <row r="48" spans="1:13" ht="13.5" hidden="1" x14ac:dyDescent="0.25">
      <c r="A48" s="103">
        <f t="shared" si="13"/>
        <v>0</v>
      </c>
      <c r="B48" s="109" t="str">
        <f>IFERROR(VLOOKUP(H48,[1]SEMIELABORADOS!$A$2:$M$6000,2,0),"")</f>
        <v/>
      </c>
      <c r="C48" s="104">
        <f t="shared" si="14"/>
        <v>0</v>
      </c>
      <c r="D48" s="105" t="str">
        <f>IFERROR(VLOOKUP(H48,[1]SEMIELABORADOS!$A$2:$M$6000,6,0),"")</f>
        <v/>
      </c>
      <c r="E48" s="105" t="str">
        <f>IFERROR(VLOOKUP(H48,[1]SEMIELABORADOS!$A$2:$M$65536,12,0),"")</f>
        <v/>
      </c>
      <c r="F48" s="105" t="str">
        <f t="shared" si="15"/>
        <v/>
      </c>
      <c r="G48" s="258" t="str">
        <f t="shared" si="16"/>
        <v/>
      </c>
      <c r="H48" s="110"/>
      <c r="I48" s="102"/>
      <c r="J48" s="259"/>
    </row>
    <row r="49" spans="1:17" ht="13.5" hidden="1" x14ac:dyDescent="0.25">
      <c r="A49" s="103">
        <f t="shared" si="13"/>
        <v>0</v>
      </c>
      <c r="B49" s="109" t="str">
        <f>IFERROR(VLOOKUP(H49,[1]SEMIELABORADOS!$A$2:$M$6000,2,0),"")</f>
        <v/>
      </c>
      <c r="C49" s="104">
        <f t="shared" si="14"/>
        <v>0</v>
      </c>
      <c r="D49" s="105" t="str">
        <f>IFERROR(VLOOKUP(H49,[1]SEMIELABORADOS!$A$2:$M$6000,6,0),"")</f>
        <v/>
      </c>
      <c r="E49" s="105" t="str">
        <f>IFERROR(VLOOKUP(H49,[1]SEMIELABORADOS!$A$2:$M$65536,12,0),"")</f>
        <v/>
      </c>
      <c r="F49" s="105" t="str">
        <f t="shared" si="15"/>
        <v/>
      </c>
      <c r="G49" s="258" t="str">
        <f t="shared" si="16"/>
        <v/>
      </c>
      <c r="H49" s="110"/>
      <c r="I49" s="102"/>
      <c r="J49" s="259"/>
    </row>
    <row r="50" spans="1:17" ht="13.5" hidden="1" x14ac:dyDescent="0.25">
      <c r="A50" s="103">
        <f t="shared" si="13"/>
        <v>0</v>
      </c>
      <c r="B50" s="109" t="str">
        <f>IFERROR(VLOOKUP(H50,[1]SEMIELABORADOS!$A$2:$M$6000,2,0),"")</f>
        <v/>
      </c>
      <c r="C50" s="104">
        <f t="shared" si="14"/>
        <v>0</v>
      </c>
      <c r="D50" s="105" t="str">
        <f>IFERROR(VLOOKUP(H50,[1]SEMIELABORADOS!$A$2:$M$6000,6,0),"")</f>
        <v/>
      </c>
      <c r="E50" s="105" t="str">
        <f>IFERROR(VLOOKUP(H50,[1]SEMIELABORADOS!$A$2:$M$65536,12,0),"")</f>
        <v/>
      </c>
      <c r="F50" s="105" t="str">
        <f t="shared" si="15"/>
        <v/>
      </c>
      <c r="G50" s="258" t="str">
        <f t="shared" si="16"/>
        <v/>
      </c>
      <c r="H50" s="109"/>
      <c r="I50" s="102"/>
      <c r="J50" s="259"/>
    </row>
    <row r="51" spans="1:17" ht="13.5" x14ac:dyDescent="0.25">
      <c r="A51" s="103">
        <v>1</v>
      </c>
      <c r="B51" s="109" t="s">
        <v>94</v>
      </c>
      <c r="C51" s="104">
        <f>+A51</f>
        <v>1</v>
      </c>
      <c r="D51" s="104" t="s">
        <v>95</v>
      </c>
      <c r="E51" s="105">
        <f>+F65</f>
        <v>3050</v>
      </c>
      <c r="F51" s="105">
        <f>IFERROR(C51*E51,"")</f>
        <v>3050</v>
      </c>
      <c r="G51" s="258">
        <f>IFERROR(F51/$F$66,"")</f>
        <v>4.8849438445434434E-2</v>
      </c>
      <c r="H51" s="114"/>
      <c r="I51" s="114"/>
      <c r="J51" s="259"/>
    </row>
    <row r="52" spans="1:17" ht="14.25" thickBot="1" x14ac:dyDescent="0.3">
      <c r="A52" s="103"/>
      <c r="B52" s="109"/>
      <c r="C52" s="104"/>
      <c r="D52" s="104"/>
      <c r="E52" s="105"/>
      <c r="F52" s="105"/>
      <c r="G52" s="258"/>
      <c r="H52" s="114"/>
      <c r="I52" s="114"/>
      <c r="J52" s="259"/>
    </row>
    <row r="53" spans="1:17" ht="13.5" thickBot="1" x14ac:dyDescent="0.3">
      <c r="A53" s="115"/>
      <c r="B53" s="760" t="s">
        <v>96</v>
      </c>
      <c r="C53" s="760"/>
      <c r="D53" s="760"/>
      <c r="E53" s="760"/>
      <c r="F53" s="117">
        <f>SUM(F8:F14,F17:F24)</f>
        <v>57707.320000000007</v>
      </c>
      <c r="G53" s="258">
        <f>+F53/$F$66</f>
        <v>0.92425251678393039</v>
      </c>
      <c r="H53" s="118">
        <f>+F53/$D$60</f>
        <v>380.48782417582424</v>
      </c>
      <c r="I53" s="118"/>
      <c r="J53" s="260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760" t="s">
        <v>97</v>
      </c>
      <c r="C54" s="760"/>
      <c r="D54" s="760"/>
      <c r="E54" s="760"/>
      <c r="F54" s="117">
        <f>SUM(F27:F32,F35:F41)</f>
        <v>525.28</v>
      </c>
      <c r="G54" s="258">
        <f>+F54/$F$66</f>
        <v>8.4129944349566541E-3</v>
      </c>
      <c r="H54" s="118">
        <f>+F54/$D$60</f>
        <v>3.4633846153846153</v>
      </c>
      <c r="I54" s="118"/>
      <c r="J54" s="122"/>
      <c r="K54" s="761" t="s">
        <v>98</v>
      </c>
      <c r="L54" s="762"/>
      <c r="M54" s="762"/>
      <c r="N54" s="762"/>
      <c r="O54" s="123">
        <f>+F55</f>
        <v>58232.600000000006</v>
      </c>
      <c r="P54" s="123"/>
      <c r="Q54" s="124"/>
    </row>
    <row r="55" spans="1:17" x14ac:dyDescent="0.2">
      <c r="A55" s="115"/>
      <c r="B55" s="760" t="s">
        <v>99</v>
      </c>
      <c r="C55" s="760"/>
      <c r="D55" s="760"/>
      <c r="E55" s="760"/>
      <c r="F55" s="117">
        <f>+F53+F54</f>
        <v>58232.600000000006</v>
      </c>
      <c r="G55" s="258">
        <f>+F55/$F$66</f>
        <v>0.93266551121888697</v>
      </c>
      <c r="H55" s="118">
        <f>+F55/$D$60</f>
        <v>383.95120879120884</v>
      </c>
      <c r="I55" s="118"/>
      <c r="J55" s="261"/>
      <c r="K55" s="126"/>
      <c r="M55" s="127" t="s">
        <v>100</v>
      </c>
      <c r="N55" s="128"/>
      <c r="O55" s="123">
        <f>+H56</f>
        <v>26.775758241758243</v>
      </c>
      <c r="P55" s="123"/>
      <c r="Q55" s="124"/>
    </row>
    <row r="56" spans="1:17" ht="13.5" thickBot="1" x14ac:dyDescent="0.25">
      <c r="A56" s="115"/>
      <c r="B56" s="116"/>
      <c r="C56" s="760" t="s">
        <v>101</v>
      </c>
      <c r="D56" s="760"/>
      <c r="E56" s="760"/>
      <c r="F56" s="117">
        <f>SUM(F44:F51)</f>
        <v>4060.99</v>
      </c>
      <c r="G56" s="258">
        <f>+F56/$F$66</f>
        <v>6.5041665912303204E-2</v>
      </c>
      <c r="H56" s="118">
        <f>+F56/$D$60</f>
        <v>26.775758241758243</v>
      </c>
      <c r="I56" s="118"/>
      <c r="J56" s="261"/>
      <c r="K56" s="126"/>
      <c r="L56" s="126"/>
      <c r="M56" s="126" t="s">
        <v>102</v>
      </c>
      <c r="N56" s="262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258"/>
      <c r="H57" s="132"/>
      <c r="I57" s="118"/>
      <c r="J57" s="261"/>
      <c r="K57" s="133"/>
      <c r="M57" s="134" t="s">
        <v>103</v>
      </c>
      <c r="N57" s="135"/>
      <c r="O57" s="136">
        <f>SUM(O54:O56)</f>
        <v>58259.375758241767</v>
      </c>
      <c r="P57" s="137"/>
      <c r="Q57" s="124"/>
    </row>
    <row r="58" spans="1:17" x14ac:dyDescent="0.2">
      <c r="B58" s="763" t="s">
        <v>104</v>
      </c>
      <c r="C58" s="763"/>
      <c r="D58" s="138">
        <v>45500</v>
      </c>
      <c r="E58" s="139"/>
      <c r="G58" s="258"/>
      <c r="H58" s="132">
        <f>+H56/61</f>
        <v>0.43894685642226627</v>
      </c>
      <c r="I58" s="140"/>
      <c r="J58" s="261"/>
      <c r="K58" s="133"/>
      <c r="L58" s="126"/>
      <c r="M58" s="126" t="s">
        <v>105</v>
      </c>
      <c r="N58" s="263"/>
      <c r="O58" s="123">
        <f>+H59</f>
        <v>25.458917672491445</v>
      </c>
      <c r="P58" s="123"/>
      <c r="Q58" s="124"/>
    </row>
    <row r="59" spans="1:17" x14ac:dyDescent="0.2">
      <c r="B59" s="763" t="s">
        <v>106</v>
      </c>
      <c r="C59" s="763"/>
      <c r="D59" s="142">
        <v>300</v>
      </c>
      <c r="E59" s="139"/>
      <c r="G59" s="258"/>
      <c r="H59" s="132">
        <f>+H58*58</f>
        <v>25.458917672491445</v>
      </c>
      <c r="I59" s="140"/>
      <c r="J59" s="261"/>
      <c r="K59" s="133"/>
      <c r="L59" s="126"/>
      <c r="M59" s="764" t="s">
        <v>103</v>
      </c>
      <c r="N59" s="764"/>
      <c r="O59" s="123">
        <f>SUM(O57:O58)</f>
        <v>58284.834675914259</v>
      </c>
      <c r="P59" s="123"/>
      <c r="Q59" s="124"/>
    </row>
    <row r="60" spans="1:17" ht="13.5" thickBot="1" x14ac:dyDescent="0.25">
      <c r="B60" s="755" t="s">
        <v>107</v>
      </c>
      <c r="C60" s="755"/>
      <c r="D60" s="138">
        <f>+D58/D59</f>
        <v>151.66666666666666</v>
      </c>
      <c r="E60" s="139"/>
      <c r="F60" s="143"/>
      <c r="G60" s="258"/>
      <c r="H60" s="132"/>
      <c r="I60" s="140"/>
      <c r="J60" s="261"/>
      <c r="K60" s="133"/>
      <c r="L60" s="764"/>
      <c r="M60" s="764"/>
      <c r="N60" s="263"/>
      <c r="O60" s="123">
        <f>+O59*N60</f>
        <v>0</v>
      </c>
      <c r="P60" s="123"/>
      <c r="Q60" s="124"/>
    </row>
    <row r="61" spans="1:17" ht="13.5" thickBot="1" x14ac:dyDescent="0.25">
      <c r="B61" s="755" t="s">
        <v>108</v>
      </c>
      <c r="C61" s="755"/>
      <c r="D61" s="144"/>
      <c r="E61" s="139"/>
      <c r="F61" s="143"/>
      <c r="G61" s="258"/>
      <c r="H61" s="132"/>
      <c r="I61" s="140"/>
      <c r="J61" s="261"/>
      <c r="K61" s="756" t="s">
        <v>109</v>
      </c>
      <c r="L61" s="757"/>
      <c r="M61" s="757"/>
      <c r="N61" s="758"/>
      <c r="O61" s="136">
        <f>SUM(O59:O60)</f>
        <v>58284.834675914259</v>
      </c>
      <c r="P61" s="145" t="s">
        <v>110</v>
      </c>
      <c r="Q61" s="124"/>
    </row>
    <row r="62" spans="1:17" ht="13.5" thickBot="1" x14ac:dyDescent="0.25">
      <c r="C62" s="115" t="s">
        <v>111</v>
      </c>
      <c r="D62" s="146"/>
      <c r="E62" s="89" t="s">
        <v>112</v>
      </c>
      <c r="F62" s="147" t="s">
        <v>113</v>
      </c>
      <c r="G62" s="258"/>
      <c r="H62" s="132"/>
      <c r="I62" s="140"/>
      <c r="J62" s="148"/>
      <c r="K62" s="149"/>
      <c r="L62" s="744" t="s">
        <v>114</v>
      </c>
      <c r="M62" s="744"/>
      <c r="N62" s="744"/>
      <c r="O62" s="150">
        <f>+O61/D60</f>
        <v>384.29561324778632</v>
      </c>
      <c r="P62" s="151">
        <f>+O62/D59</f>
        <v>1.280985377492621</v>
      </c>
      <c r="Q62" s="152"/>
    </row>
    <row r="63" spans="1:17" ht="13.5" thickBot="1" x14ac:dyDescent="0.25">
      <c r="B63" s="745" t="s">
        <v>99</v>
      </c>
      <c r="C63" s="745"/>
      <c r="D63" s="745"/>
      <c r="E63" s="264">
        <f>+F63/F63</f>
        <v>1</v>
      </c>
      <c r="F63" s="154">
        <f>SUM(F55)</f>
        <v>58232.600000000006</v>
      </c>
      <c r="G63" s="258">
        <f>+F63/$F$66</f>
        <v>0.93266551121888697</v>
      </c>
      <c r="H63" s="132"/>
      <c r="I63" s="140"/>
      <c r="K63" s="746"/>
      <c r="L63" s="747"/>
      <c r="M63" s="747"/>
      <c r="N63" s="747"/>
      <c r="O63" s="155"/>
      <c r="P63" s="156"/>
    </row>
    <row r="64" spans="1:17" ht="13.5" thickBot="1" x14ac:dyDescent="0.3">
      <c r="B64" s="748" t="s">
        <v>115</v>
      </c>
      <c r="C64" s="748"/>
      <c r="D64" s="748"/>
      <c r="E64" s="157">
        <v>0.02</v>
      </c>
      <c r="F64" s="154">
        <f>+F53*E64</f>
        <v>1154.1464000000001</v>
      </c>
      <c r="G64" s="258">
        <f>+F64/$F$66</f>
        <v>1.8485050335678606E-2</v>
      </c>
      <c r="H64" s="118"/>
      <c r="I64" s="140"/>
      <c r="J64" s="265"/>
      <c r="O64" s="159"/>
      <c r="P64" s="116"/>
    </row>
    <row r="65" spans="2:13" ht="13.5" thickBot="1" x14ac:dyDescent="0.3">
      <c r="B65" s="749" t="s">
        <v>116</v>
      </c>
      <c r="C65" s="750"/>
      <c r="D65" s="160">
        <v>50</v>
      </c>
      <c r="E65" s="161">
        <v>61</v>
      </c>
      <c r="F65" s="154">
        <f>+E65*D65</f>
        <v>3050</v>
      </c>
      <c r="G65" s="258">
        <f>+F65/$F$66</f>
        <v>4.8849438445434434E-2</v>
      </c>
      <c r="H65" s="118"/>
      <c r="I65" s="118"/>
      <c r="J65" s="259"/>
    </row>
    <row r="66" spans="2:13" ht="13.5" thickBot="1" x14ac:dyDescent="0.3">
      <c r="B66" s="751" t="s">
        <v>117</v>
      </c>
      <c r="C66" s="752"/>
      <c r="D66" s="752"/>
      <c r="E66" s="753"/>
      <c r="F66" s="131">
        <f>SUM(F63:F65)</f>
        <v>62436.746400000004</v>
      </c>
      <c r="G66" s="258">
        <f>+F66/$F$66</f>
        <v>1</v>
      </c>
      <c r="H66" s="754"/>
      <c r="I66" s="118"/>
      <c r="J66" s="259"/>
      <c r="M66" s="91" t="s">
        <v>118</v>
      </c>
    </row>
    <row r="67" spans="2:13" x14ac:dyDescent="0.25">
      <c r="C67" s="113"/>
      <c r="D67" s="113"/>
      <c r="E67" s="163"/>
      <c r="F67" s="154"/>
      <c r="G67" s="258"/>
      <c r="H67" s="754"/>
      <c r="I67" s="162"/>
      <c r="J67" s="91"/>
      <c r="M67" s="91" t="s">
        <v>119</v>
      </c>
    </row>
    <row r="68" spans="2:13" ht="13.5" thickBot="1" x14ac:dyDescent="0.3">
      <c r="B68" s="739" t="s">
        <v>120</v>
      </c>
      <c r="C68" s="739"/>
      <c r="D68" s="739"/>
      <c r="E68" s="739"/>
      <c r="F68" s="739"/>
      <c r="G68" s="258"/>
      <c r="H68" s="165"/>
      <c r="I68" s="162"/>
      <c r="J68" s="91"/>
      <c r="M68" s="91" t="s">
        <v>121</v>
      </c>
    </row>
    <row r="69" spans="2:13" ht="13.5" thickBot="1" x14ac:dyDescent="0.3">
      <c r="B69" s="166" t="s">
        <v>122</v>
      </c>
      <c r="C69" s="167">
        <f>+F53</f>
        <v>57707.320000000007</v>
      </c>
      <c r="D69" s="167">
        <f>+D58</f>
        <v>45500</v>
      </c>
      <c r="E69" s="168">
        <f>+C69/D69</f>
        <v>1.2682927472527474</v>
      </c>
      <c r="F69" s="258"/>
      <c r="G69" s="165"/>
      <c r="H69" s="259"/>
      <c r="I69" s="165"/>
      <c r="J69" s="91"/>
    </row>
    <row r="70" spans="2:13" x14ac:dyDescent="0.25">
      <c r="B70" s="169"/>
      <c r="C70" s="170"/>
      <c r="D70" s="171"/>
      <c r="E70" s="154"/>
      <c r="F70" s="258"/>
      <c r="G70" s="165"/>
      <c r="H70" s="259"/>
      <c r="I70" s="259"/>
      <c r="J70" s="91"/>
    </row>
    <row r="71" spans="2:13" x14ac:dyDescent="0.25">
      <c r="B71" s="166" t="s">
        <v>123</v>
      </c>
      <c r="C71" s="167">
        <f>SUM(F63:F64)</f>
        <v>59386.746400000004</v>
      </c>
      <c r="D71" s="167">
        <f>+D58</f>
        <v>45500</v>
      </c>
      <c r="E71" s="172">
        <f>+C71/D71</f>
        <v>1.3052032175824178</v>
      </c>
      <c r="F71" s="258"/>
      <c r="G71" s="165"/>
      <c r="H71" s="259"/>
      <c r="I71" s="259"/>
      <c r="J71" s="91"/>
    </row>
    <row r="72" spans="2:13" x14ac:dyDescent="0.25">
      <c r="B72" s="166"/>
      <c r="C72" s="167"/>
      <c r="D72" s="167"/>
      <c r="E72" s="172"/>
      <c r="F72" s="258"/>
      <c r="G72" s="165"/>
      <c r="H72" s="259"/>
      <c r="I72" s="259"/>
      <c r="J72" s="91"/>
    </row>
    <row r="73" spans="2:13" ht="13.5" thickBot="1" x14ac:dyDescent="0.3">
      <c r="B73" s="166" t="s">
        <v>124</v>
      </c>
      <c r="C73" s="167">
        <f>+F65</f>
        <v>3050</v>
      </c>
      <c r="D73" s="167">
        <f>+D58</f>
        <v>45500</v>
      </c>
      <c r="E73" s="172">
        <f>+C73/D73</f>
        <v>6.7032967032967031E-2</v>
      </c>
      <c r="F73" s="258"/>
      <c r="G73" s="165"/>
      <c r="H73" s="259"/>
      <c r="I73" s="259"/>
      <c r="J73" s="91"/>
    </row>
    <row r="74" spans="2:13" ht="13.5" thickBot="1" x14ac:dyDescent="0.3">
      <c r="B74" s="166" t="s">
        <v>125</v>
      </c>
      <c r="C74" s="167">
        <f>+F56</f>
        <v>4060.99</v>
      </c>
      <c r="D74" s="167">
        <f>+D73</f>
        <v>45500</v>
      </c>
      <c r="E74" s="168">
        <f>+C74/D74</f>
        <v>8.9252527472527474E-2</v>
      </c>
      <c r="F74" s="258"/>
      <c r="G74" s="165"/>
      <c r="H74" s="259"/>
      <c r="I74" s="259"/>
      <c r="J74" s="91"/>
    </row>
    <row r="75" spans="2:13" ht="13.5" thickBot="1" x14ac:dyDescent="0.3">
      <c r="B75" s="130"/>
      <c r="C75" s="131"/>
      <c r="D75" s="131"/>
      <c r="E75" s="172"/>
      <c r="F75" s="258"/>
      <c r="G75" s="165"/>
      <c r="H75" s="259"/>
      <c r="I75" s="259"/>
      <c r="J75" s="91"/>
    </row>
    <row r="76" spans="2:13" ht="13.5" thickBot="1" x14ac:dyDescent="0.3">
      <c r="B76" s="166" t="s">
        <v>126</v>
      </c>
      <c r="C76" s="167">
        <f>+F54</f>
        <v>525.28</v>
      </c>
      <c r="D76" s="167">
        <f>+D74</f>
        <v>45500</v>
      </c>
      <c r="E76" s="168">
        <f>+C76/D76</f>
        <v>1.1544615384615384E-2</v>
      </c>
      <c r="F76" s="258"/>
      <c r="G76" s="165"/>
      <c r="H76" s="259"/>
      <c r="I76" s="259"/>
      <c r="J76" s="259"/>
    </row>
    <row r="77" spans="2:13" ht="13.5" thickBot="1" x14ac:dyDescent="0.3">
      <c r="B77" s="130"/>
      <c r="C77" s="131"/>
      <c r="D77" s="131"/>
      <c r="E77" s="172"/>
      <c r="F77" s="258"/>
      <c r="G77" s="165"/>
      <c r="H77" s="259"/>
      <c r="I77" s="259"/>
    </row>
    <row r="78" spans="2:13" ht="13.5" thickBot="1" x14ac:dyDescent="0.3">
      <c r="B78" s="740" t="s">
        <v>127</v>
      </c>
      <c r="C78" s="741"/>
      <c r="D78" s="742"/>
      <c r="E78" s="168">
        <f>+E69+E74</f>
        <v>1.357545274725275</v>
      </c>
      <c r="G78" s="258"/>
      <c r="H78" s="165"/>
      <c r="I78" s="259"/>
      <c r="J78" s="172"/>
    </row>
    <row r="79" spans="2:13" x14ac:dyDescent="0.25">
      <c r="I79" s="165"/>
      <c r="J79" s="91"/>
    </row>
    <row r="80" spans="2:13" ht="13.5" thickBot="1" x14ac:dyDescent="0.3">
      <c r="B80" s="739" t="s">
        <v>128</v>
      </c>
      <c r="C80" s="739"/>
      <c r="D80" s="739"/>
      <c r="E80" s="739"/>
      <c r="F80" s="739"/>
      <c r="G80" s="258"/>
      <c r="H80" s="165"/>
      <c r="J80" s="91"/>
    </row>
    <row r="81" spans="1:10" ht="13.5" thickBot="1" x14ac:dyDescent="0.3">
      <c r="B81" s="166" t="s">
        <v>122</v>
      </c>
      <c r="C81" s="167">
        <f>+C69</f>
        <v>57707.320000000007</v>
      </c>
      <c r="D81" s="167">
        <f>+D60</f>
        <v>151.66666666666666</v>
      </c>
      <c r="E81" s="168">
        <f>+C81/D81</f>
        <v>380.48782417582424</v>
      </c>
      <c r="F81" s="258"/>
      <c r="G81" s="165"/>
      <c r="H81" s="259"/>
      <c r="I81" s="165"/>
      <c r="J81" s="91"/>
    </row>
    <row r="82" spans="1:10" x14ac:dyDescent="0.25">
      <c r="B82" s="169"/>
      <c r="C82" s="170"/>
      <c r="D82" s="171"/>
      <c r="E82" s="154"/>
      <c r="F82" s="258"/>
      <c r="G82" s="165"/>
      <c r="H82" s="259"/>
      <c r="I82" s="259"/>
      <c r="J82" s="91"/>
    </row>
    <row r="83" spans="1:10" x14ac:dyDescent="0.25">
      <c r="B83" s="166" t="s">
        <v>123</v>
      </c>
      <c r="C83" s="167">
        <f>+C71</f>
        <v>59386.746400000004</v>
      </c>
      <c r="D83" s="167">
        <f>+D60</f>
        <v>151.66666666666666</v>
      </c>
      <c r="E83" s="172">
        <f>+C83/D83</f>
        <v>391.56096527472533</v>
      </c>
      <c r="F83" s="258"/>
      <c r="G83" s="165"/>
      <c r="H83" s="259"/>
      <c r="I83" s="259"/>
      <c r="J83" s="91"/>
    </row>
    <row r="84" spans="1:10" x14ac:dyDescent="0.25">
      <c r="B84" s="166"/>
      <c r="C84" s="167"/>
      <c r="D84" s="167"/>
      <c r="E84" s="172"/>
      <c r="F84" s="258"/>
      <c r="G84" s="165"/>
      <c r="H84" s="259"/>
      <c r="I84" s="259"/>
      <c r="J84" s="91"/>
    </row>
    <row r="85" spans="1:10" ht="13.5" thickBot="1" x14ac:dyDescent="0.3">
      <c r="B85" s="166" t="s">
        <v>125</v>
      </c>
      <c r="C85" s="167">
        <f>+C73</f>
        <v>3050</v>
      </c>
      <c r="D85" s="167">
        <f>+D60</f>
        <v>151.66666666666666</v>
      </c>
      <c r="E85" s="172">
        <f>+C85/D85</f>
        <v>20.109890109890109</v>
      </c>
      <c r="F85" s="174"/>
      <c r="G85" s="164"/>
      <c r="H85" s="90"/>
      <c r="I85" s="259"/>
    </row>
    <row r="86" spans="1:10" ht="13.5" thickBot="1" x14ac:dyDescent="0.3">
      <c r="B86" s="166" t="s">
        <v>125</v>
      </c>
      <c r="C86" s="167">
        <f>+C74</f>
        <v>4060.99</v>
      </c>
      <c r="D86" s="167">
        <f>+D85</f>
        <v>151.66666666666666</v>
      </c>
      <c r="E86" s="168">
        <f>+C86/D86</f>
        <v>26.775758241758243</v>
      </c>
      <c r="F86" s="266"/>
      <c r="G86" s="164"/>
      <c r="H86" s="90"/>
      <c r="I86" s="90"/>
    </row>
    <row r="87" spans="1:10" x14ac:dyDescent="0.25">
      <c r="I87" s="90"/>
    </row>
    <row r="88" spans="1:10" x14ac:dyDescent="0.2">
      <c r="A88" s="743"/>
      <c r="B88" s="743"/>
      <c r="C88" s="175"/>
      <c r="D88" s="175"/>
      <c r="E88" s="176"/>
      <c r="G88" s="267"/>
    </row>
    <row r="89" spans="1:10" x14ac:dyDescent="0.2">
      <c r="A89" s="109"/>
      <c r="B89" s="178"/>
      <c r="C89" s="179"/>
      <c r="D89" s="179"/>
      <c r="E89" s="180"/>
      <c r="G89" s="267"/>
    </row>
    <row r="90" spans="1:10" x14ac:dyDescent="0.2">
      <c r="A90" s="109"/>
      <c r="B90" s="178"/>
      <c r="C90" s="181"/>
      <c r="D90" s="181"/>
      <c r="E90" s="109"/>
      <c r="G90" s="267"/>
    </row>
    <row r="91" spans="1:10" x14ac:dyDescent="0.2">
      <c r="A91" s="109"/>
      <c r="B91" s="178"/>
      <c r="C91" s="182"/>
      <c r="D91" s="182"/>
      <c r="E91" s="109"/>
      <c r="G91" s="26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3C13-75B5-4E0F-903D-6D819D6EE5F9}">
  <dimension ref="A1:M52"/>
  <sheetViews>
    <sheetView view="pageBreakPreview" topLeftCell="A3" zoomScaleNormal="100" zoomScaleSheetLayoutView="100" workbookViewId="0">
      <selection activeCell="C14" sqref="C14"/>
    </sheetView>
  </sheetViews>
  <sheetFormatPr baseColWidth="10" defaultColWidth="11.42578125" defaultRowHeight="15" x14ac:dyDescent="0.25"/>
  <cols>
    <col min="1" max="1" width="14.42578125" customWidth="1"/>
    <col min="2" max="2" width="13.5703125" customWidth="1"/>
    <col min="3" max="3" width="50.7109375" customWidth="1"/>
    <col min="4" max="4" width="13.7109375" customWidth="1"/>
    <col min="7" max="7" width="25.5703125" customWidth="1"/>
    <col min="8" max="8" width="18.5703125" customWidth="1"/>
    <col min="9" max="9" width="19" customWidth="1"/>
  </cols>
  <sheetData>
    <row r="1" spans="1:9" ht="16.5" x14ac:dyDescent="0.3">
      <c r="A1" s="668"/>
      <c r="B1" s="669"/>
      <c r="C1" s="674" t="s">
        <v>35</v>
      </c>
      <c r="D1" s="674"/>
      <c r="E1" s="674"/>
      <c r="F1" s="674"/>
      <c r="G1" s="674"/>
      <c r="H1" s="64" t="s">
        <v>34</v>
      </c>
      <c r="I1" s="63"/>
    </row>
    <row r="2" spans="1:9" ht="17.25" thickBot="1" x14ac:dyDescent="0.35">
      <c r="A2" s="670"/>
      <c r="B2" s="671"/>
      <c r="C2" s="675" t="s">
        <v>33</v>
      </c>
      <c r="D2" s="675"/>
      <c r="E2" s="675"/>
      <c r="F2" s="675"/>
      <c r="G2" s="675"/>
      <c r="H2" s="61" t="s">
        <v>32</v>
      </c>
      <c r="I2" s="62"/>
    </row>
    <row r="3" spans="1:9" ht="50.1" customHeight="1" x14ac:dyDescent="0.25">
      <c r="A3" s="670"/>
      <c r="B3" s="671"/>
      <c r="C3" s="861" t="s">
        <v>38</v>
      </c>
      <c r="D3" s="862"/>
      <c r="E3" s="862"/>
      <c r="F3" s="862"/>
      <c r="G3" s="863"/>
      <c r="H3" s="653" t="s">
        <v>31</v>
      </c>
      <c r="I3" s="643"/>
    </row>
    <row r="4" spans="1:9" ht="16.5" x14ac:dyDescent="0.3">
      <c r="A4" s="670"/>
      <c r="B4" s="671"/>
      <c r="C4" s="61" t="s">
        <v>30</v>
      </c>
      <c r="D4" s="646" t="s">
        <v>37</v>
      </c>
      <c r="E4" s="646"/>
      <c r="F4" s="646"/>
      <c r="G4" s="646"/>
      <c r="H4" s="654"/>
      <c r="I4" s="644"/>
    </row>
    <row r="5" spans="1:9" ht="17.25" thickBot="1" x14ac:dyDescent="0.35">
      <c r="A5" s="672"/>
      <c r="B5" s="673"/>
      <c r="C5" s="60" t="s">
        <v>29</v>
      </c>
      <c r="D5" s="647" t="s">
        <v>28</v>
      </c>
      <c r="E5" s="647"/>
      <c r="F5" s="647"/>
      <c r="G5" s="647"/>
      <c r="H5" s="655"/>
      <c r="I5" s="645"/>
    </row>
    <row r="6" spans="1:9" ht="30.75" customHeight="1" thickBot="1" x14ac:dyDescent="0.3">
      <c r="A6" s="660" t="s">
        <v>27</v>
      </c>
      <c r="B6" s="661"/>
      <c r="C6" s="661"/>
      <c r="D6" s="829" t="s">
        <v>26</v>
      </c>
      <c r="E6" s="829"/>
      <c r="F6" s="829"/>
      <c r="G6" s="649" t="s">
        <v>25</v>
      </c>
      <c r="H6" s="649"/>
      <c r="I6" s="59" t="s">
        <v>24</v>
      </c>
    </row>
    <row r="7" spans="1:9" ht="29.25" customHeight="1" x14ac:dyDescent="0.25">
      <c r="A7" s="662" t="s">
        <v>23</v>
      </c>
      <c r="B7" s="859" t="s">
        <v>36</v>
      </c>
      <c r="C7" s="676" t="s">
        <v>22</v>
      </c>
      <c r="D7" s="676" t="s">
        <v>21</v>
      </c>
      <c r="E7" s="676" t="s">
        <v>20</v>
      </c>
      <c r="F7" s="676"/>
      <c r="G7" s="676" t="s">
        <v>19</v>
      </c>
      <c r="H7" s="676"/>
      <c r="I7" s="58" t="s">
        <v>18</v>
      </c>
    </row>
    <row r="8" spans="1:9" ht="26.25" thickBot="1" x14ac:dyDescent="0.3">
      <c r="A8" s="663"/>
      <c r="B8" s="860"/>
      <c r="C8" s="677"/>
      <c r="D8" s="677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183">
        <v>907000287</v>
      </c>
      <c r="B9" s="183" t="s">
        <v>39</v>
      </c>
      <c r="C9" s="184" t="s">
        <v>40</v>
      </c>
      <c r="D9" s="54" t="s">
        <v>43</v>
      </c>
      <c r="E9" s="13">
        <v>456</v>
      </c>
      <c r="F9" s="53" t="s">
        <v>2</v>
      </c>
      <c r="G9" s="72" t="s">
        <v>44</v>
      </c>
      <c r="H9" s="52"/>
      <c r="I9" s="51"/>
    </row>
    <row r="10" spans="1:9" x14ac:dyDescent="0.25">
      <c r="A10" s="185">
        <v>96344</v>
      </c>
      <c r="B10" s="186" t="s">
        <v>41</v>
      </c>
      <c r="C10" s="187" t="s">
        <v>42</v>
      </c>
      <c r="D10" s="41" t="s">
        <v>43</v>
      </c>
      <c r="E10" s="35">
        <v>60</v>
      </c>
      <c r="F10" s="50" t="s">
        <v>2</v>
      </c>
      <c r="G10" s="35" t="s">
        <v>45</v>
      </c>
      <c r="H10" s="48"/>
      <c r="I10" s="47"/>
    </row>
    <row r="11" spans="1:9" x14ac:dyDescent="0.25">
      <c r="A11" s="43"/>
      <c r="B11" s="65"/>
      <c r="C11" s="42"/>
      <c r="D11" s="41"/>
      <c r="E11" s="46"/>
      <c r="F11" s="45"/>
      <c r="G11" s="49"/>
      <c r="H11" s="48"/>
      <c r="I11" s="47"/>
    </row>
    <row r="12" spans="1:9" x14ac:dyDescent="0.25">
      <c r="A12" s="43"/>
      <c r="B12" s="65"/>
      <c r="C12" s="73" t="s">
        <v>46</v>
      </c>
      <c r="D12" s="41"/>
      <c r="E12" s="46"/>
      <c r="F12" s="45"/>
      <c r="G12" s="49"/>
      <c r="H12" s="48"/>
      <c r="I12" s="47"/>
    </row>
    <row r="13" spans="1:9" x14ac:dyDescent="0.25">
      <c r="A13" s="188">
        <v>95717</v>
      </c>
      <c r="B13" s="183" t="s">
        <v>47</v>
      </c>
      <c r="C13" s="189" t="s">
        <v>48</v>
      </c>
      <c r="D13" s="190" t="s">
        <v>43</v>
      </c>
      <c r="E13" s="191">
        <v>120</v>
      </c>
      <c r="F13" s="45" t="s">
        <v>2</v>
      </c>
      <c r="G13" s="35"/>
      <c r="H13" s="48"/>
      <c r="I13" s="47"/>
    </row>
    <row r="14" spans="1:9" x14ac:dyDescent="0.25">
      <c r="A14" s="192">
        <v>905000060</v>
      </c>
      <c r="B14" s="193"/>
      <c r="C14" s="193" t="s">
        <v>51</v>
      </c>
      <c r="D14" s="194" t="s">
        <v>43</v>
      </c>
      <c r="E14" s="195">
        <v>60</v>
      </c>
      <c r="F14" s="45" t="s">
        <v>2</v>
      </c>
      <c r="G14" s="35"/>
      <c r="H14" s="48"/>
      <c r="I14" s="47"/>
    </row>
    <row r="15" spans="1:9" x14ac:dyDescent="0.25">
      <c r="A15" s="196">
        <v>905000063</v>
      </c>
      <c r="B15" s="196" t="s">
        <v>52</v>
      </c>
      <c r="C15" s="197" t="s">
        <v>53</v>
      </c>
      <c r="D15" s="190" t="s">
        <v>43</v>
      </c>
      <c r="E15" s="195">
        <v>40</v>
      </c>
      <c r="F15" s="45" t="s">
        <v>2</v>
      </c>
      <c r="G15" s="35"/>
      <c r="H15" s="48"/>
      <c r="I15" s="47"/>
    </row>
    <row r="16" spans="1:9" ht="13.5" customHeight="1" x14ac:dyDescent="0.25">
      <c r="A16" s="198">
        <v>905000101</v>
      </c>
      <c r="B16" s="198" t="s">
        <v>49</v>
      </c>
      <c r="C16" s="199" t="s">
        <v>50</v>
      </c>
      <c r="D16" s="190" t="s">
        <v>43</v>
      </c>
      <c r="E16" s="191">
        <v>30</v>
      </c>
      <c r="F16" s="45" t="s">
        <v>2</v>
      </c>
      <c r="G16" s="830"/>
      <c r="H16" s="831"/>
      <c r="I16" s="44"/>
    </row>
    <row r="17" spans="1:12" ht="13.5" customHeight="1" x14ac:dyDescent="0.25">
      <c r="A17" s="70">
        <v>902000149</v>
      </c>
      <c r="B17" s="71" t="s">
        <v>54</v>
      </c>
      <c r="C17" s="75" t="s">
        <v>55</v>
      </c>
      <c r="D17" s="76" t="s">
        <v>43</v>
      </c>
      <c r="E17" s="46">
        <v>10</v>
      </c>
      <c r="F17" s="45" t="s">
        <v>2</v>
      </c>
      <c r="G17" s="831"/>
      <c r="H17" s="831"/>
      <c r="I17" s="44"/>
    </row>
    <row r="18" spans="1:12" ht="13.5" customHeight="1" x14ac:dyDescent="0.25">
      <c r="A18" s="43"/>
      <c r="B18" s="65"/>
      <c r="C18" s="42"/>
      <c r="D18" s="41"/>
      <c r="E18" s="46"/>
      <c r="F18" s="45"/>
      <c r="G18" s="831"/>
      <c r="H18" s="831"/>
      <c r="I18" s="44"/>
    </row>
    <row r="19" spans="1:12" x14ac:dyDescent="0.25">
      <c r="A19" s="77"/>
      <c r="B19" s="77"/>
      <c r="C19" s="78" t="s">
        <v>56</v>
      </c>
      <c r="D19" s="79"/>
      <c r="E19" s="80"/>
      <c r="F19" s="40"/>
      <c r="G19" s="899"/>
      <c r="H19" s="900"/>
      <c r="I19" s="39"/>
      <c r="L19" s="38"/>
    </row>
    <row r="20" spans="1:12" ht="13.9" customHeight="1" x14ac:dyDescent="0.25">
      <c r="A20" s="81">
        <v>121603</v>
      </c>
      <c r="B20" s="81" t="s">
        <v>57</v>
      </c>
      <c r="C20" s="82" t="s">
        <v>58</v>
      </c>
      <c r="D20" s="83" t="s">
        <v>59</v>
      </c>
      <c r="E20" s="80">
        <v>1</v>
      </c>
      <c r="F20" s="40" t="s">
        <v>7</v>
      </c>
      <c r="G20" s="857"/>
      <c r="H20" s="858"/>
      <c r="I20" s="39"/>
      <c r="L20" s="38"/>
    </row>
    <row r="21" spans="1:12" x14ac:dyDescent="0.25">
      <c r="A21" s="81">
        <v>1952875</v>
      </c>
      <c r="B21" s="81" t="s">
        <v>60</v>
      </c>
      <c r="C21" s="82" t="s">
        <v>61</v>
      </c>
      <c r="D21" s="83"/>
      <c r="E21" s="80">
        <v>1</v>
      </c>
      <c r="F21" s="37" t="s">
        <v>7</v>
      </c>
      <c r="G21" s="29"/>
      <c r="H21" s="36"/>
      <c r="I21" s="33"/>
    </row>
    <row r="22" spans="1:12" x14ac:dyDescent="0.25">
      <c r="A22" s="76">
        <v>702012</v>
      </c>
      <c r="B22" s="76" t="s">
        <v>62</v>
      </c>
      <c r="C22" s="84" t="s">
        <v>63</v>
      </c>
      <c r="D22" s="83" t="s">
        <v>64</v>
      </c>
      <c r="E22" s="80">
        <v>1</v>
      </c>
      <c r="F22" s="28" t="s">
        <v>7</v>
      </c>
      <c r="G22" s="29"/>
      <c r="H22" s="36"/>
      <c r="I22" s="34"/>
    </row>
    <row r="23" spans="1:12" x14ac:dyDescent="0.25">
      <c r="A23" s="76">
        <v>702069</v>
      </c>
      <c r="B23" s="76" t="s">
        <v>65</v>
      </c>
      <c r="C23" s="84" t="s">
        <v>66</v>
      </c>
      <c r="D23" s="83" t="s">
        <v>67</v>
      </c>
      <c r="E23" s="80">
        <v>1</v>
      </c>
      <c r="F23" s="28" t="s">
        <v>7</v>
      </c>
      <c r="G23" s="11"/>
      <c r="H23" s="26"/>
      <c r="I23" s="34"/>
    </row>
    <row r="24" spans="1:12" x14ac:dyDescent="0.25">
      <c r="A24" s="74">
        <v>702123</v>
      </c>
      <c r="B24" s="85" t="s">
        <v>68</v>
      </c>
      <c r="C24" s="84" t="s">
        <v>69</v>
      </c>
      <c r="D24" s="83" t="s">
        <v>64</v>
      </c>
      <c r="E24" s="83">
        <v>1</v>
      </c>
      <c r="F24" s="28" t="s">
        <v>7</v>
      </c>
      <c r="G24" s="11"/>
      <c r="H24" s="26"/>
      <c r="I24" s="34"/>
    </row>
    <row r="25" spans="1:12" x14ac:dyDescent="0.25">
      <c r="A25" s="74">
        <v>703020</v>
      </c>
      <c r="B25" s="81" t="s">
        <v>70</v>
      </c>
      <c r="C25" s="84" t="s">
        <v>71</v>
      </c>
      <c r="D25" s="83" t="s">
        <v>72</v>
      </c>
      <c r="E25" s="83">
        <v>60</v>
      </c>
      <c r="F25" s="28" t="s">
        <v>73</v>
      </c>
      <c r="G25" s="11"/>
      <c r="H25" s="26"/>
      <c r="I25" s="34"/>
    </row>
    <row r="26" spans="1:12" x14ac:dyDescent="0.25">
      <c r="A26" s="32"/>
      <c r="B26" s="66"/>
      <c r="C26" s="31"/>
      <c r="D26" s="30"/>
      <c r="E26" s="29"/>
      <c r="F26" s="28"/>
      <c r="G26" s="11"/>
      <c r="H26" s="26"/>
      <c r="I26" s="33"/>
    </row>
    <row r="27" spans="1:12" x14ac:dyDescent="0.25">
      <c r="A27" s="32"/>
      <c r="B27" s="66"/>
      <c r="C27" s="31"/>
      <c r="D27" s="30"/>
      <c r="E27" s="29"/>
      <c r="F27" s="28"/>
      <c r="G27" s="11"/>
      <c r="H27" s="26"/>
      <c r="I27" s="33"/>
    </row>
    <row r="28" spans="1:12" x14ac:dyDescent="0.25">
      <c r="A28" s="32"/>
      <c r="B28" s="66"/>
      <c r="C28" s="31"/>
      <c r="D28" s="30"/>
      <c r="E28" s="29"/>
      <c r="F28" s="28"/>
      <c r="G28" s="27"/>
      <c r="H28" s="26"/>
      <c r="I28" s="25"/>
    </row>
    <row r="29" spans="1:12" ht="15.75" thickBot="1" x14ac:dyDescent="0.3">
      <c r="A29" s="24"/>
      <c r="B29" s="67"/>
      <c r="C29" s="21"/>
      <c r="D29" s="21"/>
      <c r="E29" s="23"/>
      <c r="F29" s="22"/>
      <c r="G29" s="21"/>
      <c r="H29" s="21"/>
      <c r="I29" s="20"/>
      <c r="L29" s="8"/>
    </row>
    <row r="30" spans="1:12" ht="15.75" thickBot="1" x14ac:dyDescent="0.3">
      <c r="A30" s="19"/>
      <c r="B30" s="68"/>
      <c r="C30" s="15"/>
      <c r="D30" s="18" t="s">
        <v>15</v>
      </c>
      <c r="E30" s="17" t="s">
        <v>14</v>
      </c>
      <c r="F30" s="16"/>
      <c r="G30" s="15"/>
      <c r="H30" s="15"/>
      <c r="I30" s="14"/>
      <c r="L30" s="8"/>
    </row>
    <row r="31" spans="1:12" x14ac:dyDescent="0.25">
      <c r="A31" s="836" t="s">
        <v>13</v>
      </c>
      <c r="B31" s="837"/>
      <c r="C31" s="838"/>
      <c r="D31" s="13">
        <v>770</v>
      </c>
      <c r="E31" s="12" t="s">
        <v>2</v>
      </c>
      <c r="F31" s="839" t="s">
        <v>12</v>
      </c>
      <c r="G31" s="839"/>
      <c r="H31" s="840"/>
      <c r="I31" s="841"/>
      <c r="L31" s="8"/>
    </row>
    <row r="32" spans="1:12" x14ac:dyDescent="0.25">
      <c r="A32" s="842" t="s">
        <v>11</v>
      </c>
      <c r="B32" s="843"/>
      <c r="C32" s="844"/>
      <c r="D32" s="11">
        <v>8</v>
      </c>
      <c r="E32" s="11" t="s">
        <v>10</v>
      </c>
      <c r="F32" s="845" t="s">
        <v>9</v>
      </c>
      <c r="G32" s="845"/>
      <c r="H32" s="846"/>
      <c r="I32" s="847"/>
      <c r="L32" s="8"/>
    </row>
    <row r="33" spans="1:13" x14ac:dyDescent="0.25">
      <c r="A33" s="842" t="s">
        <v>8</v>
      </c>
      <c r="B33" s="843"/>
      <c r="C33" s="844"/>
      <c r="D33" s="11">
        <v>1</v>
      </c>
      <c r="E33" s="11" t="s">
        <v>7</v>
      </c>
      <c r="F33" s="845" t="s">
        <v>6</v>
      </c>
      <c r="G33" s="845"/>
      <c r="H33" s="846"/>
      <c r="I33" s="847"/>
      <c r="L33" s="8"/>
    </row>
    <row r="34" spans="1:13" x14ac:dyDescent="0.25">
      <c r="A34" s="842" t="s">
        <v>5</v>
      </c>
      <c r="B34" s="843"/>
      <c r="C34" s="844"/>
      <c r="D34" s="10">
        <v>770</v>
      </c>
      <c r="E34" s="9" t="s">
        <v>2</v>
      </c>
      <c r="F34" s="852" t="s">
        <v>4</v>
      </c>
      <c r="G34" s="852"/>
      <c r="H34" s="846"/>
      <c r="I34" s="847"/>
      <c r="L34" s="8"/>
    </row>
    <row r="35" spans="1:13" ht="15.75" thickBot="1" x14ac:dyDescent="0.3">
      <c r="A35" s="853" t="s">
        <v>3</v>
      </c>
      <c r="B35" s="854"/>
      <c r="C35" s="855"/>
      <c r="D35" s="7">
        <f>SUM(E9:E17)-D31</f>
        <v>6</v>
      </c>
      <c r="E35" s="6" t="s">
        <v>2</v>
      </c>
      <c r="F35" s="856"/>
      <c r="G35" s="856"/>
      <c r="H35" s="897"/>
      <c r="I35" s="898"/>
      <c r="J35" s="5"/>
      <c r="K35" s="5"/>
      <c r="M35" s="5"/>
    </row>
    <row r="36" spans="1:13" ht="15.75" thickBot="1" x14ac:dyDescent="0.3">
      <c r="A36" s="890" t="s">
        <v>1</v>
      </c>
      <c r="B36" s="891"/>
      <c r="C36" s="891"/>
      <c r="D36" s="891"/>
      <c r="E36" s="891"/>
      <c r="F36" s="891"/>
      <c r="G36" s="891"/>
      <c r="H36" s="891"/>
      <c r="I36" s="892"/>
    </row>
    <row r="37" spans="1:13" x14ac:dyDescent="0.25">
      <c r="A37" s="893" t="s">
        <v>74</v>
      </c>
      <c r="B37" s="894"/>
      <c r="C37" s="895"/>
      <c r="D37" s="895"/>
      <c r="E37" s="895"/>
      <c r="F37" s="895"/>
      <c r="G37" s="895"/>
      <c r="H37" s="895"/>
      <c r="I37" s="896"/>
      <c r="J37" s="1"/>
      <c r="K37" s="1"/>
      <c r="L37" s="3"/>
      <c r="M37" s="1"/>
    </row>
    <row r="38" spans="1:13" ht="27.6" customHeight="1" x14ac:dyDescent="0.25">
      <c r="A38" s="848" t="s">
        <v>75</v>
      </c>
      <c r="B38" s="849"/>
      <c r="C38" s="850"/>
      <c r="D38" s="850"/>
      <c r="E38" s="850"/>
      <c r="F38" s="850"/>
      <c r="G38" s="850"/>
      <c r="H38" s="850"/>
      <c r="I38" s="851"/>
      <c r="J38" s="1"/>
      <c r="K38" s="1"/>
      <c r="L38" s="3"/>
      <c r="M38" s="4"/>
    </row>
    <row r="39" spans="1:13" x14ac:dyDescent="0.25">
      <c r="A39" s="868" t="s">
        <v>76</v>
      </c>
      <c r="B39" s="869"/>
      <c r="C39" s="870"/>
      <c r="D39" s="870"/>
      <c r="E39" s="870"/>
      <c r="F39" s="870"/>
      <c r="G39" s="870"/>
      <c r="H39" s="870"/>
      <c r="I39" s="871"/>
      <c r="J39" s="2"/>
      <c r="K39" s="2"/>
      <c r="L39" s="3"/>
      <c r="M39" s="2"/>
    </row>
    <row r="40" spans="1:13" x14ac:dyDescent="0.25">
      <c r="A40" s="887" t="s">
        <v>77</v>
      </c>
      <c r="B40" s="888"/>
      <c r="C40" s="888"/>
      <c r="D40" s="888"/>
      <c r="E40" s="888"/>
      <c r="F40" s="888"/>
      <c r="G40" s="888"/>
      <c r="H40" s="888"/>
      <c r="I40" s="889"/>
      <c r="J40" s="2"/>
      <c r="K40" s="2"/>
      <c r="L40" s="3"/>
      <c r="M40" s="2"/>
    </row>
    <row r="41" spans="1:13" x14ac:dyDescent="0.25">
      <c r="A41" s="872"/>
      <c r="B41" s="873"/>
      <c r="C41" s="874"/>
      <c r="D41" s="874"/>
      <c r="E41" s="874"/>
      <c r="F41" s="874"/>
      <c r="G41" s="874"/>
      <c r="H41" s="874"/>
      <c r="I41" s="875"/>
      <c r="J41" s="1"/>
      <c r="K41" s="1"/>
      <c r="L41" s="1"/>
      <c r="M41" s="1"/>
    </row>
    <row r="42" spans="1:13" ht="15.75" thickBot="1" x14ac:dyDescent="0.3">
      <c r="A42" s="876"/>
      <c r="B42" s="877"/>
      <c r="C42" s="878"/>
      <c r="D42" s="878"/>
      <c r="E42" s="878"/>
      <c r="F42" s="878"/>
      <c r="G42" s="878"/>
      <c r="H42" s="878"/>
      <c r="I42" s="879"/>
      <c r="J42" s="1"/>
      <c r="K42" s="1"/>
      <c r="L42" s="1"/>
      <c r="M42" s="1"/>
    </row>
    <row r="43" spans="1:13" x14ac:dyDescent="0.25">
      <c r="A43" s="880" t="s">
        <v>0</v>
      </c>
      <c r="B43" s="881"/>
      <c r="C43" s="881"/>
      <c r="D43" s="881"/>
      <c r="E43" s="881"/>
      <c r="F43" s="881"/>
      <c r="G43" s="881"/>
      <c r="H43" s="881"/>
      <c r="I43" s="882"/>
      <c r="J43" s="1"/>
      <c r="K43" s="1"/>
      <c r="L43" s="1"/>
      <c r="M43" s="1"/>
    </row>
    <row r="44" spans="1:13" ht="15.75" thickBot="1" x14ac:dyDescent="0.3">
      <c r="A44" s="883"/>
      <c r="B44" s="884"/>
      <c r="C44" s="885"/>
      <c r="D44" s="885"/>
      <c r="E44" s="885"/>
      <c r="F44" s="885"/>
      <c r="G44" s="885"/>
      <c r="H44" s="885"/>
      <c r="I44" s="886"/>
      <c r="J44" s="1"/>
      <c r="K44" s="1"/>
      <c r="L44" s="1"/>
      <c r="M44" s="1"/>
    </row>
    <row r="45" spans="1:13" ht="15.75" thickBot="1" x14ac:dyDescent="0.3">
      <c r="A45" s="864"/>
      <c r="B45" s="865"/>
      <c r="C45" s="866"/>
      <c r="D45" s="866"/>
      <c r="E45" s="866"/>
      <c r="F45" s="866"/>
      <c r="G45" s="866"/>
      <c r="H45" s="866"/>
      <c r="I45" s="867"/>
      <c r="J45" s="1"/>
      <c r="K45" s="1"/>
      <c r="L45" s="1"/>
      <c r="M45" s="1"/>
    </row>
    <row r="46" spans="1:13" ht="15.75" thickBot="1" x14ac:dyDescent="0.3">
      <c r="A46" s="864"/>
      <c r="B46" s="865"/>
      <c r="C46" s="866"/>
      <c r="D46" s="866"/>
      <c r="E46" s="866"/>
      <c r="F46" s="866"/>
      <c r="G46" s="866"/>
      <c r="H46" s="866"/>
      <c r="I46" s="867"/>
      <c r="J46" s="1"/>
      <c r="K46" s="1"/>
      <c r="L46" s="1"/>
      <c r="M46" s="1"/>
    </row>
    <row r="47" spans="1:13" ht="15.75" thickBot="1" x14ac:dyDescent="0.3">
      <c r="A47" s="864"/>
      <c r="B47" s="865"/>
      <c r="C47" s="866"/>
      <c r="D47" s="866"/>
      <c r="E47" s="866"/>
      <c r="F47" s="866"/>
      <c r="G47" s="866"/>
      <c r="H47" s="866"/>
      <c r="I47" s="867"/>
    </row>
    <row r="48" spans="1:13" ht="15.75" thickBot="1" x14ac:dyDescent="0.3">
      <c r="A48" s="864"/>
      <c r="B48" s="865"/>
      <c r="C48" s="866"/>
      <c r="D48" s="866"/>
      <c r="E48" s="866"/>
      <c r="F48" s="866"/>
      <c r="G48" s="866"/>
      <c r="H48" s="866"/>
      <c r="I48" s="867"/>
    </row>
    <row r="49" spans="1:9" ht="15.75" thickBot="1" x14ac:dyDescent="0.3">
      <c r="A49" s="864"/>
      <c r="B49" s="865"/>
      <c r="C49" s="866"/>
      <c r="D49" s="866"/>
      <c r="E49" s="866"/>
      <c r="F49" s="866"/>
      <c r="G49" s="866"/>
      <c r="H49" s="866"/>
      <c r="I49" s="867"/>
    </row>
    <row r="50" spans="1:9" ht="15.75" thickBot="1" x14ac:dyDescent="0.3">
      <c r="A50" s="864"/>
      <c r="B50" s="865"/>
      <c r="C50" s="866"/>
      <c r="D50" s="866"/>
      <c r="E50" s="866"/>
      <c r="F50" s="866"/>
      <c r="G50" s="866"/>
      <c r="H50" s="866"/>
      <c r="I50" s="867"/>
    </row>
    <row r="51" spans="1:9" ht="15.75" thickBot="1" x14ac:dyDescent="0.3">
      <c r="A51" s="864"/>
      <c r="B51" s="865"/>
      <c r="C51" s="866"/>
      <c r="D51" s="866"/>
      <c r="E51" s="866"/>
      <c r="F51" s="866"/>
      <c r="G51" s="866"/>
      <c r="H51" s="866"/>
      <c r="I51" s="867"/>
    </row>
    <row r="52" spans="1:9" ht="15" customHeight="1" thickBot="1" x14ac:dyDescent="0.3">
      <c r="A52" s="832"/>
      <c r="B52" s="833"/>
      <c r="C52" s="834"/>
      <c r="D52" s="834"/>
      <c r="E52" s="834"/>
      <c r="F52" s="834"/>
      <c r="G52" s="834"/>
      <c r="H52" s="834"/>
      <c r="I52" s="835"/>
    </row>
  </sheetData>
  <mergeCells count="54">
    <mergeCell ref="G17:H17"/>
    <mergeCell ref="A36:I36"/>
    <mergeCell ref="A37:I37"/>
    <mergeCell ref="H35:I35"/>
    <mergeCell ref="A33:C33"/>
    <mergeCell ref="F33:G33"/>
    <mergeCell ref="H33:I33"/>
    <mergeCell ref="A34:C34"/>
    <mergeCell ref="G19:H19"/>
    <mergeCell ref="A51:I51"/>
    <mergeCell ref="A46:I46"/>
    <mergeCell ref="A39:I39"/>
    <mergeCell ref="A41:I41"/>
    <mergeCell ref="A42:I42"/>
    <mergeCell ref="A43:I43"/>
    <mergeCell ref="A44:I44"/>
    <mergeCell ref="A45:I45"/>
    <mergeCell ref="A50:I50"/>
    <mergeCell ref="A49:I49"/>
    <mergeCell ref="A48:I48"/>
    <mergeCell ref="A40:I40"/>
    <mergeCell ref="A47:I47"/>
    <mergeCell ref="I3:I5"/>
    <mergeCell ref="D4:G4"/>
    <mergeCell ref="D5:G5"/>
    <mergeCell ref="A7:A8"/>
    <mergeCell ref="C7:C8"/>
    <mergeCell ref="D7:D8"/>
    <mergeCell ref="E7:F7"/>
    <mergeCell ref="G7:H7"/>
    <mergeCell ref="B7:B8"/>
    <mergeCell ref="A1:B5"/>
    <mergeCell ref="G6:H6"/>
    <mergeCell ref="C1:G1"/>
    <mergeCell ref="C2:G2"/>
    <mergeCell ref="C3:G3"/>
    <mergeCell ref="H3:H5"/>
    <mergeCell ref="A6:C6"/>
    <mergeCell ref="D6:F6"/>
    <mergeCell ref="G16:H16"/>
    <mergeCell ref="G18:H18"/>
    <mergeCell ref="A52:I52"/>
    <mergeCell ref="A31:C31"/>
    <mergeCell ref="F31:G31"/>
    <mergeCell ref="H31:I31"/>
    <mergeCell ref="A32:C32"/>
    <mergeCell ref="F32:G32"/>
    <mergeCell ref="H32:I32"/>
    <mergeCell ref="A38:I38"/>
    <mergeCell ref="F34:G34"/>
    <mergeCell ref="H34:I34"/>
    <mergeCell ref="A35:C35"/>
    <mergeCell ref="F35:G35"/>
    <mergeCell ref="G20:H20"/>
  </mergeCells>
  <pageMargins left="0.7" right="0.7" top="0.75" bottom="0.75" header="0.3" footer="0.3"/>
  <pageSetup scale="47" orientation="portrait" r:id="rId1"/>
  <colBreaks count="1" manualBreakCount="1">
    <brk id="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894E-B2FB-412F-929B-12D8DDF4A817}">
  <dimension ref="A1:N42"/>
  <sheetViews>
    <sheetView workbookViewId="0">
      <selection activeCell="D6" sqref="D6:D7"/>
    </sheetView>
  </sheetViews>
  <sheetFormatPr baseColWidth="10" defaultRowHeight="13.5" x14ac:dyDescent="0.25"/>
  <cols>
    <col min="1" max="1" width="11.42578125" style="5"/>
    <col min="2" max="2" width="16.28515625" style="5" customWidth="1"/>
    <col min="3" max="3" width="13.28515625" style="5" customWidth="1"/>
    <col min="4" max="4" width="40.5703125" style="5" customWidth="1"/>
    <col min="5" max="5" width="15.5703125" style="5" customWidth="1"/>
    <col min="6" max="6" width="11.42578125" style="5"/>
    <col min="7" max="7" width="13.28515625" style="5" customWidth="1"/>
    <col min="8" max="8" width="12.5703125" style="5" customWidth="1"/>
    <col min="9" max="9" width="15.5703125" style="5" customWidth="1"/>
    <col min="10" max="10" width="16" style="5" customWidth="1"/>
    <col min="11" max="257" width="11.42578125" style="5"/>
    <col min="258" max="258" width="16.28515625" style="5" customWidth="1"/>
    <col min="259" max="259" width="13.28515625" style="5" customWidth="1"/>
    <col min="260" max="260" width="40.5703125" style="5" customWidth="1"/>
    <col min="261" max="261" width="15.5703125" style="5" customWidth="1"/>
    <col min="262" max="262" width="11.42578125" style="5"/>
    <col min="263" max="263" width="13.28515625" style="5" customWidth="1"/>
    <col min="264" max="264" width="12.5703125" style="5" customWidth="1"/>
    <col min="265" max="265" width="15.5703125" style="5" customWidth="1"/>
    <col min="266" max="266" width="16" style="5" customWidth="1"/>
    <col min="267" max="513" width="11.42578125" style="5"/>
    <col min="514" max="514" width="16.28515625" style="5" customWidth="1"/>
    <col min="515" max="515" width="13.28515625" style="5" customWidth="1"/>
    <col min="516" max="516" width="40.5703125" style="5" customWidth="1"/>
    <col min="517" max="517" width="15.5703125" style="5" customWidth="1"/>
    <col min="518" max="518" width="11.42578125" style="5"/>
    <col min="519" max="519" width="13.28515625" style="5" customWidth="1"/>
    <col min="520" max="520" width="12.5703125" style="5" customWidth="1"/>
    <col min="521" max="521" width="15.5703125" style="5" customWidth="1"/>
    <col min="522" max="522" width="16" style="5" customWidth="1"/>
    <col min="523" max="769" width="11.42578125" style="5"/>
    <col min="770" max="770" width="16.28515625" style="5" customWidth="1"/>
    <col min="771" max="771" width="13.28515625" style="5" customWidth="1"/>
    <col min="772" max="772" width="40.5703125" style="5" customWidth="1"/>
    <col min="773" max="773" width="15.5703125" style="5" customWidth="1"/>
    <col min="774" max="774" width="11.42578125" style="5"/>
    <col min="775" max="775" width="13.28515625" style="5" customWidth="1"/>
    <col min="776" max="776" width="12.5703125" style="5" customWidth="1"/>
    <col min="777" max="777" width="15.5703125" style="5" customWidth="1"/>
    <col min="778" max="778" width="16" style="5" customWidth="1"/>
    <col min="779" max="1025" width="11.42578125" style="5"/>
    <col min="1026" max="1026" width="16.28515625" style="5" customWidth="1"/>
    <col min="1027" max="1027" width="13.28515625" style="5" customWidth="1"/>
    <col min="1028" max="1028" width="40.5703125" style="5" customWidth="1"/>
    <col min="1029" max="1029" width="15.5703125" style="5" customWidth="1"/>
    <col min="1030" max="1030" width="11.42578125" style="5"/>
    <col min="1031" max="1031" width="13.28515625" style="5" customWidth="1"/>
    <col min="1032" max="1032" width="12.5703125" style="5" customWidth="1"/>
    <col min="1033" max="1033" width="15.5703125" style="5" customWidth="1"/>
    <col min="1034" max="1034" width="16" style="5" customWidth="1"/>
    <col min="1035" max="1281" width="11.42578125" style="5"/>
    <col min="1282" max="1282" width="16.28515625" style="5" customWidth="1"/>
    <col min="1283" max="1283" width="13.28515625" style="5" customWidth="1"/>
    <col min="1284" max="1284" width="40.5703125" style="5" customWidth="1"/>
    <col min="1285" max="1285" width="15.5703125" style="5" customWidth="1"/>
    <col min="1286" max="1286" width="11.42578125" style="5"/>
    <col min="1287" max="1287" width="13.28515625" style="5" customWidth="1"/>
    <col min="1288" max="1288" width="12.5703125" style="5" customWidth="1"/>
    <col min="1289" max="1289" width="15.5703125" style="5" customWidth="1"/>
    <col min="1290" max="1290" width="16" style="5" customWidth="1"/>
    <col min="1291" max="1537" width="11.42578125" style="5"/>
    <col min="1538" max="1538" width="16.28515625" style="5" customWidth="1"/>
    <col min="1539" max="1539" width="13.28515625" style="5" customWidth="1"/>
    <col min="1540" max="1540" width="40.5703125" style="5" customWidth="1"/>
    <col min="1541" max="1541" width="15.5703125" style="5" customWidth="1"/>
    <col min="1542" max="1542" width="11.42578125" style="5"/>
    <col min="1543" max="1543" width="13.28515625" style="5" customWidth="1"/>
    <col min="1544" max="1544" width="12.5703125" style="5" customWidth="1"/>
    <col min="1545" max="1545" width="15.5703125" style="5" customWidth="1"/>
    <col min="1546" max="1546" width="16" style="5" customWidth="1"/>
    <col min="1547" max="1793" width="11.42578125" style="5"/>
    <col min="1794" max="1794" width="16.28515625" style="5" customWidth="1"/>
    <col min="1795" max="1795" width="13.28515625" style="5" customWidth="1"/>
    <col min="1796" max="1796" width="40.5703125" style="5" customWidth="1"/>
    <col min="1797" max="1797" width="15.5703125" style="5" customWidth="1"/>
    <col min="1798" max="1798" width="11.42578125" style="5"/>
    <col min="1799" max="1799" width="13.28515625" style="5" customWidth="1"/>
    <col min="1800" max="1800" width="12.5703125" style="5" customWidth="1"/>
    <col min="1801" max="1801" width="15.5703125" style="5" customWidth="1"/>
    <col min="1802" max="1802" width="16" style="5" customWidth="1"/>
    <col min="1803" max="2049" width="11.42578125" style="5"/>
    <col min="2050" max="2050" width="16.28515625" style="5" customWidth="1"/>
    <col min="2051" max="2051" width="13.28515625" style="5" customWidth="1"/>
    <col min="2052" max="2052" width="40.5703125" style="5" customWidth="1"/>
    <col min="2053" max="2053" width="15.5703125" style="5" customWidth="1"/>
    <col min="2054" max="2054" width="11.42578125" style="5"/>
    <col min="2055" max="2055" width="13.28515625" style="5" customWidth="1"/>
    <col min="2056" max="2056" width="12.5703125" style="5" customWidth="1"/>
    <col min="2057" max="2057" width="15.5703125" style="5" customWidth="1"/>
    <col min="2058" max="2058" width="16" style="5" customWidth="1"/>
    <col min="2059" max="2305" width="11.42578125" style="5"/>
    <col min="2306" max="2306" width="16.28515625" style="5" customWidth="1"/>
    <col min="2307" max="2307" width="13.28515625" style="5" customWidth="1"/>
    <col min="2308" max="2308" width="40.5703125" style="5" customWidth="1"/>
    <col min="2309" max="2309" width="15.5703125" style="5" customWidth="1"/>
    <col min="2310" max="2310" width="11.42578125" style="5"/>
    <col min="2311" max="2311" width="13.28515625" style="5" customWidth="1"/>
    <col min="2312" max="2312" width="12.5703125" style="5" customWidth="1"/>
    <col min="2313" max="2313" width="15.5703125" style="5" customWidth="1"/>
    <col min="2314" max="2314" width="16" style="5" customWidth="1"/>
    <col min="2315" max="2561" width="11.42578125" style="5"/>
    <col min="2562" max="2562" width="16.28515625" style="5" customWidth="1"/>
    <col min="2563" max="2563" width="13.28515625" style="5" customWidth="1"/>
    <col min="2564" max="2564" width="40.5703125" style="5" customWidth="1"/>
    <col min="2565" max="2565" width="15.5703125" style="5" customWidth="1"/>
    <col min="2566" max="2566" width="11.42578125" style="5"/>
    <col min="2567" max="2567" width="13.28515625" style="5" customWidth="1"/>
    <col min="2568" max="2568" width="12.5703125" style="5" customWidth="1"/>
    <col min="2569" max="2569" width="15.5703125" style="5" customWidth="1"/>
    <col min="2570" max="2570" width="16" style="5" customWidth="1"/>
    <col min="2571" max="2817" width="11.42578125" style="5"/>
    <col min="2818" max="2818" width="16.28515625" style="5" customWidth="1"/>
    <col min="2819" max="2819" width="13.28515625" style="5" customWidth="1"/>
    <col min="2820" max="2820" width="40.5703125" style="5" customWidth="1"/>
    <col min="2821" max="2821" width="15.5703125" style="5" customWidth="1"/>
    <col min="2822" max="2822" width="11.42578125" style="5"/>
    <col min="2823" max="2823" width="13.28515625" style="5" customWidth="1"/>
    <col min="2824" max="2824" width="12.5703125" style="5" customWidth="1"/>
    <col min="2825" max="2825" width="15.5703125" style="5" customWidth="1"/>
    <col min="2826" max="2826" width="16" style="5" customWidth="1"/>
    <col min="2827" max="3073" width="11.42578125" style="5"/>
    <col min="3074" max="3074" width="16.28515625" style="5" customWidth="1"/>
    <col min="3075" max="3075" width="13.28515625" style="5" customWidth="1"/>
    <col min="3076" max="3076" width="40.5703125" style="5" customWidth="1"/>
    <col min="3077" max="3077" width="15.5703125" style="5" customWidth="1"/>
    <col min="3078" max="3078" width="11.42578125" style="5"/>
    <col min="3079" max="3079" width="13.28515625" style="5" customWidth="1"/>
    <col min="3080" max="3080" width="12.5703125" style="5" customWidth="1"/>
    <col min="3081" max="3081" width="15.5703125" style="5" customWidth="1"/>
    <col min="3082" max="3082" width="16" style="5" customWidth="1"/>
    <col min="3083" max="3329" width="11.42578125" style="5"/>
    <col min="3330" max="3330" width="16.28515625" style="5" customWidth="1"/>
    <col min="3331" max="3331" width="13.28515625" style="5" customWidth="1"/>
    <col min="3332" max="3332" width="40.5703125" style="5" customWidth="1"/>
    <col min="3333" max="3333" width="15.5703125" style="5" customWidth="1"/>
    <col min="3334" max="3334" width="11.42578125" style="5"/>
    <col min="3335" max="3335" width="13.28515625" style="5" customWidth="1"/>
    <col min="3336" max="3336" width="12.5703125" style="5" customWidth="1"/>
    <col min="3337" max="3337" width="15.5703125" style="5" customWidth="1"/>
    <col min="3338" max="3338" width="16" style="5" customWidth="1"/>
    <col min="3339" max="3585" width="11.42578125" style="5"/>
    <col min="3586" max="3586" width="16.28515625" style="5" customWidth="1"/>
    <col min="3587" max="3587" width="13.28515625" style="5" customWidth="1"/>
    <col min="3588" max="3588" width="40.5703125" style="5" customWidth="1"/>
    <col min="3589" max="3589" width="15.5703125" style="5" customWidth="1"/>
    <col min="3590" max="3590" width="11.42578125" style="5"/>
    <col min="3591" max="3591" width="13.28515625" style="5" customWidth="1"/>
    <col min="3592" max="3592" width="12.5703125" style="5" customWidth="1"/>
    <col min="3593" max="3593" width="15.5703125" style="5" customWidth="1"/>
    <col min="3594" max="3594" width="16" style="5" customWidth="1"/>
    <col min="3595" max="3841" width="11.42578125" style="5"/>
    <col min="3842" max="3842" width="16.28515625" style="5" customWidth="1"/>
    <col min="3843" max="3843" width="13.28515625" style="5" customWidth="1"/>
    <col min="3844" max="3844" width="40.5703125" style="5" customWidth="1"/>
    <col min="3845" max="3845" width="15.5703125" style="5" customWidth="1"/>
    <col min="3846" max="3846" width="11.42578125" style="5"/>
    <col min="3847" max="3847" width="13.28515625" style="5" customWidth="1"/>
    <col min="3848" max="3848" width="12.5703125" style="5" customWidth="1"/>
    <col min="3849" max="3849" width="15.5703125" style="5" customWidth="1"/>
    <col min="3850" max="3850" width="16" style="5" customWidth="1"/>
    <col min="3851" max="4097" width="11.42578125" style="5"/>
    <col min="4098" max="4098" width="16.28515625" style="5" customWidth="1"/>
    <col min="4099" max="4099" width="13.28515625" style="5" customWidth="1"/>
    <col min="4100" max="4100" width="40.5703125" style="5" customWidth="1"/>
    <col min="4101" max="4101" width="15.5703125" style="5" customWidth="1"/>
    <col min="4102" max="4102" width="11.42578125" style="5"/>
    <col min="4103" max="4103" width="13.28515625" style="5" customWidth="1"/>
    <col min="4104" max="4104" width="12.5703125" style="5" customWidth="1"/>
    <col min="4105" max="4105" width="15.5703125" style="5" customWidth="1"/>
    <col min="4106" max="4106" width="16" style="5" customWidth="1"/>
    <col min="4107" max="4353" width="11.42578125" style="5"/>
    <col min="4354" max="4354" width="16.28515625" style="5" customWidth="1"/>
    <col min="4355" max="4355" width="13.28515625" style="5" customWidth="1"/>
    <col min="4356" max="4356" width="40.5703125" style="5" customWidth="1"/>
    <col min="4357" max="4357" width="15.5703125" style="5" customWidth="1"/>
    <col min="4358" max="4358" width="11.42578125" style="5"/>
    <col min="4359" max="4359" width="13.28515625" style="5" customWidth="1"/>
    <col min="4360" max="4360" width="12.5703125" style="5" customWidth="1"/>
    <col min="4361" max="4361" width="15.5703125" style="5" customWidth="1"/>
    <col min="4362" max="4362" width="16" style="5" customWidth="1"/>
    <col min="4363" max="4609" width="11.42578125" style="5"/>
    <col min="4610" max="4610" width="16.28515625" style="5" customWidth="1"/>
    <col min="4611" max="4611" width="13.28515625" style="5" customWidth="1"/>
    <col min="4612" max="4612" width="40.5703125" style="5" customWidth="1"/>
    <col min="4613" max="4613" width="15.5703125" style="5" customWidth="1"/>
    <col min="4614" max="4614" width="11.42578125" style="5"/>
    <col min="4615" max="4615" width="13.28515625" style="5" customWidth="1"/>
    <col min="4616" max="4616" width="12.5703125" style="5" customWidth="1"/>
    <col min="4617" max="4617" width="15.5703125" style="5" customWidth="1"/>
    <col min="4618" max="4618" width="16" style="5" customWidth="1"/>
    <col min="4619" max="4865" width="11.42578125" style="5"/>
    <col min="4866" max="4866" width="16.28515625" style="5" customWidth="1"/>
    <col min="4867" max="4867" width="13.28515625" style="5" customWidth="1"/>
    <col min="4868" max="4868" width="40.5703125" style="5" customWidth="1"/>
    <col min="4869" max="4869" width="15.5703125" style="5" customWidth="1"/>
    <col min="4870" max="4870" width="11.42578125" style="5"/>
    <col min="4871" max="4871" width="13.28515625" style="5" customWidth="1"/>
    <col min="4872" max="4872" width="12.5703125" style="5" customWidth="1"/>
    <col min="4873" max="4873" width="15.5703125" style="5" customWidth="1"/>
    <col min="4874" max="4874" width="16" style="5" customWidth="1"/>
    <col min="4875" max="5121" width="11.42578125" style="5"/>
    <col min="5122" max="5122" width="16.28515625" style="5" customWidth="1"/>
    <col min="5123" max="5123" width="13.28515625" style="5" customWidth="1"/>
    <col min="5124" max="5124" width="40.5703125" style="5" customWidth="1"/>
    <col min="5125" max="5125" width="15.5703125" style="5" customWidth="1"/>
    <col min="5126" max="5126" width="11.42578125" style="5"/>
    <col min="5127" max="5127" width="13.28515625" style="5" customWidth="1"/>
    <col min="5128" max="5128" width="12.5703125" style="5" customWidth="1"/>
    <col min="5129" max="5129" width="15.5703125" style="5" customWidth="1"/>
    <col min="5130" max="5130" width="16" style="5" customWidth="1"/>
    <col min="5131" max="5377" width="11.42578125" style="5"/>
    <col min="5378" max="5378" width="16.28515625" style="5" customWidth="1"/>
    <col min="5379" max="5379" width="13.28515625" style="5" customWidth="1"/>
    <col min="5380" max="5380" width="40.5703125" style="5" customWidth="1"/>
    <col min="5381" max="5381" width="15.5703125" style="5" customWidth="1"/>
    <col min="5382" max="5382" width="11.42578125" style="5"/>
    <col min="5383" max="5383" width="13.28515625" style="5" customWidth="1"/>
    <col min="5384" max="5384" width="12.5703125" style="5" customWidth="1"/>
    <col min="5385" max="5385" width="15.5703125" style="5" customWidth="1"/>
    <col min="5386" max="5386" width="16" style="5" customWidth="1"/>
    <col min="5387" max="5633" width="11.42578125" style="5"/>
    <col min="5634" max="5634" width="16.28515625" style="5" customWidth="1"/>
    <col min="5635" max="5635" width="13.28515625" style="5" customWidth="1"/>
    <col min="5636" max="5636" width="40.5703125" style="5" customWidth="1"/>
    <col min="5637" max="5637" width="15.5703125" style="5" customWidth="1"/>
    <col min="5638" max="5638" width="11.42578125" style="5"/>
    <col min="5639" max="5639" width="13.28515625" style="5" customWidth="1"/>
    <col min="5640" max="5640" width="12.5703125" style="5" customWidth="1"/>
    <col min="5641" max="5641" width="15.5703125" style="5" customWidth="1"/>
    <col min="5642" max="5642" width="16" style="5" customWidth="1"/>
    <col min="5643" max="5889" width="11.42578125" style="5"/>
    <col min="5890" max="5890" width="16.28515625" style="5" customWidth="1"/>
    <col min="5891" max="5891" width="13.28515625" style="5" customWidth="1"/>
    <col min="5892" max="5892" width="40.5703125" style="5" customWidth="1"/>
    <col min="5893" max="5893" width="15.5703125" style="5" customWidth="1"/>
    <col min="5894" max="5894" width="11.42578125" style="5"/>
    <col min="5895" max="5895" width="13.28515625" style="5" customWidth="1"/>
    <col min="5896" max="5896" width="12.5703125" style="5" customWidth="1"/>
    <col min="5897" max="5897" width="15.5703125" style="5" customWidth="1"/>
    <col min="5898" max="5898" width="16" style="5" customWidth="1"/>
    <col min="5899" max="6145" width="11.42578125" style="5"/>
    <col min="6146" max="6146" width="16.28515625" style="5" customWidth="1"/>
    <col min="6147" max="6147" width="13.28515625" style="5" customWidth="1"/>
    <col min="6148" max="6148" width="40.5703125" style="5" customWidth="1"/>
    <col min="6149" max="6149" width="15.5703125" style="5" customWidth="1"/>
    <col min="6150" max="6150" width="11.42578125" style="5"/>
    <col min="6151" max="6151" width="13.28515625" style="5" customWidth="1"/>
    <col min="6152" max="6152" width="12.5703125" style="5" customWidth="1"/>
    <col min="6153" max="6153" width="15.5703125" style="5" customWidth="1"/>
    <col min="6154" max="6154" width="16" style="5" customWidth="1"/>
    <col min="6155" max="6401" width="11.42578125" style="5"/>
    <col min="6402" max="6402" width="16.28515625" style="5" customWidth="1"/>
    <col min="6403" max="6403" width="13.28515625" style="5" customWidth="1"/>
    <col min="6404" max="6404" width="40.5703125" style="5" customWidth="1"/>
    <col min="6405" max="6405" width="15.5703125" style="5" customWidth="1"/>
    <col min="6406" max="6406" width="11.42578125" style="5"/>
    <col min="6407" max="6407" width="13.28515625" style="5" customWidth="1"/>
    <col min="6408" max="6408" width="12.5703125" style="5" customWidth="1"/>
    <col min="6409" max="6409" width="15.5703125" style="5" customWidth="1"/>
    <col min="6410" max="6410" width="16" style="5" customWidth="1"/>
    <col min="6411" max="6657" width="11.42578125" style="5"/>
    <col min="6658" max="6658" width="16.28515625" style="5" customWidth="1"/>
    <col min="6659" max="6659" width="13.28515625" style="5" customWidth="1"/>
    <col min="6660" max="6660" width="40.5703125" style="5" customWidth="1"/>
    <col min="6661" max="6661" width="15.5703125" style="5" customWidth="1"/>
    <col min="6662" max="6662" width="11.42578125" style="5"/>
    <col min="6663" max="6663" width="13.28515625" style="5" customWidth="1"/>
    <col min="6664" max="6664" width="12.5703125" style="5" customWidth="1"/>
    <col min="6665" max="6665" width="15.5703125" style="5" customWidth="1"/>
    <col min="6666" max="6666" width="16" style="5" customWidth="1"/>
    <col min="6667" max="6913" width="11.42578125" style="5"/>
    <col min="6914" max="6914" width="16.28515625" style="5" customWidth="1"/>
    <col min="6915" max="6915" width="13.28515625" style="5" customWidth="1"/>
    <col min="6916" max="6916" width="40.5703125" style="5" customWidth="1"/>
    <col min="6917" max="6917" width="15.5703125" style="5" customWidth="1"/>
    <col min="6918" max="6918" width="11.42578125" style="5"/>
    <col min="6919" max="6919" width="13.28515625" style="5" customWidth="1"/>
    <col min="6920" max="6920" width="12.5703125" style="5" customWidth="1"/>
    <col min="6921" max="6921" width="15.5703125" style="5" customWidth="1"/>
    <col min="6922" max="6922" width="16" style="5" customWidth="1"/>
    <col min="6923" max="7169" width="11.42578125" style="5"/>
    <col min="7170" max="7170" width="16.28515625" style="5" customWidth="1"/>
    <col min="7171" max="7171" width="13.28515625" style="5" customWidth="1"/>
    <col min="7172" max="7172" width="40.5703125" style="5" customWidth="1"/>
    <col min="7173" max="7173" width="15.5703125" style="5" customWidth="1"/>
    <col min="7174" max="7174" width="11.42578125" style="5"/>
    <col min="7175" max="7175" width="13.28515625" style="5" customWidth="1"/>
    <col min="7176" max="7176" width="12.5703125" style="5" customWidth="1"/>
    <col min="7177" max="7177" width="15.5703125" style="5" customWidth="1"/>
    <col min="7178" max="7178" width="16" style="5" customWidth="1"/>
    <col min="7179" max="7425" width="11.42578125" style="5"/>
    <col min="7426" max="7426" width="16.28515625" style="5" customWidth="1"/>
    <col min="7427" max="7427" width="13.28515625" style="5" customWidth="1"/>
    <col min="7428" max="7428" width="40.5703125" style="5" customWidth="1"/>
    <col min="7429" max="7429" width="15.5703125" style="5" customWidth="1"/>
    <col min="7430" max="7430" width="11.42578125" style="5"/>
    <col min="7431" max="7431" width="13.28515625" style="5" customWidth="1"/>
    <col min="7432" max="7432" width="12.5703125" style="5" customWidth="1"/>
    <col min="7433" max="7433" width="15.5703125" style="5" customWidth="1"/>
    <col min="7434" max="7434" width="16" style="5" customWidth="1"/>
    <col min="7435" max="7681" width="11.42578125" style="5"/>
    <col min="7682" max="7682" width="16.28515625" style="5" customWidth="1"/>
    <col min="7683" max="7683" width="13.28515625" style="5" customWidth="1"/>
    <col min="7684" max="7684" width="40.5703125" style="5" customWidth="1"/>
    <col min="7685" max="7685" width="15.5703125" style="5" customWidth="1"/>
    <col min="7686" max="7686" width="11.42578125" style="5"/>
    <col min="7687" max="7687" width="13.28515625" style="5" customWidth="1"/>
    <col min="7688" max="7688" width="12.5703125" style="5" customWidth="1"/>
    <col min="7689" max="7689" width="15.5703125" style="5" customWidth="1"/>
    <col min="7690" max="7690" width="16" style="5" customWidth="1"/>
    <col min="7691" max="7937" width="11.42578125" style="5"/>
    <col min="7938" max="7938" width="16.28515625" style="5" customWidth="1"/>
    <col min="7939" max="7939" width="13.28515625" style="5" customWidth="1"/>
    <col min="7940" max="7940" width="40.5703125" style="5" customWidth="1"/>
    <col min="7941" max="7941" width="15.5703125" style="5" customWidth="1"/>
    <col min="7942" max="7942" width="11.42578125" style="5"/>
    <col min="7943" max="7943" width="13.28515625" style="5" customWidth="1"/>
    <col min="7944" max="7944" width="12.5703125" style="5" customWidth="1"/>
    <col min="7945" max="7945" width="15.5703125" style="5" customWidth="1"/>
    <col min="7946" max="7946" width="16" style="5" customWidth="1"/>
    <col min="7947" max="8193" width="11.42578125" style="5"/>
    <col min="8194" max="8194" width="16.28515625" style="5" customWidth="1"/>
    <col min="8195" max="8195" width="13.28515625" style="5" customWidth="1"/>
    <col min="8196" max="8196" width="40.5703125" style="5" customWidth="1"/>
    <col min="8197" max="8197" width="15.5703125" style="5" customWidth="1"/>
    <col min="8198" max="8198" width="11.42578125" style="5"/>
    <col min="8199" max="8199" width="13.28515625" style="5" customWidth="1"/>
    <col min="8200" max="8200" width="12.5703125" style="5" customWidth="1"/>
    <col min="8201" max="8201" width="15.5703125" style="5" customWidth="1"/>
    <col min="8202" max="8202" width="16" style="5" customWidth="1"/>
    <col min="8203" max="8449" width="11.42578125" style="5"/>
    <col min="8450" max="8450" width="16.28515625" style="5" customWidth="1"/>
    <col min="8451" max="8451" width="13.28515625" style="5" customWidth="1"/>
    <col min="8452" max="8452" width="40.5703125" style="5" customWidth="1"/>
    <col min="8453" max="8453" width="15.5703125" style="5" customWidth="1"/>
    <col min="8454" max="8454" width="11.42578125" style="5"/>
    <col min="8455" max="8455" width="13.28515625" style="5" customWidth="1"/>
    <col min="8456" max="8456" width="12.5703125" style="5" customWidth="1"/>
    <col min="8457" max="8457" width="15.5703125" style="5" customWidth="1"/>
    <col min="8458" max="8458" width="16" style="5" customWidth="1"/>
    <col min="8459" max="8705" width="11.42578125" style="5"/>
    <col min="8706" max="8706" width="16.28515625" style="5" customWidth="1"/>
    <col min="8707" max="8707" width="13.28515625" style="5" customWidth="1"/>
    <col min="8708" max="8708" width="40.5703125" style="5" customWidth="1"/>
    <col min="8709" max="8709" width="15.5703125" style="5" customWidth="1"/>
    <col min="8710" max="8710" width="11.42578125" style="5"/>
    <col min="8711" max="8711" width="13.28515625" style="5" customWidth="1"/>
    <col min="8712" max="8712" width="12.5703125" style="5" customWidth="1"/>
    <col min="8713" max="8713" width="15.5703125" style="5" customWidth="1"/>
    <col min="8714" max="8714" width="16" style="5" customWidth="1"/>
    <col min="8715" max="8961" width="11.42578125" style="5"/>
    <col min="8962" max="8962" width="16.28515625" style="5" customWidth="1"/>
    <col min="8963" max="8963" width="13.28515625" style="5" customWidth="1"/>
    <col min="8964" max="8964" width="40.5703125" style="5" customWidth="1"/>
    <col min="8965" max="8965" width="15.5703125" style="5" customWidth="1"/>
    <col min="8966" max="8966" width="11.42578125" style="5"/>
    <col min="8967" max="8967" width="13.28515625" style="5" customWidth="1"/>
    <col min="8968" max="8968" width="12.5703125" style="5" customWidth="1"/>
    <col min="8969" max="8969" width="15.5703125" style="5" customWidth="1"/>
    <col min="8970" max="8970" width="16" style="5" customWidth="1"/>
    <col min="8971" max="9217" width="11.42578125" style="5"/>
    <col min="9218" max="9218" width="16.28515625" style="5" customWidth="1"/>
    <col min="9219" max="9219" width="13.28515625" style="5" customWidth="1"/>
    <col min="9220" max="9220" width="40.5703125" style="5" customWidth="1"/>
    <col min="9221" max="9221" width="15.5703125" style="5" customWidth="1"/>
    <col min="9222" max="9222" width="11.42578125" style="5"/>
    <col min="9223" max="9223" width="13.28515625" style="5" customWidth="1"/>
    <col min="9224" max="9224" width="12.5703125" style="5" customWidth="1"/>
    <col min="9225" max="9225" width="15.5703125" style="5" customWidth="1"/>
    <col min="9226" max="9226" width="16" style="5" customWidth="1"/>
    <col min="9227" max="9473" width="11.42578125" style="5"/>
    <col min="9474" max="9474" width="16.28515625" style="5" customWidth="1"/>
    <col min="9475" max="9475" width="13.28515625" style="5" customWidth="1"/>
    <col min="9476" max="9476" width="40.5703125" style="5" customWidth="1"/>
    <col min="9477" max="9477" width="15.5703125" style="5" customWidth="1"/>
    <col min="9478" max="9478" width="11.42578125" style="5"/>
    <col min="9479" max="9479" width="13.28515625" style="5" customWidth="1"/>
    <col min="9480" max="9480" width="12.5703125" style="5" customWidth="1"/>
    <col min="9481" max="9481" width="15.5703125" style="5" customWidth="1"/>
    <col min="9482" max="9482" width="16" style="5" customWidth="1"/>
    <col min="9483" max="9729" width="11.42578125" style="5"/>
    <col min="9730" max="9730" width="16.28515625" style="5" customWidth="1"/>
    <col min="9731" max="9731" width="13.28515625" style="5" customWidth="1"/>
    <col min="9732" max="9732" width="40.5703125" style="5" customWidth="1"/>
    <col min="9733" max="9733" width="15.5703125" style="5" customWidth="1"/>
    <col min="9734" max="9734" width="11.42578125" style="5"/>
    <col min="9735" max="9735" width="13.28515625" style="5" customWidth="1"/>
    <col min="9736" max="9736" width="12.5703125" style="5" customWidth="1"/>
    <col min="9737" max="9737" width="15.5703125" style="5" customWidth="1"/>
    <col min="9738" max="9738" width="16" style="5" customWidth="1"/>
    <col min="9739" max="9985" width="11.42578125" style="5"/>
    <col min="9986" max="9986" width="16.28515625" style="5" customWidth="1"/>
    <col min="9987" max="9987" width="13.28515625" style="5" customWidth="1"/>
    <col min="9988" max="9988" width="40.5703125" style="5" customWidth="1"/>
    <col min="9989" max="9989" width="15.5703125" style="5" customWidth="1"/>
    <col min="9990" max="9990" width="11.42578125" style="5"/>
    <col min="9991" max="9991" width="13.28515625" style="5" customWidth="1"/>
    <col min="9992" max="9992" width="12.5703125" style="5" customWidth="1"/>
    <col min="9993" max="9993" width="15.5703125" style="5" customWidth="1"/>
    <col min="9994" max="9994" width="16" style="5" customWidth="1"/>
    <col min="9995" max="10241" width="11.42578125" style="5"/>
    <col min="10242" max="10242" width="16.28515625" style="5" customWidth="1"/>
    <col min="10243" max="10243" width="13.28515625" style="5" customWidth="1"/>
    <col min="10244" max="10244" width="40.5703125" style="5" customWidth="1"/>
    <col min="10245" max="10245" width="15.5703125" style="5" customWidth="1"/>
    <col min="10246" max="10246" width="11.42578125" style="5"/>
    <col min="10247" max="10247" width="13.28515625" style="5" customWidth="1"/>
    <col min="10248" max="10248" width="12.5703125" style="5" customWidth="1"/>
    <col min="10249" max="10249" width="15.5703125" style="5" customWidth="1"/>
    <col min="10250" max="10250" width="16" style="5" customWidth="1"/>
    <col min="10251" max="10497" width="11.42578125" style="5"/>
    <col min="10498" max="10498" width="16.28515625" style="5" customWidth="1"/>
    <col min="10499" max="10499" width="13.28515625" style="5" customWidth="1"/>
    <col min="10500" max="10500" width="40.5703125" style="5" customWidth="1"/>
    <col min="10501" max="10501" width="15.5703125" style="5" customWidth="1"/>
    <col min="10502" max="10502" width="11.42578125" style="5"/>
    <col min="10503" max="10503" width="13.28515625" style="5" customWidth="1"/>
    <col min="10504" max="10504" width="12.5703125" style="5" customWidth="1"/>
    <col min="10505" max="10505" width="15.5703125" style="5" customWidth="1"/>
    <col min="10506" max="10506" width="16" style="5" customWidth="1"/>
    <col min="10507" max="10753" width="11.42578125" style="5"/>
    <col min="10754" max="10754" width="16.28515625" style="5" customWidth="1"/>
    <col min="10755" max="10755" width="13.28515625" style="5" customWidth="1"/>
    <col min="10756" max="10756" width="40.5703125" style="5" customWidth="1"/>
    <col min="10757" max="10757" width="15.5703125" style="5" customWidth="1"/>
    <col min="10758" max="10758" width="11.42578125" style="5"/>
    <col min="10759" max="10759" width="13.28515625" style="5" customWidth="1"/>
    <col min="10760" max="10760" width="12.5703125" style="5" customWidth="1"/>
    <col min="10761" max="10761" width="15.5703125" style="5" customWidth="1"/>
    <col min="10762" max="10762" width="16" style="5" customWidth="1"/>
    <col min="10763" max="11009" width="11.42578125" style="5"/>
    <col min="11010" max="11010" width="16.28515625" style="5" customWidth="1"/>
    <col min="11011" max="11011" width="13.28515625" style="5" customWidth="1"/>
    <col min="11012" max="11012" width="40.5703125" style="5" customWidth="1"/>
    <col min="11013" max="11013" width="15.5703125" style="5" customWidth="1"/>
    <col min="11014" max="11014" width="11.42578125" style="5"/>
    <col min="11015" max="11015" width="13.28515625" style="5" customWidth="1"/>
    <col min="11016" max="11016" width="12.5703125" style="5" customWidth="1"/>
    <col min="11017" max="11017" width="15.5703125" style="5" customWidth="1"/>
    <col min="11018" max="11018" width="16" style="5" customWidth="1"/>
    <col min="11019" max="11265" width="11.42578125" style="5"/>
    <col min="11266" max="11266" width="16.28515625" style="5" customWidth="1"/>
    <col min="11267" max="11267" width="13.28515625" style="5" customWidth="1"/>
    <col min="11268" max="11268" width="40.5703125" style="5" customWidth="1"/>
    <col min="11269" max="11269" width="15.5703125" style="5" customWidth="1"/>
    <col min="11270" max="11270" width="11.42578125" style="5"/>
    <col min="11271" max="11271" width="13.28515625" style="5" customWidth="1"/>
    <col min="11272" max="11272" width="12.5703125" style="5" customWidth="1"/>
    <col min="11273" max="11273" width="15.5703125" style="5" customWidth="1"/>
    <col min="11274" max="11274" width="16" style="5" customWidth="1"/>
    <col min="11275" max="11521" width="11.42578125" style="5"/>
    <col min="11522" max="11522" width="16.28515625" style="5" customWidth="1"/>
    <col min="11523" max="11523" width="13.28515625" style="5" customWidth="1"/>
    <col min="11524" max="11524" width="40.5703125" style="5" customWidth="1"/>
    <col min="11525" max="11525" width="15.5703125" style="5" customWidth="1"/>
    <col min="11526" max="11526" width="11.42578125" style="5"/>
    <col min="11527" max="11527" width="13.28515625" style="5" customWidth="1"/>
    <col min="11528" max="11528" width="12.5703125" style="5" customWidth="1"/>
    <col min="11529" max="11529" width="15.5703125" style="5" customWidth="1"/>
    <col min="11530" max="11530" width="16" style="5" customWidth="1"/>
    <col min="11531" max="11777" width="11.42578125" style="5"/>
    <col min="11778" max="11778" width="16.28515625" style="5" customWidth="1"/>
    <col min="11779" max="11779" width="13.28515625" style="5" customWidth="1"/>
    <col min="11780" max="11780" width="40.5703125" style="5" customWidth="1"/>
    <col min="11781" max="11781" width="15.5703125" style="5" customWidth="1"/>
    <col min="11782" max="11782" width="11.42578125" style="5"/>
    <col min="11783" max="11783" width="13.28515625" style="5" customWidth="1"/>
    <col min="11784" max="11784" width="12.5703125" style="5" customWidth="1"/>
    <col min="11785" max="11785" width="15.5703125" style="5" customWidth="1"/>
    <col min="11786" max="11786" width="16" style="5" customWidth="1"/>
    <col min="11787" max="12033" width="11.42578125" style="5"/>
    <col min="12034" max="12034" width="16.28515625" style="5" customWidth="1"/>
    <col min="12035" max="12035" width="13.28515625" style="5" customWidth="1"/>
    <col min="12036" max="12036" width="40.5703125" style="5" customWidth="1"/>
    <col min="12037" max="12037" width="15.5703125" style="5" customWidth="1"/>
    <col min="12038" max="12038" width="11.42578125" style="5"/>
    <col min="12039" max="12039" width="13.28515625" style="5" customWidth="1"/>
    <col min="12040" max="12040" width="12.5703125" style="5" customWidth="1"/>
    <col min="12041" max="12041" width="15.5703125" style="5" customWidth="1"/>
    <col min="12042" max="12042" width="16" style="5" customWidth="1"/>
    <col min="12043" max="12289" width="11.42578125" style="5"/>
    <col min="12290" max="12290" width="16.28515625" style="5" customWidth="1"/>
    <col min="12291" max="12291" width="13.28515625" style="5" customWidth="1"/>
    <col min="12292" max="12292" width="40.5703125" style="5" customWidth="1"/>
    <col min="12293" max="12293" width="15.5703125" style="5" customWidth="1"/>
    <col min="12294" max="12294" width="11.42578125" style="5"/>
    <col min="12295" max="12295" width="13.28515625" style="5" customWidth="1"/>
    <col min="12296" max="12296" width="12.5703125" style="5" customWidth="1"/>
    <col min="12297" max="12297" width="15.5703125" style="5" customWidth="1"/>
    <col min="12298" max="12298" width="16" style="5" customWidth="1"/>
    <col min="12299" max="12545" width="11.42578125" style="5"/>
    <col min="12546" max="12546" width="16.28515625" style="5" customWidth="1"/>
    <col min="12547" max="12547" width="13.28515625" style="5" customWidth="1"/>
    <col min="12548" max="12548" width="40.5703125" style="5" customWidth="1"/>
    <col min="12549" max="12549" width="15.5703125" style="5" customWidth="1"/>
    <col min="12550" max="12550" width="11.42578125" style="5"/>
    <col min="12551" max="12551" width="13.28515625" style="5" customWidth="1"/>
    <col min="12552" max="12552" width="12.5703125" style="5" customWidth="1"/>
    <col min="12553" max="12553" width="15.5703125" style="5" customWidth="1"/>
    <col min="12554" max="12554" width="16" style="5" customWidth="1"/>
    <col min="12555" max="12801" width="11.42578125" style="5"/>
    <col min="12802" max="12802" width="16.28515625" style="5" customWidth="1"/>
    <col min="12803" max="12803" width="13.28515625" style="5" customWidth="1"/>
    <col min="12804" max="12804" width="40.5703125" style="5" customWidth="1"/>
    <col min="12805" max="12805" width="15.5703125" style="5" customWidth="1"/>
    <col min="12806" max="12806" width="11.42578125" style="5"/>
    <col min="12807" max="12807" width="13.28515625" style="5" customWidth="1"/>
    <col min="12808" max="12808" width="12.5703125" style="5" customWidth="1"/>
    <col min="12809" max="12809" width="15.5703125" style="5" customWidth="1"/>
    <col min="12810" max="12810" width="16" style="5" customWidth="1"/>
    <col min="12811" max="13057" width="11.42578125" style="5"/>
    <col min="13058" max="13058" width="16.28515625" style="5" customWidth="1"/>
    <col min="13059" max="13059" width="13.28515625" style="5" customWidth="1"/>
    <col min="13060" max="13060" width="40.5703125" style="5" customWidth="1"/>
    <col min="13061" max="13061" width="15.5703125" style="5" customWidth="1"/>
    <col min="13062" max="13062" width="11.42578125" style="5"/>
    <col min="13063" max="13063" width="13.28515625" style="5" customWidth="1"/>
    <col min="13064" max="13064" width="12.5703125" style="5" customWidth="1"/>
    <col min="13065" max="13065" width="15.5703125" style="5" customWidth="1"/>
    <col min="13066" max="13066" width="16" style="5" customWidth="1"/>
    <col min="13067" max="13313" width="11.42578125" style="5"/>
    <col min="13314" max="13314" width="16.28515625" style="5" customWidth="1"/>
    <col min="13315" max="13315" width="13.28515625" style="5" customWidth="1"/>
    <col min="13316" max="13316" width="40.5703125" style="5" customWidth="1"/>
    <col min="13317" max="13317" width="15.5703125" style="5" customWidth="1"/>
    <col min="13318" max="13318" width="11.42578125" style="5"/>
    <col min="13319" max="13319" width="13.28515625" style="5" customWidth="1"/>
    <col min="13320" max="13320" width="12.5703125" style="5" customWidth="1"/>
    <col min="13321" max="13321" width="15.5703125" style="5" customWidth="1"/>
    <col min="13322" max="13322" width="16" style="5" customWidth="1"/>
    <col min="13323" max="13569" width="11.42578125" style="5"/>
    <col min="13570" max="13570" width="16.28515625" style="5" customWidth="1"/>
    <col min="13571" max="13571" width="13.28515625" style="5" customWidth="1"/>
    <col min="13572" max="13572" width="40.5703125" style="5" customWidth="1"/>
    <col min="13573" max="13573" width="15.5703125" style="5" customWidth="1"/>
    <col min="13574" max="13574" width="11.42578125" style="5"/>
    <col min="13575" max="13575" width="13.28515625" style="5" customWidth="1"/>
    <col min="13576" max="13576" width="12.5703125" style="5" customWidth="1"/>
    <col min="13577" max="13577" width="15.5703125" style="5" customWidth="1"/>
    <col min="13578" max="13578" width="16" style="5" customWidth="1"/>
    <col min="13579" max="13825" width="11.42578125" style="5"/>
    <col min="13826" max="13826" width="16.28515625" style="5" customWidth="1"/>
    <col min="13827" max="13827" width="13.28515625" style="5" customWidth="1"/>
    <col min="13828" max="13828" width="40.5703125" style="5" customWidth="1"/>
    <col min="13829" max="13829" width="15.5703125" style="5" customWidth="1"/>
    <col min="13830" max="13830" width="11.42578125" style="5"/>
    <col min="13831" max="13831" width="13.28515625" style="5" customWidth="1"/>
    <col min="13832" max="13832" width="12.5703125" style="5" customWidth="1"/>
    <col min="13833" max="13833" width="15.5703125" style="5" customWidth="1"/>
    <col min="13834" max="13834" width="16" style="5" customWidth="1"/>
    <col min="13835" max="14081" width="11.42578125" style="5"/>
    <col min="14082" max="14082" width="16.28515625" style="5" customWidth="1"/>
    <col min="14083" max="14083" width="13.28515625" style="5" customWidth="1"/>
    <col min="14084" max="14084" width="40.5703125" style="5" customWidth="1"/>
    <col min="14085" max="14085" width="15.5703125" style="5" customWidth="1"/>
    <col min="14086" max="14086" width="11.42578125" style="5"/>
    <col min="14087" max="14087" width="13.28515625" style="5" customWidth="1"/>
    <col min="14088" max="14088" width="12.5703125" style="5" customWidth="1"/>
    <col min="14089" max="14089" width="15.5703125" style="5" customWidth="1"/>
    <col min="14090" max="14090" width="16" style="5" customWidth="1"/>
    <col min="14091" max="14337" width="11.42578125" style="5"/>
    <col min="14338" max="14338" width="16.28515625" style="5" customWidth="1"/>
    <col min="14339" max="14339" width="13.28515625" style="5" customWidth="1"/>
    <col min="14340" max="14340" width="40.5703125" style="5" customWidth="1"/>
    <col min="14341" max="14341" width="15.5703125" style="5" customWidth="1"/>
    <col min="14342" max="14342" width="11.42578125" style="5"/>
    <col min="14343" max="14343" width="13.28515625" style="5" customWidth="1"/>
    <col min="14344" max="14344" width="12.5703125" style="5" customWidth="1"/>
    <col min="14345" max="14345" width="15.5703125" style="5" customWidth="1"/>
    <col min="14346" max="14346" width="16" style="5" customWidth="1"/>
    <col min="14347" max="14593" width="11.42578125" style="5"/>
    <col min="14594" max="14594" width="16.28515625" style="5" customWidth="1"/>
    <col min="14595" max="14595" width="13.28515625" style="5" customWidth="1"/>
    <col min="14596" max="14596" width="40.5703125" style="5" customWidth="1"/>
    <col min="14597" max="14597" width="15.5703125" style="5" customWidth="1"/>
    <col min="14598" max="14598" width="11.42578125" style="5"/>
    <col min="14599" max="14599" width="13.28515625" style="5" customWidth="1"/>
    <col min="14600" max="14600" width="12.5703125" style="5" customWidth="1"/>
    <col min="14601" max="14601" width="15.5703125" style="5" customWidth="1"/>
    <col min="14602" max="14602" width="16" style="5" customWidth="1"/>
    <col min="14603" max="14849" width="11.42578125" style="5"/>
    <col min="14850" max="14850" width="16.28515625" style="5" customWidth="1"/>
    <col min="14851" max="14851" width="13.28515625" style="5" customWidth="1"/>
    <col min="14852" max="14852" width="40.5703125" style="5" customWidth="1"/>
    <col min="14853" max="14853" width="15.5703125" style="5" customWidth="1"/>
    <col min="14854" max="14854" width="11.42578125" style="5"/>
    <col min="14855" max="14855" width="13.28515625" style="5" customWidth="1"/>
    <col min="14856" max="14856" width="12.5703125" style="5" customWidth="1"/>
    <col min="14857" max="14857" width="15.5703125" style="5" customWidth="1"/>
    <col min="14858" max="14858" width="16" style="5" customWidth="1"/>
    <col min="14859" max="15105" width="11.42578125" style="5"/>
    <col min="15106" max="15106" width="16.28515625" style="5" customWidth="1"/>
    <col min="15107" max="15107" width="13.28515625" style="5" customWidth="1"/>
    <col min="15108" max="15108" width="40.5703125" style="5" customWidth="1"/>
    <col min="15109" max="15109" width="15.5703125" style="5" customWidth="1"/>
    <col min="15110" max="15110" width="11.42578125" style="5"/>
    <col min="15111" max="15111" width="13.28515625" style="5" customWidth="1"/>
    <col min="15112" max="15112" width="12.5703125" style="5" customWidth="1"/>
    <col min="15113" max="15113" width="15.5703125" style="5" customWidth="1"/>
    <col min="15114" max="15114" width="16" style="5" customWidth="1"/>
    <col min="15115" max="15361" width="11.42578125" style="5"/>
    <col min="15362" max="15362" width="16.28515625" style="5" customWidth="1"/>
    <col min="15363" max="15363" width="13.28515625" style="5" customWidth="1"/>
    <col min="15364" max="15364" width="40.5703125" style="5" customWidth="1"/>
    <col min="15365" max="15365" width="15.5703125" style="5" customWidth="1"/>
    <col min="15366" max="15366" width="11.42578125" style="5"/>
    <col min="15367" max="15367" width="13.28515625" style="5" customWidth="1"/>
    <col min="15368" max="15368" width="12.5703125" style="5" customWidth="1"/>
    <col min="15369" max="15369" width="15.5703125" style="5" customWidth="1"/>
    <col min="15370" max="15370" width="16" style="5" customWidth="1"/>
    <col min="15371" max="15617" width="11.42578125" style="5"/>
    <col min="15618" max="15618" width="16.28515625" style="5" customWidth="1"/>
    <col min="15619" max="15619" width="13.28515625" style="5" customWidth="1"/>
    <col min="15620" max="15620" width="40.5703125" style="5" customWidth="1"/>
    <col min="15621" max="15621" width="15.5703125" style="5" customWidth="1"/>
    <col min="15622" max="15622" width="11.42578125" style="5"/>
    <col min="15623" max="15623" width="13.28515625" style="5" customWidth="1"/>
    <col min="15624" max="15624" width="12.5703125" style="5" customWidth="1"/>
    <col min="15625" max="15625" width="15.5703125" style="5" customWidth="1"/>
    <col min="15626" max="15626" width="16" style="5" customWidth="1"/>
    <col min="15627" max="15873" width="11.42578125" style="5"/>
    <col min="15874" max="15874" width="16.28515625" style="5" customWidth="1"/>
    <col min="15875" max="15875" width="13.28515625" style="5" customWidth="1"/>
    <col min="15876" max="15876" width="40.5703125" style="5" customWidth="1"/>
    <col min="15877" max="15877" width="15.5703125" style="5" customWidth="1"/>
    <col min="15878" max="15878" width="11.42578125" style="5"/>
    <col min="15879" max="15879" width="13.28515625" style="5" customWidth="1"/>
    <col min="15880" max="15880" width="12.5703125" style="5" customWidth="1"/>
    <col min="15881" max="15881" width="15.5703125" style="5" customWidth="1"/>
    <col min="15882" max="15882" width="16" style="5" customWidth="1"/>
    <col min="15883" max="16129" width="11.42578125" style="5"/>
    <col min="16130" max="16130" width="16.28515625" style="5" customWidth="1"/>
    <col min="16131" max="16131" width="13.28515625" style="5" customWidth="1"/>
    <col min="16132" max="16132" width="40.5703125" style="5" customWidth="1"/>
    <col min="16133" max="16133" width="15.5703125" style="5" customWidth="1"/>
    <col min="16134" max="16134" width="11.42578125" style="5"/>
    <col min="16135" max="16135" width="13.28515625" style="5" customWidth="1"/>
    <col min="16136" max="16136" width="12.5703125" style="5" customWidth="1"/>
    <col min="16137" max="16137" width="15.5703125" style="5" customWidth="1"/>
    <col min="16138" max="16138" width="16" style="5" customWidth="1"/>
    <col min="16139" max="16384" width="11.42578125" style="5"/>
  </cols>
  <sheetData>
    <row r="1" spans="1:10" ht="15.75" x14ac:dyDescent="0.25">
      <c r="A1" s="363"/>
      <c r="B1" s="912"/>
      <c r="C1" s="669"/>
      <c r="D1" s="674" t="s">
        <v>35</v>
      </c>
      <c r="E1" s="674"/>
      <c r="F1" s="674"/>
      <c r="G1" s="674"/>
      <c r="H1" s="674"/>
      <c r="I1" s="205" t="s">
        <v>34</v>
      </c>
      <c r="J1" s="206" t="s">
        <v>245</v>
      </c>
    </row>
    <row r="2" spans="1:10" ht="16.5" thickBot="1" x14ac:dyDescent="0.3">
      <c r="A2" s="363"/>
      <c r="B2" s="913"/>
      <c r="C2" s="671"/>
      <c r="D2" s="675" t="s">
        <v>33</v>
      </c>
      <c r="E2" s="675"/>
      <c r="F2" s="675"/>
      <c r="G2" s="675"/>
      <c r="H2" s="675"/>
      <c r="I2" s="207" t="s">
        <v>32</v>
      </c>
      <c r="J2" s="208" t="s">
        <v>246</v>
      </c>
    </row>
    <row r="3" spans="1:10" ht="50.1" customHeight="1" thickBot="1" x14ac:dyDescent="0.3">
      <c r="A3" s="363"/>
      <c r="B3" s="913"/>
      <c r="C3" s="671"/>
      <c r="D3" s="818" t="s">
        <v>247</v>
      </c>
      <c r="E3" s="819"/>
      <c r="F3" s="819"/>
      <c r="G3" s="819"/>
      <c r="H3" s="820"/>
      <c r="I3" s="653" t="s">
        <v>31</v>
      </c>
      <c r="J3" s="643">
        <v>44320</v>
      </c>
    </row>
    <row r="4" spans="1:10" x14ac:dyDescent="0.25">
      <c r="A4" s="363"/>
      <c r="B4" s="913"/>
      <c r="C4" s="671"/>
      <c r="D4" s="209" t="s">
        <v>30</v>
      </c>
      <c r="E4" s="811" t="s">
        <v>172</v>
      </c>
      <c r="F4" s="812"/>
      <c r="G4" s="812"/>
      <c r="H4" s="813"/>
      <c r="I4" s="654"/>
      <c r="J4" s="644"/>
    </row>
    <row r="5" spans="1:10" ht="15" customHeight="1" thickBot="1" x14ac:dyDescent="0.3">
      <c r="A5" s="363"/>
      <c r="B5" s="914"/>
      <c r="C5" s="673"/>
      <c r="D5" s="210" t="s">
        <v>29</v>
      </c>
      <c r="E5" s="814" t="s">
        <v>28</v>
      </c>
      <c r="F5" s="815"/>
      <c r="G5" s="815"/>
      <c r="H5" s="816"/>
      <c r="I5" s="655"/>
      <c r="J5" s="644"/>
    </row>
    <row r="6" spans="1:10" ht="25.5" x14ac:dyDescent="0.25">
      <c r="A6" s="909" t="s">
        <v>23</v>
      </c>
      <c r="B6" s="909" t="s">
        <v>23</v>
      </c>
      <c r="C6" s="664" t="s">
        <v>36</v>
      </c>
      <c r="D6" s="666" t="s">
        <v>22</v>
      </c>
      <c r="E6" s="666" t="s">
        <v>21</v>
      </c>
      <c r="F6" s="666" t="s">
        <v>20</v>
      </c>
      <c r="G6" s="666"/>
      <c r="H6" s="666" t="s">
        <v>19</v>
      </c>
      <c r="I6" s="666"/>
      <c r="J6" s="335" t="s">
        <v>18</v>
      </c>
    </row>
    <row r="7" spans="1:10" ht="27" thickBot="1" x14ac:dyDescent="0.3">
      <c r="A7" s="910"/>
      <c r="B7" s="910"/>
      <c r="C7" s="665"/>
      <c r="D7" s="911"/>
      <c r="E7" s="911"/>
      <c r="F7" s="336" t="s">
        <v>15</v>
      </c>
      <c r="G7" s="337" t="s">
        <v>17</v>
      </c>
      <c r="H7" s="336" t="s">
        <v>15</v>
      </c>
      <c r="I7" s="337" t="s">
        <v>17</v>
      </c>
      <c r="J7" s="364" t="s">
        <v>16</v>
      </c>
    </row>
    <row r="8" spans="1:10" x14ac:dyDescent="0.25">
      <c r="A8" s="365" t="s">
        <v>248</v>
      </c>
      <c r="B8" s="366"/>
      <c r="C8" s="366"/>
      <c r="D8" s="367"/>
      <c r="E8" s="368"/>
      <c r="F8" s="11"/>
      <c r="G8" s="28"/>
      <c r="H8" s="29"/>
      <c r="I8" s="11"/>
      <c r="J8" s="369"/>
    </row>
    <row r="9" spans="1:10" ht="15.75" x14ac:dyDescent="0.25">
      <c r="A9" s="365">
        <v>310148</v>
      </c>
      <c r="B9" s="231">
        <v>310148</v>
      </c>
      <c r="C9" s="200" t="s">
        <v>249</v>
      </c>
      <c r="D9" s="232" t="s">
        <v>250</v>
      </c>
      <c r="E9" s="370" t="s">
        <v>251</v>
      </c>
      <c r="F9" s="371">
        <v>16000</v>
      </c>
      <c r="G9" s="372" t="s">
        <v>2</v>
      </c>
      <c r="H9" s="901" t="s">
        <v>252</v>
      </c>
      <c r="I9" s="902"/>
      <c r="J9" s="344"/>
    </row>
    <row r="10" spans="1:10" ht="15.75" x14ac:dyDescent="0.25">
      <c r="A10" s="365">
        <v>11400031</v>
      </c>
      <c r="B10" s="231">
        <v>11400031</v>
      </c>
      <c r="C10" s="200" t="s">
        <v>237</v>
      </c>
      <c r="D10" s="232" t="s">
        <v>238</v>
      </c>
      <c r="E10" s="370" t="s">
        <v>251</v>
      </c>
      <c r="F10" s="371">
        <v>4000</v>
      </c>
      <c r="G10" s="372" t="s">
        <v>2</v>
      </c>
      <c r="H10" s="901" t="s">
        <v>253</v>
      </c>
      <c r="I10" s="902"/>
      <c r="J10" s="344"/>
    </row>
    <row r="11" spans="1:10" ht="15.75" x14ac:dyDescent="0.25">
      <c r="A11" s="365">
        <v>10415</v>
      </c>
      <c r="B11" s="222" t="s">
        <v>181</v>
      </c>
      <c r="C11" s="222"/>
      <c r="D11" s="223" t="s">
        <v>182</v>
      </c>
      <c r="E11" s="370" t="s">
        <v>254</v>
      </c>
      <c r="F11" s="371">
        <v>1000</v>
      </c>
      <c r="G11" s="372" t="s">
        <v>2</v>
      </c>
      <c r="H11" s="371"/>
      <c r="I11" s="293"/>
      <c r="J11" s="344"/>
    </row>
    <row r="12" spans="1:10" ht="15.75" x14ac:dyDescent="0.25">
      <c r="A12" s="365">
        <v>1212410</v>
      </c>
      <c r="B12" s="231">
        <v>1212410</v>
      </c>
      <c r="C12" s="200" t="s">
        <v>210</v>
      </c>
      <c r="D12" s="232" t="s">
        <v>211</v>
      </c>
      <c r="E12" s="370" t="s">
        <v>241</v>
      </c>
      <c r="F12" s="371">
        <v>15</v>
      </c>
      <c r="G12" s="372" t="s">
        <v>2</v>
      </c>
      <c r="H12" s="371"/>
      <c r="I12" s="293"/>
      <c r="J12" s="344"/>
    </row>
    <row r="13" spans="1:10" ht="15.75" x14ac:dyDescent="0.25">
      <c r="A13" s="365">
        <v>702069</v>
      </c>
      <c r="B13" s="231">
        <v>702123</v>
      </c>
      <c r="C13" s="231" t="s">
        <v>68</v>
      </c>
      <c r="D13" s="232" t="s">
        <v>155</v>
      </c>
      <c r="E13" s="370" t="s">
        <v>255</v>
      </c>
      <c r="F13" s="371">
        <v>1</v>
      </c>
      <c r="G13" s="373" t="s">
        <v>7</v>
      </c>
      <c r="H13" s="342"/>
      <c r="I13" s="343"/>
      <c r="J13" s="344"/>
    </row>
    <row r="14" spans="1:10" ht="16.5" thickBot="1" x14ac:dyDescent="0.3">
      <c r="A14" s="363"/>
      <c r="B14" s="374"/>
      <c r="C14" s="374"/>
      <c r="D14" s="375"/>
      <c r="E14" s="376"/>
      <c r="F14" s="377"/>
      <c r="G14" s="378"/>
      <c r="H14" s="379"/>
      <c r="I14" s="380"/>
      <c r="J14" s="381"/>
    </row>
    <row r="15" spans="1:10" ht="15.75" x14ac:dyDescent="0.25">
      <c r="B15" s="382"/>
      <c r="C15" s="383"/>
      <c r="D15" s="384"/>
      <c r="E15" s="385"/>
      <c r="F15" s="386"/>
      <c r="G15" s="387"/>
      <c r="H15" s="388"/>
      <c r="I15" s="389"/>
      <c r="J15" s="390"/>
    </row>
    <row r="16" spans="1:10" ht="15.75" x14ac:dyDescent="0.25">
      <c r="B16" s="391"/>
      <c r="C16" s="392"/>
      <c r="D16" s="393"/>
      <c r="E16" s="394"/>
      <c r="F16" s="395"/>
      <c r="G16" s="396"/>
      <c r="H16" s="397"/>
      <c r="I16" s="398"/>
      <c r="J16" s="399"/>
    </row>
    <row r="17" spans="2:14" ht="15.75" x14ac:dyDescent="0.25">
      <c r="B17" s="391"/>
      <c r="C17" s="392"/>
      <c r="D17" s="393"/>
      <c r="E17" s="394"/>
      <c r="F17" s="395"/>
      <c r="G17" s="396"/>
      <c r="H17" s="397"/>
      <c r="I17" s="398"/>
      <c r="J17" s="399"/>
    </row>
    <row r="18" spans="2:14" ht="15.75" x14ac:dyDescent="0.25">
      <c r="B18" s="391"/>
      <c r="C18" s="392"/>
      <c r="D18" s="393"/>
      <c r="E18" s="394"/>
      <c r="F18" s="395"/>
      <c r="G18" s="396"/>
      <c r="H18" s="397"/>
      <c r="I18" s="398"/>
      <c r="J18" s="399"/>
    </row>
    <row r="19" spans="2:14" ht="15.75" x14ac:dyDescent="0.25">
      <c r="B19" s="391"/>
      <c r="C19" s="392"/>
      <c r="D19" s="393"/>
      <c r="E19" s="394"/>
      <c r="F19" s="395"/>
      <c r="G19" s="396"/>
      <c r="H19" s="397"/>
      <c r="I19" s="398"/>
      <c r="J19" s="399"/>
    </row>
    <row r="20" spans="2:14" ht="15.75" x14ac:dyDescent="0.25">
      <c r="B20" s="391"/>
      <c r="C20" s="392"/>
      <c r="D20" s="393"/>
      <c r="E20" s="394"/>
      <c r="F20" s="395"/>
      <c r="G20" s="396"/>
      <c r="H20" s="397"/>
      <c r="I20" s="398"/>
      <c r="J20" s="399"/>
    </row>
    <row r="21" spans="2:14" ht="15.75" x14ac:dyDescent="0.25">
      <c r="B21" s="391"/>
      <c r="C21" s="392"/>
      <c r="D21" s="393"/>
      <c r="E21" s="394"/>
      <c r="F21" s="395"/>
      <c r="G21" s="396"/>
      <c r="H21" s="397"/>
      <c r="I21" s="398"/>
      <c r="J21" s="399"/>
    </row>
    <row r="22" spans="2:14" ht="15.75" x14ac:dyDescent="0.25">
      <c r="B22" s="391"/>
      <c r="C22" s="392"/>
      <c r="D22" s="393"/>
      <c r="E22" s="394"/>
      <c r="F22" s="395"/>
      <c r="G22" s="396"/>
      <c r="H22" s="397"/>
      <c r="I22" s="398"/>
      <c r="J22" s="399"/>
    </row>
    <row r="23" spans="2:14" ht="15.75" x14ac:dyDescent="0.25">
      <c r="B23" s="391"/>
      <c r="C23" s="392"/>
      <c r="D23" s="393"/>
      <c r="E23" s="394"/>
      <c r="F23" s="395"/>
      <c r="G23" s="396"/>
      <c r="H23" s="397"/>
      <c r="I23" s="398"/>
      <c r="J23" s="399"/>
    </row>
    <row r="24" spans="2:14" ht="15.75" x14ac:dyDescent="0.25">
      <c r="B24" s="391"/>
      <c r="C24" s="392"/>
      <c r="D24" s="393"/>
      <c r="E24" s="394"/>
      <c r="F24" s="395"/>
      <c r="G24" s="396"/>
      <c r="H24" s="397"/>
      <c r="I24" s="398"/>
      <c r="J24" s="399"/>
    </row>
    <row r="25" spans="2:14" ht="15.75" x14ac:dyDescent="0.25">
      <c r="B25" s="391"/>
      <c r="C25" s="392"/>
      <c r="D25" s="393"/>
      <c r="E25" s="394"/>
      <c r="F25" s="395"/>
      <c r="G25" s="396"/>
      <c r="H25" s="397"/>
      <c r="I25" s="398"/>
      <c r="J25" s="399"/>
    </row>
    <row r="26" spans="2:14" ht="15.75" thickBot="1" x14ac:dyDescent="0.3">
      <c r="B26" s="400"/>
      <c r="C26" s="401"/>
      <c r="D26" s="402"/>
      <c r="E26" s="403"/>
      <c r="F26" s="404"/>
      <c r="G26" s="404"/>
      <c r="H26" s="404"/>
      <c r="I26" s="404"/>
      <c r="J26" s="405"/>
    </row>
    <row r="27" spans="2:14" ht="14.25" thickBot="1" x14ac:dyDescent="0.3">
      <c r="B27" s="347"/>
      <c r="C27" s="348"/>
      <c r="F27" s="349"/>
      <c r="G27" s="350"/>
      <c r="J27" s="351"/>
      <c r="M27" s="8"/>
    </row>
    <row r="28" spans="2:14" ht="14.25" thickBot="1" x14ac:dyDescent="0.3">
      <c r="B28" s="352"/>
      <c r="C28" s="353"/>
      <c r="D28" s="354"/>
      <c r="E28" s="355" t="s">
        <v>15</v>
      </c>
      <c r="F28" s="356" t="s">
        <v>14</v>
      </c>
      <c r="G28" s="357"/>
      <c r="H28" s="354"/>
      <c r="I28" s="354"/>
      <c r="J28" s="358"/>
      <c r="M28" s="8"/>
    </row>
    <row r="29" spans="2:14" x14ac:dyDescent="0.25">
      <c r="B29" s="903" t="s">
        <v>13</v>
      </c>
      <c r="C29" s="904"/>
      <c r="D29" s="905"/>
      <c r="E29" s="342">
        <f>SUM(F9:F12)-E33</f>
        <v>20800</v>
      </c>
      <c r="F29" s="359" t="s">
        <v>2</v>
      </c>
      <c r="G29" s="906" t="s">
        <v>12</v>
      </c>
      <c r="H29" s="906"/>
      <c r="I29" s="907"/>
      <c r="J29" s="908"/>
      <c r="M29" s="8"/>
    </row>
    <row r="30" spans="2:14" x14ac:dyDescent="0.25">
      <c r="B30" s="842" t="s">
        <v>11</v>
      </c>
      <c r="C30" s="843"/>
      <c r="D30" s="844"/>
      <c r="E30" s="406">
        <v>10</v>
      </c>
      <c r="F30" s="11" t="s">
        <v>10</v>
      </c>
      <c r="G30" s="845" t="s">
        <v>9</v>
      </c>
      <c r="H30" s="845"/>
      <c r="I30" s="846"/>
      <c r="J30" s="847"/>
      <c r="M30" s="8"/>
    </row>
    <row r="31" spans="2:14" x14ac:dyDescent="0.25">
      <c r="B31" s="842" t="s">
        <v>8</v>
      </c>
      <c r="C31" s="843"/>
      <c r="D31" s="844"/>
      <c r="E31" s="11">
        <v>1</v>
      </c>
      <c r="F31" s="11" t="s">
        <v>256</v>
      </c>
      <c r="G31" s="845" t="s">
        <v>6</v>
      </c>
      <c r="H31" s="845"/>
      <c r="I31" s="846"/>
      <c r="J31" s="847"/>
      <c r="M31" s="8"/>
    </row>
    <row r="32" spans="2:14" x14ac:dyDescent="0.25">
      <c r="B32" s="842" t="s">
        <v>5</v>
      </c>
      <c r="C32" s="843"/>
      <c r="D32" s="844"/>
      <c r="E32" s="29">
        <f>E29</f>
        <v>20800</v>
      </c>
      <c r="F32" s="11" t="s">
        <v>2</v>
      </c>
      <c r="G32" s="918" t="s">
        <v>4</v>
      </c>
      <c r="H32" s="919"/>
      <c r="I32" s="846"/>
      <c r="J32" s="847"/>
      <c r="M32" s="8"/>
      <c r="N32" s="4"/>
    </row>
    <row r="33" spans="2:13" ht="14.25" thickBot="1" x14ac:dyDescent="0.3">
      <c r="B33" s="853" t="s">
        <v>3</v>
      </c>
      <c r="C33" s="854"/>
      <c r="D33" s="855"/>
      <c r="E33" s="407">
        <v>215</v>
      </c>
      <c r="F33" s="361" t="s">
        <v>2</v>
      </c>
      <c r="G33" s="856"/>
      <c r="H33" s="856"/>
      <c r="I33" s="897"/>
      <c r="J33" s="898"/>
      <c r="M33" s="8"/>
    </row>
    <row r="34" spans="2:13" ht="14.25" thickBot="1" x14ac:dyDescent="0.3">
      <c r="B34" s="915" t="s">
        <v>1</v>
      </c>
      <c r="C34" s="916"/>
      <c r="D34" s="916"/>
      <c r="E34" s="916"/>
      <c r="F34" s="916"/>
      <c r="G34" s="916"/>
      <c r="H34" s="916"/>
      <c r="I34" s="916"/>
      <c r="J34" s="917"/>
    </row>
    <row r="35" spans="2:13" ht="16.5" customHeight="1" x14ac:dyDescent="0.25">
      <c r="B35" s="920" t="s">
        <v>257</v>
      </c>
      <c r="C35" s="921"/>
      <c r="D35" s="921"/>
      <c r="E35" s="921"/>
      <c r="F35" s="921"/>
      <c r="G35" s="921"/>
      <c r="H35" s="921"/>
      <c r="I35" s="921"/>
      <c r="J35" s="922"/>
    </row>
    <row r="36" spans="2:13" ht="16.5" customHeight="1" x14ac:dyDescent="0.25">
      <c r="B36" s="920" t="s">
        <v>258</v>
      </c>
      <c r="C36" s="921"/>
      <c r="D36" s="921"/>
      <c r="E36" s="921"/>
      <c r="F36" s="921"/>
      <c r="G36" s="921"/>
      <c r="H36" s="921"/>
      <c r="I36" s="921"/>
      <c r="J36" s="922"/>
    </row>
    <row r="37" spans="2:13" ht="16.5" customHeight="1" x14ac:dyDescent="0.25">
      <c r="B37" s="920" t="s">
        <v>259</v>
      </c>
      <c r="C37" s="921"/>
      <c r="D37" s="921"/>
      <c r="E37" s="921"/>
      <c r="F37" s="921"/>
      <c r="G37" s="921"/>
      <c r="H37" s="921"/>
      <c r="I37" s="921"/>
      <c r="J37" s="922"/>
    </row>
    <row r="38" spans="2:13" ht="16.5" customHeight="1" x14ac:dyDescent="0.25">
      <c r="B38" s="920" t="s">
        <v>260</v>
      </c>
      <c r="C38" s="921"/>
      <c r="D38" s="921"/>
      <c r="E38" s="921"/>
      <c r="F38" s="921"/>
      <c r="G38" s="921"/>
      <c r="H38" s="921"/>
      <c r="I38" s="921"/>
      <c r="J38" s="922"/>
    </row>
    <row r="39" spans="2:13" ht="16.5" customHeight="1" thickBot="1" x14ac:dyDescent="0.3">
      <c r="B39" s="920" t="s">
        <v>261</v>
      </c>
      <c r="C39" s="921"/>
      <c r="D39" s="921"/>
      <c r="E39" s="921"/>
      <c r="F39" s="921"/>
      <c r="G39" s="921"/>
      <c r="H39" s="921"/>
      <c r="I39" s="921"/>
      <c r="J39" s="922"/>
    </row>
    <row r="40" spans="2:13" ht="16.5" customHeight="1" thickBot="1" x14ac:dyDescent="0.3">
      <c r="B40" s="915" t="s">
        <v>262</v>
      </c>
      <c r="C40" s="916"/>
      <c r="D40" s="916"/>
      <c r="E40" s="916"/>
      <c r="F40" s="916"/>
      <c r="G40" s="916"/>
      <c r="H40" s="916"/>
      <c r="I40" s="916"/>
      <c r="J40" s="917"/>
    </row>
    <row r="41" spans="2:13" x14ac:dyDescent="0.25">
      <c r="B41" s="5" t="s">
        <v>263</v>
      </c>
    </row>
    <row r="42" spans="2:13" x14ac:dyDescent="0.25">
      <c r="B42" s="5" t="s">
        <v>264</v>
      </c>
      <c r="D42" s="362"/>
    </row>
  </sheetData>
  <mergeCells count="39">
    <mergeCell ref="B40:J40"/>
    <mergeCell ref="G32:H32"/>
    <mergeCell ref="I32:J32"/>
    <mergeCell ref="B33:D33"/>
    <mergeCell ref="G33:H33"/>
    <mergeCell ref="I33:J33"/>
    <mergeCell ref="B34:J34"/>
    <mergeCell ref="B32:D32"/>
    <mergeCell ref="B35:J35"/>
    <mergeCell ref="B36:J36"/>
    <mergeCell ref="B37:J37"/>
    <mergeCell ref="B38:J38"/>
    <mergeCell ref="B39:J39"/>
    <mergeCell ref="J3:J5"/>
    <mergeCell ref="E4:H4"/>
    <mergeCell ref="E5:H5"/>
    <mergeCell ref="A6:A7"/>
    <mergeCell ref="B6:B7"/>
    <mergeCell ref="C6:C7"/>
    <mergeCell ref="D6:D7"/>
    <mergeCell ref="E6:E7"/>
    <mergeCell ref="F6:G6"/>
    <mergeCell ref="H6:I6"/>
    <mergeCell ref="B1:C5"/>
    <mergeCell ref="D1:H1"/>
    <mergeCell ref="D2:H2"/>
    <mergeCell ref="D3:H3"/>
    <mergeCell ref="I3:I5"/>
    <mergeCell ref="H9:I9"/>
    <mergeCell ref="H10:I10"/>
    <mergeCell ref="B29:D29"/>
    <mergeCell ref="G29:H29"/>
    <mergeCell ref="B31:D31"/>
    <mergeCell ref="G31:H31"/>
    <mergeCell ref="I31:J31"/>
    <mergeCell ref="I29:J29"/>
    <mergeCell ref="B30:D30"/>
    <mergeCell ref="G30:H30"/>
    <mergeCell ref="I30:J3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90DA-6406-4FC7-9A9F-FD5F1B357D38}">
  <dimension ref="B1:N28"/>
  <sheetViews>
    <sheetView workbookViewId="0">
      <selection activeCell="E9" sqref="E9"/>
    </sheetView>
  </sheetViews>
  <sheetFormatPr baseColWidth="10" defaultRowHeight="13.5" x14ac:dyDescent="0.25"/>
  <cols>
    <col min="1" max="1" width="11.42578125" style="5"/>
    <col min="2" max="2" width="16.28515625" style="5" customWidth="1"/>
    <col min="3" max="3" width="13.5703125" style="5" customWidth="1"/>
    <col min="4" max="4" width="40.5703125" style="5" customWidth="1"/>
    <col min="5" max="5" width="15.5703125" style="5" customWidth="1"/>
    <col min="6" max="6" width="11.42578125" style="5"/>
    <col min="7" max="7" width="13.28515625" style="5" customWidth="1"/>
    <col min="8" max="8" width="12.5703125" style="5" customWidth="1"/>
    <col min="9" max="9" width="15.5703125" style="5" customWidth="1"/>
    <col min="10" max="10" width="16" style="5" customWidth="1"/>
    <col min="11" max="257" width="11.42578125" style="5"/>
    <col min="258" max="258" width="16.28515625" style="5" customWidth="1"/>
    <col min="259" max="259" width="13.5703125" style="5" customWidth="1"/>
    <col min="260" max="260" width="40.5703125" style="5" customWidth="1"/>
    <col min="261" max="261" width="15.5703125" style="5" customWidth="1"/>
    <col min="262" max="262" width="11.42578125" style="5"/>
    <col min="263" max="263" width="13.28515625" style="5" customWidth="1"/>
    <col min="264" max="264" width="12.5703125" style="5" customWidth="1"/>
    <col min="265" max="265" width="15.5703125" style="5" customWidth="1"/>
    <col min="266" max="266" width="16" style="5" customWidth="1"/>
    <col min="267" max="513" width="11.42578125" style="5"/>
    <col min="514" max="514" width="16.28515625" style="5" customWidth="1"/>
    <col min="515" max="515" width="13.5703125" style="5" customWidth="1"/>
    <col min="516" max="516" width="40.5703125" style="5" customWidth="1"/>
    <col min="517" max="517" width="15.5703125" style="5" customWidth="1"/>
    <col min="518" max="518" width="11.42578125" style="5"/>
    <col min="519" max="519" width="13.28515625" style="5" customWidth="1"/>
    <col min="520" max="520" width="12.5703125" style="5" customWidth="1"/>
    <col min="521" max="521" width="15.5703125" style="5" customWidth="1"/>
    <col min="522" max="522" width="16" style="5" customWidth="1"/>
    <col min="523" max="769" width="11.42578125" style="5"/>
    <col min="770" max="770" width="16.28515625" style="5" customWidth="1"/>
    <col min="771" max="771" width="13.5703125" style="5" customWidth="1"/>
    <col min="772" max="772" width="40.5703125" style="5" customWidth="1"/>
    <col min="773" max="773" width="15.5703125" style="5" customWidth="1"/>
    <col min="774" max="774" width="11.42578125" style="5"/>
    <col min="775" max="775" width="13.28515625" style="5" customWidth="1"/>
    <col min="776" max="776" width="12.5703125" style="5" customWidth="1"/>
    <col min="777" max="777" width="15.5703125" style="5" customWidth="1"/>
    <col min="778" max="778" width="16" style="5" customWidth="1"/>
    <col min="779" max="1025" width="11.42578125" style="5"/>
    <col min="1026" max="1026" width="16.28515625" style="5" customWidth="1"/>
    <col min="1027" max="1027" width="13.5703125" style="5" customWidth="1"/>
    <col min="1028" max="1028" width="40.5703125" style="5" customWidth="1"/>
    <col min="1029" max="1029" width="15.5703125" style="5" customWidth="1"/>
    <col min="1030" max="1030" width="11.42578125" style="5"/>
    <col min="1031" max="1031" width="13.28515625" style="5" customWidth="1"/>
    <col min="1032" max="1032" width="12.5703125" style="5" customWidth="1"/>
    <col min="1033" max="1033" width="15.5703125" style="5" customWidth="1"/>
    <col min="1034" max="1034" width="16" style="5" customWidth="1"/>
    <col min="1035" max="1281" width="11.42578125" style="5"/>
    <col min="1282" max="1282" width="16.28515625" style="5" customWidth="1"/>
    <col min="1283" max="1283" width="13.5703125" style="5" customWidth="1"/>
    <col min="1284" max="1284" width="40.5703125" style="5" customWidth="1"/>
    <col min="1285" max="1285" width="15.5703125" style="5" customWidth="1"/>
    <col min="1286" max="1286" width="11.42578125" style="5"/>
    <col min="1287" max="1287" width="13.28515625" style="5" customWidth="1"/>
    <col min="1288" max="1288" width="12.5703125" style="5" customWidth="1"/>
    <col min="1289" max="1289" width="15.5703125" style="5" customWidth="1"/>
    <col min="1290" max="1290" width="16" style="5" customWidth="1"/>
    <col min="1291" max="1537" width="11.42578125" style="5"/>
    <col min="1538" max="1538" width="16.28515625" style="5" customWidth="1"/>
    <col min="1539" max="1539" width="13.5703125" style="5" customWidth="1"/>
    <col min="1540" max="1540" width="40.5703125" style="5" customWidth="1"/>
    <col min="1541" max="1541" width="15.5703125" style="5" customWidth="1"/>
    <col min="1542" max="1542" width="11.42578125" style="5"/>
    <col min="1543" max="1543" width="13.28515625" style="5" customWidth="1"/>
    <col min="1544" max="1544" width="12.5703125" style="5" customWidth="1"/>
    <col min="1545" max="1545" width="15.5703125" style="5" customWidth="1"/>
    <col min="1546" max="1546" width="16" style="5" customWidth="1"/>
    <col min="1547" max="1793" width="11.42578125" style="5"/>
    <col min="1794" max="1794" width="16.28515625" style="5" customWidth="1"/>
    <col min="1795" max="1795" width="13.5703125" style="5" customWidth="1"/>
    <col min="1796" max="1796" width="40.5703125" style="5" customWidth="1"/>
    <col min="1797" max="1797" width="15.5703125" style="5" customWidth="1"/>
    <col min="1798" max="1798" width="11.42578125" style="5"/>
    <col min="1799" max="1799" width="13.28515625" style="5" customWidth="1"/>
    <col min="1800" max="1800" width="12.5703125" style="5" customWidth="1"/>
    <col min="1801" max="1801" width="15.5703125" style="5" customWidth="1"/>
    <col min="1802" max="1802" width="16" style="5" customWidth="1"/>
    <col min="1803" max="2049" width="11.42578125" style="5"/>
    <col min="2050" max="2050" width="16.28515625" style="5" customWidth="1"/>
    <col min="2051" max="2051" width="13.5703125" style="5" customWidth="1"/>
    <col min="2052" max="2052" width="40.5703125" style="5" customWidth="1"/>
    <col min="2053" max="2053" width="15.5703125" style="5" customWidth="1"/>
    <col min="2054" max="2054" width="11.42578125" style="5"/>
    <col min="2055" max="2055" width="13.28515625" style="5" customWidth="1"/>
    <col min="2056" max="2056" width="12.5703125" style="5" customWidth="1"/>
    <col min="2057" max="2057" width="15.5703125" style="5" customWidth="1"/>
    <col min="2058" max="2058" width="16" style="5" customWidth="1"/>
    <col min="2059" max="2305" width="11.42578125" style="5"/>
    <col min="2306" max="2306" width="16.28515625" style="5" customWidth="1"/>
    <col min="2307" max="2307" width="13.5703125" style="5" customWidth="1"/>
    <col min="2308" max="2308" width="40.5703125" style="5" customWidth="1"/>
    <col min="2309" max="2309" width="15.5703125" style="5" customWidth="1"/>
    <col min="2310" max="2310" width="11.42578125" style="5"/>
    <col min="2311" max="2311" width="13.28515625" style="5" customWidth="1"/>
    <col min="2312" max="2312" width="12.5703125" style="5" customWidth="1"/>
    <col min="2313" max="2313" width="15.5703125" style="5" customWidth="1"/>
    <col min="2314" max="2314" width="16" style="5" customWidth="1"/>
    <col min="2315" max="2561" width="11.42578125" style="5"/>
    <col min="2562" max="2562" width="16.28515625" style="5" customWidth="1"/>
    <col min="2563" max="2563" width="13.5703125" style="5" customWidth="1"/>
    <col min="2564" max="2564" width="40.5703125" style="5" customWidth="1"/>
    <col min="2565" max="2565" width="15.5703125" style="5" customWidth="1"/>
    <col min="2566" max="2566" width="11.42578125" style="5"/>
    <col min="2567" max="2567" width="13.28515625" style="5" customWidth="1"/>
    <col min="2568" max="2568" width="12.5703125" style="5" customWidth="1"/>
    <col min="2569" max="2569" width="15.5703125" style="5" customWidth="1"/>
    <col min="2570" max="2570" width="16" style="5" customWidth="1"/>
    <col min="2571" max="2817" width="11.42578125" style="5"/>
    <col min="2818" max="2818" width="16.28515625" style="5" customWidth="1"/>
    <col min="2819" max="2819" width="13.5703125" style="5" customWidth="1"/>
    <col min="2820" max="2820" width="40.5703125" style="5" customWidth="1"/>
    <col min="2821" max="2821" width="15.5703125" style="5" customWidth="1"/>
    <col min="2822" max="2822" width="11.42578125" style="5"/>
    <col min="2823" max="2823" width="13.28515625" style="5" customWidth="1"/>
    <col min="2824" max="2824" width="12.5703125" style="5" customWidth="1"/>
    <col min="2825" max="2825" width="15.5703125" style="5" customWidth="1"/>
    <col min="2826" max="2826" width="16" style="5" customWidth="1"/>
    <col min="2827" max="3073" width="11.42578125" style="5"/>
    <col min="3074" max="3074" width="16.28515625" style="5" customWidth="1"/>
    <col min="3075" max="3075" width="13.5703125" style="5" customWidth="1"/>
    <col min="3076" max="3076" width="40.5703125" style="5" customWidth="1"/>
    <col min="3077" max="3077" width="15.5703125" style="5" customWidth="1"/>
    <col min="3078" max="3078" width="11.42578125" style="5"/>
    <col min="3079" max="3079" width="13.28515625" style="5" customWidth="1"/>
    <col min="3080" max="3080" width="12.5703125" style="5" customWidth="1"/>
    <col min="3081" max="3081" width="15.5703125" style="5" customWidth="1"/>
    <col min="3082" max="3082" width="16" style="5" customWidth="1"/>
    <col min="3083" max="3329" width="11.42578125" style="5"/>
    <col min="3330" max="3330" width="16.28515625" style="5" customWidth="1"/>
    <col min="3331" max="3331" width="13.5703125" style="5" customWidth="1"/>
    <col min="3332" max="3332" width="40.5703125" style="5" customWidth="1"/>
    <col min="3333" max="3333" width="15.5703125" style="5" customWidth="1"/>
    <col min="3334" max="3334" width="11.42578125" style="5"/>
    <col min="3335" max="3335" width="13.28515625" style="5" customWidth="1"/>
    <col min="3336" max="3336" width="12.5703125" style="5" customWidth="1"/>
    <col min="3337" max="3337" width="15.5703125" style="5" customWidth="1"/>
    <col min="3338" max="3338" width="16" style="5" customWidth="1"/>
    <col min="3339" max="3585" width="11.42578125" style="5"/>
    <col min="3586" max="3586" width="16.28515625" style="5" customWidth="1"/>
    <col min="3587" max="3587" width="13.5703125" style="5" customWidth="1"/>
    <col min="3588" max="3588" width="40.5703125" style="5" customWidth="1"/>
    <col min="3589" max="3589" width="15.5703125" style="5" customWidth="1"/>
    <col min="3590" max="3590" width="11.42578125" style="5"/>
    <col min="3591" max="3591" width="13.28515625" style="5" customWidth="1"/>
    <col min="3592" max="3592" width="12.5703125" style="5" customWidth="1"/>
    <col min="3593" max="3593" width="15.5703125" style="5" customWidth="1"/>
    <col min="3594" max="3594" width="16" style="5" customWidth="1"/>
    <col min="3595" max="3841" width="11.42578125" style="5"/>
    <col min="3842" max="3842" width="16.28515625" style="5" customWidth="1"/>
    <col min="3843" max="3843" width="13.5703125" style="5" customWidth="1"/>
    <col min="3844" max="3844" width="40.5703125" style="5" customWidth="1"/>
    <col min="3845" max="3845" width="15.5703125" style="5" customWidth="1"/>
    <col min="3846" max="3846" width="11.42578125" style="5"/>
    <col min="3847" max="3847" width="13.28515625" style="5" customWidth="1"/>
    <col min="3848" max="3848" width="12.5703125" style="5" customWidth="1"/>
    <col min="3849" max="3849" width="15.5703125" style="5" customWidth="1"/>
    <col min="3850" max="3850" width="16" style="5" customWidth="1"/>
    <col min="3851" max="4097" width="11.42578125" style="5"/>
    <col min="4098" max="4098" width="16.28515625" style="5" customWidth="1"/>
    <col min="4099" max="4099" width="13.5703125" style="5" customWidth="1"/>
    <col min="4100" max="4100" width="40.5703125" style="5" customWidth="1"/>
    <col min="4101" max="4101" width="15.5703125" style="5" customWidth="1"/>
    <col min="4102" max="4102" width="11.42578125" style="5"/>
    <col min="4103" max="4103" width="13.28515625" style="5" customWidth="1"/>
    <col min="4104" max="4104" width="12.5703125" style="5" customWidth="1"/>
    <col min="4105" max="4105" width="15.5703125" style="5" customWidth="1"/>
    <col min="4106" max="4106" width="16" style="5" customWidth="1"/>
    <col min="4107" max="4353" width="11.42578125" style="5"/>
    <col min="4354" max="4354" width="16.28515625" style="5" customWidth="1"/>
    <col min="4355" max="4355" width="13.5703125" style="5" customWidth="1"/>
    <col min="4356" max="4356" width="40.5703125" style="5" customWidth="1"/>
    <col min="4357" max="4357" width="15.5703125" style="5" customWidth="1"/>
    <col min="4358" max="4358" width="11.42578125" style="5"/>
    <col min="4359" max="4359" width="13.28515625" style="5" customWidth="1"/>
    <col min="4360" max="4360" width="12.5703125" style="5" customWidth="1"/>
    <col min="4361" max="4361" width="15.5703125" style="5" customWidth="1"/>
    <col min="4362" max="4362" width="16" style="5" customWidth="1"/>
    <col min="4363" max="4609" width="11.42578125" style="5"/>
    <col min="4610" max="4610" width="16.28515625" style="5" customWidth="1"/>
    <col min="4611" max="4611" width="13.5703125" style="5" customWidth="1"/>
    <col min="4612" max="4612" width="40.5703125" style="5" customWidth="1"/>
    <col min="4613" max="4613" width="15.5703125" style="5" customWidth="1"/>
    <col min="4614" max="4614" width="11.42578125" style="5"/>
    <col min="4615" max="4615" width="13.28515625" style="5" customWidth="1"/>
    <col min="4616" max="4616" width="12.5703125" style="5" customWidth="1"/>
    <col min="4617" max="4617" width="15.5703125" style="5" customWidth="1"/>
    <col min="4618" max="4618" width="16" style="5" customWidth="1"/>
    <col min="4619" max="4865" width="11.42578125" style="5"/>
    <col min="4866" max="4866" width="16.28515625" style="5" customWidth="1"/>
    <col min="4867" max="4867" width="13.5703125" style="5" customWidth="1"/>
    <col min="4868" max="4868" width="40.5703125" style="5" customWidth="1"/>
    <col min="4869" max="4869" width="15.5703125" style="5" customWidth="1"/>
    <col min="4870" max="4870" width="11.42578125" style="5"/>
    <col min="4871" max="4871" width="13.28515625" style="5" customWidth="1"/>
    <col min="4872" max="4872" width="12.5703125" style="5" customWidth="1"/>
    <col min="4873" max="4873" width="15.5703125" style="5" customWidth="1"/>
    <col min="4874" max="4874" width="16" style="5" customWidth="1"/>
    <col min="4875" max="5121" width="11.42578125" style="5"/>
    <col min="5122" max="5122" width="16.28515625" style="5" customWidth="1"/>
    <col min="5123" max="5123" width="13.5703125" style="5" customWidth="1"/>
    <col min="5124" max="5124" width="40.5703125" style="5" customWidth="1"/>
    <col min="5125" max="5125" width="15.5703125" style="5" customWidth="1"/>
    <col min="5126" max="5126" width="11.42578125" style="5"/>
    <col min="5127" max="5127" width="13.28515625" style="5" customWidth="1"/>
    <col min="5128" max="5128" width="12.5703125" style="5" customWidth="1"/>
    <col min="5129" max="5129" width="15.5703125" style="5" customWidth="1"/>
    <col min="5130" max="5130" width="16" style="5" customWidth="1"/>
    <col min="5131" max="5377" width="11.42578125" style="5"/>
    <col min="5378" max="5378" width="16.28515625" style="5" customWidth="1"/>
    <col min="5379" max="5379" width="13.5703125" style="5" customWidth="1"/>
    <col min="5380" max="5380" width="40.5703125" style="5" customWidth="1"/>
    <col min="5381" max="5381" width="15.5703125" style="5" customWidth="1"/>
    <col min="5382" max="5382" width="11.42578125" style="5"/>
    <col min="5383" max="5383" width="13.28515625" style="5" customWidth="1"/>
    <col min="5384" max="5384" width="12.5703125" style="5" customWidth="1"/>
    <col min="5385" max="5385" width="15.5703125" style="5" customWidth="1"/>
    <col min="5386" max="5386" width="16" style="5" customWidth="1"/>
    <col min="5387" max="5633" width="11.42578125" style="5"/>
    <col min="5634" max="5634" width="16.28515625" style="5" customWidth="1"/>
    <col min="5635" max="5635" width="13.5703125" style="5" customWidth="1"/>
    <col min="5636" max="5636" width="40.5703125" style="5" customWidth="1"/>
    <col min="5637" max="5637" width="15.5703125" style="5" customWidth="1"/>
    <col min="5638" max="5638" width="11.42578125" style="5"/>
    <col min="5639" max="5639" width="13.28515625" style="5" customWidth="1"/>
    <col min="5640" max="5640" width="12.5703125" style="5" customWidth="1"/>
    <col min="5641" max="5641" width="15.5703125" style="5" customWidth="1"/>
    <col min="5642" max="5642" width="16" style="5" customWidth="1"/>
    <col min="5643" max="5889" width="11.42578125" style="5"/>
    <col min="5890" max="5890" width="16.28515625" style="5" customWidth="1"/>
    <col min="5891" max="5891" width="13.5703125" style="5" customWidth="1"/>
    <col min="5892" max="5892" width="40.5703125" style="5" customWidth="1"/>
    <col min="5893" max="5893" width="15.5703125" style="5" customWidth="1"/>
    <col min="5894" max="5894" width="11.42578125" style="5"/>
    <col min="5895" max="5895" width="13.28515625" style="5" customWidth="1"/>
    <col min="5896" max="5896" width="12.5703125" style="5" customWidth="1"/>
    <col min="5897" max="5897" width="15.5703125" style="5" customWidth="1"/>
    <col min="5898" max="5898" width="16" style="5" customWidth="1"/>
    <col min="5899" max="6145" width="11.42578125" style="5"/>
    <col min="6146" max="6146" width="16.28515625" style="5" customWidth="1"/>
    <col min="6147" max="6147" width="13.5703125" style="5" customWidth="1"/>
    <col min="6148" max="6148" width="40.5703125" style="5" customWidth="1"/>
    <col min="6149" max="6149" width="15.5703125" style="5" customWidth="1"/>
    <col min="6150" max="6150" width="11.42578125" style="5"/>
    <col min="6151" max="6151" width="13.28515625" style="5" customWidth="1"/>
    <col min="6152" max="6152" width="12.5703125" style="5" customWidth="1"/>
    <col min="6153" max="6153" width="15.5703125" style="5" customWidth="1"/>
    <col min="6154" max="6154" width="16" style="5" customWidth="1"/>
    <col min="6155" max="6401" width="11.42578125" style="5"/>
    <col min="6402" max="6402" width="16.28515625" style="5" customWidth="1"/>
    <col min="6403" max="6403" width="13.5703125" style="5" customWidth="1"/>
    <col min="6404" max="6404" width="40.5703125" style="5" customWidth="1"/>
    <col min="6405" max="6405" width="15.5703125" style="5" customWidth="1"/>
    <col min="6406" max="6406" width="11.42578125" style="5"/>
    <col min="6407" max="6407" width="13.28515625" style="5" customWidth="1"/>
    <col min="6408" max="6408" width="12.5703125" style="5" customWidth="1"/>
    <col min="6409" max="6409" width="15.5703125" style="5" customWidth="1"/>
    <col min="6410" max="6410" width="16" style="5" customWidth="1"/>
    <col min="6411" max="6657" width="11.42578125" style="5"/>
    <col min="6658" max="6658" width="16.28515625" style="5" customWidth="1"/>
    <col min="6659" max="6659" width="13.5703125" style="5" customWidth="1"/>
    <col min="6660" max="6660" width="40.5703125" style="5" customWidth="1"/>
    <col min="6661" max="6661" width="15.5703125" style="5" customWidth="1"/>
    <col min="6662" max="6662" width="11.42578125" style="5"/>
    <col min="6663" max="6663" width="13.28515625" style="5" customWidth="1"/>
    <col min="6664" max="6664" width="12.5703125" style="5" customWidth="1"/>
    <col min="6665" max="6665" width="15.5703125" style="5" customWidth="1"/>
    <col min="6666" max="6666" width="16" style="5" customWidth="1"/>
    <col min="6667" max="6913" width="11.42578125" style="5"/>
    <col min="6914" max="6914" width="16.28515625" style="5" customWidth="1"/>
    <col min="6915" max="6915" width="13.5703125" style="5" customWidth="1"/>
    <col min="6916" max="6916" width="40.5703125" style="5" customWidth="1"/>
    <col min="6917" max="6917" width="15.5703125" style="5" customWidth="1"/>
    <col min="6918" max="6918" width="11.42578125" style="5"/>
    <col min="6919" max="6919" width="13.28515625" style="5" customWidth="1"/>
    <col min="6920" max="6920" width="12.5703125" style="5" customWidth="1"/>
    <col min="6921" max="6921" width="15.5703125" style="5" customWidth="1"/>
    <col min="6922" max="6922" width="16" style="5" customWidth="1"/>
    <col min="6923" max="7169" width="11.42578125" style="5"/>
    <col min="7170" max="7170" width="16.28515625" style="5" customWidth="1"/>
    <col min="7171" max="7171" width="13.5703125" style="5" customWidth="1"/>
    <col min="7172" max="7172" width="40.5703125" style="5" customWidth="1"/>
    <col min="7173" max="7173" width="15.5703125" style="5" customWidth="1"/>
    <col min="7174" max="7174" width="11.42578125" style="5"/>
    <col min="7175" max="7175" width="13.28515625" style="5" customWidth="1"/>
    <col min="7176" max="7176" width="12.5703125" style="5" customWidth="1"/>
    <col min="7177" max="7177" width="15.5703125" style="5" customWidth="1"/>
    <col min="7178" max="7178" width="16" style="5" customWidth="1"/>
    <col min="7179" max="7425" width="11.42578125" style="5"/>
    <col min="7426" max="7426" width="16.28515625" style="5" customWidth="1"/>
    <col min="7427" max="7427" width="13.5703125" style="5" customWidth="1"/>
    <col min="7428" max="7428" width="40.5703125" style="5" customWidth="1"/>
    <col min="7429" max="7429" width="15.5703125" style="5" customWidth="1"/>
    <col min="7430" max="7430" width="11.42578125" style="5"/>
    <col min="7431" max="7431" width="13.28515625" style="5" customWidth="1"/>
    <col min="7432" max="7432" width="12.5703125" style="5" customWidth="1"/>
    <col min="7433" max="7433" width="15.5703125" style="5" customWidth="1"/>
    <col min="7434" max="7434" width="16" style="5" customWidth="1"/>
    <col min="7435" max="7681" width="11.42578125" style="5"/>
    <col min="7682" max="7682" width="16.28515625" style="5" customWidth="1"/>
    <col min="7683" max="7683" width="13.5703125" style="5" customWidth="1"/>
    <col min="7684" max="7684" width="40.5703125" style="5" customWidth="1"/>
    <col min="7685" max="7685" width="15.5703125" style="5" customWidth="1"/>
    <col min="7686" max="7686" width="11.42578125" style="5"/>
    <col min="7687" max="7687" width="13.28515625" style="5" customWidth="1"/>
    <col min="7688" max="7688" width="12.5703125" style="5" customWidth="1"/>
    <col min="7689" max="7689" width="15.5703125" style="5" customWidth="1"/>
    <col min="7690" max="7690" width="16" style="5" customWidth="1"/>
    <col min="7691" max="7937" width="11.42578125" style="5"/>
    <col min="7938" max="7938" width="16.28515625" style="5" customWidth="1"/>
    <col min="7939" max="7939" width="13.5703125" style="5" customWidth="1"/>
    <col min="7940" max="7940" width="40.5703125" style="5" customWidth="1"/>
    <col min="7941" max="7941" width="15.5703125" style="5" customWidth="1"/>
    <col min="7942" max="7942" width="11.42578125" style="5"/>
    <col min="7943" max="7943" width="13.28515625" style="5" customWidth="1"/>
    <col min="7944" max="7944" width="12.5703125" style="5" customWidth="1"/>
    <col min="7945" max="7945" width="15.5703125" style="5" customWidth="1"/>
    <col min="7946" max="7946" width="16" style="5" customWidth="1"/>
    <col min="7947" max="8193" width="11.42578125" style="5"/>
    <col min="8194" max="8194" width="16.28515625" style="5" customWidth="1"/>
    <col min="8195" max="8195" width="13.5703125" style="5" customWidth="1"/>
    <col min="8196" max="8196" width="40.5703125" style="5" customWidth="1"/>
    <col min="8197" max="8197" width="15.5703125" style="5" customWidth="1"/>
    <col min="8198" max="8198" width="11.42578125" style="5"/>
    <col min="8199" max="8199" width="13.28515625" style="5" customWidth="1"/>
    <col min="8200" max="8200" width="12.5703125" style="5" customWidth="1"/>
    <col min="8201" max="8201" width="15.5703125" style="5" customWidth="1"/>
    <col min="8202" max="8202" width="16" style="5" customWidth="1"/>
    <col min="8203" max="8449" width="11.42578125" style="5"/>
    <col min="8450" max="8450" width="16.28515625" style="5" customWidth="1"/>
    <col min="8451" max="8451" width="13.5703125" style="5" customWidth="1"/>
    <col min="8452" max="8452" width="40.5703125" style="5" customWidth="1"/>
    <col min="8453" max="8453" width="15.5703125" style="5" customWidth="1"/>
    <col min="8454" max="8454" width="11.42578125" style="5"/>
    <col min="8455" max="8455" width="13.28515625" style="5" customWidth="1"/>
    <col min="8456" max="8456" width="12.5703125" style="5" customWidth="1"/>
    <col min="8457" max="8457" width="15.5703125" style="5" customWidth="1"/>
    <col min="8458" max="8458" width="16" style="5" customWidth="1"/>
    <col min="8459" max="8705" width="11.42578125" style="5"/>
    <col min="8706" max="8706" width="16.28515625" style="5" customWidth="1"/>
    <col min="8707" max="8707" width="13.5703125" style="5" customWidth="1"/>
    <col min="8708" max="8708" width="40.5703125" style="5" customWidth="1"/>
    <col min="8709" max="8709" width="15.5703125" style="5" customWidth="1"/>
    <col min="8710" max="8710" width="11.42578125" style="5"/>
    <col min="8711" max="8711" width="13.28515625" style="5" customWidth="1"/>
    <col min="8712" max="8712" width="12.5703125" style="5" customWidth="1"/>
    <col min="8713" max="8713" width="15.5703125" style="5" customWidth="1"/>
    <col min="8714" max="8714" width="16" style="5" customWidth="1"/>
    <col min="8715" max="8961" width="11.42578125" style="5"/>
    <col min="8962" max="8962" width="16.28515625" style="5" customWidth="1"/>
    <col min="8963" max="8963" width="13.5703125" style="5" customWidth="1"/>
    <col min="8964" max="8964" width="40.5703125" style="5" customWidth="1"/>
    <col min="8965" max="8965" width="15.5703125" style="5" customWidth="1"/>
    <col min="8966" max="8966" width="11.42578125" style="5"/>
    <col min="8967" max="8967" width="13.28515625" style="5" customWidth="1"/>
    <col min="8968" max="8968" width="12.5703125" style="5" customWidth="1"/>
    <col min="8969" max="8969" width="15.5703125" style="5" customWidth="1"/>
    <col min="8970" max="8970" width="16" style="5" customWidth="1"/>
    <col min="8971" max="9217" width="11.42578125" style="5"/>
    <col min="9218" max="9218" width="16.28515625" style="5" customWidth="1"/>
    <col min="9219" max="9219" width="13.5703125" style="5" customWidth="1"/>
    <col min="9220" max="9220" width="40.5703125" style="5" customWidth="1"/>
    <col min="9221" max="9221" width="15.5703125" style="5" customWidth="1"/>
    <col min="9222" max="9222" width="11.42578125" style="5"/>
    <col min="9223" max="9223" width="13.28515625" style="5" customWidth="1"/>
    <col min="9224" max="9224" width="12.5703125" style="5" customWidth="1"/>
    <col min="9225" max="9225" width="15.5703125" style="5" customWidth="1"/>
    <col min="9226" max="9226" width="16" style="5" customWidth="1"/>
    <col min="9227" max="9473" width="11.42578125" style="5"/>
    <col min="9474" max="9474" width="16.28515625" style="5" customWidth="1"/>
    <col min="9475" max="9475" width="13.5703125" style="5" customWidth="1"/>
    <col min="9476" max="9476" width="40.5703125" style="5" customWidth="1"/>
    <col min="9477" max="9477" width="15.5703125" style="5" customWidth="1"/>
    <col min="9478" max="9478" width="11.42578125" style="5"/>
    <col min="9479" max="9479" width="13.28515625" style="5" customWidth="1"/>
    <col min="9480" max="9480" width="12.5703125" style="5" customWidth="1"/>
    <col min="9481" max="9481" width="15.5703125" style="5" customWidth="1"/>
    <col min="9482" max="9482" width="16" style="5" customWidth="1"/>
    <col min="9483" max="9729" width="11.42578125" style="5"/>
    <col min="9730" max="9730" width="16.28515625" style="5" customWidth="1"/>
    <col min="9731" max="9731" width="13.5703125" style="5" customWidth="1"/>
    <col min="9732" max="9732" width="40.5703125" style="5" customWidth="1"/>
    <col min="9733" max="9733" width="15.5703125" style="5" customWidth="1"/>
    <col min="9734" max="9734" width="11.42578125" style="5"/>
    <col min="9735" max="9735" width="13.28515625" style="5" customWidth="1"/>
    <col min="9736" max="9736" width="12.5703125" style="5" customWidth="1"/>
    <col min="9737" max="9737" width="15.5703125" style="5" customWidth="1"/>
    <col min="9738" max="9738" width="16" style="5" customWidth="1"/>
    <col min="9739" max="9985" width="11.42578125" style="5"/>
    <col min="9986" max="9986" width="16.28515625" style="5" customWidth="1"/>
    <col min="9987" max="9987" width="13.5703125" style="5" customWidth="1"/>
    <col min="9988" max="9988" width="40.5703125" style="5" customWidth="1"/>
    <col min="9989" max="9989" width="15.5703125" style="5" customWidth="1"/>
    <col min="9990" max="9990" width="11.42578125" style="5"/>
    <col min="9991" max="9991" width="13.28515625" style="5" customWidth="1"/>
    <col min="9992" max="9992" width="12.5703125" style="5" customWidth="1"/>
    <col min="9993" max="9993" width="15.5703125" style="5" customWidth="1"/>
    <col min="9994" max="9994" width="16" style="5" customWidth="1"/>
    <col min="9995" max="10241" width="11.42578125" style="5"/>
    <col min="10242" max="10242" width="16.28515625" style="5" customWidth="1"/>
    <col min="10243" max="10243" width="13.5703125" style="5" customWidth="1"/>
    <col min="10244" max="10244" width="40.5703125" style="5" customWidth="1"/>
    <col min="10245" max="10245" width="15.5703125" style="5" customWidth="1"/>
    <col min="10246" max="10246" width="11.42578125" style="5"/>
    <col min="10247" max="10247" width="13.28515625" style="5" customWidth="1"/>
    <col min="10248" max="10248" width="12.5703125" style="5" customWidth="1"/>
    <col min="10249" max="10249" width="15.5703125" style="5" customWidth="1"/>
    <col min="10250" max="10250" width="16" style="5" customWidth="1"/>
    <col min="10251" max="10497" width="11.42578125" style="5"/>
    <col min="10498" max="10498" width="16.28515625" style="5" customWidth="1"/>
    <col min="10499" max="10499" width="13.5703125" style="5" customWidth="1"/>
    <col min="10500" max="10500" width="40.5703125" style="5" customWidth="1"/>
    <col min="10501" max="10501" width="15.5703125" style="5" customWidth="1"/>
    <col min="10502" max="10502" width="11.42578125" style="5"/>
    <col min="10503" max="10503" width="13.28515625" style="5" customWidth="1"/>
    <col min="10504" max="10504" width="12.5703125" style="5" customWidth="1"/>
    <col min="10505" max="10505" width="15.5703125" style="5" customWidth="1"/>
    <col min="10506" max="10506" width="16" style="5" customWidth="1"/>
    <col min="10507" max="10753" width="11.42578125" style="5"/>
    <col min="10754" max="10754" width="16.28515625" style="5" customWidth="1"/>
    <col min="10755" max="10755" width="13.5703125" style="5" customWidth="1"/>
    <col min="10756" max="10756" width="40.5703125" style="5" customWidth="1"/>
    <col min="10757" max="10757" width="15.5703125" style="5" customWidth="1"/>
    <col min="10758" max="10758" width="11.42578125" style="5"/>
    <col min="10759" max="10759" width="13.28515625" style="5" customWidth="1"/>
    <col min="10760" max="10760" width="12.5703125" style="5" customWidth="1"/>
    <col min="10761" max="10761" width="15.5703125" style="5" customWidth="1"/>
    <col min="10762" max="10762" width="16" style="5" customWidth="1"/>
    <col min="10763" max="11009" width="11.42578125" style="5"/>
    <col min="11010" max="11010" width="16.28515625" style="5" customWidth="1"/>
    <col min="11011" max="11011" width="13.5703125" style="5" customWidth="1"/>
    <col min="11012" max="11012" width="40.5703125" style="5" customWidth="1"/>
    <col min="11013" max="11013" width="15.5703125" style="5" customWidth="1"/>
    <col min="11014" max="11014" width="11.42578125" style="5"/>
    <col min="11015" max="11015" width="13.28515625" style="5" customWidth="1"/>
    <col min="11016" max="11016" width="12.5703125" style="5" customWidth="1"/>
    <col min="11017" max="11017" width="15.5703125" style="5" customWidth="1"/>
    <col min="11018" max="11018" width="16" style="5" customWidth="1"/>
    <col min="11019" max="11265" width="11.42578125" style="5"/>
    <col min="11266" max="11266" width="16.28515625" style="5" customWidth="1"/>
    <col min="11267" max="11267" width="13.5703125" style="5" customWidth="1"/>
    <col min="11268" max="11268" width="40.5703125" style="5" customWidth="1"/>
    <col min="11269" max="11269" width="15.5703125" style="5" customWidth="1"/>
    <col min="11270" max="11270" width="11.42578125" style="5"/>
    <col min="11271" max="11271" width="13.28515625" style="5" customWidth="1"/>
    <col min="11272" max="11272" width="12.5703125" style="5" customWidth="1"/>
    <col min="11273" max="11273" width="15.5703125" style="5" customWidth="1"/>
    <col min="11274" max="11274" width="16" style="5" customWidth="1"/>
    <col min="11275" max="11521" width="11.42578125" style="5"/>
    <col min="11522" max="11522" width="16.28515625" style="5" customWidth="1"/>
    <col min="11523" max="11523" width="13.5703125" style="5" customWidth="1"/>
    <col min="11524" max="11524" width="40.5703125" style="5" customWidth="1"/>
    <col min="11525" max="11525" width="15.5703125" style="5" customWidth="1"/>
    <col min="11526" max="11526" width="11.42578125" style="5"/>
    <col min="11527" max="11527" width="13.28515625" style="5" customWidth="1"/>
    <col min="11528" max="11528" width="12.5703125" style="5" customWidth="1"/>
    <col min="11529" max="11529" width="15.5703125" style="5" customWidth="1"/>
    <col min="11530" max="11530" width="16" style="5" customWidth="1"/>
    <col min="11531" max="11777" width="11.42578125" style="5"/>
    <col min="11778" max="11778" width="16.28515625" style="5" customWidth="1"/>
    <col min="11779" max="11779" width="13.5703125" style="5" customWidth="1"/>
    <col min="11780" max="11780" width="40.5703125" style="5" customWidth="1"/>
    <col min="11781" max="11781" width="15.5703125" style="5" customWidth="1"/>
    <col min="11782" max="11782" width="11.42578125" style="5"/>
    <col min="11783" max="11783" width="13.28515625" style="5" customWidth="1"/>
    <col min="11784" max="11784" width="12.5703125" style="5" customWidth="1"/>
    <col min="11785" max="11785" width="15.5703125" style="5" customWidth="1"/>
    <col min="11786" max="11786" width="16" style="5" customWidth="1"/>
    <col min="11787" max="12033" width="11.42578125" style="5"/>
    <col min="12034" max="12034" width="16.28515625" style="5" customWidth="1"/>
    <col min="12035" max="12035" width="13.5703125" style="5" customWidth="1"/>
    <col min="12036" max="12036" width="40.5703125" style="5" customWidth="1"/>
    <col min="12037" max="12037" width="15.5703125" style="5" customWidth="1"/>
    <col min="12038" max="12038" width="11.42578125" style="5"/>
    <col min="12039" max="12039" width="13.28515625" style="5" customWidth="1"/>
    <col min="12040" max="12040" width="12.5703125" style="5" customWidth="1"/>
    <col min="12041" max="12041" width="15.5703125" style="5" customWidth="1"/>
    <col min="12042" max="12042" width="16" style="5" customWidth="1"/>
    <col min="12043" max="12289" width="11.42578125" style="5"/>
    <col min="12290" max="12290" width="16.28515625" style="5" customWidth="1"/>
    <col min="12291" max="12291" width="13.5703125" style="5" customWidth="1"/>
    <col min="12292" max="12292" width="40.5703125" style="5" customWidth="1"/>
    <col min="12293" max="12293" width="15.5703125" style="5" customWidth="1"/>
    <col min="12294" max="12294" width="11.42578125" style="5"/>
    <col min="12295" max="12295" width="13.28515625" style="5" customWidth="1"/>
    <col min="12296" max="12296" width="12.5703125" style="5" customWidth="1"/>
    <col min="12297" max="12297" width="15.5703125" style="5" customWidth="1"/>
    <col min="12298" max="12298" width="16" style="5" customWidth="1"/>
    <col min="12299" max="12545" width="11.42578125" style="5"/>
    <col min="12546" max="12546" width="16.28515625" style="5" customWidth="1"/>
    <col min="12547" max="12547" width="13.5703125" style="5" customWidth="1"/>
    <col min="12548" max="12548" width="40.5703125" style="5" customWidth="1"/>
    <col min="12549" max="12549" width="15.5703125" style="5" customWidth="1"/>
    <col min="12550" max="12550" width="11.42578125" style="5"/>
    <col min="12551" max="12551" width="13.28515625" style="5" customWidth="1"/>
    <col min="12552" max="12552" width="12.5703125" style="5" customWidth="1"/>
    <col min="12553" max="12553" width="15.5703125" style="5" customWidth="1"/>
    <col min="12554" max="12554" width="16" style="5" customWidth="1"/>
    <col min="12555" max="12801" width="11.42578125" style="5"/>
    <col min="12802" max="12802" width="16.28515625" style="5" customWidth="1"/>
    <col min="12803" max="12803" width="13.5703125" style="5" customWidth="1"/>
    <col min="12804" max="12804" width="40.5703125" style="5" customWidth="1"/>
    <col min="12805" max="12805" width="15.5703125" style="5" customWidth="1"/>
    <col min="12806" max="12806" width="11.42578125" style="5"/>
    <col min="12807" max="12807" width="13.28515625" style="5" customWidth="1"/>
    <col min="12808" max="12808" width="12.5703125" style="5" customWidth="1"/>
    <col min="12809" max="12809" width="15.5703125" style="5" customWidth="1"/>
    <col min="12810" max="12810" width="16" style="5" customWidth="1"/>
    <col min="12811" max="13057" width="11.42578125" style="5"/>
    <col min="13058" max="13058" width="16.28515625" style="5" customWidth="1"/>
    <col min="13059" max="13059" width="13.5703125" style="5" customWidth="1"/>
    <col min="13060" max="13060" width="40.5703125" style="5" customWidth="1"/>
    <col min="13061" max="13061" width="15.5703125" style="5" customWidth="1"/>
    <col min="13062" max="13062" width="11.42578125" style="5"/>
    <col min="13063" max="13063" width="13.28515625" style="5" customWidth="1"/>
    <col min="13064" max="13064" width="12.5703125" style="5" customWidth="1"/>
    <col min="13065" max="13065" width="15.5703125" style="5" customWidth="1"/>
    <col min="13066" max="13066" width="16" style="5" customWidth="1"/>
    <col min="13067" max="13313" width="11.42578125" style="5"/>
    <col min="13314" max="13314" width="16.28515625" style="5" customWidth="1"/>
    <col min="13315" max="13315" width="13.5703125" style="5" customWidth="1"/>
    <col min="13316" max="13316" width="40.5703125" style="5" customWidth="1"/>
    <col min="13317" max="13317" width="15.5703125" style="5" customWidth="1"/>
    <col min="13318" max="13318" width="11.42578125" style="5"/>
    <col min="13319" max="13319" width="13.28515625" style="5" customWidth="1"/>
    <col min="13320" max="13320" width="12.5703125" style="5" customWidth="1"/>
    <col min="13321" max="13321" width="15.5703125" style="5" customWidth="1"/>
    <col min="13322" max="13322" width="16" style="5" customWidth="1"/>
    <col min="13323" max="13569" width="11.42578125" style="5"/>
    <col min="13570" max="13570" width="16.28515625" style="5" customWidth="1"/>
    <col min="13571" max="13571" width="13.5703125" style="5" customWidth="1"/>
    <col min="13572" max="13572" width="40.5703125" style="5" customWidth="1"/>
    <col min="13573" max="13573" width="15.5703125" style="5" customWidth="1"/>
    <col min="13574" max="13574" width="11.42578125" style="5"/>
    <col min="13575" max="13575" width="13.28515625" style="5" customWidth="1"/>
    <col min="13576" max="13576" width="12.5703125" style="5" customWidth="1"/>
    <col min="13577" max="13577" width="15.5703125" style="5" customWidth="1"/>
    <col min="13578" max="13578" width="16" style="5" customWidth="1"/>
    <col min="13579" max="13825" width="11.42578125" style="5"/>
    <col min="13826" max="13826" width="16.28515625" style="5" customWidth="1"/>
    <col min="13827" max="13827" width="13.5703125" style="5" customWidth="1"/>
    <col min="13828" max="13828" width="40.5703125" style="5" customWidth="1"/>
    <col min="13829" max="13829" width="15.5703125" style="5" customWidth="1"/>
    <col min="13830" max="13830" width="11.42578125" style="5"/>
    <col min="13831" max="13831" width="13.28515625" style="5" customWidth="1"/>
    <col min="13832" max="13832" width="12.5703125" style="5" customWidth="1"/>
    <col min="13833" max="13833" width="15.5703125" style="5" customWidth="1"/>
    <col min="13834" max="13834" width="16" style="5" customWidth="1"/>
    <col min="13835" max="14081" width="11.42578125" style="5"/>
    <col min="14082" max="14082" width="16.28515625" style="5" customWidth="1"/>
    <col min="14083" max="14083" width="13.5703125" style="5" customWidth="1"/>
    <col min="14084" max="14084" width="40.5703125" style="5" customWidth="1"/>
    <col min="14085" max="14085" width="15.5703125" style="5" customWidth="1"/>
    <col min="14086" max="14086" width="11.42578125" style="5"/>
    <col min="14087" max="14087" width="13.28515625" style="5" customWidth="1"/>
    <col min="14088" max="14088" width="12.5703125" style="5" customWidth="1"/>
    <col min="14089" max="14089" width="15.5703125" style="5" customWidth="1"/>
    <col min="14090" max="14090" width="16" style="5" customWidth="1"/>
    <col min="14091" max="14337" width="11.42578125" style="5"/>
    <col min="14338" max="14338" width="16.28515625" style="5" customWidth="1"/>
    <col min="14339" max="14339" width="13.5703125" style="5" customWidth="1"/>
    <col min="14340" max="14340" width="40.5703125" style="5" customWidth="1"/>
    <col min="14341" max="14341" width="15.5703125" style="5" customWidth="1"/>
    <col min="14342" max="14342" width="11.42578125" style="5"/>
    <col min="14343" max="14343" width="13.28515625" style="5" customWidth="1"/>
    <col min="14344" max="14344" width="12.5703125" style="5" customWidth="1"/>
    <col min="14345" max="14345" width="15.5703125" style="5" customWidth="1"/>
    <col min="14346" max="14346" width="16" style="5" customWidth="1"/>
    <col min="14347" max="14593" width="11.42578125" style="5"/>
    <col min="14594" max="14594" width="16.28515625" style="5" customWidth="1"/>
    <col min="14595" max="14595" width="13.5703125" style="5" customWidth="1"/>
    <col min="14596" max="14596" width="40.5703125" style="5" customWidth="1"/>
    <col min="14597" max="14597" width="15.5703125" style="5" customWidth="1"/>
    <col min="14598" max="14598" width="11.42578125" style="5"/>
    <col min="14599" max="14599" width="13.28515625" style="5" customWidth="1"/>
    <col min="14600" max="14600" width="12.5703125" style="5" customWidth="1"/>
    <col min="14601" max="14601" width="15.5703125" style="5" customWidth="1"/>
    <col min="14602" max="14602" width="16" style="5" customWidth="1"/>
    <col min="14603" max="14849" width="11.42578125" style="5"/>
    <col min="14850" max="14850" width="16.28515625" style="5" customWidth="1"/>
    <col min="14851" max="14851" width="13.5703125" style="5" customWidth="1"/>
    <col min="14852" max="14852" width="40.5703125" style="5" customWidth="1"/>
    <col min="14853" max="14853" width="15.5703125" style="5" customWidth="1"/>
    <col min="14854" max="14854" width="11.42578125" style="5"/>
    <col min="14855" max="14855" width="13.28515625" style="5" customWidth="1"/>
    <col min="14856" max="14856" width="12.5703125" style="5" customWidth="1"/>
    <col min="14857" max="14857" width="15.5703125" style="5" customWidth="1"/>
    <col min="14858" max="14858" width="16" style="5" customWidth="1"/>
    <col min="14859" max="15105" width="11.42578125" style="5"/>
    <col min="15106" max="15106" width="16.28515625" style="5" customWidth="1"/>
    <col min="15107" max="15107" width="13.5703125" style="5" customWidth="1"/>
    <col min="15108" max="15108" width="40.5703125" style="5" customWidth="1"/>
    <col min="15109" max="15109" width="15.5703125" style="5" customWidth="1"/>
    <col min="15110" max="15110" width="11.42578125" style="5"/>
    <col min="15111" max="15111" width="13.28515625" style="5" customWidth="1"/>
    <col min="15112" max="15112" width="12.5703125" style="5" customWidth="1"/>
    <col min="15113" max="15113" width="15.5703125" style="5" customWidth="1"/>
    <col min="15114" max="15114" width="16" style="5" customWidth="1"/>
    <col min="15115" max="15361" width="11.42578125" style="5"/>
    <col min="15362" max="15362" width="16.28515625" style="5" customWidth="1"/>
    <col min="15363" max="15363" width="13.5703125" style="5" customWidth="1"/>
    <col min="15364" max="15364" width="40.5703125" style="5" customWidth="1"/>
    <col min="15365" max="15365" width="15.5703125" style="5" customWidth="1"/>
    <col min="15366" max="15366" width="11.42578125" style="5"/>
    <col min="15367" max="15367" width="13.28515625" style="5" customWidth="1"/>
    <col min="15368" max="15368" width="12.5703125" style="5" customWidth="1"/>
    <col min="15369" max="15369" width="15.5703125" style="5" customWidth="1"/>
    <col min="15370" max="15370" width="16" style="5" customWidth="1"/>
    <col min="15371" max="15617" width="11.42578125" style="5"/>
    <col min="15618" max="15618" width="16.28515625" style="5" customWidth="1"/>
    <col min="15619" max="15619" width="13.5703125" style="5" customWidth="1"/>
    <col min="15620" max="15620" width="40.5703125" style="5" customWidth="1"/>
    <col min="15621" max="15621" width="15.5703125" style="5" customWidth="1"/>
    <col min="15622" max="15622" width="11.42578125" style="5"/>
    <col min="15623" max="15623" width="13.28515625" style="5" customWidth="1"/>
    <col min="15624" max="15624" width="12.5703125" style="5" customWidth="1"/>
    <col min="15625" max="15625" width="15.5703125" style="5" customWidth="1"/>
    <col min="15626" max="15626" width="16" style="5" customWidth="1"/>
    <col min="15627" max="15873" width="11.42578125" style="5"/>
    <col min="15874" max="15874" width="16.28515625" style="5" customWidth="1"/>
    <col min="15875" max="15875" width="13.5703125" style="5" customWidth="1"/>
    <col min="15876" max="15876" width="40.5703125" style="5" customWidth="1"/>
    <col min="15877" max="15877" width="15.5703125" style="5" customWidth="1"/>
    <col min="15878" max="15878" width="11.42578125" style="5"/>
    <col min="15879" max="15879" width="13.28515625" style="5" customWidth="1"/>
    <col min="15880" max="15880" width="12.5703125" style="5" customWidth="1"/>
    <col min="15881" max="15881" width="15.5703125" style="5" customWidth="1"/>
    <col min="15882" max="15882" width="16" style="5" customWidth="1"/>
    <col min="15883" max="16129" width="11.42578125" style="5"/>
    <col min="16130" max="16130" width="16.28515625" style="5" customWidth="1"/>
    <col min="16131" max="16131" width="13.5703125" style="5" customWidth="1"/>
    <col min="16132" max="16132" width="40.5703125" style="5" customWidth="1"/>
    <col min="16133" max="16133" width="15.5703125" style="5" customWidth="1"/>
    <col min="16134" max="16134" width="11.42578125" style="5"/>
    <col min="16135" max="16135" width="13.28515625" style="5" customWidth="1"/>
    <col min="16136" max="16136" width="12.5703125" style="5" customWidth="1"/>
    <col min="16137" max="16137" width="15.5703125" style="5" customWidth="1"/>
    <col min="16138" max="16138" width="16" style="5" customWidth="1"/>
    <col min="16139" max="16384" width="11.42578125" style="5"/>
  </cols>
  <sheetData>
    <row r="1" spans="2:14" ht="15.75" x14ac:dyDescent="0.25">
      <c r="B1" s="668"/>
      <c r="C1" s="669"/>
      <c r="D1" s="674" t="s">
        <v>35</v>
      </c>
      <c r="E1" s="674"/>
      <c r="F1" s="674"/>
      <c r="G1" s="674"/>
      <c r="H1" s="674"/>
      <c r="I1" s="205" t="s">
        <v>34</v>
      </c>
      <c r="J1" s="206" t="s">
        <v>286</v>
      </c>
    </row>
    <row r="2" spans="2:14" ht="16.5" thickBot="1" x14ac:dyDescent="0.3">
      <c r="B2" s="670"/>
      <c r="C2" s="671"/>
      <c r="D2" s="675" t="s">
        <v>33</v>
      </c>
      <c r="E2" s="675"/>
      <c r="F2" s="675"/>
      <c r="G2" s="675"/>
      <c r="H2" s="675"/>
      <c r="I2" s="207" t="s">
        <v>32</v>
      </c>
      <c r="J2" s="208" t="s">
        <v>229</v>
      </c>
    </row>
    <row r="3" spans="2:14" ht="18.75" thickBot="1" x14ac:dyDescent="0.3">
      <c r="B3" s="670"/>
      <c r="C3" s="671"/>
      <c r="D3" s="818" t="s">
        <v>287</v>
      </c>
      <c r="E3" s="819"/>
      <c r="F3" s="819"/>
      <c r="G3" s="819"/>
      <c r="H3" s="820"/>
      <c r="I3" s="653" t="s">
        <v>31</v>
      </c>
      <c r="J3" s="643" t="s">
        <v>288</v>
      </c>
    </row>
    <row r="4" spans="2:14" x14ac:dyDescent="0.25">
      <c r="B4" s="670"/>
      <c r="C4" s="671"/>
      <c r="D4" s="209" t="s">
        <v>30</v>
      </c>
      <c r="E4" s="811" t="s">
        <v>172</v>
      </c>
      <c r="F4" s="812"/>
      <c r="G4" s="812"/>
      <c r="H4" s="813"/>
      <c r="I4" s="654"/>
      <c r="J4" s="644"/>
    </row>
    <row r="5" spans="2:14" ht="14.25" thickBot="1" x14ac:dyDescent="0.3">
      <c r="B5" s="672"/>
      <c r="C5" s="673"/>
      <c r="D5" s="210" t="s">
        <v>29</v>
      </c>
      <c r="E5" s="814" t="s">
        <v>28</v>
      </c>
      <c r="F5" s="815"/>
      <c r="G5" s="815"/>
      <c r="H5" s="816"/>
      <c r="I5" s="655"/>
      <c r="J5" s="644"/>
    </row>
    <row r="6" spans="2:14" ht="25.5" x14ac:dyDescent="0.25">
      <c r="B6" s="923" t="s">
        <v>23</v>
      </c>
      <c r="C6" s="664" t="s">
        <v>36</v>
      </c>
      <c r="D6" s="666" t="s">
        <v>22</v>
      </c>
      <c r="E6" s="666" t="s">
        <v>21</v>
      </c>
      <c r="F6" s="666" t="s">
        <v>20</v>
      </c>
      <c r="G6" s="666"/>
      <c r="H6" s="666" t="s">
        <v>19</v>
      </c>
      <c r="I6" s="666"/>
      <c r="J6" s="335" t="s">
        <v>18</v>
      </c>
    </row>
    <row r="7" spans="2:14" ht="27" thickBot="1" x14ac:dyDescent="0.3">
      <c r="B7" s="924"/>
      <c r="C7" s="665"/>
      <c r="D7" s="911"/>
      <c r="E7" s="911"/>
      <c r="F7" s="336" t="s">
        <v>15</v>
      </c>
      <c r="G7" s="337" t="s">
        <v>17</v>
      </c>
      <c r="H7" s="336" t="s">
        <v>15</v>
      </c>
      <c r="I7" s="337" t="s">
        <v>17</v>
      </c>
      <c r="J7" s="364" t="s">
        <v>16</v>
      </c>
    </row>
    <row r="8" spans="2:14" ht="15" x14ac:dyDescent="0.25">
      <c r="B8" s="200">
        <v>95717</v>
      </c>
      <c r="C8" s="200" t="s">
        <v>47</v>
      </c>
      <c r="D8" t="s">
        <v>289</v>
      </c>
      <c r="E8" s="368" t="s">
        <v>43</v>
      </c>
      <c r="F8" s="11">
        <v>10400</v>
      </c>
      <c r="G8" s="28" t="s">
        <v>2</v>
      </c>
      <c r="H8" s="29"/>
      <c r="I8" s="11"/>
      <c r="J8" s="369"/>
    </row>
    <row r="9" spans="2:14" ht="15.75" x14ac:dyDescent="0.25">
      <c r="B9" s="222">
        <v>10400001</v>
      </c>
      <c r="C9" s="222" t="s">
        <v>290</v>
      </c>
      <c r="D9" s="223" t="s">
        <v>291</v>
      </c>
      <c r="E9" s="370" t="s">
        <v>292</v>
      </c>
      <c r="F9" s="377">
        <v>100</v>
      </c>
      <c r="G9" s="378" t="s">
        <v>2</v>
      </c>
      <c r="H9" s="342"/>
      <c r="I9" s="343"/>
      <c r="J9" s="25"/>
    </row>
    <row r="10" spans="2:14" ht="15.75" x14ac:dyDescent="0.25">
      <c r="B10" s="222">
        <v>10400006</v>
      </c>
      <c r="C10" s="222" t="s">
        <v>293</v>
      </c>
      <c r="D10" s="223" t="s">
        <v>294</v>
      </c>
      <c r="E10" s="370" t="s">
        <v>292</v>
      </c>
      <c r="F10" s="377">
        <v>100</v>
      </c>
      <c r="G10" s="378" t="s">
        <v>2</v>
      </c>
      <c r="H10" s="342"/>
      <c r="I10" s="343"/>
      <c r="J10" s="25"/>
    </row>
    <row r="11" spans="2:14" ht="14.25" thickBot="1" x14ac:dyDescent="0.3">
      <c r="B11" s="347"/>
      <c r="C11" s="348"/>
      <c r="F11" s="349"/>
      <c r="G11" s="350"/>
      <c r="J11" s="351"/>
      <c r="M11" s="8"/>
    </row>
    <row r="12" spans="2:14" ht="14.25" thickBot="1" x14ac:dyDescent="0.3">
      <c r="B12" s="352"/>
      <c r="C12" s="353"/>
      <c r="D12" s="354"/>
      <c r="E12" s="355" t="s">
        <v>15</v>
      </c>
      <c r="F12" s="356" t="s">
        <v>14</v>
      </c>
      <c r="G12" s="357"/>
      <c r="H12" s="354"/>
      <c r="I12" s="354"/>
      <c r="J12" s="358"/>
      <c r="M12" s="8"/>
    </row>
    <row r="13" spans="2:14" x14ac:dyDescent="0.25">
      <c r="B13" s="903" t="s">
        <v>13</v>
      </c>
      <c r="C13" s="904"/>
      <c r="D13" s="905"/>
      <c r="E13" s="342">
        <v>10400</v>
      </c>
      <c r="F13" s="359" t="s">
        <v>2</v>
      </c>
      <c r="G13" s="906" t="s">
        <v>12</v>
      </c>
      <c r="H13" s="906"/>
      <c r="I13" s="907"/>
      <c r="J13" s="908"/>
      <c r="M13" s="8"/>
    </row>
    <row r="14" spans="2:14" x14ac:dyDescent="0.25">
      <c r="B14" s="842" t="s">
        <v>11</v>
      </c>
      <c r="C14" s="843"/>
      <c r="D14" s="844"/>
      <c r="E14" s="406">
        <v>2</v>
      </c>
      <c r="F14" s="11" t="s">
        <v>295</v>
      </c>
      <c r="G14" s="845" t="s">
        <v>9</v>
      </c>
      <c r="H14" s="845"/>
      <c r="I14" s="846"/>
      <c r="J14" s="847"/>
      <c r="M14" s="8"/>
    </row>
    <row r="15" spans="2:14" x14ac:dyDescent="0.25">
      <c r="B15" s="842" t="s">
        <v>8</v>
      </c>
      <c r="C15" s="843"/>
      <c r="D15" s="844"/>
      <c r="E15" s="11">
        <v>1</v>
      </c>
      <c r="F15" s="11" t="s">
        <v>256</v>
      </c>
      <c r="G15" s="845" t="s">
        <v>6</v>
      </c>
      <c r="H15" s="845"/>
      <c r="I15" s="846"/>
      <c r="J15" s="847"/>
      <c r="M15" s="8"/>
    </row>
    <row r="16" spans="2:14" x14ac:dyDescent="0.25">
      <c r="B16" s="842" t="s">
        <v>5</v>
      </c>
      <c r="C16" s="843"/>
      <c r="D16" s="844"/>
      <c r="E16" s="29">
        <f>E13</f>
        <v>10400</v>
      </c>
      <c r="F16" s="11" t="s">
        <v>2</v>
      </c>
      <c r="G16" s="918" t="s">
        <v>4</v>
      </c>
      <c r="H16" s="919"/>
      <c r="I16" s="846"/>
      <c r="J16" s="847"/>
      <c r="M16" s="8"/>
      <c r="N16" s="4"/>
    </row>
    <row r="17" spans="2:13" ht="14.25" thickBot="1" x14ac:dyDescent="0.3">
      <c r="B17" s="853" t="s">
        <v>3</v>
      </c>
      <c r="C17" s="854"/>
      <c r="D17" s="855"/>
      <c r="E17" s="407">
        <f>SUM(F8:F10)-E13</f>
        <v>200</v>
      </c>
      <c r="F17" s="361" t="s">
        <v>2</v>
      </c>
      <c r="G17" s="856"/>
      <c r="H17" s="856"/>
      <c r="I17" s="897"/>
      <c r="J17" s="898"/>
      <c r="M17" s="8"/>
    </row>
    <row r="18" spans="2:13" ht="14.25" thickBot="1" x14ac:dyDescent="0.3">
      <c r="B18" s="915" t="s">
        <v>1</v>
      </c>
      <c r="C18" s="916"/>
      <c r="D18" s="916"/>
      <c r="E18" s="916"/>
      <c r="F18" s="916"/>
      <c r="G18" s="916"/>
      <c r="H18" s="916"/>
      <c r="I18" s="916"/>
      <c r="J18" s="917"/>
    </row>
    <row r="19" spans="2:13" ht="16.5" customHeight="1" x14ac:dyDescent="0.25">
      <c r="B19" s="920" t="s">
        <v>296</v>
      </c>
      <c r="C19" s="921"/>
      <c r="D19" s="921"/>
      <c r="E19" s="921"/>
      <c r="F19" s="921"/>
      <c r="G19" s="921"/>
      <c r="H19" s="921"/>
      <c r="I19" s="921"/>
      <c r="J19" s="922"/>
    </row>
    <row r="20" spans="2:13" ht="16.5" customHeight="1" x14ac:dyDescent="0.25">
      <c r="B20" s="920" t="s">
        <v>297</v>
      </c>
      <c r="C20" s="921"/>
      <c r="D20" s="921"/>
      <c r="E20" s="921"/>
      <c r="F20" s="921"/>
      <c r="G20" s="921"/>
      <c r="H20" s="921"/>
      <c r="I20" s="921"/>
      <c r="J20" s="922"/>
    </row>
    <row r="21" spans="2:13" ht="16.5" customHeight="1" x14ac:dyDescent="0.25">
      <c r="B21" s="920"/>
      <c r="C21" s="921"/>
      <c r="D21" s="921"/>
      <c r="E21" s="921"/>
      <c r="F21" s="921"/>
      <c r="G21" s="921"/>
      <c r="H21" s="921"/>
      <c r="I21" s="921"/>
      <c r="J21" s="922"/>
    </row>
    <row r="22" spans="2:13" ht="16.5" customHeight="1" x14ac:dyDescent="0.25">
      <c r="B22" s="920"/>
      <c r="C22" s="921"/>
      <c r="D22" s="921"/>
      <c r="E22" s="921"/>
      <c r="F22" s="921"/>
      <c r="G22" s="921"/>
      <c r="H22" s="921"/>
      <c r="I22" s="921"/>
      <c r="J22" s="922"/>
    </row>
    <row r="23" spans="2:13" ht="15.75" thickBot="1" x14ac:dyDescent="0.3">
      <c r="B23" s="929"/>
      <c r="C23" s="930"/>
      <c r="D23" s="930"/>
      <c r="E23" s="930"/>
      <c r="F23" s="930"/>
      <c r="G23" s="930"/>
      <c r="H23" s="930"/>
      <c r="I23" s="930"/>
      <c r="J23" s="931"/>
    </row>
    <row r="24" spans="2:13" ht="14.25" thickBot="1" x14ac:dyDescent="0.3">
      <c r="B24" s="925"/>
      <c r="C24" s="926"/>
      <c r="D24" s="927"/>
      <c r="E24" s="927"/>
      <c r="F24" s="927"/>
      <c r="G24" s="927"/>
      <c r="H24" s="927"/>
      <c r="I24" s="927"/>
      <c r="J24" s="928"/>
    </row>
    <row r="25" spans="2:13" ht="14.25" thickBot="1" x14ac:dyDescent="0.3">
      <c r="B25" s="932" t="s">
        <v>189</v>
      </c>
      <c r="C25" s="933"/>
      <c r="D25" s="934"/>
      <c r="E25" s="934"/>
      <c r="F25" s="934"/>
      <c r="G25" s="934"/>
      <c r="H25" s="934"/>
      <c r="I25" s="934"/>
      <c r="J25" s="935"/>
    </row>
    <row r="26" spans="2:13" ht="14.25" thickBot="1" x14ac:dyDescent="0.3">
      <c r="B26" s="925" t="s">
        <v>298</v>
      </c>
      <c r="C26" s="926"/>
      <c r="D26" s="927"/>
      <c r="E26" s="927"/>
      <c r="F26" s="927"/>
      <c r="G26" s="927"/>
      <c r="H26" s="927"/>
      <c r="I26" s="927"/>
      <c r="J26" s="928"/>
    </row>
    <row r="27" spans="2:13" ht="14.25" thickBot="1" x14ac:dyDescent="0.3">
      <c r="B27" s="925" t="s">
        <v>299</v>
      </c>
      <c r="C27" s="926"/>
      <c r="D27" s="927"/>
      <c r="E27" s="927"/>
      <c r="F27" s="927"/>
      <c r="G27" s="927"/>
      <c r="H27" s="927"/>
      <c r="I27" s="927"/>
      <c r="J27" s="928"/>
    </row>
    <row r="28" spans="2:13" x14ac:dyDescent="0.25">
      <c r="B28" s="5" t="s">
        <v>300</v>
      </c>
    </row>
  </sheetData>
  <mergeCells count="39">
    <mergeCell ref="B27:J27"/>
    <mergeCell ref="B21:J21"/>
    <mergeCell ref="B22:J22"/>
    <mergeCell ref="B23:J23"/>
    <mergeCell ref="B24:J24"/>
    <mergeCell ref="B25:J25"/>
    <mergeCell ref="B26:J26"/>
    <mergeCell ref="B20:J20"/>
    <mergeCell ref="B15:D15"/>
    <mergeCell ref="G15:H15"/>
    <mergeCell ref="I15:J15"/>
    <mergeCell ref="B16:D16"/>
    <mergeCell ref="G16:H16"/>
    <mergeCell ref="I16:J16"/>
    <mergeCell ref="B17:D17"/>
    <mergeCell ref="G17:H17"/>
    <mergeCell ref="I17:J17"/>
    <mergeCell ref="B18:J18"/>
    <mergeCell ref="B19:J19"/>
    <mergeCell ref="B13:D13"/>
    <mergeCell ref="G13:H13"/>
    <mergeCell ref="I13:J13"/>
    <mergeCell ref="B14:D14"/>
    <mergeCell ref="G14:H14"/>
    <mergeCell ref="I14:J14"/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4F50-F382-4AAF-BE0D-8881DD43514D}">
  <dimension ref="A1:M31"/>
  <sheetViews>
    <sheetView workbookViewId="0">
      <selection activeCell="C8" sqref="C8"/>
    </sheetView>
  </sheetViews>
  <sheetFormatPr baseColWidth="10" defaultRowHeight="13.5" x14ac:dyDescent="0.25"/>
  <cols>
    <col min="1" max="1" width="16.28515625" style="5" customWidth="1"/>
    <col min="2" max="2" width="13" style="5" customWidth="1"/>
    <col min="3" max="3" width="43" style="5" customWidth="1"/>
    <col min="4" max="4" width="15.5703125" style="5" customWidth="1"/>
    <col min="5" max="5" width="11.42578125" style="5"/>
    <col min="6" max="6" width="13.28515625" style="5" customWidth="1"/>
    <col min="7" max="7" width="12.5703125" style="5" customWidth="1"/>
    <col min="8" max="8" width="15.5703125" style="5" customWidth="1"/>
    <col min="9" max="9" width="16" style="5" customWidth="1"/>
    <col min="10" max="256" width="11.42578125" style="5"/>
    <col min="257" max="257" width="16.28515625" style="5" customWidth="1"/>
    <col min="258" max="258" width="13.28515625" style="5" customWidth="1"/>
    <col min="259" max="259" width="43" style="5" customWidth="1"/>
    <col min="260" max="260" width="15.5703125" style="5" customWidth="1"/>
    <col min="261" max="261" width="11.42578125" style="5"/>
    <col min="262" max="262" width="13.28515625" style="5" customWidth="1"/>
    <col min="263" max="263" width="12.5703125" style="5" customWidth="1"/>
    <col min="264" max="264" width="15.5703125" style="5" customWidth="1"/>
    <col min="265" max="265" width="16" style="5" customWidth="1"/>
    <col min="266" max="512" width="11.42578125" style="5"/>
    <col min="513" max="513" width="16.28515625" style="5" customWidth="1"/>
    <col min="514" max="514" width="13.28515625" style="5" customWidth="1"/>
    <col min="515" max="515" width="43" style="5" customWidth="1"/>
    <col min="516" max="516" width="15.5703125" style="5" customWidth="1"/>
    <col min="517" max="517" width="11.42578125" style="5"/>
    <col min="518" max="518" width="13.28515625" style="5" customWidth="1"/>
    <col min="519" max="519" width="12.5703125" style="5" customWidth="1"/>
    <col min="520" max="520" width="15.5703125" style="5" customWidth="1"/>
    <col min="521" max="521" width="16" style="5" customWidth="1"/>
    <col min="522" max="768" width="11.42578125" style="5"/>
    <col min="769" max="769" width="16.28515625" style="5" customWidth="1"/>
    <col min="770" max="770" width="13.28515625" style="5" customWidth="1"/>
    <col min="771" max="771" width="43" style="5" customWidth="1"/>
    <col min="772" max="772" width="15.5703125" style="5" customWidth="1"/>
    <col min="773" max="773" width="11.42578125" style="5"/>
    <col min="774" max="774" width="13.28515625" style="5" customWidth="1"/>
    <col min="775" max="775" width="12.5703125" style="5" customWidth="1"/>
    <col min="776" max="776" width="15.5703125" style="5" customWidth="1"/>
    <col min="777" max="777" width="16" style="5" customWidth="1"/>
    <col min="778" max="1024" width="11.42578125" style="5"/>
    <col min="1025" max="1025" width="16.28515625" style="5" customWidth="1"/>
    <col min="1026" max="1026" width="13.28515625" style="5" customWidth="1"/>
    <col min="1027" max="1027" width="43" style="5" customWidth="1"/>
    <col min="1028" max="1028" width="15.5703125" style="5" customWidth="1"/>
    <col min="1029" max="1029" width="11.42578125" style="5"/>
    <col min="1030" max="1030" width="13.28515625" style="5" customWidth="1"/>
    <col min="1031" max="1031" width="12.5703125" style="5" customWidth="1"/>
    <col min="1032" max="1032" width="15.5703125" style="5" customWidth="1"/>
    <col min="1033" max="1033" width="16" style="5" customWidth="1"/>
    <col min="1034" max="1280" width="11.42578125" style="5"/>
    <col min="1281" max="1281" width="16.28515625" style="5" customWidth="1"/>
    <col min="1282" max="1282" width="13.28515625" style="5" customWidth="1"/>
    <col min="1283" max="1283" width="43" style="5" customWidth="1"/>
    <col min="1284" max="1284" width="15.5703125" style="5" customWidth="1"/>
    <col min="1285" max="1285" width="11.42578125" style="5"/>
    <col min="1286" max="1286" width="13.28515625" style="5" customWidth="1"/>
    <col min="1287" max="1287" width="12.5703125" style="5" customWidth="1"/>
    <col min="1288" max="1288" width="15.5703125" style="5" customWidth="1"/>
    <col min="1289" max="1289" width="16" style="5" customWidth="1"/>
    <col min="1290" max="1536" width="11.42578125" style="5"/>
    <col min="1537" max="1537" width="16.28515625" style="5" customWidth="1"/>
    <col min="1538" max="1538" width="13.28515625" style="5" customWidth="1"/>
    <col min="1539" max="1539" width="43" style="5" customWidth="1"/>
    <col min="1540" max="1540" width="15.5703125" style="5" customWidth="1"/>
    <col min="1541" max="1541" width="11.42578125" style="5"/>
    <col min="1542" max="1542" width="13.28515625" style="5" customWidth="1"/>
    <col min="1543" max="1543" width="12.5703125" style="5" customWidth="1"/>
    <col min="1544" max="1544" width="15.5703125" style="5" customWidth="1"/>
    <col min="1545" max="1545" width="16" style="5" customWidth="1"/>
    <col min="1546" max="1792" width="11.42578125" style="5"/>
    <col min="1793" max="1793" width="16.28515625" style="5" customWidth="1"/>
    <col min="1794" max="1794" width="13.28515625" style="5" customWidth="1"/>
    <col min="1795" max="1795" width="43" style="5" customWidth="1"/>
    <col min="1796" max="1796" width="15.5703125" style="5" customWidth="1"/>
    <col min="1797" max="1797" width="11.42578125" style="5"/>
    <col min="1798" max="1798" width="13.28515625" style="5" customWidth="1"/>
    <col min="1799" max="1799" width="12.5703125" style="5" customWidth="1"/>
    <col min="1800" max="1800" width="15.5703125" style="5" customWidth="1"/>
    <col min="1801" max="1801" width="16" style="5" customWidth="1"/>
    <col min="1802" max="2048" width="11.42578125" style="5"/>
    <col min="2049" max="2049" width="16.28515625" style="5" customWidth="1"/>
    <col min="2050" max="2050" width="13.28515625" style="5" customWidth="1"/>
    <col min="2051" max="2051" width="43" style="5" customWidth="1"/>
    <col min="2052" max="2052" width="15.5703125" style="5" customWidth="1"/>
    <col min="2053" max="2053" width="11.42578125" style="5"/>
    <col min="2054" max="2054" width="13.28515625" style="5" customWidth="1"/>
    <col min="2055" max="2055" width="12.5703125" style="5" customWidth="1"/>
    <col min="2056" max="2056" width="15.5703125" style="5" customWidth="1"/>
    <col min="2057" max="2057" width="16" style="5" customWidth="1"/>
    <col min="2058" max="2304" width="11.42578125" style="5"/>
    <col min="2305" max="2305" width="16.28515625" style="5" customWidth="1"/>
    <col min="2306" max="2306" width="13.28515625" style="5" customWidth="1"/>
    <col min="2307" max="2307" width="43" style="5" customWidth="1"/>
    <col min="2308" max="2308" width="15.5703125" style="5" customWidth="1"/>
    <col min="2309" max="2309" width="11.42578125" style="5"/>
    <col min="2310" max="2310" width="13.28515625" style="5" customWidth="1"/>
    <col min="2311" max="2311" width="12.5703125" style="5" customWidth="1"/>
    <col min="2312" max="2312" width="15.5703125" style="5" customWidth="1"/>
    <col min="2313" max="2313" width="16" style="5" customWidth="1"/>
    <col min="2314" max="2560" width="11.42578125" style="5"/>
    <col min="2561" max="2561" width="16.28515625" style="5" customWidth="1"/>
    <col min="2562" max="2562" width="13.28515625" style="5" customWidth="1"/>
    <col min="2563" max="2563" width="43" style="5" customWidth="1"/>
    <col min="2564" max="2564" width="15.5703125" style="5" customWidth="1"/>
    <col min="2565" max="2565" width="11.42578125" style="5"/>
    <col min="2566" max="2566" width="13.28515625" style="5" customWidth="1"/>
    <col min="2567" max="2567" width="12.5703125" style="5" customWidth="1"/>
    <col min="2568" max="2568" width="15.5703125" style="5" customWidth="1"/>
    <col min="2569" max="2569" width="16" style="5" customWidth="1"/>
    <col min="2570" max="2816" width="11.42578125" style="5"/>
    <col min="2817" max="2817" width="16.28515625" style="5" customWidth="1"/>
    <col min="2818" max="2818" width="13.28515625" style="5" customWidth="1"/>
    <col min="2819" max="2819" width="43" style="5" customWidth="1"/>
    <col min="2820" max="2820" width="15.5703125" style="5" customWidth="1"/>
    <col min="2821" max="2821" width="11.42578125" style="5"/>
    <col min="2822" max="2822" width="13.28515625" style="5" customWidth="1"/>
    <col min="2823" max="2823" width="12.5703125" style="5" customWidth="1"/>
    <col min="2824" max="2824" width="15.5703125" style="5" customWidth="1"/>
    <col min="2825" max="2825" width="16" style="5" customWidth="1"/>
    <col min="2826" max="3072" width="11.42578125" style="5"/>
    <col min="3073" max="3073" width="16.28515625" style="5" customWidth="1"/>
    <col min="3074" max="3074" width="13.28515625" style="5" customWidth="1"/>
    <col min="3075" max="3075" width="43" style="5" customWidth="1"/>
    <col min="3076" max="3076" width="15.5703125" style="5" customWidth="1"/>
    <col min="3077" max="3077" width="11.42578125" style="5"/>
    <col min="3078" max="3078" width="13.28515625" style="5" customWidth="1"/>
    <col min="3079" max="3079" width="12.5703125" style="5" customWidth="1"/>
    <col min="3080" max="3080" width="15.5703125" style="5" customWidth="1"/>
    <col min="3081" max="3081" width="16" style="5" customWidth="1"/>
    <col min="3082" max="3328" width="11.42578125" style="5"/>
    <col min="3329" max="3329" width="16.28515625" style="5" customWidth="1"/>
    <col min="3330" max="3330" width="13.28515625" style="5" customWidth="1"/>
    <col min="3331" max="3331" width="43" style="5" customWidth="1"/>
    <col min="3332" max="3332" width="15.5703125" style="5" customWidth="1"/>
    <col min="3333" max="3333" width="11.42578125" style="5"/>
    <col min="3334" max="3334" width="13.28515625" style="5" customWidth="1"/>
    <col min="3335" max="3335" width="12.5703125" style="5" customWidth="1"/>
    <col min="3336" max="3336" width="15.5703125" style="5" customWidth="1"/>
    <col min="3337" max="3337" width="16" style="5" customWidth="1"/>
    <col min="3338" max="3584" width="11.42578125" style="5"/>
    <col min="3585" max="3585" width="16.28515625" style="5" customWidth="1"/>
    <col min="3586" max="3586" width="13.28515625" style="5" customWidth="1"/>
    <col min="3587" max="3587" width="43" style="5" customWidth="1"/>
    <col min="3588" max="3588" width="15.5703125" style="5" customWidth="1"/>
    <col min="3589" max="3589" width="11.42578125" style="5"/>
    <col min="3590" max="3590" width="13.28515625" style="5" customWidth="1"/>
    <col min="3591" max="3591" width="12.5703125" style="5" customWidth="1"/>
    <col min="3592" max="3592" width="15.5703125" style="5" customWidth="1"/>
    <col min="3593" max="3593" width="16" style="5" customWidth="1"/>
    <col min="3594" max="3840" width="11.42578125" style="5"/>
    <col min="3841" max="3841" width="16.28515625" style="5" customWidth="1"/>
    <col min="3842" max="3842" width="13.28515625" style="5" customWidth="1"/>
    <col min="3843" max="3843" width="43" style="5" customWidth="1"/>
    <col min="3844" max="3844" width="15.5703125" style="5" customWidth="1"/>
    <col min="3845" max="3845" width="11.42578125" style="5"/>
    <col min="3846" max="3846" width="13.28515625" style="5" customWidth="1"/>
    <col min="3847" max="3847" width="12.5703125" style="5" customWidth="1"/>
    <col min="3848" max="3848" width="15.5703125" style="5" customWidth="1"/>
    <col min="3849" max="3849" width="16" style="5" customWidth="1"/>
    <col min="3850" max="4096" width="11.42578125" style="5"/>
    <col min="4097" max="4097" width="16.28515625" style="5" customWidth="1"/>
    <col min="4098" max="4098" width="13.28515625" style="5" customWidth="1"/>
    <col min="4099" max="4099" width="43" style="5" customWidth="1"/>
    <col min="4100" max="4100" width="15.5703125" style="5" customWidth="1"/>
    <col min="4101" max="4101" width="11.42578125" style="5"/>
    <col min="4102" max="4102" width="13.28515625" style="5" customWidth="1"/>
    <col min="4103" max="4103" width="12.5703125" style="5" customWidth="1"/>
    <col min="4104" max="4104" width="15.5703125" style="5" customWidth="1"/>
    <col min="4105" max="4105" width="16" style="5" customWidth="1"/>
    <col min="4106" max="4352" width="11.42578125" style="5"/>
    <col min="4353" max="4353" width="16.28515625" style="5" customWidth="1"/>
    <col min="4354" max="4354" width="13.28515625" style="5" customWidth="1"/>
    <col min="4355" max="4355" width="43" style="5" customWidth="1"/>
    <col min="4356" max="4356" width="15.5703125" style="5" customWidth="1"/>
    <col min="4357" max="4357" width="11.42578125" style="5"/>
    <col min="4358" max="4358" width="13.28515625" style="5" customWidth="1"/>
    <col min="4359" max="4359" width="12.5703125" style="5" customWidth="1"/>
    <col min="4360" max="4360" width="15.5703125" style="5" customWidth="1"/>
    <col min="4361" max="4361" width="16" style="5" customWidth="1"/>
    <col min="4362" max="4608" width="11.42578125" style="5"/>
    <col min="4609" max="4609" width="16.28515625" style="5" customWidth="1"/>
    <col min="4610" max="4610" width="13.28515625" style="5" customWidth="1"/>
    <col min="4611" max="4611" width="43" style="5" customWidth="1"/>
    <col min="4612" max="4612" width="15.5703125" style="5" customWidth="1"/>
    <col min="4613" max="4613" width="11.42578125" style="5"/>
    <col min="4614" max="4614" width="13.28515625" style="5" customWidth="1"/>
    <col min="4615" max="4615" width="12.5703125" style="5" customWidth="1"/>
    <col min="4616" max="4616" width="15.5703125" style="5" customWidth="1"/>
    <col min="4617" max="4617" width="16" style="5" customWidth="1"/>
    <col min="4618" max="4864" width="11.42578125" style="5"/>
    <col min="4865" max="4865" width="16.28515625" style="5" customWidth="1"/>
    <col min="4866" max="4866" width="13.28515625" style="5" customWidth="1"/>
    <col min="4867" max="4867" width="43" style="5" customWidth="1"/>
    <col min="4868" max="4868" width="15.5703125" style="5" customWidth="1"/>
    <col min="4869" max="4869" width="11.42578125" style="5"/>
    <col min="4870" max="4870" width="13.28515625" style="5" customWidth="1"/>
    <col min="4871" max="4871" width="12.5703125" style="5" customWidth="1"/>
    <col min="4872" max="4872" width="15.5703125" style="5" customWidth="1"/>
    <col min="4873" max="4873" width="16" style="5" customWidth="1"/>
    <col min="4874" max="5120" width="11.42578125" style="5"/>
    <col min="5121" max="5121" width="16.28515625" style="5" customWidth="1"/>
    <col min="5122" max="5122" width="13.28515625" style="5" customWidth="1"/>
    <col min="5123" max="5123" width="43" style="5" customWidth="1"/>
    <col min="5124" max="5124" width="15.5703125" style="5" customWidth="1"/>
    <col min="5125" max="5125" width="11.42578125" style="5"/>
    <col min="5126" max="5126" width="13.28515625" style="5" customWidth="1"/>
    <col min="5127" max="5127" width="12.5703125" style="5" customWidth="1"/>
    <col min="5128" max="5128" width="15.5703125" style="5" customWidth="1"/>
    <col min="5129" max="5129" width="16" style="5" customWidth="1"/>
    <col min="5130" max="5376" width="11.42578125" style="5"/>
    <col min="5377" max="5377" width="16.28515625" style="5" customWidth="1"/>
    <col min="5378" max="5378" width="13.28515625" style="5" customWidth="1"/>
    <col min="5379" max="5379" width="43" style="5" customWidth="1"/>
    <col min="5380" max="5380" width="15.5703125" style="5" customWidth="1"/>
    <col min="5381" max="5381" width="11.42578125" style="5"/>
    <col min="5382" max="5382" width="13.28515625" style="5" customWidth="1"/>
    <col min="5383" max="5383" width="12.5703125" style="5" customWidth="1"/>
    <col min="5384" max="5384" width="15.5703125" style="5" customWidth="1"/>
    <col min="5385" max="5385" width="16" style="5" customWidth="1"/>
    <col min="5386" max="5632" width="11.42578125" style="5"/>
    <col min="5633" max="5633" width="16.28515625" style="5" customWidth="1"/>
    <col min="5634" max="5634" width="13.28515625" style="5" customWidth="1"/>
    <col min="5635" max="5635" width="43" style="5" customWidth="1"/>
    <col min="5636" max="5636" width="15.5703125" style="5" customWidth="1"/>
    <col min="5637" max="5637" width="11.42578125" style="5"/>
    <col min="5638" max="5638" width="13.28515625" style="5" customWidth="1"/>
    <col min="5639" max="5639" width="12.5703125" style="5" customWidth="1"/>
    <col min="5640" max="5640" width="15.5703125" style="5" customWidth="1"/>
    <col min="5641" max="5641" width="16" style="5" customWidth="1"/>
    <col min="5642" max="5888" width="11.42578125" style="5"/>
    <col min="5889" max="5889" width="16.28515625" style="5" customWidth="1"/>
    <col min="5890" max="5890" width="13.28515625" style="5" customWidth="1"/>
    <col min="5891" max="5891" width="43" style="5" customWidth="1"/>
    <col min="5892" max="5892" width="15.5703125" style="5" customWidth="1"/>
    <col min="5893" max="5893" width="11.42578125" style="5"/>
    <col min="5894" max="5894" width="13.28515625" style="5" customWidth="1"/>
    <col min="5895" max="5895" width="12.5703125" style="5" customWidth="1"/>
    <col min="5896" max="5896" width="15.5703125" style="5" customWidth="1"/>
    <col min="5897" max="5897" width="16" style="5" customWidth="1"/>
    <col min="5898" max="6144" width="11.42578125" style="5"/>
    <col min="6145" max="6145" width="16.28515625" style="5" customWidth="1"/>
    <col min="6146" max="6146" width="13.28515625" style="5" customWidth="1"/>
    <col min="6147" max="6147" width="43" style="5" customWidth="1"/>
    <col min="6148" max="6148" width="15.5703125" style="5" customWidth="1"/>
    <col min="6149" max="6149" width="11.42578125" style="5"/>
    <col min="6150" max="6150" width="13.28515625" style="5" customWidth="1"/>
    <col min="6151" max="6151" width="12.5703125" style="5" customWidth="1"/>
    <col min="6152" max="6152" width="15.5703125" style="5" customWidth="1"/>
    <col min="6153" max="6153" width="16" style="5" customWidth="1"/>
    <col min="6154" max="6400" width="11.42578125" style="5"/>
    <col min="6401" max="6401" width="16.28515625" style="5" customWidth="1"/>
    <col min="6402" max="6402" width="13.28515625" style="5" customWidth="1"/>
    <col min="6403" max="6403" width="43" style="5" customWidth="1"/>
    <col min="6404" max="6404" width="15.5703125" style="5" customWidth="1"/>
    <col min="6405" max="6405" width="11.42578125" style="5"/>
    <col min="6406" max="6406" width="13.28515625" style="5" customWidth="1"/>
    <col min="6407" max="6407" width="12.5703125" style="5" customWidth="1"/>
    <col min="6408" max="6408" width="15.5703125" style="5" customWidth="1"/>
    <col min="6409" max="6409" width="16" style="5" customWidth="1"/>
    <col min="6410" max="6656" width="11.42578125" style="5"/>
    <col min="6657" max="6657" width="16.28515625" style="5" customWidth="1"/>
    <col min="6658" max="6658" width="13.28515625" style="5" customWidth="1"/>
    <col min="6659" max="6659" width="43" style="5" customWidth="1"/>
    <col min="6660" max="6660" width="15.5703125" style="5" customWidth="1"/>
    <col min="6661" max="6661" width="11.42578125" style="5"/>
    <col min="6662" max="6662" width="13.28515625" style="5" customWidth="1"/>
    <col min="6663" max="6663" width="12.5703125" style="5" customWidth="1"/>
    <col min="6664" max="6664" width="15.5703125" style="5" customWidth="1"/>
    <col min="6665" max="6665" width="16" style="5" customWidth="1"/>
    <col min="6666" max="6912" width="11.42578125" style="5"/>
    <col min="6913" max="6913" width="16.28515625" style="5" customWidth="1"/>
    <col min="6914" max="6914" width="13.28515625" style="5" customWidth="1"/>
    <col min="6915" max="6915" width="43" style="5" customWidth="1"/>
    <col min="6916" max="6916" width="15.5703125" style="5" customWidth="1"/>
    <col min="6917" max="6917" width="11.42578125" style="5"/>
    <col min="6918" max="6918" width="13.28515625" style="5" customWidth="1"/>
    <col min="6919" max="6919" width="12.5703125" style="5" customWidth="1"/>
    <col min="6920" max="6920" width="15.5703125" style="5" customWidth="1"/>
    <col min="6921" max="6921" width="16" style="5" customWidth="1"/>
    <col min="6922" max="7168" width="11.42578125" style="5"/>
    <col min="7169" max="7169" width="16.28515625" style="5" customWidth="1"/>
    <col min="7170" max="7170" width="13.28515625" style="5" customWidth="1"/>
    <col min="7171" max="7171" width="43" style="5" customWidth="1"/>
    <col min="7172" max="7172" width="15.5703125" style="5" customWidth="1"/>
    <col min="7173" max="7173" width="11.42578125" style="5"/>
    <col min="7174" max="7174" width="13.28515625" style="5" customWidth="1"/>
    <col min="7175" max="7175" width="12.5703125" style="5" customWidth="1"/>
    <col min="7176" max="7176" width="15.5703125" style="5" customWidth="1"/>
    <col min="7177" max="7177" width="16" style="5" customWidth="1"/>
    <col min="7178" max="7424" width="11.42578125" style="5"/>
    <col min="7425" max="7425" width="16.28515625" style="5" customWidth="1"/>
    <col min="7426" max="7426" width="13.28515625" style="5" customWidth="1"/>
    <col min="7427" max="7427" width="43" style="5" customWidth="1"/>
    <col min="7428" max="7428" width="15.5703125" style="5" customWidth="1"/>
    <col min="7429" max="7429" width="11.42578125" style="5"/>
    <col min="7430" max="7430" width="13.28515625" style="5" customWidth="1"/>
    <col min="7431" max="7431" width="12.5703125" style="5" customWidth="1"/>
    <col min="7432" max="7432" width="15.5703125" style="5" customWidth="1"/>
    <col min="7433" max="7433" width="16" style="5" customWidth="1"/>
    <col min="7434" max="7680" width="11.42578125" style="5"/>
    <col min="7681" max="7681" width="16.28515625" style="5" customWidth="1"/>
    <col min="7682" max="7682" width="13.28515625" style="5" customWidth="1"/>
    <col min="7683" max="7683" width="43" style="5" customWidth="1"/>
    <col min="7684" max="7684" width="15.5703125" style="5" customWidth="1"/>
    <col min="7685" max="7685" width="11.42578125" style="5"/>
    <col min="7686" max="7686" width="13.28515625" style="5" customWidth="1"/>
    <col min="7687" max="7687" width="12.5703125" style="5" customWidth="1"/>
    <col min="7688" max="7688" width="15.5703125" style="5" customWidth="1"/>
    <col min="7689" max="7689" width="16" style="5" customWidth="1"/>
    <col min="7690" max="7936" width="11.42578125" style="5"/>
    <col min="7937" max="7937" width="16.28515625" style="5" customWidth="1"/>
    <col min="7938" max="7938" width="13.28515625" style="5" customWidth="1"/>
    <col min="7939" max="7939" width="43" style="5" customWidth="1"/>
    <col min="7940" max="7940" width="15.5703125" style="5" customWidth="1"/>
    <col min="7941" max="7941" width="11.42578125" style="5"/>
    <col min="7942" max="7942" width="13.28515625" style="5" customWidth="1"/>
    <col min="7943" max="7943" width="12.5703125" style="5" customWidth="1"/>
    <col min="7944" max="7944" width="15.5703125" style="5" customWidth="1"/>
    <col min="7945" max="7945" width="16" style="5" customWidth="1"/>
    <col min="7946" max="8192" width="11.42578125" style="5"/>
    <col min="8193" max="8193" width="16.28515625" style="5" customWidth="1"/>
    <col min="8194" max="8194" width="13.28515625" style="5" customWidth="1"/>
    <col min="8195" max="8195" width="43" style="5" customWidth="1"/>
    <col min="8196" max="8196" width="15.5703125" style="5" customWidth="1"/>
    <col min="8197" max="8197" width="11.42578125" style="5"/>
    <col min="8198" max="8198" width="13.28515625" style="5" customWidth="1"/>
    <col min="8199" max="8199" width="12.5703125" style="5" customWidth="1"/>
    <col min="8200" max="8200" width="15.5703125" style="5" customWidth="1"/>
    <col min="8201" max="8201" width="16" style="5" customWidth="1"/>
    <col min="8202" max="8448" width="11.42578125" style="5"/>
    <col min="8449" max="8449" width="16.28515625" style="5" customWidth="1"/>
    <col min="8450" max="8450" width="13.28515625" style="5" customWidth="1"/>
    <col min="8451" max="8451" width="43" style="5" customWidth="1"/>
    <col min="8452" max="8452" width="15.5703125" style="5" customWidth="1"/>
    <col min="8453" max="8453" width="11.42578125" style="5"/>
    <col min="8454" max="8454" width="13.28515625" style="5" customWidth="1"/>
    <col min="8455" max="8455" width="12.5703125" style="5" customWidth="1"/>
    <col min="8456" max="8456" width="15.5703125" style="5" customWidth="1"/>
    <col min="8457" max="8457" width="16" style="5" customWidth="1"/>
    <col min="8458" max="8704" width="11.42578125" style="5"/>
    <col min="8705" max="8705" width="16.28515625" style="5" customWidth="1"/>
    <col min="8706" max="8706" width="13.28515625" style="5" customWidth="1"/>
    <col min="8707" max="8707" width="43" style="5" customWidth="1"/>
    <col min="8708" max="8708" width="15.5703125" style="5" customWidth="1"/>
    <col min="8709" max="8709" width="11.42578125" style="5"/>
    <col min="8710" max="8710" width="13.28515625" style="5" customWidth="1"/>
    <col min="8711" max="8711" width="12.5703125" style="5" customWidth="1"/>
    <col min="8712" max="8712" width="15.5703125" style="5" customWidth="1"/>
    <col min="8713" max="8713" width="16" style="5" customWidth="1"/>
    <col min="8714" max="8960" width="11.42578125" style="5"/>
    <col min="8961" max="8961" width="16.28515625" style="5" customWidth="1"/>
    <col min="8962" max="8962" width="13.28515625" style="5" customWidth="1"/>
    <col min="8963" max="8963" width="43" style="5" customWidth="1"/>
    <col min="8964" max="8964" width="15.5703125" style="5" customWidth="1"/>
    <col min="8965" max="8965" width="11.42578125" style="5"/>
    <col min="8966" max="8966" width="13.28515625" style="5" customWidth="1"/>
    <col min="8967" max="8967" width="12.5703125" style="5" customWidth="1"/>
    <col min="8968" max="8968" width="15.5703125" style="5" customWidth="1"/>
    <col min="8969" max="8969" width="16" style="5" customWidth="1"/>
    <col min="8970" max="9216" width="11.42578125" style="5"/>
    <col min="9217" max="9217" width="16.28515625" style="5" customWidth="1"/>
    <col min="9218" max="9218" width="13.28515625" style="5" customWidth="1"/>
    <col min="9219" max="9219" width="43" style="5" customWidth="1"/>
    <col min="9220" max="9220" width="15.5703125" style="5" customWidth="1"/>
    <col min="9221" max="9221" width="11.42578125" style="5"/>
    <col min="9222" max="9222" width="13.28515625" style="5" customWidth="1"/>
    <col min="9223" max="9223" width="12.5703125" style="5" customWidth="1"/>
    <col min="9224" max="9224" width="15.5703125" style="5" customWidth="1"/>
    <col min="9225" max="9225" width="16" style="5" customWidth="1"/>
    <col min="9226" max="9472" width="11.42578125" style="5"/>
    <col min="9473" max="9473" width="16.28515625" style="5" customWidth="1"/>
    <col min="9474" max="9474" width="13.28515625" style="5" customWidth="1"/>
    <col min="9475" max="9475" width="43" style="5" customWidth="1"/>
    <col min="9476" max="9476" width="15.5703125" style="5" customWidth="1"/>
    <col min="9477" max="9477" width="11.42578125" style="5"/>
    <col min="9478" max="9478" width="13.28515625" style="5" customWidth="1"/>
    <col min="9479" max="9479" width="12.5703125" style="5" customWidth="1"/>
    <col min="9480" max="9480" width="15.5703125" style="5" customWidth="1"/>
    <col min="9481" max="9481" width="16" style="5" customWidth="1"/>
    <col min="9482" max="9728" width="11.42578125" style="5"/>
    <col min="9729" max="9729" width="16.28515625" style="5" customWidth="1"/>
    <col min="9730" max="9730" width="13.28515625" style="5" customWidth="1"/>
    <col min="9731" max="9731" width="43" style="5" customWidth="1"/>
    <col min="9732" max="9732" width="15.5703125" style="5" customWidth="1"/>
    <col min="9733" max="9733" width="11.42578125" style="5"/>
    <col min="9734" max="9734" width="13.28515625" style="5" customWidth="1"/>
    <col min="9735" max="9735" width="12.5703125" style="5" customWidth="1"/>
    <col min="9736" max="9736" width="15.5703125" style="5" customWidth="1"/>
    <col min="9737" max="9737" width="16" style="5" customWidth="1"/>
    <col min="9738" max="9984" width="11.42578125" style="5"/>
    <col min="9985" max="9985" width="16.28515625" style="5" customWidth="1"/>
    <col min="9986" max="9986" width="13.28515625" style="5" customWidth="1"/>
    <col min="9987" max="9987" width="43" style="5" customWidth="1"/>
    <col min="9988" max="9988" width="15.5703125" style="5" customWidth="1"/>
    <col min="9989" max="9989" width="11.42578125" style="5"/>
    <col min="9990" max="9990" width="13.28515625" style="5" customWidth="1"/>
    <col min="9991" max="9991" width="12.5703125" style="5" customWidth="1"/>
    <col min="9992" max="9992" width="15.5703125" style="5" customWidth="1"/>
    <col min="9993" max="9993" width="16" style="5" customWidth="1"/>
    <col min="9994" max="10240" width="11.42578125" style="5"/>
    <col min="10241" max="10241" width="16.28515625" style="5" customWidth="1"/>
    <col min="10242" max="10242" width="13.28515625" style="5" customWidth="1"/>
    <col min="10243" max="10243" width="43" style="5" customWidth="1"/>
    <col min="10244" max="10244" width="15.5703125" style="5" customWidth="1"/>
    <col min="10245" max="10245" width="11.42578125" style="5"/>
    <col min="10246" max="10246" width="13.28515625" style="5" customWidth="1"/>
    <col min="10247" max="10247" width="12.5703125" style="5" customWidth="1"/>
    <col min="10248" max="10248" width="15.5703125" style="5" customWidth="1"/>
    <col min="10249" max="10249" width="16" style="5" customWidth="1"/>
    <col min="10250" max="10496" width="11.42578125" style="5"/>
    <col min="10497" max="10497" width="16.28515625" style="5" customWidth="1"/>
    <col min="10498" max="10498" width="13.28515625" style="5" customWidth="1"/>
    <col min="10499" max="10499" width="43" style="5" customWidth="1"/>
    <col min="10500" max="10500" width="15.5703125" style="5" customWidth="1"/>
    <col min="10501" max="10501" width="11.42578125" style="5"/>
    <col min="10502" max="10502" width="13.28515625" style="5" customWidth="1"/>
    <col min="10503" max="10503" width="12.5703125" style="5" customWidth="1"/>
    <col min="10504" max="10504" width="15.5703125" style="5" customWidth="1"/>
    <col min="10505" max="10505" width="16" style="5" customWidth="1"/>
    <col min="10506" max="10752" width="11.42578125" style="5"/>
    <col min="10753" max="10753" width="16.28515625" style="5" customWidth="1"/>
    <col min="10754" max="10754" width="13.28515625" style="5" customWidth="1"/>
    <col min="10755" max="10755" width="43" style="5" customWidth="1"/>
    <col min="10756" max="10756" width="15.5703125" style="5" customWidth="1"/>
    <col min="10757" max="10757" width="11.42578125" style="5"/>
    <col min="10758" max="10758" width="13.28515625" style="5" customWidth="1"/>
    <col min="10759" max="10759" width="12.5703125" style="5" customWidth="1"/>
    <col min="10760" max="10760" width="15.5703125" style="5" customWidth="1"/>
    <col min="10761" max="10761" width="16" style="5" customWidth="1"/>
    <col min="10762" max="11008" width="11.42578125" style="5"/>
    <col min="11009" max="11009" width="16.28515625" style="5" customWidth="1"/>
    <col min="11010" max="11010" width="13.28515625" style="5" customWidth="1"/>
    <col min="11011" max="11011" width="43" style="5" customWidth="1"/>
    <col min="11012" max="11012" width="15.5703125" style="5" customWidth="1"/>
    <col min="11013" max="11013" width="11.42578125" style="5"/>
    <col min="11014" max="11014" width="13.28515625" style="5" customWidth="1"/>
    <col min="11015" max="11015" width="12.5703125" style="5" customWidth="1"/>
    <col min="11016" max="11016" width="15.5703125" style="5" customWidth="1"/>
    <col min="11017" max="11017" width="16" style="5" customWidth="1"/>
    <col min="11018" max="11264" width="11.42578125" style="5"/>
    <col min="11265" max="11265" width="16.28515625" style="5" customWidth="1"/>
    <col min="11266" max="11266" width="13.28515625" style="5" customWidth="1"/>
    <col min="11267" max="11267" width="43" style="5" customWidth="1"/>
    <col min="11268" max="11268" width="15.5703125" style="5" customWidth="1"/>
    <col min="11269" max="11269" width="11.42578125" style="5"/>
    <col min="11270" max="11270" width="13.28515625" style="5" customWidth="1"/>
    <col min="11271" max="11271" width="12.5703125" style="5" customWidth="1"/>
    <col min="11272" max="11272" width="15.5703125" style="5" customWidth="1"/>
    <col min="11273" max="11273" width="16" style="5" customWidth="1"/>
    <col min="11274" max="11520" width="11.42578125" style="5"/>
    <col min="11521" max="11521" width="16.28515625" style="5" customWidth="1"/>
    <col min="11522" max="11522" width="13.28515625" style="5" customWidth="1"/>
    <col min="11523" max="11523" width="43" style="5" customWidth="1"/>
    <col min="11524" max="11524" width="15.5703125" style="5" customWidth="1"/>
    <col min="11525" max="11525" width="11.42578125" style="5"/>
    <col min="11526" max="11526" width="13.28515625" style="5" customWidth="1"/>
    <col min="11527" max="11527" width="12.5703125" style="5" customWidth="1"/>
    <col min="11528" max="11528" width="15.5703125" style="5" customWidth="1"/>
    <col min="11529" max="11529" width="16" style="5" customWidth="1"/>
    <col min="11530" max="11776" width="11.42578125" style="5"/>
    <col min="11777" max="11777" width="16.28515625" style="5" customWidth="1"/>
    <col min="11778" max="11778" width="13.28515625" style="5" customWidth="1"/>
    <col min="11779" max="11779" width="43" style="5" customWidth="1"/>
    <col min="11780" max="11780" width="15.5703125" style="5" customWidth="1"/>
    <col min="11781" max="11781" width="11.42578125" style="5"/>
    <col min="11782" max="11782" width="13.28515625" style="5" customWidth="1"/>
    <col min="11783" max="11783" width="12.5703125" style="5" customWidth="1"/>
    <col min="11784" max="11784" width="15.5703125" style="5" customWidth="1"/>
    <col min="11785" max="11785" width="16" style="5" customWidth="1"/>
    <col min="11786" max="12032" width="11.42578125" style="5"/>
    <col min="12033" max="12033" width="16.28515625" style="5" customWidth="1"/>
    <col min="12034" max="12034" width="13.28515625" style="5" customWidth="1"/>
    <col min="12035" max="12035" width="43" style="5" customWidth="1"/>
    <col min="12036" max="12036" width="15.5703125" style="5" customWidth="1"/>
    <col min="12037" max="12037" width="11.42578125" style="5"/>
    <col min="12038" max="12038" width="13.28515625" style="5" customWidth="1"/>
    <col min="12039" max="12039" width="12.5703125" style="5" customWidth="1"/>
    <col min="12040" max="12040" width="15.5703125" style="5" customWidth="1"/>
    <col min="12041" max="12041" width="16" style="5" customWidth="1"/>
    <col min="12042" max="12288" width="11.42578125" style="5"/>
    <col min="12289" max="12289" width="16.28515625" style="5" customWidth="1"/>
    <col min="12290" max="12290" width="13.28515625" style="5" customWidth="1"/>
    <col min="12291" max="12291" width="43" style="5" customWidth="1"/>
    <col min="12292" max="12292" width="15.5703125" style="5" customWidth="1"/>
    <col min="12293" max="12293" width="11.42578125" style="5"/>
    <col min="12294" max="12294" width="13.28515625" style="5" customWidth="1"/>
    <col min="12295" max="12295" width="12.5703125" style="5" customWidth="1"/>
    <col min="12296" max="12296" width="15.5703125" style="5" customWidth="1"/>
    <col min="12297" max="12297" width="16" style="5" customWidth="1"/>
    <col min="12298" max="12544" width="11.42578125" style="5"/>
    <col min="12545" max="12545" width="16.28515625" style="5" customWidth="1"/>
    <col min="12546" max="12546" width="13.28515625" style="5" customWidth="1"/>
    <col min="12547" max="12547" width="43" style="5" customWidth="1"/>
    <col min="12548" max="12548" width="15.5703125" style="5" customWidth="1"/>
    <col min="12549" max="12549" width="11.42578125" style="5"/>
    <col min="12550" max="12550" width="13.28515625" style="5" customWidth="1"/>
    <col min="12551" max="12551" width="12.5703125" style="5" customWidth="1"/>
    <col min="12552" max="12552" width="15.5703125" style="5" customWidth="1"/>
    <col min="12553" max="12553" width="16" style="5" customWidth="1"/>
    <col min="12554" max="12800" width="11.42578125" style="5"/>
    <col min="12801" max="12801" width="16.28515625" style="5" customWidth="1"/>
    <col min="12802" max="12802" width="13.28515625" style="5" customWidth="1"/>
    <col min="12803" max="12803" width="43" style="5" customWidth="1"/>
    <col min="12804" max="12804" width="15.5703125" style="5" customWidth="1"/>
    <col min="12805" max="12805" width="11.42578125" style="5"/>
    <col min="12806" max="12806" width="13.28515625" style="5" customWidth="1"/>
    <col min="12807" max="12807" width="12.5703125" style="5" customWidth="1"/>
    <col min="12808" max="12808" width="15.5703125" style="5" customWidth="1"/>
    <col min="12809" max="12809" width="16" style="5" customWidth="1"/>
    <col min="12810" max="13056" width="11.42578125" style="5"/>
    <col min="13057" max="13057" width="16.28515625" style="5" customWidth="1"/>
    <col min="13058" max="13058" width="13.28515625" style="5" customWidth="1"/>
    <col min="13059" max="13059" width="43" style="5" customWidth="1"/>
    <col min="13060" max="13060" width="15.5703125" style="5" customWidth="1"/>
    <col min="13061" max="13061" width="11.42578125" style="5"/>
    <col min="13062" max="13062" width="13.28515625" style="5" customWidth="1"/>
    <col min="13063" max="13063" width="12.5703125" style="5" customWidth="1"/>
    <col min="13064" max="13064" width="15.5703125" style="5" customWidth="1"/>
    <col min="13065" max="13065" width="16" style="5" customWidth="1"/>
    <col min="13066" max="13312" width="11.42578125" style="5"/>
    <col min="13313" max="13313" width="16.28515625" style="5" customWidth="1"/>
    <col min="13314" max="13314" width="13.28515625" style="5" customWidth="1"/>
    <col min="13315" max="13315" width="43" style="5" customWidth="1"/>
    <col min="13316" max="13316" width="15.5703125" style="5" customWidth="1"/>
    <col min="13317" max="13317" width="11.42578125" style="5"/>
    <col min="13318" max="13318" width="13.28515625" style="5" customWidth="1"/>
    <col min="13319" max="13319" width="12.5703125" style="5" customWidth="1"/>
    <col min="13320" max="13320" width="15.5703125" style="5" customWidth="1"/>
    <col min="13321" max="13321" width="16" style="5" customWidth="1"/>
    <col min="13322" max="13568" width="11.42578125" style="5"/>
    <col min="13569" max="13569" width="16.28515625" style="5" customWidth="1"/>
    <col min="13570" max="13570" width="13.28515625" style="5" customWidth="1"/>
    <col min="13571" max="13571" width="43" style="5" customWidth="1"/>
    <col min="13572" max="13572" width="15.5703125" style="5" customWidth="1"/>
    <col min="13573" max="13573" width="11.42578125" style="5"/>
    <col min="13574" max="13574" width="13.28515625" style="5" customWidth="1"/>
    <col min="13575" max="13575" width="12.5703125" style="5" customWidth="1"/>
    <col min="13576" max="13576" width="15.5703125" style="5" customWidth="1"/>
    <col min="13577" max="13577" width="16" style="5" customWidth="1"/>
    <col min="13578" max="13824" width="11.42578125" style="5"/>
    <col min="13825" max="13825" width="16.28515625" style="5" customWidth="1"/>
    <col min="13826" max="13826" width="13.28515625" style="5" customWidth="1"/>
    <col min="13827" max="13827" width="43" style="5" customWidth="1"/>
    <col min="13828" max="13828" width="15.5703125" style="5" customWidth="1"/>
    <col min="13829" max="13829" width="11.42578125" style="5"/>
    <col min="13830" max="13830" width="13.28515625" style="5" customWidth="1"/>
    <col min="13831" max="13831" width="12.5703125" style="5" customWidth="1"/>
    <col min="13832" max="13832" width="15.5703125" style="5" customWidth="1"/>
    <col min="13833" max="13833" width="16" style="5" customWidth="1"/>
    <col min="13834" max="14080" width="11.42578125" style="5"/>
    <col min="14081" max="14081" width="16.28515625" style="5" customWidth="1"/>
    <col min="14082" max="14082" width="13.28515625" style="5" customWidth="1"/>
    <col min="14083" max="14083" width="43" style="5" customWidth="1"/>
    <col min="14084" max="14084" width="15.5703125" style="5" customWidth="1"/>
    <col min="14085" max="14085" width="11.42578125" style="5"/>
    <col min="14086" max="14086" width="13.28515625" style="5" customWidth="1"/>
    <col min="14087" max="14087" width="12.5703125" style="5" customWidth="1"/>
    <col min="14088" max="14088" width="15.5703125" style="5" customWidth="1"/>
    <col min="14089" max="14089" width="16" style="5" customWidth="1"/>
    <col min="14090" max="14336" width="11.42578125" style="5"/>
    <col min="14337" max="14337" width="16.28515625" style="5" customWidth="1"/>
    <col min="14338" max="14338" width="13.28515625" style="5" customWidth="1"/>
    <col min="14339" max="14339" width="43" style="5" customWidth="1"/>
    <col min="14340" max="14340" width="15.5703125" style="5" customWidth="1"/>
    <col min="14341" max="14341" width="11.42578125" style="5"/>
    <col min="14342" max="14342" width="13.28515625" style="5" customWidth="1"/>
    <col min="14343" max="14343" width="12.5703125" style="5" customWidth="1"/>
    <col min="14344" max="14344" width="15.5703125" style="5" customWidth="1"/>
    <col min="14345" max="14345" width="16" style="5" customWidth="1"/>
    <col min="14346" max="14592" width="11.42578125" style="5"/>
    <col min="14593" max="14593" width="16.28515625" style="5" customWidth="1"/>
    <col min="14594" max="14594" width="13.28515625" style="5" customWidth="1"/>
    <col min="14595" max="14595" width="43" style="5" customWidth="1"/>
    <col min="14596" max="14596" width="15.5703125" style="5" customWidth="1"/>
    <col min="14597" max="14597" width="11.42578125" style="5"/>
    <col min="14598" max="14598" width="13.28515625" style="5" customWidth="1"/>
    <col min="14599" max="14599" width="12.5703125" style="5" customWidth="1"/>
    <col min="14600" max="14600" width="15.5703125" style="5" customWidth="1"/>
    <col min="14601" max="14601" width="16" style="5" customWidth="1"/>
    <col min="14602" max="14848" width="11.42578125" style="5"/>
    <col min="14849" max="14849" width="16.28515625" style="5" customWidth="1"/>
    <col min="14850" max="14850" width="13.28515625" style="5" customWidth="1"/>
    <col min="14851" max="14851" width="43" style="5" customWidth="1"/>
    <col min="14852" max="14852" width="15.5703125" style="5" customWidth="1"/>
    <col min="14853" max="14853" width="11.42578125" style="5"/>
    <col min="14854" max="14854" width="13.28515625" style="5" customWidth="1"/>
    <col min="14855" max="14855" width="12.5703125" style="5" customWidth="1"/>
    <col min="14856" max="14856" width="15.5703125" style="5" customWidth="1"/>
    <col min="14857" max="14857" width="16" style="5" customWidth="1"/>
    <col min="14858" max="15104" width="11.42578125" style="5"/>
    <col min="15105" max="15105" width="16.28515625" style="5" customWidth="1"/>
    <col min="15106" max="15106" width="13.28515625" style="5" customWidth="1"/>
    <col min="15107" max="15107" width="43" style="5" customWidth="1"/>
    <col min="15108" max="15108" width="15.5703125" style="5" customWidth="1"/>
    <col min="15109" max="15109" width="11.42578125" style="5"/>
    <col min="15110" max="15110" width="13.28515625" style="5" customWidth="1"/>
    <col min="15111" max="15111" width="12.5703125" style="5" customWidth="1"/>
    <col min="15112" max="15112" width="15.5703125" style="5" customWidth="1"/>
    <col min="15113" max="15113" width="16" style="5" customWidth="1"/>
    <col min="15114" max="15360" width="11.42578125" style="5"/>
    <col min="15361" max="15361" width="16.28515625" style="5" customWidth="1"/>
    <col min="15362" max="15362" width="13.28515625" style="5" customWidth="1"/>
    <col min="15363" max="15363" width="43" style="5" customWidth="1"/>
    <col min="15364" max="15364" width="15.5703125" style="5" customWidth="1"/>
    <col min="15365" max="15365" width="11.42578125" style="5"/>
    <col min="15366" max="15366" width="13.28515625" style="5" customWidth="1"/>
    <col min="15367" max="15367" width="12.5703125" style="5" customWidth="1"/>
    <col min="15368" max="15368" width="15.5703125" style="5" customWidth="1"/>
    <col min="15369" max="15369" width="16" style="5" customWidth="1"/>
    <col min="15370" max="15616" width="11.42578125" style="5"/>
    <col min="15617" max="15617" width="16.28515625" style="5" customWidth="1"/>
    <col min="15618" max="15618" width="13.28515625" style="5" customWidth="1"/>
    <col min="15619" max="15619" width="43" style="5" customWidth="1"/>
    <col min="15620" max="15620" width="15.5703125" style="5" customWidth="1"/>
    <col min="15621" max="15621" width="11.42578125" style="5"/>
    <col min="15622" max="15622" width="13.28515625" style="5" customWidth="1"/>
    <col min="15623" max="15623" width="12.5703125" style="5" customWidth="1"/>
    <col min="15624" max="15624" width="15.5703125" style="5" customWidth="1"/>
    <col min="15625" max="15625" width="16" style="5" customWidth="1"/>
    <col min="15626" max="15872" width="11.42578125" style="5"/>
    <col min="15873" max="15873" width="16.28515625" style="5" customWidth="1"/>
    <col min="15874" max="15874" width="13.28515625" style="5" customWidth="1"/>
    <col min="15875" max="15875" width="43" style="5" customWidth="1"/>
    <col min="15876" max="15876" width="15.5703125" style="5" customWidth="1"/>
    <col min="15877" max="15877" width="11.42578125" style="5"/>
    <col min="15878" max="15878" width="13.28515625" style="5" customWidth="1"/>
    <col min="15879" max="15879" width="12.5703125" style="5" customWidth="1"/>
    <col min="15880" max="15880" width="15.5703125" style="5" customWidth="1"/>
    <col min="15881" max="15881" width="16" style="5" customWidth="1"/>
    <col min="15882" max="16128" width="11.42578125" style="5"/>
    <col min="16129" max="16129" width="16.28515625" style="5" customWidth="1"/>
    <col min="16130" max="16130" width="13.28515625" style="5" customWidth="1"/>
    <col min="16131" max="16131" width="43" style="5" customWidth="1"/>
    <col min="16132" max="16132" width="15.5703125" style="5" customWidth="1"/>
    <col min="16133" max="16133" width="11.42578125" style="5"/>
    <col min="16134" max="16134" width="13.28515625" style="5" customWidth="1"/>
    <col min="16135" max="16135" width="12.5703125" style="5" customWidth="1"/>
    <col min="16136" max="16136" width="15.5703125" style="5" customWidth="1"/>
    <col min="16137" max="16137" width="16" style="5" customWidth="1"/>
    <col min="16138" max="16384" width="11.42578125" style="5"/>
  </cols>
  <sheetData>
    <row r="1" spans="1:9" ht="15.75" x14ac:dyDescent="0.25">
      <c r="A1" s="668"/>
      <c r="B1" s="669"/>
      <c r="C1" s="674" t="s">
        <v>35</v>
      </c>
      <c r="D1" s="674"/>
      <c r="E1" s="674"/>
      <c r="F1" s="674"/>
      <c r="G1" s="674"/>
      <c r="H1" s="205" t="s">
        <v>34</v>
      </c>
      <c r="I1" s="206" t="s">
        <v>265</v>
      </c>
    </row>
    <row r="2" spans="1:9" ht="16.5" thickBot="1" x14ac:dyDescent="0.3">
      <c r="A2" s="670"/>
      <c r="B2" s="671"/>
      <c r="C2" s="675" t="s">
        <v>33</v>
      </c>
      <c r="D2" s="675"/>
      <c r="E2" s="675"/>
      <c r="F2" s="675"/>
      <c r="G2" s="675"/>
      <c r="H2" s="207" t="s">
        <v>32</v>
      </c>
      <c r="I2" s="208" t="s">
        <v>266</v>
      </c>
    </row>
    <row r="3" spans="1:9" ht="18.75" thickBot="1" x14ac:dyDescent="0.3">
      <c r="A3" s="670"/>
      <c r="B3" s="671"/>
      <c r="C3" s="936" t="s">
        <v>267</v>
      </c>
      <c r="D3" s="937"/>
      <c r="E3" s="937"/>
      <c r="F3" s="937"/>
      <c r="G3" s="938"/>
      <c r="H3" s="653" t="s">
        <v>31</v>
      </c>
      <c r="I3" s="643">
        <v>45268</v>
      </c>
    </row>
    <row r="4" spans="1:9" x14ac:dyDescent="0.25">
      <c r="A4" s="670"/>
      <c r="B4" s="671"/>
      <c r="C4" s="209" t="s">
        <v>30</v>
      </c>
      <c r="D4" s="811" t="s">
        <v>148</v>
      </c>
      <c r="E4" s="812"/>
      <c r="F4" s="812"/>
      <c r="G4" s="813"/>
      <c r="H4" s="654"/>
      <c r="I4" s="644"/>
    </row>
    <row r="5" spans="1:9" ht="14.25" thickBot="1" x14ac:dyDescent="0.3">
      <c r="A5" s="672"/>
      <c r="B5" s="673"/>
      <c r="C5" s="210" t="s">
        <v>29</v>
      </c>
      <c r="D5" s="814" t="s">
        <v>268</v>
      </c>
      <c r="E5" s="815"/>
      <c r="F5" s="815"/>
      <c r="G5" s="816"/>
      <c r="H5" s="655"/>
      <c r="I5" s="644"/>
    </row>
    <row r="6" spans="1:9" ht="25.5" x14ac:dyDescent="0.25">
      <c r="A6" s="923" t="s">
        <v>23</v>
      </c>
      <c r="B6" s="923" t="s">
        <v>23</v>
      </c>
      <c r="C6" s="666" t="s">
        <v>22</v>
      </c>
      <c r="D6" s="666" t="s">
        <v>21</v>
      </c>
      <c r="E6" s="666" t="s">
        <v>20</v>
      </c>
      <c r="F6" s="666"/>
      <c r="G6" s="666" t="s">
        <v>19</v>
      </c>
      <c r="H6" s="666"/>
      <c r="I6" s="335" t="s">
        <v>18</v>
      </c>
    </row>
    <row r="7" spans="1:9" ht="27" thickBot="1" x14ac:dyDescent="0.3">
      <c r="A7" s="924"/>
      <c r="B7" s="924"/>
      <c r="C7" s="911"/>
      <c r="D7" s="911"/>
      <c r="E7" s="336" t="s">
        <v>15</v>
      </c>
      <c r="F7" s="337" t="s">
        <v>17</v>
      </c>
      <c r="G7" s="336" t="s">
        <v>15</v>
      </c>
      <c r="H7" s="337" t="s">
        <v>17</v>
      </c>
      <c r="I7" s="364" t="s">
        <v>16</v>
      </c>
    </row>
    <row r="8" spans="1:9" x14ac:dyDescent="0.25">
      <c r="A8" s="408"/>
      <c r="B8" s="366"/>
      <c r="C8" s="367"/>
      <c r="D8" s="368"/>
      <c r="E8" s="11"/>
      <c r="F8" s="28"/>
      <c r="G8" s="29"/>
      <c r="H8" s="11"/>
      <c r="I8" s="369"/>
    </row>
    <row r="9" spans="1:9" ht="18.75" x14ac:dyDescent="0.3">
      <c r="A9" s="409" t="s">
        <v>269</v>
      </c>
      <c r="B9" t="s">
        <v>249</v>
      </c>
      <c r="C9" s="410" t="s">
        <v>270</v>
      </c>
      <c r="D9" s="411" t="s">
        <v>271</v>
      </c>
      <c r="E9" s="412">
        <v>8000</v>
      </c>
      <c r="F9" s="372" t="s">
        <v>2</v>
      </c>
      <c r="G9" s="901" t="s">
        <v>239</v>
      </c>
      <c r="H9" s="902"/>
      <c r="I9" s="344"/>
    </row>
    <row r="10" spans="1:9" ht="15.75" x14ac:dyDescent="0.25">
      <c r="A10" s="409" t="s">
        <v>272</v>
      </c>
      <c r="B10" t="s">
        <v>237</v>
      </c>
      <c r="C10" s="410" t="s">
        <v>273</v>
      </c>
      <c r="D10" s="411" t="s">
        <v>271</v>
      </c>
      <c r="E10" s="371">
        <v>12000</v>
      </c>
      <c r="F10" s="372" t="s">
        <v>2</v>
      </c>
      <c r="G10" s="901" t="s">
        <v>274</v>
      </c>
      <c r="H10" s="902"/>
      <c r="I10" s="344"/>
    </row>
    <row r="11" spans="1:9" ht="15.75" x14ac:dyDescent="0.25">
      <c r="A11" s="409">
        <v>99999</v>
      </c>
      <c r="B11" s="413"/>
      <c r="C11" s="410" t="s">
        <v>275</v>
      </c>
      <c r="D11" s="411" t="s">
        <v>254</v>
      </c>
      <c r="E11" s="371">
        <v>100</v>
      </c>
      <c r="F11" s="372" t="s">
        <v>2</v>
      </c>
      <c r="G11" s="371"/>
      <c r="H11" s="293"/>
      <c r="I11" s="344"/>
    </row>
    <row r="12" spans="1:9" ht="15.75" x14ac:dyDescent="0.25">
      <c r="A12" s="409" t="s">
        <v>209</v>
      </c>
      <c r="B12" t="s">
        <v>210</v>
      </c>
      <c r="C12" s="410" t="s">
        <v>276</v>
      </c>
      <c r="D12" s="411" t="s">
        <v>241</v>
      </c>
      <c r="E12" s="371">
        <v>15</v>
      </c>
      <c r="F12" s="372" t="s">
        <v>2</v>
      </c>
      <c r="G12" s="371"/>
      <c r="H12" s="293"/>
      <c r="I12" s="344"/>
    </row>
    <row r="13" spans="1:9" ht="15.75" x14ac:dyDescent="0.25">
      <c r="A13" s="409" t="s">
        <v>277</v>
      </c>
      <c r="B13" t="s">
        <v>278</v>
      </c>
      <c r="C13" s="410" t="s">
        <v>279</v>
      </c>
      <c r="D13" s="411" t="s">
        <v>280</v>
      </c>
      <c r="E13" s="371">
        <v>35</v>
      </c>
      <c r="F13" s="372" t="s">
        <v>2</v>
      </c>
      <c r="G13" s="371"/>
      <c r="H13" s="293"/>
      <c r="I13" s="344"/>
    </row>
    <row r="14" spans="1:9" ht="15.75" x14ac:dyDescent="0.25">
      <c r="A14" s="409"/>
      <c r="B14" s="413"/>
      <c r="C14" s="410"/>
      <c r="D14" s="411"/>
      <c r="E14" s="371"/>
      <c r="F14" s="372"/>
      <c r="G14" s="371"/>
      <c r="H14" s="293"/>
      <c r="I14" s="344"/>
    </row>
    <row r="15" spans="1:9" ht="15.75" x14ac:dyDescent="0.25">
      <c r="A15" s="409" t="s">
        <v>139</v>
      </c>
      <c r="B15" t="s">
        <v>62</v>
      </c>
      <c r="C15" s="410" t="s">
        <v>281</v>
      </c>
      <c r="D15" s="411" t="s">
        <v>64</v>
      </c>
      <c r="E15" s="371">
        <v>1</v>
      </c>
      <c r="F15" s="293" t="s">
        <v>7</v>
      </c>
      <c r="G15" s="371"/>
      <c r="H15" s="293"/>
      <c r="I15" s="344"/>
    </row>
    <row r="16" spans="1:9" ht="15.75" x14ac:dyDescent="0.25">
      <c r="A16" s="409"/>
      <c r="B16" s="413"/>
      <c r="C16" s="410"/>
      <c r="D16" s="370"/>
      <c r="E16" s="371"/>
      <c r="F16" s="373"/>
      <c r="G16" s="342"/>
      <c r="H16" s="343"/>
      <c r="I16" s="344"/>
    </row>
    <row r="17" spans="1:13" ht="15" x14ac:dyDescent="0.25">
      <c r="A17" s="414"/>
      <c r="B17" s="415"/>
      <c r="C17" s="416"/>
      <c r="D17" s="346"/>
      <c r="E17" s="28"/>
      <c r="F17" s="28"/>
      <c r="G17" s="28"/>
      <c r="H17" s="28"/>
      <c r="I17" s="25"/>
    </row>
    <row r="18" spans="1:13" ht="14.25" thickBot="1" x14ac:dyDescent="0.3">
      <c r="A18" s="347"/>
      <c r="B18" s="348"/>
      <c r="E18" s="349"/>
      <c r="F18" s="350"/>
      <c r="I18" s="351"/>
      <c r="L18" s="8"/>
    </row>
    <row r="19" spans="1:13" ht="14.25" thickBot="1" x14ac:dyDescent="0.3">
      <c r="A19" s="352"/>
      <c r="B19" s="353"/>
      <c r="C19" s="354"/>
      <c r="D19" s="355" t="s">
        <v>15</v>
      </c>
      <c r="E19" s="356" t="s">
        <v>14</v>
      </c>
      <c r="F19" s="357"/>
      <c r="G19" s="354"/>
      <c r="H19" s="354"/>
      <c r="I19" s="358"/>
      <c r="L19" s="8"/>
    </row>
    <row r="20" spans="1:13" x14ac:dyDescent="0.25">
      <c r="A20" s="903" t="s">
        <v>13</v>
      </c>
      <c r="B20" s="904"/>
      <c r="C20" s="905"/>
      <c r="D20" s="342">
        <f>SUM(E9:E13)-D24</f>
        <v>19925</v>
      </c>
      <c r="E20" s="359" t="s">
        <v>2</v>
      </c>
      <c r="F20" s="906" t="s">
        <v>12</v>
      </c>
      <c r="G20" s="906"/>
      <c r="H20" s="907"/>
      <c r="I20" s="908"/>
      <c r="L20" s="8"/>
    </row>
    <row r="21" spans="1:13" x14ac:dyDescent="0.25">
      <c r="A21" s="842" t="s">
        <v>11</v>
      </c>
      <c r="B21" s="843"/>
      <c r="C21" s="844"/>
      <c r="D21" s="406">
        <v>8</v>
      </c>
      <c r="E21" s="11" t="s">
        <v>10</v>
      </c>
      <c r="F21" s="845" t="s">
        <v>9</v>
      </c>
      <c r="G21" s="845"/>
      <c r="H21" s="846"/>
      <c r="I21" s="847"/>
      <c r="L21" s="8"/>
    </row>
    <row r="22" spans="1:13" x14ac:dyDescent="0.25">
      <c r="A22" s="842" t="s">
        <v>8</v>
      </c>
      <c r="B22" s="843"/>
      <c r="C22" s="844"/>
      <c r="D22" s="11">
        <v>1</v>
      </c>
      <c r="E22" s="11" t="s">
        <v>224</v>
      </c>
      <c r="F22" s="845" t="s">
        <v>6</v>
      </c>
      <c r="G22" s="845"/>
      <c r="H22" s="846"/>
      <c r="I22" s="847"/>
      <c r="L22" s="8"/>
    </row>
    <row r="23" spans="1:13" x14ac:dyDescent="0.25">
      <c r="A23" s="842" t="s">
        <v>5</v>
      </c>
      <c r="B23" s="843"/>
      <c r="C23" s="844"/>
      <c r="D23" s="29">
        <f>D20</f>
        <v>19925</v>
      </c>
      <c r="E23" s="11" t="s">
        <v>2</v>
      </c>
      <c r="F23" s="918" t="s">
        <v>4</v>
      </c>
      <c r="G23" s="919"/>
      <c r="H23" s="846"/>
      <c r="I23" s="847"/>
      <c r="L23" s="8"/>
      <c r="M23" s="4"/>
    </row>
    <row r="24" spans="1:13" ht="14.25" thickBot="1" x14ac:dyDescent="0.3">
      <c r="A24" s="853" t="s">
        <v>3</v>
      </c>
      <c r="B24" s="854"/>
      <c r="C24" s="855"/>
      <c r="D24" s="407">
        <v>225</v>
      </c>
      <c r="E24" s="361" t="s">
        <v>2</v>
      </c>
      <c r="F24" s="856"/>
      <c r="G24" s="856"/>
      <c r="H24" s="897"/>
      <c r="I24" s="898"/>
      <c r="L24" s="8"/>
    </row>
    <row r="25" spans="1:13" ht="14.25" thickBot="1" x14ac:dyDescent="0.3">
      <c r="A25" s="915" t="s">
        <v>1</v>
      </c>
      <c r="B25" s="916"/>
      <c r="C25" s="916"/>
      <c r="D25" s="916"/>
      <c r="E25" s="916"/>
      <c r="F25" s="916"/>
      <c r="G25" s="916"/>
      <c r="H25" s="916"/>
      <c r="I25" s="917"/>
    </row>
    <row r="26" spans="1:13" ht="15.75" x14ac:dyDescent="0.25">
      <c r="A26" s="939" t="s">
        <v>282</v>
      </c>
      <c r="B26" s="940"/>
      <c r="C26" s="940"/>
      <c r="D26" s="940"/>
      <c r="E26" s="940"/>
      <c r="F26" s="940"/>
      <c r="G26" s="940"/>
      <c r="H26" s="940"/>
      <c r="I26" s="941"/>
    </row>
    <row r="27" spans="1:13" ht="15.75" x14ac:dyDescent="0.25">
      <c r="A27" s="939" t="s">
        <v>283</v>
      </c>
      <c r="B27" s="940"/>
      <c r="C27" s="940"/>
      <c r="D27" s="940"/>
      <c r="E27" s="940"/>
      <c r="F27" s="940"/>
      <c r="G27" s="940"/>
      <c r="H27" s="940"/>
      <c r="I27" s="941"/>
    </row>
    <row r="28" spans="1:13" ht="15.75" x14ac:dyDescent="0.25">
      <c r="A28" s="939"/>
      <c r="B28" s="940"/>
      <c r="C28" s="940"/>
      <c r="D28" s="940"/>
      <c r="E28" s="940"/>
      <c r="F28" s="940"/>
      <c r="G28" s="940"/>
      <c r="H28" s="940"/>
      <c r="I28" s="941"/>
    </row>
    <row r="29" spans="1:13" ht="14.25" thickBot="1" x14ac:dyDescent="0.3">
      <c r="A29" s="942" t="s">
        <v>189</v>
      </c>
      <c r="B29" s="943"/>
      <c r="C29" s="944"/>
      <c r="D29" s="944"/>
      <c r="E29" s="944"/>
      <c r="F29" s="944"/>
      <c r="G29" s="944"/>
      <c r="H29" s="944"/>
      <c r="I29" s="945"/>
    </row>
    <row r="30" spans="1:13" ht="14.25" thickBot="1" x14ac:dyDescent="0.3">
      <c r="A30" s="876" t="s">
        <v>284</v>
      </c>
      <c r="B30" s="877"/>
      <c r="C30" s="878"/>
      <c r="D30" s="878"/>
      <c r="E30" s="878"/>
      <c r="F30" s="878"/>
      <c r="G30" s="878"/>
      <c r="H30" s="878"/>
      <c r="I30" s="879"/>
    </row>
    <row r="31" spans="1:13" ht="14.25" thickBot="1" x14ac:dyDescent="0.3">
      <c r="A31" s="876" t="s">
        <v>285</v>
      </c>
      <c r="B31" s="877"/>
      <c r="C31" s="878"/>
      <c r="D31" s="878"/>
      <c r="E31" s="878"/>
      <c r="F31" s="878"/>
      <c r="G31" s="878"/>
      <c r="H31" s="878"/>
      <c r="I31" s="879"/>
    </row>
  </sheetData>
  <mergeCells count="38">
    <mergeCell ref="A28:I28"/>
    <mergeCell ref="A29:I29"/>
    <mergeCell ref="A30:I30"/>
    <mergeCell ref="A31:I31"/>
    <mergeCell ref="A24:C24"/>
    <mergeCell ref="F24:G24"/>
    <mergeCell ref="H24:I24"/>
    <mergeCell ref="A25:I25"/>
    <mergeCell ref="A26:I26"/>
    <mergeCell ref="A27:I27"/>
    <mergeCell ref="A22:C22"/>
    <mergeCell ref="F22:G22"/>
    <mergeCell ref="H22:I22"/>
    <mergeCell ref="A23:C23"/>
    <mergeCell ref="F23:G23"/>
    <mergeCell ref="H23:I23"/>
    <mergeCell ref="A21:C21"/>
    <mergeCell ref="F21:G21"/>
    <mergeCell ref="H21:I21"/>
    <mergeCell ref="A6:A7"/>
    <mergeCell ref="B6:B7"/>
    <mergeCell ref="C6:C7"/>
    <mergeCell ref="D6:D7"/>
    <mergeCell ref="E6:F6"/>
    <mergeCell ref="G6:H6"/>
    <mergeCell ref="G9:H9"/>
    <mergeCell ref="G10:H10"/>
    <mergeCell ref="A20:C20"/>
    <mergeCell ref="F20:G20"/>
    <mergeCell ref="H20:I20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675A-E6A7-4D6A-9287-4B8C8D14FC2E}">
  <dimension ref="A1:M45"/>
  <sheetViews>
    <sheetView workbookViewId="0">
      <selection sqref="A1:XFD1048576"/>
    </sheetView>
  </sheetViews>
  <sheetFormatPr baseColWidth="10" defaultColWidth="11.42578125" defaultRowHeight="12.75" x14ac:dyDescent="0.2"/>
  <cols>
    <col min="1" max="1" width="16.28515625" style="276" customWidth="1"/>
    <col min="2" max="2" width="12.42578125" style="276" customWidth="1"/>
    <col min="3" max="3" width="40.5703125" style="276" customWidth="1"/>
    <col min="4" max="4" width="30.28515625" style="276" customWidth="1"/>
    <col min="5" max="5" width="11.42578125" style="276"/>
    <col min="6" max="6" width="13.28515625" style="276" customWidth="1"/>
    <col min="7" max="7" width="12.5703125" style="276" customWidth="1"/>
    <col min="8" max="8" width="15.5703125" style="276" customWidth="1"/>
    <col min="9" max="9" width="18" style="276" customWidth="1"/>
    <col min="10" max="16384" width="11.42578125" style="276"/>
  </cols>
  <sheetData>
    <row r="1" spans="1:9" ht="18" x14ac:dyDescent="0.25">
      <c r="A1" s="682"/>
      <c r="B1" s="683"/>
      <c r="C1" s="688" t="s">
        <v>35</v>
      </c>
      <c r="D1" s="688"/>
      <c r="E1" s="688"/>
      <c r="F1" s="688"/>
      <c r="G1" s="688"/>
      <c r="H1" s="274" t="s">
        <v>34</v>
      </c>
      <c r="I1" s="275" t="s">
        <v>359</v>
      </c>
    </row>
    <row r="2" spans="1:9" ht="18" x14ac:dyDescent="0.25">
      <c r="A2" s="684"/>
      <c r="B2" s="685"/>
      <c r="C2" s="689" t="s">
        <v>33</v>
      </c>
      <c r="D2" s="689"/>
      <c r="E2" s="689"/>
      <c r="F2" s="689"/>
      <c r="G2" s="689"/>
      <c r="H2" s="277" t="s">
        <v>32</v>
      </c>
      <c r="I2" s="278" t="s">
        <v>170</v>
      </c>
    </row>
    <row r="3" spans="1:9" ht="50.1" customHeight="1" x14ac:dyDescent="0.2">
      <c r="A3" s="684"/>
      <c r="B3" s="685"/>
      <c r="C3" s="690" t="s">
        <v>360</v>
      </c>
      <c r="D3" s="691"/>
      <c r="E3" s="691"/>
      <c r="F3" s="691"/>
      <c r="G3" s="692"/>
      <c r="H3" s="693" t="s">
        <v>31</v>
      </c>
      <c r="I3" s="736">
        <v>45187</v>
      </c>
    </row>
    <row r="4" spans="1:9" ht="15" x14ac:dyDescent="0.25">
      <c r="A4" s="684"/>
      <c r="B4" s="685"/>
      <c r="C4" s="279" t="s">
        <v>30</v>
      </c>
      <c r="D4" s="946" t="s">
        <v>347</v>
      </c>
      <c r="E4" s="680"/>
      <c r="F4" s="680"/>
      <c r="G4" s="680"/>
      <c r="H4" s="693"/>
      <c r="I4" s="678"/>
    </row>
    <row r="5" spans="1:9" ht="15" customHeight="1" thickBot="1" x14ac:dyDescent="0.25">
      <c r="A5" s="686"/>
      <c r="B5" s="687"/>
      <c r="C5" s="280" t="s">
        <v>29</v>
      </c>
      <c r="D5" s="681" t="s">
        <v>28</v>
      </c>
      <c r="E5" s="681"/>
      <c r="F5" s="681"/>
      <c r="G5" s="681"/>
      <c r="H5" s="694"/>
      <c r="I5" s="679"/>
    </row>
    <row r="6" spans="1:9" ht="15" customHeight="1" x14ac:dyDescent="0.2">
      <c r="A6" s="281"/>
      <c r="B6" s="281"/>
      <c r="C6" s="282"/>
      <c r="D6" s="283"/>
      <c r="E6" s="283"/>
      <c r="F6" s="283"/>
      <c r="G6" s="283"/>
      <c r="H6" s="284"/>
      <c r="I6" s="285"/>
    </row>
    <row r="7" spans="1:9" ht="21" customHeight="1" thickBot="1" x14ac:dyDescent="0.3">
      <c r="A7" s="695" t="s">
        <v>27</v>
      </c>
      <c r="B7" s="695"/>
      <c r="C7" s="695"/>
      <c r="D7" s="696" t="s">
        <v>361</v>
      </c>
      <c r="E7" s="696"/>
      <c r="F7" s="696"/>
      <c r="G7" s="697" t="s">
        <v>25</v>
      </c>
      <c r="H7" s="697"/>
      <c r="I7" s="286" t="s">
        <v>361</v>
      </c>
    </row>
    <row r="8" spans="1:9" x14ac:dyDescent="0.2">
      <c r="A8" s="698" t="s">
        <v>23</v>
      </c>
      <c r="B8" s="700" t="s">
        <v>36</v>
      </c>
      <c r="C8" s="702" t="s">
        <v>22</v>
      </c>
      <c r="D8" s="702" t="s">
        <v>21</v>
      </c>
      <c r="E8" s="702" t="s">
        <v>20</v>
      </c>
      <c r="F8" s="702"/>
      <c r="G8" s="702" t="s">
        <v>19</v>
      </c>
      <c r="H8" s="702"/>
      <c r="I8" s="287" t="s">
        <v>18</v>
      </c>
    </row>
    <row r="9" spans="1:9" ht="26.25" thickBot="1" x14ac:dyDescent="0.25">
      <c r="A9" s="699"/>
      <c r="B9" s="701"/>
      <c r="C9" s="703"/>
      <c r="D9" s="947"/>
      <c r="E9" s="290" t="s">
        <v>15</v>
      </c>
      <c r="F9" s="289" t="s">
        <v>17</v>
      </c>
      <c r="G9" s="290" t="s">
        <v>15</v>
      </c>
      <c r="H9" s="289" t="s">
        <v>17</v>
      </c>
      <c r="I9" s="291" t="s">
        <v>16</v>
      </c>
    </row>
    <row r="10" spans="1:9" ht="15" x14ac:dyDescent="0.2">
      <c r="A10" s="231">
        <v>510301</v>
      </c>
      <c r="B10" s="231" t="s">
        <v>199</v>
      </c>
      <c r="C10" s="232" t="s">
        <v>200</v>
      </c>
      <c r="D10" s="466" t="s">
        <v>362</v>
      </c>
      <c r="E10" s="466">
        <v>5820</v>
      </c>
      <c r="F10" s="466" t="s">
        <v>2</v>
      </c>
      <c r="G10" s="493">
        <f>E10/13.547</f>
        <v>429.61541300656972</v>
      </c>
      <c r="H10" s="468"/>
      <c r="I10" s="296"/>
    </row>
    <row r="11" spans="1:9" ht="15" x14ac:dyDescent="0.2">
      <c r="A11" s="292">
        <v>11200072</v>
      </c>
      <c r="B11" s="292" t="s">
        <v>203</v>
      </c>
      <c r="C11" s="470" t="s">
        <v>363</v>
      </c>
      <c r="D11" s="467" t="s">
        <v>364</v>
      </c>
      <c r="E11" s="467">
        <v>3622</v>
      </c>
      <c r="F11" s="467" t="s">
        <v>2</v>
      </c>
      <c r="G11" s="493">
        <f t="shared" ref="G11:G22" si="0">E11/13.547</f>
        <v>267.36546836938066</v>
      </c>
      <c r="H11" s="468"/>
      <c r="I11" s="296"/>
    </row>
    <row r="12" spans="1:9" ht="15" x14ac:dyDescent="0.2">
      <c r="A12" s="297">
        <v>11200087</v>
      </c>
      <c r="B12" s="298" t="s">
        <v>365</v>
      </c>
      <c r="C12" s="232" t="s">
        <v>366</v>
      </c>
      <c r="D12" s="467" t="s">
        <v>367</v>
      </c>
      <c r="E12" s="467">
        <v>3492</v>
      </c>
      <c r="F12" s="467" t="s">
        <v>2</v>
      </c>
      <c r="G12" s="493">
        <f t="shared" si="0"/>
        <v>257.76924780394182</v>
      </c>
      <c r="H12" s="468"/>
      <c r="I12" s="296"/>
    </row>
    <row r="13" spans="1:9" ht="15" x14ac:dyDescent="0.2">
      <c r="A13" s="297">
        <v>1160001</v>
      </c>
      <c r="B13" s="298" t="s">
        <v>368</v>
      </c>
      <c r="C13" s="470" t="s">
        <v>369</v>
      </c>
      <c r="D13" s="467" t="s">
        <v>370</v>
      </c>
      <c r="E13" s="467">
        <v>60</v>
      </c>
      <c r="F13" s="467" t="s">
        <v>2</v>
      </c>
      <c r="G13" s="493">
        <f t="shared" si="0"/>
        <v>4.4290248763563884</v>
      </c>
      <c r="H13" s="468"/>
      <c r="I13" s="296"/>
    </row>
    <row r="14" spans="1:9" ht="15" x14ac:dyDescent="0.2">
      <c r="A14" s="231">
        <v>1212410</v>
      </c>
      <c r="B14" s="231" t="s">
        <v>210</v>
      </c>
      <c r="C14" s="470" t="s">
        <v>211</v>
      </c>
      <c r="D14" s="469" t="s">
        <v>371</v>
      </c>
      <c r="E14" s="467">
        <v>38</v>
      </c>
      <c r="F14" s="467" t="s">
        <v>2</v>
      </c>
      <c r="G14" s="493">
        <f t="shared" si="0"/>
        <v>2.8050490883590462</v>
      </c>
      <c r="H14" s="468"/>
      <c r="I14" s="296"/>
    </row>
    <row r="15" spans="1:9" ht="15" x14ac:dyDescent="0.2">
      <c r="A15" s="231">
        <v>10100337</v>
      </c>
      <c r="B15" s="231" t="s">
        <v>372</v>
      </c>
      <c r="C15" s="232" t="s">
        <v>373</v>
      </c>
      <c r="D15" s="469" t="s">
        <v>374</v>
      </c>
      <c r="E15" s="467">
        <v>30</v>
      </c>
      <c r="F15" s="467" t="s">
        <v>2</v>
      </c>
      <c r="G15" s="493">
        <f t="shared" si="0"/>
        <v>2.2145124381781942</v>
      </c>
      <c r="H15" s="468"/>
      <c r="I15" s="296"/>
    </row>
    <row r="16" spans="1:9" ht="15" x14ac:dyDescent="0.2">
      <c r="A16" s="418">
        <v>310145</v>
      </c>
      <c r="B16" s="419" t="s">
        <v>375</v>
      </c>
      <c r="C16" s="420" t="s">
        <v>376</v>
      </c>
      <c r="D16" s="494" t="s">
        <v>377</v>
      </c>
      <c r="E16" s="494">
        <v>518</v>
      </c>
      <c r="F16" s="494" t="s">
        <v>2</v>
      </c>
      <c r="G16" s="493">
        <f t="shared" si="0"/>
        <v>38.237248099210156</v>
      </c>
      <c r="H16" s="468"/>
      <c r="I16" s="296"/>
    </row>
    <row r="17" spans="1:13" ht="15" x14ac:dyDescent="0.2">
      <c r="A17" s="231">
        <v>503000036</v>
      </c>
      <c r="B17" s="231" t="s">
        <v>378</v>
      </c>
      <c r="C17" s="232" t="s">
        <v>379</v>
      </c>
      <c r="D17" s="330"/>
      <c r="E17" s="469">
        <v>65</v>
      </c>
      <c r="F17" s="495" t="s">
        <v>2</v>
      </c>
      <c r="G17" s="493">
        <f t="shared" si="0"/>
        <v>4.7981102827194206</v>
      </c>
      <c r="H17" s="468"/>
      <c r="I17" s="296"/>
    </row>
    <row r="18" spans="1:13" ht="15.75" x14ac:dyDescent="0.25">
      <c r="A18" s="298"/>
      <c r="B18" s="298"/>
      <c r="C18" s="471"/>
      <c r="D18" s="467"/>
      <c r="E18" s="467"/>
      <c r="F18" s="467"/>
      <c r="G18" s="493">
        <f t="shared" si="0"/>
        <v>0</v>
      </c>
      <c r="H18" s="468"/>
      <c r="I18" s="296"/>
    </row>
    <row r="19" spans="1:13" ht="15" x14ac:dyDescent="0.2">
      <c r="A19" s="231">
        <v>1950708</v>
      </c>
      <c r="B19" s="231" t="s">
        <v>216</v>
      </c>
      <c r="C19" s="232" t="s">
        <v>217</v>
      </c>
      <c r="D19" s="467"/>
      <c r="E19" s="467">
        <v>2</v>
      </c>
      <c r="F19" s="467" t="s">
        <v>7</v>
      </c>
      <c r="G19" s="493">
        <f t="shared" si="0"/>
        <v>0.14763416254521294</v>
      </c>
      <c r="H19" s="468"/>
      <c r="I19" s="296"/>
    </row>
    <row r="20" spans="1:13" ht="15" x14ac:dyDescent="0.2">
      <c r="A20" s="231">
        <v>60100010</v>
      </c>
      <c r="B20" s="231" t="s">
        <v>222</v>
      </c>
      <c r="C20" s="232" t="s">
        <v>223</v>
      </c>
      <c r="D20" s="467"/>
      <c r="E20" s="467">
        <v>2</v>
      </c>
      <c r="F20" s="467" t="s">
        <v>7</v>
      </c>
      <c r="G20" s="493">
        <f t="shared" si="0"/>
        <v>0.14763416254521294</v>
      </c>
      <c r="H20" s="468"/>
      <c r="I20" s="296"/>
    </row>
    <row r="21" spans="1:13" ht="13.5" customHeight="1" x14ac:dyDescent="0.2">
      <c r="A21" s="231">
        <v>702123</v>
      </c>
      <c r="B21" s="231" t="s">
        <v>68</v>
      </c>
      <c r="C21" s="232" t="s">
        <v>155</v>
      </c>
      <c r="D21" s="479"/>
      <c r="E21" s="473">
        <v>2</v>
      </c>
      <c r="F21" s="474" t="s">
        <v>7</v>
      </c>
      <c r="G21" s="493">
        <f t="shared" si="0"/>
        <v>0.14763416254521294</v>
      </c>
      <c r="H21" s="203"/>
      <c r="I21" s="475"/>
    </row>
    <row r="22" spans="1:13" ht="15" x14ac:dyDescent="0.2">
      <c r="A22" s="418">
        <v>1950705</v>
      </c>
      <c r="B22" s="419" t="s">
        <v>220</v>
      </c>
      <c r="C22" s="420" t="s">
        <v>221</v>
      </c>
      <c r="D22" s="479"/>
      <c r="E22" s="473">
        <v>1</v>
      </c>
      <c r="F22" s="474" t="s">
        <v>7</v>
      </c>
      <c r="G22" s="493">
        <f t="shared" si="0"/>
        <v>7.3817081272606472E-2</v>
      </c>
      <c r="H22" s="203"/>
      <c r="I22" s="475"/>
    </row>
    <row r="23" spans="1:13" ht="14.25" x14ac:dyDescent="0.2">
      <c r="A23" s="476"/>
      <c r="B23" s="477"/>
      <c r="C23" s="480"/>
      <c r="D23" s="479"/>
      <c r="E23" s="473"/>
      <c r="F23" s="474"/>
      <c r="G23" s="318"/>
      <c r="H23" s="203"/>
      <c r="I23" s="475"/>
    </row>
    <row r="24" spans="1:13" ht="15" x14ac:dyDescent="0.2">
      <c r="A24" s="481"/>
      <c r="B24" s="482"/>
      <c r="C24" s="483"/>
      <c r="D24" s="484"/>
      <c r="E24" s="469"/>
      <c r="F24" s="469"/>
      <c r="G24" s="318"/>
      <c r="H24" s="203"/>
      <c r="I24" s="485"/>
    </row>
    <row r="25" spans="1:13" ht="14.25" x14ac:dyDescent="0.2">
      <c r="A25" s="486"/>
      <c r="B25" s="487"/>
      <c r="C25" s="488"/>
      <c r="D25" s="489"/>
      <c r="E25" s="490"/>
      <c r="F25" s="490"/>
      <c r="G25" s="315">
        <v>24000</v>
      </c>
      <c r="H25" s="496">
        <f>+E12/G25</f>
        <v>0.14549999999999999</v>
      </c>
      <c r="I25" s="485"/>
    </row>
    <row r="26" spans="1:13" ht="13.5" thickBot="1" x14ac:dyDescent="0.25">
      <c r="A26" s="302"/>
      <c r="B26" s="303"/>
      <c r="E26" s="304"/>
      <c r="F26" s="305"/>
      <c r="I26" s="306"/>
      <c r="L26" s="307"/>
    </row>
    <row r="27" spans="1:13" ht="13.5" thickBot="1" x14ac:dyDescent="0.25">
      <c r="A27" s="308"/>
      <c r="B27" s="309"/>
      <c r="C27" s="310"/>
      <c r="D27" s="311" t="s">
        <v>15</v>
      </c>
      <c r="E27" s="312" t="s">
        <v>14</v>
      </c>
      <c r="F27" s="313"/>
      <c r="G27" s="310"/>
      <c r="H27" s="310"/>
      <c r="I27" s="314"/>
      <c r="L27" s="307"/>
    </row>
    <row r="28" spans="1:13" x14ac:dyDescent="0.2">
      <c r="A28" s="704" t="s">
        <v>13</v>
      </c>
      <c r="B28" s="705"/>
      <c r="C28" s="706"/>
      <c r="D28" s="315">
        <f>SUM(E10:E16)</f>
        <v>13580</v>
      </c>
      <c r="E28" s="316" t="s">
        <v>2</v>
      </c>
      <c r="F28" s="707"/>
      <c r="G28" s="707"/>
      <c r="H28" s="708"/>
      <c r="I28" s="709"/>
      <c r="L28" s="307"/>
    </row>
    <row r="29" spans="1:13" x14ac:dyDescent="0.2">
      <c r="A29" s="710" t="s">
        <v>11</v>
      </c>
      <c r="B29" s="711"/>
      <c r="C29" s="712"/>
      <c r="D29" s="317">
        <v>3</v>
      </c>
      <c r="E29" s="203" t="s">
        <v>10</v>
      </c>
      <c r="F29" s="713"/>
      <c r="G29" s="713"/>
      <c r="H29" s="714"/>
      <c r="I29" s="715"/>
      <c r="L29" s="307"/>
    </row>
    <row r="30" spans="1:13" x14ac:dyDescent="0.2">
      <c r="A30" s="710" t="s">
        <v>8</v>
      </c>
      <c r="B30" s="711"/>
      <c r="C30" s="712"/>
      <c r="D30" s="203">
        <v>1</v>
      </c>
      <c r="E30" s="203" t="s">
        <v>7</v>
      </c>
      <c r="F30" s="713"/>
      <c r="G30" s="713"/>
      <c r="H30" s="714"/>
      <c r="I30" s="715"/>
      <c r="L30" s="307"/>
    </row>
    <row r="31" spans="1:13" x14ac:dyDescent="0.2">
      <c r="A31" s="710" t="s">
        <v>5</v>
      </c>
      <c r="B31" s="711"/>
      <c r="C31" s="712"/>
      <c r="D31" s="318">
        <f>+D28</f>
        <v>13580</v>
      </c>
      <c r="E31" s="203" t="s">
        <v>2</v>
      </c>
      <c r="F31" s="719"/>
      <c r="G31" s="720"/>
      <c r="H31" s="714"/>
      <c r="I31" s="715"/>
      <c r="L31" s="307"/>
      <c r="M31" s="491"/>
    </row>
    <row r="32" spans="1:13" ht="13.5" thickBot="1" x14ac:dyDescent="0.25">
      <c r="A32" s="721" t="s">
        <v>3</v>
      </c>
      <c r="B32" s="722"/>
      <c r="C32" s="723"/>
      <c r="D32" s="320">
        <v>0</v>
      </c>
      <c r="E32" s="321" t="s">
        <v>2</v>
      </c>
      <c r="F32" s="724"/>
      <c r="G32" s="724"/>
      <c r="H32" s="725"/>
      <c r="I32" s="726"/>
      <c r="L32" s="307"/>
    </row>
    <row r="33" spans="1:9" ht="13.5" thickBot="1" x14ac:dyDescent="0.25">
      <c r="A33" s="727" t="s">
        <v>1</v>
      </c>
      <c r="B33" s="728"/>
      <c r="C33" s="728"/>
      <c r="D33" s="728"/>
      <c r="E33" s="728"/>
      <c r="F33" s="728"/>
      <c r="G33" s="728"/>
      <c r="H33" s="728"/>
      <c r="I33" s="729"/>
    </row>
    <row r="34" spans="1:9" ht="15" x14ac:dyDescent="0.25">
      <c r="A34" s="716" t="s">
        <v>380</v>
      </c>
      <c r="B34" s="717"/>
      <c r="C34" s="717"/>
      <c r="D34" s="717"/>
      <c r="E34" s="717"/>
      <c r="F34" s="717"/>
      <c r="G34" s="717"/>
      <c r="H34" s="717"/>
      <c r="I34" s="718"/>
    </row>
    <row r="35" spans="1:9" ht="15" x14ac:dyDescent="0.25">
      <c r="A35" s="716" t="s">
        <v>381</v>
      </c>
      <c r="B35" s="717"/>
      <c r="C35" s="717"/>
      <c r="D35" s="717"/>
      <c r="E35" s="717"/>
      <c r="F35" s="717"/>
      <c r="G35" s="717"/>
      <c r="H35" s="717"/>
      <c r="I35" s="718"/>
    </row>
    <row r="36" spans="1:9" ht="15" x14ac:dyDescent="0.25">
      <c r="A36" s="716" t="s">
        <v>382</v>
      </c>
      <c r="B36" s="717"/>
      <c r="C36" s="717"/>
      <c r="D36" s="717"/>
      <c r="E36" s="717"/>
      <c r="F36" s="717"/>
      <c r="G36" s="717"/>
      <c r="H36" s="717"/>
      <c r="I36" s="718"/>
    </row>
    <row r="37" spans="1:9" ht="15" x14ac:dyDescent="0.25">
      <c r="A37" s="716"/>
      <c r="B37" s="717"/>
      <c r="C37" s="717"/>
      <c r="D37" s="717"/>
      <c r="E37" s="717"/>
      <c r="F37" s="717"/>
      <c r="G37" s="717"/>
      <c r="H37" s="717"/>
      <c r="I37" s="718"/>
    </row>
    <row r="38" spans="1:9" ht="15" x14ac:dyDescent="0.25">
      <c r="A38" s="716"/>
      <c r="B38" s="717"/>
      <c r="C38" s="717"/>
      <c r="D38" s="717"/>
      <c r="E38" s="717"/>
      <c r="F38" s="717"/>
      <c r="G38" s="717"/>
      <c r="H38" s="717"/>
      <c r="I38" s="718"/>
    </row>
    <row r="39" spans="1:9" ht="15" x14ac:dyDescent="0.25">
      <c r="A39" s="716"/>
      <c r="B39" s="717"/>
      <c r="C39" s="717"/>
      <c r="D39" s="717"/>
      <c r="E39" s="717"/>
      <c r="F39" s="717"/>
      <c r="G39" s="717"/>
      <c r="H39" s="717"/>
      <c r="I39" s="718"/>
    </row>
    <row r="40" spans="1:9" ht="16.5" customHeight="1" x14ac:dyDescent="0.2">
      <c r="A40" s="733"/>
      <c r="B40" s="734"/>
      <c r="C40" s="734"/>
      <c r="D40" s="734"/>
      <c r="E40" s="734"/>
      <c r="F40" s="734"/>
      <c r="G40" s="734"/>
      <c r="H40" s="734"/>
      <c r="I40" s="735"/>
    </row>
    <row r="41" spans="1:9" ht="16.5" customHeight="1" x14ac:dyDescent="0.2">
      <c r="A41" s="733"/>
      <c r="B41" s="734"/>
      <c r="C41" s="734"/>
      <c r="D41" s="734"/>
      <c r="E41" s="734"/>
      <c r="F41" s="734"/>
      <c r="G41" s="734"/>
      <c r="H41" s="734"/>
      <c r="I41" s="735"/>
    </row>
    <row r="42" spans="1:9" ht="16.5" customHeight="1" thickBot="1" x14ac:dyDescent="0.25">
      <c r="A42" s="730"/>
      <c r="B42" s="731"/>
      <c r="C42" s="731"/>
      <c r="D42" s="731"/>
      <c r="E42" s="731"/>
      <c r="F42" s="731"/>
      <c r="G42" s="731"/>
      <c r="H42" s="731"/>
      <c r="I42" s="732"/>
    </row>
    <row r="43" spans="1:9" ht="13.5" thickBot="1" x14ac:dyDescent="0.25">
      <c r="A43" s="727" t="s">
        <v>163</v>
      </c>
      <c r="B43" s="728"/>
      <c r="C43" s="728"/>
      <c r="D43" s="728"/>
      <c r="E43" s="728"/>
      <c r="F43" s="728"/>
      <c r="G43" s="728"/>
      <c r="H43" s="728"/>
      <c r="I43" s="729"/>
    </row>
    <row r="44" spans="1:9" x14ac:dyDescent="0.2">
      <c r="A44" s="322" t="s">
        <v>383</v>
      </c>
      <c r="B44" s="322"/>
      <c r="C44" s="322"/>
    </row>
    <row r="45" spans="1:9" ht="15" x14ac:dyDescent="0.25">
      <c r="A45" s="492"/>
      <c r="B45" s="492"/>
    </row>
  </sheetData>
  <mergeCells count="43">
    <mergeCell ref="A42:I42"/>
    <mergeCell ref="A43:I43"/>
    <mergeCell ref="A36:I36"/>
    <mergeCell ref="A37:I37"/>
    <mergeCell ref="A38:I38"/>
    <mergeCell ref="A39:I39"/>
    <mergeCell ref="A40:I40"/>
    <mergeCell ref="A41:I41"/>
    <mergeCell ref="A35:I35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I33"/>
    <mergeCell ref="A34:I34"/>
    <mergeCell ref="A28:C28"/>
    <mergeCell ref="F28:G28"/>
    <mergeCell ref="H28:I28"/>
    <mergeCell ref="A29:C29"/>
    <mergeCell ref="F29:G29"/>
    <mergeCell ref="H29:I29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768D-AED6-4C81-B974-81DE59CC9313}">
  <dimension ref="A1:M43"/>
  <sheetViews>
    <sheetView workbookViewId="0">
      <selection activeCell="B10" sqref="B10"/>
    </sheetView>
  </sheetViews>
  <sheetFormatPr baseColWidth="10" defaultColWidth="11.42578125" defaultRowHeight="12.75" x14ac:dyDescent="0.2"/>
  <cols>
    <col min="1" max="1" width="16.28515625" style="276" customWidth="1"/>
    <col min="2" max="2" width="12.5703125" style="276" customWidth="1"/>
    <col min="3" max="3" width="46.7109375" style="276" customWidth="1"/>
    <col min="4" max="4" width="18.5703125" style="276" customWidth="1"/>
    <col min="5" max="5" width="11.42578125" style="276"/>
    <col min="6" max="6" width="13.28515625" style="276" customWidth="1"/>
    <col min="7" max="7" width="12.5703125" style="276" customWidth="1"/>
    <col min="8" max="8" width="15.5703125" style="276" customWidth="1"/>
    <col min="9" max="9" width="17.42578125" style="276" customWidth="1"/>
    <col min="10" max="16384" width="11.42578125" style="276"/>
  </cols>
  <sheetData>
    <row r="1" spans="1:9" ht="18" x14ac:dyDescent="0.25">
      <c r="A1" s="682"/>
      <c r="B1" s="683"/>
      <c r="C1" s="688" t="s">
        <v>35</v>
      </c>
      <c r="D1" s="688"/>
      <c r="E1" s="688"/>
      <c r="F1" s="688"/>
      <c r="G1" s="688"/>
      <c r="H1" s="274" t="s">
        <v>34</v>
      </c>
      <c r="I1" s="275" t="s">
        <v>344</v>
      </c>
    </row>
    <row r="2" spans="1:9" ht="18" x14ac:dyDescent="0.25">
      <c r="A2" s="684"/>
      <c r="B2" s="685"/>
      <c r="C2" s="689" t="s">
        <v>33</v>
      </c>
      <c r="D2" s="689"/>
      <c r="E2" s="689"/>
      <c r="F2" s="689"/>
      <c r="G2" s="689"/>
      <c r="H2" s="277" t="s">
        <v>32</v>
      </c>
      <c r="I2" s="323" t="s">
        <v>170</v>
      </c>
    </row>
    <row r="3" spans="1:9" ht="50.1" customHeight="1" x14ac:dyDescent="0.2">
      <c r="A3" s="684"/>
      <c r="B3" s="685"/>
      <c r="C3" s="690" t="s">
        <v>345</v>
      </c>
      <c r="D3" s="691"/>
      <c r="E3" s="691"/>
      <c r="F3" s="691"/>
      <c r="G3" s="692"/>
      <c r="H3" s="693" t="s">
        <v>31</v>
      </c>
      <c r="I3" s="678" t="s">
        <v>346</v>
      </c>
    </row>
    <row r="4" spans="1:9" ht="15" x14ac:dyDescent="0.25">
      <c r="A4" s="684"/>
      <c r="B4" s="685"/>
      <c r="C4" s="279" t="s">
        <v>30</v>
      </c>
      <c r="D4" s="946" t="s">
        <v>347</v>
      </c>
      <c r="E4" s="680"/>
      <c r="F4" s="680"/>
      <c r="G4" s="680"/>
      <c r="H4" s="693"/>
      <c r="I4" s="678"/>
    </row>
    <row r="5" spans="1:9" ht="13.5" thickBot="1" x14ac:dyDescent="0.25">
      <c r="A5" s="686"/>
      <c r="B5" s="687"/>
      <c r="C5" s="280" t="s">
        <v>29</v>
      </c>
      <c r="D5" s="681" t="s">
        <v>28</v>
      </c>
      <c r="E5" s="681"/>
      <c r="F5" s="681"/>
      <c r="G5" s="681"/>
      <c r="H5" s="694"/>
      <c r="I5" s="679"/>
    </row>
    <row r="6" spans="1:9" x14ac:dyDescent="0.2">
      <c r="A6" s="281"/>
      <c r="B6" s="281"/>
      <c r="C6" s="282"/>
      <c r="D6" s="283"/>
      <c r="E6" s="283"/>
      <c r="F6" s="283"/>
      <c r="G6" s="283"/>
      <c r="H6" s="284"/>
      <c r="I6" s="285"/>
    </row>
    <row r="7" spans="1:9" ht="18.75" thickBot="1" x14ac:dyDescent="0.3">
      <c r="A7" s="695" t="s">
        <v>27</v>
      </c>
      <c r="B7" s="695"/>
      <c r="C7" s="695"/>
      <c r="D7" s="696" t="s">
        <v>174</v>
      </c>
      <c r="E7" s="696"/>
      <c r="F7" s="696"/>
      <c r="G7" s="697" t="s">
        <v>25</v>
      </c>
      <c r="H7" s="697"/>
      <c r="I7" s="286" t="s">
        <v>174</v>
      </c>
    </row>
    <row r="8" spans="1:9" ht="25.5" x14ac:dyDescent="0.2">
      <c r="A8" s="698" t="s">
        <v>23</v>
      </c>
      <c r="B8" s="700" t="s">
        <v>36</v>
      </c>
      <c r="C8" s="702" t="s">
        <v>22</v>
      </c>
      <c r="D8" s="702" t="s">
        <v>21</v>
      </c>
      <c r="E8" s="702" t="s">
        <v>20</v>
      </c>
      <c r="F8" s="702"/>
      <c r="G8" s="702" t="s">
        <v>19</v>
      </c>
      <c r="H8" s="702"/>
      <c r="I8" s="287" t="s">
        <v>18</v>
      </c>
    </row>
    <row r="9" spans="1:9" ht="26.25" thickBot="1" x14ac:dyDescent="0.25">
      <c r="A9" s="948"/>
      <c r="B9" s="949"/>
      <c r="C9" s="947"/>
      <c r="D9" s="947"/>
      <c r="E9" s="290" t="s">
        <v>15</v>
      </c>
      <c r="F9" s="289" t="s">
        <v>17</v>
      </c>
      <c r="G9" s="290"/>
      <c r="H9" s="289" t="s">
        <v>17</v>
      </c>
      <c r="I9" s="291" t="s">
        <v>16</v>
      </c>
    </row>
    <row r="10" spans="1:9" ht="15" x14ac:dyDescent="0.2">
      <c r="A10" s="418">
        <v>906000138</v>
      </c>
      <c r="B10" s="419" t="s">
        <v>348</v>
      </c>
      <c r="C10" s="465" t="s">
        <v>349</v>
      </c>
      <c r="D10" s="466" t="s">
        <v>43</v>
      </c>
      <c r="E10" s="467">
        <v>13547</v>
      </c>
      <c r="F10" s="466" t="s">
        <v>2</v>
      </c>
      <c r="G10" s="315">
        <f>E10/24</f>
        <v>564.45833333333337</v>
      </c>
      <c r="H10" s="468">
        <f>E10/24</f>
        <v>564.45833333333337</v>
      </c>
      <c r="I10" s="296"/>
    </row>
    <row r="11" spans="1:9" ht="15" x14ac:dyDescent="0.2">
      <c r="A11" s="231">
        <v>1210482</v>
      </c>
      <c r="B11" s="231" t="s">
        <v>178</v>
      </c>
      <c r="C11" s="232" t="s">
        <v>350</v>
      </c>
      <c r="D11" s="469" t="s">
        <v>180</v>
      </c>
      <c r="E11" s="469">
        <v>9055</v>
      </c>
      <c r="F11" s="469" t="s">
        <v>2</v>
      </c>
      <c r="G11" s="315">
        <f t="shared" ref="G11:G14" si="0">E11/24</f>
        <v>377.29166666666669</v>
      </c>
      <c r="H11" s="468">
        <f t="shared" ref="H11:H14" si="1">E11/24</f>
        <v>377.29166666666669</v>
      </c>
      <c r="I11" s="296"/>
    </row>
    <row r="12" spans="1:9" ht="15.75" x14ac:dyDescent="0.25">
      <c r="A12" s="222" t="s">
        <v>181</v>
      </c>
      <c r="B12" s="222"/>
      <c r="C12" s="223" t="s">
        <v>182</v>
      </c>
      <c r="D12" s="469" t="s">
        <v>43</v>
      </c>
      <c r="E12" s="469">
        <v>1940</v>
      </c>
      <c r="F12" s="469" t="s">
        <v>2</v>
      </c>
      <c r="G12" s="315">
        <f t="shared" si="0"/>
        <v>80.833333333333329</v>
      </c>
      <c r="H12" s="468">
        <f t="shared" si="1"/>
        <v>80.833333333333329</v>
      </c>
      <c r="I12" s="296"/>
    </row>
    <row r="13" spans="1:9" ht="15" x14ac:dyDescent="0.2">
      <c r="A13" s="231">
        <v>1212437</v>
      </c>
      <c r="B13" s="231" t="s">
        <v>351</v>
      </c>
      <c r="C13" s="232" t="s">
        <v>352</v>
      </c>
      <c r="D13" s="469" t="s">
        <v>353</v>
      </c>
      <c r="E13" s="469">
        <v>855</v>
      </c>
      <c r="F13" s="469" t="s">
        <v>2</v>
      </c>
      <c r="G13" s="315">
        <f t="shared" si="0"/>
        <v>35.625</v>
      </c>
      <c r="H13" s="468">
        <f t="shared" si="1"/>
        <v>35.625</v>
      </c>
      <c r="I13" s="296"/>
    </row>
    <row r="14" spans="1:9" ht="15" x14ac:dyDescent="0.2">
      <c r="A14" s="231"/>
      <c r="B14" s="231"/>
      <c r="C14" s="470"/>
      <c r="D14" s="469"/>
      <c r="E14" s="469"/>
      <c r="F14" s="469"/>
      <c r="G14" s="315">
        <f t="shared" si="0"/>
        <v>0</v>
      </c>
      <c r="H14" s="468">
        <f t="shared" si="1"/>
        <v>0</v>
      </c>
      <c r="I14" s="296"/>
    </row>
    <row r="15" spans="1:9" ht="15" x14ac:dyDescent="0.2">
      <c r="A15" s="297"/>
      <c r="B15" s="298"/>
      <c r="C15" s="470"/>
      <c r="D15" s="467"/>
      <c r="E15" s="467"/>
      <c r="F15" s="467"/>
      <c r="G15" s="315"/>
      <c r="H15" s="468"/>
      <c r="I15" s="296"/>
    </row>
    <row r="16" spans="1:9" ht="15.75" x14ac:dyDescent="0.25">
      <c r="A16" s="297"/>
      <c r="B16" s="298"/>
      <c r="C16" s="471"/>
      <c r="D16" s="467"/>
      <c r="E16" s="467"/>
      <c r="F16" s="467"/>
      <c r="G16" s="315"/>
      <c r="H16" s="468"/>
      <c r="I16" s="296"/>
    </row>
    <row r="17" spans="1:13" ht="15" x14ac:dyDescent="0.2">
      <c r="A17" s="231"/>
      <c r="B17" s="231"/>
      <c r="C17" s="232"/>
      <c r="D17" s="467"/>
      <c r="E17" s="467"/>
      <c r="F17" s="467"/>
      <c r="G17" s="315"/>
      <c r="H17" s="468"/>
      <c r="I17" s="296"/>
    </row>
    <row r="18" spans="1:13" ht="15" x14ac:dyDescent="0.2">
      <c r="A18" s="231"/>
      <c r="B18" s="231"/>
      <c r="C18" s="472"/>
      <c r="D18" s="467"/>
      <c r="E18" s="467"/>
      <c r="F18" s="467"/>
      <c r="G18" s="315"/>
      <c r="H18" s="468"/>
      <c r="I18" s="296"/>
    </row>
    <row r="19" spans="1:13" ht="15" x14ac:dyDescent="0.2">
      <c r="A19" s="231"/>
      <c r="B19" s="231"/>
      <c r="C19" s="232"/>
      <c r="D19" s="467"/>
      <c r="E19" s="473"/>
      <c r="F19" s="474"/>
      <c r="G19" s="318"/>
      <c r="H19" s="203"/>
      <c r="I19" s="475"/>
    </row>
    <row r="20" spans="1:13" ht="14.25" x14ac:dyDescent="0.2">
      <c r="A20" s="476"/>
      <c r="B20" s="477"/>
      <c r="C20" s="478"/>
      <c r="D20" s="479"/>
      <c r="E20" s="473"/>
      <c r="F20" s="474"/>
      <c r="G20" s="318"/>
      <c r="H20" s="203"/>
      <c r="I20" s="475"/>
    </row>
    <row r="21" spans="1:13" ht="14.25" x14ac:dyDescent="0.2">
      <c r="A21" s="476"/>
      <c r="B21" s="477"/>
      <c r="C21" s="480"/>
      <c r="D21" s="479"/>
      <c r="E21" s="473"/>
      <c r="F21" s="474"/>
      <c r="G21" s="318"/>
      <c r="H21" s="203"/>
      <c r="I21" s="475"/>
    </row>
    <row r="22" spans="1:13" ht="15" x14ac:dyDescent="0.2">
      <c r="A22" s="481"/>
      <c r="B22" s="482"/>
      <c r="C22" s="483"/>
      <c r="D22" s="484"/>
      <c r="E22" s="469"/>
      <c r="F22" s="469"/>
      <c r="G22" s="318"/>
      <c r="H22" s="203"/>
      <c r="I22" s="485"/>
    </row>
    <row r="23" spans="1:13" ht="14.25" x14ac:dyDescent="0.2">
      <c r="A23" s="486"/>
      <c r="B23" s="487"/>
      <c r="C23" s="488"/>
      <c r="D23" s="489"/>
      <c r="E23" s="490"/>
      <c r="F23" s="490"/>
      <c r="G23" s="490"/>
      <c r="H23" s="490"/>
      <c r="I23" s="485"/>
    </row>
    <row r="24" spans="1:13" ht="13.5" thickBot="1" x14ac:dyDescent="0.25">
      <c r="A24" s="302"/>
      <c r="B24" s="303"/>
      <c r="E24" s="304"/>
      <c r="F24" s="305"/>
      <c r="I24" s="306"/>
      <c r="L24" s="307"/>
    </row>
    <row r="25" spans="1:13" ht="13.5" thickBot="1" x14ac:dyDescent="0.25">
      <c r="A25" s="308"/>
      <c r="B25" s="309"/>
      <c r="C25" s="310"/>
      <c r="D25" s="311" t="s">
        <v>15</v>
      </c>
      <c r="E25" s="312" t="s">
        <v>14</v>
      </c>
      <c r="F25" s="313"/>
      <c r="G25" s="310"/>
      <c r="H25" s="310"/>
      <c r="I25" s="314"/>
      <c r="L25" s="307"/>
    </row>
    <row r="26" spans="1:13" x14ac:dyDescent="0.2">
      <c r="A26" s="704" t="s">
        <v>13</v>
      </c>
      <c r="B26" s="705"/>
      <c r="C26" s="706"/>
      <c r="D26" s="315">
        <v>24000</v>
      </c>
      <c r="E26" s="316" t="s">
        <v>2</v>
      </c>
      <c r="F26" s="707"/>
      <c r="G26" s="707"/>
      <c r="H26" s="708"/>
      <c r="I26" s="709"/>
      <c r="L26" s="307"/>
    </row>
    <row r="27" spans="1:13" x14ac:dyDescent="0.2">
      <c r="A27" s="710" t="s">
        <v>11</v>
      </c>
      <c r="B27" s="711"/>
      <c r="C27" s="712"/>
      <c r="D27" s="317">
        <v>10</v>
      </c>
      <c r="E27" s="203" t="s">
        <v>10</v>
      </c>
      <c r="F27" s="713"/>
      <c r="G27" s="713"/>
      <c r="H27" s="714"/>
      <c r="I27" s="715"/>
      <c r="L27" s="307"/>
    </row>
    <row r="28" spans="1:13" x14ac:dyDescent="0.2">
      <c r="A28" s="710" t="s">
        <v>8</v>
      </c>
      <c r="B28" s="711"/>
      <c r="C28" s="712"/>
      <c r="D28" s="203">
        <v>1</v>
      </c>
      <c r="E28" s="203" t="s">
        <v>256</v>
      </c>
      <c r="F28" s="713"/>
      <c r="G28" s="713"/>
      <c r="H28" s="714"/>
      <c r="I28" s="715"/>
      <c r="L28" s="307"/>
    </row>
    <row r="29" spans="1:13" x14ac:dyDescent="0.2">
      <c r="A29" s="710" t="s">
        <v>5</v>
      </c>
      <c r="B29" s="711"/>
      <c r="C29" s="712"/>
      <c r="D29" s="318">
        <f>+D26</f>
        <v>24000</v>
      </c>
      <c r="E29" s="203" t="s">
        <v>2</v>
      </c>
      <c r="F29" s="719"/>
      <c r="G29" s="720"/>
      <c r="H29" s="714"/>
      <c r="I29" s="715"/>
      <c r="L29" s="307"/>
      <c r="M29" s="491"/>
    </row>
    <row r="30" spans="1:13" ht="13.5" thickBot="1" x14ac:dyDescent="0.25">
      <c r="A30" s="721" t="s">
        <v>3</v>
      </c>
      <c r="B30" s="722"/>
      <c r="C30" s="723"/>
      <c r="D30" s="320">
        <f>SUM(E10:E13)-D26</f>
        <v>1397</v>
      </c>
      <c r="E30" s="321" t="s">
        <v>2</v>
      </c>
      <c r="F30" s="724"/>
      <c r="G30" s="724"/>
      <c r="H30" s="725"/>
      <c r="I30" s="726"/>
      <c r="L30" s="307"/>
    </row>
    <row r="31" spans="1:13" ht="13.5" thickBot="1" x14ac:dyDescent="0.25">
      <c r="A31" s="727" t="s">
        <v>1</v>
      </c>
      <c r="B31" s="728"/>
      <c r="C31" s="728"/>
      <c r="D31" s="728"/>
      <c r="E31" s="728"/>
      <c r="F31" s="728"/>
      <c r="G31" s="728"/>
      <c r="H31" s="728"/>
      <c r="I31" s="729"/>
    </row>
    <row r="32" spans="1:13" ht="15" x14ac:dyDescent="0.25">
      <c r="A32" s="716" t="s">
        <v>354</v>
      </c>
      <c r="B32" s="717"/>
      <c r="C32" s="717"/>
      <c r="D32" s="717"/>
      <c r="E32" s="717"/>
      <c r="F32" s="717"/>
      <c r="G32" s="717"/>
      <c r="H32" s="717"/>
      <c r="I32" s="718"/>
    </row>
    <row r="33" spans="1:9" ht="15" x14ac:dyDescent="0.25">
      <c r="A33" s="716" t="s">
        <v>355</v>
      </c>
      <c r="B33" s="717"/>
      <c r="C33" s="717"/>
      <c r="D33" s="717"/>
      <c r="E33" s="717"/>
      <c r="F33" s="717"/>
      <c r="G33" s="717"/>
      <c r="H33" s="717"/>
      <c r="I33" s="718"/>
    </row>
    <row r="34" spans="1:9" ht="15" x14ac:dyDescent="0.25">
      <c r="A34" s="716" t="s">
        <v>356</v>
      </c>
      <c r="B34" s="717"/>
      <c r="C34" s="717"/>
      <c r="D34" s="717"/>
      <c r="E34" s="717"/>
      <c r="F34" s="717"/>
      <c r="G34" s="717"/>
      <c r="H34" s="717"/>
      <c r="I34" s="718"/>
    </row>
    <row r="35" spans="1:9" ht="15" x14ac:dyDescent="0.25">
      <c r="A35" s="716" t="s">
        <v>357</v>
      </c>
      <c r="B35" s="717"/>
      <c r="C35" s="717"/>
      <c r="D35" s="717"/>
      <c r="E35" s="717"/>
      <c r="F35" s="717"/>
      <c r="G35" s="717"/>
      <c r="H35" s="717"/>
      <c r="I35" s="718"/>
    </row>
    <row r="36" spans="1:9" ht="15" x14ac:dyDescent="0.25">
      <c r="A36" s="716"/>
      <c r="B36" s="717"/>
      <c r="C36" s="717"/>
      <c r="D36" s="717"/>
      <c r="E36" s="717"/>
      <c r="F36" s="717"/>
      <c r="G36" s="717"/>
      <c r="H36" s="717"/>
      <c r="I36" s="718"/>
    </row>
    <row r="37" spans="1:9" ht="15" x14ac:dyDescent="0.25">
      <c r="A37" s="716"/>
      <c r="B37" s="717"/>
      <c r="C37" s="717"/>
      <c r="D37" s="717"/>
      <c r="E37" s="717"/>
      <c r="F37" s="717"/>
      <c r="G37" s="717"/>
      <c r="H37" s="717"/>
      <c r="I37" s="718"/>
    </row>
    <row r="38" spans="1:9" ht="15" x14ac:dyDescent="0.25">
      <c r="A38" s="716"/>
      <c r="B38" s="717"/>
      <c r="C38" s="717"/>
      <c r="D38" s="717"/>
      <c r="E38" s="717"/>
      <c r="F38" s="717"/>
      <c r="G38" s="717"/>
      <c r="H38" s="717"/>
      <c r="I38" s="718"/>
    </row>
    <row r="39" spans="1:9" ht="14.25" x14ac:dyDescent="0.2">
      <c r="A39" s="733"/>
      <c r="B39" s="734"/>
      <c r="C39" s="734"/>
      <c r="D39" s="734"/>
      <c r="E39" s="734"/>
      <c r="F39" s="734"/>
      <c r="G39" s="734"/>
      <c r="H39" s="734"/>
      <c r="I39" s="735"/>
    </row>
    <row r="40" spans="1:9" ht="15" thickBot="1" x14ac:dyDescent="0.25">
      <c r="A40" s="733"/>
      <c r="B40" s="734"/>
      <c r="C40" s="734"/>
      <c r="D40" s="734"/>
      <c r="E40" s="734"/>
      <c r="F40" s="734"/>
      <c r="G40" s="734"/>
      <c r="H40" s="734"/>
      <c r="I40" s="735"/>
    </row>
    <row r="41" spans="1:9" ht="13.5" thickBot="1" x14ac:dyDescent="0.25">
      <c r="A41" s="727" t="s">
        <v>163</v>
      </c>
      <c r="B41" s="728"/>
      <c r="C41" s="728"/>
      <c r="D41" s="728"/>
      <c r="E41" s="728"/>
      <c r="F41" s="728"/>
      <c r="G41" s="728"/>
      <c r="H41" s="728"/>
      <c r="I41" s="729"/>
    </row>
    <row r="42" spans="1:9" ht="15" x14ac:dyDescent="0.25">
      <c r="A42" s="492" t="s">
        <v>358</v>
      </c>
      <c r="B42" s="492"/>
    </row>
    <row r="43" spans="1:9" x14ac:dyDescent="0.2">
      <c r="A43" s="322"/>
      <c r="B43" s="322"/>
      <c r="C43" s="322"/>
    </row>
  </sheetData>
  <mergeCells count="43">
    <mergeCell ref="A40:I40"/>
    <mergeCell ref="A41:I41"/>
    <mergeCell ref="A34:I34"/>
    <mergeCell ref="A35:I35"/>
    <mergeCell ref="A36:I36"/>
    <mergeCell ref="A37:I37"/>
    <mergeCell ref="A38:I38"/>
    <mergeCell ref="A39:I39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26:C26"/>
    <mergeCell ref="F26:G26"/>
    <mergeCell ref="H26:I26"/>
    <mergeCell ref="A27:C27"/>
    <mergeCell ref="F27:G27"/>
    <mergeCell ref="H27:I27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A8AA-F750-4A1F-AD6A-B5FAD457E396}">
  <dimension ref="A1:M31"/>
  <sheetViews>
    <sheetView workbookViewId="0">
      <selection activeCell="B8" sqref="B8"/>
    </sheetView>
  </sheetViews>
  <sheetFormatPr baseColWidth="10" defaultColWidth="11.42578125" defaultRowHeight="13.5" x14ac:dyDescent="0.25"/>
  <cols>
    <col min="1" max="1" width="16.28515625" style="5" customWidth="1"/>
    <col min="2" max="2" width="11.5703125" style="5" customWidth="1"/>
    <col min="3" max="3" width="45.5703125" style="5" customWidth="1"/>
    <col min="4" max="4" width="14.28515625" style="5" customWidth="1"/>
    <col min="5" max="5" width="11.42578125" style="5"/>
    <col min="6" max="6" width="12.28515625" style="5" customWidth="1"/>
    <col min="7" max="7" width="11.42578125" style="5"/>
    <col min="8" max="8" width="14.28515625" style="5" customWidth="1"/>
    <col min="9" max="9" width="16" style="5" customWidth="1"/>
    <col min="10" max="16384" width="11.42578125" style="5"/>
  </cols>
  <sheetData>
    <row r="1" spans="1:9" ht="15.75" x14ac:dyDescent="0.25">
      <c r="A1" s="668"/>
      <c r="B1" s="669"/>
      <c r="C1" s="674" t="s">
        <v>35</v>
      </c>
      <c r="D1" s="674"/>
      <c r="E1" s="674"/>
      <c r="F1" s="674"/>
      <c r="G1" s="674"/>
      <c r="H1" s="205" t="s">
        <v>34</v>
      </c>
      <c r="I1" s="206" t="s">
        <v>332</v>
      </c>
    </row>
    <row r="2" spans="1:9" ht="16.5" thickBot="1" x14ac:dyDescent="0.3">
      <c r="A2" s="670"/>
      <c r="B2" s="671"/>
      <c r="C2" s="675" t="s">
        <v>33</v>
      </c>
      <c r="D2" s="675"/>
      <c r="E2" s="675"/>
      <c r="F2" s="675"/>
      <c r="G2" s="675"/>
      <c r="H2" s="207" t="s">
        <v>32</v>
      </c>
      <c r="I2" s="208" t="s">
        <v>170</v>
      </c>
    </row>
    <row r="3" spans="1:9" ht="18.75" thickBot="1" x14ac:dyDescent="0.3">
      <c r="A3" s="670"/>
      <c r="B3" s="671"/>
      <c r="C3" s="818" t="s">
        <v>333</v>
      </c>
      <c r="D3" s="819"/>
      <c r="E3" s="819"/>
      <c r="F3" s="819"/>
      <c r="G3" s="820"/>
      <c r="H3" s="653" t="s">
        <v>31</v>
      </c>
      <c r="I3" s="643" t="s">
        <v>334</v>
      </c>
    </row>
    <row r="4" spans="1:9" x14ac:dyDescent="0.25">
      <c r="A4" s="670"/>
      <c r="B4" s="671"/>
      <c r="C4" s="209" t="s">
        <v>30</v>
      </c>
      <c r="D4" s="811" t="s">
        <v>172</v>
      </c>
      <c r="E4" s="812"/>
      <c r="F4" s="812"/>
      <c r="G4" s="813"/>
      <c r="H4" s="654"/>
      <c r="I4" s="644"/>
    </row>
    <row r="5" spans="1:9" ht="14.25" thickBot="1" x14ac:dyDescent="0.3">
      <c r="A5" s="672"/>
      <c r="B5" s="673"/>
      <c r="C5" s="210" t="s">
        <v>29</v>
      </c>
      <c r="D5" s="814" t="s">
        <v>335</v>
      </c>
      <c r="E5" s="815"/>
      <c r="F5" s="815"/>
      <c r="G5" s="816"/>
      <c r="H5" s="655"/>
      <c r="I5" s="644"/>
    </row>
    <row r="6" spans="1:9" ht="25.5" x14ac:dyDescent="0.25">
      <c r="A6" s="923" t="s">
        <v>23</v>
      </c>
      <c r="B6" s="664" t="s">
        <v>36</v>
      </c>
      <c r="C6" s="666" t="s">
        <v>22</v>
      </c>
      <c r="D6" s="666" t="s">
        <v>21</v>
      </c>
      <c r="E6" s="666" t="s">
        <v>20</v>
      </c>
      <c r="F6" s="666"/>
      <c r="G6" s="666" t="s">
        <v>19</v>
      </c>
      <c r="H6" s="666"/>
      <c r="I6" s="335" t="s">
        <v>18</v>
      </c>
    </row>
    <row r="7" spans="1:9" ht="27" thickBot="1" x14ac:dyDescent="0.3">
      <c r="A7" s="663"/>
      <c r="B7" s="950"/>
      <c r="C7" s="677"/>
      <c r="D7" s="677"/>
      <c r="E7" s="444" t="s">
        <v>15</v>
      </c>
      <c r="F7" s="445" t="s">
        <v>17</v>
      </c>
      <c r="G7" s="336" t="s">
        <v>15</v>
      </c>
      <c r="H7" s="337" t="s">
        <v>17</v>
      </c>
      <c r="I7" s="338" t="s">
        <v>16</v>
      </c>
    </row>
    <row r="8" spans="1:9" ht="15" x14ac:dyDescent="0.25">
      <c r="A8" s="222">
        <v>907000306</v>
      </c>
      <c r="B8" s="222" t="s">
        <v>336</v>
      </c>
      <c r="C8" s="223" t="s">
        <v>337</v>
      </c>
      <c r="D8" s="446" t="s">
        <v>43</v>
      </c>
      <c r="E8" s="447">
        <v>24000</v>
      </c>
      <c r="F8" s="372" t="s">
        <v>2</v>
      </c>
      <c r="G8" s="342">
        <f>E8/23.36</f>
        <v>1027.3972602739727</v>
      </c>
      <c r="H8" s="343"/>
      <c r="I8" s="344"/>
    </row>
    <row r="9" spans="1:9" ht="15" x14ac:dyDescent="0.25">
      <c r="A9" s="421"/>
      <c r="B9" s="421"/>
      <c r="C9" s="410"/>
      <c r="D9" s="446"/>
      <c r="E9" s="448"/>
      <c r="F9" s="372"/>
      <c r="G9" s="342">
        <f t="shared" ref="G9:G14" si="0">E9/23.36</f>
        <v>0</v>
      </c>
      <c r="H9" s="343"/>
      <c r="I9" s="344"/>
    </row>
    <row r="10" spans="1:9" ht="15" x14ac:dyDescent="0.25">
      <c r="A10" s="449"/>
      <c r="B10" s="450"/>
      <c r="C10" s="451" t="s">
        <v>56</v>
      </c>
      <c r="D10" s="452"/>
      <c r="E10" s="453"/>
      <c r="F10" s="454"/>
      <c r="G10" s="342">
        <f t="shared" si="0"/>
        <v>0</v>
      </c>
      <c r="H10" s="343"/>
      <c r="I10" s="344"/>
    </row>
    <row r="11" spans="1:9" ht="15" x14ac:dyDescent="0.25">
      <c r="A11" s="222" t="s">
        <v>165</v>
      </c>
      <c r="B11" s="222"/>
      <c r="C11" s="223" t="s">
        <v>152</v>
      </c>
      <c r="D11" s="85" t="s">
        <v>43</v>
      </c>
      <c r="E11" s="453">
        <f>10*D21</f>
        <v>730</v>
      </c>
      <c r="F11" s="454" t="s">
        <v>2</v>
      </c>
      <c r="G11" s="342">
        <f t="shared" si="0"/>
        <v>31.25</v>
      </c>
      <c r="H11" s="343"/>
      <c r="I11" s="25"/>
    </row>
    <row r="12" spans="1:9" ht="15" x14ac:dyDescent="0.25">
      <c r="A12" s="231">
        <v>1950928</v>
      </c>
      <c r="B12" s="231" t="s">
        <v>156</v>
      </c>
      <c r="C12" s="232" t="s">
        <v>157</v>
      </c>
      <c r="D12" s="85" t="s">
        <v>158</v>
      </c>
      <c r="E12" s="453">
        <v>6</v>
      </c>
      <c r="F12" s="342" t="s">
        <v>7</v>
      </c>
      <c r="G12" s="342">
        <f t="shared" si="0"/>
        <v>0.25684931506849318</v>
      </c>
      <c r="H12" s="343"/>
      <c r="I12" s="25"/>
    </row>
    <row r="13" spans="1:9" ht="15" x14ac:dyDescent="0.25">
      <c r="A13" s="222" t="s">
        <v>166</v>
      </c>
      <c r="B13" s="222" t="s">
        <v>153</v>
      </c>
      <c r="C13" s="223" t="s">
        <v>154</v>
      </c>
      <c r="D13" s="85" t="s">
        <v>64</v>
      </c>
      <c r="E13" s="453">
        <v>6</v>
      </c>
      <c r="F13" s="342" t="s">
        <v>7</v>
      </c>
      <c r="G13" s="342">
        <f t="shared" si="0"/>
        <v>0.25684931506849318</v>
      </c>
      <c r="H13" s="11"/>
      <c r="I13" s="25"/>
    </row>
    <row r="14" spans="1:9" ht="15" x14ac:dyDescent="0.25">
      <c r="A14" s="222" t="s">
        <v>140</v>
      </c>
      <c r="B14" s="222" t="s">
        <v>65</v>
      </c>
      <c r="C14" s="223" t="s">
        <v>338</v>
      </c>
      <c r="D14" s="85" t="s">
        <v>67</v>
      </c>
      <c r="E14" s="453">
        <v>6</v>
      </c>
      <c r="F14" s="342" t="s">
        <v>7</v>
      </c>
      <c r="G14" s="342">
        <f t="shared" si="0"/>
        <v>0.25684931506849318</v>
      </c>
      <c r="H14" s="11"/>
      <c r="I14" s="25"/>
    </row>
    <row r="15" spans="1:9" ht="15" x14ac:dyDescent="0.25">
      <c r="A15" s="455"/>
      <c r="B15" s="455"/>
      <c r="C15" s="456"/>
      <c r="D15" s="457"/>
      <c r="E15" s="342"/>
      <c r="F15" s="343"/>
      <c r="G15" s="458"/>
      <c r="H15" s="458"/>
      <c r="I15" s="459"/>
    </row>
    <row r="16" spans="1:9" ht="15" x14ac:dyDescent="0.25">
      <c r="A16" s="460"/>
      <c r="B16" s="461"/>
      <c r="C16" s="416"/>
      <c r="D16" s="346"/>
      <c r="E16" s="28"/>
      <c r="F16" s="28"/>
      <c r="G16" s="28"/>
      <c r="H16" s="28"/>
      <c r="I16" s="25"/>
    </row>
    <row r="17" spans="1:13" ht="14.25" thickBot="1" x14ac:dyDescent="0.3">
      <c r="A17" s="347"/>
      <c r="B17" s="348"/>
      <c r="E17" s="349"/>
      <c r="F17" s="350"/>
      <c r="I17" s="351"/>
      <c r="L17" s="8"/>
    </row>
    <row r="18" spans="1:13" ht="14.25" thickBot="1" x14ac:dyDescent="0.3">
      <c r="A18" s="352"/>
      <c r="B18" s="353"/>
      <c r="C18" s="354"/>
      <c r="D18" s="355" t="s">
        <v>15</v>
      </c>
      <c r="E18" s="356" t="s">
        <v>14</v>
      </c>
      <c r="F18" s="357"/>
      <c r="G18" s="354"/>
      <c r="H18" s="354"/>
      <c r="I18" s="358"/>
      <c r="L18" s="8"/>
    </row>
    <row r="19" spans="1:13" x14ac:dyDescent="0.25">
      <c r="A19" s="903" t="s">
        <v>13</v>
      </c>
      <c r="B19" s="904"/>
      <c r="C19" s="905"/>
      <c r="D19" s="462">
        <f>73*320</f>
        <v>23360</v>
      </c>
      <c r="E19" s="359" t="s">
        <v>2</v>
      </c>
      <c r="F19" s="906" t="s">
        <v>12</v>
      </c>
      <c r="G19" s="906"/>
      <c r="H19" s="907"/>
      <c r="I19" s="908"/>
      <c r="L19" s="8"/>
    </row>
    <row r="20" spans="1:13" x14ac:dyDescent="0.25">
      <c r="A20" s="842" t="s">
        <v>11</v>
      </c>
      <c r="B20" s="843"/>
      <c r="C20" s="844"/>
      <c r="D20" s="11">
        <v>15</v>
      </c>
      <c r="E20" s="11" t="s">
        <v>339</v>
      </c>
      <c r="F20" s="845" t="s">
        <v>9</v>
      </c>
      <c r="G20" s="845"/>
      <c r="H20" s="846"/>
      <c r="I20" s="847"/>
      <c r="L20" s="8"/>
    </row>
    <row r="21" spans="1:13" x14ac:dyDescent="0.25">
      <c r="A21" s="842" t="s">
        <v>8</v>
      </c>
      <c r="B21" s="843"/>
      <c r="C21" s="844"/>
      <c r="D21" s="463">
        <f>+D19/D22</f>
        <v>73</v>
      </c>
      <c r="E21" s="406" t="s">
        <v>7</v>
      </c>
      <c r="F21" s="845" t="s">
        <v>6</v>
      </c>
      <c r="G21" s="845"/>
      <c r="H21" s="846"/>
      <c r="I21" s="847"/>
      <c r="L21" s="8"/>
    </row>
    <row r="22" spans="1:13" x14ac:dyDescent="0.25">
      <c r="A22" s="842" t="s">
        <v>5</v>
      </c>
      <c r="B22" s="843"/>
      <c r="C22" s="844"/>
      <c r="D22" s="11">
        <v>320</v>
      </c>
      <c r="E22" s="11" t="s">
        <v>2</v>
      </c>
      <c r="F22" s="918" t="s">
        <v>4</v>
      </c>
      <c r="G22" s="919"/>
      <c r="H22" s="846"/>
      <c r="I22" s="847"/>
      <c r="L22" s="8"/>
      <c r="M22" s="4"/>
    </row>
    <row r="23" spans="1:13" ht="14.25" thickBot="1" x14ac:dyDescent="0.3">
      <c r="A23" s="853" t="s">
        <v>3</v>
      </c>
      <c r="B23" s="854"/>
      <c r="C23" s="855"/>
      <c r="D23" s="464">
        <f>+E8-D19</f>
        <v>640</v>
      </c>
      <c r="E23" s="361" t="s">
        <v>2</v>
      </c>
      <c r="F23" s="856"/>
      <c r="G23" s="856"/>
      <c r="H23" s="897"/>
      <c r="I23" s="898"/>
      <c r="L23" s="8"/>
    </row>
    <row r="24" spans="1:13" ht="14.25" thickBot="1" x14ac:dyDescent="0.3">
      <c r="A24" s="915" t="s">
        <v>1</v>
      </c>
      <c r="B24" s="916"/>
      <c r="C24" s="916"/>
      <c r="D24" s="916"/>
      <c r="E24" s="916"/>
      <c r="F24" s="916"/>
      <c r="G24" s="916"/>
      <c r="H24" s="916"/>
      <c r="I24" s="917"/>
    </row>
    <row r="25" spans="1:13" x14ac:dyDescent="0.25">
      <c r="A25" s="954" t="s">
        <v>340</v>
      </c>
      <c r="B25" s="955"/>
      <c r="C25" s="956"/>
      <c r="D25" s="956"/>
      <c r="E25" s="956"/>
      <c r="F25" s="956"/>
      <c r="G25" s="956"/>
      <c r="H25" s="956"/>
      <c r="I25" s="957"/>
    </row>
    <row r="26" spans="1:13" x14ac:dyDescent="0.25">
      <c r="A26" s="872" t="s">
        <v>341</v>
      </c>
      <c r="B26" s="873"/>
      <c r="C26" s="874"/>
      <c r="D26" s="874"/>
      <c r="E26" s="874"/>
      <c r="F26" s="874"/>
      <c r="G26" s="874"/>
      <c r="H26" s="874"/>
      <c r="I26" s="875"/>
    </row>
    <row r="27" spans="1:13" x14ac:dyDescent="0.25">
      <c r="A27" s="951" t="s">
        <v>342</v>
      </c>
      <c r="B27" s="952"/>
      <c r="C27" s="952"/>
      <c r="D27" s="952"/>
      <c r="E27" s="952"/>
      <c r="F27" s="952"/>
      <c r="G27" s="952"/>
      <c r="H27" s="952"/>
      <c r="I27" s="953"/>
    </row>
    <row r="28" spans="1:13" ht="14.25" thickBot="1" x14ac:dyDescent="0.3">
      <c r="A28" s="876"/>
      <c r="B28" s="877"/>
      <c r="C28" s="878"/>
      <c r="D28" s="878"/>
      <c r="E28" s="878"/>
      <c r="F28" s="878"/>
      <c r="G28" s="878"/>
      <c r="H28" s="878"/>
      <c r="I28" s="879"/>
    </row>
    <row r="29" spans="1:13" ht="14.25" thickBot="1" x14ac:dyDescent="0.3">
      <c r="A29" s="915" t="s">
        <v>163</v>
      </c>
      <c r="B29" s="916"/>
      <c r="C29" s="916"/>
      <c r="D29" s="916"/>
      <c r="E29" s="916"/>
      <c r="F29" s="916"/>
      <c r="G29" s="916"/>
      <c r="H29" s="916"/>
      <c r="I29" s="917"/>
    </row>
    <row r="30" spans="1:13" x14ac:dyDescent="0.25">
      <c r="A30" s="362" t="s">
        <v>343</v>
      </c>
      <c r="B30" s="362"/>
      <c r="C30" s="362"/>
    </row>
    <row r="31" spans="1:13" x14ac:dyDescent="0.25">
      <c r="A31" s="362"/>
      <c r="B31" s="362"/>
    </row>
  </sheetData>
  <mergeCells count="35">
    <mergeCell ref="A27:I27"/>
    <mergeCell ref="A28:I28"/>
    <mergeCell ref="A29:I29"/>
    <mergeCell ref="A23:C23"/>
    <mergeCell ref="F23:G23"/>
    <mergeCell ref="H23:I23"/>
    <mergeCell ref="A24:I24"/>
    <mergeCell ref="A25:I25"/>
    <mergeCell ref="A26:I26"/>
    <mergeCell ref="A21:C21"/>
    <mergeCell ref="F21:G21"/>
    <mergeCell ref="H21:I21"/>
    <mergeCell ref="A22:C22"/>
    <mergeCell ref="F22:G22"/>
    <mergeCell ref="H22:I22"/>
    <mergeCell ref="A19:C19"/>
    <mergeCell ref="F19:G19"/>
    <mergeCell ref="H19:I19"/>
    <mergeCell ref="A20:C20"/>
    <mergeCell ref="F20:G20"/>
    <mergeCell ref="H20:I20"/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545B-9E10-48E9-B054-8F58365C0D5B}">
  <dimension ref="A1:I33"/>
  <sheetViews>
    <sheetView workbookViewId="0">
      <selection activeCell="B10" sqref="B10"/>
    </sheetView>
  </sheetViews>
  <sheetFormatPr baseColWidth="10" defaultColWidth="9.7109375" defaultRowHeight="15.75" x14ac:dyDescent="0.25"/>
  <cols>
    <col min="1" max="1" width="16.28515625" style="109" customWidth="1"/>
    <col min="2" max="2" width="13.5703125" style="109" customWidth="1"/>
    <col min="3" max="3" width="41.5703125" style="422" customWidth="1"/>
    <col min="4" max="4" width="11.5703125" style="422" customWidth="1"/>
    <col min="5" max="5" width="11.28515625" style="422" customWidth="1"/>
    <col min="6" max="6" width="11.42578125" style="422" customWidth="1"/>
    <col min="7" max="8" width="16.5703125" style="422" customWidth="1"/>
    <col min="9" max="9" width="20" style="422" customWidth="1"/>
    <col min="10" max="256" width="9.7109375" style="422"/>
    <col min="257" max="257" width="16.28515625" style="422" customWidth="1"/>
    <col min="258" max="258" width="13.5703125" style="422" customWidth="1"/>
    <col min="259" max="259" width="41.5703125" style="422" customWidth="1"/>
    <col min="260" max="260" width="11.5703125" style="422" customWidth="1"/>
    <col min="261" max="261" width="11.28515625" style="422" customWidth="1"/>
    <col min="262" max="262" width="11.42578125" style="422" customWidth="1"/>
    <col min="263" max="264" width="16.5703125" style="422" customWidth="1"/>
    <col min="265" max="265" width="20" style="422" customWidth="1"/>
    <col min="266" max="512" width="9.7109375" style="422"/>
    <col min="513" max="513" width="16.28515625" style="422" customWidth="1"/>
    <col min="514" max="514" width="13.5703125" style="422" customWidth="1"/>
    <col min="515" max="515" width="41.5703125" style="422" customWidth="1"/>
    <col min="516" max="516" width="11.5703125" style="422" customWidth="1"/>
    <col min="517" max="517" width="11.28515625" style="422" customWidth="1"/>
    <col min="518" max="518" width="11.42578125" style="422" customWidth="1"/>
    <col min="519" max="520" width="16.5703125" style="422" customWidth="1"/>
    <col min="521" max="521" width="20" style="422" customWidth="1"/>
    <col min="522" max="768" width="9.7109375" style="422"/>
    <col min="769" max="769" width="16.28515625" style="422" customWidth="1"/>
    <col min="770" max="770" width="13.5703125" style="422" customWidth="1"/>
    <col min="771" max="771" width="41.5703125" style="422" customWidth="1"/>
    <col min="772" max="772" width="11.5703125" style="422" customWidth="1"/>
    <col min="773" max="773" width="11.28515625" style="422" customWidth="1"/>
    <col min="774" max="774" width="11.42578125" style="422" customWidth="1"/>
    <col min="775" max="776" width="16.5703125" style="422" customWidth="1"/>
    <col min="777" max="777" width="20" style="422" customWidth="1"/>
    <col min="778" max="1024" width="9.7109375" style="422"/>
    <col min="1025" max="1025" width="16.28515625" style="422" customWidth="1"/>
    <col min="1026" max="1026" width="13.5703125" style="422" customWidth="1"/>
    <col min="1027" max="1027" width="41.5703125" style="422" customWidth="1"/>
    <col min="1028" max="1028" width="11.5703125" style="422" customWidth="1"/>
    <col min="1029" max="1029" width="11.28515625" style="422" customWidth="1"/>
    <col min="1030" max="1030" width="11.42578125" style="422" customWidth="1"/>
    <col min="1031" max="1032" width="16.5703125" style="422" customWidth="1"/>
    <col min="1033" max="1033" width="20" style="422" customWidth="1"/>
    <col min="1034" max="1280" width="9.7109375" style="422"/>
    <col min="1281" max="1281" width="16.28515625" style="422" customWidth="1"/>
    <col min="1282" max="1282" width="13.5703125" style="422" customWidth="1"/>
    <col min="1283" max="1283" width="41.5703125" style="422" customWidth="1"/>
    <col min="1284" max="1284" width="11.5703125" style="422" customWidth="1"/>
    <col min="1285" max="1285" width="11.28515625" style="422" customWidth="1"/>
    <col min="1286" max="1286" width="11.42578125" style="422" customWidth="1"/>
    <col min="1287" max="1288" width="16.5703125" style="422" customWidth="1"/>
    <col min="1289" max="1289" width="20" style="422" customWidth="1"/>
    <col min="1290" max="1536" width="9.7109375" style="422"/>
    <col min="1537" max="1537" width="16.28515625" style="422" customWidth="1"/>
    <col min="1538" max="1538" width="13.5703125" style="422" customWidth="1"/>
    <col min="1539" max="1539" width="41.5703125" style="422" customWidth="1"/>
    <col min="1540" max="1540" width="11.5703125" style="422" customWidth="1"/>
    <col min="1541" max="1541" width="11.28515625" style="422" customWidth="1"/>
    <col min="1542" max="1542" width="11.42578125" style="422" customWidth="1"/>
    <col min="1543" max="1544" width="16.5703125" style="422" customWidth="1"/>
    <col min="1545" max="1545" width="20" style="422" customWidth="1"/>
    <col min="1546" max="1792" width="9.7109375" style="422"/>
    <col min="1793" max="1793" width="16.28515625" style="422" customWidth="1"/>
    <col min="1794" max="1794" width="13.5703125" style="422" customWidth="1"/>
    <col min="1795" max="1795" width="41.5703125" style="422" customWidth="1"/>
    <col min="1796" max="1796" width="11.5703125" style="422" customWidth="1"/>
    <col min="1797" max="1797" width="11.28515625" style="422" customWidth="1"/>
    <col min="1798" max="1798" width="11.42578125" style="422" customWidth="1"/>
    <col min="1799" max="1800" width="16.5703125" style="422" customWidth="1"/>
    <col min="1801" max="1801" width="20" style="422" customWidth="1"/>
    <col min="1802" max="2048" width="9.7109375" style="422"/>
    <col min="2049" max="2049" width="16.28515625" style="422" customWidth="1"/>
    <col min="2050" max="2050" width="13.5703125" style="422" customWidth="1"/>
    <col min="2051" max="2051" width="41.5703125" style="422" customWidth="1"/>
    <col min="2052" max="2052" width="11.5703125" style="422" customWidth="1"/>
    <col min="2053" max="2053" width="11.28515625" style="422" customWidth="1"/>
    <col min="2054" max="2054" width="11.42578125" style="422" customWidth="1"/>
    <col min="2055" max="2056" width="16.5703125" style="422" customWidth="1"/>
    <col min="2057" max="2057" width="20" style="422" customWidth="1"/>
    <col min="2058" max="2304" width="9.7109375" style="422"/>
    <col min="2305" max="2305" width="16.28515625" style="422" customWidth="1"/>
    <col min="2306" max="2306" width="13.5703125" style="422" customWidth="1"/>
    <col min="2307" max="2307" width="41.5703125" style="422" customWidth="1"/>
    <col min="2308" max="2308" width="11.5703125" style="422" customWidth="1"/>
    <col min="2309" max="2309" width="11.28515625" style="422" customWidth="1"/>
    <col min="2310" max="2310" width="11.42578125" style="422" customWidth="1"/>
    <col min="2311" max="2312" width="16.5703125" style="422" customWidth="1"/>
    <col min="2313" max="2313" width="20" style="422" customWidth="1"/>
    <col min="2314" max="2560" width="9.7109375" style="422"/>
    <col min="2561" max="2561" width="16.28515625" style="422" customWidth="1"/>
    <col min="2562" max="2562" width="13.5703125" style="422" customWidth="1"/>
    <col min="2563" max="2563" width="41.5703125" style="422" customWidth="1"/>
    <col min="2564" max="2564" width="11.5703125" style="422" customWidth="1"/>
    <col min="2565" max="2565" width="11.28515625" style="422" customWidth="1"/>
    <col min="2566" max="2566" width="11.42578125" style="422" customWidth="1"/>
    <col min="2567" max="2568" width="16.5703125" style="422" customWidth="1"/>
    <col min="2569" max="2569" width="20" style="422" customWidth="1"/>
    <col min="2570" max="2816" width="9.7109375" style="422"/>
    <col min="2817" max="2817" width="16.28515625" style="422" customWidth="1"/>
    <col min="2818" max="2818" width="13.5703125" style="422" customWidth="1"/>
    <col min="2819" max="2819" width="41.5703125" style="422" customWidth="1"/>
    <col min="2820" max="2820" width="11.5703125" style="422" customWidth="1"/>
    <col min="2821" max="2821" width="11.28515625" style="422" customWidth="1"/>
    <col min="2822" max="2822" width="11.42578125" style="422" customWidth="1"/>
    <col min="2823" max="2824" width="16.5703125" style="422" customWidth="1"/>
    <col min="2825" max="2825" width="20" style="422" customWidth="1"/>
    <col min="2826" max="3072" width="9.7109375" style="422"/>
    <col min="3073" max="3073" width="16.28515625" style="422" customWidth="1"/>
    <col min="3074" max="3074" width="13.5703125" style="422" customWidth="1"/>
    <col min="3075" max="3075" width="41.5703125" style="422" customWidth="1"/>
    <col min="3076" max="3076" width="11.5703125" style="422" customWidth="1"/>
    <col min="3077" max="3077" width="11.28515625" style="422" customWidth="1"/>
    <col min="3078" max="3078" width="11.42578125" style="422" customWidth="1"/>
    <col min="3079" max="3080" width="16.5703125" style="422" customWidth="1"/>
    <col min="3081" max="3081" width="20" style="422" customWidth="1"/>
    <col min="3082" max="3328" width="9.7109375" style="422"/>
    <col min="3329" max="3329" width="16.28515625" style="422" customWidth="1"/>
    <col min="3330" max="3330" width="13.5703125" style="422" customWidth="1"/>
    <col min="3331" max="3331" width="41.5703125" style="422" customWidth="1"/>
    <col min="3332" max="3332" width="11.5703125" style="422" customWidth="1"/>
    <col min="3333" max="3333" width="11.28515625" style="422" customWidth="1"/>
    <col min="3334" max="3334" width="11.42578125" style="422" customWidth="1"/>
    <col min="3335" max="3336" width="16.5703125" style="422" customWidth="1"/>
    <col min="3337" max="3337" width="20" style="422" customWidth="1"/>
    <col min="3338" max="3584" width="9.7109375" style="422"/>
    <col min="3585" max="3585" width="16.28515625" style="422" customWidth="1"/>
    <col min="3586" max="3586" width="13.5703125" style="422" customWidth="1"/>
    <col min="3587" max="3587" width="41.5703125" style="422" customWidth="1"/>
    <col min="3588" max="3588" width="11.5703125" style="422" customWidth="1"/>
    <col min="3589" max="3589" width="11.28515625" style="422" customWidth="1"/>
    <col min="3590" max="3590" width="11.42578125" style="422" customWidth="1"/>
    <col min="3591" max="3592" width="16.5703125" style="422" customWidth="1"/>
    <col min="3593" max="3593" width="20" style="422" customWidth="1"/>
    <col min="3594" max="3840" width="9.7109375" style="422"/>
    <col min="3841" max="3841" width="16.28515625" style="422" customWidth="1"/>
    <col min="3842" max="3842" width="13.5703125" style="422" customWidth="1"/>
    <col min="3843" max="3843" width="41.5703125" style="422" customWidth="1"/>
    <col min="3844" max="3844" width="11.5703125" style="422" customWidth="1"/>
    <col min="3845" max="3845" width="11.28515625" style="422" customWidth="1"/>
    <col min="3846" max="3846" width="11.42578125" style="422" customWidth="1"/>
    <col min="3847" max="3848" width="16.5703125" style="422" customWidth="1"/>
    <col min="3849" max="3849" width="20" style="422" customWidth="1"/>
    <col min="3850" max="4096" width="9.7109375" style="422"/>
    <col min="4097" max="4097" width="16.28515625" style="422" customWidth="1"/>
    <col min="4098" max="4098" width="13.5703125" style="422" customWidth="1"/>
    <col min="4099" max="4099" width="41.5703125" style="422" customWidth="1"/>
    <col min="4100" max="4100" width="11.5703125" style="422" customWidth="1"/>
    <col min="4101" max="4101" width="11.28515625" style="422" customWidth="1"/>
    <col min="4102" max="4102" width="11.42578125" style="422" customWidth="1"/>
    <col min="4103" max="4104" width="16.5703125" style="422" customWidth="1"/>
    <col min="4105" max="4105" width="20" style="422" customWidth="1"/>
    <col min="4106" max="4352" width="9.7109375" style="422"/>
    <col min="4353" max="4353" width="16.28515625" style="422" customWidth="1"/>
    <col min="4354" max="4354" width="13.5703125" style="422" customWidth="1"/>
    <col min="4355" max="4355" width="41.5703125" style="422" customWidth="1"/>
    <col min="4356" max="4356" width="11.5703125" style="422" customWidth="1"/>
    <col min="4357" max="4357" width="11.28515625" style="422" customWidth="1"/>
    <col min="4358" max="4358" width="11.42578125" style="422" customWidth="1"/>
    <col min="4359" max="4360" width="16.5703125" style="422" customWidth="1"/>
    <col min="4361" max="4361" width="20" style="422" customWidth="1"/>
    <col min="4362" max="4608" width="9.7109375" style="422"/>
    <col min="4609" max="4609" width="16.28515625" style="422" customWidth="1"/>
    <col min="4610" max="4610" width="13.5703125" style="422" customWidth="1"/>
    <col min="4611" max="4611" width="41.5703125" style="422" customWidth="1"/>
    <col min="4612" max="4612" width="11.5703125" style="422" customWidth="1"/>
    <col min="4613" max="4613" width="11.28515625" style="422" customWidth="1"/>
    <col min="4614" max="4614" width="11.42578125" style="422" customWidth="1"/>
    <col min="4615" max="4616" width="16.5703125" style="422" customWidth="1"/>
    <col min="4617" max="4617" width="20" style="422" customWidth="1"/>
    <col min="4618" max="4864" width="9.7109375" style="422"/>
    <col min="4865" max="4865" width="16.28515625" style="422" customWidth="1"/>
    <col min="4866" max="4866" width="13.5703125" style="422" customWidth="1"/>
    <col min="4867" max="4867" width="41.5703125" style="422" customWidth="1"/>
    <col min="4868" max="4868" width="11.5703125" style="422" customWidth="1"/>
    <col min="4869" max="4869" width="11.28515625" style="422" customWidth="1"/>
    <col min="4870" max="4870" width="11.42578125" style="422" customWidth="1"/>
    <col min="4871" max="4872" width="16.5703125" style="422" customWidth="1"/>
    <col min="4873" max="4873" width="20" style="422" customWidth="1"/>
    <col min="4874" max="5120" width="9.7109375" style="422"/>
    <col min="5121" max="5121" width="16.28515625" style="422" customWidth="1"/>
    <col min="5122" max="5122" width="13.5703125" style="422" customWidth="1"/>
    <col min="5123" max="5123" width="41.5703125" style="422" customWidth="1"/>
    <col min="5124" max="5124" width="11.5703125" style="422" customWidth="1"/>
    <col min="5125" max="5125" width="11.28515625" style="422" customWidth="1"/>
    <col min="5126" max="5126" width="11.42578125" style="422" customWidth="1"/>
    <col min="5127" max="5128" width="16.5703125" style="422" customWidth="1"/>
    <col min="5129" max="5129" width="20" style="422" customWidth="1"/>
    <col min="5130" max="5376" width="9.7109375" style="422"/>
    <col min="5377" max="5377" width="16.28515625" style="422" customWidth="1"/>
    <col min="5378" max="5378" width="13.5703125" style="422" customWidth="1"/>
    <col min="5379" max="5379" width="41.5703125" style="422" customWidth="1"/>
    <col min="5380" max="5380" width="11.5703125" style="422" customWidth="1"/>
    <col min="5381" max="5381" width="11.28515625" style="422" customWidth="1"/>
    <col min="5382" max="5382" width="11.42578125" style="422" customWidth="1"/>
    <col min="5383" max="5384" width="16.5703125" style="422" customWidth="1"/>
    <col min="5385" max="5385" width="20" style="422" customWidth="1"/>
    <col min="5386" max="5632" width="9.7109375" style="422"/>
    <col min="5633" max="5633" width="16.28515625" style="422" customWidth="1"/>
    <col min="5634" max="5634" width="13.5703125" style="422" customWidth="1"/>
    <col min="5635" max="5635" width="41.5703125" style="422" customWidth="1"/>
    <col min="5636" max="5636" width="11.5703125" style="422" customWidth="1"/>
    <col min="5637" max="5637" width="11.28515625" style="422" customWidth="1"/>
    <col min="5638" max="5638" width="11.42578125" style="422" customWidth="1"/>
    <col min="5639" max="5640" width="16.5703125" style="422" customWidth="1"/>
    <col min="5641" max="5641" width="20" style="422" customWidth="1"/>
    <col min="5642" max="5888" width="9.7109375" style="422"/>
    <col min="5889" max="5889" width="16.28515625" style="422" customWidth="1"/>
    <col min="5890" max="5890" width="13.5703125" style="422" customWidth="1"/>
    <col min="5891" max="5891" width="41.5703125" style="422" customWidth="1"/>
    <col min="5892" max="5892" width="11.5703125" style="422" customWidth="1"/>
    <col min="5893" max="5893" width="11.28515625" style="422" customWidth="1"/>
    <col min="5894" max="5894" width="11.42578125" style="422" customWidth="1"/>
    <col min="5895" max="5896" width="16.5703125" style="422" customWidth="1"/>
    <col min="5897" max="5897" width="20" style="422" customWidth="1"/>
    <col min="5898" max="6144" width="9.7109375" style="422"/>
    <col min="6145" max="6145" width="16.28515625" style="422" customWidth="1"/>
    <col min="6146" max="6146" width="13.5703125" style="422" customWidth="1"/>
    <col min="6147" max="6147" width="41.5703125" style="422" customWidth="1"/>
    <col min="6148" max="6148" width="11.5703125" style="422" customWidth="1"/>
    <col min="6149" max="6149" width="11.28515625" style="422" customWidth="1"/>
    <col min="6150" max="6150" width="11.42578125" style="422" customWidth="1"/>
    <col min="6151" max="6152" width="16.5703125" style="422" customWidth="1"/>
    <col min="6153" max="6153" width="20" style="422" customWidth="1"/>
    <col min="6154" max="6400" width="9.7109375" style="422"/>
    <col min="6401" max="6401" width="16.28515625" style="422" customWidth="1"/>
    <col min="6402" max="6402" width="13.5703125" style="422" customWidth="1"/>
    <col min="6403" max="6403" width="41.5703125" style="422" customWidth="1"/>
    <col min="6404" max="6404" width="11.5703125" style="422" customWidth="1"/>
    <col min="6405" max="6405" width="11.28515625" style="422" customWidth="1"/>
    <col min="6406" max="6406" width="11.42578125" style="422" customWidth="1"/>
    <col min="6407" max="6408" width="16.5703125" style="422" customWidth="1"/>
    <col min="6409" max="6409" width="20" style="422" customWidth="1"/>
    <col min="6410" max="6656" width="9.7109375" style="422"/>
    <col min="6657" max="6657" width="16.28515625" style="422" customWidth="1"/>
    <col min="6658" max="6658" width="13.5703125" style="422" customWidth="1"/>
    <col min="6659" max="6659" width="41.5703125" style="422" customWidth="1"/>
    <col min="6660" max="6660" width="11.5703125" style="422" customWidth="1"/>
    <col min="6661" max="6661" width="11.28515625" style="422" customWidth="1"/>
    <col min="6662" max="6662" width="11.42578125" style="422" customWidth="1"/>
    <col min="6663" max="6664" width="16.5703125" style="422" customWidth="1"/>
    <col min="6665" max="6665" width="20" style="422" customWidth="1"/>
    <col min="6666" max="6912" width="9.7109375" style="422"/>
    <col min="6913" max="6913" width="16.28515625" style="422" customWidth="1"/>
    <col min="6914" max="6914" width="13.5703125" style="422" customWidth="1"/>
    <col min="6915" max="6915" width="41.5703125" style="422" customWidth="1"/>
    <col min="6916" max="6916" width="11.5703125" style="422" customWidth="1"/>
    <col min="6917" max="6917" width="11.28515625" style="422" customWidth="1"/>
    <col min="6918" max="6918" width="11.42578125" style="422" customWidth="1"/>
    <col min="6919" max="6920" width="16.5703125" style="422" customWidth="1"/>
    <col min="6921" max="6921" width="20" style="422" customWidth="1"/>
    <col min="6922" max="7168" width="9.7109375" style="422"/>
    <col min="7169" max="7169" width="16.28515625" style="422" customWidth="1"/>
    <col min="7170" max="7170" width="13.5703125" style="422" customWidth="1"/>
    <col min="7171" max="7171" width="41.5703125" style="422" customWidth="1"/>
    <col min="7172" max="7172" width="11.5703125" style="422" customWidth="1"/>
    <col min="7173" max="7173" width="11.28515625" style="422" customWidth="1"/>
    <col min="7174" max="7174" width="11.42578125" style="422" customWidth="1"/>
    <col min="7175" max="7176" width="16.5703125" style="422" customWidth="1"/>
    <col min="7177" max="7177" width="20" style="422" customWidth="1"/>
    <col min="7178" max="7424" width="9.7109375" style="422"/>
    <col min="7425" max="7425" width="16.28515625" style="422" customWidth="1"/>
    <col min="7426" max="7426" width="13.5703125" style="422" customWidth="1"/>
    <col min="7427" max="7427" width="41.5703125" style="422" customWidth="1"/>
    <col min="7428" max="7428" width="11.5703125" style="422" customWidth="1"/>
    <col min="7429" max="7429" width="11.28515625" style="422" customWidth="1"/>
    <col min="7430" max="7430" width="11.42578125" style="422" customWidth="1"/>
    <col min="7431" max="7432" width="16.5703125" style="422" customWidth="1"/>
    <col min="7433" max="7433" width="20" style="422" customWidth="1"/>
    <col min="7434" max="7680" width="9.7109375" style="422"/>
    <col min="7681" max="7681" width="16.28515625" style="422" customWidth="1"/>
    <col min="7682" max="7682" width="13.5703125" style="422" customWidth="1"/>
    <col min="7683" max="7683" width="41.5703125" style="422" customWidth="1"/>
    <col min="7684" max="7684" width="11.5703125" style="422" customWidth="1"/>
    <col min="7685" max="7685" width="11.28515625" style="422" customWidth="1"/>
    <col min="7686" max="7686" width="11.42578125" style="422" customWidth="1"/>
    <col min="7687" max="7688" width="16.5703125" style="422" customWidth="1"/>
    <col min="7689" max="7689" width="20" style="422" customWidth="1"/>
    <col min="7690" max="7936" width="9.7109375" style="422"/>
    <col min="7937" max="7937" width="16.28515625" style="422" customWidth="1"/>
    <col min="7938" max="7938" width="13.5703125" style="422" customWidth="1"/>
    <col min="7939" max="7939" width="41.5703125" style="422" customWidth="1"/>
    <col min="7940" max="7940" width="11.5703125" style="422" customWidth="1"/>
    <col min="7941" max="7941" width="11.28515625" style="422" customWidth="1"/>
    <col min="7942" max="7942" width="11.42578125" style="422" customWidth="1"/>
    <col min="7943" max="7944" width="16.5703125" style="422" customWidth="1"/>
    <col min="7945" max="7945" width="20" style="422" customWidth="1"/>
    <col min="7946" max="8192" width="9.7109375" style="422"/>
    <col min="8193" max="8193" width="16.28515625" style="422" customWidth="1"/>
    <col min="8194" max="8194" width="13.5703125" style="422" customWidth="1"/>
    <col min="8195" max="8195" width="41.5703125" style="422" customWidth="1"/>
    <col min="8196" max="8196" width="11.5703125" style="422" customWidth="1"/>
    <col min="8197" max="8197" width="11.28515625" style="422" customWidth="1"/>
    <col min="8198" max="8198" width="11.42578125" style="422" customWidth="1"/>
    <col min="8199" max="8200" width="16.5703125" style="422" customWidth="1"/>
    <col min="8201" max="8201" width="20" style="422" customWidth="1"/>
    <col min="8202" max="8448" width="9.7109375" style="422"/>
    <col min="8449" max="8449" width="16.28515625" style="422" customWidth="1"/>
    <col min="8450" max="8450" width="13.5703125" style="422" customWidth="1"/>
    <col min="8451" max="8451" width="41.5703125" style="422" customWidth="1"/>
    <col min="8452" max="8452" width="11.5703125" style="422" customWidth="1"/>
    <col min="8453" max="8453" width="11.28515625" style="422" customWidth="1"/>
    <col min="8454" max="8454" width="11.42578125" style="422" customWidth="1"/>
    <col min="8455" max="8456" width="16.5703125" style="422" customWidth="1"/>
    <col min="8457" max="8457" width="20" style="422" customWidth="1"/>
    <col min="8458" max="8704" width="9.7109375" style="422"/>
    <col min="8705" max="8705" width="16.28515625" style="422" customWidth="1"/>
    <col min="8706" max="8706" width="13.5703125" style="422" customWidth="1"/>
    <col min="8707" max="8707" width="41.5703125" style="422" customWidth="1"/>
    <col min="8708" max="8708" width="11.5703125" style="422" customWidth="1"/>
    <col min="8709" max="8709" width="11.28515625" style="422" customWidth="1"/>
    <col min="8710" max="8710" width="11.42578125" style="422" customWidth="1"/>
    <col min="8711" max="8712" width="16.5703125" style="422" customWidth="1"/>
    <col min="8713" max="8713" width="20" style="422" customWidth="1"/>
    <col min="8714" max="8960" width="9.7109375" style="422"/>
    <col min="8961" max="8961" width="16.28515625" style="422" customWidth="1"/>
    <col min="8962" max="8962" width="13.5703125" style="422" customWidth="1"/>
    <col min="8963" max="8963" width="41.5703125" style="422" customWidth="1"/>
    <col min="8964" max="8964" width="11.5703125" style="422" customWidth="1"/>
    <col min="8965" max="8965" width="11.28515625" style="422" customWidth="1"/>
    <col min="8966" max="8966" width="11.42578125" style="422" customWidth="1"/>
    <col min="8967" max="8968" width="16.5703125" style="422" customWidth="1"/>
    <col min="8969" max="8969" width="20" style="422" customWidth="1"/>
    <col min="8970" max="9216" width="9.7109375" style="422"/>
    <col min="9217" max="9217" width="16.28515625" style="422" customWidth="1"/>
    <col min="9218" max="9218" width="13.5703125" style="422" customWidth="1"/>
    <col min="9219" max="9219" width="41.5703125" style="422" customWidth="1"/>
    <col min="9220" max="9220" width="11.5703125" style="422" customWidth="1"/>
    <col min="9221" max="9221" width="11.28515625" style="422" customWidth="1"/>
    <col min="9222" max="9222" width="11.42578125" style="422" customWidth="1"/>
    <col min="9223" max="9224" width="16.5703125" style="422" customWidth="1"/>
    <col min="9225" max="9225" width="20" style="422" customWidth="1"/>
    <col min="9226" max="9472" width="9.7109375" style="422"/>
    <col min="9473" max="9473" width="16.28515625" style="422" customWidth="1"/>
    <col min="9474" max="9474" width="13.5703125" style="422" customWidth="1"/>
    <col min="9475" max="9475" width="41.5703125" style="422" customWidth="1"/>
    <col min="9476" max="9476" width="11.5703125" style="422" customWidth="1"/>
    <col min="9477" max="9477" width="11.28515625" style="422" customWidth="1"/>
    <col min="9478" max="9478" width="11.42578125" style="422" customWidth="1"/>
    <col min="9479" max="9480" width="16.5703125" style="422" customWidth="1"/>
    <col min="9481" max="9481" width="20" style="422" customWidth="1"/>
    <col min="9482" max="9728" width="9.7109375" style="422"/>
    <col min="9729" max="9729" width="16.28515625" style="422" customWidth="1"/>
    <col min="9730" max="9730" width="13.5703125" style="422" customWidth="1"/>
    <col min="9731" max="9731" width="41.5703125" style="422" customWidth="1"/>
    <col min="9732" max="9732" width="11.5703125" style="422" customWidth="1"/>
    <col min="9733" max="9733" width="11.28515625" style="422" customWidth="1"/>
    <col min="9734" max="9734" width="11.42578125" style="422" customWidth="1"/>
    <col min="9735" max="9736" width="16.5703125" style="422" customWidth="1"/>
    <col min="9737" max="9737" width="20" style="422" customWidth="1"/>
    <col min="9738" max="9984" width="9.7109375" style="422"/>
    <col min="9985" max="9985" width="16.28515625" style="422" customWidth="1"/>
    <col min="9986" max="9986" width="13.5703125" style="422" customWidth="1"/>
    <col min="9987" max="9987" width="41.5703125" style="422" customWidth="1"/>
    <col min="9988" max="9988" width="11.5703125" style="422" customWidth="1"/>
    <col min="9989" max="9989" width="11.28515625" style="422" customWidth="1"/>
    <col min="9990" max="9990" width="11.42578125" style="422" customWidth="1"/>
    <col min="9991" max="9992" width="16.5703125" style="422" customWidth="1"/>
    <col min="9993" max="9993" width="20" style="422" customWidth="1"/>
    <col min="9994" max="10240" width="9.7109375" style="422"/>
    <col min="10241" max="10241" width="16.28515625" style="422" customWidth="1"/>
    <col min="10242" max="10242" width="13.5703125" style="422" customWidth="1"/>
    <col min="10243" max="10243" width="41.5703125" style="422" customWidth="1"/>
    <col min="10244" max="10244" width="11.5703125" style="422" customWidth="1"/>
    <col min="10245" max="10245" width="11.28515625" style="422" customWidth="1"/>
    <col min="10246" max="10246" width="11.42578125" style="422" customWidth="1"/>
    <col min="10247" max="10248" width="16.5703125" style="422" customWidth="1"/>
    <col min="10249" max="10249" width="20" style="422" customWidth="1"/>
    <col min="10250" max="10496" width="9.7109375" style="422"/>
    <col min="10497" max="10497" width="16.28515625" style="422" customWidth="1"/>
    <col min="10498" max="10498" width="13.5703125" style="422" customWidth="1"/>
    <col min="10499" max="10499" width="41.5703125" style="422" customWidth="1"/>
    <col min="10500" max="10500" width="11.5703125" style="422" customWidth="1"/>
    <col min="10501" max="10501" width="11.28515625" style="422" customWidth="1"/>
    <col min="10502" max="10502" width="11.42578125" style="422" customWidth="1"/>
    <col min="10503" max="10504" width="16.5703125" style="422" customWidth="1"/>
    <col min="10505" max="10505" width="20" style="422" customWidth="1"/>
    <col min="10506" max="10752" width="9.7109375" style="422"/>
    <col min="10753" max="10753" width="16.28515625" style="422" customWidth="1"/>
    <col min="10754" max="10754" width="13.5703125" style="422" customWidth="1"/>
    <col min="10755" max="10755" width="41.5703125" style="422" customWidth="1"/>
    <col min="10756" max="10756" width="11.5703125" style="422" customWidth="1"/>
    <col min="10757" max="10757" width="11.28515625" style="422" customWidth="1"/>
    <col min="10758" max="10758" width="11.42578125" style="422" customWidth="1"/>
    <col min="10759" max="10760" width="16.5703125" style="422" customWidth="1"/>
    <col min="10761" max="10761" width="20" style="422" customWidth="1"/>
    <col min="10762" max="11008" width="9.7109375" style="422"/>
    <col min="11009" max="11009" width="16.28515625" style="422" customWidth="1"/>
    <col min="11010" max="11010" width="13.5703125" style="422" customWidth="1"/>
    <col min="11011" max="11011" width="41.5703125" style="422" customWidth="1"/>
    <col min="11012" max="11012" width="11.5703125" style="422" customWidth="1"/>
    <col min="11013" max="11013" width="11.28515625" style="422" customWidth="1"/>
    <col min="11014" max="11014" width="11.42578125" style="422" customWidth="1"/>
    <col min="11015" max="11016" width="16.5703125" style="422" customWidth="1"/>
    <col min="11017" max="11017" width="20" style="422" customWidth="1"/>
    <col min="11018" max="11264" width="9.7109375" style="422"/>
    <col min="11265" max="11265" width="16.28515625" style="422" customWidth="1"/>
    <col min="11266" max="11266" width="13.5703125" style="422" customWidth="1"/>
    <col min="11267" max="11267" width="41.5703125" style="422" customWidth="1"/>
    <col min="11268" max="11268" width="11.5703125" style="422" customWidth="1"/>
    <col min="11269" max="11269" width="11.28515625" style="422" customWidth="1"/>
    <col min="11270" max="11270" width="11.42578125" style="422" customWidth="1"/>
    <col min="11271" max="11272" width="16.5703125" style="422" customWidth="1"/>
    <col min="11273" max="11273" width="20" style="422" customWidth="1"/>
    <col min="11274" max="11520" width="9.7109375" style="422"/>
    <col min="11521" max="11521" width="16.28515625" style="422" customWidth="1"/>
    <col min="11522" max="11522" width="13.5703125" style="422" customWidth="1"/>
    <col min="11523" max="11523" width="41.5703125" style="422" customWidth="1"/>
    <col min="11524" max="11524" width="11.5703125" style="422" customWidth="1"/>
    <col min="11525" max="11525" width="11.28515625" style="422" customWidth="1"/>
    <col min="11526" max="11526" width="11.42578125" style="422" customWidth="1"/>
    <col min="11527" max="11528" width="16.5703125" style="422" customWidth="1"/>
    <col min="11529" max="11529" width="20" style="422" customWidth="1"/>
    <col min="11530" max="11776" width="9.7109375" style="422"/>
    <col min="11777" max="11777" width="16.28515625" style="422" customWidth="1"/>
    <col min="11778" max="11778" width="13.5703125" style="422" customWidth="1"/>
    <col min="11779" max="11779" width="41.5703125" style="422" customWidth="1"/>
    <col min="11780" max="11780" width="11.5703125" style="422" customWidth="1"/>
    <col min="11781" max="11781" width="11.28515625" style="422" customWidth="1"/>
    <col min="11782" max="11782" width="11.42578125" style="422" customWidth="1"/>
    <col min="11783" max="11784" width="16.5703125" style="422" customWidth="1"/>
    <col min="11785" max="11785" width="20" style="422" customWidth="1"/>
    <col min="11786" max="12032" width="9.7109375" style="422"/>
    <col min="12033" max="12033" width="16.28515625" style="422" customWidth="1"/>
    <col min="12034" max="12034" width="13.5703125" style="422" customWidth="1"/>
    <col min="12035" max="12035" width="41.5703125" style="422" customWidth="1"/>
    <col min="12036" max="12036" width="11.5703125" style="422" customWidth="1"/>
    <col min="12037" max="12037" width="11.28515625" style="422" customWidth="1"/>
    <col min="12038" max="12038" width="11.42578125" style="422" customWidth="1"/>
    <col min="12039" max="12040" width="16.5703125" style="422" customWidth="1"/>
    <col min="12041" max="12041" width="20" style="422" customWidth="1"/>
    <col min="12042" max="12288" width="9.7109375" style="422"/>
    <col min="12289" max="12289" width="16.28515625" style="422" customWidth="1"/>
    <col min="12290" max="12290" width="13.5703125" style="422" customWidth="1"/>
    <col min="12291" max="12291" width="41.5703125" style="422" customWidth="1"/>
    <col min="12292" max="12292" width="11.5703125" style="422" customWidth="1"/>
    <col min="12293" max="12293" width="11.28515625" style="422" customWidth="1"/>
    <col min="12294" max="12294" width="11.42578125" style="422" customWidth="1"/>
    <col min="12295" max="12296" width="16.5703125" style="422" customWidth="1"/>
    <col min="12297" max="12297" width="20" style="422" customWidth="1"/>
    <col min="12298" max="12544" width="9.7109375" style="422"/>
    <col min="12545" max="12545" width="16.28515625" style="422" customWidth="1"/>
    <col min="12546" max="12546" width="13.5703125" style="422" customWidth="1"/>
    <col min="12547" max="12547" width="41.5703125" style="422" customWidth="1"/>
    <col min="12548" max="12548" width="11.5703125" style="422" customWidth="1"/>
    <col min="12549" max="12549" width="11.28515625" style="422" customWidth="1"/>
    <col min="12550" max="12550" width="11.42578125" style="422" customWidth="1"/>
    <col min="12551" max="12552" width="16.5703125" style="422" customWidth="1"/>
    <col min="12553" max="12553" width="20" style="422" customWidth="1"/>
    <col min="12554" max="12800" width="9.7109375" style="422"/>
    <col min="12801" max="12801" width="16.28515625" style="422" customWidth="1"/>
    <col min="12802" max="12802" width="13.5703125" style="422" customWidth="1"/>
    <col min="12803" max="12803" width="41.5703125" style="422" customWidth="1"/>
    <col min="12804" max="12804" width="11.5703125" style="422" customWidth="1"/>
    <col min="12805" max="12805" width="11.28515625" style="422" customWidth="1"/>
    <col min="12806" max="12806" width="11.42578125" style="422" customWidth="1"/>
    <col min="12807" max="12808" width="16.5703125" style="422" customWidth="1"/>
    <col min="12809" max="12809" width="20" style="422" customWidth="1"/>
    <col min="12810" max="13056" width="9.7109375" style="422"/>
    <col min="13057" max="13057" width="16.28515625" style="422" customWidth="1"/>
    <col min="13058" max="13058" width="13.5703125" style="422" customWidth="1"/>
    <col min="13059" max="13059" width="41.5703125" style="422" customWidth="1"/>
    <col min="13060" max="13060" width="11.5703125" style="422" customWidth="1"/>
    <col min="13061" max="13061" width="11.28515625" style="422" customWidth="1"/>
    <col min="13062" max="13062" width="11.42578125" style="422" customWidth="1"/>
    <col min="13063" max="13064" width="16.5703125" style="422" customWidth="1"/>
    <col min="13065" max="13065" width="20" style="422" customWidth="1"/>
    <col min="13066" max="13312" width="9.7109375" style="422"/>
    <col min="13313" max="13313" width="16.28515625" style="422" customWidth="1"/>
    <col min="13314" max="13314" width="13.5703125" style="422" customWidth="1"/>
    <col min="13315" max="13315" width="41.5703125" style="422" customWidth="1"/>
    <col min="13316" max="13316" width="11.5703125" style="422" customWidth="1"/>
    <col min="13317" max="13317" width="11.28515625" style="422" customWidth="1"/>
    <col min="13318" max="13318" width="11.42578125" style="422" customWidth="1"/>
    <col min="13319" max="13320" width="16.5703125" style="422" customWidth="1"/>
    <col min="13321" max="13321" width="20" style="422" customWidth="1"/>
    <col min="13322" max="13568" width="9.7109375" style="422"/>
    <col min="13569" max="13569" width="16.28515625" style="422" customWidth="1"/>
    <col min="13570" max="13570" width="13.5703125" style="422" customWidth="1"/>
    <col min="13571" max="13571" width="41.5703125" style="422" customWidth="1"/>
    <col min="13572" max="13572" width="11.5703125" style="422" customWidth="1"/>
    <col min="13573" max="13573" width="11.28515625" style="422" customWidth="1"/>
    <col min="13574" max="13574" width="11.42578125" style="422" customWidth="1"/>
    <col min="13575" max="13576" width="16.5703125" style="422" customWidth="1"/>
    <col min="13577" max="13577" width="20" style="422" customWidth="1"/>
    <col min="13578" max="13824" width="9.7109375" style="422"/>
    <col min="13825" max="13825" width="16.28515625" style="422" customWidth="1"/>
    <col min="13826" max="13826" width="13.5703125" style="422" customWidth="1"/>
    <col min="13827" max="13827" width="41.5703125" style="422" customWidth="1"/>
    <col min="13828" max="13828" width="11.5703125" style="422" customWidth="1"/>
    <col min="13829" max="13829" width="11.28515625" style="422" customWidth="1"/>
    <col min="13830" max="13830" width="11.42578125" style="422" customWidth="1"/>
    <col min="13831" max="13832" width="16.5703125" style="422" customWidth="1"/>
    <col min="13833" max="13833" width="20" style="422" customWidth="1"/>
    <col min="13834" max="14080" width="9.7109375" style="422"/>
    <col min="14081" max="14081" width="16.28515625" style="422" customWidth="1"/>
    <col min="14082" max="14082" width="13.5703125" style="422" customWidth="1"/>
    <col min="14083" max="14083" width="41.5703125" style="422" customWidth="1"/>
    <col min="14084" max="14084" width="11.5703125" style="422" customWidth="1"/>
    <col min="14085" max="14085" width="11.28515625" style="422" customWidth="1"/>
    <col min="14086" max="14086" width="11.42578125" style="422" customWidth="1"/>
    <col min="14087" max="14088" width="16.5703125" style="422" customWidth="1"/>
    <col min="14089" max="14089" width="20" style="422" customWidth="1"/>
    <col min="14090" max="14336" width="9.7109375" style="422"/>
    <col min="14337" max="14337" width="16.28515625" style="422" customWidth="1"/>
    <col min="14338" max="14338" width="13.5703125" style="422" customWidth="1"/>
    <col min="14339" max="14339" width="41.5703125" style="422" customWidth="1"/>
    <col min="14340" max="14340" width="11.5703125" style="422" customWidth="1"/>
    <col min="14341" max="14341" width="11.28515625" style="422" customWidth="1"/>
    <col min="14342" max="14342" width="11.42578125" style="422" customWidth="1"/>
    <col min="14343" max="14344" width="16.5703125" style="422" customWidth="1"/>
    <col min="14345" max="14345" width="20" style="422" customWidth="1"/>
    <col min="14346" max="14592" width="9.7109375" style="422"/>
    <col min="14593" max="14593" width="16.28515625" style="422" customWidth="1"/>
    <col min="14594" max="14594" width="13.5703125" style="422" customWidth="1"/>
    <col min="14595" max="14595" width="41.5703125" style="422" customWidth="1"/>
    <col min="14596" max="14596" width="11.5703125" style="422" customWidth="1"/>
    <col min="14597" max="14597" width="11.28515625" style="422" customWidth="1"/>
    <col min="14598" max="14598" width="11.42578125" style="422" customWidth="1"/>
    <col min="14599" max="14600" width="16.5703125" style="422" customWidth="1"/>
    <col min="14601" max="14601" width="20" style="422" customWidth="1"/>
    <col min="14602" max="14848" width="9.7109375" style="422"/>
    <col min="14849" max="14849" width="16.28515625" style="422" customWidth="1"/>
    <col min="14850" max="14850" width="13.5703125" style="422" customWidth="1"/>
    <col min="14851" max="14851" width="41.5703125" style="422" customWidth="1"/>
    <col min="14852" max="14852" width="11.5703125" style="422" customWidth="1"/>
    <col min="14853" max="14853" width="11.28515625" style="422" customWidth="1"/>
    <col min="14854" max="14854" width="11.42578125" style="422" customWidth="1"/>
    <col min="14855" max="14856" width="16.5703125" style="422" customWidth="1"/>
    <col min="14857" max="14857" width="20" style="422" customWidth="1"/>
    <col min="14858" max="15104" width="9.7109375" style="422"/>
    <col min="15105" max="15105" width="16.28515625" style="422" customWidth="1"/>
    <col min="15106" max="15106" width="13.5703125" style="422" customWidth="1"/>
    <col min="15107" max="15107" width="41.5703125" style="422" customWidth="1"/>
    <col min="15108" max="15108" width="11.5703125" style="422" customWidth="1"/>
    <col min="15109" max="15109" width="11.28515625" style="422" customWidth="1"/>
    <col min="15110" max="15110" width="11.42578125" style="422" customWidth="1"/>
    <col min="15111" max="15112" width="16.5703125" style="422" customWidth="1"/>
    <col min="15113" max="15113" width="20" style="422" customWidth="1"/>
    <col min="15114" max="15360" width="9.7109375" style="422"/>
    <col min="15361" max="15361" width="16.28515625" style="422" customWidth="1"/>
    <col min="15362" max="15362" width="13.5703125" style="422" customWidth="1"/>
    <col min="15363" max="15363" width="41.5703125" style="422" customWidth="1"/>
    <col min="15364" max="15364" width="11.5703125" style="422" customWidth="1"/>
    <col min="15365" max="15365" width="11.28515625" style="422" customWidth="1"/>
    <col min="15366" max="15366" width="11.42578125" style="422" customWidth="1"/>
    <col min="15367" max="15368" width="16.5703125" style="422" customWidth="1"/>
    <col min="15369" max="15369" width="20" style="422" customWidth="1"/>
    <col min="15370" max="15616" width="9.7109375" style="422"/>
    <col min="15617" max="15617" width="16.28515625" style="422" customWidth="1"/>
    <col min="15618" max="15618" width="13.5703125" style="422" customWidth="1"/>
    <col min="15619" max="15619" width="41.5703125" style="422" customWidth="1"/>
    <col min="15620" max="15620" width="11.5703125" style="422" customWidth="1"/>
    <col min="15621" max="15621" width="11.28515625" style="422" customWidth="1"/>
    <col min="15622" max="15622" width="11.42578125" style="422" customWidth="1"/>
    <col min="15623" max="15624" width="16.5703125" style="422" customWidth="1"/>
    <col min="15625" max="15625" width="20" style="422" customWidth="1"/>
    <col min="15626" max="15872" width="9.7109375" style="422"/>
    <col min="15873" max="15873" width="16.28515625" style="422" customWidth="1"/>
    <col min="15874" max="15874" width="13.5703125" style="422" customWidth="1"/>
    <col min="15875" max="15875" width="41.5703125" style="422" customWidth="1"/>
    <col min="15876" max="15876" width="11.5703125" style="422" customWidth="1"/>
    <col min="15877" max="15877" width="11.28515625" style="422" customWidth="1"/>
    <col min="15878" max="15878" width="11.42578125" style="422" customWidth="1"/>
    <col min="15879" max="15880" width="16.5703125" style="422" customWidth="1"/>
    <col min="15881" max="15881" width="20" style="422" customWidth="1"/>
    <col min="15882" max="16128" width="9.7109375" style="422"/>
    <col min="16129" max="16129" width="16.28515625" style="422" customWidth="1"/>
    <col min="16130" max="16130" width="13.5703125" style="422" customWidth="1"/>
    <col min="16131" max="16131" width="41.5703125" style="422" customWidth="1"/>
    <col min="16132" max="16132" width="11.5703125" style="422" customWidth="1"/>
    <col min="16133" max="16133" width="11.28515625" style="422" customWidth="1"/>
    <col min="16134" max="16134" width="11.42578125" style="422" customWidth="1"/>
    <col min="16135" max="16136" width="16.5703125" style="422" customWidth="1"/>
    <col min="16137" max="16137" width="20" style="422" customWidth="1"/>
    <col min="16138" max="16384" width="9.7109375" style="422"/>
  </cols>
  <sheetData>
    <row r="1" spans="1:9" x14ac:dyDescent="0.25">
      <c r="A1" s="668"/>
      <c r="B1" s="961"/>
      <c r="C1" s="964" t="s">
        <v>35</v>
      </c>
      <c r="D1" s="674"/>
      <c r="E1" s="674"/>
      <c r="F1" s="674"/>
      <c r="G1" s="674"/>
      <c r="H1" s="205" t="s">
        <v>34</v>
      </c>
      <c r="I1" s="206" t="s">
        <v>311</v>
      </c>
    </row>
    <row r="2" spans="1:9" ht="16.5" thickBot="1" x14ac:dyDescent="0.3">
      <c r="A2" s="670"/>
      <c r="B2" s="962"/>
      <c r="C2" s="965" t="s">
        <v>33</v>
      </c>
      <c r="D2" s="675"/>
      <c r="E2" s="675"/>
      <c r="F2" s="675"/>
      <c r="G2" s="675"/>
      <c r="H2" s="207" t="s">
        <v>32</v>
      </c>
      <c r="I2" s="208" t="s">
        <v>170</v>
      </c>
    </row>
    <row r="3" spans="1:9" ht="18.75" thickBot="1" x14ac:dyDescent="0.3">
      <c r="A3" s="670"/>
      <c r="B3" s="962"/>
      <c r="C3" s="819" t="s">
        <v>312</v>
      </c>
      <c r="D3" s="819"/>
      <c r="E3" s="819"/>
      <c r="F3" s="819"/>
      <c r="G3" s="820"/>
      <c r="H3" s="653" t="s">
        <v>31</v>
      </c>
      <c r="I3" s="643">
        <v>44109</v>
      </c>
    </row>
    <row r="4" spans="1:9" x14ac:dyDescent="0.25">
      <c r="A4" s="670"/>
      <c r="B4" s="962"/>
      <c r="C4" s="423" t="s">
        <v>30</v>
      </c>
      <c r="D4" s="811" t="s">
        <v>172</v>
      </c>
      <c r="E4" s="812"/>
      <c r="F4" s="812"/>
      <c r="G4" s="813"/>
      <c r="H4" s="654"/>
      <c r="I4" s="644"/>
    </row>
    <row r="5" spans="1:9" ht="16.5" thickBot="1" x14ac:dyDescent="0.3">
      <c r="A5" s="672"/>
      <c r="B5" s="963"/>
      <c r="C5" s="424" t="s">
        <v>29</v>
      </c>
      <c r="D5" s="958" t="s">
        <v>28</v>
      </c>
      <c r="E5" s="959"/>
      <c r="F5" s="959"/>
      <c r="G5" s="960"/>
      <c r="H5" s="654"/>
      <c r="I5" s="644"/>
    </row>
    <row r="6" spans="1:9" ht="16.5" thickBot="1" x14ac:dyDescent="0.3">
      <c r="A6" s="966" t="s">
        <v>27</v>
      </c>
      <c r="B6" s="967"/>
      <c r="C6" s="967"/>
      <c r="D6" s="968" t="s">
        <v>26</v>
      </c>
      <c r="E6" s="968"/>
      <c r="F6" s="968"/>
      <c r="G6" s="969" t="s">
        <v>25</v>
      </c>
      <c r="H6" s="969"/>
      <c r="I6" s="425" t="s">
        <v>24</v>
      </c>
    </row>
    <row r="7" spans="1:9" x14ac:dyDescent="0.25">
      <c r="A7" s="923" t="s">
        <v>23</v>
      </c>
      <c r="B7" s="664" t="s">
        <v>36</v>
      </c>
      <c r="C7" s="666" t="s">
        <v>22</v>
      </c>
      <c r="D7" s="666" t="s">
        <v>21</v>
      </c>
      <c r="E7" s="666" t="s">
        <v>20</v>
      </c>
      <c r="F7" s="666"/>
      <c r="G7" s="666" t="s">
        <v>19</v>
      </c>
      <c r="H7" s="666"/>
      <c r="I7" s="335" t="s">
        <v>18</v>
      </c>
    </row>
    <row r="8" spans="1:9" ht="27" thickBot="1" x14ac:dyDescent="0.3">
      <c r="A8" s="924"/>
      <c r="B8" s="665"/>
      <c r="C8" s="911"/>
      <c r="D8" s="911"/>
      <c r="E8" s="336" t="s">
        <v>15</v>
      </c>
      <c r="F8" s="337" t="s">
        <v>17</v>
      </c>
      <c r="G8" s="336" t="s">
        <v>15</v>
      </c>
      <c r="H8" s="337" t="s">
        <v>17</v>
      </c>
      <c r="I8" s="364" t="s">
        <v>16</v>
      </c>
    </row>
    <row r="9" spans="1:9" x14ac:dyDescent="0.25">
      <c r="A9" s="426"/>
      <c r="B9" s="427"/>
      <c r="C9" s="428"/>
      <c r="D9" s="293"/>
      <c r="E9" s="293"/>
      <c r="F9" s="293"/>
      <c r="G9" s="29"/>
      <c r="H9" s="11"/>
      <c r="I9" s="369"/>
    </row>
    <row r="10" spans="1:9" x14ac:dyDescent="0.25">
      <c r="A10" s="200" t="s">
        <v>313</v>
      </c>
      <c r="B10" s="200" t="s">
        <v>314</v>
      </c>
      <c r="C10" t="s">
        <v>315</v>
      </c>
      <c r="D10" s="429" t="s">
        <v>43</v>
      </c>
      <c r="E10" s="430">
        <v>1500</v>
      </c>
      <c r="F10" s="431" t="s">
        <v>2</v>
      </c>
      <c r="G10" s="29"/>
      <c r="H10" s="11"/>
      <c r="I10" s="369"/>
    </row>
    <row r="11" spans="1:9" x14ac:dyDescent="0.25">
      <c r="A11" s="432"/>
      <c r="B11" s="432"/>
      <c r="C11" s="433"/>
      <c r="D11" s="429"/>
      <c r="E11" s="434"/>
      <c r="F11" s="435"/>
      <c r="G11" s="29"/>
      <c r="H11" s="11"/>
      <c r="I11" s="369"/>
    </row>
    <row r="12" spans="1:9" x14ac:dyDescent="0.25">
      <c r="A12" s="200">
        <v>512000003</v>
      </c>
      <c r="B12" s="200" t="s">
        <v>316</v>
      </c>
      <c r="C12" t="s">
        <v>317</v>
      </c>
      <c r="D12" s="429" t="s">
        <v>318</v>
      </c>
      <c r="E12" s="28">
        <v>40</v>
      </c>
      <c r="F12" s="28" t="s">
        <v>73</v>
      </c>
      <c r="G12" s="28"/>
      <c r="H12" s="28"/>
      <c r="I12" s="25"/>
    </row>
    <row r="13" spans="1:9" x14ac:dyDescent="0.25">
      <c r="A13" s="432">
        <v>702123</v>
      </c>
      <c r="B13" s="432" t="s">
        <v>68</v>
      </c>
      <c r="C13" s="433" t="s">
        <v>155</v>
      </c>
      <c r="D13" s="429" t="s">
        <v>319</v>
      </c>
      <c r="E13" s="28">
        <v>1</v>
      </c>
      <c r="F13" s="28" t="s">
        <v>7</v>
      </c>
      <c r="G13" s="28"/>
      <c r="H13" s="28"/>
      <c r="I13" s="25"/>
    </row>
    <row r="14" spans="1:9" x14ac:dyDescent="0.25">
      <c r="A14" s="432">
        <v>702007</v>
      </c>
      <c r="B14" s="432" t="s">
        <v>153</v>
      </c>
      <c r="C14" s="433" t="s">
        <v>154</v>
      </c>
      <c r="D14" s="429" t="s">
        <v>319</v>
      </c>
      <c r="E14" s="28">
        <v>1</v>
      </c>
      <c r="F14" s="28" t="s">
        <v>7</v>
      </c>
      <c r="G14" s="28"/>
      <c r="H14" s="28"/>
      <c r="I14" s="25"/>
    </row>
    <row r="15" spans="1:9" x14ac:dyDescent="0.25">
      <c r="A15" s="432"/>
      <c r="B15" s="432"/>
      <c r="C15" s="433"/>
      <c r="D15" s="429"/>
      <c r="E15" s="28"/>
      <c r="F15" s="28"/>
      <c r="G15" s="28"/>
      <c r="H15" s="28"/>
      <c r="I15" s="25"/>
    </row>
    <row r="16" spans="1:9" ht="16.5" thickBot="1" x14ac:dyDescent="0.3">
      <c r="A16" s="347"/>
      <c r="B16" s="348"/>
      <c r="C16" s="5"/>
      <c r="D16" s="5"/>
      <c r="E16" s="349"/>
      <c r="F16" s="350"/>
      <c r="G16" s="5"/>
      <c r="H16" s="5"/>
      <c r="I16" s="351"/>
    </row>
    <row r="17" spans="1:9" ht="16.5" thickBot="1" x14ac:dyDescent="0.3">
      <c r="A17" s="352"/>
      <c r="B17" s="353"/>
      <c r="C17" s="354"/>
      <c r="D17" s="355" t="s">
        <v>15</v>
      </c>
      <c r="E17" s="356" t="s">
        <v>14</v>
      </c>
      <c r="F17" s="357"/>
      <c r="G17" s="354"/>
      <c r="H17" s="354"/>
      <c r="I17" s="358"/>
    </row>
    <row r="18" spans="1:9" x14ac:dyDescent="0.25">
      <c r="A18" s="903" t="s">
        <v>13</v>
      </c>
      <c r="B18" s="904"/>
      <c r="C18" s="905"/>
      <c r="D18" s="342">
        <v>1206</v>
      </c>
      <c r="E18" s="359" t="s">
        <v>2</v>
      </c>
      <c r="F18" s="906" t="s">
        <v>12</v>
      </c>
      <c r="G18" s="906"/>
      <c r="H18" s="436" t="s">
        <v>320</v>
      </c>
      <c r="I18" s="437" t="s">
        <v>321</v>
      </c>
    </row>
    <row r="19" spans="1:9" x14ac:dyDescent="0.25">
      <c r="A19" s="842" t="s">
        <v>11</v>
      </c>
      <c r="B19" s="843"/>
      <c r="C19" s="844"/>
      <c r="D19" s="406">
        <v>7</v>
      </c>
      <c r="E19" s="11" t="s">
        <v>10</v>
      </c>
      <c r="F19" s="845" t="s">
        <v>9</v>
      </c>
      <c r="G19" s="845"/>
      <c r="H19" s="438" t="s">
        <v>322</v>
      </c>
      <c r="I19" s="439" t="s">
        <v>323</v>
      </c>
    </row>
    <row r="20" spans="1:9" x14ac:dyDescent="0.25">
      <c r="A20" s="842" t="s">
        <v>8</v>
      </c>
      <c r="B20" s="843"/>
      <c r="C20" s="844"/>
      <c r="D20" s="11">
        <v>1</v>
      </c>
      <c r="E20" s="11" t="s">
        <v>224</v>
      </c>
      <c r="F20" s="845" t="s">
        <v>6</v>
      </c>
      <c r="G20" s="845"/>
      <c r="H20" s="438" t="s">
        <v>324</v>
      </c>
      <c r="I20" s="439" t="s">
        <v>325</v>
      </c>
    </row>
    <row r="21" spans="1:9" x14ac:dyDescent="0.25">
      <c r="A21" s="842" t="s">
        <v>5</v>
      </c>
      <c r="B21" s="843"/>
      <c r="C21" s="844"/>
      <c r="D21" s="29">
        <f>D18/D20</f>
        <v>1206</v>
      </c>
      <c r="E21" s="11" t="s">
        <v>2</v>
      </c>
      <c r="F21" s="918" t="s">
        <v>4</v>
      </c>
      <c r="G21" s="919"/>
      <c r="H21" s="440"/>
      <c r="I21" s="441"/>
    </row>
    <row r="22" spans="1:9" ht="16.5" thickBot="1" x14ac:dyDescent="0.3">
      <c r="A22" s="853" t="s">
        <v>3</v>
      </c>
      <c r="B22" s="854"/>
      <c r="C22" s="855"/>
      <c r="D22" s="407">
        <f>E10-D21</f>
        <v>294</v>
      </c>
      <c r="E22" s="361" t="s">
        <v>2</v>
      </c>
      <c r="F22" s="856"/>
      <c r="G22" s="856"/>
      <c r="H22" s="897"/>
      <c r="I22" s="898"/>
    </row>
    <row r="23" spans="1:9" ht="16.5" thickBot="1" x14ac:dyDescent="0.3">
      <c r="A23" s="915" t="s">
        <v>1</v>
      </c>
      <c r="B23" s="916"/>
      <c r="C23" s="916"/>
      <c r="D23" s="916"/>
      <c r="E23" s="916"/>
      <c r="F23" s="916"/>
      <c r="G23" s="916"/>
      <c r="H23" s="916"/>
      <c r="I23" s="917"/>
    </row>
    <row r="24" spans="1:9" x14ac:dyDescent="0.25">
      <c r="A24" s="976" t="s">
        <v>326</v>
      </c>
      <c r="B24" s="977"/>
      <c r="C24" s="977"/>
      <c r="D24" s="977"/>
      <c r="E24" s="977"/>
      <c r="F24" s="977"/>
      <c r="G24" s="977"/>
      <c r="H24" s="977"/>
      <c r="I24" s="978"/>
    </row>
    <row r="25" spans="1:9" x14ac:dyDescent="0.25">
      <c r="A25" s="979" t="s">
        <v>327</v>
      </c>
      <c r="B25" s="980"/>
      <c r="C25" s="980"/>
      <c r="D25" s="980"/>
      <c r="E25" s="980"/>
      <c r="F25" s="980"/>
      <c r="G25" s="980"/>
      <c r="H25" s="980"/>
      <c r="I25" s="981"/>
    </row>
    <row r="26" spans="1:9" x14ac:dyDescent="0.25">
      <c r="A26" s="979" t="s">
        <v>328</v>
      </c>
      <c r="B26" s="980"/>
      <c r="C26" s="980"/>
      <c r="D26" s="980"/>
      <c r="E26" s="980"/>
      <c r="F26" s="980"/>
      <c r="G26" s="980"/>
      <c r="H26" s="980"/>
      <c r="I26" s="981"/>
    </row>
    <row r="27" spans="1:9" x14ac:dyDescent="0.25">
      <c r="A27" s="982" t="s">
        <v>329</v>
      </c>
      <c r="B27" s="983"/>
      <c r="C27" s="983"/>
      <c r="D27" s="983"/>
      <c r="E27" s="983"/>
      <c r="F27" s="983"/>
      <c r="G27" s="983"/>
      <c r="H27" s="983"/>
      <c r="I27" s="984"/>
    </row>
    <row r="28" spans="1:9" x14ac:dyDescent="0.25">
      <c r="A28" s="985"/>
      <c r="B28" s="986"/>
      <c r="C28" s="986"/>
      <c r="D28" s="986"/>
      <c r="E28" s="986"/>
      <c r="F28" s="986"/>
      <c r="G28" s="986"/>
      <c r="H28" s="986"/>
      <c r="I28" s="987"/>
    </row>
    <row r="29" spans="1:9" x14ac:dyDescent="0.25">
      <c r="A29" s="985"/>
      <c r="B29" s="986"/>
      <c r="C29" s="986"/>
      <c r="D29" s="986"/>
      <c r="E29" s="986"/>
      <c r="F29" s="986"/>
      <c r="G29" s="986"/>
      <c r="H29" s="986"/>
      <c r="I29" s="987"/>
    </row>
    <row r="30" spans="1:9" ht="16.5" thickBot="1" x14ac:dyDescent="0.3">
      <c r="A30" s="970"/>
      <c r="B30" s="971"/>
      <c r="C30" s="971"/>
      <c r="D30" s="971"/>
      <c r="E30" s="971"/>
      <c r="F30" s="971"/>
      <c r="G30" s="971"/>
      <c r="H30" s="971"/>
      <c r="I30" s="972"/>
    </row>
    <row r="31" spans="1:9" ht="16.5" thickBot="1" x14ac:dyDescent="0.3">
      <c r="A31" s="973" t="s">
        <v>189</v>
      </c>
      <c r="B31" s="974"/>
      <c r="C31" s="974"/>
      <c r="D31" s="974"/>
      <c r="E31" s="974"/>
      <c r="F31" s="974"/>
      <c r="G31" s="974"/>
      <c r="H31" s="974"/>
      <c r="I31" s="975"/>
    </row>
    <row r="32" spans="1:9" x14ac:dyDescent="0.25">
      <c r="A32" s="442" t="s">
        <v>330</v>
      </c>
      <c r="B32" s="443"/>
      <c r="C32" s="443"/>
      <c r="D32" s="443"/>
      <c r="E32" s="443"/>
      <c r="F32" s="443"/>
      <c r="G32" s="443"/>
      <c r="H32" s="443"/>
      <c r="I32" s="443"/>
    </row>
    <row r="33" spans="1:1" x14ac:dyDescent="0.25">
      <c r="A33" s="109" t="s">
        <v>331</v>
      </c>
    </row>
  </sheetData>
  <mergeCells count="37">
    <mergeCell ref="A30:I30"/>
    <mergeCell ref="A31:I31"/>
    <mergeCell ref="A24:I24"/>
    <mergeCell ref="A25:I25"/>
    <mergeCell ref="A26:I26"/>
    <mergeCell ref="A27:I27"/>
    <mergeCell ref="A28:I28"/>
    <mergeCell ref="A29:I29"/>
    <mergeCell ref="A23:I23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9B5E-6D07-4B29-B843-F94CF0B830D1}">
  <dimension ref="A1:M28"/>
  <sheetViews>
    <sheetView workbookViewId="0">
      <selection activeCell="F10" sqref="F10"/>
    </sheetView>
  </sheetViews>
  <sheetFormatPr baseColWidth="10" defaultColWidth="9.28515625" defaultRowHeight="13.5" x14ac:dyDescent="0.25"/>
  <cols>
    <col min="1" max="1" width="16.28515625" style="5" customWidth="1"/>
    <col min="2" max="2" width="12.42578125" style="5" customWidth="1"/>
    <col min="3" max="3" width="45.28515625" style="5" customWidth="1"/>
    <col min="4" max="4" width="15.5703125" style="5" customWidth="1"/>
    <col min="5" max="5" width="9.28515625" style="5"/>
    <col min="6" max="6" width="13.28515625" style="5" customWidth="1"/>
    <col min="7" max="7" width="12.5703125" style="5" customWidth="1"/>
    <col min="8" max="8" width="15.5703125" style="5" customWidth="1"/>
    <col min="9" max="9" width="16" style="5" customWidth="1"/>
    <col min="10" max="256" width="9.28515625" style="5"/>
    <col min="257" max="257" width="16.28515625" style="5" customWidth="1"/>
    <col min="258" max="258" width="12.42578125" style="5" customWidth="1"/>
    <col min="259" max="259" width="45.28515625" style="5" customWidth="1"/>
    <col min="260" max="260" width="15.5703125" style="5" customWidth="1"/>
    <col min="261" max="261" width="9.28515625" style="5"/>
    <col min="262" max="262" width="13.28515625" style="5" customWidth="1"/>
    <col min="263" max="263" width="12.5703125" style="5" customWidth="1"/>
    <col min="264" max="264" width="15.5703125" style="5" customWidth="1"/>
    <col min="265" max="265" width="16" style="5" customWidth="1"/>
    <col min="266" max="512" width="9.28515625" style="5"/>
    <col min="513" max="513" width="16.28515625" style="5" customWidth="1"/>
    <col min="514" max="514" width="12.42578125" style="5" customWidth="1"/>
    <col min="515" max="515" width="45.28515625" style="5" customWidth="1"/>
    <col min="516" max="516" width="15.5703125" style="5" customWidth="1"/>
    <col min="517" max="517" width="9.28515625" style="5"/>
    <col min="518" max="518" width="13.28515625" style="5" customWidth="1"/>
    <col min="519" max="519" width="12.5703125" style="5" customWidth="1"/>
    <col min="520" max="520" width="15.5703125" style="5" customWidth="1"/>
    <col min="521" max="521" width="16" style="5" customWidth="1"/>
    <col min="522" max="768" width="9.28515625" style="5"/>
    <col min="769" max="769" width="16.28515625" style="5" customWidth="1"/>
    <col min="770" max="770" width="12.42578125" style="5" customWidth="1"/>
    <col min="771" max="771" width="45.28515625" style="5" customWidth="1"/>
    <col min="772" max="772" width="15.5703125" style="5" customWidth="1"/>
    <col min="773" max="773" width="9.28515625" style="5"/>
    <col min="774" max="774" width="13.28515625" style="5" customWidth="1"/>
    <col min="775" max="775" width="12.5703125" style="5" customWidth="1"/>
    <col min="776" max="776" width="15.5703125" style="5" customWidth="1"/>
    <col min="777" max="777" width="16" style="5" customWidth="1"/>
    <col min="778" max="1024" width="9.28515625" style="5"/>
    <col min="1025" max="1025" width="16.28515625" style="5" customWidth="1"/>
    <col min="1026" max="1026" width="12.42578125" style="5" customWidth="1"/>
    <col min="1027" max="1027" width="45.28515625" style="5" customWidth="1"/>
    <col min="1028" max="1028" width="15.5703125" style="5" customWidth="1"/>
    <col min="1029" max="1029" width="9.28515625" style="5"/>
    <col min="1030" max="1030" width="13.28515625" style="5" customWidth="1"/>
    <col min="1031" max="1031" width="12.5703125" style="5" customWidth="1"/>
    <col min="1032" max="1032" width="15.5703125" style="5" customWidth="1"/>
    <col min="1033" max="1033" width="16" style="5" customWidth="1"/>
    <col min="1034" max="1280" width="9.28515625" style="5"/>
    <col min="1281" max="1281" width="16.28515625" style="5" customWidth="1"/>
    <col min="1282" max="1282" width="12.42578125" style="5" customWidth="1"/>
    <col min="1283" max="1283" width="45.28515625" style="5" customWidth="1"/>
    <col min="1284" max="1284" width="15.5703125" style="5" customWidth="1"/>
    <col min="1285" max="1285" width="9.28515625" style="5"/>
    <col min="1286" max="1286" width="13.28515625" style="5" customWidth="1"/>
    <col min="1287" max="1287" width="12.5703125" style="5" customWidth="1"/>
    <col min="1288" max="1288" width="15.5703125" style="5" customWidth="1"/>
    <col min="1289" max="1289" width="16" style="5" customWidth="1"/>
    <col min="1290" max="1536" width="9.28515625" style="5"/>
    <col min="1537" max="1537" width="16.28515625" style="5" customWidth="1"/>
    <col min="1538" max="1538" width="12.42578125" style="5" customWidth="1"/>
    <col min="1539" max="1539" width="45.28515625" style="5" customWidth="1"/>
    <col min="1540" max="1540" width="15.5703125" style="5" customWidth="1"/>
    <col min="1541" max="1541" width="9.28515625" style="5"/>
    <col min="1542" max="1542" width="13.28515625" style="5" customWidth="1"/>
    <col min="1543" max="1543" width="12.5703125" style="5" customWidth="1"/>
    <col min="1544" max="1544" width="15.5703125" style="5" customWidth="1"/>
    <col min="1545" max="1545" width="16" style="5" customWidth="1"/>
    <col min="1546" max="1792" width="9.28515625" style="5"/>
    <col min="1793" max="1793" width="16.28515625" style="5" customWidth="1"/>
    <col min="1794" max="1794" width="12.42578125" style="5" customWidth="1"/>
    <col min="1795" max="1795" width="45.28515625" style="5" customWidth="1"/>
    <col min="1796" max="1796" width="15.5703125" style="5" customWidth="1"/>
    <col min="1797" max="1797" width="9.28515625" style="5"/>
    <col min="1798" max="1798" width="13.28515625" style="5" customWidth="1"/>
    <col min="1799" max="1799" width="12.5703125" style="5" customWidth="1"/>
    <col min="1800" max="1800" width="15.5703125" style="5" customWidth="1"/>
    <col min="1801" max="1801" width="16" style="5" customWidth="1"/>
    <col min="1802" max="2048" width="9.28515625" style="5"/>
    <col min="2049" max="2049" width="16.28515625" style="5" customWidth="1"/>
    <col min="2050" max="2050" width="12.42578125" style="5" customWidth="1"/>
    <col min="2051" max="2051" width="45.28515625" style="5" customWidth="1"/>
    <col min="2052" max="2052" width="15.5703125" style="5" customWidth="1"/>
    <col min="2053" max="2053" width="9.28515625" style="5"/>
    <col min="2054" max="2054" width="13.28515625" style="5" customWidth="1"/>
    <col min="2055" max="2055" width="12.5703125" style="5" customWidth="1"/>
    <col min="2056" max="2056" width="15.5703125" style="5" customWidth="1"/>
    <col min="2057" max="2057" width="16" style="5" customWidth="1"/>
    <col min="2058" max="2304" width="9.28515625" style="5"/>
    <col min="2305" max="2305" width="16.28515625" style="5" customWidth="1"/>
    <col min="2306" max="2306" width="12.42578125" style="5" customWidth="1"/>
    <col min="2307" max="2307" width="45.28515625" style="5" customWidth="1"/>
    <col min="2308" max="2308" width="15.5703125" style="5" customWidth="1"/>
    <col min="2309" max="2309" width="9.28515625" style="5"/>
    <col min="2310" max="2310" width="13.28515625" style="5" customWidth="1"/>
    <col min="2311" max="2311" width="12.5703125" style="5" customWidth="1"/>
    <col min="2312" max="2312" width="15.5703125" style="5" customWidth="1"/>
    <col min="2313" max="2313" width="16" style="5" customWidth="1"/>
    <col min="2314" max="2560" width="9.28515625" style="5"/>
    <col min="2561" max="2561" width="16.28515625" style="5" customWidth="1"/>
    <col min="2562" max="2562" width="12.42578125" style="5" customWidth="1"/>
    <col min="2563" max="2563" width="45.28515625" style="5" customWidth="1"/>
    <col min="2564" max="2564" width="15.5703125" style="5" customWidth="1"/>
    <col min="2565" max="2565" width="9.28515625" style="5"/>
    <col min="2566" max="2566" width="13.28515625" style="5" customWidth="1"/>
    <col min="2567" max="2567" width="12.5703125" style="5" customWidth="1"/>
    <col min="2568" max="2568" width="15.5703125" style="5" customWidth="1"/>
    <col min="2569" max="2569" width="16" style="5" customWidth="1"/>
    <col min="2570" max="2816" width="9.28515625" style="5"/>
    <col min="2817" max="2817" width="16.28515625" style="5" customWidth="1"/>
    <col min="2818" max="2818" width="12.42578125" style="5" customWidth="1"/>
    <col min="2819" max="2819" width="45.28515625" style="5" customWidth="1"/>
    <col min="2820" max="2820" width="15.5703125" style="5" customWidth="1"/>
    <col min="2821" max="2821" width="9.28515625" style="5"/>
    <col min="2822" max="2822" width="13.28515625" style="5" customWidth="1"/>
    <col min="2823" max="2823" width="12.5703125" style="5" customWidth="1"/>
    <col min="2824" max="2824" width="15.5703125" style="5" customWidth="1"/>
    <col min="2825" max="2825" width="16" style="5" customWidth="1"/>
    <col min="2826" max="3072" width="9.28515625" style="5"/>
    <col min="3073" max="3073" width="16.28515625" style="5" customWidth="1"/>
    <col min="3074" max="3074" width="12.42578125" style="5" customWidth="1"/>
    <col min="3075" max="3075" width="45.28515625" style="5" customWidth="1"/>
    <col min="3076" max="3076" width="15.5703125" style="5" customWidth="1"/>
    <col min="3077" max="3077" width="9.28515625" style="5"/>
    <col min="3078" max="3078" width="13.28515625" style="5" customWidth="1"/>
    <col min="3079" max="3079" width="12.5703125" style="5" customWidth="1"/>
    <col min="3080" max="3080" width="15.5703125" style="5" customWidth="1"/>
    <col min="3081" max="3081" width="16" style="5" customWidth="1"/>
    <col min="3082" max="3328" width="9.28515625" style="5"/>
    <col min="3329" max="3329" width="16.28515625" style="5" customWidth="1"/>
    <col min="3330" max="3330" width="12.42578125" style="5" customWidth="1"/>
    <col min="3331" max="3331" width="45.28515625" style="5" customWidth="1"/>
    <col min="3332" max="3332" width="15.5703125" style="5" customWidth="1"/>
    <col min="3333" max="3333" width="9.28515625" style="5"/>
    <col min="3334" max="3334" width="13.28515625" style="5" customWidth="1"/>
    <col min="3335" max="3335" width="12.5703125" style="5" customWidth="1"/>
    <col min="3336" max="3336" width="15.5703125" style="5" customWidth="1"/>
    <col min="3337" max="3337" width="16" style="5" customWidth="1"/>
    <col min="3338" max="3584" width="9.28515625" style="5"/>
    <col min="3585" max="3585" width="16.28515625" style="5" customWidth="1"/>
    <col min="3586" max="3586" width="12.42578125" style="5" customWidth="1"/>
    <col min="3587" max="3587" width="45.28515625" style="5" customWidth="1"/>
    <col min="3588" max="3588" width="15.5703125" style="5" customWidth="1"/>
    <col min="3589" max="3589" width="9.28515625" style="5"/>
    <col min="3590" max="3590" width="13.28515625" style="5" customWidth="1"/>
    <col min="3591" max="3591" width="12.5703125" style="5" customWidth="1"/>
    <col min="3592" max="3592" width="15.5703125" style="5" customWidth="1"/>
    <col min="3593" max="3593" width="16" style="5" customWidth="1"/>
    <col min="3594" max="3840" width="9.28515625" style="5"/>
    <col min="3841" max="3841" width="16.28515625" style="5" customWidth="1"/>
    <col min="3842" max="3842" width="12.42578125" style="5" customWidth="1"/>
    <col min="3843" max="3843" width="45.28515625" style="5" customWidth="1"/>
    <col min="3844" max="3844" width="15.5703125" style="5" customWidth="1"/>
    <col min="3845" max="3845" width="9.28515625" style="5"/>
    <col min="3846" max="3846" width="13.28515625" style="5" customWidth="1"/>
    <col min="3847" max="3847" width="12.5703125" style="5" customWidth="1"/>
    <col min="3848" max="3848" width="15.5703125" style="5" customWidth="1"/>
    <col min="3849" max="3849" width="16" style="5" customWidth="1"/>
    <col min="3850" max="4096" width="9.28515625" style="5"/>
    <col min="4097" max="4097" width="16.28515625" style="5" customWidth="1"/>
    <col min="4098" max="4098" width="12.42578125" style="5" customWidth="1"/>
    <col min="4099" max="4099" width="45.28515625" style="5" customWidth="1"/>
    <col min="4100" max="4100" width="15.5703125" style="5" customWidth="1"/>
    <col min="4101" max="4101" width="9.28515625" style="5"/>
    <col min="4102" max="4102" width="13.28515625" style="5" customWidth="1"/>
    <col min="4103" max="4103" width="12.5703125" style="5" customWidth="1"/>
    <col min="4104" max="4104" width="15.5703125" style="5" customWidth="1"/>
    <col min="4105" max="4105" width="16" style="5" customWidth="1"/>
    <col min="4106" max="4352" width="9.28515625" style="5"/>
    <col min="4353" max="4353" width="16.28515625" style="5" customWidth="1"/>
    <col min="4354" max="4354" width="12.42578125" style="5" customWidth="1"/>
    <col min="4355" max="4355" width="45.28515625" style="5" customWidth="1"/>
    <col min="4356" max="4356" width="15.5703125" style="5" customWidth="1"/>
    <col min="4357" max="4357" width="9.28515625" style="5"/>
    <col min="4358" max="4358" width="13.28515625" style="5" customWidth="1"/>
    <col min="4359" max="4359" width="12.5703125" style="5" customWidth="1"/>
    <col min="4360" max="4360" width="15.5703125" style="5" customWidth="1"/>
    <col min="4361" max="4361" width="16" style="5" customWidth="1"/>
    <col min="4362" max="4608" width="9.28515625" style="5"/>
    <col min="4609" max="4609" width="16.28515625" style="5" customWidth="1"/>
    <col min="4610" max="4610" width="12.42578125" style="5" customWidth="1"/>
    <col min="4611" max="4611" width="45.28515625" style="5" customWidth="1"/>
    <col min="4612" max="4612" width="15.5703125" style="5" customWidth="1"/>
    <col min="4613" max="4613" width="9.28515625" style="5"/>
    <col min="4614" max="4614" width="13.28515625" style="5" customWidth="1"/>
    <col min="4615" max="4615" width="12.5703125" style="5" customWidth="1"/>
    <col min="4616" max="4616" width="15.5703125" style="5" customWidth="1"/>
    <col min="4617" max="4617" width="16" style="5" customWidth="1"/>
    <col min="4618" max="4864" width="9.28515625" style="5"/>
    <col min="4865" max="4865" width="16.28515625" style="5" customWidth="1"/>
    <col min="4866" max="4866" width="12.42578125" style="5" customWidth="1"/>
    <col min="4867" max="4867" width="45.28515625" style="5" customWidth="1"/>
    <col min="4868" max="4868" width="15.5703125" style="5" customWidth="1"/>
    <col min="4869" max="4869" width="9.28515625" style="5"/>
    <col min="4870" max="4870" width="13.28515625" style="5" customWidth="1"/>
    <col min="4871" max="4871" width="12.5703125" style="5" customWidth="1"/>
    <col min="4872" max="4872" width="15.5703125" style="5" customWidth="1"/>
    <col min="4873" max="4873" width="16" style="5" customWidth="1"/>
    <col min="4874" max="5120" width="9.28515625" style="5"/>
    <col min="5121" max="5121" width="16.28515625" style="5" customWidth="1"/>
    <col min="5122" max="5122" width="12.42578125" style="5" customWidth="1"/>
    <col min="5123" max="5123" width="45.28515625" style="5" customWidth="1"/>
    <col min="5124" max="5124" width="15.5703125" style="5" customWidth="1"/>
    <col min="5125" max="5125" width="9.28515625" style="5"/>
    <col min="5126" max="5126" width="13.28515625" style="5" customWidth="1"/>
    <col min="5127" max="5127" width="12.5703125" style="5" customWidth="1"/>
    <col min="5128" max="5128" width="15.5703125" style="5" customWidth="1"/>
    <col min="5129" max="5129" width="16" style="5" customWidth="1"/>
    <col min="5130" max="5376" width="9.28515625" style="5"/>
    <col min="5377" max="5377" width="16.28515625" style="5" customWidth="1"/>
    <col min="5378" max="5378" width="12.42578125" style="5" customWidth="1"/>
    <col min="5379" max="5379" width="45.28515625" style="5" customWidth="1"/>
    <col min="5380" max="5380" width="15.5703125" style="5" customWidth="1"/>
    <col min="5381" max="5381" width="9.28515625" style="5"/>
    <col min="5382" max="5382" width="13.28515625" style="5" customWidth="1"/>
    <col min="5383" max="5383" width="12.5703125" style="5" customWidth="1"/>
    <col min="5384" max="5384" width="15.5703125" style="5" customWidth="1"/>
    <col min="5385" max="5385" width="16" style="5" customWidth="1"/>
    <col min="5386" max="5632" width="9.28515625" style="5"/>
    <col min="5633" max="5633" width="16.28515625" style="5" customWidth="1"/>
    <col min="5634" max="5634" width="12.42578125" style="5" customWidth="1"/>
    <col min="5635" max="5635" width="45.28515625" style="5" customWidth="1"/>
    <col min="5636" max="5636" width="15.5703125" style="5" customWidth="1"/>
    <col min="5637" max="5637" width="9.28515625" style="5"/>
    <col min="5638" max="5638" width="13.28515625" style="5" customWidth="1"/>
    <col min="5639" max="5639" width="12.5703125" style="5" customWidth="1"/>
    <col min="5640" max="5640" width="15.5703125" style="5" customWidth="1"/>
    <col min="5641" max="5641" width="16" style="5" customWidth="1"/>
    <col min="5642" max="5888" width="9.28515625" style="5"/>
    <col min="5889" max="5889" width="16.28515625" style="5" customWidth="1"/>
    <col min="5890" max="5890" width="12.42578125" style="5" customWidth="1"/>
    <col min="5891" max="5891" width="45.28515625" style="5" customWidth="1"/>
    <col min="5892" max="5892" width="15.5703125" style="5" customWidth="1"/>
    <col min="5893" max="5893" width="9.28515625" style="5"/>
    <col min="5894" max="5894" width="13.28515625" style="5" customWidth="1"/>
    <col min="5895" max="5895" width="12.5703125" style="5" customWidth="1"/>
    <col min="5896" max="5896" width="15.5703125" style="5" customWidth="1"/>
    <col min="5897" max="5897" width="16" style="5" customWidth="1"/>
    <col min="5898" max="6144" width="9.28515625" style="5"/>
    <col min="6145" max="6145" width="16.28515625" style="5" customWidth="1"/>
    <col min="6146" max="6146" width="12.42578125" style="5" customWidth="1"/>
    <col min="6147" max="6147" width="45.28515625" style="5" customWidth="1"/>
    <col min="6148" max="6148" width="15.5703125" style="5" customWidth="1"/>
    <col min="6149" max="6149" width="9.28515625" style="5"/>
    <col min="6150" max="6150" width="13.28515625" style="5" customWidth="1"/>
    <col min="6151" max="6151" width="12.5703125" style="5" customWidth="1"/>
    <col min="6152" max="6152" width="15.5703125" style="5" customWidth="1"/>
    <col min="6153" max="6153" width="16" style="5" customWidth="1"/>
    <col min="6154" max="6400" width="9.28515625" style="5"/>
    <col min="6401" max="6401" width="16.28515625" style="5" customWidth="1"/>
    <col min="6402" max="6402" width="12.42578125" style="5" customWidth="1"/>
    <col min="6403" max="6403" width="45.28515625" style="5" customWidth="1"/>
    <col min="6404" max="6404" width="15.5703125" style="5" customWidth="1"/>
    <col min="6405" max="6405" width="9.28515625" style="5"/>
    <col min="6406" max="6406" width="13.28515625" style="5" customWidth="1"/>
    <col min="6407" max="6407" width="12.5703125" style="5" customWidth="1"/>
    <col min="6408" max="6408" width="15.5703125" style="5" customWidth="1"/>
    <col min="6409" max="6409" width="16" style="5" customWidth="1"/>
    <col min="6410" max="6656" width="9.28515625" style="5"/>
    <col min="6657" max="6657" width="16.28515625" style="5" customWidth="1"/>
    <col min="6658" max="6658" width="12.42578125" style="5" customWidth="1"/>
    <col min="6659" max="6659" width="45.28515625" style="5" customWidth="1"/>
    <col min="6660" max="6660" width="15.5703125" style="5" customWidth="1"/>
    <col min="6661" max="6661" width="9.28515625" style="5"/>
    <col min="6662" max="6662" width="13.28515625" style="5" customWidth="1"/>
    <col min="6663" max="6663" width="12.5703125" style="5" customWidth="1"/>
    <col min="6664" max="6664" width="15.5703125" style="5" customWidth="1"/>
    <col min="6665" max="6665" width="16" style="5" customWidth="1"/>
    <col min="6666" max="6912" width="9.28515625" style="5"/>
    <col min="6913" max="6913" width="16.28515625" style="5" customWidth="1"/>
    <col min="6914" max="6914" width="12.42578125" style="5" customWidth="1"/>
    <col min="6915" max="6915" width="45.28515625" style="5" customWidth="1"/>
    <col min="6916" max="6916" width="15.5703125" style="5" customWidth="1"/>
    <col min="6917" max="6917" width="9.28515625" style="5"/>
    <col min="6918" max="6918" width="13.28515625" style="5" customWidth="1"/>
    <col min="6919" max="6919" width="12.5703125" style="5" customWidth="1"/>
    <col min="6920" max="6920" width="15.5703125" style="5" customWidth="1"/>
    <col min="6921" max="6921" width="16" style="5" customWidth="1"/>
    <col min="6922" max="7168" width="9.28515625" style="5"/>
    <col min="7169" max="7169" width="16.28515625" style="5" customWidth="1"/>
    <col min="7170" max="7170" width="12.42578125" style="5" customWidth="1"/>
    <col min="7171" max="7171" width="45.28515625" style="5" customWidth="1"/>
    <col min="7172" max="7172" width="15.5703125" style="5" customWidth="1"/>
    <col min="7173" max="7173" width="9.28515625" style="5"/>
    <col min="7174" max="7174" width="13.28515625" style="5" customWidth="1"/>
    <col min="7175" max="7175" width="12.5703125" style="5" customWidth="1"/>
    <col min="7176" max="7176" width="15.5703125" style="5" customWidth="1"/>
    <col min="7177" max="7177" width="16" style="5" customWidth="1"/>
    <col min="7178" max="7424" width="9.28515625" style="5"/>
    <col min="7425" max="7425" width="16.28515625" style="5" customWidth="1"/>
    <col min="7426" max="7426" width="12.42578125" style="5" customWidth="1"/>
    <col min="7427" max="7427" width="45.28515625" style="5" customWidth="1"/>
    <col min="7428" max="7428" width="15.5703125" style="5" customWidth="1"/>
    <col min="7429" max="7429" width="9.28515625" style="5"/>
    <col min="7430" max="7430" width="13.28515625" style="5" customWidth="1"/>
    <col min="7431" max="7431" width="12.5703125" style="5" customWidth="1"/>
    <col min="7432" max="7432" width="15.5703125" style="5" customWidth="1"/>
    <col min="7433" max="7433" width="16" style="5" customWidth="1"/>
    <col min="7434" max="7680" width="9.28515625" style="5"/>
    <col min="7681" max="7681" width="16.28515625" style="5" customWidth="1"/>
    <col min="7682" max="7682" width="12.42578125" style="5" customWidth="1"/>
    <col min="7683" max="7683" width="45.28515625" style="5" customWidth="1"/>
    <col min="7684" max="7684" width="15.5703125" style="5" customWidth="1"/>
    <col min="7685" max="7685" width="9.28515625" style="5"/>
    <col min="7686" max="7686" width="13.28515625" style="5" customWidth="1"/>
    <col min="7687" max="7687" width="12.5703125" style="5" customWidth="1"/>
    <col min="7688" max="7688" width="15.5703125" style="5" customWidth="1"/>
    <col min="7689" max="7689" width="16" style="5" customWidth="1"/>
    <col min="7690" max="7936" width="9.28515625" style="5"/>
    <col min="7937" max="7937" width="16.28515625" style="5" customWidth="1"/>
    <col min="7938" max="7938" width="12.42578125" style="5" customWidth="1"/>
    <col min="7939" max="7939" width="45.28515625" style="5" customWidth="1"/>
    <col min="7940" max="7940" width="15.5703125" style="5" customWidth="1"/>
    <col min="7941" max="7941" width="9.28515625" style="5"/>
    <col min="7942" max="7942" width="13.28515625" style="5" customWidth="1"/>
    <col min="7943" max="7943" width="12.5703125" style="5" customWidth="1"/>
    <col min="7944" max="7944" width="15.5703125" style="5" customWidth="1"/>
    <col min="7945" max="7945" width="16" style="5" customWidth="1"/>
    <col min="7946" max="8192" width="9.28515625" style="5"/>
    <col min="8193" max="8193" width="16.28515625" style="5" customWidth="1"/>
    <col min="8194" max="8194" width="12.42578125" style="5" customWidth="1"/>
    <col min="8195" max="8195" width="45.28515625" style="5" customWidth="1"/>
    <col min="8196" max="8196" width="15.5703125" style="5" customWidth="1"/>
    <col min="8197" max="8197" width="9.28515625" style="5"/>
    <col min="8198" max="8198" width="13.28515625" style="5" customWidth="1"/>
    <col min="8199" max="8199" width="12.5703125" style="5" customWidth="1"/>
    <col min="8200" max="8200" width="15.5703125" style="5" customWidth="1"/>
    <col min="8201" max="8201" width="16" style="5" customWidth="1"/>
    <col min="8202" max="8448" width="9.28515625" style="5"/>
    <col min="8449" max="8449" width="16.28515625" style="5" customWidth="1"/>
    <col min="8450" max="8450" width="12.42578125" style="5" customWidth="1"/>
    <col min="8451" max="8451" width="45.28515625" style="5" customWidth="1"/>
    <col min="8452" max="8452" width="15.5703125" style="5" customWidth="1"/>
    <col min="8453" max="8453" width="9.28515625" style="5"/>
    <col min="8454" max="8454" width="13.28515625" style="5" customWidth="1"/>
    <col min="8455" max="8455" width="12.5703125" style="5" customWidth="1"/>
    <col min="8456" max="8456" width="15.5703125" style="5" customWidth="1"/>
    <col min="8457" max="8457" width="16" style="5" customWidth="1"/>
    <col min="8458" max="8704" width="9.28515625" style="5"/>
    <col min="8705" max="8705" width="16.28515625" style="5" customWidth="1"/>
    <col min="8706" max="8706" width="12.42578125" style="5" customWidth="1"/>
    <col min="8707" max="8707" width="45.28515625" style="5" customWidth="1"/>
    <col min="8708" max="8708" width="15.5703125" style="5" customWidth="1"/>
    <col min="8709" max="8709" width="9.28515625" style="5"/>
    <col min="8710" max="8710" width="13.28515625" style="5" customWidth="1"/>
    <col min="8711" max="8711" width="12.5703125" style="5" customWidth="1"/>
    <col min="8712" max="8712" width="15.5703125" style="5" customWidth="1"/>
    <col min="8713" max="8713" width="16" style="5" customWidth="1"/>
    <col min="8714" max="8960" width="9.28515625" style="5"/>
    <col min="8961" max="8961" width="16.28515625" style="5" customWidth="1"/>
    <col min="8962" max="8962" width="12.42578125" style="5" customWidth="1"/>
    <col min="8963" max="8963" width="45.28515625" style="5" customWidth="1"/>
    <col min="8964" max="8964" width="15.5703125" style="5" customWidth="1"/>
    <col min="8965" max="8965" width="9.28515625" style="5"/>
    <col min="8966" max="8966" width="13.28515625" style="5" customWidth="1"/>
    <col min="8967" max="8967" width="12.5703125" style="5" customWidth="1"/>
    <col min="8968" max="8968" width="15.5703125" style="5" customWidth="1"/>
    <col min="8969" max="8969" width="16" style="5" customWidth="1"/>
    <col min="8970" max="9216" width="9.28515625" style="5"/>
    <col min="9217" max="9217" width="16.28515625" style="5" customWidth="1"/>
    <col min="9218" max="9218" width="12.42578125" style="5" customWidth="1"/>
    <col min="9219" max="9219" width="45.28515625" style="5" customWidth="1"/>
    <col min="9220" max="9220" width="15.5703125" style="5" customWidth="1"/>
    <col min="9221" max="9221" width="9.28515625" style="5"/>
    <col min="9222" max="9222" width="13.28515625" style="5" customWidth="1"/>
    <col min="9223" max="9223" width="12.5703125" style="5" customWidth="1"/>
    <col min="9224" max="9224" width="15.5703125" style="5" customWidth="1"/>
    <col min="9225" max="9225" width="16" style="5" customWidth="1"/>
    <col min="9226" max="9472" width="9.28515625" style="5"/>
    <col min="9473" max="9473" width="16.28515625" style="5" customWidth="1"/>
    <col min="9474" max="9474" width="12.42578125" style="5" customWidth="1"/>
    <col min="9475" max="9475" width="45.28515625" style="5" customWidth="1"/>
    <col min="9476" max="9476" width="15.5703125" style="5" customWidth="1"/>
    <col min="9477" max="9477" width="9.28515625" style="5"/>
    <col min="9478" max="9478" width="13.28515625" style="5" customWidth="1"/>
    <col min="9479" max="9479" width="12.5703125" style="5" customWidth="1"/>
    <col min="9480" max="9480" width="15.5703125" style="5" customWidth="1"/>
    <col min="9481" max="9481" width="16" style="5" customWidth="1"/>
    <col min="9482" max="9728" width="9.28515625" style="5"/>
    <col min="9729" max="9729" width="16.28515625" style="5" customWidth="1"/>
    <col min="9730" max="9730" width="12.42578125" style="5" customWidth="1"/>
    <col min="9731" max="9731" width="45.28515625" style="5" customWidth="1"/>
    <col min="9732" max="9732" width="15.5703125" style="5" customWidth="1"/>
    <col min="9733" max="9733" width="9.28515625" style="5"/>
    <col min="9734" max="9734" width="13.28515625" style="5" customWidth="1"/>
    <col min="9735" max="9735" width="12.5703125" style="5" customWidth="1"/>
    <col min="9736" max="9736" width="15.5703125" style="5" customWidth="1"/>
    <col min="9737" max="9737" width="16" style="5" customWidth="1"/>
    <col min="9738" max="9984" width="9.28515625" style="5"/>
    <col min="9985" max="9985" width="16.28515625" style="5" customWidth="1"/>
    <col min="9986" max="9986" width="12.42578125" style="5" customWidth="1"/>
    <col min="9987" max="9987" width="45.28515625" style="5" customWidth="1"/>
    <col min="9988" max="9988" width="15.5703125" style="5" customWidth="1"/>
    <col min="9989" max="9989" width="9.28515625" style="5"/>
    <col min="9990" max="9990" width="13.28515625" style="5" customWidth="1"/>
    <col min="9991" max="9991" width="12.5703125" style="5" customWidth="1"/>
    <col min="9992" max="9992" width="15.5703125" style="5" customWidth="1"/>
    <col min="9993" max="9993" width="16" style="5" customWidth="1"/>
    <col min="9994" max="10240" width="9.28515625" style="5"/>
    <col min="10241" max="10241" width="16.28515625" style="5" customWidth="1"/>
    <col min="10242" max="10242" width="12.42578125" style="5" customWidth="1"/>
    <col min="10243" max="10243" width="45.28515625" style="5" customWidth="1"/>
    <col min="10244" max="10244" width="15.5703125" style="5" customWidth="1"/>
    <col min="10245" max="10245" width="9.28515625" style="5"/>
    <col min="10246" max="10246" width="13.28515625" style="5" customWidth="1"/>
    <col min="10247" max="10247" width="12.5703125" style="5" customWidth="1"/>
    <col min="10248" max="10248" width="15.5703125" style="5" customWidth="1"/>
    <col min="10249" max="10249" width="16" style="5" customWidth="1"/>
    <col min="10250" max="10496" width="9.28515625" style="5"/>
    <col min="10497" max="10497" width="16.28515625" style="5" customWidth="1"/>
    <col min="10498" max="10498" width="12.42578125" style="5" customWidth="1"/>
    <col min="10499" max="10499" width="45.28515625" style="5" customWidth="1"/>
    <col min="10500" max="10500" width="15.5703125" style="5" customWidth="1"/>
    <col min="10501" max="10501" width="9.28515625" style="5"/>
    <col min="10502" max="10502" width="13.28515625" style="5" customWidth="1"/>
    <col min="10503" max="10503" width="12.5703125" style="5" customWidth="1"/>
    <col min="10504" max="10504" width="15.5703125" style="5" customWidth="1"/>
    <col min="10505" max="10505" width="16" style="5" customWidth="1"/>
    <col min="10506" max="10752" width="9.28515625" style="5"/>
    <col min="10753" max="10753" width="16.28515625" style="5" customWidth="1"/>
    <col min="10754" max="10754" width="12.42578125" style="5" customWidth="1"/>
    <col min="10755" max="10755" width="45.28515625" style="5" customWidth="1"/>
    <col min="10756" max="10756" width="15.5703125" style="5" customWidth="1"/>
    <col min="10757" max="10757" width="9.28515625" style="5"/>
    <col min="10758" max="10758" width="13.28515625" style="5" customWidth="1"/>
    <col min="10759" max="10759" width="12.5703125" style="5" customWidth="1"/>
    <col min="10760" max="10760" width="15.5703125" style="5" customWidth="1"/>
    <col min="10761" max="10761" width="16" style="5" customWidth="1"/>
    <col min="10762" max="11008" width="9.28515625" style="5"/>
    <col min="11009" max="11009" width="16.28515625" style="5" customWidth="1"/>
    <col min="11010" max="11010" width="12.42578125" style="5" customWidth="1"/>
    <col min="11011" max="11011" width="45.28515625" style="5" customWidth="1"/>
    <col min="11012" max="11012" width="15.5703125" style="5" customWidth="1"/>
    <col min="11013" max="11013" width="9.28515625" style="5"/>
    <col min="11014" max="11014" width="13.28515625" style="5" customWidth="1"/>
    <col min="11015" max="11015" width="12.5703125" style="5" customWidth="1"/>
    <col min="11016" max="11016" width="15.5703125" style="5" customWidth="1"/>
    <col min="11017" max="11017" width="16" style="5" customWidth="1"/>
    <col min="11018" max="11264" width="9.28515625" style="5"/>
    <col min="11265" max="11265" width="16.28515625" style="5" customWidth="1"/>
    <col min="11266" max="11266" width="12.42578125" style="5" customWidth="1"/>
    <col min="11267" max="11267" width="45.28515625" style="5" customWidth="1"/>
    <col min="11268" max="11268" width="15.5703125" style="5" customWidth="1"/>
    <col min="11269" max="11269" width="9.28515625" style="5"/>
    <col min="11270" max="11270" width="13.28515625" style="5" customWidth="1"/>
    <col min="11271" max="11271" width="12.5703125" style="5" customWidth="1"/>
    <col min="11272" max="11272" width="15.5703125" style="5" customWidth="1"/>
    <col min="11273" max="11273" width="16" style="5" customWidth="1"/>
    <col min="11274" max="11520" width="9.28515625" style="5"/>
    <col min="11521" max="11521" width="16.28515625" style="5" customWidth="1"/>
    <col min="11522" max="11522" width="12.42578125" style="5" customWidth="1"/>
    <col min="11523" max="11523" width="45.28515625" style="5" customWidth="1"/>
    <col min="11524" max="11524" width="15.5703125" style="5" customWidth="1"/>
    <col min="11525" max="11525" width="9.28515625" style="5"/>
    <col min="11526" max="11526" width="13.28515625" style="5" customWidth="1"/>
    <col min="11527" max="11527" width="12.5703125" style="5" customWidth="1"/>
    <col min="11528" max="11528" width="15.5703125" style="5" customWidth="1"/>
    <col min="11529" max="11529" width="16" style="5" customWidth="1"/>
    <col min="11530" max="11776" width="9.28515625" style="5"/>
    <col min="11777" max="11777" width="16.28515625" style="5" customWidth="1"/>
    <col min="11778" max="11778" width="12.42578125" style="5" customWidth="1"/>
    <col min="11779" max="11779" width="45.28515625" style="5" customWidth="1"/>
    <col min="11780" max="11780" width="15.5703125" style="5" customWidth="1"/>
    <col min="11781" max="11781" width="9.28515625" style="5"/>
    <col min="11782" max="11782" width="13.28515625" style="5" customWidth="1"/>
    <col min="11783" max="11783" width="12.5703125" style="5" customWidth="1"/>
    <col min="11784" max="11784" width="15.5703125" style="5" customWidth="1"/>
    <col min="11785" max="11785" width="16" style="5" customWidth="1"/>
    <col min="11786" max="12032" width="9.28515625" style="5"/>
    <col min="12033" max="12033" width="16.28515625" style="5" customWidth="1"/>
    <col min="12034" max="12034" width="12.42578125" style="5" customWidth="1"/>
    <col min="12035" max="12035" width="45.28515625" style="5" customWidth="1"/>
    <col min="12036" max="12036" width="15.5703125" style="5" customWidth="1"/>
    <col min="12037" max="12037" width="9.28515625" style="5"/>
    <col min="12038" max="12038" width="13.28515625" style="5" customWidth="1"/>
    <col min="12039" max="12039" width="12.5703125" style="5" customWidth="1"/>
    <col min="12040" max="12040" width="15.5703125" style="5" customWidth="1"/>
    <col min="12041" max="12041" width="16" style="5" customWidth="1"/>
    <col min="12042" max="12288" width="9.28515625" style="5"/>
    <col min="12289" max="12289" width="16.28515625" style="5" customWidth="1"/>
    <col min="12290" max="12290" width="12.42578125" style="5" customWidth="1"/>
    <col min="12291" max="12291" width="45.28515625" style="5" customWidth="1"/>
    <col min="12292" max="12292" width="15.5703125" style="5" customWidth="1"/>
    <col min="12293" max="12293" width="9.28515625" style="5"/>
    <col min="12294" max="12294" width="13.28515625" style="5" customWidth="1"/>
    <col min="12295" max="12295" width="12.5703125" style="5" customWidth="1"/>
    <col min="12296" max="12296" width="15.5703125" style="5" customWidth="1"/>
    <col min="12297" max="12297" width="16" style="5" customWidth="1"/>
    <col min="12298" max="12544" width="9.28515625" style="5"/>
    <col min="12545" max="12545" width="16.28515625" style="5" customWidth="1"/>
    <col min="12546" max="12546" width="12.42578125" style="5" customWidth="1"/>
    <col min="12547" max="12547" width="45.28515625" style="5" customWidth="1"/>
    <col min="12548" max="12548" width="15.5703125" style="5" customWidth="1"/>
    <col min="12549" max="12549" width="9.28515625" style="5"/>
    <col min="12550" max="12550" width="13.28515625" style="5" customWidth="1"/>
    <col min="12551" max="12551" width="12.5703125" style="5" customWidth="1"/>
    <col min="12552" max="12552" width="15.5703125" style="5" customWidth="1"/>
    <col min="12553" max="12553" width="16" style="5" customWidth="1"/>
    <col min="12554" max="12800" width="9.28515625" style="5"/>
    <col min="12801" max="12801" width="16.28515625" style="5" customWidth="1"/>
    <col min="12802" max="12802" width="12.42578125" style="5" customWidth="1"/>
    <col min="12803" max="12803" width="45.28515625" style="5" customWidth="1"/>
    <col min="12804" max="12804" width="15.5703125" style="5" customWidth="1"/>
    <col min="12805" max="12805" width="9.28515625" style="5"/>
    <col min="12806" max="12806" width="13.28515625" style="5" customWidth="1"/>
    <col min="12807" max="12807" width="12.5703125" style="5" customWidth="1"/>
    <col min="12808" max="12808" width="15.5703125" style="5" customWidth="1"/>
    <col min="12809" max="12809" width="16" style="5" customWidth="1"/>
    <col min="12810" max="13056" width="9.28515625" style="5"/>
    <col min="13057" max="13057" width="16.28515625" style="5" customWidth="1"/>
    <col min="13058" max="13058" width="12.42578125" style="5" customWidth="1"/>
    <col min="13059" max="13059" width="45.28515625" style="5" customWidth="1"/>
    <col min="13060" max="13060" width="15.5703125" style="5" customWidth="1"/>
    <col min="13061" max="13061" width="9.28515625" style="5"/>
    <col min="13062" max="13062" width="13.28515625" style="5" customWidth="1"/>
    <col min="13063" max="13063" width="12.5703125" style="5" customWidth="1"/>
    <col min="13064" max="13064" width="15.5703125" style="5" customWidth="1"/>
    <col min="13065" max="13065" width="16" style="5" customWidth="1"/>
    <col min="13066" max="13312" width="9.28515625" style="5"/>
    <col min="13313" max="13313" width="16.28515625" style="5" customWidth="1"/>
    <col min="13314" max="13314" width="12.42578125" style="5" customWidth="1"/>
    <col min="13315" max="13315" width="45.28515625" style="5" customWidth="1"/>
    <col min="13316" max="13316" width="15.5703125" style="5" customWidth="1"/>
    <col min="13317" max="13317" width="9.28515625" style="5"/>
    <col min="13318" max="13318" width="13.28515625" style="5" customWidth="1"/>
    <col min="13319" max="13319" width="12.5703125" style="5" customWidth="1"/>
    <col min="13320" max="13320" width="15.5703125" style="5" customWidth="1"/>
    <col min="13321" max="13321" width="16" style="5" customWidth="1"/>
    <col min="13322" max="13568" width="9.28515625" style="5"/>
    <col min="13569" max="13569" width="16.28515625" style="5" customWidth="1"/>
    <col min="13570" max="13570" width="12.42578125" style="5" customWidth="1"/>
    <col min="13571" max="13571" width="45.28515625" style="5" customWidth="1"/>
    <col min="13572" max="13572" width="15.5703125" style="5" customWidth="1"/>
    <col min="13573" max="13573" width="9.28515625" style="5"/>
    <col min="13574" max="13574" width="13.28515625" style="5" customWidth="1"/>
    <col min="13575" max="13575" width="12.5703125" style="5" customWidth="1"/>
    <col min="13576" max="13576" width="15.5703125" style="5" customWidth="1"/>
    <col min="13577" max="13577" width="16" style="5" customWidth="1"/>
    <col min="13578" max="13824" width="9.28515625" style="5"/>
    <col min="13825" max="13825" width="16.28515625" style="5" customWidth="1"/>
    <col min="13826" max="13826" width="12.42578125" style="5" customWidth="1"/>
    <col min="13827" max="13827" width="45.28515625" style="5" customWidth="1"/>
    <col min="13828" max="13828" width="15.5703125" style="5" customWidth="1"/>
    <col min="13829" max="13829" width="9.28515625" style="5"/>
    <col min="13830" max="13830" width="13.28515625" style="5" customWidth="1"/>
    <col min="13831" max="13831" width="12.5703125" style="5" customWidth="1"/>
    <col min="13832" max="13832" width="15.5703125" style="5" customWidth="1"/>
    <col min="13833" max="13833" width="16" style="5" customWidth="1"/>
    <col min="13834" max="14080" width="9.28515625" style="5"/>
    <col min="14081" max="14081" width="16.28515625" style="5" customWidth="1"/>
    <col min="14082" max="14082" width="12.42578125" style="5" customWidth="1"/>
    <col min="14083" max="14083" width="45.28515625" style="5" customWidth="1"/>
    <col min="14084" max="14084" width="15.5703125" style="5" customWidth="1"/>
    <col min="14085" max="14085" width="9.28515625" style="5"/>
    <col min="14086" max="14086" width="13.28515625" style="5" customWidth="1"/>
    <col min="14087" max="14087" width="12.5703125" style="5" customWidth="1"/>
    <col min="14088" max="14088" width="15.5703125" style="5" customWidth="1"/>
    <col min="14089" max="14089" width="16" style="5" customWidth="1"/>
    <col min="14090" max="14336" width="9.28515625" style="5"/>
    <col min="14337" max="14337" width="16.28515625" style="5" customWidth="1"/>
    <col min="14338" max="14338" width="12.42578125" style="5" customWidth="1"/>
    <col min="14339" max="14339" width="45.28515625" style="5" customWidth="1"/>
    <col min="14340" max="14340" width="15.5703125" style="5" customWidth="1"/>
    <col min="14341" max="14341" width="9.28515625" style="5"/>
    <col min="14342" max="14342" width="13.28515625" style="5" customWidth="1"/>
    <col min="14343" max="14343" width="12.5703125" style="5" customWidth="1"/>
    <col min="14344" max="14344" width="15.5703125" style="5" customWidth="1"/>
    <col min="14345" max="14345" width="16" style="5" customWidth="1"/>
    <col min="14346" max="14592" width="9.28515625" style="5"/>
    <col min="14593" max="14593" width="16.28515625" style="5" customWidth="1"/>
    <col min="14594" max="14594" width="12.42578125" style="5" customWidth="1"/>
    <col min="14595" max="14595" width="45.28515625" style="5" customWidth="1"/>
    <col min="14596" max="14596" width="15.5703125" style="5" customWidth="1"/>
    <col min="14597" max="14597" width="9.28515625" style="5"/>
    <col min="14598" max="14598" width="13.28515625" style="5" customWidth="1"/>
    <col min="14599" max="14599" width="12.5703125" style="5" customWidth="1"/>
    <col min="14600" max="14600" width="15.5703125" style="5" customWidth="1"/>
    <col min="14601" max="14601" width="16" style="5" customWidth="1"/>
    <col min="14602" max="14848" width="9.28515625" style="5"/>
    <col min="14849" max="14849" width="16.28515625" style="5" customWidth="1"/>
    <col min="14850" max="14850" width="12.42578125" style="5" customWidth="1"/>
    <col min="14851" max="14851" width="45.28515625" style="5" customWidth="1"/>
    <col min="14852" max="14852" width="15.5703125" style="5" customWidth="1"/>
    <col min="14853" max="14853" width="9.28515625" style="5"/>
    <col min="14854" max="14854" width="13.28515625" style="5" customWidth="1"/>
    <col min="14855" max="14855" width="12.5703125" style="5" customWidth="1"/>
    <col min="14856" max="14856" width="15.5703125" style="5" customWidth="1"/>
    <col min="14857" max="14857" width="16" style="5" customWidth="1"/>
    <col min="14858" max="15104" width="9.28515625" style="5"/>
    <col min="15105" max="15105" width="16.28515625" style="5" customWidth="1"/>
    <col min="15106" max="15106" width="12.42578125" style="5" customWidth="1"/>
    <col min="15107" max="15107" width="45.28515625" style="5" customWidth="1"/>
    <col min="15108" max="15108" width="15.5703125" style="5" customWidth="1"/>
    <col min="15109" max="15109" width="9.28515625" style="5"/>
    <col min="15110" max="15110" width="13.28515625" style="5" customWidth="1"/>
    <col min="15111" max="15111" width="12.5703125" style="5" customWidth="1"/>
    <col min="15112" max="15112" width="15.5703125" style="5" customWidth="1"/>
    <col min="15113" max="15113" width="16" style="5" customWidth="1"/>
    <col min="15114" max="15360" width="9.28515625" style="5"/>
    <col min="15361" max="15361" width="16.28515625" style="5" customWidth="1"/>
    <col min="15362" max="15362" width="12.42578125" style="5" customWidth="1"/>
    <col min="15363" max="15363" width="45.28515625" style="5" customWidth="1"/>
    <col min="15364" max="15364" width="15.5703125" style="5" customWidth="1"/>
    <col min="15365" max="15365" width="9.28515625" style="5"/>
    <col min="15366" max="15366" width="13.28515625" style="5" customWidth="1"/>
    <col min="15367" max="15367" width="12.5703125" style="5" customWidth="1"/>
    <col min="15368" max="15368" width="15.5703125" style="5" customWidth="1"/>
    <col min="15369" max="15369" width="16" style="5" customWidth="1"/>
    <col min="15370" max="15616" width="9.28515625" style="5"/>
    <col min="15617" max="15617" width="16.28515625" style="5" customWidth="1"/>
    <col min="15618" max="15618" width="12.42578125" style="5" customWidth="1"/>
    <col min="15619" max="15619" width="45.28515625" style="5" customWidth="1"/>
    <col min="15620" max="15620" width="15.5703125" style="5" customWidth="1"/>
    <col min="15621" max="15621" width="9.28515625" style="5"/>
    <col min="15622" max="15622" width="13.28515625" style="5" customWidth="1"/>
    <col min="15623" max="15623" width="12.5703125" style="5" customWidth="1"/>
    <col min="15624" max="15624" width="15.5703125" style="5" customWidth="1"/>
    <col min="15625" max="15625" width="16" style="5" customWidth="1"/>
    <col min="15626" max="15872" width="9.28515625" style="5"/>
    <col min="15873" max="15873" width="16.28515625" style="5" customWidth="1"/>
    <col min="15874" max="15874" width="12.42578125" style="5" customWidth="1"/>
    <col min="15875" max="15875" width="45.28515625" style="5" customWidth="1"/>
    <col min="15876" max="15876" width="15.5703125" style="5" customWidth="1"/>
    <col min="15877" max="15877" width="9.28515625" style="5"/>
    <col min="15878" max="15878" width="13.28515625" style="5" customWidth="1"/>
    <col min="15879" max="15879" width="12.5703125" style="5" customWidth="1"/>
    <col min="15880" max="15880" width="15.5703125" style="5" customWidth="1"/>
    <col min="15881" max="15881" width="16" style="5" customWidth="1"/>
    <col min="15882" max="16128" width="9.28515625" style="5"/>
    <col min="16129" max="16129" width="16.28515625" style="5" customWidth="1"/>
    <col min="16130" max="16130" width="12.42578125" style="5" customWidth="1"/>
    <col min="16131" max="16131" width="45.28515625" style="5" customWidth="1"/>
    <col min="16132" max="16132" width="15.5703125" style="5" customWidth="1"/>
    <col min="16133" max="16133" width="9.28515625" style="5"/>
    <col min="16134" max="16134" width="13.28515625" style="5" customWidth="1"/>
    <col min="16135" max="16135" width="12.5703125" style="5" customWidth="1"/>
    <col min="16136" max="16136" width="15.5703125" style="5" customWidth="1"/>
    <col min="16137" max="16137" width="16" style="5" customWidth="1"/>
    <col min="16138" max="16384" width="9.28515625" style="5"/>
  </cols>
  <sheetData>
    <row r="1" spans="1:12" ht="15.75" x14ac:dyDescent="0.25">
      <c r="A1" s="668"/>
      <c r="B1" s="669"/>
      <c r="C1" s="674" t="s">
        <v>35</v>
      </c>
      <c r="D1" s="674"/>
      <c r="E1" s="674"/>
      <c r="F1" s="674"/>
      <c r="G1" s="674"/>
      <c r="H1" s="205" t="s">
        <v>34</v>
      </c>
      <c r="I1" s="206" t="s">
        <v>301</v>
      </c>
    </row>
    <row r="2" spans="1:12" ht="16.5" thickBot="1" x14ac:dyDescent="0.3">
      <c r="A2" s="670"/>
      <c r="B2" s="671"/>
      <c r="C2" s="675" t="s">
        <v>33</v>
      </c>
      <c r="D2" s="675"/>
      <c r="E2" s="675"/>
      <c r="F2" s="675"/>
      <c r="G2" s="675"/>
      <c r="H2" s="207" t="s">
        <v>32</v>
      </c>
      <c r="I2" s="208" t="s">
        <v>229</v>
      </c>
    </row>
    <row r="3" spans="1:12" ht="18.75" thickBot="1" x14ac:dyDescent="0.3">
      <c r="A3" s="670"/>
      <c r="B3" s="671"/>
      <c r="C3" s="818" t="s">
        <v>302</v>
      </c>
      <c r="D3" s="819"/>
      <c r="E3" s="819"/>
      <c r="F3" s="819"/>
      <c r="G3" s="820"/>
      <c r="H3" s="653" t="s">
        <v>31</v>
      </c>
      <c r="I3" s="643" t="s">
        <v>288</v>
      </c>
    </row>
    <row r="4" spans="1:12" x14ac:dyDescent="0.25">
      <c r="A4" s="670"/>
      <c r="B4" s="671"/>
      <c r="C4" s="209" t="s">
        <v>30</v>
      </c>
      <c r="D4" s="811" t="s">
        <v>172</v>
      </c>
      <c r="E4" s="812"/>
      <c r="F4" s="812"/>
      <c r="G4" s="813"/>
      <c r="H4" s="654"/>
      <c r="I4" s="644"/>
    </row>
    <row r="5" spans="1:12" ht="14.25" thickBot="1" x14ac:dyDescent="0.3">
      <c r="A5" s="672"/>
      <c r="B5" s="673"/>
      <c r="C5" s="417" t="s">
        <v>29</v>
      </c>
      <c r="D5" s="988" t="s">
        <v>28</v>
      </c>
      <c r="E5" s="989"/>
      <c r="F5" s="989"/>
      <c r="G5" s="990"/>
      <c r="H5" s="655"/>
      <c r="I5" s="645"/>
    </row>
    <row r="6" spans="1:12" s="276" customFormat="1" ht="18.75" thickBot="1" x14ac:dyDescent="0.3">
      <c r="A6" s="695" t="s">
        <v>27</v>
      </c>
      <c r="B6" s="695"/>
      <c r="C6" s="695"/>
      <c r="D6" s="696" t="s">
        <v>232</v>
      </c>
      <c r="E6" s="696"/>
      <c r="F6" s="696"/>
      <c r="G6" s="697" t="s">
        <v>25</v>
      </c>
      <c r="H6" s="697"/>
      <c r="I6" s="286" t="s">
        <v>232</v>
      </c>
    </row>
    <row r="7" spans="1:12" ht="25.5" x14ac:dyDescent="0.25">
      <c r="A7" s="909" t="s">
        <v>23</v>
      </c>
      <c r="B7" s="664" t="s">
        <v>36</v>
      </c>
      <c r="C7" s="666" t="s">
        <v>22</v>
      </c>
      <c r="D7" s="666" t="s">
        <v>21</v>
      </c>
      <c r="E7" s="666" t="s">
        <v>20</v>
      </c>
      <c r="F7" s="666"/>
      <c r="G7" s="666" t="s">
        <v>19</v>
      </c>
      <c r="H7" s="666"/>
      <c r="I7" s="335" t="s">
        <v>18</v>
      </c>
    </row>
    <row r="8" spans="1:12" ht="27" thickBot="1" x14ac:dyDescent="0.3">
      <c r="A8" s="910"/>
      <c r="B8" s="665"/>
      <c r="C8" s="911"/>
      <c r="D8" s="911"/>
      <c r="E8" s="336" t="s">
        <v>15</v>
      </c>
      <c r="F8" s="337" t="s">
        <v>17</v>
      </c>
      <c r="G8" s="336" t="s">
        <v>15</v>
      </c>
      <c r="H8" s="337" t="s">
        <v>17</v>
      </c>
      <c r="I8" s="364" t="s">
        <v>16</v>
      </c>
    </row>
    <row r="9" spans="1:12" ht="15" x14ac:dyDescent="0.25">
      <c r="A9" s="200">
        <v>95717</v>
      </c>
      <c r="B9" s="200" t="s">
        <v>47</v>
      </c>
      <c r="C9" t="s">
        <v>289</v>
      </c>
      <c r="D9" s="368" t="s">
        <v>43</v>
      </c>
      <c r="E9" s="11">
        <v>20800</v>
      </c>
      <c r="F9" s="28" t="s">
        <v>2</v>
      </c>
      <c r="G9" s="29">
        <f>E9/20.8</f>
        <v>1000</v>
      </c>
      <c r="H9" s="11"/>
      <c r="I9" s="369"/>
    </row>
    <row r="10" spans="1:12" ht="15.75" x14ac:dyDescent="0.25">
      <c r="A10" s="418">
        <v>10400002</v>
      </c>
      <c r="B10" s="419" t="s">
        <v>303</v>
      </c>
      <c r="C10" s="420" t="s">
        <v>304</v>
      </c>
      <c r="D10" s="370" t="s">
        <v>292</v>
      </c>
      <c r="E10" s="371">
        <v>80</v>
      </c>
      <c r="F10" s="372" t="s">
        <v>2</v>
      </c>
      <c r="G10" s="29">
        <f>E10/20.8</f>
        <v>3.8461538461538458</v>
      </c>
      <c r="H10" s="294"/>
      <c r="I10" s="344"/>
    </row>
    <row r="11" spans="1:12" ht="15.75" x14ac:dyDescent="0.25">
      <c r="A11" s="200" t="s">
        <v>305</v>
      </c>
      <c r="B11" s="200" t="s">
        <v>306</v>
      </c>
      <c r="C11" t="s">
        <v>307</v>
      </c>
      <c r="D11" s="370" t="s">
        <v>308</v>
      </c>
      <c r="E11" s="371">
        <v>200</v>
      </c>
      <c r="F11" s="372" t="s">
        <v>2</v>
      </c>
      <c r="G11" s="29">
        <f>E11/20.8</f>
        <v>9.615384615384615</v>
      </c>
      <c r="H11" s="294"/>
      <c r="I11" s="344"/>
    </row>
    <row r="12" spans="1:12" ht="15.75" x14ac:dyDescent="0.25">
      <c r="A12" s="222" t="s">
        <v>141</v>
      </c>
      <c r="B12" s="203" t="s">
        <v>68</v>
      </c>
      <c r="C12" s="223" t="s">
        <v>155</v>
      </c>
      <c r="D12" s="370" t="s">
        <v>255</v>
      </c>
      <c r="E12" s="371">
        <v>1</v>
      </c>
      <c r="F12" s="373" t="s">
        <v>7</v>
      </c>
      <c r="G12" s="29">
        <f>E12/20.8</f>
        <v>4.8076923076923073E-2</v>
      </c>
      <c r="H12" s="343"/>
      <c r="I12" s="344"/>
    </row>
    <row r="13" spans="1:12" ht="15.75" x14ac:dyDescent="0.25">
      <c r="A13" s="421"/>
      <c r="B13" s="421"/>
      <c r="C13" s="410"/>
      <c r="D13" s="370"/>
      <c r="E13" s="371"/>
      <c r="F13" s="373"/>
      <c r="G13" s="29">
        <f>E13/20.8</f>
        <v>0</v>
      </c>
      <c r="H13" s="11"/>
      <c r="I13" s="11"/>
    </row>
    <row r="14" spans="1:12" ht="14.25" thickBot="1" x14ac:dyDescent="0.3">
      <c r="A14" s="347"/>
      <c r="B14" s="348"/>
      <c r="E14" s="349"/>
      <c r="F14" s="350"/>
      <c r="I14" s="351"/>
      <c r="L14" s="8"/>
    </row>
    <row r="15" spans="1:12" ht="14.25" thickBot="1" x14ac:dyDescent="0.3">
      <c r="A15" s="352"/>
      <c r="B15" s="353"/>
      <c r="C15" s="354"/>
      <c r="D15" s="355" t="s">
        <v>15</v>
      </c>
      <c r="E15" s="356" t="s">
        <v>14</v>
      </c>
      <c r="F15" s="357"/>
      <c r="G15" s="354"/>
      <c r="H15" s="354"/>
      <c r="I15" s="358"/>
      <c r="L15" s="8"/>
    </row>
    <row r="16" spans="1:12" x14ac:dyDescent="0.25">
      <c r="A16" s="903" t="s">
        <v>13</v>
      </c>
      <c r="B16" s="904"/>
      <c r="C16" s="905"/>
      <c r="D16" s="342">
        <v>20800</v>
      </c>
      <c r="E16" s="359" t="s">
        <v>2</v>
      </c>
      <c r="F16" s="906" t="s">
        <v>12</v>
      </c>
      <c r="G16" s="906"/>
      <c r="H16" s="907"/>
      <c r="I16" s="908"/>
      <c r="L16" s="8"/>
    </row>
    <row r="17" spans="1:13" x14ac:dyDescent="0.25">
      <c r="A17" s="842" t="s">
        <v>11</v>
      </c>
      <c r="B17" s="843"/>
      <c r="C17" s="844"/>
      <c r="D17" s="406">
        <v>2</v>
      </c>
      <c r="E17" s="11" t="s">
        <v>10</v>
      </c>
      <c r="F17" s="845" t="s">
        <v>9</v>
      </c>
      <c r="G17" s="845"/>
      <c r="H17" s="846"/>
      <c r="I17" s="847"/>
      <c r="L17" s="8"/>
    </row>
    <row r="18" spans="1:13" x14ac:dyDescent="0.25">
      <c r="A18" s="842" t="s">
        <v>8</v>
      </c>
      <c r="B18" s="843"/>
      <c r="C18" s="844"/>
      <c r="D18" s="11">
        <v>1</v>
      </c>
      <c r="E18" s="11" t="s">
        <v>256</v>
      </c>
      <c r="F18" s="845" t="s">
        <v>6</v>
      </c>
      <c r="G18" s="845"/>
      <c r="H18" s="846"/>
      <c r="I18" s="847"/>
      <c r="L18" s="8"/>
    </row>
    <row r="19" spans="1:13" x14ac:dyDescent="0.25">
      <c r="A19" s="842" t="s">
        <v>5</v>
      </c>
      <c r="B19" s="843"/>
      <c r="C19" s="844"/>
      <c r="D19" s="29">
        <f>D16</f>
        <v>20800</v>
      </c>
      <c r="E19" s="11" t="s">
        <v>2</v>
      </c>
      <c r="F19" s="918" t="s">
        <v>4</v>
      </c>
      <c r="G19" s="919"/>
      <c r="H19" s="846"/>
      <c r="I19" s="847"/>
      <c r="L19" s="8"/>
      <c r="M19" s="4"/>
    </row>
    <row r="20" spans="1:13" ht="14.25" thickBot="1" x14ac:dyDescent="0.3">
      <c r="A20" s="853" t="s">
        <v>3</v>
      </c>
      <c r="B20" s="854"/>
      <c r="C20" s="855"/>
      <c r="D20" s="407">
        <f>SUM(E9:E12)-D16</f>
        <v>281</v>
      </c>
      <c r="E20" s="361" t="s">
        <v>2</v>
      </c>
      <c r="F20" s="856"/>
      <c r="G20" s="856"/>
      <c r="H20" s="897"/>
      <c r="I20" s="898"/>
      <c r="L20" s="8"/>
    </row>
    <row r="21" spans="1:13" ht="14.25" thickBot="1" x14ac:dyDescent="0.3">
      <c r="A21" s="915" t="s">
        <v>1</v>
      </c>
      <c r="B21" s="916"/>
      <c r="C21" s="916"/>
      <c r="D21" s="916"/>
      <c r="E21" s="916"/>
      <c r="F21" s="916"/>
      <c r="G21" s="916"/>
      <c r="H21" s="916"/>
      <c r="I21" s="917"/>
    </row>
    <row r="22" spans="1:13" ht="16.5" customHeight="1" x14ac:dyDescent="0.25">
      <c r="A22" s="920" t="s">
        <v>296</v>
      </c>
      <c r="B22" s="921"/>
      <c r="C22" s="921"/>
      <c r="D22" s="921"/>
      <c r="E22" s="921"/>
      <c r="F22" s="921"/>
      <c r="G22" s="921"/>
      <c r="H22" s="921"/>
      <c r="I22" s="922"/>
    </row>
    <row r="23" spans="1:13" ht="16.5" customHeight="1" x14ac:dyDescent="0.25">
      <c r="A23" s="920" t="s">
        <v>297</v>
      </c>
      <c r="B23" s="921"/>
      <c r="C23" s="921"/>
      <c r="D23" s="921"/>
      <c r="E23" s="921"/>
      <c r="F23" s="921"/>
      <c r="G23" s="921"/>
      <c r="H23" s="921"/>
      <c r="I23" s="922"/>
    </row>
    <row r="24" spans="1:13" ht="14.25" thickBot="1" x14ac:dyDescent="0.3">
      <c r="A24" s="876"/>
      <c r="B24" s="877"/>
      <c r="C24" s="878"/>
      <c r="D24" s="878"/>
      <c r="E24" s="878"/>
      <c r="F24" s="878"/>
      <c r="G24" s="878"/>
      <c r="H24" s="878"/>
      <c r="I24" s="879"/>
    </row>
    <row r="25" spans="1:13" ht="14.25" thickBot="1" x14ac:dyDescent="0.3">
      <c r="A25" s="915" t="s">
        <v>163</v>
      </c>
      <c r="B25" s="916"/>
      <c r="C25" s="916"/>
      <c r="D25" s="916"/>
      <c r="E25" s="916"/>
      <c r="F25" s="916"/>
      <c r="G25" s="916"/>
      <c r="H25" s="916"/>
      <c r="I25" s="917"/>
    </row>
    <row r="26" spans="1:13" x14ac:dyDescent="0.25">
      <c r="A26" s="362" t="s">
        <v>309</v>
      </c>
      <c r="B26" s="362"/>
      <c r="C26" s="362"/>
    </row>
    <row r="27" spans="1:13" x14ac:dyDescent="0.25">
      <c r="A27" s="5" t="s">
        <v>310</v>
      </c>
    </row>
    <row r="28" spans="1:13" x14ac:dyDescent="0.25">
      <c r="A28" s="5" t="s">
        <v>300</v>
      </c>
    </row>
  </sheetData>
  <mergeCells count="37">
    <mergeCell ref="A24:I24"/>
    <mergeCell ref="A25:I25"/>
    <mergeCell ref="A20:C20"/>
    <mergeCell ref="F20:G20"/>
    <mergeCell ref="H20:I20"/>
    <mergeCell ref="A21:I21"/>
    <mergeCell ref="A22:I22"/>
    <mergeCell ref="A23:I23"/>
    <mergeCell ref="A18:C18"/>
    <mergeCell ref="F18:G18"/>
    <mergeCell ref="H18:I18"/>
    <mergeCell ref="A19:C19"/>
    <mergeCell ref="F19:G19"/>
    <mergeCell ref="H19:I19"/>
    <mergeCell ref="A16:C16"/>
    <mergeCell ref="F16:G16"/>
    <mergeCell ref="H16:I16"/>
    <mergeCell ref="A17:C17"/>
    <mergeCell ref="F17:G17"/>
    <mergeCell ref="H17:I1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D972-6DEF-48BA-A929-D0CDC085B8AD}">
  <dimension ref="A1:M27"/>
  <sheetViews>
    <sheetView workbookViewId="0">
      <selection sqref="A1:XFD1048576"/>
    </sheetView>
  </sheetViews>
  <sheetFormatPr baseColWidth="10" defaultColWidth="11.28515625" defaultRowHeight="13.5" x14ac:dyDescent="0.25"/>
  <cols>
    <col min="1" max="1" width="16.28515625" style="5" customWidth="1"/>
    <col min="2" max="2" width="11.7109375" style="5" customWidth="1"/>
    <col min="3" max="3" width="46.5703125" style="5" customWidth="1"/>
    <col min="4" max="7" width="11.28515625" style="5"/>
    <col min="8" max="9" width="16.7109375" style="5" customWidth="1"/>
    <col min="10" max="256" width="11.28515625" style="5"/>
    <col min="257" max="257" width="16.28515625" style="5" customWidth="1"/>
    <col min="258" max="258" width="11.7109375" style="5" customWidth="1"/>
    <col min="259" max="259" width="46.5703125" style="5" customWidth="1"/>
    <col min="260" max="263" width="11.28515625" style="5"/>
    <col min="264" max="265" width="16.7109375" style="5" customWidth="1"/>
    <col min="266" max="512" width="11.28515625" style="5"/>
    <col min="513" max="513" width="16.28515625" style="5" customWidth="1"/>
    <col min="514" max="514" width="11.7109375" style="5" customWidth="1"/>
    <col min="515" max="515" width="46.5703125" style="5" customWidth="1"/>
    <col min="516" max="519" width="11.28515625" style="5"/>
    <col min="520" max="521" width="16.7109375" style="5" customWidth="1"/>
    <col min="522" max="768" width="11.28515625" style="5"/>
    <col min="769" max="769" width="16.28515625" style="5" customWidth="1"/>
    <col min="770" max="770" width="11.7109375" style="5" customWidth="1"/>
    <col min="771" max="771" width="46.5703125" style="5" customWidth="1"/>
    <col min="772" max="775" width="11.28515625" style="5"/>
    <col min="776" max="777" width="16.7109375" style="5" customWidth="1"/>
    <col min="778" max="1024" width="11.28515625" style="5"/>
    <col min="1025" max="1025" width="16.28515625" style="5" customWidth="1"/>
    <col min="1026" max="1026" width="11.7109375" style="5" customWidth="1"/>
    <col min="1027" max="1027" width="46.5703125" style="5" customWidth="1"/>
    <col min="1028" max="1031" width="11.28515625" style="5"/>
    <col min="1032" max="1033" width="16.7109375" style="5" customWidth="1"/>
    <col min="1034" max="1280" width="11.28515625" style="5"/>
    <col min="1281" max="1281" width="16.28515625" style="5" customWidth="1"/>
    <col min="1282" max="1282" width="11.7109375" style="5" customWidth="1"/>
    <col min="1283" max="1283" width="46.5703125" style="5" customWidth="1"/>
    <col min="1284" max="1287" width="11.28515625" style="5"/>
    <col min="1288" max="1289" width="16.7109375" style="5" customWidth="1"/>
    <col min="1290" max="1536" width="11.28515625" style="5"/>
    <col min="1537" max="1537" width="16.28515625" style="5" customWidth="1"/>
    <col min="1538" max="1538" width="11.7109375" style="5" customWidth="1"/>
    <col min="1539" max="1539" width="46.5703125" style="5" customWidth="1"/>
    <col min="1540" max="1543" width="11.28515625" style="5"/>
    <col min="1544" max="1545" width="16.7109375" style="5" customWidth="1"/>
    <col min="1546" max="1792" width="11.28515625" style="5"/>
    <col min="1793" max="1793" width="16.28515625" style="5" customWidth="1"/>
    <col min="1794" max="1794" width="11.7109375" style="5" customWidth="1"/>
    <col min="1795" max="1795" width="46.5703125" style="5" customWidth="1"/>
    <col min="1796" max="1799" width="11.28515625" style="5"/>
    <col min="1800" max="1801" width="16.7109375" style="5" customWidth="1"/>
    <col min="1802" max="2048" width="11.28515625" style="5"/>
    <col min="2049" max="2049" width="16.28515625" style="5" customWidth="1"/>
    <col min="2050" max="2050" width="11.7109375" style="5" customWidth="1"/>
    <col min="2051" max="2051" width="46.5703125" style="5" customWidth="1"/>
    <col min="2052" max="2055" width="11.28515625" style="5"/>
    <col min="2056" max="2057" width="16.7109375" style="5" customWidth="1"/>
    <col min="2058" max="2304" width="11.28515625" style="5"/>
    <col min="2305" max="2305" width="16.28515625" style="5" customWidth="1"/>
    <col min="2306" max="2306" width="11.7109375" style="5" customWidth="1"/>
    <col min="2307" max="2307" width="46.5703125" style="5" customWidth="1"/>
    <col min="2308" max="2311" width="11.28515625" style="5"/>
    <col min="2312" max="2313" width="16.7109375" style="5" customWidth="1"/>
    <col min="2314" max="2560" width="11.28515625" style="5"/>
    <col min="2561" max="2561" width="16.28515625" style="5" customWidth="1"/>
    <col min="2562" max="2562" width="11.7109375" style="5" customWidth="1"/>
    <col min="2563" max="2563" width="46.5703125" style="5" customWidth="1"/>
    <col min="2564" max="2567" width="11.28515625" style="5"/>
    <col min="2568" max="2569" width="16.7109375" style="5" customWidth="1"/>
    <col min="2570" max="2816" width="11.28515625" style="5"/>
    <col min="2817" max="2817" width="16.28515625" style="5" customWidth="1"/>
    <col min="2818" max="2818" width="11.7109375" style="5" customWidth="1"/>
    <col min="2819" max="2819" width="46.5703125" style="5" customWidth="1"/>
    <col min="2820" max="2823" width="11.28515625" style="5"/>
    <col min="2824" max="2825" width="16.7109375" style="5" customWidth="1"/>
    <col min="2826" max="3072" width="11.28515625" style="5"/>
    <col min="3073" max="3073" width="16.28515625" style="5" customWidth="1"/>
    <col min="3074" max="3074" width="11.7109375" style="5" customWidth="1"/>
    <col min="3075" max="3075" width="46.5703125" style="5" customWidth="1"/>
    <col min="3076" max="3079" width="11.28515625" style="5"/>
    <col min="3080" max="3081" width="16.7109375" style="5" customWidth="1"/>
    <col min="3082" max="3328" width="11.28515625" style="5"/>
    <col min="3329" max="3329" width="16.28515625" style="5" customWidth="1"/>
    <col min="3330" max="3330" width="11.7109375" style="5" customWidth="1"/>
    <col min="3331" max="3331" width="46.5703125" style="5" customWidth="1"/>
    <col min="3332" max="3335" width="11.28515625" style="5"/>
    <col min="3336" max="3337" width="16.7109375" style="5" customWidth="1"/>
    <col min="3338" max="3584" width="11.28515625" style="5"/>
    <col min="3585" max="3585" width="16.28515625" style="5" customWidth="1"/>
    <col min="3586" max="3586" width="11.7109375" style="5" customWidth="1"/>
    <col min="3587" max="3587" width="46.5703125" style="5" customWidth="1"/>
    <col min="3588" max="3591" width="11.28515625" style="5"/>
    <col min="3592" max="3593" width="16.7109375" style="5" customWidth="1"/>
    <col min="3594" max="3840" width="11.28515625" style="5"/>
    <col min="3841" max="3841" width="16.28515625" style="5" customWidth="1"/>
    <col min="3842" max="3842" width="11.7109375" style="5" customWidth="1"/>
    <col min="3843" max="3843" width="46.5703125" style="5" customWidth="1"/>
    <col min="3844" max="3847" width="11.28515625" style="5"/>
    <col min="3848" max="3849" width="16.7109375" style="5" customWidth="1"/>
    <col min="3850" max="4096" width="11.28515625" style="5"/>
    <col min="4097" max="4097" width="16.28515625" style="5" customWidth="1"/>
    <col min="4098" max="4098" width="11.7109375" style="5" customWidth="1"/>
    <col min="4099" max="4099" width="46.5703125" style="5" customWidth="1"/>
    <col min="4100" max="4103" width="11.28515625" style="5"/>
    <col min="4104" max="4105" width="16.7109375" style="5" customWidth="1"/>
    <col min="4106" max="4352" width="11.28515625" style="5"/>
    <col min="4353" max="4353" width="16.28515625" style="5" customWidth="1"/>
    <col min="4354" max="4354" width="11.7109375" style="5" customWidth="1"/>
    <col min="4355" max="4355" width="46.5703125" style="5" customWidth="1"/>
    <col min="4356" max="4359" width="11.28515625" style="5"/>
    <col min="4360" max="4361" width="16.7109375" style="5" customWidth="1"/>
    <col min="4362" max="4608" width="11.28515625" style="5"/>
    <col min="4609" max="4609" width="16.28515625" style="5" customWidth="1"/>
    <col min="4610" max="4610" width="11.7109375" style="5" customWidth="1"/>
    <col min="4611" max="4611" width="46.5703125" style="5" customWidth="1"/>
    <col min="4612" max="4615" width="11.28515625" style="5"/>
    <col min="4616" max="4617" width="16.7109375" style="5" customWidth="1"/>
    <col min="4618" max="4864" width="11.28515625" style="5"/>
    <col min="4865" max="4865" width="16.28515625" style="5" customWidth="1"/>
    <col min="4866" max="4866" width="11.7109375" style="5" customWidth="1"/>
    <col min="4867" max="4867" width="46.5703125" style="5" customWidth="1"/>
    <col min="4868" max="4871" width="11.28515625" style="5"/>
    <col min="4872" max="4873" width="16.7109375" style="5" customWidth="1"/>
    <col min="4874" max="5120" width="11.28515625" style="5"/>
    <col min="5121" max="5121" width="16.28515625" style="5" customWidth="1"/>
    <col min="5122" max="5122" width="11.7109375" style="5" customWidth="1"/>
    <col min="5123" max="5123" width="46.5703125" style="5" customWidth="1"/>
    <col min="5124" max="5127" width="11.28515625" style="5"/>
    <col min="5128" max="5129" width="16.7109375" style="5" customWidth="1"/>
    <col min="5130" max="5376" width="11.28515625" style="5"/>
    <col min="5377" max="5377" width="16.28515625" style="5" customWidth="1"/>
    <col min="5378" max="5378" width="11.7109375" style="5" customWidth="1"/>
    <col min="5379" max="5379" width="46.5703125" style="5" customWidth="1"/>
    <col min="5380" max="5383" width="11.28515625" style="5"/>
    <col min="5384" max="5385" width="16.7109375" style="5" customWidth="1"/>
    <col min="5386" max="5632" width="11.28515625" style="5"/>
    <col min="5633" max="5633" width="16.28515625" style="5" customWidth="1"/>
    <col min="5634" max="5634" width="11.7109375" style="5" customWidth="1"/>
    <col min="5635" max="5635" width="46.5703125" style="5" customWidth="1"/>
    <col min="5636" max="5639" width="11.28515625" style="5"/>
    <col min="5640" max="5641" width="16.7109375" style="5" customWidth="1"/>
    <col min="5642" max="5888" width="11.28515625" style="5"/>
    <col min="5889" max="5889" width="16.28515625" style="5" customWidth="1"/>
    <col min="5890" max="5890" width="11.7109375" style="5" customWidth="1"/>
    <col min="5891" max="5891" width="46.5703125" style="5" customWidth="1"/>
    <col min="5892" max="5895" width="11.28515625" style="5"/>
    <col min="5896" max="5897" width="16.7109375" style="5" customWidth="1"/>
    <col min="5898" max="6144" width="11.28515625" style="5"/>
    <col min="6145" max="6145" width="16.28515625" style="5" customWidth="1"/>
    <col min="6146" max="6146" width="11.7109375" style="5" customWidth="1"/>
    <col min="6147" max="6147" width="46.5703125" style="5" customWidth="1"/>
    <col min="6148" max="6151" width="11.28515625" style="5"/>
    <col min="6152" max="6153" width="16.7109375" style="5" customWidth="1"/>
    <col min="6154" max="6400" width="11.28515625" style="5"/>
    <col min="6401" max="6401" width="16.28515625" style="5" customWidth="1"/>
    <col min="6402" max="6402" width="11.7109375" style="5" customWidth="1"/>
    <col min="6403" max="6403" width="46.5703125" style="5" customWidth="1"/>
    <col min="6404" max="6407" width="11.28515625" style="5"/>
    <col min="6408" max="6409" width="16.7109375" style="5" customWidth="1"/>
    <col min="6410" max="6656" width="11.28515625" style="5"/>
    <col min="6657" max="6657" width="16.28515625" style="5" customWidth="1"/>
    <col min="6658" max="6658" width="11.7109375" style="5" customWidth="1"/>
    <col min="6659" max="6659" width="46.5703125" style="5" customWidth="1"/>
    <col min="6660" max="6663" width="11.28515625" style="5"/>
    <col min="6664" max="6665" width="16.7109375" style="5" customWidth="1"/>
    <col min="6666" max="6912" width="11.28515625" style="5"/>
    <col min="6913" max="6913" width="16.28515625" style="5" customWidth="1"/>
    <col min="6914" max="6914" width="11.7109375" style="5" customWidth="1"/>
    <col min="6915" max="6915" width="46.5703125" style="5" customWidth="1"/>
    <col min="6916" max="6919" width="11.28515625" style="5"/>
    <col min="6920" max="6921" width="16.7109375" style="5" customWidth="1"/>
    <col min="6922" max="7168" width="11.28515625" style="5"/>
    <col min="7169" max="7169" width="16.28515625" style="5" customWidth="1"/>
    <col min="7170" max="7170" width="11.7109375" style="5" customWidth="1"/>
    <col min="7171" max="7171" width="46.5703125" style="5" customWidth="1"/>
    <col min="7172" max="7175" width="11.28515625" style="5"/>
    <col min="7176" max="7177" width="16.7109375" style="5" customWidth="1"/>
    <col min="7178" max="7424" width="11.28515625" style="5"/>
    <col min="7425" max="7425" width="16.28515625" style="5" customWidth="1"/>
    <col min="7426" max="7426" width="11.7109375" style="5" customWidth="1"/>
    <col min="7427" max="7427" width="46.5703125" style="5" customWidth="1"/>
    <col min="7428" max="7431" width="11.28515625" style="5"/>
    <col min="7432" max="7433" width="16.7109375" style="5" customWidth="1"/>
    <col min="7434" max="7680" width="11.28515625" style="5"/>
    <col min="7681" max="7681" width="16.28515625" style="5" customWidth="1"/>
    <col min="7682" max="7682" width="11.7109375" style="5" customWidth="1"/>
    <col min="7683" max="7683" width="46.5703125" style="5" customWidth="1"/>
    <col min="7684" max="7687" width="11.28515625" style="5"/>
    <col min="7688" max="7689" width="16.7109375" style="5" customWidth="1"/>
    <col min="7690" max="7936" width="11.28515625" style="5"/>
    <col min="7937" max="7937" width="16.28515625" style="5" customWidth="1"/>
    <col min="7938" max="7938" width="11.7109375" style="5" customWidth="1"/>
    <col min="7939" max="7939" width="46.5703125" style="5" customWidth="1"/>
    <col min="7940" max="7943" width="11.28515625" style="5"/>
    <col min="7944" max="7945" width="16.7109375" style="5" customWidth="1"/>
    <col min="7946" max="8192" width="11.28515625" style="5"/>
    <col min="8193" max="8193" width="16.28515625" style="5" customWidth="1"/>
    <col min="8194" max="8194" width="11.7109375" style="5" customWidth="1"/>
    <col min="8195" max="8195" width="46.5703125" style="5" customWidth="1"/>
    <col min="8196" max="8199" width="11.28515625" style="5"/>
    <col min="8200" max="8201" width="16.7109375" style="5" customWidth="1"/>
    <col min="8202" max="8448" width="11.28515625" style="5"/>
    <col min="8449" max="8449" width="16.28515625" style="5" customWidth="1"/>
    <col min="8450" max="8450" width="11.7109375" style="5" customWidth="1"/>
    <col min="8451" max="8451" width="46.5703125" style="5" customWidth="1"/>
    <col min="8452" max="8455" width="11.28515625" style="5"/>
    <col min="8456" max="8457" width="16.7109375" style="5" customWidth="1"/>
    <col min="8458" max="8704" width="11.28515625" style="5"/>
    <col min="8705" max="8705" width="16.28515625" style="5" customWidth="1"/>
    <col min="8706" max="8706" width="11.7109375" style="5" customWidth="1"/>
    <col min="8707" max="8707" width="46.5703125" style="5" customWidth="1"/>
    <col min="8708" max="8711" width="11.28515625" style="5"/>
    <col min="8712" max="8713" width="16.7109375" style="5" customWidth="1"/>
    <col min="8714" max="8960" width="11.28515625" style="5"/>
    <col min="8961" max="8961" width="16.28515625" style="5" customWidth="1"/>
    <col min="8962" max="8962" width="11.7109375" style="5" customWidth="1"/>
    <col min="8963" max="8963" width="46.5703125" style="5" customWidth="1"/>
    <col min="8964" max="8967" width="11.28515625" style="5"/>
    <col min="8968" max="8969" width="16.7109375" style="5" customWidth="1"/>
    <col min="8970" max="9216" width="11.28515625" style="5"/>
    <col min="9217" max="9217" width="16.28515625" style="5" customWidth="1"/>
    <col min="9218" max="9218" width="11.7109375" style="5" customWidth="1"/>
    <col min="9219" max="9219" width="46.5703125" style="5" customWidth="1"/>
    <col min="9220" max="9223" width="11.28515625" style="5"/>
    <col min="9224" max="9225" width="16.7109375" style="5" customWidth="1"/>
    <col min="9226" max="9472" width="11.28515625" style="5"/>
    <col min="9473" max="9473" width="16.28515625" style="5" customWidth="1"/>
    <col min="9474" max="9474" width="11.7109375" style="5" customWidth="1"/>
    <col min="9475" max="9475" width="46.5703125" style="5" customWidth="1"/>
    <col min="9476" max="9479" width="11.28515625" style="5"/>
    <col min="9480" max="9481" width="16.7109375" style="5" customWidth="1"/>
    <col min="9482" max="9728" width="11.28515625" style="5"/>
    <col min="9729" max="9729" width="16.28515625" style="5" customWidth="1"/>
    <col min="9730" max="9730" width="11.7109375" style="5" customWidth="1"/>
    <col min="9731" max="9731" width="46.5703125" style="5" customWidth="1"/>
    <col min="9732" max="9735" width="11.28515625" style="5"/>
    <col min="9736" max="9737" width="16.7109375" style="5" customWidth="1"/>
    <col min="9738" max="9984" width="11.28515625" style="5"/>
    <col min="9985" max="9985" width="16.28515625" style="5" customWidth="1"/>
    <col min="9986" max="9986" width="11.7109375" style="5" customWidth="1"/>
    <col min="9987" max="9987" width="46.5703125" style="5" customWidth="1"/>
    <col min="9988" max="9991" width="11.28515625" style="5"/>
    <col min="9992" max="9993" width="16.7109375" style="5" customWidth="1"/>
    <col min="9994" max="10240" width="11.28515625" style="5"/>
    <col min="10241" max="10241" width="16.28515625" style="5" customWidth="1"/>
    <col min="10242" max="10242" width="11.7109375" style="5" customWidth="1"/>
    <col min="10243" max="10243" width="46.5703125" style="5" customWidth="1"/>
    <col min="10244" max="10247" width="11.28515625" style="5"/>
    <col min="10248" max="10249" width="16.7109375" style="5" customWidth="1"/>
    <col min="10250" max="10496" width="11.28515625" style="5"/>
    <col min="10497" max="10497" width="16.28515625" style="5" customWidth="1"/>
    <col min="10498" max="10498" width="11.7109375" style="5" customWidth="1"/>
    <col min="10499" max="10499" width="46.5703125" style="5" customWidth="1"/>
    <col min="10500" max="10503" width="11.28515625" style="5"/>
    <col min="10504" max="10505" width="16.7109375" style="5" customWidth="1"/>
    <col min="10506" max="10752" width="11.28515625" style="5"/>
    <col min="10753" max="10753" width="16.28515625" style="5" customWidth="1"/>
    <col min="10754" max="10754" width="11.7109375" style="5" customWidth="1"/>
    <col min="10755" max="10755" width="46.5703125" style="5" customWidth="1"/>
    <col min="10756" max="10759" width="11.28515625" style="5"/>
    <col min="10760" max="10761" width="16.7109375" style="5" customWidth="1"/>
    <col min="10762" max="11008" width="11.28515625" style="5"/>
    <col min="11009" max="11009" width="16.28515625" style="5" customWidth="1"/>
    <col min="11010" max="11010" width="11.7109375" style="5" customWidth="1"/>
    <col min="11011" max="11011" width="46.5703125" style="5" customWidth="1"/>
    <col min="11012" max="11015" width="11.28515625" style="5"/>
    <col min="11016" max="11017" width="16.7109375" style="5" customWidth="1"/>
    <col min="11018" max="11264" width="11.28515625" style="5"/>
    <col min="11265" max="11265" width="16.28515625" style="5" customWidth="1"/>
    <col min="11266" max="11266" width="11.7109375" style="5" customWidth="1"/>
    <col min="11267" max="11267" width="46.5703125" style="5" customWidth="1"/>
    <col min="11268" max="11271" width="11.28515625" style="5"/>
    <col min="11272" max="11273" width="16.7109375" style="5" customWidth="1"/>
    <col min="11274" max="11520" width="11.28515625" style="5"/>
    <col min="11521" max="11521" width="16.28515625" style="5" customWidth="1"/>
    <col min="11522" max="11522" width="11.7109375" style="5" customWidth="1"/>
    <col min="11523" max="11523" width="46.5703125" style="5" customWidth="1"/>
    <col min="11524" max="11527" width="11.28515625" style="5"/>
    <col min="11528" max="11529" width="16.7109375" style="5" customWidth="1"/>
    <col min="11530" max="11776" width="11.28515625" style="5"/>
    <col min="11777" max="11777" width="16.28515625" style="5" customWidth="1"/>
    <col min="11778" max="11778" width="11.7109375" style="5" customWidth="1"/>
    <col min="11779" max="11779" width="46.5703125" style="5" customWidth="1"/>
    <col min="11780" max="11783" width="11.28515625" style="5"/>
    <col min="11784" max="11785" width="16.7109375" style="5" customWidth="1"/>
    <col min="11786" max="12032" width="11.28515625" style="5"/>
    <col min="12033" max="12033" width="16.28515625" style="5" customWidth="1"/>
    <col min="12034" max="12034" width="11.7109375" style="5" customWidth="1"/>
    <col min="12035" max="12035" width="46.5703125" style="5" customWidth="1"/>
    <col min="12036" max="12039" width="11.28515625" style="5"/>
    <col min="12040" max="12041" width="16.7109375" style="5" customWidth="1"/>
    <col min="12042" max="12288" width="11.28515625" style="5"/>
    <col min="12289" max="12289" width="16.28515625" style="5" customWidth="1"/>
    <col min="12290" max="12290" width="11.7109375" style="5" customWidth="1"/>
    <col min="12291" max="12291" width="46.5703125" style="5" customWidth="1"/>
    <col min="12292" max="12295" width="11.28515625" style="5"/>
    <col min="12296" max="12297" width="16.7109375" style="5" customWidth="1"/>
    <col min="12298" max="12544" width="11.28515625" style="5"/>
    <col min="12545" max="12545" width="16.28515625" style="5" customWidth="1"/>
    <col min="12546" max="12546" width="11.7109375" style="5" customWidth="1"/>
    <col min="12547" max="12547" width="46.5703125" style="5" customWidth="1"/>
    <col min="12548" max="12551" width="11.28515625" style="5"/>
    <col min="12552" max="12553" width="16.7109375" style="5" customWidth="1"/>
    <col min="12554" max="12800" width="11.28515625" style="5"/>
    <col min="12801" max="12801" width="16.28515625" style="5" customWidth="1"/>
    <col min="12802" max="12802" width="11.7109375" style="5" customWidth="1"/>
    <col min="12803" max="12803" width="46.5703125" style="5" customWidth="1"/>
    <col min="12804" max="12807" width="11.28515625" style="5"/>
    <col min="12808" max="12809" width="16.7109375" style="5" customWidth="1"/>
    <col min="12810" max="13056" width="11.28515625" style="5"/>
    <col min="13057" max="13057" width="16.28515625" style="5" customWidth="1"/>
    <col min="13058" max="13058" width="11.7109375" style="5" customWidth="1"/>
    <col min="13059" max="13059" width="46.5703125" style="5" customWidth="1"/>
    <col min="13060" max="13063" width="11.28515625" style="5"/>
    <col min="13064" max="13065" width="16.7109375" style="5" customWidth="1"/>
    <col min="13066" max="13312" width="11.28515625" style="5"/>
    <col min="13313" max="13313" width="16.28515625" style="5" customWidth="1"/>
    <col min="13314" max="13314" width="11.7109375" style="5" customWidth="1"/>
    <col min="13315" max="13315" width="46.5703125" style="5" customWidth="1"/>
    <col min="13316" max="13319" width="11.28515625" style="5"/>
    <col min="13320" max="13321" width="16.7109375" style="5" customWidth="1"/>
    <col min="13322" max="13568" width="11.28515625" style="5"/>
    <col min="13569" max="13569" width="16.28515625" style="5" customWidth="1"/>
    <col min="13570" max="13570" width="11.7109375" style="5" customWidth="1"/>
    <col min="13571" max="13571" width="46.5703125" style="5" customWidth="1"/>
    <col min="13572" max="13575" width="11.28515625" style="5"/>
    <col min="13576" max="13577" width="16.7109375" style="5" customWidth="1"/>
    <col min="13578" max="13824" width="11.28515625" style="5"/>
    <col min="13825" max="13825" width="16.28515625" style="5" customWidth="1"/>
    <col min="13826" max="13826" width="11.7109375" style="5" customWidth="1"/>
    <col min="13827" max="13827" width="46.5703125" style="5" customWidth="1"/>
    <col min="13828" max="13831" width="11.28515625" style="5"/>
    <col min="13832" max="13833" width="16.7109375" style="5" customWidth="1"/>
    <col min="13834" max="14080" width="11.28515625" style="5"/>
    <col min="14081" max="14081" width="16.28515625" style="5" customWidth="1"/>
    <col min="14082" max="14082" width="11.7109375" style="5" customWidth="1"/>
    <col min="14083" max="14083" width="46.5703125" style="5" customWidth="1"/>
    <col min="14084" max="14087" width="11.28515625" style="5"/>
    <col min="14088" max="14089" width="16.7109375" style="5" customWidth="1"/>
    <col min="14090" max="14336" width="11.28515625" style="5"/>
    <col min="14337" max="14337" width="16.28515625" style="5" customWidth="1"/>
    <col min="14338" max="14338" width="11.7109375" style="5" customWidth="1"/>
    <col min="14339" max="14339" width="46.5703125" style="5" customWidth="1"/>
    <col min="14340" max="14343" width="11.28515625" style="5"/>
    <col min="14344" max="14345" width="16.7109375" style="5" customWidth="1"/>
    <col min="14346" max="14592" width="11.28515625" style="5"/>
    <col min="14593" max="14593" width="16.28515625" style="5" customWidth="1"/>
    <col min="14594" max="14594" width="11.7109375" style="5" customWidth="1"/>
    <col min="14595" max="14595" width="46.5703125" style="5" customWidth="1"/>
    <col min="14596" max="14599" width="11.28515625" style="5"/>
    <col min="14600" max="14601" width="16.7109375" style="5" customWidth="1"/>
    <col min="14602" max="14848" width="11.28515625" style="5"/>
    <col min="14849" max="14849" width="16.28515625" style="5" customWidth="1"/>
    <col min="14850" max="14850" width="11.7109375" style="5" customWidth="1"/>
    <col min="14851" max="14851" width="46.5703125" style="5" customWidth="1"/>
    <col min="14852" max="14855" width="11.28515625" style="5"/>
    <col min="14856" max="14857" width="16.7109375" style="5" customWidth="1"/>
    <col min="14858" max="15104" width="11.28515625" style="5"/>
    <col min="15105" max="15105" width="16.28515625" style="5" customWidth="1"/>
    <col min="15106" max="15106" width="11.7109375" style="5" customWidth="1"/>
    <col min="15107" max="15107" width="46.5703125" style="5" customWidth="1"/>
    <col min="15108" max="15111" width="11.28515625" style="5"/>
    <col min="15112" max="15113" width="16.7109375" style="5" customWidth="1"/>
    <col min="15114" max="15360" width="11.28515625" style="5"/>
    <col min="15361" max="15361" width="16.28515625" style="5" customWidth="1"/>
    <col min="15362" max="15362" width="11.7109375" style="5" customWidth="1"/>
    <col min="15363" max="15363" width="46.5703125" style="5" customWidth="1"/>
    <col min="15364" max="15367" width="11.28515625" style="5"/>
    <col min="15368" max="15369" width="16.7109375" style="5" customWidth="1"/>
    <col min="15370" max="15616" width="11.28515625" style="5"/>
    <col min="15617" max="15617" width="16.28515625" style="5" customWidth="1"/>
    <col min="15618" max="15618" width="11.7109375" style="5" customWidth="1"/>
    <col min="15619" max="15619" width="46.5703125" style="5" customWidth="1"/>
    <col min="15620" max="15623" width="11.28515625" style="5"/>
    <col min="15624" max="15625" width="16.7109375" style="5" customWidth="1"/>
    <col min="15626" max="15872" width="11.28515625" style="5"/>
    <col min="15873" max="15873" width="16.28515625" style="5" customWidth="1"/>
    <col min="15874" max="15874" width="11.7109375" style="5" customWidth="1"/>
    <col min="15875" max="15875" width="46.5703125" style="5" customWidth="1"/>
    <col min="15876" max="15879" width="11.28515625" style="5"/>
    <col min="15880" max="15881" width="16.7109375" style="5" customWidth="1"/>
    <col min="15882" max="16128" width="11.28515625" style="5"/>
    <col min="16129" max="16129" width="16.28515625" style="5" customWidth="1"/>
    <col min="16130" max="16130" width="11.7109375" style="5" customWidth="1"/>
    <col min="16131" max="16131" width="46.5703125" style="5" customWidth="1"/>
    <col min="16132" max="16135" width="11.28515625" style="5"/>
    <col min="16136" max="16137" width="16.7109375" style="5" customWidth="1"/>
    <col min="16138" max="16384" width="11.28515625" style="5"/>
  </cols>
  <sheetData>
    <row r="1" spans="1:12" ht="15.75" x14ac:dyDescent="0.25">
      <c r="A1" s="668"/>
      <c r="B1" s="669"/>
      <c r="C1" s="674" t="s">
        <v>35</v>
      </c>
      <c r="D1" s="674"/>
      <c r="E1" s="674"/>
      <c r="F1" s="674"/>
      <c r="G1" s="674"/>
      <c r="H1" s="205" t="s">
        <v>34</v>
      </c>
      <c r="I1" s="206" t="s">
        <v>228</v>
      </c>
    </row>
    <row r="2" spans="1:12" ht="16.5" thickBot="1" x14ac:dyDescent="0.3">
      <c r="A2" s="670"/>
      <c r="B2" s="671"/>
      <c r="C2" s="675" t="s">
        <v>33</v>
      </c>
      <c r="D2" s="675"/>
      <c r="E2" s="675"/>
      <c r="F2" s="675"/>
      <c r="G2" s="675"/>
      <c r="H2" s="207" t="s">
        <v>32</v>
      </c>
      <c r="I2" s="208" t="s">
        <v>229</v>
      </c>
    </row>
    <row r="3" spans="1:12" ht="18.75" thickBot="1" x14ac:dyDescent="0.3">
      <c r="A3" s="670"/>
      <c r="B3" s="671"/>
      <c r="C3" s="818" t="s">
        <v>230</v>
      </c>
      <c r="D3" s="819"/>
      <c r="E3" s="819"/>
      <c r="F3" s="819"/>
      <c r="G3" s="820"/>
      <c r="H3" s="653" t="s">
        <v>31</v>
      </c>
      <c r="I3" s="643">
        <v>44096</v>
      </c>
    </row>
    <row r="4" spans="1:12" x14ac:dyDescent="0.25">
      <c r="A4" s="670"/>
      <c r="B4" s="671"/>
      <c r="C4" s="209" t="s">
        <v>30</v>
      </c>
      <c r="D4" s="811" t="s">
        <v>172</v>
      </c>
      <c r="E4" s="812"/>
      <c r="F4" s="812"/>
      <c r="G4" s="813"/>
      <c r="H4" s="654"/>
      <c r="I4" s="644"/>
    </row>
    <row r="5" spans="1:12" ht="14.25" thickBot="1" x14ac:dyDescent="0.3">
      <c r="A5" s="672"/>
      <c r="B5" s="673"/>
      <c r="C5" s="333" t="s">
        <v>29</v>
      </c>
      <c r="D5" s="958" t="s">
        <v>231</v>
      </c>
      <c r="E5" s="959"/>
      <c r="F5" s="959"/>
      <c r="G5" s="960"/>
      <c r="H5" s="654"/>
      <c r="I5" s="644"/>
    </row>
    <row r="6" spans="1:12" s="276" customFormat="1" ht="18.75" thickBot="1" x14ac:dyDescent="0.3">
      <c r="A6" s="991" t="s">
        <v>27</v>
      </c>
      <c r="B6" s="992"/>
      <c r="C6" s="992"/>
      <c r="D6" s="993" t="s">
        <v>232</v>
      </c>
      <c r="E6" s="993"/>
      <c r="F6" s="993"/>
      <c r="G6" s="994" t="s">
        <v>25</v>
      </c>
      <c r="H6" s="994"/>
      <c r="I6" s="334" t="s">
        <v>232</v>
      </c>
    </row>
    <row r="7" spans="1:12" ht="25.5" x14ac:dyDescent="0.25">
      <c r="A7" s="923" t="s">
        <v>23</v>
      </c>
      <c r="B7" s="664" t="s">
        <v>36</v>
      </c>
      <c r="C7" s="666" t="s">
        <v>22</v>
      </c>
      <c r="D7" s="666" t="s">
        <v>21</v>
      </c>
      <c r="E7" s="666" t="s">
        <v>20</v>
      </c>
      <c r="F7" s="666"/>
      <c r="G7" s="666" t="s">
        <v>19</v>
      </c>
      <c r="H7" s="666"/>
      <c r="I7" s="335" t="s">
        <v>18</v>
      </c>
    </row>
    <row r="8" spans="1:12" ht="27" thickBot="1" x14ac:dyDescent="0.3">
      <c r="A8" s="663"/>
      <c r="B8" s="950"/>
      <c r="C8" s="677"/>
      <c r="D8" s="911"/>
      <c r="E8" s="336" t="s">
        <v>15</v>
      </c>
      <c r="F8" s="337" t="s">
        <v>17</v>
      </c>
      <c r="G8" s="336" t="s">
        <v>15</v>
      </c>
      <c r="H8" s="337" t="s">
        <v>17</v>
      </c>
      <c r="I8" s="338" t="s">
        <v>16</v>
      </c>
    </row>
    <row r="9" spans="1:12" ht="15.75" x14ac:dyDescent="0.25">
      <c r="A9" s="231">
        <v>11400029</v>
      </c>
      <c r="B9" s="231" t="s">
        <v>233</v>
      </c>
      <c r="C9" s="232" t="s">
        <v>234</v>
      </c>
      <c r="D9" s="339" t="s">
        <v>235</v>
      </c>
      <c r="E9" s="340">
        <v>16000</v>
      </c>
      <c r="F9" s="341" t="s">
        <v>2</v>
      </c>
      <c r="G9" s="342" t="s">
        <v>236</v>
      </c>
      <c r="H9" s="343"/>
      <c r="I9" s="344"/>
    </row>
    <row r="10" spans="1:12" ht="15.75" x14ac:dyDescent="0.25">
      <c r="A10" s="231">
        <v>11400031</v>
      </c>
      <c r="B10" s="231" t="s">
        <v>237</v>
      </c>
      <c r="C10" s="232" t="s">
        <v>238</v>
      </c>
      <c r="D10" s="339" t="s">
        <v>235</v>
      </c>
      <c r="E10" s="340">
        <v>8000</v>
      </c>
      <c r="F10" s="341" t="s">
        <v>2</v>
      </c>
      <c r="G10" s="342" t="s">
        <v>239</v>
      </c>
      <c r="H10" s="343"/>
      <c r="I10" s="344"/>
    </row>
    <row r="11" spans="1:12" ht="15.75" x14ac:dyDescent="0.25">
      <c r="A11" s="222" t="s">
        <v>181</v>
      </c>
      <c r="B11" s="222"/>
      <c r="C11" s="223" t="s">
        <v>182</v>
      </c>
      <c r="D11" s="339" t="s">
        <v>240</v>
      </c>
      <c r="E11" s="340">
        <v>1000</v>
      </c>
      <c r="F11" s="341" t="s">
        <v>2</v>
      </c>
      <c r="G11" s="342"/>
      <c r="H11" s="343"/>
      <c r="I11" s="25"/>
    </row>
    <row r="12" spans="1:12" ht="15.75" x14ac:dyDescent="0.25">
      <c r="A12" s="231">
        <v>1212410</v>
      </c>
      <c r="B12" s="231" t="s">
        <v>210</v>
      </c>
      <c r="C12" s="232" t="s">
        <v>211</v>
      </c>
      <c r="D12" s="339" t="s">
        <v>241</v>
      </c>
      <c r="E12" s="345">
        <v>22</v>
      </c>
      <c r="F12" s="341" t="s">
        <v>2</v>
      </c>
      <c r="G12" s="29"/>
      <c r="H12" s="11"/>
      <c r="I12" s="25"/>
    </row>
    <row r="13" spans="1:12" ht="15" x14ac:dyDescent="0.25">
      <c r="A13" s="231">
        <v>702123</v>
      </c>
      <c r="B13" s="231" t="s">
        <v>68</v>
      </c>
      <c r="C13" s="232" t="s">
        <v>155</v>
      </c>
      <c r="D13" s="346"/>
      <c r="E13" s="28">
        <v>1</v>
      </c>
      <c r="F13" s="28" t="s">
        <v>7</v>
      </c>
      <c r="G13" s="28"/>
      <c r="H13" s="28"/>
      <c r="I13" s="25"/>
    </row>
    <row r="14" spans="1:12" ht="14.25" thickBot="1" x14ac:dyDescent="0.3">
      <c r="A14" s="347"/>
      <c r="B14" s="348"/>
      <c r="E14" s="349"/>
      <c r="F14" s="350"/>
      <c r="I14" s="351"/>
      <c r="L14" s="8"/>
    </row>
    <row r="15" spans="1:12" ht="14.25" thickBot="1" x14ac:dyDescent="0.3">
      <c r="A15" s="352"/>
      <c r="B15" s="353"/>
      <c r="C15" s="354"/>
      <c r="D15" s="355" t="s">
        <v>15</v>
      </c>
      <c r="E15" s="356" t="s">
        <v>14</v>
      </c>
      <c r="F15" s="357"/>
      <c r="G15" s="354"/>
      <c r="H15" s="354"/>
      <c r="I15" s="358"/>
      <c r="L15" s="8"/>
    </row>
    <row r="16" spans="1:12" x14ac:dyDescent="0.25">
      <c r="A16" s="903" t="s">
        <v>13</v>
      </c>
      <c r="B16" s="904"/>
      <c r="C16" s="905"/>
      <c r="D16" s="342">
        <v>24500</v>
      </c>
      <c r="E16" s="359" t="s">
        <v>2</v>
      </c>
      <c r="F16" s="906" t="s">
        <v>12</v>
      </c>
      <c r="G16" s="906"/>
      <c r="H16" s="907"/>
      <c r="I16" s="908"/>
      <c r="L16" s="8"/>
    </row>
    <row r="17" spans="1:13" x14ac:dyDescent="0.25">
      <c r="A17" s="842" t="s">
        <v>11</v>
      </c>
      <c r="B17" s="843"/>
      <c r="C17" s="844"/>
      <c r="D17" s="11">
        <v>5</v>
      </c>
      <c r="E17" s="11" t="s">
        <v>10</v>
      </c>
      <c r="F17" s="845" t="s">
        <v>9</v>
      </c>
      <c r="G17" s="845"/>
      <c r="H17" s="846"/>
      <c r="I17" s="847"/>
      <c r="L17" s="8"/>
    </row>
    <row r="18" spans="1:13" x14ac:dyDescent="0.25">
      <c r="A18" s="842" t="s">
        <v>8</v>
      </c>
      <c r="B18" s="843"/>
      <c r="C18" s="844"/>
      <c r="D18" s="11">
        <v>1</v>
      </c>
      <c r="E18" s="11" t="s">
        <v>7</v>
      </c>
      <c r="F18" s="845" t="s">
        <v>6</v>
      </c>
      <c r="G18" s="845"/>
      <c r="H18" s="846"/>
      <c r="I18" s="847"/>
      <c r="L18" s="8"/>
    </row>
    <row r="19" spans="1:13" x14ac:dyDescent="0.25">
      <c r="A19" s="842" t="s">
        <v>5</v>
      </c>
      <c r="B19" s="843"/>
      <c r="C19" s="844"/>
      <c r="D19" s="29">
        <f>D16</f>
        <v>24500</v>
      </c>
      <c r="E19" s="11" t="s">
        <v>2</v>
      </c>
      <c r="F19" s="918" t="s">
        <v>4</v>
      </c>
      <c r="G19" s="919"/>
      <c r="H19" s="846"/>
      <c r="I19" s="847"/>
      <c r="L19" s="8"/>
      <c r="M19" s="360"/>
    </row>
    <row r="20" spans="1:13" ht="14.25" thickBot="1" x14ac:dyDescent="0.3">
      <c r="A20" s="853" t="s">
        <v>3</v>
      </c>
      <c r="B20" s="854"/>
      <c r="C20" s="855"/>
      <c r="D20" s="361">
        <v>500</v>
      </c>
      <c r="E20" s="361" t="s">
        <v>2</v>
      </c>
      <c r="F20" s="856"/>
      <c r="G20" s="856"/>
      <c r="H20" s="897"/>
      <c r="I20" s="898"/>
      <c r="L20" s="8"/>
    </row>
    <row r="21" spans="1:13" ht="14.25" thickBot="1" x14ac:dyDescent="0.3">
      <c r="A21" s="915" t="s">
        <v>1</v>
      </c>
      <c r="B21" s="916"/>
      <c r="C21" s="916"/>
      <c r="D21" s="916"/>
      <c r="E21" s="916"/>
      <c r="F21" s="916"/>
      <c r="G21" s="916"/>
      <c r="H21" s="916"/>
      <c r="I21" s="917"/>
    </row>
    <row r="22" spans="1:13" x14ac:dyDescent="0.25">
      <c r="A22" s="954" t="s">
        <v>242</v>
      </c>
      <c r="B22" s="955"/>
      <c r="C22" s="956"/>
      <c r="D22" s="956"/>
      <c r="E22" s="956"/>
      <c r="F22" s="956"/>
      <c r="G22" s="956"/>
      <c r="H22" s="956"/>
      <c r="I22" s="957"/>
    </row>
    <row r="23" spans="1:13" x14ac:dyDescent="0.25">
      <c r="A23" s="954" t="s">
        <v>243</v>
      </c>
      <c r="B23" s="955"/>
      <c r="C23" s="956"/>
      <c r="D23" s="956"/>
      <c r="E23" s="956"/>
      <c r="F23" s="956"/>
      <c r="G23" s="956"/>
      <c r="H23" s="956"/>
      <c r="I23" s="957"/>
    </row>
    <row r="24" spans="1:13" x14ac:dyDescent="0.25">
      <c r="A24" s="951"/>
      <c r="B24" s="952"/>
      <c r="C24" s="952"/>
      <c r="D24" s="952"/>
      <c r="E24" s="952"/>
      <c r="F24" s="952"/>
      <c r="G24" s="952"/>
      <c r="H24" s="952"/>
      <c r="I24" s="953"/>
    </row>
    <row r="25" spans="1:13" ht="14.25" thickBot="1" x14ac:dyDescent="0.3">
      <c r="A25" s="876"/>
      <c r="B25" s="877"/>
      <c r="C25" s="878"/>
      <c r="D25" s="878"/>
      <c r="E25" s="878"/>
      <c r="F25" s="878"/>
      <c r="G25" s="878"/>
      <c r="H25" s="878"/>
      <c r="I25" s="879"/>
    </row>
    <row r="26" spans="1:13" ht="14.25" thickBot="1" x14ac:dyDescent="0.3">
      <c r="A26" s="915" t="s">
        <v>163</v>
      </c>
      <c r="B26" s="916"/>
      <c r="C26" s="916"/>
      <c r="D26" s="916"/>
      <c r="E26" s="916"/>
      <c r="F26" s="916"/>
      <c r="G26" s="916"/>
      <c r="H26" s="916"/>
      <c r="I26" s="917"/>
    </row>
    <row r="27" spans="1:13" x14ac:dyDescent="0.25">
      <c r="A27" s="362" t="s">
        <v>244</v>
      </c>
      <c r="B27" s="362"/>
      <c r="C27" s="362"/>
    </row>
  </sheetData>
  <mergeCells count="38">
    <mergeCell ref="A24:I24"/>
    <mergeCell ref="A25:I25"/>
    <mergeCell ref="A26:I26"/>
    <mergeCell ref="A20:C20"/>
    <mergeCell ref="F20:G20"/>
    <mergeCell ref="H20:I20"/>
    <mergeCell ref="A21:I21"/>
    <mergeCell ref="A22:I22"/>
    <mergeCell ref="A23:I23"/>
    <mergeCell ref="A18:C18"/>
    <mergeCell ref="F18:G18"/>
    <mergeCell ref="H18:I18"/>
    <mergeCell ref="A19:C19"/>
    <mergeCell ref="F19:G19"/>
    <mergeCell ref="H19:I19"/>
    <mergeCell ref="A16:C16"/>
    <mergeCell ref="F16:G16"/>
    <mergeCell ref="H16:I16"/>
    <mergeCell ref="A17:C17"/>
    <mergeCell ref="F17:G17"/>
    <mergeCell ref="H17:I1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0C52-2E3E-498E-8DB0-05AA9C030090}">
  <dimension ref="A1"/>
  <sheetViews>
    <sheetView workbookViewId="0">
      <selection activeCell="H12" sqref="H12"/>
    </sheetView>
  </sheetViews>
  <sheetFormatPr baseColWidth="10"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79C8-1ABE-42E6-B6B6-2DBC0F4DB6AA}">
  <dimension ref="A1:M51"/>
  <sheetViews>
    <sheetView topLeftCell="A5" workbookViewId="0">
      <selection activeCell="B10" sqref="B10"/>
    </sheetView>
  </sheetViews>
  <sheetFormatPr baseColWidth="10" defaultColWidth="11.42578125" defaultRowHeight="15" x14ac:dyDescent="0.25"/>
  <cols>
    <col min="1" max="1" width="14.42578125" customWidth="1"/>
    <col min="2" max="2" width="13.5703125" customWidth="1"/>
    <col min="3" max="3" width="46" customWidth="1"/>
    <col min="4" max="4" width="13.7109375" customWidth="1"/>
    <col min="7" max="7" width="25.5703125" customWidth="1"/>
    <col min="8" max="8" width="18.5703125" customWidth="1"/>
    <col min="9" max="9" width="19" customWidth="1"/>
  </cols>
  <sheetData>
    <row r="1" spans="1:9" ht="16.5" x14ac:dyDescent="0.3">
      <c r="A1" s="668"/>
      <c r="B1" s="669"/>
      <c r="C1" s="674" t="s">
        <v>35</v>
      </c>
      <c r="D1" s="674"/>
      <c r="E1" s="674"/>
      <c r="F1" s="674"/>
      <c r="G1" s="674"/>
      <c r="H1" s="64" t="s">
        <v>34</v>
      </c>
      <c r="I1" s="63"/>
    </row>
    <row r="2" spans="1:9" ht="17.25" thickBot="1" x14ac:dyDescent="0.35">
      <c r="A2" s="670"/>
      <c r="B2" s="671"/>
      <c r="C2" s="675" t="s">
        <v>33</v>
      </c>
      <c r="D2" s="675"/>
      <c r="E2" s="675"/>
      <c r="F2" s="675"/>
      <c r="G2" s="675"/>
      <c r="H2" s="61" t="s">
        <v>32</v>
      </c>
      <c r="I2" s="62"/>
    </row>
    <row r="3" spans="1:9" ht="50.1" customHeight="1" x14ac:dyDescent="0.25">
      <c r="A3" s="670"/>
      <c r="B3" s="671"/>
      <c r="C3" s="861" t="s">
        <v>384</v>
      </c>
      <c r="D3" s="862"/>
      <c r="E3" s="862"/>
      <c r="F3" s="862"/>
      <c r="G3" s="863"/>
      <c r="H3" s="653" t="s">
        <v>31</v>
      </c>
      <c r="I3" s="643"/>
    </row>
    <row r="4" spans="1:9" ht="16.5" x14ac:dyDescent="0.3">
      <c r="A4" s="670"/>
      <c r="B4" s="671"/>
      <c r="C4" s="61" t="s">
        <v>30</v>
      </c>
      <c r="D4" s="646" t="s">
        <v>37</v>
      </c>
      <c r="E4" s="646"/>
      <c r="F4" s="646"/>
      <c r="G4" s="646"/>
      <c r="H4" s="654"/>
      <c r="I4" s="644"/>
    </row>
    <row r="5" spans="1:9" ht="17.25" thickBot="1" x14ac:dyDescent="0.35">
      <c r="A5" s="672"/>
      <c r="B5" s="673"/>
      <c r="C5" s="60" t="s">
        <v>29</v>
      </c>
      <c r="D5" s="647" t="s">
        <v>28</v>
      </c>
      <c r="E5" s="647"/>
      <c r="F5" s="647"/>
      <c r="G5" s="647"/>
      <c r="H5" s="655"/>
      <c r="I5" s="645"/>
    </row>
    <row r="6" spans="1:9" ht="30.75" customHeight="1" thickBot="1" x14ac:dyDescent="0.3">
      <c r="A6" s="660" t="s">
        <v>27</v>
      </c>
      <c r="B6" s="661"/>
      <c r="C6" s="661"/>
      <c r="D6" s="829" t="s">
        <v>26</v>
      </c>
      <c r="E6" s="829"/>
      <c r="F6" s="829"/>
      <c r="G6" s="649" t="s">
        <v>25</v>
      </c>
      <c r="H6" s="649"/>
      <c r="I6" s="59" t="s">
        <v>24</v>
      </c>
    </row>
    <row r="7" spans="1:9" ht="29.25" customHeight="1" x14ac:dyDescent="0.25">
      <c r="A7" s="662" t="s">
        <v>23</v>
      </c>
      <c r="B7" s="859" t="s">
        <v>36</v>
      </c>
      <c r="C7" s="676" t="s">
        <v>22</v>
      </c>
      <c r="D7" s="676" t="s">
        <v>21</v>
      </c>
      <c r="E7" s="676" t="s">
        <v>20</v>
      </c>
      <c r="F7" s="676"/>
      <c r="G7" s="676" t="s">
        <v>19</v>
      </c>
      <c r="H7" s="676"/>
      <c r="I7" s="58" t="s">
        <v>18</v>
      </c>
    </row>
    <row r="8" spans="1:9" ht="26.25" thickBot="1" x14ac:dyDescent="0.3">
      <c r="A8" s="663"/>
      <c r="B8" s="860"/>
      <c r="C8" s="677"/>
      <c r="D8" s="677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69" t="s">
        <v>143</v>
      </c>
      <c r="B9" s="69" t="s">
        <v>386</v>
      </c>
      <c r="C9" s="268" t="s">
        <v>144</v>
      </c>
      <c r="D9" s="54" t="s">
        <v>43</v>
      </c>
      <c r="E9" s="13">
        <v>410</v>
      </c>
      <c r="F9" s="53" t="s">
        <v>2</v>
      </c>
      <c r="G9" s="72" t="s">
        <v>44</v>
      </c>
      <c r="H9" s="52"/>
      <c r="I9" s="51"/>
    </row>
    <row r="10" spans="1:9" x14ac:dyDescent="0.25">
      <c r="A10" s="70">
        <v>96344</v>
      </c>
      <c r="B10" s="71" t="s">
        <v>41</v>
      </c>
      <c r="C10" s="269" t="s">
        <v>42</v>
      </c>
      <c r="D10" s="41" t="s">
        <v>43</v>
      </c>
      <c r="E10" s="35">
        <v>60</v>
      </c>
      <c r="F10" s="50" t="s">
        <v>2</v>
      </c>
      <c r="G10" s="35" t="s">
        <v>45</v>
      </c>
      <c r="H10" s="48"/>
      <c r="I10" s="47"/>
    </row>
    <row r="11" spans="1:9" x14ac:dyDescent="0.25">
      <c r="A11" s="43"/>
      <c r="B11" s="65"/>
      <c r="C11" s="42"/>
      <c r="D11" s="41"/>
      <c r="E11" s="46"/>
      <c r="F11" s="45"/>
      <c r="G11" s="49"/>
      <c r="H11" s="48"/>
      <c r="I11" s="47"/>
    </row>
    <row r="12" spans="1:9" x14ac:dyDescent="0.25">
      <c r="A12" s="43"/>
      <c r="B12" s="65"/>
      <c r="C12" s="73" t="s">
        <v>46</v>
      </c>
      <c r="D12" s="41"/>
      <c r="E12" s="46"/>
      <c r="F12" s="45"/>
      <c r="G12" s="49"/>
      <c r="H12" s="48"/>
      <c r="I12" s="47"/>
    </row>
    <row r="13" spans="1:9" x14ac:dyDescent="0.25">
      <c r="A13" s="74">
        <v>95717</v>
      </c>
      <c r="B13" s="69" t="s">
        <v>47</v>
      </c>
      <c r="C13" s="270" t="s">
        <v>48</v>
      </c>
      <c r="D13" s="41" t="s">
        <v>43</v>
      </c>
      <c r="E13" s="46">
        <v>120</v>
      </c>
      <c r="F13" s="45" t="s">
        <v>2</v>
      </c>
      <c r="G13" s="35"/>
      <c r="H13" s="48"/>
      <c r="I13" s="47"/>
    </row>
    <row r="14" spans="1:9" x14ac:dyDescent="0.25">
      <c r="A14" s="200">
        <v>905000060</v>
      </c>
      <c r="B14" s="69" t="s">
        <v>168</v>
      </c>
      <c r="C14" s="271" t="s">
        <v>51</v>
      </c>
      <c r="D14" s="201" t="s">
        <v>43</v>
      </c>
      <c r="E14" s="202">
        <v>60</v>
      </c>
      <c r="F14" s="45" t="s">
        <v>2</v>
      </c>
      <c r="G14" s="35"/>
      <c r="H14" s="48"/>
      <c r="I14" s="47"/>
    </row>
    <row r="15" spans="1:9" x14ac:dyDescent="0.25">
      <c r="A15" s="203">
        <v>905000063</v>
      </c>
      <c r="B15" s="203" t="s">
        <v>52</v>
      </c>
      <c r="C15" s="272" t="s">
        <v>53</v>
      </c>
      <c r="D15" s="41" t="s">
        <v>43</v>
      </c>
      <c r="E15" s="202">
        <v>40</v>
      </c>
      <c r="F15" s="45" t="s">
        <v>2</v>
      </c>
      <c r="G15" s="35"/>
      <c r="H15" s="48"/>
      <c r="I15" s="47"/>
    </row>
    <row r="16" spans="1:9" ht="13.5" customHeight="1" x14ac:dyDescent="0.25">
      <c r="A16" s="204">
        <v>905000101</v>
      </c>
      <c r="B16" s="204" t="s">
        <v>49</v>
      </c>
      <c r="C16" s="273" t="s">
        <v>50</v>
      </c>
      <c r="D16" s="41" t="s">
        <v>43</v>
      </c>
      <c r="E16" s="46">
        <v>30</v>
      </c>
      <c r="F16" s="45" t="s">
        <v>2</v>
      </c>
      <c r="G16" s="830"/>
      <c r="H16" s="831"/>
      <c r="I16" s="44"/>
    </row>
    <row r="17" spans="1:12" ht="13.5" customHeight="1" x14ac:dyDescent="0.25">
      <c r="A17" s="200" t="s">
        <v>145</v>
      </c>
      <c r="B17" s="200" t="s">
        <v>146</v>
      </c>
      <c r="C17" t="s">
        <v>147</v>
      </c>
      <c r="D17" s="76" t="s">
        <v>43</v>
      </c>
      <c r="E17" s="46">
        <v>5</v>
      </c>
      <c r="F17" s="45" t="s">
        <v>2</v>
      </c>
      <c r="G17" s="831"/>
      <c r="H17" s="831"/>
      <c r="I17" s="44"/>
    </row>
    <row r="18" spans="1:12" ht="13.5" customHeight="1" x14ac:dyDescent="0.25">
      <c r="A18" s="43"/>
      <c r="B18" s="65"/>
      <c r="C18" s="42"/>
      <c r="D18" s="41"/>
      <c r="E18" s="46"/>
      <c r="F18" s="45"/>
      <c r="G18" s="831"/>
      <c r="H18" s="831"/>
      <c r="I18" s="44"/>
    </row>
    <row r="19" spans="1:12" x14ac:dyDescent="0.25">
      <c r="A19" s="77"/>
      <c r="B19" s="77"/>
      <c r="C19" s="78" t="s">
        <v>56</v>
      </c>
      <c r="D19" s="79"/>
      <c r="E19" s="80"/>
      <c r="F19" s="40"/>
      <c r="G19" s="899"/>
      <c r="H19" s="900"/>
      <c r="I19" s="39"/>
      <c r="L19" s="38"/>
    </row>
    <row r="20" spans="1:12" ht="13.9" customHeight="1" x14ac:dyDescent="0.25">
      <c r="A20" s="81">
        <v>121603</v>
      </c>
      <c r="B20" s="81" t="s">
        <v>57</v>
      </c>
      <c r="C20" s="82" t="s">
        <v>58</v>
      </c>
      <c r="D20" s="83" t="s">
        <v>59</v>
      </c>
      <c r="E20" s="80">
        <v>1</v>
      </c>
      <c r="F20" s="40" t="s">
        <v>7</v>
      </c>
      <c r="G20" s="857"/>
      <c r="H20" s="858"/>
      <c r="I20" s="39"/>
      <c r="L20" s="38"/>
    </row>
    <row r="21" spans="1:12" x14ac:dyDescent="0.25">
      <c r="A21" s="76">
        <v>702012</v>
      </c>
      <c r="B21" s="76" t="s">
        <v>62</v>
      </c>
      <c r="C21" s="84" t="s">
        <v>63</v>
      </c>
      <c r="D21" s="83" t="s">
        <v>64</v>
      </c>
      <c r="E21" s="80">
        <v>1</v>
      </c>
      <c r="F21" s="28" t="s">
        <v>7</v>
      </c>
      <c r="G21" s="29"/>
      <c r="H21" s="36"/>
      <c r="I21" s="34"/>
    </row>
    <row r="22" spans="1:12" x14ac:dyDescent="0.25">
      <c r="A22" s="76">
        <v>702069</v>
      </c>
      <c r="B22" s="76" t="s">
        <v>65</v>
      </c>
      <c r="C22" s="84" t="s">
        <v>66</v>
      </c>
      <c r="D22" s="83" t="s">
        <v>67</v>
      </c>
      <c r="E22" s="80">
        <v>1</v>
      </c>
      <c r="F22" s="28" t="s">
        <v>7</v>
      </c>
      <c r="G22" s="11"/>
      <c r="H22" s="26"/>
      <c r="I22" s="34"/>
    </row>
    <row r="23" spans="1:12" x14ac:dyDescent="0.25">
      <c r="A23" s="74">
        <v>702123</v>
      </c>
      <c r="B23" s="85" t="s">
        <v>68</v>
      </c>
      <c r="C23" s="84" t="s">
        <v>69</v>
      </c>
      <c r="D23" s="83" t="s">
        <v>64</v>
      </c>
      <c r="E23" s="83">
        <v>1</v>
      </c>
      <c r="F23" s="28" t="s">
        <v>7</v>
      </c>
      <c r="G23" s="11"/>
      <c r="H23" s="26"/>
      <c r="I23" s="34"/>
    </row>
    <row r="24" spans="1:12" x14ac:dyDescent="0.25">
      <c r="A24" s="74">
        <v>703020</v>
      </c>
      <c r="B24" s="81" t="s">
        <v>70</v>
      </c>
      <c r="C24" s="84" t="s">
        <v>71</v>
      </c>
      <c r="D24" s="83" t="s">
        <v>72</v>
      </c>
      <c r="E24" s="83">
        <v>60</v>
      </c>
      <c r="F24" s="28" t="s">
        <v>73</v>
      </c>
      <c r="G24" s="11"/>
      <c r="H24" s="26"/>
      <c r="I24" s="34"/>
    </row>
    <row r="25" spans="1:12" x14ac:dyDescent="0.25">
      <c r="A25" s="32"/>
      <c r="B25" s="66"/>
      <c r="C25" s="31"/>
      <c r="D25" s="30"/>
      <c r="E25" s="29"/>
      <c r="F25" s="28"/>
      <c r="G25" s="11"/>
      <c r="H25" s="26"/>
      <c r="I25" s="33"/>
    </row>
    <row r="26" spans="1:12" x14ac:dyDescent="0.25">
      <c r="A26" s="32"/>
      <c r="B26" s="66"/>
      <c r="C26" s="31"/>
      <c r="D26" s="30"/>
      <c r="E26" s="29"/>
      <c r="F26" s="28"/>
      <c r="G26" s="11"/>
      <c r="H26" s="26"/>
      <c r="I26" s="33"/>
    </row>
    <row r="27" spans="1:12" x14ac:dyDescent="0.25">
      <c r="A27" s="32"/>
      <c r="B27" s="66"/>
      <c r="C27" s="31"/>
      <c r="D27" s="30"/>
      <c r="E27" s="29"/>
      <c r="F27" s="28"/>
      <c r="G27" s="27"/>
      <c r="H27" s="26"/>
      <c r="I27" s="25"/>
    </row>
    <row r="28" spans="1:12" ht="15.75" thickBot="1" x14ac:dyDescent="0.3">
      <c r="A28" s="24"/>
      <c r="B28" s="67"/>
      <c r="C28" s="21"/>
      <c r="D28" s="21"/>
      <c r="E28" s="23"/>
      <c r="F28" s="22"/>
      <c r="G28" s="21"/>
      <c r="H28" s="21"/>
      <c r="I28" s="20"/>
      <c r="L28" s="8"/>
    </row>
    <row r="29" spans="1:12" ht="15.75" thickBot="1" x14ac:dyDescent="0.3">
      <c r="A29" s="19"/>
      <c r="B29" s="68"/>
      <c r="C29" s="15"/>
      <c r="D29" s="18" t="s">
        <v>15</v>
      </c>
      <c r="E29" s="17" t="s">
        <v>14</v>
      </c>
      <c r="F29" s="16"/>
      <c r="G29" s="15"/>
      <c r="H29" s="15"/>
      <c r="I29" s="14"/>
      <c r="L29" s="8"/>
    </row>
    <row r="30" spans="1:12" x14ac:dyDescent="0.25">
      <c r="A30" s="836" t="s">
        <v>13</v>
      </c>
      <c r="B30" s="837"/>
      <c r="C30" s="838"/>
      <c r="D30" s="13">
        <v>720</v>
      </c>
      <c r="E30" s="12" t="s">
        <v>2</v>
      </c>
      <c r="F30" s="839" t="s">
        <v>12</v>
      </c>
      <c r="G30" s="839"/>
      <c r="H30" s="840"/>
      <c r="I30" s="841"/>
      <c r="L30" s="8"/>
    </row>
    <row r="31" spans="1:12" x14ac:dyDescent="0.25">
      <c r="A31" s="842" t="s">
        <v>11</v>
      </c>
      <c r="B31" s="843"/>
      <c r="C31" s="844"/>
      <c r="D31" s="11">
        <v>8</v>
      </c>
      <c r="E31" s="11" t="s">
        <v>10</v>
      </c>
      <c r="F31" s="845" t="s">
        <v>9</v>
      </c>
      <c r="G31" s="845"/>
      <c r="H31" s="846"/>
      <c r="I31" s="847"/>
      <c r="L31" s="8"/>
    </row>
    <row r="32" spans="1:12" x14ac:dyDescent="0.25">
      <c r="A32" s="842" t="s">
        <v>8</v>
      </c>
      <c r="B32" s="843"/>
      <c r="C32" s="844"/>
      <c r="D32" s="11">
        <v>1</v>
      </c>
      <c r="E32" s="11" t="s">
        <v>7</v>
      </c>
      <c r="F32" s="845" t="s">
        <v>6</v>
      </c>
      <c r="G32" s="845"/>
      <c r="H32" s="846"/>
      <c r="I32" s="847"/>
      <c r="L32" s="8"/>
    </row>
    <row r="33" spans="1:13" x14ac:dyDescent="0.25">
      <c r="A33" s="842" t="s">
        <v>5</v>
      </c>
      <c r="B33" s="843"/>
      <c r="C33" s="844"/>
      <c r="D33" s="10">
        <v>720</v>
      </c>
      <c r="E33" s="9" t="s">
        <v>2</v>
      </c>
      <c r="F33" s="852" t="s">
        <v>4</v>
      </c>
      <c r="G33" s="852"/>
      <c r="H33" s="846"/>
      <c r="I33" s="847"/>
      <c r="L33" s="8"/>
    </row>
    <row r="34" spans="1:13" ht="15.75" thickBot="1" x14ac:dyDescent="0.3">
      <c r="A34" s="853" t="s">
        <v>3</v>
      </c>
      <c r="B34" s="854"/>
      <c r="C34" s="855"/>
      <c r="D34" s="7">
        <f>SUM(E9:E17)-D30</f>
        <v>5</v>
      </c>
      <c r="E34" s="6" t="s">
        <v>2</v>
      </c>
      <c r="F34" s="856"/>
      <c r="G34" s="856"/>
      <c r="H34" s="897"/>
      <c r="I34" s="898"/>
      <c r="J34" s="5"/>
      <c r="K34" s="5"/>
      <c r="M34" s="5"/>
    </row>
    <row r="35" spans="1:13" ht="15.75" thickBot="1" x14ac:dyDescent="0.3">
      <c r="A35" s="890" t="s">
        <v>1</v>
      </c>
      <c r="B35" s="891"/>
      <c r="C35" s="891"/>
      <c r="D35" s="891"/>
      <c r="E35" s="891"/>
      <c r="F35" s="891"/>
      <c r="G35" s="891"/>
      <c r="H35" s="891"/>
      <c r="I35" s="892"/>
    </row>
    <row r="36" spans="1:13" x14ac:dyDescent="0.25">
      <c r="A36" s="893" t="s">
        <v>74</v>
      </c>
      <c r="B36" s="894"/>
      <c r="C36" s="895"/>
      <c r="D36" s="895"/>
      <c r="E36" s="895"/>
      <c r="F36" s="895"/>
      <c r="G36" s="895"/>
      <c r="H36" s="895"/>
      <c r="I36" s="896"/>
      <c r="J36" s="1"/>
      <c r="K36" s="1"/>
      <c r="L36" s="3"/>
      <c r="M36" s="1"/>
    </row>
    <row r="37" spans="1:13" ht="27.6" customHeight="1" x14ac:dyDescent="0.25">
      <c r="A37" s="848" t="s">
        <v>75</v>
      </c>
      <c r="B37" s="849"/>
      <c r="C37" s="850"/>
      <c r="D37" s="850"/>
      <c r="E37" s="850"/>
      <c r="F37" s="850"/>
      <c r="G37" s="850"/>
      <c r="H37" s="850"/>
      <c r="I37" s="851"/>
      <c r="J37" s="1"/>
      <c r="K37" s="1"/>
      <c r="L37" s="3"/>
      <c r="M37" s="4"/>
    </row>
    <row r="38" spans="1:13" x14ac:dyDescent="0.25">
      <c r="A38" s="868" t="s">
        <v>76</v>
      </c>
      <c r="B38" s="869"/>
      <c r="C38" s="870"/>
      <c r="D38" s="870"/>
      <c r="E38" s="870"/>
      <c r="F38" s="870"/>
      <c r="G38" s="870"/>
      <c r="H38" s="870"/>
      <c r="I38" s="871"/>
      <c r="J38" s="2"/>
      <c r="K38" s="2"/>
      <c r="L38" s="3"/>
      <c r="M38" s="2"/>
    </row>
    <row r="39" spans="1:13" x14ac:dyDescent="0.25">
      <c r="A39" s="887" t="s">
        <v>77</v>
      </c>
      <c r="B39" s="888"/>
      <c r="C39" s="888"/>
      <c r="D39" s="888"/>
      <c r="E39" s="888"/>
      <c r="F39" s="888"/>
      <c r="G39" s="888"/>
      <c r="H39" s="888"/>
      <c r="I39" s="889"/>
      <c r="J39" s="2"/>
      <c r="K39" s="2"/>
      <c r="L39" s="3"/>
      <c r="M39" s="2"/>
    </row>
    <row r="40" spans="1:13" x14ac:dyDescent="0.25">
      <c r="A40" s="872"/>
      <c r="B40" s="873"/>
      <c r="C40" s="874"/>
      <c r="D40" s="874"/>
      <c r="E40" s="874"/>
      <c r="F40" s="874"/>
      <c r="G40" s="874"/>
      <c r="H40" s="874"/>
      <c r="I40" s="875"/>
      <c r="J40" s="1"/>
      <c r="K40" s="1"/>
      <c r="L40" s="1"/>
      <c r="M40" s="1"/>
    </row>
    <row r="41" spans="1:13" ht="15.75" thickBot="1" x14ac:dyDescent="0.3">
      <c r="A41" s="876"/>
      <c r="B41" s="877"/>
      <c r="C41" s="878"/>
      <c r="D41" s="878"/>
      <c r="E41" s="878"/>
      <c r="F41" s="878"/>
      <c r="G41" s="878"/>
      <c r="H41" s="878"/>
      <c r="I41" s="879"/>
      <c r="J41" s="1"/>
      <c r="K41" s="1"/>
      <c r="L41" s="1"/>
      <c r="M41" s="1"/>
    </row>
    <row r="42" spans="1:13" x14ac:dyDescent="0.25">
      <c r="A42" s="880" t="s">
        <v>0</v>
      </c>
      <c r="B42" s="881"/>
      <c r="C42" s="881"/>
      <c r="D42" s="881"/>
      <c r="E42" s="881"/>
      <c r="F42" s="881"/>
      <c r="G42" s="881"/>
      <c r="H42" s="881"/>
      <c r="I42" s="882"/>
      <c r="J42" s="1"/>
      <c r="K42" s="1"/>
      <c r="L42" s="1"/>
      <c r="M42" s="1"/>
    </row>
    <row r="43" spans="1:13" ht="15.75" thickBot="1" x14ac:dyDescent="0.3">
      <c r="A43" s="883"/>
      <c r="B43" s="884"/>
      <c r="C43" s="885"/>
      <c r="D43" s="885"/>
      <c r="E43" s="885"/>
      <c r="F43" s="885"/>
      <c r="G43" s="885"/>
      <c r="H43" s="885"/>
      <c r="I43" s="886"/>
      <c r="J43" s="1"/>
      <c r="K43" s="1"/>
      <c r="L43" s="1"/>
      <c r="M43" s="1"/>
    </row>
    <row r="44" spans="1:13" ht="15.75" thickBot="1" x14ac:dyDescent="0.3">
      <c r="A44" s="864"/>
      <c r="B44" s="865"/>
      <c r="C44" s="866"/>
      <c r="D44" s="866"/>
      <c r="E44" s="866"/>
      <c r="F44" s="866"/>
      <c r="G44" s="866"/>
      <c r="H44" s="866"/>
      <c r="I44" s="867"/>
      <c r="J44" s="1"/>
      <c r="K44" s="1"/>
      <c r="L44" s="1"/>
      <c r="M44" s="1"/>
    </row>
    <row r="45" spans="1:13" ht="15.75" thickBot="1" x14ac:dyDescent="0.3">
      <c r="A45" s="864"/>
      <c r="B45" s="865"/>
      <c r="C45" s="866"/>
      <c r="D45" s="866"/>
      <c r="E45" s="866"/>
      <c r="F45" s="866"/>
      <c r="G45" s="866"/>
      <c r="H45" s="866"/>
      <c r="I45" s="867"/>
      <c r="J45" s="1"/>
      <c r="K45" s="1"/>
      <c r="L45" s="1"/>
      <c r="M45" s="1"/>
    </row>
    <row r="46" spans="1:13" ht="15.75" thickBot="1" x14ac:dyDescent="0.3">
      <c r="A46" s="864"/>
      <c r="B46" s="865"/>
      <c r="C46" s="866"/>
      <c r="D46" s="866"/>
      <c r="E46" s="866"/>
      <c r="F46" s="866"/>
      <c r="G46" s="866"/>
      <c r="H46" s="866"/>
      <c r="I46" s="867"/>
    </row>
    <row r="47" spans="1:13" ht="15.75" thickBot="1" x14ac:dyDescent="0.3">
      <c r="A47" s="864"/>
      <c r="B47" s="865"/>
      <c r="C47" s="866"/>
      <c r="D47" s="866"/>
      <c r="E47" s="866"/>
      <c r="F47" s="866"/>
      <c r="G47" s="866"/>
      <c r="H47" s="866"/>
      <c r="I47" s="867"/>
    </row>
    <row r="48" spans="1:13" ht="15.75" thickBot="1" x14ac:dyDescent="0.3">
      <c r="A48" s="864"/>
      <c r="B48" s="865"/>
      <c r="C48" s="866"/>
      <c r="D48" s="866"/>
      <c r="E48" s="866"/>
      <c r="F48" s="866"/>
      <c r="G48" s="866"/>
      <c r="H48" s="866"/>
      <c r="I48" s="867"/>
    </row>
    <row r="49" spans="1:9" ht="15.75" thickBot="1" x14ac:dyDescent="0.3">
      <c r="A49" s="864"/>
      <c r="B49" s="865"/>
      <c r="C49" s="866"/>
      <c r="D49" s="866"/>
      <c r="E49" s="866"/>
      <c r="F49" s="866"/>
      <c r="G49" s="866"/>
      <c r="H49" s="866"/>
      <c r="I49" s="867"/>
    </row>
    <row r="50" spans="1:9" ht="15.75" thickBot="1" x14ac:dyDescent="0.3">
      <c r="A50" s="864"/>
      <c r="B50" s="865"/>
      <c r="C50" s="866"/>
      <c r="D50" s="866"/>
      <c r="E50" s="866"/>
      <c r="F50" s="866"/>
      <c r="G50" s="866"/>
      <c r="H50" s="866"/>
      <c r="I50" s="867"/>
    </row>
    <row r="51" spans="1:9" ht="15" customHeight="1" thickBot="1" x14ac:dyDescent="0.3">
      <c r="A51" s="832"/>
      <c r="B51" s="833"/>
      <c r="C51" s="834"/>
      <c r="D51" s="834"/>
      <c r="E51" s="834"/>
      <c r="F51" s="834"/>
      <c r="G51" s="834"/>
      <c r="H51" s="834"/>
      <c r="I51" s="835"/>
    </row>
  </sheetData>
  <mergeCells count="54">
    <mergeCell ref="A1:B5"/>
    <mergeCell ref="C1:G1"/>
    <mergeCell ref="C2:G2"/>
    <mergeCell ref="C3:G3"/>
    <mergeCell ref="H3:H5"/>
    <mergeCell ref="G16:H16"/>
    <mergeCell ref="G17:H17"/>
    <mergeCell ref="G18:H18"/>
    <mergeCell ref="G19:H19"/>
    <mergeCell ref="I3:I5"/>
    <mergeCell ref="D4:G4"/>
    <mergeCell ref="D5:G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20:H20"/>
    <mergeCell ref="A31:C31"/>
    <mergeCell ref="F31:G31"/>
    <mergeCell ref="H31:I31"/>
    <mergeCell ref="A32:C32"/>
    <mergeCell ref="F32:G32"/>
    <mergeCell ref="H32:I32"/>
    <mergeCell ref="A30:C30"/>
    <mergeCell ref="F30:G30"/>
    <mergeCell ref="H30:I30"/>
    <mergeCell ref="A33:C33"/>
    <mergeCell ref="F33:G33"/>
    <mergeCell ref="H33:I33"/>
    <mergeCell ref="A34:C34"/>
    <mergeCell ref="F34:G34"/>
    <mergeCell ref="H34:I34"/>
    <mergeCell ref="A46:I46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7:I47"/>
    <mergeCell ref="A48:I48"/>
    <mergeCell ref="A49:I49"/>
    <mergeCell ref="A50:I50"/>
    <mergeCell ref="A51:I5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EA2D-A604-43CB-B822-08BB88CCCC9D}">
  <dimension ref="A1:M53"/>
  <sheetViews>
    <sheetView topLeftCell="A7" workbookViewId="0">
      <selection activeCell="C18" sqref="C18"/>
    </sheetView>
  </sheetViews>
  <sheetFormatPr baseColWidth="10" defaultColWidth="11.42578125" defaultRowHeight="15" x14ac:dyDescent="0.25"/>
  <cols>
    <col min="1" max="1" width="14.42578125" customWidth="1"/>
    <col min="2" max="2" width="13.5703125" customWidth="1"/>
    <col min="3" max="3" width="46" customWidth="1"/>
    <col min="4" max="4" width="13.7109375" customWidth="1"/>
    <col min="7" max="7" width="25.5703125" customWidth="1"/>
    <col min="8" max="8" width="18.5703125" customWidth="1"/>
    <col min="9" max="9" width="19" customWidth="1"/>
  </cols>
  <sheetData>
    <row r="1" spans="1:9" ht="16.5" x14ac:dyDescent="0.3">
      <c r="A1" s="668"/>
      <c r="B1" s="669"/>
      <c r="C1" s="674" t="s">
        <v>35</v>
      </c>
      <c r="D1" s="674"/>
      <c r="E1" s="674"/>
      <c r="F1" s="674"/>
      <c r="G1" s="674"/>
      <c r="H1" s="64" t="s">
        <v>34</v>
      </c>
      <c r="I1" s="63" t="s">
        <v>390</v>
      </c>
    </row>
    <row r="2" spans="1:9" ht="17.25" thickBot="1" x14ac:dyDescent="0.35">
      <c r="A2" s="670"/>
      <c r="B2" s="671"/>
      <c r="C2" s="675" t="s">
        <v>33</v>
      </c>
      <c r="D2" s="675"/>
      <c r="E2" s="675"/>
      <c r="F2" s="675"/>
      <c r="G2" s="675"/>
      <c r="H2" s="61" t="s">
        <v>32</v>
      </c>
      <c r="I2" s="62">
        <v>3</v>
      </c>
    </row>
    <row r="3" spans="1:9" ht="50.1" customHeight="1" x14ac:dyDescent="0.25">
      <c r="A3" s="670"/>
      <c r="B3" s="671"/>
      <c r="C3" s="861" t="s">
        <v>384</v>
      </c>
      <c r="D3" s="862"/>
      <c r="E3" s="862"/>
      <c r="F3" s="862"/>
      <c r="G3" s="863"/>
      <c r="H3" s="653" t="s">
        <v>31</v>
      </c>
      <c r="I3" s="643">
        <v>45534</v>
      </c>
    </row>
    <row r="4" spans="1:9" ht="16.5" x14ac:dyDescent="0.3">
      <c r="A4" s="670"/>
      <c r="B4" s="671"/>
      <c r="C4" s="61" t="s">
        <v>30</v>
      </c>
      <c r="D4" s="646" t="s">
        <v>391</v>
      </c>
      <c r="E4" s="646"/>
      <c r="F4" s="646"/>
      <c r="G4" s="646"/>
      <c r="H4" s="654"/>
      <c r="I4" s="644"/>
    </row>
    <row r="5" spans="1:9" ht="17.25" thickBot="1" x14ac:dyDescent="0.35">
      <c r="A5" s="672"/>
      <c r="B5" s="673"/>
      <c r="C5" s="60" t="s">
        <v>29</v>
      </c>
      <c r="D5" s="647" t="s">
        <v>28</v>
      </c>
      <c r="E5" s="647"/>
      <c r="F5" s="647"/>
      <c r="G5" s="647"/>
      <c r="H5" s="655"/>
      <c r="I5" s="645"/>
    </row>
    <row r="6" spans="1:9" ht="30.75" customHeight="1" thickBot="1" x14ac:dyDescent="0.3">
      <c r="A6" s="660" t="s">
        <v>27</v>
      </c>
      <c r="B6" s="661"/>
      <c r="C6" s="661"/>
      <c r="D6" s="829" t="s">
        <v>26</v>
      </c>
      <c r="E6" s="829"/>
      <c r="F6" s="829"/>
      <c r="G6" s="649" t="s">
        <v>25</v>
      </c>
      <c r="H6" s="649"/>
      <c r="I6" s="59" t="s">
        <v>24</v>
      </c>
    </row>
    <row r="7" spans="1:9" ht="29.25" customHeight="1" x14ac:dyDescent="0.25">
      <c r="A7" s="662" t="s">
        <v>23</v>
      </c>
      <c r="B7" s="664" t="s">
        <v>36</v>
      </c>
      <c r="C7" s="666" t="s">
        <v>22</v>
      </c>
      <c r="D7" s="676" t="s">
        <v>21</v>
      </c>
      <c r="E7" s="676" t="s">
        <v>20</v>
      </c>
      <c r="F7" s="676"/>
      <c r="G7" s="676" t="s">
        <v>19</v>
      </c>
      <c r="H7" s="676"/>
      <c r="I7" s="58" t="s">
        <v>18</v>
      </c>
    </row>
    <row r="8" spans="1:9" ht="26.25" thickBot="1" x14ac:dyDescent="0.3">
      <c r="A8" s="663"/>
      <c r="B8" s="665"/>
      <c r="C8" s="667"/>
      <c r="D8" s="677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69" t="s">
        <v>143</v>
      </c>
      <c r="B9" s="69" t="s">
        <v>386</v>
      </c>
      <c r="C9" s="508" t="s">
        <v>144</v>
      </c>
      <c r="D9" s="54" t="s">
        <v>43</v>
      </c>
      <c r="E9" s="13">
        <v>410</v>
      </c>
      <c r="F9" s="53" t="s">
        <v>2</v>
      </c>
      <c r="G9" s="72" t="s">
        <v>44</v>
      </c>
      <c r="H9" s="52"/>
      <c r="I9" s="51"/>
    </row>
    <row r="10" spans="1:9" x14ac:dyDescent="0.25">
      <c r="A10" s="70">
        <v>96344</v>
      </c>
      <c r="B10" s="71" t="s">
        <v>41</v>
      </c>
      <c r="C10" s="509" t="s">
        <v>42</v>
      </c>
      <c r="D10" s="41" t="s">
        <v>43</v>
      </c>
      <c r="E10" s="35">
        <v>120</v>
      </c>
      <c r="F10" s="50" t="s">
        <v>2</v>
      </c>
      <c r="G10" s="35" t="s">
        <v>392</v>
      </c>
      <c r="H10" s="48"/>
      <c r="I10" s="47"/>
    </row>
    <row r="11" spans="1:9" x14ac:dyDescent="0.25">
      <c r="A11" s="43"/>
      <c r="B11" s="65"/>
      <c r="C11" s="42"/>
      <c r="D11" s="41"/>
      <c r="E11" s="46"/>
      <c r="F11" s="45"/>
      <c r="G11" s="49"/>
      <c r="H11" s="48"/>
      <c r="I11" s="47"/>
    </row>
    <row r="12" spans="1:9" x14ac:dyDescent="0.25">
      <c r="A12" s="43"/>
      <c r="B12" s="65"/>
      <c r="C12" s="73" t="s">
        <v>46</v>
      </c>
      <c r="D12" s="41"/>
      <c r="E12" s="46"/>
      <c r="F12" s="45"/>
      <c r="G12" s="49"/>
      <c r="H12" s="48"/>
      <c r="I12" s="47"/>
    </row>
    <row r="13" spans="1:9" x14ac:dyDescent="0.25">
      <c r="A13" s="74">
        <v>95717</v>
      </c>
      <c r="B13" s="69" t="s">
        <v>47</v>
      </c>
      <c r="C13" s="510" t="s">
        <v>48</v>
      </c>
      <c r="D13" s="41" t="s">
        <v>43</v>
      </c>
      <c r="E13" s="46">
        <v>120</v>
      </c>
      <c r="F13" s="45" t="s">
        <v>2</v>
      </c>
      <c r="G13" s="35"/>
      <c r="H13" s="48"/>
      <c r="I13" s="47"/>
    </row>
    <row r="14" spans="1:9" x14ac:dyDescent="0.25">
      <c r="A14" s="511"/>
      <c r="B14" s="512" t="s">
        <v>393</v>
      </c>
      <c r="C14" s="513" t="s">
        <v>394</v>
      </c>
      <c r="D14" s="201" t="s">
        <v>43</v>
      </c>
      <c r="E14" s="46">
        <v>5</v>
      </c>
      <c r="F14" s="45" t="s">
        <v>2</v>
      </c>
      <c r="G14" s="35" t="s">
        <v>395</v>
      </c>
      <c r="H14" s="48"/>
      <c r="I14" s="47"/>
    </row>
    <row r="15" spans="1:9" x14ac:dyDescent="0.25">
      <c r="A15" s="200"/>
      <c r="B15" s="512" t="s">
        <v>396</v>
      </c>
      <c r="C15" s="513" t="s">
        <v>394</v>
      </c>
      <c r="D15" s="201" t="s">
        <v>43</v>
      </c>
      <c r="E15" s="202">
        <v>70</v>
      </c>
      <c r="F15" s="45" t="s">
        <v>2</v>
      </c>
      <c r="G15" s="35" t="s">
        <v>397</v>
      </c>
      <c r="H15" s="48"/>
      <c r="I15" s="47"/>
    </row>
    <row r="16" spans="1:9" x14ac:dyDescent="0.25">
      <c r="A16" s="203">
        <v>905000063</v>
      </c>
      <c r="B16" s="203" t="s">
        <v>52</v>
      </c>
      <c r="C16" s="514" t="s">
        <v>53</v>
      </c>
      <c r="D16" s="41" t="s">
        <v>43</v>
      </c>
      <c r="E16" s="202">
        <v>40</v>
      </c>
      <c r="F16" s="45" t="s">
        <v>2</v>
      </c>
      <c r="G16" s="35" t="s">
        <v>397</v>
      </c>
      <c r="H16" s="48"/>
      <c r="I16" s="47"/>
    </row>
    <row r="17" spans="1:12" ht="13.5" customHeight="1" x14ac:dyDescent="0.25">
      <c r="A17" s="204">
        <v>905000101</v>
      </c>
      <c r="B17" s="204" t="s">
        <v>49</v>
      </c>
      <c r="C17" s="515" t="s">
        <v>50</v>
      </c>
      <c r="D17" s="41" t="s">
        <v>43</v>
      </c>
      <c r="E17" s="46">
        <v>30</v>
      </c>
      <c r="F17" s="45" t="s">
        <v>2</v>
      </c>
      <c r="G17" s="35" t="s">
        <v>397</v>
      </c>
      <c r="H17" s="42"/>
      <c r="I17" s="44"/>
    </row>
    <row r="18" spans="1:12" ht="13.5" customHeight="1" x14ac:dyDescent="0.25">
      <c r="A18" s="200" t="s">
        <v>145</v>
      </c>
      <c r="B18" s="200" t="s">
        <v>146</v>
      </c>
      <c r="C18" t="s">
        <v>147</v>
      </c>
      <c r="D18" s="76" t="s">
        <v>43</v>
      </c>
      <c r="E18" s="46">
        <v>5</v>
      </c>
      <c r="F18" s="45" t="s">
        <v>2</v>
      </c>
      <c r="G18" s="831" t="s">
        <v>398</v>
      </c>
      <c r="H18" s="831"/>
      <c r="I18" s="44"/>
    </row>
    <row r="19" spans="1:12" ht="13.5" customHeight="1" x14ac:dyDescent="0.25">
      <c r="A19" s="43"/>
      <c r="B19" s="65"/>
      <c r="C19" s="42"/>
      <c r="D19" s="41"/>
      <c r="E19" s="46"/>
      <c r="F19" s="45"/>
      <c r="G19" s="831"/>
      <c r="H19" s="831"/>
      <c r="I19" s="44"/>
    </row>
    <row r="20" spans="1:12" x14ac:dyDescent="0.25">
      <c r="A20" s="77"/>
      <c r="B20" s="77"/>
      <c r="C20" s="78" t="s">
        <v>56</v>
      </c>
      <c r="D20" s="79"/>
      <c r="E20" s="80"/>
      <c r="F20" s="40"/>
      <c r="G20" s="899"/>
      <c r="H20" s="900"/>
      <c r="I20" s="39"/>
      <c r="L20" s="38"/>
    </row>
    <row r="21" spans="1:12" ht="13.9" customHeight="1" x14ac:dyDescent="0.25">
      <c r="A21" s="81">
        <v>121603</v>
      </c>
      <c r="B21" s="81" t="s">
        <v>57</v>
      </c>
      <c r="C21" s="82" t="s">
        <v>58</v>
      </c>
      <c r="D21" s="83" t="s">
        <v>59</v>
      </c>
      <c r="E21" s="80">
        <v>1</v>
      </c>
      <c r="F21" s="40" t="s">
        <v>7</v>
      </c>
      <c r="G21" s="857"/>
      <c r="H21" s="858"/>
      <c r="I21" s="39"/>
      <c r="L21" s="38"/>
    </row>
    <row r="22" spans="1:12" ht="13.9" customHeight="1" x14ac:dyDescent="0.25">
      <c r="A22" s="81"/>
      <c r="B22" s="200" t="s">
        <v>60</v>
      </c>
      <c r="C22" t="s">
        <v>399</v>
      </c>
      <c r="D22" s="83"/>
      <c r="E22" s="80">
        <v>1</v>
      </c>
      <c r="F22" s="40" t="s">
        <v>7</v>
      </c>
      <c r="G22" s="507"/>
      <c r="H22" s="516"/>
      <c r="I22" s="39"/>
      <c r="L22" s="38"/>
    </row>
    <row r="23" spans="1:12" x14ac:dyDescent="0.25">
      <c r="A23" s="76">
        <v>702012</v>
      </c>
      <c r="B23" s="76" t="s">
        <v>62</v>
      </c>
      <c r="C23" s="84" t="s">
        <v>63</v>
      </c>
      <c r="D23" s="83" t="s">
        <v>64</v>
      </c>
      <c r="E23" s="80">
        <v>1</v>
      </c>
      <c r="F23" s="28" t="s">
        <v>7</v>
      </c>
      <c r="G23" s="29"/>
      <c r="H23" s="36"/>
      <c r="I23" s="34"/>
    </row>
    <row r="24" spans="1:12" x14ac:dyDescent="0.25">
      <c r="A24" s="76">
        <v>702069</v>
      </c>
      <c r="B24" s="76" t="s">
        <v>65</v>
      </c>
      <c r="C24" s="84" t="s">
        <v>66</v>
      </c>
      <c r="D24" s="83" t="s">
        <v>67</v>
      </c>
      <c r="E24" s="80">
        <v>1</v>
      </c>
      <c r="F24" s="28" t="s">
        <v>7</v>
      </c>
      <c r="G24" s="11"/>
      <c r="H24" s="26"/>
      <c r="I24" s="34"/>
    </row>
    <row r="25" spans="1:12" x14ac:dyDescent="0.25">
      <c r="A25" s="74">
        <v>702123</v>
      </c>
      <c r="B25" s="85" t="s">
        <v>68</v>
      </c>
      <c r="C25" s="84" t="s">
        <v>69</v>
      </c>
      <c r="D25" s="83" t="s">
        <v>64</v>
      </c>
      <c r="E25" s="83">
        <v>1</v>
      </c>
      <c r="F25" s="28" t="s">
        <v>7</v>
      </c>
      <c r="G25" s="11"/>
      <c r="H25" s="26"/>
      <c r="I25" s="34"/>
    </row>
    <row r="26" spans="1:12" x14ac:dyDescent="0.25">
      <c r="A26" s="74">
        <v>703020</v>
      </c>
      <c r="B26" s="81" t="s">
        <v>70</v>
      </c>
      <c r="C26" s="84" t="s">
        <v>71</v>
      </c>
      <c r="D26" s="83" t="s">
        <v>72</v>
      </c>
      <c r="E26" s="83">
        <v>60</v>
      </c>
      <c r="F26" s="28" t="s">
        <v>73</v>
      </c>
      <c r="G26" s="11"/>
      <c r="H26" s="26"/>
      <c r="I26" s="34"/>
    </row>
    <row r="27" spans="1:12" x14ac:dyDescent="0.25">
      <c r="A27" s="32"/>
      <c r="B27" s="66"/>
      <c r="C27" s="31"/>
      <c r="D27" s="30"/>
      <c r="E27" s="29"/>
      <c r="F27" s="28"/>
      <c r="G27" s="11"/>
      <c r="H27" s="26"/>
      <c r="I27" s="33"/>
    </row>
    <row r="28" spans="1:12" x14ac:dyDescent="0.25">
      <c r="A28" s="32"/>
      <c r="B28" s="66"/>
      <c r="C28" s="31"/>
      <c r="D28" s="30"/>
      <c r="E28" s="29"/>
      <c r="F28" s="28"/>
      <c r="G28" s="11"/>
      <c r="H28" s="26"/>
      <c r="I28" s="33"/>
    </row>
    <row r="29" spans="1:12" x14ac:dyDescent="0.25">
      <c r="A29" s="32"/>
      <c r="B29" s="66"/>
      <c r="C29" s="31"/>
      <c r="D29" s="30"/>
      <c r="E29" s="29"/>
      <c r="F29" s="28"/>
      <c r="G29" s="27"/>
      <c r="H29" s="26"/>
      <c r="I29" s="25"/>
    </row>
    <row r="30" spans="1:12" ht="15.75" thickBot="1" x14ac:dyDescent="0.3">
      <c r="A30" s="24"/>
      <c r="B30" s="67"/>
      <c r="C30" s="21"/>
      <c r="D30" s="21"/>
      <c r="E30" s="23"/>
      <c r="F30" s="22"/>
      <c r="G30" s="21"/>
      <c r="H30" s="21"/>
      <c r="I30" s="20"/>
      <c r="L30" s="8"/>
    </row>
    <row r="31" spans="1:12" ht="15.75" thickBot="1" x14ac:dyDescent="0.3">
      <c r="A31" s="19"/>
      <c r="B31" s="68"/>
      <c r="C31" s="15"/>
      <c r="D31" s="18" t="s">
        <v>15</v>
      </c>
      <c r="E31" s="17" t="s">
        <v>14</v>
      </c>
      <c r="F31" s="16"/>
      <c r="G31" s="15"/>
      <c r="H31" s="15"/>
      <c r="I31" s="14"/>
      <c r="L31" s="8"/>
    </row>
    <row r="32" spans="1:12" x14ac:dyDescent="0.25">
      <c r="A32" s="836" t="s">
        <v>13</v>
      </c>
      <c r="B32" s="837"/>
      <c r="C32" s="838"/>
      <c r="D32" s="13">
        <v>780</v>
      </c>
      <c r="E32" s="12" t="s">
        <v>2</v>
      </c>
      <c r="F32" s="839" t="s">
        <v>12</v>
      </c>
      <c r="G32" s="839"/>
      <c r="H32" s="840"/>
      <c r="I32" s="841"/>
      <c r="L32" s="8"/>
    </row>
    <row r="33" spans="1:13" x14ac:dyDescent="0.25">
      <c r="A33" s="842" t="s">
        <v>11</v>
      </c>
      <c r="B33" s="843"/>
      <c r="C33" s="844"/>
      <c r="D33" s="11">
        <v>8</v>
      </c>
      <c r="E33" s="11" t="s">
        <v>10</v>
      </c>
      <c r="F33" s="845" t="s">
        <v>9</v>
      </c>
      <c r="G33" s="845"/>
      <c r="H33" s="846"/>
      <c r="I33" s="847"/>
      <c r="L33" s="8"/>
    </row>
    <row r="34" spans="1:13" x14ac:dyDescent="0.25">
      <c r="A34" s="842" t="s">
        <v>8</v>
      </c>
      <c r="B34" s="843"/>
      <c r="C34" s="844"/>
      <c r="D34" s="11">
        <v>1</v>
      </c>
      <c r="E34" s="11" t="s">
        <v>7</v>
      </c>
      <c r="F34" s="845" t="s">
        <v>6</v>
      </c>
      <c r="G34" s="845"/>
      <c r="H34" s="846"/>
      <c r="I34" s="847"/>
      <c r="L34" s="8"/>
    </row>
    <row r="35" spans="1:13" x14ac:dyDescent="0.25">
      <c r="A35" s="842" t="s">
        <v>5</v>
      </c>
      <c r="B35" s="843"/>
      <c r="C35" s="844"/>
      <c r="D35" s="10">
        <v>780</v>
      </c>
      <c r="E35" s="9" t="s">
        <v>2</v>
      </c>
      <c r="F35" s="852" t="s">
        <v>4</v>
      </c>
      <c r="G35" s="852"/>
      <c r="H35" s="846"/>
      <c r="I35" s="847"/>
      <c r="L35" s="8"/>
    </row>
    <row r="36" spans="1:13" ht="15.75" thickBot="1" x14ac:dyDescent="0.3">
      <c r="A36" s="853" t="s">
        <v>3</v>
      </c>
      <c r="B36" s="854"/>
      <c r="C36" s="855"/>
      <c r="D36" s="7">
        <f>SUM(E9:E18)-D32</f>
        <v>20</v>
      </c>
      <c r="E36" s="6" t="s">
        <v>2</v>
      </c>
      <c r="F36" s="856"/>
      <c r="G36" s="856"/>
      <c r="H36" s="897"/>
      <c r="I36" s="898"/>
      <c r="J36" s="5"/>
      <c r="K36" s="5"/>
      <c r="M36" s="5"/>
    </row>
    <row r="37" spans="1:13" ht="15.75" thickBot="1" x14ac:dyDescent="0.3">
      <c r="A37" s="890" t="s">
        <v>1</v>
      </c>
      <c r="B37" s="891"/>
      <c r="C37" s="891"/>
      <c r="D37" s="891"/>
      <c r="E37" s="891"/>
      <c r="F37" s="891"/>
      <c r="G37" s="891"/>
      <c r="H37" s="891"/>
      <c r="I37" s="892"/>
    </row>
    <row r="38" spans="1:13" x14ac:dyDescent="0.25">
      <c r="A38" s="893" t="s">
        <v>400</v>
      </c>
      <c r="B38" s="894"/>
      <c r="C38" s="895"/>
      <c r="D38" s="895"/>
      <c r="E38" s="895"/>
      <c r="F38" s="895"/>
      <c r="G38" s="895"/>
      <c r="H38" s="895"/>
      <c r="I38" s="896"/>
      <c r="J38" s="1"/>
      <c r="K38" s="1"/>
      <c r="L38" s="3"/>
      <c r="M38" s="1"/>
    </row>
    <row r="39" spans="1:13" ht="27.6" customHeight="1" x14ac:dyDescent="0.25">
      <c r="A39" s="848" t="s">
        <v>75</v>
      </c>
      <c r="B39" s="849"/>
      <c r="C39" s="850"/>
      <c r="D39" s="850"/>
      <c r="E39" s="850"/>
      <c r="F39" s="850"/>
      <c r="G39" s="850"/>
      <c r="H39" s="850"/>
      <c r="I39" s="851"/>
      <c r="J39" s="1"/>
      <c r="K39" s="1"/>
      <c r="L39" s="3"/>
      <c r="M39" s="4"/>
    </row>
    <row r="40" spans="1:13" x14ac:dyDescent="0.25">
      <c r="A40" s="868" t="s">
        <v>401</v>
      </c>
      <c r="B40" s="869"/>
      <c r="C40" s="870"/>
      <c r="D40" s="870"/>
      <c r="E40" s="870"/>
      <c r="F40" s="870"/>
      <c r="G40" s="870"/>
      <c r="H40" s="870"/>
      <c r="I40" s="871"/>
      <c r="J40" s="2"/>
      <c r="K40" s="2"/>
      <c r="L40" s="3"/>
      <c r="M40" s="2"/>
    </row>
    <row r="41" spans="1:13" x14ac:dyDescent="0.25">
      <c r="A41" s="887" t="s">
        <v>77</v>
      </c>
      <c r="B41" s="888"/>
      <c r="C41" s="888"/>
      <c r="D41" s="888"/>
      <c r="E41" s="888"/>
      <c r="F41" s="888"/>
      <c r="G41" s="888"/>
      <c r="H41" s="888"/>
      <c r="I41" s="889"/>
      <c r="J41" s="2"/>
      <c r="K41" s="2"/>
      <c r="L41" s="3"/>
      <c r="M41" s="2"/>
    </row>
    <row r="42" spans="1:13" x14ac:dyDescent="0.25">
      <c r="A42" s="872"/>
      <c r="B42" s="873"/>
      <c r="C42" s="874"/>
      <c r="D42" s="874"/>
      <c r="E42" s="874"/>
      <c r="F42" s="874"/>
      <c r="G42" s="874"/>
      <c r="H42" s="874"/>
      <c r="I42" s="875"/>
      <c r="J42" s="1"/>
      <c r="K42" s="1"/>
      <c r="L42" s="1"/>
      <c r="M42" s="1"/>
    </row>
    <row r="43" spans="1:13" ht="15.75" thickBot="1" x14ac:dyDescent="0.3">
      <c r="A43" s="876"/>
      <c r="B43" s="877"/>
      <c r="C43" s="878"/>
      <c r="D43" s="878"/>
      <c r="E43" s="878"/>
      <c r="F43" s="878"/>
      <c r="G43" s="878"/>
      <c r="H43" s="878"/>
      <c r="I43" s="879"/>
      <c r="J43" s="1"/>
      <c r="K43" s="1"/>
      <c r="L43" s="1"/>
      <c r="M43" s="1"/>
    </row>
    <row r="44" spans="1:13" x14ac:dyDescent="0.25">
      <c r="A44" s="880" t="s">
        <v>0</v>
      </c>
      <c r="B44" s="881"/>
      <c r="C44" s="881"/>
      <c r="D44" s="881"/>
      <c r="E44" s="881"/>
      <c r="F44" s="881"/>
      <c r="G44" s="881"/>
      <c r="H44" s="881"/>
      <c r="I44" s="882"/>
      <c r="J44" s="1"/>
      <c r="K44" s="1"/>
      <c r="L44" s="1"/>
      <c r="M44" s="1"/>
    </row>
    <row r="45" spans="1:13" ht="15.75" thickBot="1" x14ac:dyDescent="0.3">
      <c r="A45" s="883" t="s">
        <v>402</v>
      </c>
      <c r="B45" s="884"/>
      <c r="C45" s="885"/>
      <c r="D45" s="885"/>
      <c r="E45" s="885"/>
      <c r="F45" s="885"/>
      <c r="G45" s="885"/>
      <c r="H45" s="885"/>
      <c r="I45" s="886"/>
      <c r="J45" s="1"/>
      <c r="K45" s="1"/>
      <c r="L45" s="1"/>
      <c r="M45" s="1"/>
    </row>
    <row r="46" spans="1:13" ht="15.75" thickBot="1" x14ac:dyDescent="0.3">
      <c r="A46" s="864" t="s">
        <v>403</v>
      </c>
      <c r="B46" s="865"/>
      <c r="C46" s="866"/>
      <c r="D46" s="866"/>
      <c r="E46" s="866"/>
      <c r="F46" s="866"/>
      <c r="G46" s="866"/>
      <c r="H46" s="866"/>
      <c r="I46" s="867"/>
      <c r="J46" s="1"/>
      <c r="K46" s="1"/>
      <c r="L46" s="1"/>
      <c r="M46" s="1"/>
    </row>
    <row r="47" spans="1:13" ht="15.75" thickBot="1" x14ac:dyDescent="0.3">
      <c r="A47" s="864" t="s">
        <v>404</v>
      </c>
      <c r="B47" s="865"/>
      <c r="C47" s="866"/>
      <c r="D47" s="866"/>
      <c r="E47" s="866"/>
      <c r="F47" s="866"/>
      <c r="G47" s="866"/>
      <c r="H47" s="866"/>
      <c r="I47" s="867"/>
      <c r="J47" s="1"/>
      <c r="K47" s="1"/>
      <c r="L47" s="1"/>
      <c r="M47" s="1"/>
    </row>
    <row r="48" spans="1:13" ht="15.75" thickBot="1" x14ac:dyDescent="0.3">
      <c r="A48" s="864"/>
      <c r="B48" s="865"/>
      <c r="C48" s="866"/>
      <c r="D48" s="866"/>
      <c r="E48" s="866"/>
      <c r="F48" s="866"/>
      <c r="G48" s="866"/>
      <c r="H48" s="866"/>
      <c r="I48" s="867"/>
    </row>
    <row r="49" spans="1:9" ht="15.75" thickBot="1" x14ac:dyDescent="0.3">
      <c r="A49" s="864"/>
      <c r="B49" s="865"/>
      <c r="C49" s="866"/>
      <c r="D49" s="866"/>
      <c r="E49" s="866"/>
      <c r="F49" s="866"/>
      <c r="G49" s="866"/>
      <c r="H49" s="866"/>
      <c r="I49" s="867"/>
    </row>
    <row r="50" spans="1:9" ht="15.75" thickBot="1" x14ac:dyDescent="0.3">
      <c r="A50" s="864"/>
      <c r="B50" s="865"/>
      <c r="C50" s="866"/>
      <c r="D50" s="866"/>
      <c r="E50" s="866"/>
      <c r="F50" s="866"/>
      <c r="G50" s="866"/>
      <c r="H50" s="866"/>
      <c r="I50" s="867"/>
    </row>
    <row r="51" spans="1:9" ht="15.75" thickBot="1" x14ac:dyDescent="0.3">
      <c r="A51" s="864"/>
      <c r="B51" s="865"/>
      <c r="C51" s="866"/>
      <c r="D51" s="866"/>
      <c r="E51" s="866"/>
      <c r="F51" s="866"/>
      <c r="G51" s="866"/>
      <c r="H51" s="866"/>
      <c r="I51" s="867"/>
    </row>
    <row r="52" spans="1:9" ht="15.75" thickBot="1" x14ac:dyDescent="0.3">
      <c r="A52" s="864"/>
      <c r="B52" s="865"/>
      <c r="C52" s="866"/>
      <c r="D52" s="866"/>
      <c r="E52" s="866"/>
      <c r="F52" s="866"/>
      <c r="G52" s="866"/>
      <c r="H52" s="866"/>
      <c r="I52" s="867"/>
    </row>
    <row r="53" spans="1:9" ht="15" customHeight="1" thickBot="1" x14ac:dyDescent="0.3">
      <c r="A53" s="832"/>
      <c r="B53" s="833"/>
      <c r="C53" s="834"/>
      <c r="D53" s="834"/>
      <c r="E53" s="834"/>
      <c r="F53" s="834"/>
      <c r="G53" s="834"/>
      <c r="H53" s="834"/>
      <c r="I53" s="835"/>
    </row>
  </sheetData>
  <mergeCells count="53">
    <mergeCell ref="A49:I49"/>
    <mergeCell ref="A50:I50"/>
    <mergeCell ref="A51:I51"/>
    <mergeCell ref="A52:I52"/>
    <mergeCell ref="A53:I53"/>
    <mergeCell ref="A48:I48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35:C35"/>
    <mergeCell ref="F35:G35"/>
    <mergeCell ref="H35:I35"/>
    <mergeCell ref="A36:C36"/>
    <mergeCell ref="F36:G36"/>
    <mergeCell ref="H36:I36"/>
    <mergeCell ref="A33:C33"/>
    <mergeCell ref="F33:G33"/>
    <mergeCell ref="H33:I33"/>
    <mergeCell ref="A34:C34"/>
    <mergeCell ref="F34:G34"/>
    <mergeCell ref="H34:I34"/>
    <mergeCell ref="G18:H18"/>
    <mergeCell ref="G19:H19"/>
    <mergeCell ref="G20:H20"/>
    <mergeCell ref="G21:H21"/>
    <mergeCell ref="A32:C32"/>
    <mergeCell ref="F32:G32"/>
    <mergeCell ref="H32:I3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740-433D-4EA0-AA57-816A8D808DC9}">
  <dimension ref="A1:Q91"/>
  <sheetViews>
    <sheetView topLeftCell="A47" workbookViewId="0">
      <selection activeCell="E23" sqref="E23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71093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71093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71093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71093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71093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71093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71093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71093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71093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71093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71093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71093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71093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71093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71093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71093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71093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71093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71093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71093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71093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71093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71093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71093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71093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71093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71093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71093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71093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71093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71093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71093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71093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71093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71093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71093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71093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71093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71093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71093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71093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71093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71093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71093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71093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71093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71093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71093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71093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71093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71093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71093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71093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71093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71093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71093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71093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71093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71093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71093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71093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71093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71093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71093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78</v>
      </c>
      <c r="F1" s="88" t="s">
        <v>79</v>
      </c>
      <c r="G1" s="88" t="s">
        <v>80</v>
      </c>
      <c r="H1" s="88" t="s">
        <v>81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2879.45139772212</v>
      </c>
      <c r="F2" s="92">
        <f>IFERROR(H53,"")</f>
        <v>1541.081736263736</v>
      </c>
      <c r="G2" s="92">
        <f>IFERROR(H54,"")</f>
        <v>293.05170670769229</v>
      </c>
      <c r="H2" s="92">
        <f>IFERROR(H56,"")</f>
        <v>535.83525411590085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765"/>
      <c r="B4" s="765"/>
      <c r="C4" s="765"/>
      <c r="D4" s="765"/>
      <c r="E4" s="765"/>
      <c r="F4" s="765"/>
      <c r="G4" s="765"/>
      <c r="H4" s="765"/>
      <c r="I4" s="95"/>
    </row>
    <row r="5" spans="1:10" ht="19.5" customHeight="1" thickBot="1" x14ac:dyDescent="0.3">
      <c r="A5" s="766" t="s">
        <v>82</v>
      </c>
      <c r="B5" s="767"/>
      <c r="C5" s="767"/>
      <c r="D5" s="767"/>
      <c r="E5" s="767"/>
      <c r="F5" s="767"/>
      <c r="G5" s="767"/>
      <c r="H5" s="768"/>
      <c r="I5" s="96"/>
    </row>
    <row r="6" spans="1:10" ht="19.5" thickBot="1" x14ac:dyDescent="0.3">
      <c r="A6" s="96"/>
      <c r="B6" s="96"/>
      <c r="C6" s="96"/>
      <c r="D6" s="96"/>
      <c r="E6" s="96"/>
      <c r="F6" s="769" t="s">
        <v>83</v>
      </c>
      <c r="G6" s="769"/>
      <c r="H6" s="97">
        <f ca="1">TODAY()</f>
        <v>46149</v>
      </c>
      <c r="I6" s="97"/>
    </row>
    <row r="7" spans="1:10" ht="26.25" hidden="1" thickBot="1" x14ac:dyDescent="0.3">
      <c r="A7" s="98" t="s">
        <v>84</v>
      </c>
      <c r="B7" s="99" t="s">
        <v>85</v>
      </c>
      <c r="C7" s="99" t="s">
        <v>84</v>
      </c>
      <c r="D7" s="100" t="s">
        <v>86</v>
      </c>
      <c r="E7" s="100" t="s">
        <v>87</v>
      </c>
      <c r="F7" s="100" t="s">
        <v>88</v>
      </c>
      <c r="G7" s="100" t="s">
        <v>89</v>
      </c>
      <c r="H7" s="101" t="s">
        <v>90</v>
      </c>
      <c r="I7" s="102"/>
    </row>
    <row r="8" spans="1:10" ht="13.5" hidden="1" x14ac:dyDescent="0.25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3.5" hidden="1" x14ac:dyDescent="0.25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3.5" hidden="1" x14ac:dyDescent="0.25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3.5" hidden="1" x14ac:dyDescent="0.25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3.5" hidden="1" x14ac:dyDescent="0.25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3.5" hidden="1" x14ac:dyDescent="0.25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3.5" hidden="1" x14ac:dyDescent="0.25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84</v>
      </c>
      <c r="B16" s="99" t="s">
        <v>91</v>
      </c>
      <c r="C16" s="99" t="s">
        <v>84</v>
      </c>
      <c r="D16" s="100" t="s">
        <v>86</v>
      </c>
      <c r="E16" s="100" t="s">
        <v>87</v>
      </c>
      <c r="F16" s="100" t="s">
        <v>88</v>
      </c>
      <c r="G16" s="100" t="s">
        <v>89</v>
      </c>
      <c r="H16" s="101" t="s">
        <v>90</v>
      </c>
      <c r="I16" s="102"/>
      <c r="J16" s="108"/>
    </row>
    <row r="17" spans="1:12" ht="13.5" x14ac:dyDescent="0.25">
      <c r="A17" s="103">
        <v>1.5</v>
      </c>
      <c r="B17" s="91" t="s">
        <v>144</v>
      </c>
      <c r="C17" s="104">
        <f>+A17</f>
        <v>1.5</v>
      </c>
      <c r="D17" s="104" t="s">
        <v>129</v>
      </c>
      <c r="E17" s="105">
        <f>+'Costo Rosquete 300 g'!H53</f>
        <v>380.48782417582424</v>
      </c>
      <c r="F17" s="105">
        <f>IFERROR(E17*C17,"")</f>
        <v>570.73173626373637</v>
      </c>
      <c r="G17" s="106">
        <f t="shared" ref="G17:G24" si="3">IFERROR(F17/$F$66,"")</f>
        <v>0.25582394821368382</v>
      </c>
      <c r="H17" s="69" t="s">
        <v>143</v>
      </c>
      <c r="I17" s="107"/>
      <c r="J17" s="108"/>
    </row>
    <row r="18" spans="1:12" ht="13.5" x14ac:dyDescent="0.25">
      <c r="A18" s="103">
        <v>120</v>
      </c>
      <c r="B18" s="91" t="str">
        <f>IFERROR(VLOOKUP(H18,[1]SEMIELABORADOS!$A$2:$M$6000,2,0),"")</f>
        <v>CREMA DULCE LECHE KILO</v>
      </c>
      <c r="C18" s="104">
        <f t="shared" ref="C18:C24" si="4">+A18</f>
        <v>120</v>
      </c>
      <c r="D18" s="104" t="str">
        <f>IFERROR(VLOOKUP(H18,[1]SEMIELABORADOS!$A$2:$M$6000,6,0),"")</f>
        <v>Gramo</v>
      </c>
      <c r="E18" s="105">
        <v>2.68</v>
      </c>
      <c r="F18" s="105">
        <f t="shared" ref="F18:F24" si="5">IFERROR(E18*C18,"")</f>
        <v>321.60000000000002</v>
      </c>
      <c r="G18" s="106">
        <f t="shared" si="3"/>
        <v>0.14415350771295152</v>
      </c>
      <c r="H18" s="107" t="s">
        <v>130</v>
      </c>
      <c r="I18" s="107"/>
      <c r="J18" s="108"/>
    </row>
    <row r="19" spans="1:12" ht="13.5" x14ac:dyDescent="0.25">
      <c r="A19" s="103">
        <v>120</v>
      </c>
      <c r="B19" s="91" t="str">
        <f>IFERROR(VLOOKUP(H19,[1]SEMIELABORADOS!$A$2:$M$6000,2,0),"")</f>
        <v>CREMA CHANTILLY BLANCA SPOON-IND KILO</v>
      </c>
      <c r="C19" s="104">
        <f>+A19</f>
        <v>120</v>
      </c>
      <c r="D19" s="104" t="str">
        <f>IFERROR(VLOOKUP(H19,[1]SEMIELABORADOS!$A$2:$M$6000,6,0),"")</f>
        <v>Gramo</v>
      </c>
      <c r="E19" s="105">
        <v>2.31</v>
      </c>
      <c r="F19" s="105">
        <f>IFERROR(E19*C19,"")</f>
        <v>277.2</v>
      </c>
      <c r="G19" s="106">
        <f t="shared" si="3"/>
        <v>0.12425171746899924</v>
      </c>
      <c r="H19" s="107" t="s">
        <v>131</v>
      </c>
      <c r="I19" s="107"/>
      <c r="J19" s="108"/>
    </row>
    <row r="20" spans="1:12" ht="13.5" x14ac:dyDescent="0.25">
      <c r="A20" s="103">
        <v>75</v>
      </c>
      <c r="B20" s="91" t="s">
        <v>394</v>
      </c>
      <c r="C20" s="104">
        <f>+A20</f>
        <v>75</v>
      </c>
      <c r="D20" s="104" t="s">
        <v>133</v>
      </c>
      <c r="E20" s="105">
        <v>2.37</v>
      </c>
      <c r="F20" s="105">
        <f>IFERROR(E20*C20,"")</f>
        <v>177.75</v>
      </c>
      <c r="G20" s="106">
        <f t="shared" si="3"/>
        <v>7.9674396753660226E-2</v>
      </c>
      <c r="H20" s="107" t="s">
        <v>132</v>
      </c>
      <c r="I20" s="107"/>
      <c r="J20" s="108"/>
    </row>
    <row r="21" spans="1:12" ht="13.5" x14ac:dyDescent="0.25">
      <c r="A21" s="103">
        <v>40</v>
      </c>
      <c r="B21" s="91" t="s">
        <v>53</v>
      </c>
      <c r="C21" s="104">
        <f>+A21</f>
        <v>40</v>
      </c>
      <c r="D21" s="104" t="s">
        <v>133</v>
      </c>
      <c r="E21" s="105">
        <v>2.69</v>
      </c>
      <c r="F21" s="105">
        <f>IFERROR(E21*C21,"")</f>
        <v>107.6</v>
      </c>
      <c r="G21" s="106">
        <f t="shared" si="3"/>
        <v>4.8230464645253671E-2</v>
      </c>
      <c r="H21" s="107" t="s">
        <v>134</v>
      </c>
      <c r="I21" s="107"/>
      <c r="J21" s="108"/>
    </row>
    <row r="22" spans="1:12" ht="13.5" x14ac:dyDescent="0.25">
      <c r="A22" s="103">
        <v>30</v>
      </c>
      <c r="B22" s="91" t="str">
        <f>IFERROR(VLOOKUP(H22,[1]SEMIELABORADOS!$A$2:$M$6000,2,0),"")</f>
        <v>CREMA CHANTILLY MORADO BARNIE KILO</v>
      </c>
      <c r="C22" s="104">
        <f t="shared" si="4"/>
        <v>30</v>
      </c>
      <c r="D22" s="104" t="str">
        <f>IFERROR(VLOOKUP(H22,[1]SEMIELABORADOS!$A$2:$M$6000,6,0),"")</f>
        <v>Gramo</v>
      </c>
      <c r="E22" s="105">
        <v>2.42</v>
      </c>
      <c r="F22" s="105">
        <f t="shared" si="5"/>
        <v>72.599999999999994</v>
      </c>
      <c r="G22" s="106">
        <f t="shared" si="3"/>
        <v>3.2542116479975992E-2</v>
      </c>
      <c r="H22" s="107" t="s">
        <v>135</v>
      </c>
      <c r="I22" s="107"/>
      <c r="J22" s="108"/>
    </row>
    <row r="23" spans="1:12" ht="13.5" x14ac:dyDescent="0.25">
      <c r="A23" s="103">
        <v>5</v>
      </c>
      <c r="B23" s="91" t="s">
        <v>147</v>
      </c>
      <c r="C23" s="104">
        <f t="shared" si="4"/>
        <v>5</v>
      </c>
      <c r="D23" s="104" t="s">
        <v>133</v>
      </c>
      <c r="E23" s="105">
        <v>2.72</v>
      </c>
      <c r="F23" s="105">
        <f t="shared" si="5"/>
        <v>13.600000000000001</v>
      </c>
      <c r="G23" s="106">
        <f t="shared" si="3"/>
        <v>6.0960438585079E-3</v>
      </c>
      <c r="H23" s="107" t="s">
        <v>145</v>
      </c>
      <c r="I23" s="107"/>
      <c r="J23" s="108"/>
    </row>
    <row r="24" spans="1:12" ht="13.5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 x14ac:dyDescent="0.3">
      <c r="A26" s="98" t="s">
        <v>84</v>
      </c>
      <c r="B26" s="99" t="s">
        <v>56</v>
      </c>
      <c r="C26" s="99" t="s">
        <v>84</v>
      </c>
      <c r="D26" s="100" t="s">
        <v>86</v>
      </c>
      <c r="E26" s="100" t="s">
        <v>87</v>
      </c>
      <c r="F26" s="100" t="s">
        <v>88</v>
      </c>
      <c r="G26" s="100" t="s">
        <v>89</v>
      </c>
      <c r="H26" s="101" t="s">
        <v>90</v>
      </c>
      <c r="I26" s="102"/>
    </row>
    <row r="27" spans="1:12" ht="13.5" x14ac:dyDescent="0.25">
      <c r="A27" s="501">
        <v>1</v>
      </c>
      <c r="B27" s="502" t="str">
        <f>IFERROR(VLOOKUP(H27,'[1]Consolidado MP Planta'!$A$2:$M$823,3,0),"")</f>
        <v>QUEQUERA RED  BASE/DOMO 10 (CAJA:50)</v>
      </c>
      <c r="C27" s="503">
        <f t="shared" ref="C27:C32" si="6">+A27</f>
        <v>1</v>
      </c>
      <c r="D27" s="504" t="str">
        <f>IFERROR(VLOOKUP(H27,'[1]Consolidado MP Planta'!$A$2:$M$823,13,0),"")</f>
        <v>UND</v>
      </c>
      <c r="E27" s="504">
        <v>274</v>
      </c>
      <c r="F27" s="504">
        <f t="shared" ref="F27:F32" si="7">IFERROR(C27*E27,"")</f>
        <v>274</v>
      </c>
      <c r="G27" s="505">
        <f t="shared" ref="G27:G32" si="8">IFERROR(F27/$F$66,"")</f>
        <v>0.12281735420817386</v>
      </c>
      <c r="H27" s="506" t="s">
        <v>136</v>
      </c>
      <c r="I27" s="110"/>
      <c r="J27" s="108"/>
      <c r="K27" s="759">
        <v>420.9</v>
      </c>
      <c r="L27" s="759"/>
    </row>
    <row r="28" spans="1:12" ht="13.5" x14ac:dyDescent="0.25">
      <c r="A28" s="103">
        <v>0</v>
      </c>
      <c r="B28" s="109" t="str">
        <f>IFERROR(VLOOKUP(H28,'[1]Consolidado MP Planta'!$A$2:$M$823,3,0),"")</f>
        <v>ORLA # 10 BUCCA (UND)</v>
      </c>
      <c r="C28" s="104">
        <f t="shared" si="6"/>
        <v>0</v>
      </c>
      <c r="D28" s="105" t="s">
        <v>142</v>
      </c>
      <c r="E28" s="105">
        <v>137</v>
      </c>
      <c r="F28" s="105">
        <f t="shared" si="7"/>
        <v>0</v>
      </c>
      <c r="G28" s="106">
        <f t="shared" si="8"/>
        <v>0</v>
      </c>
      <c r="H28" s="110" t="s">
        <v>137</v>
      </c>
      <c r="I28" s="110"/>
      <c r="J28" s="108"/>
      <c r="K28" s="759"/>
      <c r="L28" s="759"/>
    </row>
    <row r="29" spans="1:12" ht="13.5" x14ac:dyDescent="0.25">
      <c r="A29" s="497">
        <v>1</v>
      </c>
      <c r="B29" s="498" t="str">
        <f>IFERROR(VLOOKUP(H29,'[1]Consolidado MP Planta'!$A$2:$M$823,3,0),"")</f>
        <v>ETIQ.FECHA VENCIMIENTO VERDE (ROLLO)</v>
      </c>
      <c r="C29" s="499">
        <f t="shared" si="6"/>
        <v>1</v>
      </c>
      <c r="D29" s="500" t="str">
        <f>IFERROR(VLOOKUP(H29,'[1]Consolidado MP Planta'!$A$2:$M$823,13,0),"")</f>
        <v>Und</v>
      </c>
      <c r="E29" s="500">
        <v>0.33</v>
      </c>
      <c r="F29" s="105">
        <f t="shared" si="7"/>
        <v>0.33</v>
      </c>
      <c r="G29" s="106">
        <f t="shared" si="8"/>
        <v>1.4791871127261814E-4</v>
      </c>
      <c r="H29" s="110" t="s">
        <v>139</v>
      </c>
      <c r="I29" s="110"/>
      <c r="J29" s="108"/>
      <c r="K29" s="759"/>
      <c r="L29" s="759"/>
    </row>
    <row r="30" spans="1:12" ht="13.5" x14ac:dyDescent="0.25">
      <c r="A30" s="497">
        <v>1</v>
      </c>
      <c r="B30" s="498" t="str">
        <f>IFERROR(VLOOKUP(H30,'[1]Consolidado MP Planta'!$A$2:$M$823,3,0),"")</f>
        <v>ETIQ.BLANCA 1 1/4 * 3/4 (UND)</v>
      </c>
      <c r="C30" s="499">
        <f t="shared" si="6"/>
        <v>1</v>
      </c>
      <c r="D30" s="500" t="str">
        <f>IFERROR(VLOOKUP(H30,'[1]Consolidado MP Planta'!$A$2:$M$823,13,0),"")</f>
        <v>Und</v>
      </c>
      <c r="E30" s="500">
        <v>0.57999999999999996</v>
      </c>
      <c r="F30" s="105">
        <f t="shared" si="7"/>
        <v>0.57999999999999996</v>
      </c>
      <c r="G30" s="106">
        <f t="shared" si="8"/>
        <v>2.5997834102460158E-4</v>
      </c>
      <c r="H30" s="110" t="s">
        <v>140</v>
      </c>
      <c r="I30" s="110"/>
      <c r="J30" s="108"/>
      <c r="K30" s="759"/>
      <c r="L30" s="759"/>
    </row>
    <row r="31" spans="1:12" ht="13.5" x14ac:dyDescent="0.25">
      <c r="A31" s="103">
        <v>1</v>
      </c>
      <c r="B31" s="109" t="str">
        <f>IFERROR(VLOOKUP(H31,'[1]Consolidado MP Planta'!$A$2:$M$823,3,0),"")</f>
        <v>ETIQUETA BLANCA 2 5/8X1 15/16 (UND)</v>
      </c>
      <c r="C31" s="104">
        <f t="shared" si="6"/>
        <v>1</v>
      </c>
      <c r="D31" s="105" t="str">
        <f>IFERROR(VLOOKUP(H31,'[1]Consolidado MP Planta'!$A$2:$M$823,13,0),"")</f>
        <v>Und</v>
      </c>
      <c r="E31" s="105">
        <v>2.13</v>
      </c>
      <c r="F31" s="105">
        <f t="shared" si="7"/>
        <v>2.13</v>
      </c>
      <c r="G31" s="106">
        <f t="shared" si="8"/>
        <v>9.5474804548689892E-4</v>
      </c>
      <c r="H31" s="110" t="s">
        <v>141</v>
      </c>
      <c r="I31" s="110"/>
      <c r="J31" s="108"/>
      <c r="K31" s="111"/>
      <c r="L31" s="112"/>
    </row>
    <row r="32" spans="1:12" ht="13.5" x14ac:dyDescent="0.25">
      <c r="A32" s="103">
        <v>60</v>
      </c>
      <c r="B32" s="109" t="str">
        <f>IFERROR(VLOOKUP(H32,'[1]Consolidado MP Planta'!$A$2:$M$823,3,0),"")</f>
        <v>CINTA ADHESIVA TRANSPARENT 2*100 M (UND)</v>
      </c>
      <c r="C32" s="104">
        <f t="shared" si="6"/>
        <v>60</v>
      </c>
      <c r="D32" s="105" t="str">
        <f>IFERROR(VLOOKUP(H32,'[1]Consolidado MP Planta'!$A$2:$M$823,13,0),"")</f>
        <v>Cm</v>
      </c>
      <c r="E32" s="105">
        <v>0.18</v>
      </c>
      <c r="F32" s="105">
        <f t="shared" si="7"/>
        <v>10.799999999999999</v>
      </c>
      <c r="G32" s="106">
        <f t="shared" si="8"/>
        <v>4.8409760052856845E-3</v>
      </c>
      <c r="H32" s="110" t="s">
        <v>138</v>
      </c>
      <c r="I32" s="110"/>
      <c r="J32" s="108"/>
    </row>
    <row r="33" spans="1:13" ht="14.25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thickBot="1" x14ac:dyDescent="0.25">
      <c r="A34" s="98" t="s">
        <v>84</v>
      </c>
      <c r="B34" s="99" t="s">
        <v>92</v>
      </c>
      <c r="C34" s="99" t="s">
        <v>84</v>
      </c>
      <c r="D34" s="100" t="s">
        <v>86</v>
      </c>
      <c r="E34" s="100" t="s">
        <v>87</v>
      </c>
      <c r="F34" s="100" t="s">
        <v>88</v>
      </c>
      <c r="G34" s="100" t="s">
        <v>89</v>
      </c>
      <c r="H34" s="101" t="s">
        <v>90</v>
      </c>
      <c r="I34" s="110"/>
      <c r="J34" s="108"/>
    </row>
    <row r="35" spans="1:13" ht="13.5" x14ac:dyDescent="0.25">
      <c r="A35" s="103">
        <f>+A17</f>
        <v>1.5</v>
      </c>
      <c r="B35" s="91" t="s">
        <v>144</v>
      </c>
      <c r="C35" s="104">
        <f>+A35</f>
        <v>1.5</v>
      </c>
      <c r="D35" s="105" t="s">
        <v>129</v>
      </c>
      <c r="E35" s="105">
        <f>+'Costo Rosquete 300 g'!H54</f>
        <v>3.4633846153846153</v>
      </c>
      <c r="F35" s="105">
        <f>IFERROR(E35*C35,"")</f>
        <v>5.1950769230769227</v>
      </c>
      <c r="G35" s="106">
        <f t="shared" ref="G35:G41" si="9">IFERROR(F35/$F$66,"")</f>
        <v>2.3286335861322934E-3</v>
      </c>
      <c r="H35" s="69" t="s">
        <v>143</v>
      </c>
      <c r="I35" s="110"/>
      <c r="J35" s="108"/>
    </row>
    <row r="36" spans="1:13" ht="13.5" x14ac:dyDescent="0.25">
      <c r="A36" s="103">
        <f t="shared" ref="A36:A41" si="10">+A18</f>
        <v>120</v>
      </c>
      <c r="B36" s="109" t="str">
        <f>IFERROR(VLOOKUP(H36,[1]SEMIELABORADOS!$A$2:$M$6000,2,0),"")</f>
        <v>CREMA DULCE LECHE KILO</v>
      </c>
      <c r="C36" s="104">
        <f t="shared" ref="C36:C41" si="11">+A36</f>
        <v>120</v>
      </c>
      <c r="D36" s="105" t="str">
        <f>IFERROR(VLOOKUP(H36,[1]SEMIELABORADOS!$A$2:$M$6000,6,0),"")</f>
        <v>Gramo</v>
      </c>
      <c r="E36" s="105">
        <f>IFERROR(VLOOKUP(H36,[1]SEMIELABORADOS!$A$2:$M$65536,10,0),"")</f>
        <v>8.5119999999999998E-5</v>
      </c>
      <c r="F36" s="105">
        <f t="shared" ref="F36:F41" si="12">IFERROR(E36*C36,"")</f>
        <v>1.02144E-2</v>
      </c>
      <c r="G36" s="106">
        <f t="shared" si="9"/>
        <v>4.5784875285546388E-6</v>
      </c>
      <c r="H36" s="107" t="s">
        <v>130</v>
      </c>
      <c r="I36" s="110"/>
      <c r="J36" s="108"/>
    </row>
    <row r="37" spans="1:13" ht="13.5" x14ac:dyDescent="0.25">
      <c r="A37" s="103">
        <f t="shared" si="10"/>
        <v>120</v>
      </c>
      <c r="B37" s="109" t="str">
        <f>IFERROR(VLOOKUP(H37,[1]SEMIELABORADOS!$A$2:$M$6000,2,0),"")</f>
        <v>CREMA CHANTILLY BLANCA SPOON-IND KILO</v>
      </c>
      <c r="C37" s="104">
        <f t="shared" si="11"/>
        <v>120</v>
      </c>
      <c r="D37" s="105" t="str">
        <f>IFERROR(VLOOKUP(H37,[1]SEMIELABORADOS!$A$2:$M$6000,6,0),"")</f>
        <v>Gramo</v>
      </c>
      <c r="E37" s="105">
        <f>IFERROR(VLOOKUP(H37,[1]SEMIELABORADOS!$A$2:$M$65536,10,0),"")</f>
        <v>2.7884615384615379E-5</v>
      </c>
      <c r="F37" s="105">
        <f t="shared" si="12"/>
        <v>3.3461538461538455E-3</v>
      </c>
      <c r="G37" s="106">
        <f t="shared" si="9"/>
        <v>1.4998750443727012E-6</v>
      </c>
      <c r="H37" s="110" t="s">
        <v>131</v>
      </c>
      <c r="I37" s="110"/>
      <c r="J37" s="108"/>
    </row>
    <row r="38" spans="1:13" ht="13.5" x14ac:dyDescent="0.25">
      <c r="A38" s="103">
        <f t="shared" si="10"/>
        <v>75</v>
      </c>
      <c r="B38" s="109" t="s">
        <v>51</v>
      </c>
      <c r="C38" s="104">
        <f>+A38</f>
        <v>75</v>
      </c>
      <c r="D38" s="105" t="s">
        <v>133</v>
      </c>
      <c r="E38" s="105">
        <v>0</v>
      </c>
      <c r="F38" s="105">
        <f>IFERROR(E38*C38,"")</f>
        <v>0</v>
      </c>
      <c r="G38" s="106">
        <f t="shared" si="9"/>
        <v>0</v>
      </c>
      <c r="H38" s="110" t="s">
        <v>132</v>
      </c>
      <c r="I38" s="110"/>
      <c r="J38" s="108"/>
    </row>
    <row r="39" spans="1:13" ht="13.5" x14ac:dyDescent="0.25">
      <c r="A39" s="103">
        <f t="shared" si="10"/>
        <v>40</v>
      </c>
      <c r="B39" s="109" t="s">
        <v>53</v>
      </c>
      <c r="C39" s="104">
        <f>+A39</f>
        <v>40</v>
      </c>
      <c r="D39" s="105" t="s">
        <v>133</v>
      </c>
      <c r="E39" s="105">
        <v>0</v>
      </c>
      <c r="F39" s="105">
        <f>IFERROR(E39*C39,"")</f>
        <v>0</v>
      </c>
      <c r="G39" s="106">
        <f t="shared" si="9"/>
        <v>0</v>
      </c>
      <c r="H39" s="110" t="s">
        <v>134</v>
      </c>
      <c r="I39" s="110"/>
      <c r="J39" s="108"/>
    </row>
    <row r="40" spans="1:13" ht="13.5" x14ac:dyDescent="0.25">
      <c r="A40" s="103">
        <f t="shared" si="10"/>
        <v>30</v>
      </c>
      <c r="B40" s="109" t="str">
        <f>IFERROR(VLOOKUP(H40,[1]SEMIELABORADOS!$A$2:$M$6000,2,0),"")</f>
        <v>CREMA CHANTILLY MORADO BARNIE KILO</v>
      </c>
      <c r="C40" s="104">
        <f t="shared" si="11"/>
        <v>30</v>
      </c>
      <c r="D40" s="105" t="str">
        <f>IFERROR(VLOOKUP(H40,[1]SEMIELABORADOS!$A$2:$M$6000,6,0),"")</f>
        <v>Gramo</v>
      </c>
      <c r="E40" s="105">
        <f>IFERROR(VLOOKUP(H40,[1]SEMIELABORADOS!$A$2:$M$65536,10,0),"")</f>
        <v>1.023076923076923E-4</v>
      </c>
      <c r="F40" s="105">
        <f t="shared" si="12"/>
        <v>3.069230769230769E-3</v>
      </c>
      <c r="G40" s="106">
        <f t="shared" si="9"/>
        <v>1.3757474544935813E-6</v>
      </c>
      <c r="H40" s="110" t="s">
        <v>135</v>
      </c>
      <c r="I40" s="110"/>
      <c r="J40" s="108"/>
    </row>
    <row r="41" spans="1:13" ht="13.5" x14ac:dyDescent="0.25">
      <c r="A41" s="103">
        <f t="shared" si="10"/>
        <v>5</v>
      </c>
      <c r="B41" s="109" t="s">
        <v>147</v>
      </c>
      <c r="C41" s="104">
        <f t="shared" si="11"/>
        <v>5</v>
      </c>
      <c r="D41" s="105" t="s">
        <v>133</v>
      </c>
      <c r="E41" s="105">
        <v>0</v>
      </c>
      <c r="F41" s="105">
        <f t="shared" si="12"/>
        <v>0</v>
      </c>
      <c r="G41" s="106">
        <f t="shared" si="9"/>
        <v>0</v>
      </c>
      <c r="H41" s="110" t="s">
        <v>145</v>
      </c>
      <c r="I41" s="110"/>
      <c r="J41" s="108"/>
    </row>
    <row r="42" spans="1:13" ht="14.25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84</v>
      </c>
      <c r="B43" s="99" t="s">
        <v>93</v>
      </c>
      <c r="C43" s="99" t="s">
        <v>84</v>
      </c>
      <c r="D43" s="100" t="s">
        <v>86</v>
      </c>
      <c r="E43" s="100" t="s">
        <v>87</v>
      </c>
      <c r="F43" s="100" t="s">
        <v>88</v>
      </c>
      <c r="G43" s="100" t="s">
        <v>89</v>
      </c>
      <c r="H43" s="101" t="s">
        <v>90</v>
      </c>
      <c r="I43" s="102"/>
      <c r="J43" s="108"/>
    </row>
    <row r="44" spans="1:13" ht="13.5" x14ac:dyDescent="0.25">
      <c r="A44" s="103">
        <f>+A35</f>
        <v>1.5</v>
      </c>
      <c r="B44" s="91" t="s">
        <v>144</v>
      </c>
      <c r="C44" s="104">
        <f>+A44</f>
        <v>1.5</v>
      </c>
      <c r="D44" s="105" t="s">
        <v>129</v>
      </c>
      <c r="E44" s="105">
        <v>30.28</v>
      </c>
      <c r="F44" s="105">
        <f>IFERROR(E44*C44,"")</f>
        <v>45.42</v>
      </c>
      <c r="G44" s="106">
        <f>IFERROR(F44/$F$66,"")</f>
        <v>2.0358993533340353E-2</v>
      </c>
      <c r="H44" s="69" t="s">
        <v>143</v>
      </c>
      <c r="I44" s="102"/>
      <c r="J44" s="108"/>
    </row>
    <row r="45" spans="1:13" ht="13.5" x14ac:dyDescent="0.25">
      <c r="A45" s="103">
        <f t="shared" ref="A45:A50" si="13">+A36</f>
        <v>120</v>
      </c>
      <c r="B45" s="109" t="str">
        <f>IFERROR(VLOOKUP(H45,[1]SEMIELABORADOS!$A$2:$M$6000,2,0),"")</f>
        <v>CREMA DULCE LECHE KILO</v>
      </c>
      <c r="C45" s="104">
        <f t="shared" ref="C45:C50" si="14">+A45</f>
        <v>120</v>
      </c>
      <c r="D45" s="105" t="str">
        <f>IFERROR(VLOOKUP(H45,[1]SEMIELABORADOS!$A$2:$M$6000,6,0),"")</f>
        <v>Gramo</v>
      </c>
      <c r="E45" s="105">
        <f>IFERROR(VLOOKUP(H45,[1]SEMIELABORADOS!$A$2:$M$65536,12,0),"")</f>
        <v>0.48247311132734694</v>
      </c>
      <c r="F45" s="105">
        <f t="shared" ref="F45:F50" si="15">IFERROR(E45*C45,"")</f>
        <v>57.896773359281632</v>
      </c>
      <c r="G45" s="106">
        <f t="shared" ref="G45:G50" si="16">IFERROR(F45/$F$66,"")</f>
        <v>2.5951563945902395E-2</v>
      </c>
      <c r="H45" s="107" t="s">
        <v>130</v>
      </c>
      <c r="I45" s="102"/>
      <c r="J45" s="108"/>
      <c r="M45" s="113"/>
    </row>
    <row r="46" spans="1:13" ht="13.5" x14ac:dyDescent="0.25">
      <c r="A46" s="103">
        <f t="shared" si="13"/>
        <v>120</v>
      </c>
      <c r="B46" s="109" t="str">
        <f>IFERROR(VLOOKUP(H46,[1]SEMIELABORADOS!$A$2:$M$6000,2,0),"")</f>
        <v>CREMA CHANTILLY BLANCA SPOON-IND KILO</v>
      </c>
      <c r="C46" s="104">
        <f t="shared" si="14"/>
        <v>120</v>
      </c>
      <c r="D46" s="105" t="str">
        <f>IFERROR(VLOOKUP(H46,[1]SEMIELABORADOS!$A$2:$M$6000,6,0),"")</f>
        <v>Gramo</v>
      </c>
      <c r="E46" s="105">
        <f>IFERROR(VLOOKUP(H46,[1]SEMIELABORADOS!$A$2:$M$65536,12,0),"")</f>
        <v>0.41607800376923076</v>
      </c>
      <c r="F46" s="105">
        <f t="shared" si="15"/>
        <v>49.929360452307691</v>
      </c>
      <c r="G46" s="106">
        <f t="shared" si="16"/>
        <v>2.2380262584155697E-2</v>
      </c>
      <c r="H46" s="110" t="s">
        <v>131</v>
      </c>
      <c r="I46" s="102"/>
      <c r="J46" s="108"/>
    </row>
    <row r="47" spans="1:13" ht="13.5" x14ac:dyDescent="0.25">
      <c r="A47" s="103">
        <f t="shared" si="13"/>
        <v>75</v>
      </c>
      <c r="B47" s="109" t="s">
        <v>51</v>
      </c>
      <c r="C47" s="104">
        <f t="shared" si="14"/>
        <v>75</v>
      </c>
      <c r="D47" s="105" t="s">
        <v>133</v>
      </c>
      <c r="E47" s="105">
        <v>0.02</v>
      </c>
      <c r="F47" s="105">
        <f t="shared" si="15"/>
        <v>1.5</v>
      </c>
      <c r="G47" s="106">
        <f t="shared" si="16"/>
        <v>6.7235777851190062E-4</v>
      </c>
      <c r="H47" s="110" t="s">
        <v>132</v>
      </c>
      <c r="I47" s="102"/>
      <c r="J47" s="108"/>
    </row>
    <row r="48" spans="1:13" ht="13.5" x14ac:dyDescent="0.25">
      <c r="A48" s="103">
        <f t="shared" si="13"/>
        <v>40</v>
      </c>
      <c r="B48" s="109" t="s">
        <v>53</v>
      </c>
      <c r="C48" s="104">
        <f t="shared" si="14"/>
        <v>40</v>
      </c>
      <c r="D48" s="105" t="s">
        <v>133</v>
      </c>
      <c r="E48" s="105">
        <v>0.02</v>
      </c>
      <c r="F48" s="105">
        <f t="shared" si="15"/>
        <v>0.8</v>
      </c>
      <c r="G48" s="106">
        <f t="shared" si="16"/>
        <v>3.5859081520634703E-4</v>
      </c>
      <c r="H48" s="110" t="s">
        <v>134</v>
      </c>
      <c r="I48" s="102"/>
      <c r="J48" s="108"/>
    </row>
    <row r="49" spans="1:17" ht="13.5" x14ac:dyDescent="0.25">
      <c r="A49" s="103">
        <f t="shared" si="13"/>
        <v>30</v>
      </c>
      <c r="B49" s="109" t="str">
        <f>IFERROR(VLOOKUP(H49,[1]SEMIELABORADOS!$A$2:$M$6000,2,0),"")</f>
        <v>CREMA CHANTILLY MORADO BARNIE KILO</v>
      </c>
      <c r="C49" s="104">
        <f t="shared" si="14"/>
        <v>30</v>
      </c>
      <c r="D49" s="105" t="str">
        <f>IFERROR(VLOOKUP(H49,[1]SEMIELABORADOS!$A$2:$M$6000,6,0),"")</f>
        <v>Gramo</v>
      </c>
      <c r="E49" s="105">
        <f>IFERROR(VLOOKUP(H49,[1]SEMIELABORADOS!$A$2:$M$65536,12,0),"")</f>
        <v>0.43571673522383425</v>
      </c>
      <c r="F49" s="105">
        <f t="shared" si="15"/>
        <v>13.071502056715028</v>
      </c>
      <c r="G49" s="106">
        <f t="shared" si="16"/>
        <v>5.8591507231111045E-3</v>
      </c>
      <c r="H49" s="110" t="s">
        <v>135</v>
      </c>
      <c r="I49" s="102"/>
      <c r="J49" s="108"/>
    </row>
    <row r="50" spans="1:17" ht="13.5" x14ac:dyDescent="0.25">
      <c r="A50" s="103">
        <f t="shared" si="13"/>
        <v>5</v>
      </c>
      <c r="B50" s="109" t="str">
        <f>IFERROR(VLOOKUP(H50,[1]SEMIELABORADOS!$A$2:$M$6000,2,0),"")</f>
        <v>BORONA P/DECORAR KILO</v>
      </c>
      <c r="C50" s="104">
        <f t="shared" si="14"/>
        <v>5</v>
      </c>
      <c r="D50" s="105" t="str">
        <f>IFERROR(VLOOKUP(H50,[1]SEMIELABORADOS!$A$2:$M$6000,6,0),"")</f>
        <v>Gramo</v>
      </c>
      <c r="E50" s="105">
        <f>IFERROR(VLOOKUP(H50,[1]SEMIELABORADOS!$A$2:$M$65536,12,0),"")</f>
        <v>0.24352364951929403</v>
      </c>
      <c r="F50" s="105">
        <f t="shared" si="15"/>
        <v>1.2176182475964701</v>
      </c>
      <c r="G50" s="106">
        <f t="shared" si="16"/>
        <v>5.4578340001967742E-4</v>
      </c>
      <c r="H50" s="109" t="s">
        <v>145</v>
      </c>
      <c r="I50" s="102"/>
      <c r="J50" s="108"/>
    </row>
    <row r="51" spans="1:17" ht="13.5" x14ac:dyDescent="0.25">
      <c r="A51" s="103">
        <v>1</v>
      </c>
      <c r="B51" s="109" t="s">
        <v>94</v>
      </c>
      <c r="C51" s="104">
        <f>+A51</f>
        <v>1</v>
      </c>
      <c r="D51" s="104" t="s">
        <v>95</v>
      </c>
      <c r="E51" s="105">
        <f>+F65</f>
        <v>366</v>
      </c>
      <c r="F51" s="105">
        <f>IFERROR(C51*E51,"")</f>
        <v>366</v>
      </c>
      <c r="G51" s="106">
        <f>IFERROR(F51/$F$66,"")</f>
        <v>0.16405529795690377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760" t="s">
        <v>96</v>
      </c>
      <c r="C53" s="760"/>
      <c r="D53" s="760"/>
      <c r="E53" s="760"/>
      <c r="F53" s="117">
        <f>SUM(F8:F14,F17:F24)</f>
        <v>1541.081736263736</v>
      </c>
      <c r="G53" s="106">
        <f>+F53/$F$66</f>
        <v>0.69077219513303223</v>
      </c>
      <c r="H53" s="118">
        <f>+F53/$D$60</f>
        <v>1541.081736263736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760" t="s">
        <v>97</v>
      </c>
      <c r="C54" s="760"/>
      <c r="D54" s="760"/>
      <c r="E54" s="760"/>
      <c r="F54" s="117">
        <f>SUM(F27:F32,F35:F41)</f>
        <v>293.05170670769229</v>
      </c>
      <c r="G54" s="106">
        <f>+F54/$F$66</f>
        <v>0.13135706300740335</v>
      </c>
      <c r="H54" s="118">
        <f>+F54/$D$60</f>
        <v>293.05170670769229</v>
      </c>
      <c r="I54" s="118"/>
      <c r="J54" s="122"/>
      <c r="K54" s="761" t="s">
        <v>98</v>
      </c>
      <c r="L54" s="762"/>
      <c r="M54" s="762"/>
      <c r="N54" s="762"/>
      <c r="O54" s="123">
        <f>+F55</f>
        <v>1834.1334429714284</v>
      </c>
      <c r="P54" s="123"/>
      <c r="Q54" s="124"/>
    </row>
    <row r="55" spans="1:17" x14ac:dyDescent="0.2">
      <c r="A55" s="115"/>
      <c r="B55" s="760" t="s">
        <v>99</v>
      </c>
      <c r="C55" s="760"/>
      <c r="D55" s="760"/>
      <c r="E55" s="760"/>
      <c r="F55" s="117">
        <f>+F53+F54</f>
        <v>1834.1334429714284</v>
      </c>
      <c r="G55" s="106">
        <f>+F55/$F$66</f>
        <v>0.82212925814043558</v>
      </c>
      <c r="H55" s="118">
        <f>+F55/$D$60</f>
        <v>1834.1334429714284</v>
      </c>
      <c r="I55" s="118"/>
      <c r="J55" s="125"/>
      <c r="K55" s="126"/>
      <c r="M55" s="127" t="s">
        <v>100</v>
      </c>
      <c r="N55" s="128"/>
      <c r="O55" s="123">
        <f>+H56</f>
        <v>535.83525411590085</v>
      </c>
      <c r="P55" s="123"/>
      <c r="Q55" s="124"/>
    </row>
    <row r="56" spans="1:17" ht="13.5" thickBot="1" x14ac:dyDescent="0.25">
      <c r="A56" s="115"/>
      <c r="B56" s="116"/>
      <c r="C56" s="760" t="s">
        <v>101</v>
      </c>
      <c r="D56" s="760"/>
      <c r="E56" s="760"/>
      <c r="F56" s="117">
        <f>SUM(F44:F51)</f>
        <v>535.83525411590085</v>
      </c>
      <c r="G56" s="106">
        <f>+F56/$F$66</f>
        <v>0.24018200073715126</v>
      </c>
      <c r="H56" s="118">
        <f>+F56/$D$60</f>
        <v>535.83525411590085</v>
      </c>
      <c r="I56" s="118"/>
      <c r="J56" s="125"/>
      <c r="K56" s="126"/>
      <c r="L56" s="126"/>
      <c r="M56" s="126" t="s">
        <v>102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103</v>
      </c>
      <c r="N57" s="135"/>
      <c r="O57" s="136">
        <f>SUM(O54:O56)</f>
        <v>2369.968697087329</v>
      </c>
      <c r="P57" s="137"/>
      <c r="Q57" s="124"/>
    </row>
    <row r="58" spans="1:17" x14ac:dyDescent="0.2">
      <c r="B58" s="763" t="s">
        <v>104</v>
      </c>
      <c r="C58" s="763"/>
      <c r="D58" s="138">
        <v>720</v>
      </c>
      <c r="E58" s="139"/>
      <c r="G58" s="106"/>
      <c r="H58" s="132">
        <f>+H56/61</f>
        <v>8.7841844937032931</v>
      </c>
      <c r="I58" s="140"/>
      <c r="J58" s="125"/>
      <c r="K58" s="133"/>
      <c r="L58" s="126"/>
      <c r="M58" s="126" t="s">
        <v>105</v>
      </c>
      <c r="N58" s="141"/>
      <c r="O58" s="123">
        <f>+H59</f>
        <v>509.482700634791</v>
      </c>
      <c r="P58" s="123"/>
      <c r="Q58" s="124"/>
    </row>
    <row r="59" spans="1:17" x14ac:dyDescent="0.2">
      <c r="B59" s="763" t="s">
        <v>106</v>
      </c>
      <c r="C59" s="763"/>
      <c r="D59" s="142">
        <v>720</v>
      </c>
      <c r="E59" s="139"/>
      <c r="G59" s="106"/>
      <c r="H59" s="132">
        <f>+H58*58</f>
        <v>509.482700634791</v>
      </c>
      <c r="I59" s="140"/>
      <c r="J59" s="125"/>
      <c r="K59" s="133"/>
      <c r="L59" s="126"/>
      <c r="M59" s="764" t="s">
        <v>103</v>
      </c>
      <c r="N59" s="764"/>
      <c r="O59" s="123">
        <f>SUM(O57:O58)</f>
        <v>2879.45139772212</v>
      </c>
      <c r="P59" s="123"/>
      <c r="Q59" s="124"/>
    </row>
    <row r="60" spans="1:17" ht="13.5" thickBot="1" x14ac:dyDescent="0.25">
      <c r="B60" s="755" t="s">
        <v>107</v>
      </c>
      <c r="C60" s="755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764"/>
      <c r="M60" s="764"/>
      <c r="N60" s="141"/>
      <c r="O60" s="123">
        <f>+O59*N60</f>
        <v>0</v>
      </c>
      <c r="P60" s="123"/>
      <c r="Q60" s="124"/>
    </row>
    <row r="61" spans="1:17" ht="13.5" thickBot="1" x14ac:dyDescent="0.25">
      <c r="B61" s="755" t="s">
        <v>108</v>
      </c>
      <c r="C61" s="755"/>
      <c r="D61" s="144"/>
      <c r="E61" s="139"/>
      <c r="F61" s="143"/>
      <c r="G61" s="106"/>
      <c r="H61" s="132"/>
      <c r="I61" s="140"/>
      <c r="J61" s="125"/>
      <c r="K61" s="756" t="s">
        <v>109</v>
      </c>
      <c r="L61" s="757"/>
      <c r="M61" s="757"/>
      <c r="N61" s="758"/>
      <c r="O61" s="136">
        <f>SUM(O59:O60)</f>
        <v>2879.45139772212</v>
      </c>
      <c r="P61" s="145" t="s">
        <v>110</v>
      </c>
      <c r="Q61" s="124"/>
    </row>
    <row r="62" spans="1:17" ht="13.5" thickBot="1" x14ac:dyDescent="0.25">
      <c r="C62" s="115" t="s">
        <v>111</v>
      </c>
      <c r="D62" s="146"/>
      <c r="E62" s="89" t="s">
        <v>112</v>
      </c>
      <c r="F62" s="147" t="s">
        <v>113</v>
      </c>
      <c r="G62" s="106"/>
      <c r="H62" s="132"/>
      <c r="I62" s="140"/>
      <c r="J62" s="148"/>
      <c r="K62" s="149"/>
      <c r="L62" s="744" t="s">
        <v>114</v>
      </c>
      <c r="M62" s="744"/>
      <c r="N62" s="744"/>
      <c r="O62" s="150">
        <f>+O61/D60</f>
        <v>2879.45139772212</v>
      </c>
      <c r="P62" s="151">
        <f>+O62/D59</f>
        <v>3.9992380523918332</v>
      </c>
      <c r="Q62" s="152"/>
    </row>
    <row r="63" spans="1:17" ht="13.5" thickBot="1" x14ac:dyDescent="0.25">
      <c r="B63" s="745" t="s">
        <v>99</v>
      </c>
      <c r="C63" s="745"/>
      <c r="D63" s="745"/>
      <c r="E63" s="153">
        <f>+F63/F63</f>
        <v>1</v>
      </c>
      <c r="F63" s="154">
        <f>SUM(F55)</f>
        <v>1834.1334429714284</v>
      </c>
      <c r="G63" s="106">
        <f>+F63/$F$66</f>
        <v>0.82212925814043558</v>
      </c>
      <c r="H63" s="132"/>
      <c r="I63" s="140"/>
      <c r="K63" s="746"/>
      <c r="L63" s="747"/>
      <c r="M63" s="747"/>
      <c r="N63" s="747"/>
      <c r="O63" s="155"/>
      <c r="P63" s="156"/>
    </row>
    <row r="64" spans="1:17" ht="13.5" thickBot="1" x14ac:dyDescent="0.3">
      <c r="B64" s="748" t="s">
        <v>115</v>
      </c>
      <c r="C64" s="748"/>
      <c r="D64" s="748"/>
      <c r="E64" s="157">
        <v>0.02</v>
      </c>
      <c r="F64" s="154">
        <f>+F53*E64</f>
        <v>30.821634725274723</v>
      </c>
      <c r="G64" s="106">
        <f>+F64/$F$66</f>
        <v>1.3815443902660646E-2</v>
      </c>
      <c r="H64" s="118"/>
      <c r="I64" s="140"/>
      <c r="J64" s="158"/>
      <c r="O64" s="159"/>
      <c r="P64" s="116"/>
    </row>
    <row r="65" spans="2:15" ht="13.5" thickBot="1" x14ac:dyDescent="0.3">
      <c r="B65" s="749" t="s">
        <v>116</v>
      </c>
      <c r="C65" s="750"/>
      <c r="D65" s="160">
        <v>6</v>
      </c>
      <c r="E65" s="161">
        <v>61</v>
      </c>
      <c r="F65" s="154">
        <f>+E65*D65</f>
        <v>366</v>
      </c>
      <c r="G65" s="106">
        <f>+F65/$F$66</f>
        <v>0.16405529795690377</v>
      </c>
      <c r="H65" s="118"/>
      <c r="I65" s="118"/>
      <c r="J65" s="108"/>
      <c r="O65" s="91">
        <v>3522.59</v>
      </c>
    </row>
    <row r="66" spans="2:15" ht="13.5" thickBot="1" x14ac:dyDescent="0.3">
      <c r="B66" s="751" t="s">
        <v>117</v>
      </c>
      <c r="C66" s="752"/>
      <c r="D66" s="752"/>
      <c r="E66" s="753"/>
      <c r="F66" s="131">
        <f>SUM(F63:F65)</f>
        <v>2230.955077696703</v>
      </c>
      <c r="G66" s="106">
        <f>+F66/$F$66</f>
        <v>1</v>
      </c>
      <c r="H66" s="754"/>
      <c r="I66" s="118"/>
      <c r="J66" s="108"/>
      <c r="M66" s="91" t="s">
        <v>118</v>
      </c>
    </row>
    <row r="67" spans="2:15" x14ac:dyDescent="0.25">
      <c r="C67" s="113"/>
      <c r="D67" s="113"/>
      <c r="E67" s="163"/>
      <c r="F67" s="154"/>
      <c r="G67" s="106"/>
      <c r="H67" s="754"/>
      <c r="I67" s="162"/>
      <c r="J67" s="91"/>
      <c r="M67" s="91" t="s">
        <v>119</v>
      </c>
    </row>
    <row r="68" spans="2:15" ht="13.5" thickBot="1" x14ac:dyDescent="0.3">
      <c r="B68" s="739" t="s">
        <v>120</v>
      </c>
      <c r="C68" s="739"/>
      <c r="D68" s="739"/>
      <c r="E68" s="739"/>
      <c r="F68" s="739"/>
      <c r="G68" s="106"/>
      <c r="H68" s="165"/>
      <c r="I68" s="162"/>
      <c r="J68" s="91"/>
      <c r="M68" s="91" t="s">
        <v>121</v>
      </c>
    </row>
    <row r="69" spans="2:15" ht="13.5" thickBot="1" x14ac:dyDescent="0.3">
      <c r="B69" s="166" t="s">
        <v>122</v>
      </c>
      <c r="C69" s="167">
        <f>+F53</f>
        <v>1541.081736263736</v>
      </c>
      <c r="D69" s="167">
        <f>+D58</f>
        <v>720</v>
      </c>
      <c r="E69" s="168">
        <f>+C69/D69</f>
        <v>2.1403913003663</v>
      </c>
      <c r="F69" s="106"/>
      <c r="G69" s="165"/>
      <c r="H69" s="108"/>
      <c r="I69" s="165"/>
      <c r="J69" s="91"/>
    </row>
    <row r="70" spans="2:15" x14ac:dyDescent="0.25">
      <c r="B70" s="169"/>
      <c r="C70" s="170"/>
      <c r="D70" s="171"/>
      <c r="E70" s="154"/>
      <c r="F70" s="106"/>
      <c r="G70" s="165"/>
      <c r="H70" s="108"/>
      <c r="I70" s="108"/>
      <c r="J70" s="91"/>
      <c r="M70" s="91" t="s">
        <v>387</v>
      </c>
    </row>
    <row r="71" spans="2:15" x14ac:dyDescent="0.25">
      <c r="B71" s="166" t="s">
        <v>123</v>
      </c>
      <c r="C71" s="167">
        <f>SUM(F63:F64)</f>
        <v>1864.955077696703</v>
      </c>
      <c r="D71" s="167">
        <f>+D58</f>
        <v>720</v>
      </c>
      <c r="E71" s="172">
        <f>+C71/D71</f>
        <v>2.5902153856898655</v>
      </c>
      <c r="F71" s="106"/>
      <c r="G71" s="165"/>
      <c r="H71" s="108"/>
      <c r="I71" s="108"/>
      <c r="J71" s="91"/>
      <c r="M71" s="91" t="s">
        <v>388</v>
      </c>
    </row>
    <row r="72" spans="2:15" x14ac:dyDescent="0.25">
      <c r="B72" s="166"/>
      <c r="C72" s="167"/>
      <c r="D72" s="167"/>
      <c r="E72" s="172"/>
      <c r="F72" s="106"/>
      <c r="G72" s="165"/>
      <c r="H72" s="108"/>
      <c r="I72" s="108"/>
      <c r="J72" s="91"/>
      <c r="M72" s="91" t="s">
        <v>389</v>
      </c>
    </row>
    <row r="73" spans="2:15" ht="13.5" thickBot="1" x14ac:dyDescent="0.3">
      <c r="B73" s="166" t="s">
        <v>124</v>
      </c>
      <c r="C73" s="167">
        <f>+F65</f>
        <v>366</v>
      </c>
      <c r="D73" s="167">
        <f>+D58</f>
        <v>720</v>
      </c>
      <c r="E73" s="172">
        <f>+C73/D73</f>
        <v>0.5083333333333333</v>
      </c>
      <c r="F73" s="106"/>
      <c r="G73" s="165"/>
      <c r="H73" s="108"/>
      <c r="I73" s="108"/>
      <c r="J73" s="91"/>
    </row>
    <row r="74" spans="2:15" ht="13.5" thickBot="1" x14ac:dyDescent="0.3">
      <c r="B74" s="166" t="s">
        <v>125</v>
      </c>
      <c r="C74" s="167">
        <f>+F56</f>
        <v>535.83525411590085</v>
      </c>
      <c r="D74" s="167">
        <f>+D73</f>
        <v>720</v>
      </c>
      <c r="E74" s="168">
        <f>+C74/D74</f>
        <v>0.74421563071652896</v>
      </c>
      <c r="F74" s="106"/>
      <c r="G74" s="165"/>
      <c r="H74" s="108"/>
      <c r="I74" s="108"/>
      <c r="J74" s="91"/>
    </row>
    <row r="75" spans="2:15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5" ht="13.5" thickBot="1" x14ac:dyDescent="0.3">
      <c r="B76" s="166" t="s">
        <v>126</v>
      </c>
      <c r="C76" s="167">
        <f>+F54</f>
        <v>293.05170670769229</v>
      </c>
      <c r="D76" s="167">
        <f>+D74</f>
        <v>720</v>
      </c>
      <c r="E76" s="168">
        <f>+C76/D76</f>
        <v>0.4070162593162393</v>
      </c>
      <c r="F76" s="106"/>
      <c r="G76" s="165"/>
      <c r="H76" s="108"/>
      <c r="I76" s="108"/>
      <c r="J76" s="108"/>
    </row>
    <row r="77" spans="2:15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5" ht="13.5" thickBot="1" x14ac:dyDescent="0.3">
      <c r="B78" s="740" t="s">
        <v>127</v>
      </c>
      <c r="C78" s="741"/>
      <c r="D78" s="742"/>
      <c r="E78" s="168">
        <f>+E69+E74</f>
        <v>2.8846069310828288</v>
      </c>
      <c r="G78" s="106"/>
      <c r="H78" s="165"/>
      <c r="I78" s="108"/>
      <c r="J78" s="172"/>
    </row>
    <row r="79" spans="2:15" x14ac:dyDescent="0.25">
      <c r="I79" s="165"/>
      <c r="J79" s="91"/>
    </row>
    <row r="80" spans="2:15" ht="13.5" thickBot="1" x14ac:dyDescent="0.3">
      <c r="B80" s="739" t="s">
        <v>128</v>
      </c>
      <c r="C80" s="739"/>
      <c r="D80" s="739"/>
      <c r="E80" s="739"/>
      <c r="F80" s="739"/>
      <c r="G80" s="106"/>
      <c r="H80" s="165"/>
      <c r="J80" s="91"/>
    </row>
    <row r="81" spans="1:10" ht="13.5" thickBot="1" x14ac:dyDescent="0.3">
      <c r="B81" s="166" t="s">
        <v>122</v>
      </c>
      <c r="C81" s="167">
        <f>+C69</f>
        <v>1541.081736263736</v>
      </c>
      <c r="D81" s="167">
        <f>+D60</f>
        <v>1</v>
      </c>
      <c r="E81" s="168">
        <f>+C81/D81</f>
        <v>1541.081736263736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123</v>
      </c>
      <c r="C83" s="167">
        <f>+C71</f>
        <v>1864.955077696703</v>
      </c>
      <c r="D83" s="167">
        <f>+D60</f>
        <v>1</v>
      </c>
      <c r="E83" s="172">
        <f>+C83/D83</f>
        <v>1864.955077696703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125</v>
      </c>
      <c r="C85" s="167">
        <f>+C73</f>
        <v>366</v>
      </c>
      <c r="D85" s="167">
        <f>+D60</f>
        <v>1</v>
      </c>
      <c r="E85" s="172">
        <f>+C85/D85</f>
        <v>366</v>
      </c>
      <c r="F85" s="174"/>
      <c r="G85" s="164"/>
      <c r="H85" s="90"/>
      <c r="I85" s="108"/>
    </row>
    <row r="86" spans="1:10" ht="13.5" thickBot="1" x14ac:dyDescent="0.3">
      <c r="B86" s="166" t="s">
        <v>125</v>
      </c>
      <c r="C86" s="167">
        <f>+C74</f>
        <v>535.83525411590085</v>
      </c>
      <c r="D86" s="167">
        <f>+D85</f>
        <v>1</v>
      </c>
      <c r="E86" s="168">
        <f>+C86/D86</f>
        <v>535.83525411590085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743"/>
      <c r="B88" s="743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41E9-5DA3-44D3-9434-C05EA8A3D830}">
  <dimension ref="A1:M53"/>
  <sheetViews>
    <sheetView workbookViewId="0">
      <selection activeCell="B18" sqref="B18"/>
    </sheetView>
  </sheetViews>
  <sheetFormatPr baseColWidth="10" defaultRowHeight="15" x14ac:dyDescent="0.25"/>
  <cols>
    <col min="3" max="3" width="36" customWidth="1"/>
  </cols>
  <sheetData>
    <row r="1" spans="1:9" ht="16.5" x14ac:dyDescent="0.3">
      <c r="A1" s="668"/>
      <c r="B1" s="669"/>
      <c r="C1" s="674" t="s">
        <v>35</v>
      </c>
      <c r="D1" s="674"/>
      <c r="E1" s="674"/>
      <c r="F1" s="674"/>
      <c r="G1" s="674"/>
      <c r="H1" s="64" t="s">
        <v>34</v>
      </c>
      <c r="I1" s="63" t="s">
        <v>390</v>
      </c>
    </row>
    <row r="2" spans="1:9" ht="17.25" thickBot="1" x14ac:dyDescent="0.35">
      <c r="A2" s="670"/>
      <c r="B2" s="671"/>
      <c r="C2" s="675" t="s">
        <v>33</v>
      </c>
      <c r="D2" s="675"/>
      <c r="E2" s="675"/>
      <c r="F2" s="675"/>
      <c r="G2" s="675"/>
      <c r="H2" s="61" t="s">
        <v>32</v>
      </c>
      <c r="I2" s="62">
        <v>3</v>
      </c>
    </row>
    <row r="3" spans="1:9" ht="18" x14ac:dyDescent="0.25">
      <c r="A3" s="670"/>
      <c r="B3" s="671"/>
      <c r="C3" s="861" t="s">
        <v>384</v>
      </c>
      <c r="D3" s="862"/>
      <c r="E3" s="862"/>
      <c r="F3" s="862"/>
      <c r="G3" s="863"/>
      <c r="H3" s="653" t="s">
        <v>31</v>
      </c>
      <c r="I3" s="643">
        <v>45534</v>
      </c>
    </row>
    <row r="4" spans="1:9" ht="16.5" x14ac:dyDescent="0.3">
      <c r="A4" s="670"/>
      <c r="B4" s="671"/>
      <c r="C4" s="61" t="s">
        <v>30</v>
      </c>
      <c r="D4" s="646" t="s">
        <v>391</v>
      </c>
      <c r="E4" s="646"/>
      <c r="F4" s="646"/>
      <c r="G4" s="646"/>
      <c r="H4" s="654"/>
      <c r="I4" s="644"/>
    </row>
    <row r="5" spans="1:9" ht="17.25" thickBot="1" x14ac:dyDescent="0.35">
      <c r="A5" s="672"/>
      <c r="B5" s="673"/>
      <c r="C5" s="60" t="s">
        <v>29</v>
      </c>
      <c r="D5" s="647" t="s">
        <v>28</v>
      </c>
      <c r="E5" s="647"/>
      <c r="F5" s="647"/>
      <c r="G5" s="647"/>
      <c r="H5" s="655"/>
      <c r="I5" s="645"/>
    </row>
    <row r="6" spans="1:9" ht="26.25" thickBot="1" x14ac:dyDescent="0.3">
      <c r="A6" s="660" t="s">
        <v>27</v>
      </c>
      <c r="B6" s="661"/>
      <c r="C6" s="661"/>
      <c r="D6" s="829" t="s">
        <v>26</v>
      </c>
      <c r="E6" s="829"/>
      <c r="F6" s="829"/>
      <c r="G6" s="649" t="s">
        <v>25</v>
      </c>
      <c r="H6" s="649"/>
      <c r="I6" s="59" t="s">
        <v>24</v>
      </c>
    </row>
    <row r="7" spans="1:9" ht="25.5" x14ac:dyDescent="0.25">
      <c r="A7" s="662" t="s">
        <v>23</v>
      </c>
      <c r="B7" s="664" t="s">
        <v>36</v>
      </c>
      <c r="C7" s="666" t="s">
        <v>22</v>
      </c>
      <c r="D7" s="676" t="s">
        <v>21</v>
      </c>
      <c r="E7" s="676" t="s">
        <v>20</v>
      </c>
      <c r="F7" s="676"/>
      <c r="G7" s="676" t="s">
        <v>19</v>
      </c>
      <c r="H7" s="676"/>
      <c r="I7" s="58" t="s">
        <v>18</v>
      </c>
    </row>
    <row r="8" spans="1:9" ht="26.25" thickBot="1" x14ac:dyDescent="0.3">
      <c r="A8" s="663"/>
      <c r="B8" s="665"/>
      <c r="C8" s="667"/>
      <c r="D8" s="677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183" t="s">
        <v>143</v>
      </c>
      <c r="B9" s="183" t="s">
        <v>386</v>
      </c>
      <c r="C9" s="184" t="s">
        <v>144</v>
      </c>
      <c r="D9" s="54" t="s">
        <v>43</v>
      </c>
      <c r="E9" s="13">
        <v>410</v>
      </c>
      <c r="F9" s="53" t="s">
        <v>2</v>
      </c>
      <c r="G9" s="72" t="s">
        <v>44</v>
      </c>
      <c r="H9" s="52"/>
      <c r="I9" s="51"/>
    </row>
    <row r="10" spans="1:9" x14ac:dyDescent="0.25">
      <c r="A10" s="185">
        <v>96344</v>
      </c>
      <c r="B10" s="186" t="s">
        <v>41</v>
      </c>
      <c r="C10" s="187" t="s">
        <v>42</v>
      </c>
      <c r="D10" s="41" t="s">
        <v>43</v>
      </c>
      <c r="E10" s="35">
        <v>60</v>
      </c>
      <c r="F10" s="50" t="s">
        <v>2</v>
      </c>
      <c r="G10" s="35" t="s">
        <v>45</v>
      </c>
      <c r="H10" s="48"/>
      <c r="I10" s="47"/>
    </row>
    <row r="11" spans="1:9" x14ac:dyDescent="0.25">
      <c r="A11" s="43"/>
      <c r="B11" s="65"/>
      <c r="C11" s="42"/>
      <c r="D11" s="41"/>
      <c r="E11" s="46"/>
      <c r="F11" s="45"/>
      <c r="G11" s="49"/>
      <c r="H11" s="48"/>
      <c r="I11" s="47"/>
    </row>
    <row r="12" spans="1:9" x14ac:dyDescent="0.25">
      <c r="A12" s="43"/>
      <c r="B12" s="65"/>
      <c r="C12" s="73" t="s">
        <v>46</v>
      </c>
      <c r="D12" s="41"/>
      <c r="E12" s="46"/>
      <c r="F12" s="45"/>
      <c r="G12" s="49"/>
      <c r="H12" s="48"/>
      <c r="I12" s="47"/>
    </row>
    <row r="13" spans="1:9" x14ac:dyDescent="0.25">
      <c r="A13" s="188">
        <v>95717</v>
      </c>
      <c r="B13" s="183" t="s">
        <v>47</v>
      </c>
      <c r="C13" s="189" t="s">
        <v>48</v>
      </c>
      <c r="D13" s="190" t="s">
        <v>43</v>
      </c>
      <c r="E13" s="191">
        <v>120</v>
      </c>
      <c r="F13" s="45" t="s">
        <v>2</v>
      </c>
      <c r="G13" s="35"/>
      <c r="H13" s="48"/>
      <c r="I13" s="47"/>
    </row>
    <row r="14" spans="1:9" x14ac:dyDescent="0.25">
      <c r="A14" s="192">
        <v>905000059</v>
      </c>
      <c r="B14" s="183" t="s">
        <v>168</v>
      </c>
      <c r="C14" s="193" t="s">
        <v>51</v>
      </c>
      <c r="D14" s="194" t="s">
        <v>43</v>
      </c>
      <c r="E14" s="522">
        <v>6</v>
      </c>
      <c r="F14" s="519" t="s">
        <v>2</v>
      </c>
      <c r="G14" t="s">
        <v>405</v>
      </c>
      <c r="H14" s="48"/>
      <c r="I14" s="47"/>
    </row>
    <row r="15" spans="1:9" x14ac:dyDescent="0.25">
      <c r="A15" s="192">
        <v>905000060</v>
      </c>
      <c r="B15" s="183" t="s">
        <v>168</v>
      </c>
      <c r="C15" s="193" t="s">
        <v>51</v>
      </c>
      <c r="D15" s="194" t="s">
        <v>43</v>
      </c>
      <c r="E15" s="195">
        <v>70</v>
      </c>
      <c r="F15" s="45" t="s">
        <v>2</v>
      </c>
      <c r="G15" s="35" t="s">
        <v>397</v>
      </c>
      <c r="H15" s="48"/>
      <c r="I15" s="47"/>
    </row>
    <row r="16" spans="1:9" x14ac:dyDescent="0.25">
      <c r="A16" s="196">
        <v>905000063</v>
      </c>
      <c r="B16" s="196" t="s">
        <v>52</v>
      </c>
      <c r="C16" s="197" t="s">
        <v>53</v>
      </c>
      <c r="D16" s="190" t="s">
        <v>43</v>
      </c>
      <c r="E16" s="195">
        <v>40</v>
      </c>
      <c r="F16" s="45" t="s">
        <v>2</v>
      </c>
      <c r="G16" s="35" t="s">
        <v>397</v>
      </c>
      <c r="H16" s="48"/>
      <c r="I16" s="47"/>
    </row>
    <row r="17" spans="1:12" x14ac:dyDescent="0.25">
      <c r="A17" s="204">
        <v>905000101</v>
      </c>
      <c r="B17" s="204" t="s">
        <v>49</v>
      </c>
      <c r="C17" s="515" t="s">
        <v>50</v>
      </c>
      <c r="D17" s="41" t="s">
        <v>43</v>
      </c>
      <c r="E17" s="46">
        <v>30</v>
      </c>
      <c r="F17" s="45" t="s">
        <v>2</v>
      </c>
      <c r="G17" s="35" t="s">
        <v>397</v>
      </c>
      <c r="H17" s="42"/>
      <c r="I17" s="44"/>
    </row>
    <row r="18" spans="1:12" x14ac:dyDescent="0.25">
      <c r="A18" s="200" t="s">
        <v>145</v>
      </c>
      <c r="B18" s="200" t="s">
        <v>146</v>
      </c>
      <c r="C18" t="s">
        <v>147</v>
      </c>
      <c r="D18" s="76" t="s">
        <v>43</v>
      </c>
      <c r="E18" s="46">
        <v>5</v>
      </c>
      <c r="F18" s="45" t="s">
        <v>2</v>
      </c>
      <c r="G18" s="831" t="s">
        <v>398</v>
      </c>
      <c r="H18" s="831"/>
      <c r="I18" s="44"/>
    </row>
    <row r="19" spans="1:12" x14ac:dyDescent="0.25">
      <c r="A19" s="43"/>
      <c r="B19" s="65"/>
      <c r="C19" s="42"/>
      <c r="D19" s="41"/>
      <c r="E19" s="46"/>
      <c r="F19" s="45"/>
      <c r="G19" s="831"/>
      <c r="H19" s="831"/>
      <c r="I19" s="44"/>
    </row>
    <row r="20" spans="1:12" x14ac:dyDescent="0.25">
      <c r="A20" s="77"/>
      <c r="B20" s="77"/>
      <c r="C20" s="78" t="s">
        <v>56</v>
      </c>
      <c r="D20" s="79"/>
      <c r="E20" s="80"/>
      <c r="F20" s="40"/>
      <c r="G20" s="899"/>
      <c r="H20" s="900"/>
      <c r="I20" s="39"/>
      <c r="L20" s="38"/>
    </row>
    <row r="21" spans="1:12" x14ac:dyDescent="0.25">
      <c r="A21" s="81">
        <v>121603</v>
      </c>
      <c r="B21" s="81" t="s">
        <v>57</v>
      </c>
      <c r="C21" s="82" t="s">
        <v>58</v>
      </c>
      <c r="D21" s="83" t="s">
        <v>59</v>
      </c>
      <c r="E21" s="80">
        <v>1</v>
      </c>
      <c r="F21" s="40" t="s">
        <v>7</v>
      </c>
      <c r="G21" s="857"/>
      <c r="H21" s="858"/>
      <c r="I21" s="39"/>
      <c r="L21" s="38"/>
    </row>
    <row r="22" spans="1:12" x14ac:dyDescent="0.25">
      <c r="A22" s="81"/>
      <c r="B22" s="200" t="s">
        <v>60</v>
      </c>
      <c r="C22" t="s">
        <v>399</v>
      </c>
      <c r="D22" s="83"/>
      <c r="E22" s="80">
        <v>1</v>
      </c>
      <c r="F22" s="40" t="s">
        <v>7</v>
      </c>
      <c r="G22" s="507"/>
      <c r="H22" s="516"/>
      <c r="I22" s="39"/>
      <c r="L22" s="38"/>
    </row>
    <row r="23" spans="1:12" x14ac:dyDescent="0.25">
      <c r="A23" s="76">
        <v>702012</v>
      </c>
      <c r="B23" s="76" t="s">
        <v>62</v>
      </c>
      <c r="C23" s="84" t="s">
        <v>63</v>
      </c>
      <c r="D23" s="83" t="s">
        <v>64</v>
      </c>
      <c r="E23" s="80">
        <v>1</v>
      </c>
      <c r="F23" s="28" t="s">
        <v>7</v>
      </c>
      <c r="G23" s="29"/>
      <c r="H23" s="36"/>
      <c r="I23" s="34"/>
    </row>
    <row r="24" spans="1:12" x14ac:dyDescent="0.25">
      <c r="A24" s="76">
        <v>702069</v>
      </c>
      <c r="B24" s="76" t="s">
        <v>65</v>
      </c>
      <c r="C24" s="84" t="s">
        <v>66</v>
      </c>
      <c r="D24" s="83" t="s">
        <v>67</v>
      </c>
      <c r="E24" s="80">
        <v>1</v>
      </c>
      <c r="F24" s="28" t="s">
        <v>7</v>
      </c>
      <c r="G24" s="11"/>
      <c r="H24" s="26"/>
      <c r="I24" s="34"/>
    </row>
    <row r="25" spans="1:12" x14ac:dyDescent="0.25">
      <c r="A25" s="74">
        <v>702123</v>
      </c>
      <c r="B25" s="85" t="s">
        <v>68</v>
      </c>
      <c r="C25" s="84" t="s">
        <v>69</v>
      </c>
      <c r="D25" s="83" t="s">
        <v>64</v>
      </c>
      <c r="E25" s="83">
        <v>1</v>
      </c>
      <c r="F25" s="28" t="s">
        <v>7</v>
      </c>
      <c r="G25" s="11"/>
      <c r="H25" s="26"/>
      <c r="I25" s="34"/>
    </row>
    <row r="26" spans="1:12" x14ac:dyDescent="0.25">
      <c r="A26" s="74">
        <v>703020</v>
      </c>
      <c r="B26" s="81" t="s">
        <v>70</v>
      </c>
      <c r="C26" s="84" t="s">
        <v>71</v>
      </c>
      <c r="D26" s="83" t="s">
        <v>72</v>
      </c>
      <c r="E26" s="83">
        <v>60</v>
      </c>
      <c r="F26" s="28" t="s">
        <v>73</v>
      </c>
      <c r="G26" s="11"/>
      <c r="H26" s="26"/>
      <c r="I26" s="34"/>
    </row>
    <row r="27" spans="1:12" x14ac:dyDescent="0.25">
      <c r="A27" s="32"/>
      <c r="B27" s="66"/>
      <c r="C27" s="31"/>
      <c r="D27" s="30"/>
      <c r="E27" s="29"/>
      <c r="F27" s="28"/>
      <c r="G27" s="11"/>
      <c r="H27" s="26"/>
      <c r="I27" s="33"/>
    </row>
    <row r="28" spans="1:12" x14ac:dyDescent="0.25">
      <c r="A28" s="32"/>
      <c r="B28" s="66"/>
      <c r="C28" s="31"/>
      <c r="D28" s="30"/>
      <c r="E28" s="29"/>
      <c r="F28" s="28"/>
      <c r="G28" s="11"/>
      <c r="H28" s="26"/>
      <c r="I28" s="33"/>
    </row>
    <row r="29" spans="1:12" x14ac:dyDescent="0.25">
      <c r="A29" s="32"/>
      <c r="B29" s="66"/>
      <c r="C29" s="31"/>
      <c r="D29" s="30"/>
      <c r="E29" s="29"/>
      <c r="F29" s="28"/>
      <c r="G29" s="27"/>
      <c r="H29" s="26"/>
      <c r="I29" s="25"/>
    </row>
    <row r="30" spans="1:12" ht="15.75" thickBot="1" x14ac:dyDescent="0.3">
      <c r="A30" s="24"/>
      <c r="B30" s="67"/>
      <c r="C30" s="21"/>
      <c r="D30" s="21"/>
      <c r="E30" s="23"/>
      <c r="F30" s="22"/>
      <c r="G30" s="21"/>
      <c r="H30" s="21"/>
      <c r="I30" s="20"/>
      <c r="L30" s="8"/>
    </row>
    <row r="31" spans="1:12" ht="15.75" thickBot="1" x14ac:dyDescent="0.3">
      <c r="A31" s="19"/>
      <c r="B31" s="68"/>
      <c r="C31" s="15"/>
      <c r="D31" s="18" t="s">
        <v>15</v>
      </c>
      <c r="E31" s="17" t="s">
        <v>14</v>
      </c>
      <c r="F31" s="16"/>
      <c r="G31" s="15"/>
      <c r="H31" s="15"/>
      <c r="I31" s="14"/>
      <c r="L31" s="8"/>
    </row>
    <row r="32" spans="1:12" x14ac:dyDescent="0.25">
      <c r="A32" s="836" t="s">
        <v>13</v>
      </c>
      <c r="B32" s="837"/>
      <c r="C32" s="838"/>
      <c r="D32" s="13">
        <v>720</v>
      </c>
      <c r="E32" s="12" t="s">
        <v>2</v>
      </c>
      <c r="F32" s="839" t="s">
        <v>12</v>
      </c>
      <c r="G32" s="839"/>
      <c r="H32" s="840"/>
      <c r="I32" s="841"/>
      <c r="L32" s="8"/>
    </row>
    <row r="33" spans="1:13" x14ac:dyDescent="0.25">
      <c r="A33" s="842" t="s">
        <v>11</v>
      </c>
      <c r="B33" s="843"/>
      <c r="C33" s="844"/>
      <c r="D33" s="11">
        <v>8</v>
      </c>
      <c r="E33" s="11" t="s">
        <v>10</v>
      </c>
      <c r="F33" s="845" t="s">
        <v>9</v>
      </c>
      <c r="G33" s="845"/>
      <c r="H33" s="846"/>
      <c r="I33" s="847"/>
      <c r="L33" s="8"/>
    </row>
    <row r="34" spans="1:13" x14ac:dyDescent="0.25">
      <c r="A34" s="842" t="s">
        <v>8</v>
      </c>
      <c r="B34" s="843"/>
      <c r="C34" s="844"/>
      <c r="D34" s="11">
        <v>1</v>
      </c>
      <c r="E34" s="11" t="s">
        <v>7</v>
      </c>
      <c r="F34" s="845" t="s">
        <v>6</v>
      </c>
      <c r="G34" s="845"/>
      <c r="H34" s="846"/>
      <c r="I34" s="847"/>
      <c r="L34" s="8"/>
    </row>
    <row r="35" spans="1:13" x14ac:dyDescent="0.25">
      <c r="A35" s="842" t="s">
        <v>5</v>
      </c>
      <c r="B35" s="843"/>
      <c r="C35" s="844"/>
      <c r="D35" s="10">
        <v>720</v>
      </c>
      <c r="E35" s="9" t="s">
        <v>2</v>
      </c>
      <c r="F35" s="852" t="s">
        <v>4</v>
      </c>
      <c r="G35" s="852"/>
      <c r="H35" s="846"/>
      <c r="I35" s="847"/>
      <c r="L35" s="8"/>
    </row>
    <row r="36" spans="1:13" ht="15.75" thickBot="1" x14ac:dyDescent="0.3">
      <c r="A36" s="853" t="s">
        <v>3</v>
      </c>
      <c r="B36" s="854"/>
      <c r="C36" s="855"/>
      <c r="D36" s="7">
        <v>21</v>
      </c>
      <c r="E36" s="6" t="s">
        <v>2</v>
      </c>
      <c r="F36" s="856"/>
      <c r="G36" s="856"/>
      <c r="H36" s="897"/>
      <c r="I36" s="898"/>
      <c r="J36" s="5"/>
      <c r="K36" s="5"/>
      <c r="M36" s="5"/>
    </row>
    <row r="37" spans="1:13" ht="15.75" thickBot="1" x14ac:dyDescent="0.3">
      <c r="A37" s="890" t="s">
        <v>1</v>
      </c>
      <c r="B37" s="891"/>
      <c r="C37" s="891"/>
      <c r="D37" s="891"/>
      <c r="E37" s="891"/>
      <c r="F37" s="891"/>
      <c r="G37" s="891"/>
      <c r="H37" s="891"/>
      <c r="I37" s="892"/>
    </row>
    <row r="38" spans="1:13" x14ac:dyDescent="0.25">
      <c r="A38" s="893" t="s">
        <v>74</v>
      </c>
      <c r="B38" s="894"/>
      <c r="C38" s="895"/>
      <c r="D38" s="895"/>
      <c r="E38" s="895"/>
      <c r="F38" s="895"/>
      <c r="G38" s="895"/>
      <c r="H38" s="895"/>
      <c r="I38" s="896"/>
      <c r="J38" s="1"/>
      <c r="K38" s="1"/>
      <c r="L38" s="3"/>
      <c r="M38" s="1"/>
    </row>
    <row r="39" spans="1:13" x14ac:dyDescent="0.25">
      <c r="A39" s="848" t="s">
        <v>75</v>
      </c>
      <c r="B39" s="849"/>
      <c r="C39" s="850"/>
      <c r="D39" s="850"/>
      <c r="E39" s="850"/>
      <c r="F39" s="850"/>
      <c r="G39" s="850"/>
      <c r="H39" s="850"/>
      <c r="I39" s="851"/>
      <c r="J39" s="1"/>
      <c r="K39" s="1"/>
      <c r="L39" s="3"/>
      <c r="M39" s="4"/>
    </row>
    <row r="40" spans="1:13" x14ac:dyDescent="0.25">
      <c r="A40" s="868" t="s">
        <v>406</v>
      </c>
      <c r="B40" s="869"/>
      <c r="C40" s="870"/>
      <c r="D40" s="870"/>
      <c r="E40" s="870"/>
      <c r="F40" s="870"/>
      <c r="G40" s="870"/>
      <c r="H40" s="870"/>
      <c r="I40" s="871"/>
      <c r="J40" s="2"/>
      <c r="K40" s="2"/>
      <c r="L40" s="3"/>
      <c r="M40" s="2"/>
    </row>
    <row r="41" spans="1:13" x14ac:dyDescent="0.25">
      <c r="A41" s="887" t="s">
        <v>77</v>
      </c>
      <c r="B41" s="888"/>
      <c r="C41" s="888"/>
      <c r="D41" s="888"/>
      <c r="E41" s="888"/>
      <c r="F41" s="888"/>
      <c r="G41" s="888"/>
      <c r="H41" s="888"/>
      <c r="I41" s="889"/>
      <c r="J41" s="2"/>
      <c r="K41" s="2"/>
      <c r="L41" s="3"/>
      <c r="M41" s="2"/>
    </row>
    <row r="42" spans="1:13" x14ac:dyDescent="0.25">
      <c r="A42" s="872"/>
      <c r="B42" s="873"/>
      <c r="C42" s="874"/>
      <c r="D42" s="874"/>
      <c r="E42" s="874"/>
      <c r="F42" s="874"/>
      <c r="G42" s="874"/>
      <c r="H42" s="874"/>
      <c r="I42" s="875"/>
      <c r="J42" s="1"/>
      <c r="K42" s="1"/>
      <c r="L42" s="1"/>
      <c r="M42" s="1"/>
    </row>
    <row r="43" spans="1:13" ht="15.75" thickBot="1" x14ac:dyDescent="0.3">
      <c r="A43" s="876"/>
      <c r="B43" s="877"/>
      <c r="C43" s="878"/>
      <c r="D43" s="878"/>
      <c r="E43" s="878"/>
      <c r="F43" s="878"/>
      <c r="G43" s="878"/>
      <c r="H43" s="878"/>
      <c r="I43" s="879"/>
      <c r="J43" s="1"/>
      <c r="K43" s="1"/>
      <c r="L43" s="1"/>
      <c r="M43" s="1"/>
    </row>
    <row r="44" spans="1:13" x14ac:dyDescent="0.25">
      <c r="A44" s="880" t="s">
        <v>0</v>
      </c>
      <c r="B44" s="881"/>
      <c r="C44" s="881"/>
      <c r="D44" s="881"/>
      <c r="E44" s="881"/>
      <c r="F44" s="881"/>
      <c r="G44" s="881"/>
      <c r="H44" s="881"/>
      <c r="I44" s="882"/>
      <c r="J44" s="1"/>
      <c r="K44" s="1"/>
      <c r="L44" s="1"/>
      <c r="M44" s="1"/>
    </row>
    <row r="45" spans="1:13" ht="15.75" thickBot="1" x14ac:dyDescent="0.3">
      <c r="A45" s="883" t="s">
        <v>402</v>
      </c>
      <c r="B45" s="884"/>
      <c r="C45" s="885"/>
      <c r="D45" s="885"/>
      <c r="E45" s="885"/>
      <c r="F45" s="885"/>
      <c r="G45" s="885"/>
      <c r="H45" s="885"/>
      <c r="I45" s="886"/>
      <c r="J45" s="1"/>
      <c r="K45" s="1"/>
      <c r="L45" s="1"/>
      <c r="M45" s="1"/>
    </row>
    <row r="46" spans="1:13" ht="15.75" thickBot="1" x14ac:dyDescent="0.3">
      <c r="A46" s="864" t="s">
        <v>403</v>
      </c>
      <c r="B46" s="865"/>
      <c r="C46" s="866"/>
      <c r="D46" s="866"/>
      <c r="E46" s="866"/>
      <c r="F46" s="866"/>
      <c r="G46" s="866"/>
      <c r="H46" s="866"/>
      <c r="I46" s="867"/>
      <c r="J46" s="1"/>
      <c r="K46" s="1"/>
      <c r="L46" s="1"/>
      <c r="M46" s="1"/>
    </row>
    <row r="47" spans="1:13" ht="15.75" thickBot="1" x14ac:dyDescent="0.3">
      <c r="A47" s="864"/>
      <c r="B47" s="865"/>
      <c r="C47" s="866"/>
      <c r="D47" s="866"/>
      <c r="E47" s="866"/>
      <c r="F47" s="866"/>
      <c r="G47" s="866"/>
      <c r="H47" s="866"/>
      <c r="I47" s="867"/>
      <c r="J47" s="1"/>
      <c r="K47" s="1"/>
      <c r="L47" s="1"/>
      <c r="M47" s="1"/>
    </row>
    <row r="48" spans="1:13" ht="15.75" thickBot="1" x14ac:dyDescent="0.3">
      <c r="A48" s="864"/>
      <c r="B48" s="865"/>
      <c r="C48" s="866"/>
      <c r="D48" s="866"/>
      <c r="E48" s="866"/>
      <c r="F48" s="866"/>
      <c r="G48" s="866"/>
      <c r="H48" s="866"/>
      <c r="I48" s="867"/>
    </row>
    <row r="49" spans="1:9" ht="15.75" thickBot="1" x14ac:dyDescent="0.3">
      <c r="A49" s="864"/>
      <c r="B49" s="865"/>
      <c r="C49" s="866"/>
      <c r="D49" s="866"/>
      <c r="E49" s="866"/>
      <c r="F49" s="866"/>
      <c r="G49" s="866"/>
      <c r="H49" s="866"/>
      <c r="I49" s="867"/>
    </row>
    <row r="50" spans="1:9" ht="15.75" thickBot="1" x14ac:dyDescent="0.3">
      <c r="A50" s="864"/>
      <c r="B50" s="865"/>
      <c r="C50" s="866"/>
      <c r="D50" s="866"/>
      <c r="E50" s="866"/>
      <c r="F50" s="866"/>
      <c r="G50" s="866"/>
      <c r="H50" s="866"/>
      <c r="I50" s="867"/>
    </row>
    <row r="51" spans="1:9" ht="15.75" thickBot="1" x14ac:dyDescent="0.3">
      <c r="A51" s="864"/>
      <c r="B51" s="865"/>
      <c r="C51" s="866"/>
      <c r="D51" s="866"/>
      <c r="E51" s="866"/>
      <c r="F51" s="866"/>
      <c r="G51" s="866"/>
      <c r="H51" s="866"/>
      <c r="I51" s="867"/>
    </row>
    <row r="52" spans="1:9" ht="15.75" thickBot="1" x14ac:dyDescent="0.3">
      <c r="A52" s="864"/>
      <c r="B52" s="865"/>
      <c r="C52" s="866"/>
      <c r="D52" s="866"/>
      <c r="E52" s="866"/>
      <c r="F52" s="866"/>
      <c r="G52" s="866"/>
      <c r="H52" s="866"/>
      <c r="I52" s="867"/>
    </row>
    <row r="53" spans="1:9" ht="15.75" thickBot="1" x14ac:dyDescent="0.3">
      <c r="A53" s="832"/>
      <c r="B53" s="833"/>
      <c r="C53" s="834"/>
      <c r="D53" s="834"/>
      <c r="E53" s="834"/>
      <c r="F53" s="834"/>
      <c r="G53" s="834"/>
      <c r="H53" s="834"/>
      <c r="I53" s="835"/>
    </row>
  </sheetData>
  <mergeCells count="53">
    <mergeCell ref="A39:I39"/>
    <mergeCell ref="A40:I40"/>
    <mergeCell ref="A41:I41"/>
    <mergeCell ref="A53:I53"/>
    <mergeCell ref="A46:I46"/>
    <mergeCell ref="A47:I47"/>
    <mergeCell ref="A49:I49"/>
    <mergeCell ref="A50:I50"/>
    <mergeCell ref="A51:I51"/>
    <mergeCell ref="A52:I52"/>
    <mergeCell ref="A48:I48"/>
    <mergeCell ref="A42:I42"/>
    <mergeCell ref="A43:I43"/>
    <mergeCell ref="A44:I44"/>
    <mergeCell ref="A45:I45"/>
    <mergeCell ref="A37:I37"/>
    <mergeCell ref="A38:I38"/>
    <mergeCell ref="G18:H18"/>
    <mergeCell ref="G19:H19"/>
    <mergeCell ref="G20:H20"/>
    <mergeCell ref="H32:I32"/>
    <mergeCell ref="A35:C35"/>
    <mergeCell ref="F35:G35"/>
    <mergeCell ref="H35:I35"/>
    <mergeCell ref="A36:C36"/>
    <mergeCell ref="F36:G36"/>
    <mergeCell ref="H36:I36"/>
    <mergeCell ref="A34:C34"/>
    <mergeCell ref="F34:G34"/>
    <mergeCell ref="H34:I34"/>
    <mergeCell ref="G21:H21"/>
    <mergeCell ref="A33:C33"/>
    <mergeCell ref="F33:G33"/>
    <mergeCell ref="H33:I33"/>
    <mergeCell ref="A32:C32"/>
    <mergeCell ref="F32:G32"/>
    <mergeCell ref="I3:I5"/>
    <mergeCell ref="D4:G4"/>
    <mergeCell ref="D5:G5"/>
    <mergeCell ref="D6:F6"/>
    <mergeCell ref="G6:H6"/>
    <mergeCell ref="A6:C6"/>
    <mergeCell ref="A7:A8"/>
    <mergeCell ref="B7:B8"/>
    <mergeCell ref="C7:C8"/>
    <mergeCell ref="A1:B5"/>
    <mergeCell ref="C1:G1"/>
    <mergeCell ref="C2:G2"/>
    <mergeCell ref="C3:G3"/>
    <mergeCell ref="G7:H7"/>
    <mergeCell ref="H3:H5"/>
    <mergeCell ref="D7:D8"/>
    <mergeCell ref="E7:F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84D3-E54C-401E-8431-DD4C00D009D7}">
  <sheetPr>
    <pageSetUpPr fitToPage="1"/>
  </sheetPr>
  <dimension ref="A1:M46"/>
  <sheetViews>
    <sheetView tabSelected="1" topLeftCell="A5" zoomScale="80" zoomScaleNormal="80" zoomScaleSheetLayoutView="70" workbookViewId="0">
      <selection activeCell="C14" sqref="C14"/>
    </sheetView>
  </sheetViews>
  <sheetFormatPr baseColWidth="10" defaultRowHeight="15" x14ac:dyDescent="0.25"/>
  <cols>
    <col min="1" max="1" width="16.7109375" bestFit="1" customWidth="1"/>
    <col min="2" max="2" width="18.5703125" bestFit="1" customWidth="1"/>
    <col min="3" max="3" width="63.5703125" bestFit="1" customWidth="1"/>
    <col min="4" max="4" width="15.42578125" bestFit="1" customWidth="1"/>
    <col min="5" max="5" width="11.5703125" bestFit="1" customWidth="1"/>
    <col min="7" max="7" width="22.28515625" customWidth="1"/>
    <col min="8" max="8" width="15.28515625" customWidth="1"/>
    <col min="9" max="9" width="19.28515625" bestFit="1" customWidth="1"/>
  </cols>
  <sheetData>
    <row r="1" spans="1:9" ht="16.5" x14ac:dyDescent="0.3">
      <c r="A1" s="668"/>
      <c r="B1" s="669"/>
      <c r="C1" s="674" t="s">
        <v>35</v>
      </c>
      <c r="D1" s="674"/>
      <c r="E1" s="674"/>
      <c r="F1" s="674"/>
      <c r="G1" s="674"/>
      <c r="H1" s="64" t="s">
        <v>34</v>
      </c>
      <c r="I1" s="63" t="s">
        <v>424</v>
      </c>
    </row>
    <row r="2" spans="1:9" ht="19.5" thickBot="1" x14ac:dyDescent="0.35">
      <c r="A2" s="670"/>
      <c r="B2" s="671"/>
      <c r="C2" s="675" t="s">
        <v>33</v>
      </c>
      <c r="D2" s="675"/>
      <c r="E2" s="675"/>
      <c r="F2" s="675"/>
      <c r="G2" s="675"/>
      <c r="H2" s="61" t="s">
        <v>32</v>
      </c>
      <c r="I2" s="593">
        <v>1</v>
      </c>
    </row>
    <row r="3" spans="1:9" ht="29.25" customHeight="1" x14ac:dyDescent="0.25">
      <c r="A3" s="670"/>
      <c r="B3" s="671"/>
      <c r="C3" s="650" t="s">
        <v>422</v>
      </c>
      <c r="D3" s="651"/>
      <c r="E3" s="651"/>
      <c r="F3" s="651"/>
      <c r="G3" s="652"/>
      <c r="H3" s="653" t="s">
        <v>31</v>
      </c>
      <c r="I3" s="643">
        <v>45965</v>
      </c>
    </row>
    <row r="4" spans="1:9" ht="16.5" x14ac:dyDescent="0.3">
      <c r="A4" s="670"/>
      <c r="B4" s="671"/>
      <c r="C4" s="61" t="s">
        <v>30</v>
      </c>
      <c r="D4" s="646" t="s">
        <v>418</v>
      </c>
      <c r="E4" s="646"/>
      <c r="F4" s="646"/>
      <c r="G4" s="646"/>
      <c r="H4" s="654"/>
      <c r="I4" s="644"/>
    </row>
    <row r="5" spans="1:9" ht="17.25" thickBot="1" x14ac:dyDescent="0.35">
      <c r="A5" s="672"/>
      <c r="B5" s="673"/>
      <c r="C5" s="60" t="s">
        <v>29</v>
      </c>
      <c r="D5" s="647" t="s">
        <v>28</v>
      </c>
      <c r="E5" s="647"/>
      <c r="F5" s="647"/>
      <c r="G5" s="647"/>
      <c r="H5" s="655"/>
      <c r="I5" s="645"/>
    </row>
    <row r="6" spans="1:9" ht="18.75" thickBot="1" x14ac:dyDescent="0.3">
      <c r="A6" s="660" t="s">
        <v>27</v>
      </c>
      <c r="B6" s="661"/>
      <c r="C6" s="661"/>
      <c r="D6" s="648" t="s">
        <v>26</v>
      </c>
      <c r="E6" s="648"/>
      <c r="F6" s="648"/>
      <c r="G6" s="649" t="s">
        <v>25</v>
      </c>
      <c r="H6" s="649"/>
      <c r="I6" s="592" t="s">
        <v>24</v>
      </c>
    </row>
    <row r="7" spans="1:9" x14ac:dyDescent="0.25">
      <c r="A7" s="662" t="s">
        <v>23</v>
      </c>
      <c r="B7" s="664" t="s">
        <v>36</v>
      </c>
      <c r="C7" s="666" t="s">
        <v>22</v>
      </c>
      <c r="D7" s="676" t="s">
        <v>21</v>
      </c>
      <c r="E7" s="676" t="s">
        <v>20</v>
      </c>
      <c r="F7" s="676"/>
      <c r="G7" s="676" t="s">
        <v>19</v>
      </c>
      <c r="H7" s="676"/>
      <c r="I7" s="58" t="s">
        <v>18</v>
      </c>
    </row>
    <row r="8" spans="1:9" ht="26.25" thickBot="1" x14ac:dyDescent="0.3">
      <c r="A8" s="663"/>
      <c r="B8" s="665"/>
      <c r="C8" s="667"/>
      <c r="D8" s="677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ht="20.25" x14ac:dyDescent="0.3">
      <c r="A9" s="534" t="s">
        <v>143</v>
      </c>
      <c r="B9" s="534" t="s">
        <v>417</v>
      </c>
      <c r="C9" s="535" t="s">
        <v>416</v>
      </c>
      <c r="D9" s="536" t="s">
        <v>43</v>
      </c>
      <c r="E9" s="537">
        <v>480</v>
      </c>
      <c r="F9" s="538" t="s">
        <v>2</v>
      </c>
      <c r="G9" s="537" t="s">
        <v>44</v>
      </c>
      <c r="H9" s="539"/>
      <c r="I9" s="540"/>
    </row>
    <row r="10" spans="1:9" ht="20.25" x14ac:dyDescent="0.3">
      <c r="A10" s="541">
        <v>96344</v>
      </c>
      <c r="B10" s="542" t="s">
        <v>41</v>
      </c>
      <c r="C10" s="543" t="s">
        <v>42</v>
      </c>
      <c r="D10" s="542" t="s">
        <v>43</v>
      </c>
      <c r="E10" s="544">
        <v>60</v>
      </c>
      <c r="F10" s="545" t="s">
        <v>2</v>
      </c>
      <c r="G10" s="544" t="s">
        <v>45</v>
      </c>
      <c r="H10" s="546"/>
      <c r="I10" s="547"/>
    </row>
    <row r="11" spans="1:9" ht="20.25" x14ac:dyDescent="0.3">
      <c r="A11" s="548"/>
      <c r="B11" s="549"/>
      <c r="C11" s="550"/>
      <c r="D11" s="542"/>
      <c r="E11" s="551"/>
      <c r="F11" s="552"/>
      <c r="G11" s="553"/>
      <c r="H11" s="546"/>
      <c r="I11" s="547"/>
    </row>
    <row r="12" spans="1:9" ht="20.25" x14ac:dyDescent="0.3">
      <c r="A12" s="548"/>
      <c r="B12" s="549"/>
      <c r="C12" s="554" t="s">
        <v>46</v>
      </c>
      <c r="D12" s="542"/>
      <c r="E12" s="551"/>
      <c r="F12" s="552"/>
      <c r="G12" s="553"/>
      <c r="H12" s="546"/>
      <c r="I12" s="547"/>
    </row>
    <row r="13" spans="1:9" ht="20.25" x14ac:dyDescent="0.3">
      <c r="A13" s="556">
        <v>95717</v>
      </c>
      <c r="B13" s="556" t="s">
        <v>47</v>
      </c>
      <c r="C13" s="557" t="s">
        <v>48</v>
      </c>
      <c r="D13" s="556" t="s">
        <v>43</v>
      </c>
      <c r="E13" s="544">
        <v>120</v>
      </c>
      <c r="F13" s="545" t="s">
        <v>2</v>
      </c>
      <c r="G13" s="544"/>
      <c r="H13" s="546"/>
      <c r="I13" s="547"/>
    </row>
    <row r="14" spans="1:9" ht="20.25" x14ac:dyDescent="0.3">
      <c r="A14" s="559">
        <v>905000060</v>
      </c>
      <c r="B14" s="556" t="s">
        <v>168</v>
      </c>
      <c r="C14" s="550" t="s">
        <v>51</v>
      </c>
      <c r="D14" s="556" t="s">
        <v>43</v>
      </c>
      <c r="E14" s="544">
        <v>6</v>
      </c>
      <c r="F14" s="545" t="s">
        <v>2</v>
      </c>
      <c r="G14" s="555" t="s">
        <v>405</v>
      </c>
      <c r="H14" s="546"/>
      <c r="I14" s="547"/>
    </row>
    <row r="15" spans="1:9" ht="20.25" x14ac:dyDescent="0.3">
      <c r="A15" s="559">
        <v>905000060</v>
      </c>
      <c r="B15" s="556" t="s">
        <v>168</v>
      </c>
      <c r="C15" s="550" t="s">
        <v>51</v>
      </c>
      <c r="D15" s="556" t="s">
        <v>43</v>
      </c>
      <c r="E15" s="590">
        <v>70</v>
      </c>
      <c r="F15" s="545" t="s">
        <v>2</v>
      </c>
      <c r="G15" s="544" t="s">
        <v>414</v>
      </c>
      <c r="H15" s="546"/>
      <c r="I15" s="547"/>
    </row>
    <row r="16" spans="1:9" ht="20.25" x14ac:dyDescent="0.3">
      <c r="A16" s="556">
        <v>905000063</v>
      </c>
      <c r="B16" s="556" t="s">
        <v>52</v>
      </c>
      <c r="C16" s="557" t="s">
        <v>53</v>
      </c>
      <c r="D16" s="556" t="s">
        <v>43</v>
      </c>
      <c r="E16" s="590">
        <v>40</v>
      </c>
      <c r="F16" s="545" t="s">
        <v>2</v>
      </c>
      <c r="G16" s="544" t="s">
        <v>414</v>
      </c>
      <c r="H16" s="546"/>
      <c r="I16" s="547"/>
    </row>
    <row r="17" spans="1:12" ht="20.25" x14ac:dyDescent="0.3">
      <c r="A17" s="556">
        <v>905000101</v>
      </c>
      <c r="B17" s="556" t="s">
        <v>49</v>
      </c>
      <c r="C17" s="557" t="s">
        <v>50</v>
      </c>
      <c r="D17" s="556" t="s">
        <v>43</v>
      </c>
      <c r="E17" s="544">
        <v>20</v>
      </c>
      <c r="F17" s="545" t="s">
        <v>2</v>
      </c>
      <c r="G17" s="544" t="s">
        <v>414</v>
      </c>
      <c r="H17" s="550"/>
      <c r="I17" s="558"/>
    </row>
    <row r="18" spans="1:12" ht="20.25" x14ac:dyDescent="0.3">
      <c r="A18" s="559" t="s">
        <v>143</v>
      </c>
      <c r="B18" s="559" t="s">
        <v>412</v>
      </c>
      <c r="C18" s="550" t="s">
        <v>410</v>
      </c>
      <c r="D18" s="556" t="s">
        <v>43</v>
      </c>
      <c r="E18" s="544">
        <v>5</v>
      </c>
      <c r="F18" s="545" t="s">
        <v>2</v>
      </c>
      <c r="G18" s="627" t="s">
        <v>398</v>
      </c>
      <c r="H18" s="627"/>
      <c r="I18" s="558"/>
    </row>
    <row r="19" spans="1:12" ht="20.25" x14ac:dyDescent="0.3">
      <c r="A19" s="548"/>
      <c r="B19" s="549"/>
      <c r="C19" s="550"/>
      <c r="D19" s="542"/>
      <c r="E19" s="551"/>
      <c r="F19" s="552"/>
      <c r="G19" s="550"/>
      <c r="H19" s="550"/>
      <c r="I19" s="558"/>
    </row>
    <row r="20" spans="1:12" ht="20.25" x14ac:dyDescent="0.3">
      <c r="A20" s="560"/>
      <c r="B20" s="560"/>
      <c r="C20" s="561" t="s">
        <v>56</v>
      </c>
      <c r="D20" s="542"/>
      <c r="E20" s="562"/>
      <c r="F20" s="563"/>
      <c r="G20" s="587"/>
      <c r="H20" s="587"/>
      <c r="I20" s="564"/>
      <c r="L20" s="38"/>
    </row>
    <row r="21" spans="1:12" ht="20.25" x14ac:dyDescent="0.3">
      <c r="A21" s="591">
        <v>121603</v>
      </c>
      <c r="B21" s="591" t="s">
        <v>57</v>
      </c>
      <c r="C21" s="543" t="s">
        <v>58</v>
      </c>
      <c r="D21" s="556" t="s">
        <v>59</v>
      </c>
      <c r="E21" s="556">
        <v>1</v>
      </c>
      <c r="F21" s="565" t="s">
        <v>7</v>
      </c>
      <c r="G21" s="588"/>
      <c r="H21" s="588"/>
      <c r="I21" s="564"/>
      <c r="L21" s="38"/>
    </row>
    <row r="22" spans="1:12" ht="20.25" x14ac:dyDescent="0.3">
      <c r="A22" s="591"/>
      <c r="B22" s="559" t="s">
        <v>60</v>
      </c>
      <c r="C22" s="550" t="s">
        <v>399</v>
      </c>
      <c r="D22" s="556"/>
      <c r="E22" s="556">
        <v>1</v>
      </c>
      <c r="F22" s="565" t="s">
        <v>7</v>
      </c>
      <c r="G22" s="589"/>
      <c r="H22" s="589"/>
      <c r="I22" s="564"/>
      <c r="L22" s="38"/>
    </row>
    <row r="23" spans="1:12" ht="20.25" x14ac:dyDescent="0.3">
      <c r="A23" s="556">
        <v>702012</v>
      </c>
      <c r="B23" s="556" t="s">
        <v>62</v>
      </c>
      <c r="C23" s="557" t="s">
        <v>63</v>
      </c>
      <c r="D23" s="556" t="s">
        <v>64</v>
      </c>
      <c r="E23" s="556">
        <v>1</v>
      </c>
      <c r="F23" s="545" t="s">
        <v>7</v>
      </c>
      <c r="G23" s="544"/>
      <c r="H23" s="546"/>
      <c r="I23" s="566"/>
    </row>
    <row r="24" spans="1:12" ht="20.25" x14ac:dyDescent="0.3">
      <c r="A24" s="556">
        <v>702069</v>
      </c>
      <c r="B24" s="556" t="s">
        <v>65</v>
      </c>
      <c r="C24" s="557" t="s">
        <v>66</v>
      </c>
      <c r="D24" s="556" t="s">
        <v>67</v>
      </c>
      <c r="E24" s="556">
        <v>1</v>
      </c>
      <c r="F24" s="545" t="s">
        <v>7</v>
      </c>
      <c r="G24" s="556"/>
      <c r="H24" s="560"/>
      <c r="I24" s="566"/>
    </row>
    <row r="25" spans="1:12" ht="20.25" x14ac:dyDescent="0.3">
      <c r="A25" s="556"/>
      <c r="B25" s="559" t="s">
        <v>419</v>
      </c>
      <c r="C25" s="550" t="s">
        <v>420</v>
      </c>
      <c r="D25" s="556" t="s">
        <v>64</v>
      </c>
      <c r="E25" s="556">
        <v>1</v>
      </c>
      <c r="F25" s="545" t="s">
        <v>7</v>
      </c>
      <c r="G25" s="556"/>
      <c r="H25" s="560"/>
      <c r="I25" s="566"/>
    </row>
    <row r="26" spans="1:12" ht="20.25" x14ac:dyDescent="0.3">
      <c r="A26" s="556">
        <v>703020</v>
      </c>
      <c r="B26" s="591" t="s">
        <v>70</v>
      </c>
      <c r="C26" s="557" t="s">
        <v>71</v>
      </c>
      <c r="D26" s="556" t="s">
        <v>72</v>
      </c>
      <c r="E26" s="556">
        <v>60</v>
      </c>
      <c r="F26" s="545" t="s">
        <v>73</v>
      </c>
      <c r="G26" s="556"/>
      <c r="H26" s="560"/>
      <c r="I26" s="566"/>
    </row>
    <row r="27" spans="1:12" ht="20.25" x14ac:dyDescent="0.3">
      <c r="A27" s="559"/>
      <c r="B27" s="559" t="s">
        <v>423</v>
      </c>
      <c r="C27" s="550" t="s">
        <v>421</v>
      </c>
      <c r="D27" s="556"/>
      <c r="E27" s="544">
        <v>1</v>
      </c>
      <c r="F27" s="545" t="s">
        <v>7</v>
      </c>
      <c r="G27" s="556"/>
      <c r="H27" s="560"/>
      <c r="I27" s="567"/>
    </row>
    <row r="28" spans="1:12" ht="20.25" x14ac:dyDescent="0.3">
      <c r="A28" s="548"/>
      <c r="B28" s="549"/>
      <c r="C28" s="550"/>
      <c r="D28" s="542"/>
      <c r="E28" s="544"/>
      <c r="F28" s="545"/>
      <c r="G28" s="556"/>
      <c r="H28" s="560"/>
      <c r="I28" s="567"/>
    </row>
    <row r="29" spans="1:12" ht="20.25" x14ac:dyDescent="0.3">
      <c r="A29" s="548"/>
      <c r="B29" s="549"/>
      <c r="C29" s="550"/>
      <c r="D29" s="542"/>
      <c r="E29" s="544"/>
      <c r="F29" s="545"/>
      <c r="G29" s="568"/>
      <c r="H29" s="560"/>
      <c r="I29" s="569"/>
    </row>
    <row r="30" spans="1:12" ht="21" thickBot="1" x14ac:dyDescent="0.35">
      <c r="A30" s="570"/>
      <c r="B30" s="571"/>
      <c r="C30" s="572"/>
      <c r="D30" s="572"/>
      <c r="E30" s="573"/>
      <c r="F30" s="574"/>
      <c r="G30" s="572"/>
      <c r="H30" s="572"/>
      <c r="I30" s="575"/>
      <c r="L30" s="8"/>
    </row>
    <row r="31" spans="1:12" ht="21" thickBot="1" x14ac:dyDescent="0.35">
      <c r="A31" s="576"/>
      <c r="B31" s="577"/>
      <c r="C31" s="578"/>
      <c r="D31" s="579" t="s">
        <v>15</v>
      </c>
      <c r="E31" s="580" t="s">
        <v>14</v>
      </c>
      <c r="F31" s="581"/>
      <c r="G31" s="578"/>
      <c r="H31" s="578"/>
      <c r="I31" s="582"/>
      <c r="L31" s="8"/>
    </row>
    <row r="32" spans="1:12" ht="20.25" x14ac:dyDescent="0.3">
      <c r="A32" s="656" t="s">
        <v>13</v>
      </c>
      <c r="B32" s="657"/>
      <c r="C32" s="658"/>
      <c r="D32" s="537">
        <v>720</v>
      </c>
      <c r="E32" s="583" t="s">
        <v>2</v>
      </c>
      <c r="F32" s="659" t="s">
        <v>12</v>
      </c>
      <c r="G32" s="659"/>
      <c r="H32" s="628"/>
      <c r="I32" s="629"/>
      <c r="L32" s="8"/>
    </row>
    <row r="33" spans="1:13" ht="20.25" x14ac:dyDescent="0.3">
      <c r="A33" s="630" t="s">
        <v>11</v>
      </c>
      <c r="B33" s="631"/>
      <c r="C33" s="632"/>
      <c r="D33" s="556">
        <v>8</v>
      </c>
      <c r="E33" s="556" t="s">
        <v>10</v>
      </c>
      <c r="F33" s="642" t="s">
        <v>9</v>
      </c>
      <c r="G33" s="642"/>
      <c r="H33" s="634"/>
      <c r="I33" s="635"/>
      <c r="L33" s="8"/>
    </row>
    <row r="34" spans="1:13" ht="20.25" x14ac:dyDescent="0.3">
      <c r="A34" s="630" t="s">
        <v>8</v>
      </c>
      <c r="B34" s="631"/>
      <c r="C34" s="632"/>
      <c r="D34" s="556">
        <v>1</v>
      </c>
      <c r="E34" s="556" t="s">
        <v>7</v>
      </c>
      <c r="F34" s="642" t="s">
        <v>6</v>
      </c>
      <c r="G34" s="642"/>
      <c r="H34" s="634"/>
      <c r="I34" s="635"/>
      <c r="L34" s="8"/>
    </row>
    <row r="35" spans="1:13" ht="20.25" x14ac:dyDescent="0.3">
      <c r="A35" s="630" t="s">
        <v>5</v>
      </c>
      <c r="B35" s="631"/>
      <c r="C35" s="632"/>
      <c r="D35" s="584">
        <v>720</v>
      </c>
      <c r="E35" s="559" t="s">
        <v>2</v>
      </c>
      <c r="F35" s="633" t="s">
        <v>4</v>
      </c>
      <c r="G35" s="633"/>
      <c r="H35" s="634"/>
      <c r="I35" s="635"/>
      <c r="L35" s="8"/>
    </row>
    <row r="36" spans="1:13" ht="21" thickBot="1" x14ac:dyDescent="0.35">
      <c r="A36" s="636" t="s">
        <v>3</v>
      </c>
      <c r="B36" s="637"/>
      <c r="C36" s="638"/>
      <c r="D36" s="585">
        <v>21</v>
      </c>
      <c r="E36" s="586" t="s">
        <v>2</v>
      </c>
      <c r="F36" s="639"/>
      <c r="G36" s="639"/>
      <c r="H36" s="640"/>
      <c r="I36" s="641"/>
      <c r="J36" s="5"/>
      <c r="K36" s="5"/>
      <c r="M36" s="5"/>
    </row>
    <row r="37" spans="1:13" ht="21" thickBot="1" x14ac:dyDescent="0.35">
      <c r="A37" s="620" t="s">
        <v>1</v>
      </c>
      <c r="B37" s="621"/>
      <c r="C37" s="621"/>
      <c r="D37" s="621"/>
      <c r="E37" s="621"/>
      <c r="F37" s="621"/>
      <c r="G37" s="621"/>
      <c r="H37" s="621"/>
      <c r="I37" s="622"/>
    </row>
    <row r="38" spans="1:13" ht="20.25" x14ac:dyDescent="0.3">
      <c r="A38" s="623" t="s">
        <v>74</v>
      </c>
      <c r="B38" s="624"/>
      <c r="C38" s="625"/>
      <c r="D38" s="625"/>
      <c r="E38" s="625"/>
      <c r="F38" s="625"/>
      <c r="G38" s="625"/>
      <c r="H38" s="625"/>
      <c r="I38" s="626"/>
      <c r="J38" s="1"/>
      <c r="K38" s="1"/>
      <c r="L38" s="3"/>
      <c r="M38" s="1"/>
    </row>
    <row r="39" spans="1:13" ht="20.25" x14ac:dyDescent="0.3">
      <c r="A39" s="594" t="s">
        <v>413</v>
      </c>
      <c r="B39" s="595"/>
      <c r="C39" s="596"/>
      <c r="D39" s="596"/>
      <c r="E39" s="596"/>
      <c r="F39" s="596"/>
      <c r="G39" s="596"/>
      <c r="H39" s="596"/>
      <c r="I39" s="597"/>
      <c r="J39" s="1"/>
      <c r="K39" s="1"/>
      <c r="L39" s="3"/>
      <c r="M39" s="4"/>
    </row>
    <row r="40" spans="1:13" ht="47.25" customHeight="1" x14ac:dyDescent="0.3">
      <c r="A40" s="594" t="s">
        <v>415</v>
      </c>
      <c r="B40" s="595"/>
      <c r="C40" s="596"/>
      <c r="D40" s="596"/>
      <c r="E40" s="596"/>
      <c r="F40" s="596"/>
      <c r="G40" s="596"/>
      <c r="H40" s="596"/>
      <c r="I40" s="597"/>
      <c r="J40" s="2"/>
      <c r="K40" s="2"/>
      <c r="L40" s="3"/>
      <c r="M40" s="2"/>
    </row>
    <row r="41" spans="1:13" ht="20.25" x14ac:dyDescent="0.25">
      <c r="A41" s="598" t="s">
        <v>77</v>
      </c>
      <c r="B41" s="599"/>
      <c r="C41" s="599"/>
      <c r="D41" s="599"/>
      <c r="E41" s="599"/>
      <c r="F41" s="599"/>
      <c r="G41" s="599"/>
      <c r="H41" s="599"/>
      <c r="I41" s="600"/>
      <c r="J41" s="2"/>
      <c r="K41" s="2"/>
      <c r="L41" s="3"/>
      <c r="M41" s="2"/>
    </row>
    <row r="42" spans="1:13" ht="20.25" x14ac:dyDescent="0.3">
      <c r="A42" s="605"/>
      <c r="B42" s="606"/>
      <c r="C42" s="607"/>
      <c r="D42" s="607"/>
      <c r="E42" s="607"/>
      <c r="F42" s="607"/>
      <c r="G42" s="607"/>
      <c r="H42" s="607"/>
      <c r="I42" s="608"/>
      <c r="J42" s="1"/>
      <c r="K42" s="1"/>
      <c r="L42" s="1"/>
      <c r="M42" s="1"/>
    </row>
    <row r="43" spans="1:13" ht="21" thickBot="1" x14ac:dyDescent="0.35">
      <c r="A43" s="609"/>
      <c r="B43" s="610"/>
      <c r="C43" s="611"/>
      <c r="D43" s="611"/>
      <c r="E43" s="611"/>
      <c r="F43" s="611"/>
      <c r="G43" s="611"/>
      <c r="H43" s="611"/>
      <c r="I43" s="612"/>
      <c r="J43" s="1"/>
      <c r="K43" s="1"/>
      <c r="L43" s="1"/>
      <c r="M43" s="1"/>
    </row>
    <row r="44" spans="1:13" ht="20.25" x14ac:dyDescent="0.3">
      <c r="A44" s="613" t="s">
        <v>0</v>
      </c>
      <c r="B44" s="614"/>
      <c r="C44" s="614"/>
      <c r="D44" s="614"/>
      <c r="E44" s="614"/>
      <c r="F44" s="614"/>
      <c r="G44" s="614"/>
      <c r="H44" s="614"/>
      <c r="I44" s="615"/>
      <c r="J44" s="1"/>
      <c r="K44" s="1"/>
      <c r="L44" s="1"/>
      <c r="M44" s="1"/>
    </row>
    <row r="45" spans="1:13" ht="21" thickBot="1" x14ac:dyDescent="0.35">
      <c r="A45" s="616"/>
      <c r="B45" s="617"/>
      <c r="C45" s="618"/>
      <c r="D45" s="618"/>
      <c r="E45" s="618"/>
      <c r="F45" s="618"/>
      <c r="G45" s="618"/>
      <c r="H45" s="618"/>
      <c r="I45" s="619"/>
      <c r="J45" s="1"/>
      <c r="K45" s="1"/>
      <c r="L45" s="1"/>
      <c r="M45" s="1"/>
    </row>
    <row r="46" spans="1:13" ht="21" thickBot="1" x14ac:dyDescent="0.35">
      <c r="A46" s="601"/>
      <c r="B46" s="602"/>
      <c r="C46" s="603"/>
      <c r="D46" s="603"/>
      <c r="E46" s="603"/>
      <c r="F46" s="603"/>
      <c r="G46" s="603"/>
      <c r="H46" s="603"/>
      <c r="I46" s="604"/>
      <c r="J46" s="1"/>
      <c r="K46" s="1"/>
      <c r="L46" s="1"/>
      <c r="M46" s="1"/>
    </row>
  </sheetData>
  <mergeCells count="43">
    <mergeCell ref="A1:B5"/>
    <mergeCell ref="C1:G1"/>
    <mergeCell ref="C2:G2"/>
    <mergeCell ref="G7:H7"/>
    <mergeCell ref="D7:D8"/>
    <mergeCell ref="E7:F7"/>
    <mergeCell ref="A32:C32"/>
    <mergeCell ref="F32:G32"/>
    <mergeCell ref="A6:C6"/>
    <mergeCell ref="A7:A8"/>
    <mergeCell ref="B7:B8"/>
    <mergeCell ref="C7:C8"/>
    <mergeCell ref="I3:I5"/>
    <mergeCell ref="D4:G4"/>
    <mergeCell ref="D5:G5"/>
    <mergeCell ref="D6:F6"/>
    <mergeCell ref="G6:H6"/>
    <mergeCell ref="C3:G3"/>
    <mergeCell ref="H3:H5"/>
    <mergeCell ref="A37:I37"/>
    <mergeCell ref="A38:I38"/>
    <mergeCell ref="G18:H18"/>
    <mergeCell ref="H32:I32"/>
    <mergeCell ref="A35:C35"/>
    <mergeCell ref="F35:G35"/>
    <mergeCell ref="H35:I35"/>
    <mergeCell ref="A36:C36"/>
    <mergeCell ref="F36:G36"/>
    <mergeCell ref="H36:I36"/>
    <mergeCell ref="A34:C34"/>
    <mergeCell ref="F34:G34"/>
    <mergeCell ref="H34:I34"/>
    <mergeCell ref="A33:C33"/>
    <mergeCell ref="F33:G33"/>
    <mergeCell ref="H33:I33"/>
    <mergeCell ref="A39:I39"/>
    <mergeCell ref="A40:I40"/>
    <mergeCell ref="A41:I41"/>
    <mergeCell ref="A46:I46"/>
    <mergeCell ref="A42:I42"/>
    <mergeCell ref="A43:I43"/>
    <mergeCell ref="A44:I44"/>
    <mergeCell ref="A45:I45"/>
  </mergeCells>
  <phoneticPr fontId="64" type="noConversion"/>
  <pageMargins left="0.7" right="0.7" top="0.75" bottom="0.75" header="0.3" footer="0.3"/>
  <pageSetup scale="46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5A6D-D94F-45BF-93FA-D5DE8EB6F2C5}">
  <dimension ref="A1:Q91"/>
  <sheetViews>
    <sheetView topLeftCell="A39" workbookViewId="0">
      <selection activeCell="C23" sqref="C23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71093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71093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71093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71093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71093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71093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71093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71093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71093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71093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71093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71093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71093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71093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71093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71093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71093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71093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71093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71093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71093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71093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71093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71093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71093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71093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71093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71093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71093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71093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71093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71093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71093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71093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71093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71093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71093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71093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71093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71093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71093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71093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71093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71093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71093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71093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71093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71093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71093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71093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71093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71093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71093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71093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71093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71093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71093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71093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71093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71093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71093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71093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71093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71093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78</v>
      </c>
      <c r="F1" s="88" t="s">
        <v>79</v>
      </c>
      <c r="G1" s="88" t="s">
        <v>80</v>
      </c>
      <c r="H1" s="88" t="s">
        <v>81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2994.0697785875645</v>
      </c>
      <c r="F2" s="92">
        <f>IFERROR(H53,"")</f>
        <v>1361.1233862637362</v>
      </c>
      <c r="G2" s="92">
        <f>IFERROR(H54,"")</f>
        <v>404.05664117435896</v>
      </c>
      <c r="H2" s="92">
        <f>IFERROR(H56,"")</f>
        <v>629.93508252199683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765"/>
      <c r="B4" s="765"/>
      <c r="C4" s="765"/>
      <c r="D4" s="765"/>
      <c r="E4" s="765"/>
      <c r="F4" s="765"/>
      <c r="G4" s="765"/>
      <c r="H4" s="765"/>
      <c r="I4" s="95"/>
    </row>
    <row r="5" spans="1:10" ht="19.5" customHeight="1" thickBot="1" x14ac:dyDescent="0.3">
      <c r="A5" s="766" t="s">
        <v>82</v>
      </c>
      <c r="B5" s="767"/>
      <c r="C5" s="767"/>
      <c r="D5" s="767"/>
      <c r="E5" s="767"/>
      <c r="F5" s="767"/>
      <c r="G5" s="767"/>
      <c r="H5" s="768"/>
      <c r="I5" s="96"/>
    </row>
    <row r="6" spans="1:10" ht="19.5" thickBot="1" x14ac:dyDescent="0.3">
      <c r="A6" s="96"/>
      <c r="B6" s="96"/>
      <c r="C6" s="96"/>
      <c r="D6" s="96"/>
      <c r="E6" s="96"/>
      <c r="F6" s="769" t="s">
        <v>83</v>
      </c>
      <c r="G6" s="769"/>
      <c r="H6" s="97">
        <f ca="1">TODAY()</f>
        <v>46149</v>
      </c>
      <c r="I6" s="97"/>
    </row>
    <row r="7" spans="1:10" ht="26.25" hidden="1" thickBot="1" x14ac:dyDescent="0.3">
      <c r="A7" s="98" t="s">
        <v>84</v>
      </c>
      <c r="B7" s="99" t="s">
        <v>85</v>
      </c>
      <c r="C7" s="99" t="s">
        <v>84</v>
      </c>
      <c r="D7" s="100" t="s">
        <v>86</v>
      </c>
      <c r="E7" s="100" t="s">
        <v>87</v>
      </c>
      <c r="F7" s="100" t="s">
        <v>88</v>
      </c>
      <c r="G7" s="100" t="s">
        <v>89</v>
      </c>
      <c r="H7" s="101" t="s">
        <v>90</v>
      </c>
      <c r="I7" s="102"/>
    </row>
    <row r="8" spans="1:10" ht="14.25" hidden="1" thickBot="1" x14ac:dyDescent="0.3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4.25" hidden="1" thickBot="1" x14ac:dyDescent="0.3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4.25" hidden="1" thickBot="1" x14ac:dyDescent="0.3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4.25" hidden="1" thickBot="1" x14ac:dyDescent="0.3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4.25" hidden="1" thickBot="1" x14ac:dyDescent="0.3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4.25" hidden="1" thickBot="1" x14ac:dyDescent="0.3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4.25" hidden="1" thickBot="1" x14ac:dyDescent="0.3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84</v>
      </c>
      <c r="B16" s="99" t="s">
        <v>91</v>
      </c>
      <c r="C16" s="99" t="s">
        <v>84</v>
      </c>
      <c r="D16" s="100" t="s">
        <v>86</v>
      </c>
      <c r="E16" s="100" t="s">
        <v>87</v>
      </c>
      <c r="F16" s="100" t="s">
        <v>88</v>
      </c>
      <c r="G16" s="100" t="s">
        <v>89</v>
      </c>
      <c r="H16" s="101" t="s">
        <v>90</v>
      </c>
      <c r="I16" s="102"/>
      <c r="J16" s="108"/>
    </row>
    <row r="17" spans="1:12" ht="13.5" x14ac:dyDescent="0.25">
      <c r="A17" s="527">
        <v>1.5</v>
      </c>
      <c r="B17" s="529" t="s">
        <v>144</v>
      </c>
      <c r="C17" s="526">
        <f>+A17</f>
        <v>1.5</v>
      </c>
      <c r="D17" s="526" t="s">
        <v>129</v>
      </c>
      <c r="E17" s="528">
        <f>+'Costo Rosquete 300 g'!H53</f>
        <v>380.48782417582424</v>
      </c>
      <c r="F17" s="105">
        <f>IFERROR(E17*C17,"")</f>
        <v>570.73173626373637</v>
      </c>
      <c r="G17" s="106">
        <f t="shared" ref="G17:G24" si="3">IFERROR(F17/$F$66,"")</f>
        <v>0.25027675485982515</v>
      </c>
      <c r="H17" s="69" t="s">
        <v>411</v>
      </c>
      <c r="I17" s="107"/>
      <c r="J17" s="108"/>
    </row>
    <row r="18" spans="1:12" ht="13.5" x14ac:dyDescent="0.25">
      <c r="A18" s="527">
        <v>60</v>
      </c>
      <c r="B18" s="529" t="str">
        <f>IFERROR(VLOOKUP(H18,[1]SEMIELABORADOS!$A$2:$M$6000,2,0),"")</f>
        <v>CREMA DULCE LECHE KILO</v>
      </c>
      <c r="C18" s="526">
        <f t="shared" ref="C18:C24" si="4">+A18</f>
        <v>60</v>
      </c>
      <c r="D18" s="526" t="str">
        <f>IFERROR(VLOOKUP(H18,[1]SEMIELABORADOS!$A$2:$M$6000,6,0),"")</f>
        <v>Gramo</v>
      </c>
      <c r="E18" s="528">
        <v>2.68</v>
      </c>
      <c r="F18" s="105">
        <f t="shared" ref="F18:F24" si="5">IFERROR(E18*C18,"")</f>
        <v>160.80000000000001</v>
      </c>
      <c r="G18" s="106">
        <f t="shared" si="3"/>
        <v>7.0513867767225083E-2</v>
      </c>
      <c r="H18" s="107" t="s">
        <v>130</v>
      </c>
      <c r="I18" s="107"/>
      <c r="J18" s="108"/>
    </row>
    <row r="19" spans="1:12" ht="13.5" x14ac:dyDescent="0.25">
      <c r="A19" s="527">
        <v>120</v>
      </c>
      <c r="B19" s="529" t="str">
        <f>IFERROR(VLOOKUP(H19,[1]SEMIELABORADOS!$A$2:$M$6000,2,0),"")</f>
        <v>CREMA CHANTILLY BLANCA SPOON-IND KILO</v>
      </c>
      <c r="C19" s="526">
        <f>+A19</f>
        <v>120</v>
      </c>
      <c r="D19" s="526" t="str">
        <f>IFERROR(VLOOKUP(H19,[1]SEMIELABORADOS!$A$2:$M$6000,6,0),"")</f>
        <v>Gramo</v>
      </c>
      <c r="E19" s="528">
        <v>2.31</v>
      </c>
      <c r="F19" s="105">
        <f>IFERROR(E19*C19,"")</f>
        <v>277.2</v>
      </c>
      <c r="G19" s="106">
        <f t="shared" si="3"/>
        <v>0.12155748846439546</v>
      </c>
      <c r="H19" s="107" t="s">
        <v>131</v>
      </c>
      <c r="I19" s="107"/>
      <c r="J19" s="108"/>
    </row>
    <row r="20" spans="1:12" ht="13.5" x14ac:dyDescent="0.25">
      <c r="A20" s="527">
        <v>76</v>
      </c>
      <c r="B20" s="529" t="s">
        <v>51</v>
      </c>
      <c r="C20" s="526">
        <f>+A20</f>
        <v>76</v>
      </c>
      <c r="D20" s="526" t="s">
        <v>133</v>
      </c>
      <c r="E20" s="528">
        <v>2.2400000000000002</v>
      </c>
      <c r="F20" s="105">
        <f>IFERROR(E20*C20,"")</f>
        <v>170.24</v>
      </c>
      <c r="G20" s="106">
        <f t="shared" si="3"/>
        <v>7.4653487865002477E-2</v>
      </c>
      <c r="H20" s="107" t="s">
        <v>407</v>
      </c>
      <c r="I20" s="107"/>
      <c r="J20" s="108"/>
    </row>
    <row r="21" spans="1:12" ht="13.5" x14ac:dyDescent="0.25">
      <c r="A21" s="527">
        <v>40</v>
      </c>
      <c r="B21" s="529" t="s">
        <v>53</v>
      </c>
      <c r="C21" s="526">
        <f>+A21</f>
        <v>40</v>
      </c>
      <c r="D21" s="526" t="s">
        <v>133</v>
      </c>
      <c r="E21" s="528">
        <v>2.69</v>
      </c>
      <c r="F21" s="105">
        <f>IFERROR(E21*C21,"")</f>
        <v>107.6</v>
      </c>
      <c r="G21" s="106">
        <f t="shared" si="3"/>
        <v>4.7184652809411802E-2</v>
      </c>
      <c r="H21" s="107" t="s">
        <v>134</v>
      </c>
      <c r="I21" s="107"/>
      <c r="J21" s="108"/>
    </row>
    <row r="22" spans="1:12" ht="13.5" x14ac:dyDescent="0.25">
      <c r="A22" s="527">
        <v>30</v>
      </c>
      <c r="B22" s="529" t="str">
        <f>IFERROR(VLOOKUP(H22,[1]SEMIELABORADOS!$A$2:$M$6000,2,0),"")</f>
        <v>CREMA CHANTILLY MORADO BARNIE KILO</v>
      </c>
      <c r="C22" s="526">
        <f t="shared" si="4"/>
        <v>30</v>
      </c>
      <c r="D22" s="526" t="str">
        <f>IFERROR(VLOOKUP(H22,[1]SEMIELABORADOS!$A$2:$M$6000,6,0),"")</f>
        <v>Gramo</v>
      </c>
      <c r="E22" s="528">
        <v>2.42</v>
      </c>
      <c r="F22" s="105">
        <f t="shared" si="5"/>
        <v>72.599999999999994</v>
      </c>
      <c r="G22" s="106">
        <f t="shared" si="3"/>
        <v>3.1836485074008332E-2</v>
      </c>
      <c r="H22" s="107" t="s">
        <v>135</v>
      </c>
      <c r="I22" s="107"/>
      <c r="J22" s="108"/>
    </row>
    <row r="23" spans="1:12" ht="13.5" x14ac:dyDescent="0.25">
      <c r="A23" s="527">
        <v>5</v>
      </c>
      <c r="B23" s="529" t="s">
        <v>147</v>
      </c>
      <c r="C23" s="526">
        <f t="shared" si="4"/>
        <v>5</v>
      </c>
      <c r="D23" s="526" t="s">
        <v>133</v>
      </c>
      <c r="E23" s="528">
        <f>+'Costo de borona '!E69</f>
        <v>1.9516500000000001</v>
      </c>
      <c r="F23" s="105">
        <f>+'Costo de borona '!E69</f>
        <v>1.9516500000000001</v>
      </c>
      <c r="G23" s="106">
        <f t="shared" si="3"/>
        <v>8.5583575888000516E-4</v>
      </c>
      <c r="H23" s="107" t="s">
        <v>145</v>
      </c>
      <c r="I23" s="107"/>
      <c r="J23" s="108"/>
    </row>
    <row r="24" spans="1:12" ht="13.5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 x14ac:dyDescent="0.3">
      <c r="A26" s="98" t="s">
        <v>84</v>
      </c>
      <c r="B26" s="99" t="s">
        <v>56</v>
      </c>
      <c r="C26" s="99" t="s">
        <v>84</v>
      </c>
      <c r="D26" s="100" t="s">
        <v>86</v>
      </c>
      <c r="E26" s="100" t="s">
        <v>87</v>
      </c>
      <c r="F26" s="100" t="s">
        <v>88</v>
      </c>
      <c r="G26" s="100" t="s">
        <v>89</v>
      </c>
      <c r="H26" s="101" t="s">
        <v>90</v>
      </c>
      <c r="I26" s="102"/>
    </row>
    <row r="27" spans="1:12" ht="13.5" x14ac:dyDescent="0.25">
      <c r="A27" s="530">
        <v>1</v>
      </c>
      <c r="B27" s="531" t="str">
        <f>IFERROR(VLOOKUP(H27,'[1]Consolidado MP Planta'!$A$2:$M$823,3,0),"")</f>
        <v>QUEQUERA RED  BASE/DOMO 10 (CAJA:50)</v>
      </c>
      <c r="C27" s="532">
        <f t="shared" ref="C27:C32" si="6">+A27</f>
        <v>1</v>
      </c>
      <c r="D27" s="533" t="str">
        <f>IFERROR(VLOOKUP(H27,'[1]Consolidado MP Planta'!$A$2:$M$823,13,0),"")</f>
        <v>UND</v>
      </c>
      <c r="E27" s="533">
        <v>385</v>
      </c>
      <c r="F27" s="105">
        <f t="shared" ref="F27:F32" si="7">IFERROR(C27*E27,"")</f>
        <v>385</v>
      </c>
      <c r="G27" s="106">
        <f t="shared" ref="G27:G32" si="8">IFERROR(F27/$F$66,"")</f>
        <v>0.16882984508943816</v>
      </c>
      <c r="H27" s="110" t="s">
        <v>136</v>
      </c>
      <c r="I27" s="110"/>
      <c r="J27" s="108"/>
      <c r="K27" s="759">
        <v>420.9</v>
      </c>
      <c r="L27" s="759"/>
    </row>
    <row r="28" spans="1:12" ht="13.5" x14ac:dyDescent="0.25">
      <c r="A28" s="103">
        <v>0</v>
      </c>
      <c r="B28" s="109" t="str">
        <f>IFERROR(VLOOKUP(H28,'[1]Consolidado MP Planta'!$A$2:$M$823,3,0),"")</f>
        <v>ORLA # 10 BUCCA (UND)</v>
      </c>
      <c r="C28" s="104">
        <f t="shared" si="6"/>
        <v>0</v>
      </c>
      <c r="D28" s="105" t="s">
        <v>142</v>
      </c>
      <c r="E28" s="105">
        <v>137</v>
      </c>
      <c r="F28" s="105">
        <f t="shared" si="7"/>
        <v>0</v>
      </c>
      <c r="G28" s="106">
        <f t="shared" si="8"/>
        <v>0</v>
      </c>
      <c r="H28" s="110" t="s">
        <v>137</v>
      </c>
      <c r="I28" s="110"/>
      <c r="J28" s="108"/>
      <c r="K28" s="759"/>
      <c r="L28" s="759"/>
    </row>
    <row r="29" spans="1:12" ht="13.5" x14ac:dyDescent="0.25">
      <c r="A29" s="103">
        <v>1</v>
      </c>
      <c r="B29" s="109" t="str">
        <f>IFERROR(VLOOKUP(H29,'[1]Consolidado MP Planta'!$A$2:$M$823,3,0),"")</f>
        <v>ETIQ.FECHA VENCIMIENTO VERDE (ROLLO)</v>
      </c>
      <c r="C29" s="104">
        <f t="shared" si="6"/>
        <v>1</v>
      </c>
      <c r="D29" s="105" t="str">
        <f>IFERROR(VLOOKUP(H29,'[1]Consolidado MP Planta'!$A$2:$M$823,13,0),"")</f>
        <v>Und</v>
      </c>
      <c r="E29" s="105">
        <v>0.33</v>
      </c>
      <c r="F29" s="105">
        <f t="shared" si="7"/>
        <v>0.33</v>
      </c>
      <c r="G29" s="106">
        <f t="shared" si="8"/>
        <v>1.44711295790947E-4</v>
      </c>
      <c r="H29" s="110" t="s">
        <v>139</v>
      </c>
      <c r="I29" s="110"/>
      <c r="J29" s="108"/>
      <c r="K29" s="759"/>
      <c r="L29" s="759"/>
    </row>
    <row r="30" spans="1:12" ht="13.5" x14ac:dyDescent="0.25">
      <c r="A30" s="103">
        <v>1</v>
      </c>
      <c r="B30" s="109" t="str">
        <f>IFERROR(VLOOKUP(H30,'[1]Consolidado MP Planta'!$A$2:$M$823,3,0),"")</f>
        <v>ETIQ.BLANCA 1 1/4 * 3/4 (UND)</v>
      </c>
      <c r="C30" s="104">
        <f t="shared" si="6"/>
        <v>1</v>
      </c>
      <c r="D30" s="105" t="str">
        <f>IFERROR(VLOOKUP(H30,'[1]Consolidado MP Planta'!$A$2:$M$823,13,0),"")</f>
        <v>Und</v>
      </c>
      <c r="E30" s="105">
        <v>0.57999999999999996</v>
      </c>
      <c r="F30" s="105">
        <f t="shared" si="7"/>
        <v>0.57999999999999996</v>
      </c>
      <c r="G30" s="106">
        <f t="shared" si="8"/>
        <v>2.5434106532954315E-4</v>
      </c>
      <c r="H30" s="110" t="s">
        <v>140</v>
      </c>
      <c r="I30" s="110"/>
      <c r="J30" s="108"/>
      <c r="K30" s="759"/>
      <c r="L30" s="759"/>
    </row>
    <row r="31" spans="1:12" ht="13.5" x14ac:dyDescent="0.25">
      <c r="A31" s="103">
        <v>1</v>
      </c>
      <c r="B31" s="109" t="str">
        <f>IFERROR(VLOOKUP(H31,'[1]Consolidado MP Planta'!$A$2:$M$823,3,0),"")</f>
        <v>ETIQUETA BLANCA 2 5/8X1 15/16 (UND)</v>
      </c>
      <c r="C31" s="104">
        <f t="shared" si="6"/>
        <v>1</v>
      </c>
      <c r="D31" s="105" t="str">
        <f>IFERROR(VLOOKUP(H31,'[1]Consolidado MP Planta'!$A$2:$M$823,13,0),"")</f>
        <v>Und</v>
      </c>
      <c r="E31" s="105">
        <v>2.13</v>
      </c>
      <c r="F31" s="105">
        <f t="shared" si="7"/>
        <v>2.13</v>
      </c>
      <c r="G31" s="106">
        <f t="shared" si="8"/>
        <v>9.3404563646883954E-4</v>
      </c>
      <c r="H31" s="110" t="s">
        <v>141</v>
      </c>
      <c r="I31" s="110"/>
      <c r="J31" s="108"/>
      <c r="K31" s="111"/>
      <c r="L31" s="112"/>
    </row>
    <row r="32" spans="1:12" ht="13.5" x14ac:dyDescent="0.25">
      <c r="A32" s="103">
        <v>60</v>
      </c>
      <c r="B32" s="109" t="str">
        <f>IFERROR(VLOOKUP(H32,'[1]Consolidado MP Planta'!$A$2:$M$823,3,0),"")</f>
        <v>CINTA ADHESIVA TRANSPARENT 2*100 M (UND)</v>
      </c>
      <c r="C32" s="104">
        <f t="shared" si="6"/>
        <v>60</v>
      </c>
      <c r="D32" s="105" t="str">
        <f>IFERROR(VLOOKUP(H32,'[1]Consolidado MP Planta'!$A$2:$M$823,13,0),"")</f>
        <v>Cm</v>
      </c>
      <c r="E32" s="105">
        <v>0.18</v>
      </c>
      <c r="F32" s="105">
        <f t="shared" si="7"/>
        <v>10.799999999999999</v>
      </c>
      <c r="G32" s="106">
        <f t="shared" si="8"/>
        <v>4.7360060440673557E-3</v>
      </c>
      <c r="H32" s="110" t="s">
        <v>138</v>
      </c>
      <c r="I32" s="110"/>
      <c r="J32" s="108"/>
    </row>
    <row r="33" spans="1:13" ht="14.25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thickBot="1" x14ac:dyDescent="0.25">
      <c r="A34" s="98" t="s">
        <v>84</v>
      </c>
      <c r="B34" s="99" t="s">
        <v>92</v>
      </c>
      <c r="C34" s="99" t="s">
        <v>84</v>
      </c>
      <c r="D34" s="100" t="s">
        <v>86</v>
      </c>
      <c r="E34" s="100" t="s">
        <v>87</v>
      </c>
      <c r="F34" s="100" t="s">
        <v>88</v>
      </c>
      <c r="G34" s="100" t="s">
        <v>89</v>
      </c>
      <c r="H34" s="101" t="s">
        <v>90</v>
      </c>
      <c r="I34" s="110"/>
      <c r="J34" s="108"/>
    </row>
    <row r="35" spans="1:13" ht="13.5" x14ac:dyDescent="0.25">
      <c r="A35" s="103">
        <f>+A17</f>
        <v>1.5</v>
      </c>
      <c r="B35" s="91" t="s">
        <v>144</v>
      </c>
      <c r="C35" s="104">
        <f>+A35</f>
        <v>1.5</v>
      </c>
      <c r="D35" s="105" t="s">
        <v>129</v>
      </c>
      <c r="E35" s="105">
        <f>+'Costo Rosquete 300 g'!H54</f>
        <v>3.4633846153846153</v>
      </c>
      <c r="F35" s="105">
        <f>IFERROR(E35*C35,"")</f>
        <v>5.1950769230769227</v>
      </c>
      <c r="G35" s="106">
        <f t="shared" ref="G35:G41" si="9">IFERROR(F35/$F$66,"")</f>
        <v>2.2781403432488101E-3</v>
      </c>
      <c r="H35" s="69" t="s">
        <v>143</v>
      </c>
      <c r="I35" s="110"/>
      <c r="J35" s="108"/>
    </row>
    <row r="36" spans="1:13" ht="13.5" x14ac:dyDescent="0.25">
      <c r="A36" s="103">
        <f t="shared" ref="A36:A41" si="10">+A18</f>
        <v>60</v>
      </c>
      <c r="B36" s="109" t="str">
        <f>IFERROR(VLOOKUP(H36,[1]SEMIELABORADOS!$A$2:$M$6000,2,0),"")</f>
        <v>CREMA DULCE LECHE KILO</v>
      </c>
      <c r="C36" s="104">
        <f t="shared" ref="C36:C41" si="11">+A36</f>
        <v>60</v>
      </c>
      <c r="D36" s="105" t="str">
        <f>IFERROR(VLOOKUP(H36,[1]SEMIELABORADOS!$A$2:$M$6000,6,0),"")</f>
        <v>Gramo</v>
      </c>
      <c r="E36" s="105">
        <f>IFERROR(VLOOKUP(H36,[1]SEMIELABORADOS!$A$2:$M$65536,10,0),"")</f>
        <v>8.5119999999999998E-5</v>
      </c>
      <c r="F36" s="105">
        <f t="shared" ref="F36:F41" si="12">IFERROR(E36*C36,"")</f>
        <v>5.1072000000000001E-3</v>
      </c>
      <c r="G36" s="106">
        <f t="shared" si="9"/>
        <v>2.2396046359500742E-6</v>
      </c>
      <c r="H36" s="107" t="s">
        <v>130</v>
      </c>
      <c r="I36" s="110"/>
      <c r="J36" s="108"/>
    </row>
    <row r="37" spans="1:13" ht="13.5" x14ac:dyDescent="0.25">
      <c r="A37" s="103">
        <f t="shared" si="10"/>
        <v>120</v>
      </c>
      <c r="B37" s="109" t="str">
        <f>IFERROR(VLOOKUP(H37,[1]SEMIELABORADOS!$A$2:$M$6000,2,0),"")</f>
        <v>CREMA CHANTILLY BLANCA SPOON-IND KILO</v>
      </c>
      <c r="C37" s="104">
        <f t="shared" si="11"/>
        <v>120</v>
      </c>
      <c r="D37" s="105" t="str">
        <f>IFERROR(VLOOKUP(H37,[1]SEMIELABORADOS!$A$2:$M$6000,6,0),"")</f>
        <v>Gramo</v>
      </c>
      <c r="E37" s="105">
        <f>IFERROR(VLOOKUP(H37,[1]SEMIELABORADOS!$A$2:$M$65536,10,0),"")</f>
        <v>2.7884615384615379E-5</v>
      </c>
      <c r="F37" s="105">
        <f t="shared" si="12"/>
        <v>3.3461538461538455E-3</v>
      </c>
      <c r="G37" s="106">
        <f t="shared" si="9"/>
        <v>1.4673522999781335E-6</v>
      </c>
      <c r="H37" s="110" t="s">
        <v>131</v>
      </c>
      <c r="I37" s="110"/>
      <c r="J37" s="108"/>
    </row>
    <row r="38" spans="1:13" ht="13.5" x14ac:dyDescent="0.25">
      <c r="A38" s="103">
        <f t="shared" si="10"/>
        <v>76</v>
      </c>
      <c r="B38" s="109" t="s">
        <v>51</v>
      </c>
      <c r="C38" s="104">
        <f>+A38</f>
        <v>76</v>
      </c>
      <c r="D38" s="105" t="s">
        <v>133</v>
      </c>
      <c r="E38" s="105">
        <v>0</v>
      </c>
      <c r="F38" s="105">
        <f>IFERROR(E38*C38,"")</f>
        <v>0</v>
      </c>
      <c r="G38" s="106">
        <f t="shared" si="9"/>
        <v>0</v>
      </c>
      <c r="H38" s="110" t="s">
        <v>132</v>
      </c>
      <c r="I38" s="110"/>
      <c r="J38" s="108"/>
    </row>
    <row r="39" spans="1:13" ht="13.5" x14ac:dyDescent="0.25">
      <c r="A39" s="103">
        <f t="shared" si="10"/>
        <v>40</v>
      </c>
      <c r="B39" s="109" t="s">
        <v>53</v>
      </c>
      <c r="C39" s="104">
        <f>+A39</f>
        <v>40</v>
      </c>
      <c r="D39" s="105" t="s">
        <v>133</v>
      </c>
      <c r="E39" s="105">
        <v>0</v>
      </c>
      <c r="F39" s="105">
        <f>IFERROR(E39*C39,"")</f>
        <v>0</v>
      </c>
      <c r="G39" s="106">
        <f t="shared" si="9"/>
        <v>0</v>
      </c>
      <c r="H39" s="110" t="s">
        <v>134</v>
      </c>
      <c r="I39" s="110"/>
      <c r="J39" s="108"/>
    </row>
    <row r="40" spans="1:13" ht="13.5" x14ac:dyDescent="0.25">
      <c r="A40" s="103">
        <f t="shared" si="10"/>
        <v>30</v>
      </c>
      <c r="B40" s="109" t="str">
        <f>IFERROR(VLOOKUP(H40,[1]SEMIELABORADOS!$A$2:$M$6000,2,0),"")</f>
        <v>CREMA CHANTILLY MORADO BARNIE KILO</v>
      </c>
      <c r="C40" s="104">
        <f t="shared" si="11"/>
        <v>30</v>
      </c>
      <c r="D40" s="105" t="str">
        <f>IFERROR(VLOOKUP(H40,[1]SEMIELABORADOS!$A$2:$M$6000,6,0),"")</f>
        <v>Gramo</v>
      </c>
      <c r="E40" s="105">
        <f>IFERROR(VLOOKUP(H40,[1]SEMIELABORADOS!$A$2:$M$65536,10,0),"")</f>
        <v>1.023076923076923E-4</v>
      </c>
      <c r="F40" s="105">
        <f t="shared" si="12"/>
        <v>3.069230769230769E-3</v>
      </c>
      <c r="G40" s="106">
        <f t="shared" si="9"/>
        <v>1.3459162475661501E-6</v>
      </c>
      <c r="H40" s="110" t="s">
        <v>135</v>
      </c>
      <c r="I40" s="110"/>
      <c r="J40" s="108"/>
    </row>
    <row r="41" spans="1:13" ht="13.5" x14ac:dyDescent="0.25">
      <c r="A41" s="103">
        <f t="shared" si="10"/>
        <v>5</v>
      </c>
      <c r="B41" s="109" t="s">
        <v>147</v>
      </c>
      <c r="C41" s="104">
        <f t="shared" si="11"/>
        <v>5</v>
      </c>
      <c r="D41" s="105" t="s">
        <v>133</v>
      </c>
      <c r="E41" s="105">
        <f>+'Costo de borona '!E76</f>
        <v>2.0083333333333333E-3</v>
      </c>
      <c r="F41" s="105">
        <f t="shared" si="12"/>
        <v>1.0041666666666667E-2</v>
      </c>
      <c r="G41" s="106">
        <f t="shared" si="9"/>
        <v>4.4034624098002807E-6</v>
      </c>
      <c r="H41" s="110" t="s">
        <v>145</v>
      </c>
      <c r="I41" s="110"/>
      <c r="J41" s="108"/>
    </row>
    <row r="42" spans="1:13" ht="14.25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84</v>
      </c>
      <c r="B43" s="99" t="s">
        <v>93</v>
      </c>
      <c r="C43" s="99" t="s">
        <v>84</v>
      </c>
      <c r="D43" s="100" t="s">
        <v>86</v>
      </c>
      <c r="E43" s="100" t="s">
        <v>87</v>
      </c>
      <c r="F43" s="100" t="s">
        <v>88</v>
      </c>
      <c r="G43" s="100" t="s">
        <v>89</v>
      </c>
      <c r="H43" s="101" t="s">
        <v>90</v>
      </c>
      <c r="I43" s="102"/>
      <c r="J43" s="108"/>
    </row>
    <row r="44" spans="1:13" ht="13.5" x14ac:dyDescent="0.25">
      <c r="A44" s="103">
        <f>+A35</f>
        <v>1.5</v>
      </c>
      <c r="B44" s="91" t="s">
        <v>144</v>
      </c>
      <c r="C44" s="104">
        <f>+A44</f>
        <v>1.5</v>
      </c>
      <c r="D44" s="105" t="s">
        <v>129</v>
      </c>
      <c r="E44" s="105">
        <v>30.28</v>
      </c>
      <c r="F44" s="105">
        <f>IFERROR(E44*C44,"")</f>
        <v>45.42</v>
      </c>
      <c r="G44" s="106">
        <f>IFERROR(F44/$F$66,"")</f>
        <v>1.991753652977216E-2</v>
      </c>
      <c r="H44" s="69" t="s">
        <v>143</v>
      </c>
      <c r="I44" s="102"/>
      <c r="J44" s="108"/>
    </row>
    <row r="45" spans="1:13" ht="13.5" x14ac:dyDescent="0.25">
      <c r="A45" s="103">
        <f t="shared" ref="A45:A50" si="13">+A36</f>
        <v>60</v>
      </c>
      <c r="B45" s="109" t="str">
        <f>IFERROR(VLOOKUP(H45,[1]SEMIELABORADOS!$A$2:$M$6000,2,0),"")</f>
        <v>CREMA DULCE LECHE KILO</v>
      </c>
      <c r="C45" s="104">
        <f t="shared" ref="C45:C50" si="14">+A45</f>
        <v>60</v>
      </c>
      <c r="D45" s="105" t="str">
        <f>IFERROR(VLOOKUP(H45,[1]SEMIELABORADOS!$A$2:$M$6000,6,0),"")</f>
        <v>Gramo</v>
      </c>
      <c r="E45" s="105">
        <f>IFERROR(VLOOKUP(H45,[1]SEMIELABORADOS!$A$2:$M$65536,12,0),"")</f>
        <v>0.48247311132734694</v>
      </c>
      <c r="F45" s="105">
        <f t="shared" ref="F45:F50" si="15">IFERROR(E45*C45,"")</f>
        <v>28.948386679640816</v>
      </c>
      <c r="G45" s="106">
        <f t="shared" ref="G45:G50" si="16">IFERROR(F45/$F$66,"")</f>
        <v>1.2694419840812763E-2</v>
      </c>
      <c r="H45" s="107" t="s">
        <v>130</v>
      </c>
      <c r="I45" s="102"/>
      <c r="J45" s="108"/>
      <c r="M45" s="113"/>
    </row>
    <row r="46" spans="1:13" ht="13.5" x14ac:dyDescent="0.25">
      <c r="A46" s="103">
        <f t="shared" si="13"/>
        <v>120</v>
      </c>
      <c r="B46" s="109" t="str">
        <f>IFERROR(VLOOKUP(H46,[1]SEMIELABORADOS!$A$2:$M$6000,2,0),"")</f>
        <v>CREMA CHANTILLY BLANCA SPOON-IND KILO</v>
      </c>
      <c r="C46" s="104">
        <f t="shared" si="14"/>
        <v>120</v>
      </c>
      <c r="D46" s="105" t="str">
        <f>IFERROR(VLOOKUP(H46,[1]SEMIELABORADOS!$A$2:$M$6000,6,0),"")</f>
        <v>Gramo</v>
      </c>
      <c r="E46" s="105">
        <f>IFERROR(VLOOKUP(H46,[1]SEMIELABORADOS!$A$2:$M$65536,12,0),"")</f>
        <v>0.41607800376923076</v>
      </c>
      <c r="F46" s="105">
        <f t="shared" si="15"/>
        <v>49.929360452307691</v>
      </c>
      <c r="G46" s="106">
        <f t="shared" si="16"/>
        <v>2.1894977118383965E-2</v>
      </c>
      <c r="H46" s="110" t="s">
        <v>131</v>
      </c>
      <c r="I46" s="102"/>
      <c r="J46" s="108"/>
    </row>
    <row r="47" spans="1:13" ht="13.5" x14ac:dyDescent="0.25">
      <c r="A47" s="103">
        <f t="shared" si="13"/>
        <v>76</v>
      </c>
      <c r="B47" s="109" t="s">
        <v>51</v>
      </c>
      <c r="C47" s="104">
        <f t="shared" si="14"/>
        <v>76</v>
      </c>
      <c r="D47" s="105" t="s">
        <v>133</v>
      </c>
      <c r="E47" s="105">
        <v>0.02</v>
      </c>
      <c r="F47" s="105">
        <f t="shared" si="15"/>
        <v>1.52</v>
      </c>
      <c r="G47" s="106">
        <f t="shared" si="16"/>
        <v>6.6654899879466491E-4</v>
      </c>
      <c r="H47" s="110" t="s">
        <v>132</v>
      </c>
      <c r="I47" s="102"/>
      <c r="J47" s="108"/>
    </row>
    <row r="48" spans="1:13" ht="13.5" x14ac:dyDescent="0.25">
      <c r="A48" s="103">
        <f t="shared" si="13"/>
        <v>40</v>
      </c>
      <c r="B48" s="109" t="s">
        <v>53</v>
      </c>
      <c r="C48" s="104">
        <f t="shared" si="14"/>
        <v>40</v>
      </c>
      <c r="D48" s="105" t="s">
        <v>133</v>
      </c>
      <c r="E48" s="105">
        <v>0.02</v>
      </c>
      <c r="F48" s="105">
        <f t="shared" si="15"/>
        <v>0.8</v>
      </c>
      <c r="G48" s="106">
        <f t="shared" si="16"/>
        <v>3.5081526252350785E-4</v>
      </c>
      <c r="H48" s="110" t="s">
        <v>134</v>
      </c>
      <c r="I48" s="102"/>
      <c r="J48" s="108"/>
    </row>
    <row r="49" spans="1:17" ht="13.5" x14ac:dyDescent="0.25">
      <c r="A49" s="103">
        <f t="shared" si="13"/>
        <v>30</v>
      </c>
      <c r="B49" s="109" t="str">
        <f>IFERROR(VLOOKUP(H49,[1]SEMIELABORADOS!$A$2:$M$6000,2,0),"")</f>
        <v>CREMA CHANTILLY MORADO BARNIE KILO</v>
      </c>
      <c r="C49" s="104">
        <f t="shared" si="14"/>
        <v>30</v>
      </c>
      <c r="D49" s="105" t="str">
        <f>IFERROR(VLOOKUP(H49,[1]SEMIELABORADOS!$A$2:$M$6000,6,0),"")</f>
        <v>Gramo</v>
      </c>
      <c r="E49" s="105">
        <f>IFERROR(VLOOKUP(H49,[1]SEMIELABORADOS!$A$2:$M$65536,12,0),"")</f>
        <v>0.43571673522383425</v>
      </c>
      <c r="F49" s="105">
        <f t="shared" si="15"/>
        <v>13.071502056715028</v>
      </c>
      <c r="G49" s="106">
        <f t="shared" si="16"/>
        <v>5.7321030320038194E-3</v>
      </c>
      <c r="H49" s="110" t="s">
        <v>135</v>
      </c>
      <c r="I49" s="102"/>
      <c r="J49" s="108"/>
    </row>
    <row r="50" spans="1:17" ht="13.5" x14ac:dyDescent="0.25">
      <c r="A50" s="103">
        <f t="shared" si="13"/>
        <v>5</v>
      </c>
      <c r="B50" s="109" t="str">
        <f>IFERROR(VLOOKUP(H50,[1]SEMIELABORADOS!$A$2:$M$6000,2,0),"")</f>
        <v>BORONA P/DECORAR KILO</v>
      </c>
      <c r="C50" s="104">
        <f t="shared" si="14"/>
        <v>5</v>
      </c>
      <c r="D50" s="105" t="str">
        <f>IFERROR(VLOOKUP(H50,[1]SEMIELABORADOS!$A$2:$M$6000,6,0),"")</f>
        <v>Gramo</v>
      </c>
      <c r="E50" s="105">
        <f>+'Costo de borona '!E74</f>
        <v>0.44916666666666666</v>
      </c>
      <c r="F50" s="105">
        <f t="shared" si="15"/>
        <v>2.2458333333333331</v>
      </c>
      <c r="G50" s="106">
        <f t="shared" si="16"/>
        <v>9.8484076302172248E-4</v>
      </c>
      <c r="H50" s="109" t="s">
        <v>145</v>
      </c>
      <c r="I50" s="102"/>
      <c r="J50" s="108"/>
    </row>
    <row r="51" spans="1:17" ht="13.5" x14ac:dyDescent="0.25">
      <c r="A51" s="103">
        <v>1</v>
      </c>
      <c r="B51" s="109" t="s">
        <v>94</v>
      </c>
      <c r="C51" s="104">
        <f>+A51</f>
        <v>1</v>
      </c>
      <c r="D51" s="104" t="s">
        <v>95</v>
      </c>
      <c r="E51" s="105">
        <f>+F65</f>
        <v>488</v>
      </c>
      <c r="F51" s="105">
        <f>IFERROR(C51*E51,"")</f>
        <v>488</v>
      </c>
      <c r="G51" s="106">
        <f>IFERROR(F51/$F$66,"")</f>
        <v>0.21399731013933979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760" t="s">
        <v>96</v>
      </c>
      <c r="C53" s="760"/>
      <c r="D53" s="760"/>
      <c r="E53" s="760"/>
      <c r="F53" s="117">
        <f>SUM(F8:F14,F17:F24)</f>
        <v>1361.1233862637362</v>
      </c>
      <c r="G53" s="106">
        <f>+F53/$F$66</f>
        <v>0.59687857259874821</v>
      </c>
      <c r="H53" s="118">
        <f>+F53/$D$60</f>
        <v>1361.1233862637362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760" t="s">
        <v>97</v>
      </c>
      <c r="C54" s="760"/>
      <c r="D54" s="760"/>
      <c r="E54" s="760"/>
      <c r="F54" s="117">
        <f>SUM(F27:F32,F35:F41)</f>
        <v>404.05664117435896</v>
      </c>
      <c r="G54" s="106">
        <f>+F54/$F$66</f>
        <v>0.17718654580993692</v>
      </c>
      <c r="H54" s="118">
        <f>+F54/$D$60</f>
        <v>404.05664117435896</v>
      </c>
      <c r="I54" s="118"/>
      <c r="J54" s="122"/>
      <c r="K54" s="761" t="s">
        <v>98</v>
      </c>
      <c r="L54" s="762"/>
      <c r="M54" s="762"/>
      <c r="N54" s="762"/>
      <c r="O54" s="123">
        <f>+F55</f>
        <v>1765.1800274380951</v>
      </c>
      <c r="P54" s="123"/>
      <c r="Q54" s="124"/>
    </row>
    <row r="55" spans="1:17" x14ac:dyDescent="0.2">
      <c r="A55" s="115"/>
      <c r="B55" s="760" t="s">
        <v>99</v>
      </c>
      <c r="C55" s="760"/>
      <c r="D55" s="760"/>
      <c r="E55" s="760"/>
      <c r="F55" s="117">
        <f>+F53+F54</f>
        <v>1765.1800274380951</v>
      </c>
      <c r="G55" s="106">
        <f>+F55/$F$66</f>
        <v>0.77406511840868508</v>
      </c>
      <c r="H55" s="118">
        <f>+F55/$D$60</f>
        <v>1765.1800274380951</v>
      </c>
      <c r="I55" s="118"/>
      <c r="J55" s="125"/>
      <c r="K55" s="126"/>
      <c r="M55" s="127" t="s">
        <v>100</v>
      </c>
      <c r="N55" s="128"/>
      <c r="O55" s="123">
        <f>+H56</f>
        <v>629.93508252199683</v>
      </c>
      <c r="P55" s="123"/>
      <c r="Q55" s="124"/>
    </row>
    <row r="56" spans="1:17" ht="13.5" thickBot="1" x14ac:dyDescent="0.25">
      <c r="A56" s="115"/>
      <c r="B56" s="116"/>
      <c r="C56" s="760" t="s">
        <v>101</v>
      </c>
      <c r="D56" s="760"/>
      <c r="E56" s="760"/>
      <c r="F56" s="117">
        <f>SUM(F44:F51)</f>
        <v>629.93508252199683</v>
      </c>
      <c r="G56" s="106">
        <f>+F56/$F$66</f>
        <v>0.27623855168465239</v>
      </c>
      <c r="H56" s="118">
        <f>+F56/$D$60</f>
        <v>629.93508252199683</v>
      </c>
      <c r="I56" s="118"/>
      <c r="J56" s="125"/>
      <c r="K56" s="126"/>
      <c r="L56" s="126"/>
      <c r="M56" s="126" t="s">
        <v>102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103</v>
      </c>
      <c r="N57" s="135"/>
      <c r="O57" s="136">
        <f>SUM(O54:O56)</f>
        <v>2395.115109960092</v>
      </c>
      <c r="P57" s="137"/>
      <c r="Q57" s="124"/>
    </row>
    <row r="58" spans="1:17" x14ac:dyDescent="0.2">
      <c r="B58" s="763" t="s">
        <v>104</v>
      </c>
      <c r="C58" s="763"/>
      <c r="D58" s="138">
        <v>720</v>
      </c>
      <c r="E58" s="139"/>
      <c r="G58" s="106"/>
      <c r="H58" s="132">
        <f>+H56/61</f>
        <v>10.326804631508145</v>
      </c>
      <c r="I58" s="140"/>
      <c r="J58" s="125"/>
      <c r="K58" s="133"/>
      <c r="L58" s="126"/>
      <c r="M58" s="126" t="s">
        <v>105</v>
      </c>
      <c r="N58" s="141"/>
      <c r="O58" s="123">
        <f>+H59</f>
        <v>598.95466862747242</v>
      </c>
      <c r="P58" s="123"/>
      <c r="Q58" s="124"/>
    </row>
    <row r="59" spans="1:17" x14ac:dyDescent="0.2">
      <c r="B59" s="763" t="s">
        <v>106</v>
      </c>
      <c r="C59" s="763"/>
      <c r="D59" s="142">
        <v>720</v>
      </c>
      <c r="E59" s="139"/>
      <c r="G59" s="106"/>
      <c r="H59" s="132">
        <f>+H58*58</f>
        <v>598.95466862747242</v>
      </c>
      <c r="I59" s="140"/>
      <c r="J59" s="125"/>
      <c r="K59" s="133"/>
      <c r="L59" s="126"/>
      <c r="M59" s="764" t="s">
        <v>103</v>
      </c>
      <c r="N59" s="764"/>
      <c r="O59" s="123">
        <f>SUM(O57:O58)</f>
        <v>2994.0697785875645</v>
      </c>
      <c r="P59" s="123"/>
      <c r="Q59" s="124"/>
    </row>
    <row r="60" spans="1:17" ht="13.5" thickBot="1" x14ac:dyDescent="0.25">
      <c r="B60" s="755" t="s">
        <v>107</v>
      </c>
      <c r="C60" s="755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764"/>
      <c r="M60" s="764"/>
      <c r="N60" s="141"/>
      <c r="O60" s="123">
        <f>+O59*N60</f>
        <v>0</v>
      </c>
      <c r="P60" s="123"/>
      <c r="Q60" s="124"/>
    </row>
    <row r="61" spans="1:17" ht="13.5" thickBot="1" x14ac:dyDescent="0.25">
      <c r="B61" s="755" t="s">
        <v>108</v>
      </c>
      <c r="C61" s="755"/>
      <c r="D61" s="144"/>
      <c r="E61" s="139"/>
      <c r="F61" s="143"/>
      <c r="G61" s="106"/>
      <c r="H61" s="132"/>
      <c r="I61" s="140"/>
      <c r="J61" s="125"/>
      <c r="K61" s="756" t="s">
        <v>109</v>
      </c>
      <c r="L61" s="757"/>
      <c r="M61" s="757"/>
      <c r="N61" s="758"/>
      <c r="O61" s="136">
        <f>SUM(O59:O60)</f>
        <v>2994.0697785875645</v>
      </c>
      <c r="P61" s="145" t="s">
        <v>110</v>
      </c>
      <c r="Q61" s="124"/>
    </row>
    <row r="62" spans="1:17" ht="13.5" thickBot="1" x14ac:dyDescent="0.25">
      <c r="C62" s="115" t="s">
        <v>111</v>
      </c>
      <c r="D62" s="146"/>
      <c r="E62" s="89" t="s">
        <v>112</v>
      </c>
      <c r="F62" s="147" t="s">
        <v>113</v>
      </c>
      <c r="G62" s="106"/>
      <c r="H62" s="132"/>
      <c r="I62" s="140"/>
      <c r="J62" s="148"/>
      <c r="K62" s="149"/>
      <c r="L62" s="744" t="s">
        <v>114</v>
      </c>
      <c r="M62" s="744"/>
      <c r="N62" s="744"/>
      <c r="O62" s="150">
        <f>+O61/D60</f>
        <v>2994.0697785875645</v>
      </c>
      <c r="P62" s="151">
        <f>+O62/D59</f>
        <v>4.1584302480382842</v>
      </c>
      <c r="Q62" s="152"/>
    </row>
    <row r="63" spans="1:17" ht="13.5" thickBot="1" x14ac:dyDescent="0.25">
      <c r="B63" s="745" t="s">
        <v>99</v>
      </c>
      <c r="C63" s="745"/>
      <c r="D63" s="745"/>
      <c r="E63" s="153">
        <f>+F63/F63</f>
        <v>1</v>
      </c>
      <c r="F63" s="154">
        <f>SUM(F55)</f>
        <v>1765.1800274380951</v>
      </c>
      <c r="G63" s="106">
        <f>+F63/$F$66</f>
        <v>0.77406511840868508</v>
      </c>
      <c r="H63" s="132"/>
      <c r="I63" s="140"/>
      <c r="K63" s="746"/>
      <c r="L63" s="747"/>
      <c r="M63" s="747"/>
      <c r="N63" s="747"/>
      <c r="O63" s="155"/>
      <c r="P63" s="156"/>
    </row>
    <row r="64" spans="1:17" ht="13.5" thickBot="1" x14ac:dyDescent="0.3">
      <c r="B64" s="748" t="s">
        <v>115</v>
      </c>
      <c r="C64" s="748"/>
      <c r="D64" s="748"/>
      <c r="E64" s="157">
        <v>0.02</v>
      </c>
      <c r="F64" s="154">
        <f>+F53*E64</f>
        <v>27.222467725274726</v>
      </c>
      <c r="G64" s="106">
        <f>+F64/$F$66</f>
        <v>1.1937571451974965E-2</v>
      </c>
      <c r="H64" s="118"/>
      <c r="I64" s="140"/>
      <c r="J64" s="158"/>
      <c r="O64" s="159"/>
      <c r="P64" s="116"/>
    </row>
    <row r="65" spans="2:15" ht="13.5" thickBot="1" x14ac:dyDescent="0.3">
      <c r="B65" s="749" t="s">
        <v>116</v>
      </c>
      <c r="C65" s="750"/>
      <c r="D65" s="160">
        <v>8</v>
      </c>
      <c r="E65" s="161">
        <v>61</v>
      </c>
      <c r="F65" s="154">
        <f>+E65*D65</f>
        <v>488</v>
      </c>
      <c r="G65" s="106">
        <f>+F65/$F$66</f>
        <v>0.21399731013933979</v>
      </c>
      <c r="H65" s="118"/>
      <c r="I65" s="118"/>
      <c r="J65" s="108"/>
      <c r="O65" s="91">
        <v>3522.59</v>
      </c>
    </row>
    <row r="66" spans="2:15" ht="13.5" thickBot="1" x14ac:dyDescent="0.3">
      <c r="B66" s="751" t="s">
        <v>117</v>
      </c>
      <c r="C66" s="752"/>
      <c r="D66" s="752"/>
      <c r="E66" s="753"/>
      <c r="F66" s="131">
        <f>SUM(F63:F65)</f>
        <v>2280.4024951633701</v>
      </c>
      <c r="G66" s="106">
        <f>+F66/$F$66</f>
        <v>1</v>
      </c>
      <c r="H66" s="754"/>
      <c r="I66" s="118"/>
      <c r="J66" s="108"/>
      <c r="M66" s="91" t="s">
        <v>118</v>
      </c>
    </row>
    <row r="67" spans="2:15" x14ac:dyDescent="0.25">
      <c r="C67" s="113"/>
      <c r="D67" s="113"/>
      <c r="E67" s="163"/>
      <c r="F67" s="154"/>
      <c r="G67" s="106"/>
      <c r="H67" s="754"/>
      <c r="I67" s="162"/>
      <c r="J67" s="91"/>
      <c r="M67" s="91" t="s">
        <v>119</v>
      </c>
    </row>
    <row r="68" spans="2:15" ht="13.5" thickBot="1" x14ac:dyDescent="0.3">
      <c r="B68" s="739" t="s">
        <v>120</v>
      </c>
      <c r="C68" s="739"/>
      <c r="D68" s="739"/>
      <c r="E68" s="739"/>
      <c r="F68" s="739"/>
      <c r="G68" s="106"/>
      <c r="H68" s="165"/>
      <c r="I68" s="162"/>
      <c r="J68" s="91"/>
      <c r="M68" s="91" t="s">
        <v>121</v>
      </c>
    </row>
    <row r="69" spans="2:15" ht="13.5" thickBot="1" x14ac:dyDescent="0.3">
      <c r="B69" s="166" t="s">
        <v>122</v>
      </c>
      <c r="C69" s="167">
        <f>+F53</f>
        <v>1361.1233862637362</v>
      </c>
      <c r="D69" s="167">
        <f>+D58</f>
        <v>720</v>
      </c>
      <c r="E69" s="168">
        <f>+C69/D69</f>
        <v>1.8904491475885226</v>
      </c>
      <c r="F69" s="106"/>
      <c r="G69" s="165"/>
      <c r="H69" s="108"/>
      <c r="I69" s="165"/>
      <c r="J69" s="91"/>
    </row>
    <row r="70" spans="2:15" x14ac:dyDescent="0.25">
      <c r="B70" s="169"/>
      <c r="C70" s="170"/>
      <c r="D70" s="171"/>
      <c r="E70" s="154"/>
      <c r="F70" s="106"/>
      <c r="G70" s="165"/>
      <c r="H70" s="108"/>
      <c r="I70" s="108"/>
      <c r="J70" s="91"/>
      <c r="M70" s="91" t="s">
        <v>387</v>
      </c>
    </row>
    <row r="71" spans="2:15" x14ac:dyDescent="0.25">
      <c r="B71" s="166" t="s">
        <v>123</v>
      </c>
      <c r="C71" s="167">
        <f>SUM(F63:F64)</f>
        <v>1792.4024951633698</v>
      </c>
      <c r="D71" s="167">
        <f>+D58</f>
        <v>720</v>
      </c>
      <c r="E71" s="172">
        <f>+C71/D71</f>
        <v>2.4894479099491247</v>
      </c>
      <c r="F71" s="106"/>
      <c r="G71" s="165"/>
      <c r="H71" s="108"/>
      <c r="I71" s="108"/>
      <c r="J71" s="91"/>
      <c r="M71" s="91" t="s">
        <v>388</v>
      </c>
    </row>
    <row r="72" spans="2:15" x14ac:dyDescent="0.25">
      <c r="B72" s="166"/>
      <c r="C72" s="167"/>
      <c r="D72" s="167"/>
      <c r="E72" s="172"/>
      <c r="F72" s="106"/>
      <c r="G72" s="165"/>
      <c r="H72" s="108"/>
      <c r="I72" s="108"/>
      <c r="J72" s="91"/>
      <c r="M72" s="91" t="s">
        <v>389</v>
      </c>
    </row>
    <row r="73" spans="2:15" ht="13.5" thickBot="1" x14ac:dyDescent="0.3">
      <c r="B73" s="166" t="s">
        <v>124</v>
      </c>
      <c r="C73" s="167">
        <f>+F65</f>
        <v>488</v>
      </c>
      <c r="D73" s="167">
        <f>+D58</f>
        <v>720</v>
      </c>
      <c r="E73" s="172">
        <f>+C73/D73</f>
        <v>0.67777777777777781</v>
      </c>
      <c r="F73" s="106"/>
      <c r="G73" s="165"/>
      <c r="H73" s="108"/>
      <c r="I73" s="108"/>
      <c r="J73" s="91"/>
    </row>
    <row r="74" spans="2:15" ht="13.5" thickBot="1" x14ac:dyDescent="0.3">
      <c r="B74" s="166" t="s">
        <v>125</v>
      </c>
      <c r="C74" s="167">
        <f>+F56</f>
        <v>629.93508252199683</v>
      </c>
      <c r="D74" s="167">
        <f>+D73</f>
        <v>720</v>
      </c>
      <c r="E74" s="168">
        <f>+C74/D74</f>
        <v>0.87490983683610668</v>
      </c>
      <c r="F74" s="106"/>
      <c r="G74" s="165"/>
      <c r="H74" s="108"/>
      <c r="I74" s="108"/>
      <c r="J74" s="91"/>
    </row>
    <row r="75" spans="2:15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5" ht="13.5" thickBot="1" x14ac:dyDescent="0.3">
      <c r="B76" s="166" t="s">
        <v>126</v>
      </c>
      <c r="C76" s="167">
        <f>+F54</f>
        <v>404.05664117435896</v>
      </c>
      <c r="D76" s="167">
        <f>+D74</f>
        <v>720</v>
      </c>
      <c r="E76" s="168">
        <f>+C76/D76</f>
        <v>0.56118977940883186</v>
      </c>
      <c r="F76" s="106"/>
      <c r="G76" s="165"/>
      <c r="H76" s="108"/>
      <c r="I76" s="108"/>
      <c r="J76" s="108"/>
    </row>
    <row r="77" spans="2:15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5" ht="13.5" thickBot="1" x14ac:dyDescent="0.3">
      <c r="B78" s="740" t="s">
        <v>127</v>
      </c>
      <c r="C78" s="741"/>
      <c r="D78" s="742"/>
      <c r="E78" s="168">
        <f>+E69+E74</f>
        <v>2.7653589844246294</v>
      </c>
      <c r="G78" s="106"/>
      <c r="H78" s="165"/>
      <c r="I78" s="108"/>
      <c r="J78" s="172"/>
    </row>
    <row r="79" spans="2:15" x14ac:dyDescent="0.25">
      <c r="I79" s="165"/>
      <c r="J79" s="91"/>
    </row>
    <row r="80" spans="2:15" ht="13.5" thickBot="1" x14ac:dyDescent="0.3">
      <c r="B80" s="739" t="s">
        <v>128</v>
      </c>
      <c r="C80" s="739"/>
      <c r="D80" s="739"/>
      <c r="E80" s="739"/>
      <c r="F80" s="739"/>
      <c r="G80" s="106"/>
      <c r="H80" s="165"/>
      <c r="J80" s="91"/>
    </row>
    <row r="81" spans="1:10" ht="13.5" thickBot="1" x14ac:dyDescent="0.3">
      <c r="B81" s="166" t="s">
        <v>122</v>
      </c>
      <c r="C81" s="167">
        <f>+C69</f>
        <v>1361.1233862637362</v>
      </c>
      <c r="D81" s="167">
        <f>+D60</f>
        <v>1</v>
      </c>
      <c r="E81" s="168">
        <f>+C81/D81</f>
        <v>1361.1233862637362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123</v>
      </c>
      <c r="C83" s="167">
        <f>+C71</f>
        <v>1792.4024951633698</v>
      </c>
      <c r="D83" s="167">
        <f>+D60</f>
        <v>1</v>
      </c>
      <c r="E83" s="172">
        <f>+C83/D83</f>
        <v>1792.4024951633698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125</v>
      </c>
      <c r="C85" s="167">
        <f>+C73</f>
        <v>488</v>
      </c>
      <c r="D85" s="167">
        <f>+D60</f>
        <v>1</v>
      </c>
      <c r="E85" s="172">
        <f>+C85/D85</f>
        <v>488</v>
      </c>
      <c r="F85" s="174"/>
      <c r="G85" s="164"/>
      <c r="H85" s="90"/>
      <c r="I85" s="108"/>
    </row>
    <row r="86" spans="1:10" ht="13.5" thickBot="1" x14ac:dyDescent="0.3">
      <c r="B86" s="166" t="s">
        <v>125</v>
      </c>
      <c r="C86" s="167">
        <f>+C74</f>
        <v>629.93508252199683</v>
      </c>
      <c r="D86" s="167">
        <f>+D85</f>
        <v>1</v>
      </c>
      <c r="E86" s="168">
        <f>+C86/D86</f>
        <v>629.93508252199683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743"/>
      <c r="B88" s="743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2FA5-3721-4291-969A-63D9224D6045}">
  <dimension ref="A1:M53"/>
  <sheetViews>
    <sheetView topLeftCell="A19" workbookViewId="0">
      <selection activeCell="C17" sqref="C17"/>
    </sheetView>
  </sheetViews>
  <sheetFormatPr baseColWidth="10" defaultRowHeight="15" x14ac:dyDescent="0.25"/>
  <cols>
    <col min="3" max="3" width="40.42578125" bestFit="1" customWidth="1"/>
  </cols>
  <sheetData>
    <row r="1" spans="1:9" ht="16.5" x14ac:dyDescent="0.3">
      <c r="A1" s="668"/>
      <c r="B1" s="669"/>
      <c r="C1" s="674" t="s">
        <v>35</v>
      </c>
      <c r="D1" s="674"/>
      <c r="E1" s="674"/>
      <c r="F1" s="674"/>
      <c r="G1" s="674"/>
      <c r="H1" s="64" t="s">
        <v>34</v>
      </c>
      <c r="I1" s="63" t="s">
        <v>390</v>
      </c>
    </row>
    <row r="2" spans="1:9" ht="17.25" thickBot="1" x14ac:dyDescent="0.35">
      <c r="A2" s="670"/>
      <c r="B2" s="671"/>
      <c r="C2" s="675" t="s">
        <v>33</v>
      </c>
      <c r="D2" s="675"/>
      <c r="E2" s="675"/>
      <c r="F2" s="675"/>
      <c r="G2" s="675"/>
      <c r="H2" s="61" t="s">
        <v>32</v>
      </c>
      <c r="I2" s="62">
        <v>3</v>
      </c>
    </row>
    <row r="3" spans="1:9" ht="18" x14ac:dyDescent="0.25">
      <c r="A3" s="670"/>
      <c r="B3" s="671"/>
      <c r="C3" s="861" t="s">
        <v>384</v>
      </c>
      <c r="D3" s="862"/>
      <c r="E3" s="862"/>
      <c r="F3" s="862"/>
      <c r="G3" s="863"/>
      <c r="H3" s="653" t="s">
        <v>31</v>
      </c>
      <c r="I3" s="643">
        <v>45534</v>
      </c>
    </row>
    <row r="4" spans="1:9" ht="16.5" x14ac:dyDescent="0.3">
      <c r="A4" s="670"/>
      <c r="B4" s="671"/>
      <c r="C4" s="61" t="s">
        <v>30</v>
      </c>
      <c r="D4" s="646" t="s">
        <v>391</v>
      </c>
      <c r="E4" s="646"/>
      <c r="F4" s="646"/>
      <c r="G4" s="646"/>
      <c r="H4" s="654"/>
      <c r="I4" s="644"/>
    </row>
    <row r="5" spans="1:9" ht="17.25" thickBot="1" x14ac:dyDescent="0.35">
      <c r="A5" s="672"/>
      <c r="B5" s="673"/>
      <c r="C5" s="60" t="s">
        <v>29</v>
      </c>
      <c r="D5" s="647" t="s">
        <v>28</v>
      </c>
      <c r="E5" s="647"/>
      <c r="F5" s="647"/>
      <c r="G5" s="647"/>
      <c r="H5" s="655"/>
      <c r="I5" s="645"/>
    </row>
    <row r="6" spans="1:9" ht="26.25" thickBot="1" x14ac:dyDescent="0.3">
      <c r="A6" s="660" t="s">
        <v>27</v>
      </c>
      <c r="B6" s="661"/>
      <c r="C6" s="661"/>
      <c r="D6" s="829" t="s">
        <v>26</v>
      </c>
      <c r="E6" s="829"/>
      <c r="F6" s="829"/>
      <c r="G6" s="649" t="s">
        <v>25</v>
      </c>
      <c r="H6" s="649"/>
      <c r="I6" s="59" t="s">
        <v>24</v>
      </c>
    </row>
    <row r="7" spans="1:9" ht="25.5" x14ac:dyDescent="0.25">
      <c r="A7" s="662" t="s">
        <v>23</v>
      </c>
      <c r="B7" s="664" t="s">
        <v>36</v>
      </c>
      <c r="C7" s="666" t="s">
        <v>22</v>
      </c>
      <c r="D7" s="676" t="s">
        <v>21</v>
      </c>
      <c r="E7" s="676" t="s">
        <v>20</v>
      </c>
      <c r="F7" s="676"/>
      <c r="G7" s="676" t="s">
        <v>19</v>
      </c>
      <c r="H7" s="676"/>
      <c r="I7" s="58" t="s">
        <v>18</v>
      </c>
    </row>
    <row r="8" spans="1:9" ht="26.25" thickBot="1" x14ac:dyDescent="0.3">
      <c r="A8" s="663"/>
      <c r="B8" s="665"/>
      <c r="C8" s="667"/>
      <c r="D8" s="677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183" t="s">
        <v>143</v>
      </c>
      <c r="B9" s="183" t="s">
        <v>386</v>
      </c>
      <c r="C9" s="184" t="s">
        <v>144</v>
      </c>
      <c r="D9" s="525" t="s">
        <v>43</v>
      </c>
      <c r="E9" s="72">
        <v>410</v>
      </c>
      <c r="F9" s="53" t="s">
        <v>2</v>
      </c>
      <c r="G9" s="72" t="s">
        <v>44</v>
      </c>
      <c r="H9" s="52"/>
      <c r="I9" s="51"/>
    </row>
    <row r="10" spans="1:9" x14ac:dyDescent="0.25">
      <c r="A10" s="185">
        <v>96344</v>
      </c>
      <c r="B10" s="186" t="s">
        <v>41</v>
      </c>
      <c r="C10" s="187" t="s">
        <v>42</v>
      </c>
      <c r="D10" s="190" t="s">
        <v>43</v>
      </c>
      <c r="E10" s="523">
        <v>60</v>
      </c>
      <c r="F10" s="50" t="s">
        <v>2</v>
      </c>
      <c r="G10" s="35" t="s">
        <v>45</v>
      </c>
      <c r="H10" s="48"/>
      <c r="I10" s="47"/>
    </row>
    <row r="11" spans="1:9" x14ac:dyDescent="0.25">
      <c r="A11" s="43"/>
      <c r="B11" s="65"/>
      <c r="C11" s="42"/>
      <c r="D11" s="41"/>
      <c r="E11" s="46"/>
      <c r="F11" s="45"/>
      <c r="G11" s="49"/>
      <c r="H11" s="48"/>
      <c r="I11" s="47"/>
    </row>
    <row r="12" spans="1:9" x14ac:dyDescent="0.25">
      <c r="A12" s="43"/>
      <c r="B12" s="65"/>
      <c r="C12" s="73" t="s">
        <v>46</v>
      </c>
      <c r="D12" s="41"/>
      <c r="E12" s="46"/>
      <c r="F12" s="45"/>
      <c r="G12" s="49"/>
      <c r="H12" s="48"/>
      <c r="I12" s="47"/>
    </row>
    <row r="13" spans="1:9" x14ac:dyDescent="0.25">
      <c r="A13" s="188">
        <v>95717</v>
      </c>
      <c r="B13" s="183" t="s">
        <v>47</v>
      </c>
      <c r="C13" s="189" t="s">
        <v>48</v>
      </c>
      <c r="D13" s="190" t="s">
        <v>43</v>
      </c>
      <c r="E13" s="191">
        <v>120</v>
      </c>
      <c r="F13" s="45" t="s">
        <v>2</v>
      </c>
      <c r="G13" s="35"/>
      <c r="H13" s="48"/>
      <c r="I13" s="47"/>
    </row>
    <row r="14" spans="1:9" x14ac:dyDescent="0.25">
      <c r="A14" s="192" t="s">
        <v>145</v>
      </c>
      <c r="B14" s="192" t="s">
        <v>146</v>
      </c>
      <c r="C14" s="193" t="s">
        <v>147</v>
      </c>
      <c r="D14" s="524" t="s">
        <v>43</v>
      </c>
      <c r="E14" s="191">
        <v>15</v>
      </c>
      <c r="F14" s="45" t="s">
        <v>2</v>
      </c>
      <c r="G14" s="35"/>
      <c r="H14" s="48"/>
      <c r="I14" s="47"/>
    </row>
    <row r="15" spans="1:9" x14ac:dyDescent="0.25">
      <c r="A15" s="192">
        <v>905000060</v>
      </c>
      <c r="B15" s="183" t="s">
        <v>168</v>
      </c>
      <c r="C15" s="193" t="s">
        <v>51</v>
      </c>
      <c r="D15" s="201" t="s">
        <v>43</v>
      </c>
      <c r="E15" s="202">
        <v>70</v>
      </c>
      <c r="F15" s="45" t="s">
        <v>2</v>
      </c>
      <c r="G15" s="35" t="s">
        <v>397</v>
      </c>
      <c r="H15" s="48"/>
      <c r="I15" s="47"/>
    </row>
    <row r="16" spans="1:9" x14ac:dyDescent="0.25">
      <c r="A16" s="196">
        <v>905000063</v>
      </c>
      <c r="B16" s="196" t="s">
        <v>52</v>
      </c>
      <c r="C16" s="197" t="s">
        <v>53</v>
      </c>
      <c r="D16" s="190" t="s">
        <v>43</v>
      </c>
      <c r="E16" s="195">
        <v>40</v>
      </c>
      <c r="F16" s="45" t="s">
        <v>2</v>
      </c>
      <c r="G16" s="35" t="s">
        <v>397</v>
      </c>
      <c r="H16" s="48"/>
      <c r="I16" s="47"/>
    </row>
    <row r="17" spans="1:12" x14ac:dyDescent="0.25">
      <c r="A17" s="204">
        <v>905000101</v>
      </c>
      <c r="B17" s="204" t="s">
        <v>49</v>
      </c>
      <c r="C17" s="515" t="s">
        <v>50</v>
      </c>
      <c r="D17" s="41" t="s">
        <v>43</v>
      </c>
      <c r="E17" s="46">
        <v>30</v>
      </c>
      <c r="F17" s="45" t="s">
        <v>2</v>
      </c>
      <c r="G17" s="35" t="s">
        <v>397</v>
      </c>
      <c r="H17" s="42"/>
      <c r="I17" s="44"/>
    </row>
    <row r="18" spans="1:12" x14ac:dyDescent="0.25">
      <c r="A18" s="192" t="s">
        <v>145</v>
      </c>
      <c r="B18" s="192" t="s">
        <v>146</v>
      </c>
      <c r="C18" s="193" t="s">
        <v>147</v>
      </c>
      <c r="D18" s="524" t="s">
        <v>43</v>
      </c>
      <c r="E18" s="191">
        <v>5</v>
      </c>
      <c r="F18" s="45" t="s">
        <v>2</v>
      </c>
      <c r="G18" s="831" t="s">
        <v>398</v>
      </c>
      <c r="H18" s="831"/>
      <c r="I18" s="44"/>
    </row>
    <row r="19" spans="1:12" x14ac:dyDescent="0.25">
      <c r="A19" s="43"/>
      <c r="B19" s="65"/>
      <c r="C19" s="42"/>
      <c r="D19" s="41"/>
      <c r="E19" s="46"/>
      <c r="F19" s="45"/>
      <c r="G19" s="831"/>
      <c r="H19" s="831"/>
      <c r="I19" s="44"/>
    </row>
    <row r="20" spans="1:12" x14ac:dyDescent="0.25">
      <c r="A20" s="77"/>
      <c r="B20" s="77"/>
      <c r="C20" s="78" t="s">
        <v>56</v>
      </c>
      <c r="D20" s="79"/>
      <c r="E20" s="80"/>
      <c r="F20" s="40"/>
      <c r="G20" s="899"/>
      <c r="H20" s="900"/>
      <c r="I20" s="39"/>
      <c r="L20" s="38"/>
    </row>
    <row r="21" spans="1:12" x14ac:dyDescent="0.25">
      <c r="A21" s="81">
        <v>121603</v>
      </c>
      <c r="B21" s="81" t="s">
        <v>57</v>
      </c>
      <c r="C21" s="82" t="s">
        <v>58</v>
      </c>
      <c r="D21" s="83" t="s">
        <v>59</v>
      </c>
      <c r="E21" s="80">
        <v>1</v>
      </c>
      <c r="F21" s="40" t="s">
        <v>7</v>
      </c>
      <c r="G21" s="857"/>
      <c r="H21" s="858"/>
      <c r="I21" s="39"/>
      <c r="L21" s="38"/>
    </row>
    <row r="22" spans="1:12" x14ac:dyDescent="0.25">
      <c r="A22" s="81"/>
      <c r="B22" s="200" t="s">
        <v>60</v>
      </c>
      <c r="C22" t="s">
        <v>399</v>
      </c>
      <c r="D22" s="83"/>
      <c r="E22" s="80">
        <v>1</v>
      </c>
      <c r="F22" s="40" t="s">
        <v>7</v>
      </c>
      <c r="G22" s="507"/>
      <c r="H22" s="516"/>
      <c r="I22" s="39"/>
      <c r="L22" s="38"/>
    </row>
    <row r="23" spans="1:12" x14ac:dyDescent="0.25">
      <c r="A23" s="76">
        <v>702012</v>
      </c>
      <c r="B23" s="76" t="s">
        <v>62</v>
      </c>
      <c r="C23" s="84" t="s">
        <v>63</v>
      </c>
      <c r="D23" s="83" t="s">
        <v>64</v>
      </c>
      <c r="E23" s="80">
        <v>1</v>
      </c>
      <c r="F23" s="28" t="s">
        <v>7</v>
      </c>
      <c r="G23" s="29"/>
      <c r="H23" s="36"/>
      <c r="I23" s="34"/>
    </row>
    <row r="24" spans="1:12" x14ac:dyDescent="0.25">
      <c r="A24" s="76">
        <v>702069</v>
      </c>
      <c r="B24" s="76" t="s">
        <v>65</v>
      </c>
      <c r="C24" s="84" t="s">
        <v>66</v>
      </c>
      <c r="D24" s="83" t="s">
        <v>67</v>
      </c>
      <c r="E24" s="80">
        <v>1</v>
      </c>
      <c r="F24" s="28" t="s">
        <v>7</v>
      </c>
      <c r="G24" s="11"/>
      <c r="H24" s="26"/>
      <c r="I24" s="34"/>
    </row>
    <row r="25" spans="1:12" x14ac:dyDescent="0.25">
      <c r="A25" s="74">
        <v>702123</v>
      </c>
      <c r="B25" s="85" t="s">
        <v>68</v>
      </c>
      <c r="C25" s="84" t="s">
        <v>69</v>
      </c>
      <c r="D25" s="83" t="s">
        <v>64</v>
      </c>
      <c r="E25" s="83">
        <v>1</v>
      </c>
      <c r="F25" s="28" t="s">
        <v>7</v>
      </c>
      <c r="G25" s="11"/>
      <c r="H25" s="26"/>
      <c r="I25" s="34"/>
    </row>
    <row r="26" spans="1:12" x14ac:dyDescent="0.25">
      <c r="A26" s="74">
        <v>703020</v>
      </c>
      <c r="B26" s="81" t="s">
        <v>70</v>
      </c>
      <c r="C26" s="84" t="s">
        <v>71</v>
      </c>
      <c r="D26" s="83" t="s">
        <v>72</v>
      </c>
      <c r="E26" s="83">
        <v>60</v>
      </c>
      <c r="F26" s="28" t="s">
        <v>73</v>
      </c>
      <c r="G26" s="11"/>
      <c r="H26" s="26"/>
      <c r="I26" s="34"/>
    </row>
    <row r="27" spans="1:12" x14ac:dyDescent="0.25">
      <c r="A27" s="32"/>
      <c r="B27" s="66"/>
      <c r="C27" s="31"/>
      <c r="D27" s="30"/>
      <c r="E27" s="29"/>
      <c r="F27" s="28"/>
      <c r="G27" s="11"/>
      <c r="H27" s="26"/>
      <c r="I27" s="33"/>
    </row>
    <row r="28" spans="1:12" x14ac:dyDescent="0.25">
      <c r="A28" s="32"/>
      <c r="B28" s="66"/>
      <c r="C28" s="31"/>
      <c r="D28" s="30"/>
      <c r="E28" s="29"/>
      <c r="F28" s="28"/>
      <c r="G28" s="11"/>
      <c r="H28" s="26"/>
      <c r="I28" s="33"/>
    </row>
    <row r="29" spans="1:12" x14ac:dyDescent="0.25">
      <c r="A29" s="32"/>
      <c r="B29" s="66"/>
      <c r="C29" s="31"/>
      <c r="D29" s="30"/>
      <c r="E29" s="29"/>
      <c r="F29" s="28"/>
      <c r="G29" s="27"/>
      <c r="H29" s="26"/>
      <c r="I29" s="25"/>
    </row>
    <row r="30" spans="1:12" ht="15.75" thickBot="1" x14ac:dyDescent="0.3">
      <c r="A30" s="24"/>
      <c r="B30" s="67"/>
      <c r="C30" s="21"/>
      <c r="D30" s="21"/>
      <c r="E30" s="23"/>
      <c r="F30" s="22"/>
      <c r="G30" s="21"/>
      <c r="H30" s="21"/>
      <c r="I30" s="20"/>
      <c r="L30" s="8"/>
    </row>
    <row r="31" spans="1:12" ht="15.75" thickBot="1" x14ac:dyDescent="0.3">
      <c r="A31" s="19"/>
      <c r="B31" s="68"/>
      <c r="C31" s="15"/>
      <c r="D31" s="18" t="s">
        <v>15</v>
      </c>
      <c r="E31" s="17" t="s">
        <v>14</v>
      </c>
      <c r="F31" s="16"/>
      <c r="G31" s="15"/>
      <c r="H31" s="15"/>
      <c r="I31" s="14"/>
      <c r="L31" s="8"/>
    </row>
    <row r="32" spans="1:12" x14ac:dyDescent="0.25">
      <c r="A32" s="836" t="s">
        <v>13</v>
      </c>
      <c r="B32" s="837"/>
      <c r="C32" s="838"/>
      <c r="D32" s="13">
        <v>720</v>
      </c>
      <c r="E32" s="12" t="s">
        <v>2</v>
      </c>
      <c r="F32" s="839" t="s">
        <v>12</v>
      </c>
      <c r="G32" s="839"/>
      <c r="H32" s="840"/>
      <c r="I32" s="841"/>
      <c r="L32" s="8"/>
    </row>
    <row r="33" spans="1:13" x14ac:dyDescent="0.25">
      <c r="A33" s="842" t="s">
        <v>11</v>
      </c>
      <c r="B33" s="843"/>
      <c r="C33" s="844"/>
      <c r="D33" s="11">
        <v>9</v>
      </c>
      <c r="E33" s="11" t="s">
        <v>10</v>
      </c>
      <c r="F33" s="845" t="s">
        <v>9</v>
      </c>
      <c r="G33" s="845"/>
      <c r="H33" s="846"/>
      <c r="I33" s="847"/>
      <c r="L33" s="8"/>
    </row>
    <row r="34" spans="1:13" x14ac:dyDescent="0.25">
      <c r="A34" s="842" t="s">
        <v>8</v>
      </c>
      <c r="B34" s="843"/>
      <c r="C34" s="844"/>
      <c r="D34" s="11">
        <v>1</v>
      </c>
      <c r="E34" s="11" t="s">
        <v>7</v>
      </c>
      <c r="F34" s="845" t="s">
        <v>6</v>
      </c>
      <c r="G34" s="845"/>
      <c r="H34" s="846"/>
      <c r="I34" s="847"/>
      <c r="L34" s="8"/>
    </row>
    <row r="35" spans="1:13" x14ac:dyDescent="0.25">
      <c r="A35" s="842" t="s">
        <v>5</v>
      </c>
      <c r="B35" s="843"/>
      <c r="C35" s="844"/>
      <c r="D35" s="10">
        <v>720</v>
      </c>
      <c r="E35" s="9" t="s">
        <v>2</v>
      </c>
      <c r="F35" s="852" t="s">
        <v>4</v>
      </c>
      <c r="G35" s="852"/>
      <c r="H35" s="846"/>
      <c r="I35" s="847"/>
      <c r="L35" s="8"/>
    </row>
    <row r="36" spans="1:13" ht="15.75" thickBot="1" x14ac:dyDescent="0.3">
      <c r="A36" s="853" t="s">
        <v>3</v>
      </c>
      <c r="B36" s="854"/>
      <c r="C36" s="855"/>
      <c r="D36" s="7">
        <v>30</v>
      </c>
      <c r="E36" s="6" t="s">
        <v>2</v>
      </c>
      <c r="F36" s="856"/>
      <c r="G36" s="856"/>
      <c r="H36" s="897"/>
      <c r="I36" s="898"/>
      <c r="J36" s="5"/>
      <c r="K36" s="5"/>
      <c r="M36" s="5"/>
    </row>
    <row r="37" spans="1:13" ht="15.75" thickBot="1" x14ac:dyDescent="0.3">
      <c r="A37" s="890" t="s">
        <v>1</v>
      </c>
      <c r="B37" s="891"/>
      <c r="C37" s="891"/>
      <c r="D37" s="891"/>
      <c r="E37" s="891"/>
      <c r="F37" s="891"/>
      <c r="G37" s="891"/>
      <c r="H37" s="891"/>
      <c r="I37" s="892"/>
    </row>
    <row r="38" spans="1:13" x14ac:dyDescent="0.25">
      <c r="A38" s="893" t="s">
        <v>74</v>
      </c>
      <c r="B38" s="894"/>
      <c r="C38" s="895"/>
      <c r="D38" s="895"/>
      <c r="E38" s="895"/>
      <c r="F38" s="895"/>
      <c r="G38" s="895"/>
      <c r="H38" s="895"/>
      <c r="I38" s="896"/>
      <c r="J38" s="1"/>
      <c r="K38" s="1"/>
      <c r="L38" s="3"/>
      <c r="M38" s="1"/>
    </row>
    <row r="39" spans="1:13" x14ac:dyDescent="0.25">
      <c r="A39" s="848" t="s">
        <v>75</v>
      </c>
      <c r="B39" s="849"/>
      <c r="C39" s="850"/>
      <c r="D39" s="850"/>
      <c r="E39" s="850"/>
      <c r="F39" s="850"/>
      <c r="G39" s="850"/>
      <c r="H39" s="850"/>
      <c r="I39" s="851"/>
      <c r="J39" s="1"/>
      <c r="K39" s="1"/>
      <c r="L39" s="3"/>
      <c r="M39" s="4"/>
    </row>
    <row r="40" spans="1:13" x14ac:dyDescent="0.25">
      <c r="A40" s="868" t="s">
        <v>406</v>
      </c>
      <c r="B40" s="869"/>
      <c r="C40" s="870"/>
      <c r="D40" s="870"/>
      <c r="E40" s="870"/>
      <c r="F40" s="870"/>
      <c r="G40" s="870"/>
      <c r="H40" s="870"/>
      <c r="I40" s="871"/>
      <c r="J40" s="2"/>
      <c r="K40" s="2"/>
      <c r="L40" s="3"/>
      <c r="M40" s="2"/>
    </row>
    <row r="41" spans="1:13" x14ac:dyDescent="0.25">
      <c r="A41" s="887" t="s">
        <v>77</v>
      </c>
      <c r="B41" s="888"/>
      <c r="C41" s="888"/>
      <c r="D41" s="888"/>
      <c r="E41" s="888"/>
      <c r="F41" s="888"/>
      <c r="G41" s="888"/>
      <c r="H41" s="888"/>
      <c r="I41" s="889"/>
      <c r="J41" s="2"/>
      <c r="K41" s="2"/>
      <c r="L41" s="3"/>
      <c r="M41" s="2"/>
    </row>
    <row r="42" spans="1:13" x14ac:dyDescent="0.25">
      <c r="A42" s="872"/>
      <c r="B42" s="873"/>
      <c r="C42" s="874"/>
      <c r="D42" s="874"/>
      <c r="E42" s="874"/>
      <c r="F42" s="874"/>
      <c r="G42" s="874"/>
      <c r="H42" s="874"/>
      <c r="I42" s="875"/>
      <c r="J42" s="1"/>
      <c r="K42" s="1"/>
      <c r="L42" s="1"/>
      <c r="M42" s="1"/>
    </row>
    <row r="43" spans="1:13" ht="15.75" thickBot="1" x14ac:dyDescent="0.3">
      <c r="A43" s="876"/>
      <c r="B43" s="877"/>
      <c r="C43" s="878"/>
      <c r="D43" s="878"/>
      <c r="E43" s="878"/>
      <c r="F43" s="878"/>
      <c r="G43" s="878"/>
      <c r="H43" s="878"/>
      <c r="I43" s="879"/>
      <c r="J43" s="1"/>
      <c r="K43" s="1"/>
      <c r="L43" s="1"/>
      <c r="M43" s="1"/>
    </row>
    <row r="44" spans="1:13" x14ac:dyDescent="0.25">
      <c r="A44" s="880" t="s">
        <v>0</v>
      </c>
      <c r="B44" s="881"/>
      <c r="C44" s="881"/>
      <c r="D44" s="881"/>
      <c r="E44" s="881"/>
      <c r="F44" s="881"/>
      <c r="G44" s="881"/>
      <c r="H44" s="881"/>
      <c r="I44" s="882"/>
      <c r="J44" s="1"/>
      <c r="K44" s="1"/>
      <c r="L44" s="1"/>
      <c r="M44" s="1"/>
    </row>
    <row r="45" spans="1:13" ht="15.75" thickBot="1" x14ac:dyDescent="0.3">
      <c r="A45" s="883" t="s">
        <v>402</v>
      </c>
      <c r="B45" s="884"/>
      <c r="C45" s="885"/>
      <c r="D45" s="885"/>
      <c r="E45" s="885"/>
      <c r="F45" s="885"/>
      <c r="G45" s="885"/>
      <c r="H45" s="885"/>
      <c r="I45" s="886"/>
      <c r="J45" s="1"/>
      <c r="K45" s="1"/>
      <c r="L45" s="1"/>
      <c r="M45" s="1"/>
    </row>
    <row r="46" spans="1:13" ht="15.75" thickBot="1" x14ac:dyDescent="0.3">
      <c r="A46" s="864" t="s">
        <v>403</v>
      </c>
      <c r="B46" s="865"/>
      <c r="C46" s="866"/>
      <c r="D46" s="866"/>
      <c r="E46" s="866"/>
      <c r="F46" s="866"/>
      <c r="G46" s="866"/>
      <c r="H46" s="866"/>
      <c r="I46" s="867"/>
      <c r="J46" s="1"/>
      <c r="K46" s="1"/>
      <c r="L46" s="1"/>
      <c r="M46" s="1"/>
    </row>
    <row r="47" spans="1:13" ht="15.75" thickBot="1" x14ac:dyDescent="0.3">
      <c r="A47" s="864"/>
      <c r="B47" s="865"/>
      <c r="C47" s="866"/>
      <c r="D47" s="866"/>
      <c r="E47" s="866"/>
      <c r="F47" s="866"/>
      <c r="G47" s="866"/>
      <c r="H47" s="866"/>
      <c r="I47" s="867"/>
      <c r="J47" s="1"/>
      <c r="K47" s="1"/>
      <c r="L47" s="1"/>
      <c r="M47" s="1"/>
    </row>
    <row r="48" spans="1:13" ht="15.75" thickBot="1" x14ac:dyDescent="0.3">
      <c r="A48" s="864"/>
      <c r="B48" s="865"/>
      <c r="C48" s="866"/>
      <c r="D48" s="866"/>
      <c r="E48" s="866"/>
      <c r="F48" s="866"/>
      <c r="G48" s="866"/>
      <c r="H48" s="866"/>
      <c r="I48" s="867"/>
    </row>
    <row r="49" spans="1:9" ht="15.75" thickBot="1" x14ac:dyDescent="0.3">
      <c r="A49" s="864"/>
      <c r="B49" s="865"/>
      <c r="C49" s="866"/>
      <c r="D49" s="866"/>
      <c r="E49" s="866"/>
      <c r="F49" s="866"/>
      <c r="G49" s="866"/>
      <c r="H49" s="866"/>
      <c r="I49" s="867"/>
    </row>
    <row r="50" spans="1:9" ht="15.75" thickBot="1" x14ac:dyDescent="0.3">
      <c r="A50" s="864"/>
      <c r="B50" s="865"/>
      <c r="C50" s="866"/>
      <c r="D50" s="866"/>
      <c r="E50" s="866"/>
      <c r="F50" s="866"/>
      <c r="G50" s="866"/>
      <c r="H50" s="866"/>
      <c r="I50" s="867"/>
    </row>
    <row r="51" spans="1:9" ht="15.75" thickBot="1" x14ac:dyDescent="0.3">
      <c r="A51" s="864"/>
      <c r="B51" s="865"/>
      <c r="C51" s="866"/>
      <c r="D51" s="866"/>
      <c r="E51" s="866"/>
      <c r="F51" s="866"/>
      <c r="G51" s="866"/>
      <c r="H51" s="866"/>
      <c r="I51" s="867"/>
    </row>
    <row r="52" spans="1:9" ht="15.75" thickBot="1" x14ac:dyDescent="0.3">
      <c r="A52" s="864"/>
      <c r="B52" s="865"/>
      <c r="C52" s="866"/>
      <c r="D52" s="866"/>
      <c r="E52" s="866"/>
      <c r="F52" s="866"/>
      <c r="G52" s="866"/>
      <c r="H52" s="866"/>
      <c r="I52" s="867"/>
    </row>
    <row r="53" spans="1:9" ht="15.75" thickBot="1" x14ac:dyDescent="0.3">
      <c r="A53" s="832"/>
      <c r="B53" s="833"/>
      <c r="C53" s="834"/>
      <c r="D53" s="834"/>
      <c r="E53" s="834"/>
      <c r="F53" s="834"/>
      <c r="G53" s="834"/>
      <c r="H53" s="834"/>
      <c r="I53" s="835"/>
    </row>
  </sheetData>
  <mergeCells count="53">
    <mergeCell ref="A6:C6"/>
    <mergeCell ref="A7:A8"/>
    <mergeCell ref="B7:B8"/>
    <mergeCell ref="C7:C8"/>
    <mergeCell ref="A1:B5"/>
    <mergeCell ref="C1:G1"/>
    <mergeCell ref="C2:G2"/>
    <mergeCell ref="C3:G3"/>
    <mergeCell ref="G7:H7"/>
    <mergeCell ref="H3:H5"/>
    <mergeCell ref="D7:D8"/>
    <mergeCell ref="E7:F7"/>
    <mergeCell ref="I3:I5"/>
    <mergeCell ref="D4:G4"/>
    <mergeCell ref="D5:G5"/>
    <mergeCell ref="D6:F6"/>
    <mergeCell ref="G6:H6"/>
    <mergeCell ref="A33:C33"/>
    <mergeCell ref="F33:G33"/>
    <mergeCell ref="H33:I33"/>
    <mergeCell ref="A32:C32"/>
    <mergeCell ref="F32:G32"/>
    <mergeCell ref="A37:I37"/>
    <mergeCell ref="A38:I38"/>
    <mergeCell ref="G18:H18"/>
    <mergeCell ref="G19:H19"/>
    <mergeCell ref="G20:H20"/>
    <mergeCell ref="H32:I32"/>
    <mergeCell ref="A35:C35"/>
    <mergeCell ref="F35:G35"/>
    <mergeCell ref="H35:I35"/>
    <mergeCell ref="A36:C36"/>
    <mergeCell ref="F36:G36"/>
    <mergeCell ref="H36:I36"/>
    <mergeCell ref="A34:C34"/>
    <mergeCell ref="F34:G34"/>
    <mergeCell ref="H34:I34"/>
    <mergeCell ref="G21:H21"/>
    <mergeCell ref="A39:I39"/>
    <mergeCell ref="A40:I40"/>
    <mergeCell ref="A41:I41"/>
    <mergeCell ref="A53:I53"/>
    <mergeCell ref="A46:I46"/>
    <mergeCell ref="A47:I47"/>
    <mergeCell ref="A49:I49"/>
    <mergeCell ref="A50:I50"/>
    <mergeCell ref="A51:I51"/>
    <mergeCell ref="A52:I52"/>
    <mergeCell ref="A48:I48"/>
    <mergeCell ref="A42:I42"/>
    <mergeCell ref="A43:I43"/>
    <mergeCell ref="A44:I44"/>
    <mergeCell ref="A45:I4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2370-5DD8-41A7-B6A4-A6E96189DAC5}">
  <dimension ref="A1:Q91"/>
  <sheetViews>
    <sheetView topLeftCell="A39" workbookViewId="0">
      <selection activeCell="B23" sqref="B23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71093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71093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71093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71093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71093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71093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71093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71093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71093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71093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71093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71093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71093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71093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71093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71093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71093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71093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71093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71093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71093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71093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71093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71093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71093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71093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71093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71093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71093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71093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71093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71093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71093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71093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71093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71093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71093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71093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71093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71093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71093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71093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71093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71093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71093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71093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71093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71093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71093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71093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71093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71093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71093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71093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71093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71093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71093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71093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71093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71093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71093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71093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71093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71093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78</v>
      </c>
      <c r="F1" s="88" t="s">
        <v>79</v>
      </c>
      <c r="G1" s="88" t="s">
        <v>80</v>
      </c>
      <c r="H1" s="88" t="s">
        <v>81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2874.5058372354761</v>
      </c>
      <c r="F2" s="92">
        <f>IFERROR(H53,"")</f>
        <v>1347.6833862637361</v>
      </c>
      <c r="G2" s="92">
        <f>IFERROR(H54,"")</f>
        <v>293.04659950769229</v>
      </c>
      <c r="H2" s="92">
        <f>IFERROR(H56,"")</f>
        <v>632.43972217904945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765"/>
      <c r="B4" s="765"/>
      <c r="C4" s="765"/>
      <c r="D4" s="765"/>
      <c r="E4" s="765"/>
      <c r="F4" s="765"/>
      <c r="G4" s="765"/>
      <c r="H4" s="765"/>
      <c r="I4" s="95"/>
    </row>
    <row r="5" spans="1:10" ht="19.5" customHeight="1" thickBot="1" x14ac:dyDescent="0.3">
      <c r="A5" s="766" t="s">
        <v>82</v>
      </c>
      <c r="B5" s="767"/>
      <c r="C5" s="767"/>
      <c r="D5" s="767"/>
      <c r="E5" s="767"/>
      <c r="F5" s="767"/>
      <c r="G5" s="767"/>
      <c r="H5" s="768"/>
      <c r="I5" s="96"/>
    </row>
    <row r="6" spans="1:10" ht="19.5" thickBot="1" x14ac:dyDescent="0.3">
      <c r="A6" s="96"/>
      <c r="B6" s="96"/>
      <c r="C6" s="96"/>
      <c r="D6" s="96"/>
      <c r="E6" s="96"/>
      <c r="F6" s="769" t="s">
        <v>83</v>
      </c>
      <c r="G6" s="769"/>
      <c r="H6" s="97">
        <f ca="1">TODAY()</f>
        <v>46149</v>
      </c>
      <c r="I6" s="97"/>
    </row>
    <row r="7" spans="1:10" ht="26.25" hidden="1" thickBot="1" x14ac:dyDescent="0.3">
      <c r="A7" s="98" t="s">
        <v>84</v>
      </c>
      <c r="B7" s="99" t="s">
        <v>85</v>
      </c>
      <c r="C7" s="99" t="s">
        <v>84</v>
      </c>
      <c r="D7" s="100" t="s">
        <v>86</v>
      </c>
      <c r="E7" s="100" t="s">
        <v>87</v>
      </c>
      <c r="F7" s="100" t="s">
        <v>88</v>
      </c>
      <c r="G7" s="100" t="s">
        <v>89</v>
      </c>
      <c r="H7" s="101" t="s">
        <v>90</v>
      </c>
      <c r="I7" s="102"/>
    </row>
    <row r="8" spans="1:10" ht="14.25" hidden="1" thickBot="1" x14ac:dyDescent="0.3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4.25" hidden="1" thickBot="1" x14ac:dyDescent="0.3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4.25" hidden="1" thickBot="1" x14ac:dyDescent="0.3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4.25" hidden="1" thickBot="1" x14ac:dyDescent="0.3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4.25" hidden="1" thickBot="1" x14ac:dyDescent="0.3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4.25" hidden="1" thickBot="1" x14ac:dyDescent="0.3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4.25" hidden="1" thickBot="1" x14ac:dyDescent="0.3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84</v>
      </c>
      <c r="B16" s="99" t="s">
        <v>91</v>
      </c>
      <c r="C16" s="99" t="s">
        <v>84</v>
      </c>
      <c r="D16" s="100" t="s">
        <v>86</v>
      </c>
      <c r="E16" s="100" t="s">
        <v>87</v>
      </c>
      <c r="F16" s="100" t="s">
        <v>88</v>
      </c>
      <c r="G16" s="100" t="s">
        <v>89</v>
      </c>
      <c r="H16" s="101" t="s">
        <v>90</v>
      </c>
      <c r="I16" s="102"/>
      <c r="J16" s="108"/>
    </row>
    <row r="17" spans="1:12" ht="13.5" x14ac:dyDescent="0.25">
      <c r="A17" s="518">
        <v>1.5</v>
      </c>
      <c r="B17" s="517" t="s">
        <v>144</v>
      </c>
      <c r="C17" s="520">
        <f>+A17</f>
        <v>1.5</v>
      </c>
      <c r="D17" s="520" t="s">
        <v>129</v>
      </c>
      <c r="E17" s="521">
        <f>+'Costo Rosquete 300 g'!H53</f>
        <v>380.48782417582424</v>
      </c>
      <c r="F17" s="521">
        <f>IFERROR(E17*C17,"")</f>
        <v>570.73173626373637</v>
      </c>
      <c r="G17" s="106">
        <f t="shared" ref="G17:G24" si="3">IFERROR(F17/$F$66,"")</f>
        <v>0.26475672130182953</v>
      </c>
      <c r="H17" s="69" t="s">
        <v>143</v>
      </c>
      <c r="I17" s="107"/>
      <c r="J17" s="108"/>
    </row>
    <row r="18" spans="1:12" ht="13.5" x14ac:dyDescent="0.25">
      <c r="A18" s="518">
        <v>60</v>
      </c>
      <c r="B18" s="517" t="str">
        <f>IFERROR(VLOOKUP(H18,[1]SEMIELABORADOS!$A$2:$M$6000,2,0),"")</f>
        <v>CREMA DULCE LECHE KILO</v>
      </c>
      <c r="C18" s="520">
        <f t="shared" ref="C18:C24" si="4">+A18</f>
        <v>60</v>
      </c>
      <c r="D18" s="520" t="str">
        <f>IFERROR(VLOOKUP(H18,[1]SEMIELABORADOS!$A$2:$M$6000,6,0),"")</f>
        <v>Gramo</v>
      </c>
      <c r="E18" s="521">
        <v>2.68</v>
      </c>
      <c r="F18" s="521">
        <f t="shared" ref="F18:F24" si="5">IFERROR(E18*C18,"")</f>
        <v>160.80000000000001</v>
      </c>
      <c r="G18" s="106">
        <f t="shared" si="3"/>
        <v>7.4593505285048975E-2</v>
      </c>
      <c r="H18" s="107" t="s">
        <v>130</v>
      </c>
      <c r="I18" s="107"/>
      <c r="J18" s="108"/>
    </row>
    <row r="19" spans="1:12" ht="13.5" x14ac:dyDescent="0.25">
      <c r="A19" s="518">
        <v>120</v>
      </c>
      <c r="B19" s="517" t="str">
        <f>IFERROR(VLOOKUP(H19,[1]SEMIELABORADOS!$A$2:$M$6000,2,0),"")</f>
        <v>CREMA CHANTILLY BLANCA SPOON-IND KILO</v>
      </c>
      <c r="C19" s="104">
        <f>+A19</f>
        <v>120</v>
      </c>
      <c r="D19" s="104" t="str">
        <f>IFERROR(VLOOKUP(H19,[1]SEMIELABORADOS!$A$2:$M$6000,6,0),"")</f>
        <v>Gramo</v>
      </c>
      <c r="E19" s="105">
        <v>2.31</v>
      </c>
      <c r="F19" s="105">
        <f>IFERROR(E19*C19,"")</f>
        <v>277.2</v>
      </c>
      <c r="G19" s="106">
        <f t="shared" si="3"/>
        <v>0.1285902964242262</v>
      </c>
      <c r="H19" s="107" t="s">
        <v>131</v>
      </c>
      <c r="I19" s="107"/>
      <c r="J19" s="108"/>
    </row>
    <row r="20" spans="1:12" ht="13.5" x14ac:dyDescent="0.25">
      <c r="A20" s="518">
        <v>70</v>
      </c>
      <c r="B20" s="517" t="s">
        <v>51</v>
      </c>
      <c r="C20" s="520">
        <f>+A20</f>
        <v>70</v>
      </c>
      <c r="D20" s="104" t="s">
        <v>133</v>
      </c>
      <c r="E20" s="105">
        <v>2.2400000000000002</v>
      </c>
      <c r="F20" s="105">
        <f>IFERROR(E20*C20,"")</f>
        <v>156.80000000000001</v>
      </c>
      <c r="G20" s="106">
        <f t="shared" si="3"/>
        <v>7.273794545208756E-2</v>
      </c>
      <c r="H20" s="107" t="s">
        <v>407</v>
      </c>
      <c r="I20" s="107"/>
      <c r="J20" s="108"/>
    </row>
    <row r="21" spans="1:12" ht="13.5" x14ac:dyDescent="0.25">
      <c r="A21" s="518">
        <v>40</v>
      </c>
      <c r="B21" s="517" t="s">
        <v>53</v>
      </c>
      <c r="C21" s="104">
        <f>+A21</f>
        <v>40</v>
      </c>
      <c r="D21" s="104" t="s">
        <v>133</v>
      </c>
      <c r="E21" s="105">
        <v>2.69</v>
      </c>
      <c r="F21" s="105">
        <f>IFERROR(E21*C21,"")</f>
        <v>107.6</v>
      </c>
      <c r="G21" s="106">
        <f t="shared" si="3"/>
        <v>4.9914559506662119E-2</v>
      </c>
      <c r="H21" s="107" t="s">
        <v>134</v>
      </c>
      <c r="I21" s="107"/>
      <c r="J21" s="108"/>
    </row>
    <row r="22" spans="1:12" ht="13.5" x14ac:dyDescent="0.25">
      <c r="A22" s="518">
        <v>30</v>
      </c>
      <c r="B22" s="517" t="str">
        <f>IFERROR(VLOOKUP(H22,[1]SEMIELABORADOS!$A$2:$M$6000,2,0),"")</f>
        <v>CREMA CHANTILLY MORADO BARNIE KILO</v>
      </c>
      <c r="C22" s="520">
        <f t="shared" si="4"/>
        <v>30</v>
      </c>
      <c r="D22" s="104" t="str">
        <f>IFERROR(VLOOKUP(H22,[1]SEMIELABORADOS!$A$2:$M$6000,6,0),"")</f>
        <v>Gramo</v>
      </c>
      <c r="E22" s="105">
        <v>2.42</v>
      </c>
      <c r="F22" s="105">
        <f t="shared" si="5"/>
        <v>72.599999999999994</v>
      </c>
      <c r="G22" s="106">
        <f t="shared" si="3"/>
        <v>3.3678410968249715E-2</v>
      </c>
      <c r="H22" s="107" t="s">
        <v>135</v>
      </c>
      <c r="I22" s="107"/>
      <c r="J22" s="108"/>
    </row>
    <row r="23" spans="1:12" ht="13.5" x14ac:dyDescent="0.25">
      <c r="A23" s="103">
        <v>20</v>
      </c>
      <c r="B23" s="91" t="s">
        <v>147</v>
      </c>
      <c r="C23" s="104">
        <f t="shared" si="4"/>
        <v>20</v>
      </c>
      <c r="D23" s="104" t="s">
        <v>133</v>
      </c>
      <c r="E23" s="105">
        <v>2.72</v>
      </c>
      <c r="F23" s="105">
        <f>+'Costo de borona '!E69</f>
        <v>1.9516500000000001</v>
      </c>
      <c r="G23" s="106">
        <f t="shared" si="3"/>
        <v>9.0535083699978748E-4</v>
      </c>
      <c r="H23" s="107" t="s">
        <v>145</v>
      </c>
      <c r="I23" s="107"/>
      <c r="J23" s="108"/>
    </row>
    <row r="24" spans="1:12" ht="13.5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 x14ac:dyDescent="0.3">
      <c r="A26" s="98" t="s">
        <v>84</v>
      </c>
      <c r="B26" s="99" t="s">
        <v>56</v>
      </c>
      <c r="C26" s="99" t="s">
        <v>84</v>
      </c>
      <c r="D26" s="100" t="s">
        <v>86</v>
      </c>
      <c r="E26" s="100" t="s">
        <v>87</v>
      </c>
      <c r="F26" s="100" t="s">
        <v>88</v>
      </c>
      <c r="G26" s="100" t="s">
        <v>89</v>
      </c>
      <c r="H26" s="101" t="s">
        <v>90</v>
      </c>
      <c r="I26" s="102"/>
    </row>
    <row r="27" spans="1:12" ht="13.5" x14ac:dyDescent="0.25">
      <c r="A27" s="103">
        <v>1</v>
      </c>
      <c r="B27" s="109" t="str">
        <f>IFERROR(VLOOKUP(H27,'[1]Consolidado MP Planta'!$A$2:$M$823,3,0),"")</f>
        <v>QUEQUERA RED  BASE/DOMO 10 (CAJA:50)</v>
      </c>
      <c r="C27" s="104">
        <f t="shared" ref="C27:C32" si="6">+A27</f>
        <v>1</v>
      </c>
      <c r="D27" s="105" t="str">
        <f>IFERROR(VLOOKUP(H27,'[1]Consolidado MP Planta'!$A$2:$M$823,13,0),"")</f>
        <v>UND</v>
      </c>
      <c r="E27" s="105">
        <v>274</v>
      </c>
      <c r="F27" s="105">
        <f t="shared" ref="F27:F32" si="7">IFERROR(C27*E27,"")</f>
        <v>274</v>
      </c>
      <c r="G27" s="106">
        <f t="shared" ref="G27:G32" si="8">IFERROR(F27/$F$66,"")</f>
        <v>0.12710584855785706</v>
      </c>
      <c r="H27" s="110" t="s">
        <v>136</v>
      </c>
      <c r="I27" s="110"/>
      <c r="J27" s="108"/>
      <c r="K27" s="759">
        <v>420.9</v>
      </c>
      <c r="L27" s="759"/>
    </row>
    <row r="28" spans="1:12" ht="13.5" x14ac:dyDescent="0.25">
      <c r="A28" s="103">
        <v>0</v>
      </c>
      <c r="B28" s="109" t="str">
        <f>IFERROR(VLOOKUP(H28,'[1]Consolidado MP Planta'!$A$2:$M$823,3,0),"")</f>
        <v>ORLA # 10 BUCCA (UND)</v>
      </c>
      <c r="C28" s="104">
        <f t="shared" si="6"/>
        <v>0</v>
      </c>
      <c r="D28" s="105" t="s">
        <v>142</v>
      </c>
      <c r="E28" s="105">
        <v>137</v>
      </c>
      <c r="F28" s="105">
        <f t="shared" si="7"/>
        <v>0</v>
      </c>
      <c r="G28" s="106">
        <f t="shared" si="8"/>
        <v>0</v>
      </c>
      <c r="H28" s="110" t="s">
        <v>137</v>
      </c>
      <c r="I28" s="110"/>
      <c r="J28" s="108"/>
      <c r="K28" s="759"/>
      <c r="L28" s="759"/>
    </row>
    <row r="29" spans="1:12" ht="13.5" x14ac:dyDescent="0.25">
      <c r="A29" s="103">
        <v>1</v>
      </c>
      <c r="B29" s="109" t="str">
        <f>IFERROR(VLOOKUP(H29,'[1]Consolidado MP Planta'!$A$2:$M$823,3,0),"")</f>
        <v>ETIQ.FECHA VENCIMIENTO VERDE (ROLLO)</v>
      </c>
      <c r="C29" s="104">
        <f t="shared" si="6"/>
        <v>1</v>
      </c>
      <c r="D29" s="105" t="str">
        <f>IFERROR(VLOOKUP(H29,'[1]Consolidado MP Planta'!$A$2:$M$823,13,0),"")</f>
        <v>Und</v>
      </c>
      <c r="E29" s="105">
        <v>0.33</v>
      </c>
      <c r="F29" s="105">
        <f t="shared" si="7"/>
        <v>0.33</v>
      </c>
      <c r="G29" s="106">
        <f t="shared" si="8"/>
        <v>1.5308368621931692E-4</v>
      </c>
      <c r="H29" s="110" t="s">
        <v>139</v>
      </c>
      <c r="I29" s="110"/>
      <c r="J29" s="108"/>
      <c r="K29" s="759"/>
      <c r="L29" s="759"/>
    </row>
    <row r="30" spans="1:12" ht="13.5" x14ac:dyDescent="0.25">
      <c r="A30" s="103">
        <v>1</v>
      </c>
      <c r="B30" s="109" t="str">
        <f>IFERROR(VLOOKUP(H30,'[1]Consolidado MP Planta'!$A$2:$M$823,3,0),"")</f>
        <v>ETIQ.BLANCA 1 1/4 * 3/4 (UND)</v>
      </c>
      <c r="C30" s="104">
        <f t="shared" si="6"/>
        <v>1</v>
      </c>
      <c r="D30" s="105" t="str">
        <f>IFERROR(VLOOKUP(H30,'[1]Consolidado MP Planta'!$A$2:$M$823,13,0),"")</f>
        <v>Und</v>
      </c>
      <c r="E30" s="105">
        <v>0.57999999999999996</v>
      </c>
      <c r="F30" s="105">
        <f t="shared" si="7"/>
        <v>0.57999999999999996</v>
      </c>
      <c r="G30" s="106">
        <f t="shared" si="8"/>
        <v>2.6905617577940546E-4</v>
      </c>
      <c r="H30" s="110" t="s">
        <v>140</v>
      </c>
      <c r="I30" s="110"/>
      <c r="J30" s="108"/>
      <c r="K30" s="759"/>
      <c r="L30" s="759"/>
    </row>
    <row r="31" spans="1:12" ht="13.5" x14ac:dyDescent="0.25">
      <c r="A31" s="103">
        <v>1</v>
      </c>
      <c r="B31" s="109" t="str">
        <f>IFERROR(VLOOKUP(H31,'[1]Consolidado MP Planta'!$A$2:$M$823,3,0),"")</f>
        <v>ETIQUETA BLANCA 2 5/8X1 15/16 (UND)</v>
      </c>
      <c r="C31" s="104">
        <f t="shared" si="6"/>
        <v>1</v>
      </c>
      <c r="D31" s="105" t="str">
        <f>IFERROR(VLOOKUP(H31,'[1]Consolidado MP Planta'!$A$2:$M$823,13,0),"")</f>
        <v>Und</v>
      </c>
      <c r="E31" s="105">
        <v>2.13</v>
      </c>
      <c r="F31" s="105">
        <f t="shared" si="7"/>
        <v>2.13</v>
      </c>
      <c r="G31" s="106">
        <f t="shared" si="8"/>
        <v>9.8808561105195457E-4</v>
      </c>
      <c r="H31" s="110" t="s">
        <v>141</v>
      </c>
      <c r="I31" s="110"/>
      <c r="J31" s="108"/>
      <c r="K31" s="111"/>
      <c r="L31" s="112"/>
    </row>
    <row r="32" spans="1:12" ht="13.5" x14ac:dyDescent="0.25">
      <c r="A32" s="103">
        <v>60</v>
      </c>
      <c r="B32" s="109" t="str">
        <f>IFERROR(VLOOKUP(H32,'[1]Consolidado MP Planta'!$A$2:$M$823,3,0),"")</f>
        <v>CINTA ADHESIVA TRANSPARENT 2*100 M (UND)</v>
      </c>
      <c r="C32" s="104">
        <f t="shared" si="6"/>
        <v>60</v>
      </c>
      <c r="D32" s="105" t="str">
        <f>IFERROR(VLOOKUP(H32,'[1]Consolidado MP Planta'!$A$2:$M$823,13,0),"")</f>
        <v>Cm</v>
      </c>
      <c r="E32" s="105">
        <v>0.18</v>
      </c>
      <c r="F32" s="105">
        <f t="shared" si="7"/>
        <v>10.799999999999999</v>
      </c>
      <c r="G32" s="106">
        <f t="shared" si="8"/>
        <v>5.0100115489958253E-3</v>
      </c>
      <c r="H32" s="110" t="s">
        <v>138</v>
      </c>
      <c r="I32" s="110"/>
      <c r="J32" s="108"/>
    </row>
    <row r="33" spans="1:13" ht="14.25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thickBot="1" x14ac:dyDescent="0.25">
      <c r="A34" s="98" t="s">
        <v>84</v>
      </c>
      <c r="B34" s="99" t="s">
        <v>92</v>
      </c>
      <c r="C34" s="99" t="s">
        <v>84</v>
      </c>
      <c r="D34" s="100" t="s">
        <v>86</v>
      </c>
      <c r="E34" s="100" t="s">
        <v>87</v>
      </c>
      <c r="F34" s="100" t="s">
        <v>88</v>
      </c>
      <c r="G34" s="100" t="s">
        <v>89</v>
      </c>
      <c r="H34" s="101" t="s">
        <v>90</v>
      </c>
      <c r="I34" s="110"/>
      <c r="J34" s="108"/>
    </row>
    <row r="35" spans="1:13" ht="13.5" x14ac:dyDescent="0.25">
      <c r="A35" s="103">
        <f>+A17</f>
        <v>1.5</v>
      </c>
      <c r="B35" s="91" t="s">
        <v>144</v>
      </c>
      <c r="C35" s="104">
        <f>+A35</f>
        <v>1.5</v>
      </c>
      <c r="D35" s="105" t="s">
        <v>129</v>
      </c>
      <c r="E35" s="105">
        <f>+'Costo Rosquete 300 g'!H54</f>
        <v>3.4633846153846153</v>
      </c>
      <c r="F35" s="105">
        <f>IFERROR(E35*C35,"")</f>
        <v>5.1950769230769227</v>
      </c>
      <c r="G35" s="106">
        <f t="shared" ref="G35:G41" si="9">IFERROR(F35/$F$66,"")</f>
        <v>2.4099440169015819E-3</v>
      </c>
      <c r="H35" s="69" t="s">
        <v>143</v>
      </c>
      <c r="I35" s="110"/>
      <c r="J35" s="108"/>
    </row>
    <row r="36" spans="1:13" ht="13.5" x14ac:dyDescent="0.25">
      <c r="A36" s="103">
        <f t="shared" ref="A36:A41" si="10">+A18</f>
        <v>60</v>
      </c>
      <c r="B36" s="109" t="str">
        <f>IFERROR(VLOOKUP(H36,[1]SEMIELABORADOS!$A$2:$M$6000,2,0),"")</f>
        <v>CREMA DULCE LECHE KILO</v>
      </c>
      <c r="C36" s="104">
        <f t="shared" ref="C36:C41" si="11">+A36</f>
        <v>60</v>
      </c>
      <c r="D36" s="105" t="str">
        <f>IFERROR(VLOOKUP(H36,[1]SEMIELABORADOS!$A$2:$M$6000,6,0),"")</f>
        <v>Gramo</v>
      </c>
      <c r="E36" s="105">
        <f>IFERROR(VLOOKUP(H36,[1]SEMIELABORADOS!$A$2:$M$65536,10,0),"")</f>
        <v>8.5119999999999998E-5</v>
      </c>
      <c r="F36" s="105">
        <f t="shared" ref="F36:F41" si="12">IFERROR(E36*C36,"")</f>
        <v>5.1072000000000001E-3</v>
      </c>
      <c r="G36" s="106">
        <f t="shared" si="9"/>
        <v>2.3691787947251373E-6</v>
      </c>
      <c r="H36" s="107" t="s">
        <v>130</v>
      </c>
      <c r="I36" s="110"/>
      <c r="J36" s="108"/>
    </row>
    <row r="37" spans="1:13" ht="13.5" x14ac:dyDescent="0.25">
      <c r="A37" s="103">
        <f t="shared" si="10"/>
        <v>120</v>
      </c>
      <c r="B37" s="109" t="str">
        <f>IFERROR(VLOOKUP(H37,[1]SEMIELABORADOS!$A$2:$M$6000,2,0),"")</f>
        <v>CREMA CHANTILLY BLANCA SPOON-IND KILO</v>
      </c>
      <c r="C37" s="104">
        <f t="shared" si="11"/>
        <v>120</v>
      </c>
      <c r="D37" s="105" t="str">
        <f>IFERROR(VLOOKUP(H37,[1]SEMIELABORADOS!$A$2:$M$6000,6,0),"")</f>
        <v>Gramo</v>
      </c>
      <c r="E37" s="105">
        <f>IFERROR(VLOOKUP(H37,[1]SEMIELABORADOS!$A$2:$M$65536,10,0),"")</f>
        <v>2.7884615384615379E-5</v>
      </c>
      <c r="F37" s="105">
        <f t="shared" si="12"/>
        <v>3.3461538461538455E-3</v>
      </c>
      <c r="G37" s="106">
        <f t="shared" si="9"/>
        <v>1.5522471679581082E-6</v>
      </c>
      <c r="H37" s="110" t="s">
        <v>131</v>
      </c>
      <c r="I37" s="110"/>
      <c r="J37" s="108"/>
    </row>
    <row r="38" spans="1:13" ht="13.5" x14ac:dyDescent="0.25">
      <c r="A38" s="103">
        <f t="shared" si="10"/>
        <v>70</v>
      </c>
      <c r="B38" s="109" t="s">
        <v>51</v>
      </c>
      <c r="C38" s="104">
        <f>+A38</f>
        <v>70</v>
      </c>
      <c r="D38" s="105" t="s">
        <v>133</v>
      </c>
      <c r="E38" s="105">
        <v>0</v>
      </c>
      <c r="F38" s="105">
        <f>IFERROR(E38*C38,"")</f>
        <v>0</v>
      </c>
      <c r="G38" s="106">
        <f t="shared" si="9"/>
        <v>0</v>
      </c>
      <c r="H38" s="110" t="s">
        <v>132</v>
      </c>
      <c r="I38" s="110"/>
      <c r="J38" s="108"/>
    </row>
    <row r="39" spans="1:13" ht="13.5" x14ac:dyDescent="0.25">
      <c r="A39" s="103">
        <f t="shared" si="10"/>
        <v>40</v>
      </c>
      <c r="B39" s="109" t="s">
        <v>53</v>
      </c>
      <c r="C39" s="104">
        <f>+A39</f>
        <v>40</v>
      </c>
      <c r="D39" s="105" t="s">
        <v>133</v>
      </c>
      <c r="E39" s="105">
        <v>0</v>
      </c>
      <c r="F39" s="105">
        <f>IFERROR(E39*C39,"")</f>
        <v>0</v>
      </c>
      <c r="G39" s="106">
        <f t="shared" si="9"/>
        <v>0</v>
      </c>
      <c r="H39" s="110" t="s">
        <v>134</v>
      </c>
      <c r="I39" s="110"/>
      <c r="J39" s="108"/>
    </row>
    <row r="40" spans="1:13" ht="13.5" x14ac:dyDescent="0.25">
      <c r="A40" s="103">
        <f t="shared" si="10"/>
        <v>30</v>
      </c>
      <c r="B40" s="109" t="str">
        <f>IFERROR(VLOOKUP(H40,[1]SEMIELABORADOS!$A$2:$M$6000,2,0),"")</f>
        <v>CREMA CHANTILLY MORADO BARNIE KILO</v>
      </c>
      <c r="C40" s="104">
        <f t="shared" si="11"/>
        <v>30</v>
      </c>
      <c r="D40" s="105" t="str">
        <f>IFERROR(VLOOKUP(H40,[1]SEMIELABORADOS!$A$2:$M$6000,6,0),"")</f>
        <v>Gramo</v>
      </c>
      <c r="E40" s="105">
        <f>IFERROR(VLOOKUP(H40,[1]SEMIELABORADOS!$A$2:$M$65536,10,0),"")</f>
        <v>1.023076923076923E-4</v>
      </c>
      <c r="F40" s="105">
        <f t="shared" si="12"/>
        <v>3.069230769230769E-3</v>
      </c>
      <c r="G40" s="106">
        <f t="shared" si="9"/>
        <v>1.4237853333684719E-6</v>
      </c>
      <c r="H40" s="110" t="s">
        <v>135</v>
      </c>
      <c r="I40" s="110"/>
      <c r="J40" s="108"/>
    </row>
    <row r="41" spans="1:13" ht="13.5" x14ac:dyDescent="0.25">
      <c r="A41" s="103">
        <f t="shared" si="10"/>
        <v>20</v>
      </c>
      <c r="B41" s="109" t="s">
        <v>147</v>
      </c>
      <c r="C41" s="104">
        <f t="shared" si="11"/>
        <v>20</v>
      </c>
      <c r="D41" s="105" t="s">
        <v>133</v>
      </c>
      <c r="E41" s="105">
        <v>0</v>
      </c>
      <c r="F41" s="105">
        <f t="shared" si="12"/>
        <v>0</v>
      </c>
      <c r="G41" s="106">
        <f t="shared" si="9"/>
        <v>0</v>
      </c>
      <c r="H41" s="110" t="s">
        <v>145</v>
      </c>
      <c r="I41" s="110"/>
      <c r="J41" s="108"/>
    </row>
    <row r="42" spans="1:13" ht="14.25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84</v>
      </c>
      <c r="B43" s="99" t="s">
        <v>93</v>
      </c>
      <c r="C43" s="99" t="s">
        <v>84</v>
      </c>
      <c r="D43" s="100" t="s">
        <v>86</v>
      </c>
      <c r="E43" s="100" t="s">
        <v>87</v>
      </c>
      <c r="F43" s="100" t="s">
        <v>88</v>
      </c>
      <c r="G43" s="100" t="s">
        <v>89</v>
      </c>
      <c r="H43" s="101" t="s">
        <v>90</v>
      </c>
      <c r="I43" s="102"/>
      <c r="J43" s="108"/>
    </row>
    <row r="44" spans="1:13" ht="13.5" x14ac:dyDescent="0.25">
      <c r="A44" s="103">
        <f>+A35</f>
        <v>1.5</v>
      </c>
      <c r="B44" s="91" t="s">
        <v>144</v>
      </c>
      <c r="C44" s="104">
        <f>+A44</f>
        <v>1.5</v>
      </c>
      <c r="D44" s="105" t="s">
        <v>129</v>
      </c>
      <c r="E44" s="105">
        <v>30.28</v>
      </c>
      <c r="F44" s="105">
        <f>IFERROR(E44*C44,"")</f>
        <v>45.42</v>
      </c>
      <c r="G44" s="106">
        <f>IFERROR(F44/$F$66,"")</f>
        <v>2.1069881903276893E-2</v>
      </c>
      <c r="H44" s="69" t="s">
        <v>143</v>
      </c>
      <c r="I44" s="102"/>
      <c r="J44" s="108"/>
    </row>
    <row r="45" spans="1:13" ht="13.5" x14ac:dyDescent="0.25">
      <c r="A45" s="103">
        <f t="shared" ref="A45:A50" si="13">+A36</f>
        <v>60</v>
      </c>
      <c r="B45" s="109" t="str">
        <f>IFERROR(VLOOKUP(H45,[1]SEMIELABORADOS!$A$2:$M$6000,2,0),"")</f>
        <v>CREMA DULCE LECHE KILO</v>
      </c>
      <c r="C45" s="104">
        <f t="shared" ref="C45:C50" si="14">+A45</f>
        <v>60</v>
      </c>
      <c r="D45" s="105" t="str">
        <f>IFERROR(VLOOKUP(H45,[1]SEMIELABORADOS!$A$2:$M$6000,6,0),"")</f>
        <v>Gramo</v>
      </c>
      <c r="E45" s="105">
        <f>IFERROR(VLOOKUP(H45,[1]SEMIELABORADOS!$A$2:$M$65536,12,0),"")</f>
        <v>0.48247311132734694</v>
      </c>
      <c r="F45" s="105">
        <f t="shared" ref="F45:F50" si="15">IFERROR(E45*C45,"")</f>
        <v>28.948386679640816</v>
      </c>
      <c r="G45" s="106">
        <f t="shared" ref="G45:G50" si="16">IFERROR(F45/$F$66,"")</f>
        <v>1.3428865887944206E-2</v>
      </c>
      <c r="H45" s="107" t="s">
        <v>130</v>
      </c>
      <c r="I45" s="102"/>
      <c r="J45" s="108"/>
      <c r="M45" s="113"/>
    </row>
    <row r="46" spans="1:13" ht="13.5" x14ac:dyDescent="0.25">
      <c r="A46" s="103">
        <f t="shared" si="13"/>
        <v>120</v>
      </c>
      <c r="B46" s="109" t="str">
        <f>IFERROR(VLOOKUP(H46,[1]SEMIELABORADOS!$A$2:$M$6000,2,0),"")</f>
        <v>CREMA CHANTILLY BLANCA SPOON-IND KILO</v>
      </c>
      <c r="C46" s="104">
        <f t="shared" si="14"/>
        <v>120</v>
      </c>
      <c r="D46" s="105" t="str">
        <f>IFERROR(VLOOKUP(H46,[1]SEMIELABORADOS!$A$2:$M$6000,6,0),"")</f>
        <v>Gramo</v>
      </c>
      <c r="E46" s="105">
        <f>IFERROR(VLOOKUP(H46,[1]SEMIELABORADOS!$A$2:$M$65536,12,0),"")</f>
        <v>0.41607800376923076</v>
      </c>
      <c r="F46" s="105">
        <f t="shared" si="15"/>
        <v>49.929360452307691</v>
      </c>
      <c r="G46" s="106">
        <f t="shared" si="16"/>
        <v>2.316172893518861E-2</v>
      </c>
      <c r="H46" s="110" t="s">
        <v>131</v>
      </c>
      <c r="I46" s="102"/>
      <c r="J46" s="108"/>
    </row>
    <row r="47" spans="1:13" ht="13.5" x14ac:dyDescent="0.25">
      <c r="A47" s="103">
        <f t="shared" si="13"/>
        <v>70</v>
      </c>
      <c r="B47" s="109" t="s">
        <v>51</v>
      </c>
      <c r="C47" s="104">
        <f t="shared" si="14"/>
        <v>70</v>
      </c>
      <c r="D47" s="105" t="s">
        <v>133</v>
      </c>
      <c r="E47" s="105">
        <v>0.02</v>
      </c>
      <c r="F47" s="105">
        <f t="shared" si="15"/>
        <v>1.4000000000000001</v>
      </c>
      <c r="G47" s="106">
        <f t="shared" si="16"/>
        <v>6.4944594153649603E-4</v>
      </c>
      <c r="H47" s="110" t="s">
        <v>132</v>
      </c>
      <c r="I47" s="102"/>
      <c r="J47" s="108"/>
    </row>
    <row r="48" spans="1:13" ht="13.5" x14ac:dyDescent="0.25">
      <c r="A48" s="103">
        <f t="shared" si="13"/>
        <v>40</v>
      </c>
      <c r="B48" s="109" t="s">
        <v>53</v>
      </c>
      <c r="C48" s="104">
        <f t="shared" si="14"/>
        <v>40</v>
      </c>
      <c r="D48" s="105" t="s">
        <v>133</v>
      </c>
      <c r="E48" s="105">
        <v>0.02</v>
      </c>
      <c r="F48" s="105">
        <f t="shared" si="15"/>
        <v>0.8</v>
      </c>
      <c r="G48" s="106">
        <f t="shared" si="16"/>
        <v>3.711119665922834E-4</v>
      </c>
      <c r="H48" s="110" t="s">
        <v>134</v>
      </c>
      <c r="I48" s="102"/>
      <c r="J48" s="108"/>
    </row>
    <row r="49" spans="1:17" ht="13.5" x14ac:dyDescent="0.25">
      <c r="A49" s="103">
        <f t="shared" si="13"/>
        <v>30</v>
      </c>
      <c r="B49" s="109" t="str">
        <f>IFERROR(VLOOKUP(H49,[1]SEMIELABORADOS!$A$2:$M$6000,2,0),"")</f>
        <v>CREMA CHANTILLY MORADO BARNIE KILO</v>
      </c>
      <c r="C49" s="104">
        <f t="shared" si="14"/>
        <v>30</v>
      </c>
      <c r="D49" s="105" t="str">
        <f>IFERROR(VLOOKUP(H49,[1]SEMIELABORADOS!$A$2:$M$6000,6,0),"")</f>
        <v>Gramo</v>
      </c>
      <c r="E49" s="105">
        <f>IFERROR(VLOOKUP(H49,[1]SEMIELABORADOS!$A$2:$M$65536,12,0),"")</f>
        <v>0.43571673522383425</v>
      </c>
      <c r="F49" s="105">
        <f t="shared" si="15"/>
        <v>13.071502056715028</v>
      </c>
      <c r="G49" s="106">
        <f t="shared" si="16"/>
        <v>6.0637385432282392E-3</v>
      </c>
      <c r="H49" s="110" t="s">
        <v>135</v>
      </c>
      <c r="I49" s="102"/>
      <c r="J49" s="108"/>
    </row>
    <row r="50" spans="1:17" ht="13.5" x14ac:dyDescent="0.25">
      <c r="A50" s="103">
        <f t="shared" si="13"/>
        <v>20</v>
      </c>
      <c r="B50" s="109" t="str">
        <f>IFERROR(VLOOKUP(H50,[1]SEMIELABORADOS!$A$2:$M$6000,2,0),"")</f>
        <v>BORONA P/DECORAR KILO</v>
      </c>
      <c r="C50" s="104">
        <f t="shared" si="14"/>
        <v>20</v>
      </c>
      <c r="D50" s="105" t="str">
        <f>IFERROR(VLOOKUP(H50,[1]SEMIELABORADOS!$A$2:$M$6000,6,0),"")</f>
        <v>Gramo</v>
      </c>
      <c r="E50" s="105">
        <f>IFERROR(VLOOKUP(H50,[1]SEMIELABORADOS!$A$2:$M$65536,12,0),"")</f>
        <v>0.24352364951929403</v>
      </c>
      <c r="F50" s="105">
        <f t="shared" si="15"/>
        <v>4.8704729903858803</v>
      </c>
      <c r="G50" s="106">
        <f t="shared" si="16"/>
        <v>2.2593635121208795E-3</v>
      </c>
      <c r="H50" s="109" t="s">
        <v>145</v>
      </c>
      <c r="I50" s="102"/>
      <c r="J50" s="108"/>
    </row>
    <row r="51" spans="1:17" ht="13.5" x14ac:dyDescent="0.25">
      <c r="A51" s="103">
        <v>1</v>
      </c>
      <c r="B51" s="109" t="s">
        <v>94</v>
      </c>
      <c r="C51" s="104">
        <f>+A51</f>
        <v>1</v>
      </c>
      <c r="D51" s="104" t="s">
        <v>95</v>
      </c>
      <c r="E51" s="105">
        <f>+F65</f>
        <v>488</v>
      </c>
      <c r="F51" s="105">
        <f>IFERROR(C51*E51,"")</f>
        <v>488</v>
      </c>
      <c r="G51" s="106">
        <f>IFERROR(F51/$F$66,"")</f>
        <v>0.22637829962129288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760" t="s">
        <v>96</v>
      </c>
      <c r="C53" s="760"/>
      <c r="D53" s="760"/>
      <c r="E53" s="760"/>
      <c r="F53" s="117">
        <f>SUM(F8:F14,F17:F24)</f>
        <v>1347.6833862637361</v>
      </c>
      <c r="G53" s="106">
        <f>+F53/$F$66</f>
        <v>0.62517678977510371</v>
      </c>
      <c r="H53" s="118">
        <f>+F53/$D$60</f>
        <v>1347.6833862637361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760" t="s">
        <v>97</v>
      </c>
      <c r="C54" s="760"/>
      <c r="D54" s="760"/>
      <c r="E54" s="760"/>
      <c r="F54" s="117">
        <f>SUM(F27:F32,F35:F41)</f>
        <v>293.04659950769229</v>
      </c>
      <c r="G54" s="106">
        <f>+F54/$F$66</f>
        <v>0.1359413748081012</v>
      </c>
      <c r="H54" s="118">
        <f>+F54/$D$60</f>
        <v>293.04659950769229</v>
      </c>
      <c r="I54" s="118"/>
      <c r="J54" s="122"/>
      <c r="K54" s="761" t="s">
        <v>98</v>
      </c>
      <c r="L54" s="762"/>
      <c r="M54" s="762"/>
      <c r="N54" s="762"/>
      <c r="O54" s="123">
        <f>+F55</f>
        <v>1640.7299857714283</v>
      </c>
      <c r="P54" s="123"/>
      <c r="Q54" s="124"/>
    </row>
    <row r="55" spans="1:17" x14ac:dyDescent="0.2">
      <c r="A55" s="115"/>
      <c r="B55" s="760" t="s">
        <v>99</v>
      </c>
      <c r="C55" s="760"/>
      <c r="D55" s="760"/>
      <c r="E55" s="760"/>
      <c r="F55" s="117">
        <f>+F53+F54</f>
        <v>1640.7299857714283</v>
      </c>
      <c r="G55" s="106">
        <f>+F55/$F$66</f>
        <v>0.76111816458320491</v>
      </c>
      <c r="H55" s="118">
        <f>+F55/$D$60</f>
        <v>1640.7299857714283</v>
      </c>
      <c r="I55" s="118"/>
      <c r="J55" s="125"/>
      <c r="K55" s="126"/>
      <c r="M55" s="127" t="s">
        <v>100</v>
      </c>
      <c r="N55" s="128"/>
      <c r="O55" s="123">
        <f>+H56</f>
        <v>632.43972217904945</v>
      </c>
      <c r="P55" s="123"/>
      <c r="Q55" s="124"/>
    </row>
    <row r="56" spans="1:17" ht="13.5" thickBot="1" x14ac:dyDescent="0.25">
      <c r="A56" s="115"/>
      <c r="B56" s="116"/>
      <c r="C56" s="760" t="s">
        <v>101</v>
      </c>
      <c r="D56" s="760"/>
      <c r="E56" s="760"/>
      <c r="F56" s="117">
        <f>SUM(F44:F51)</f>
        <v>632.43972217904945</v>
      </c>
      <c r="G56" s="106">
        <f>+F56/$F$66</f>
        <v>0.29338243631118049</v>
      </c>
      <c r="H56" s="118">
        <f>+F56/$D$60</f>
        <v>632.43972217904945</v>
      </c>
      <c r="I56" s="118"/>
      <c r="J56" s="125"/>
      <c r="K56" s="126"/>
      <c r="L56" s="126"/>
      <c r="M56" s="126" t="s">
        <v>102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103</v>
      </c>
      <c r="N57" s="135"/>
      <c r="O57" s="136">
        <f>SUM(O54:O56)</f>
        <v>2273.1697079504779</v>
      </c>
      <c r="P57" s="137"/>
      <c r="Q57" s="124"/>
    </row>
    <row r="58" spans="1:17" x14ac:dyDescent="0.2">
      <c r="B58" s="763" t="s">
        <v>104</v>
      </c>
      <c r="C58" s="763"/>
      <c r="D58" s="138">
        <v>720</v>
      </c>
      <c r="E58" s="139"/>
      <c r="G58" s="106"/>
      <c r="H58" s="132">
        <f>+H56/61</f>
        <v>10.367864298017205</v>
      </c>
      <c r="I58" s="140"/>
      <c r="J58" s="125"/>
      <c r="K58" s="133"/>
      <c r="L58" s="126"/>
      <c r="M58" s="126" t="s">
        <v>105</v>
      </c>
      <c r="N58" s="141"/>
      <c r="O58" s="123">
        <f>+H59</f>
        <v>601.33612928499792</v>
      </c>
      <c r="P58" s="123"/>
      <c r="Q58" s="124"/>
    </row>
    <row r="59" spans="1:17" x14ac:dyDescent="0.2">
      <c r="B59" s="763" t="s">
        <v>106</v>
      </c>
      <c r="C59" s="763"/>
      <c r="D59" s="142">
        <v>720</v>
      </c>
      <c r="E59" s="139"/>
      <c r="G59" s="106"/>
      <c r="H59" s="132">
        <f>+H58*58</f>
        <v>601.33612928499792</v>
      </c>
      <c r="I59" s="140"/>
      <c r="J59" s="125"/>
      <c r="K59" s="133"/>
      <c r="L59" s="126"/>
      <c r="M59" s="764" t="s">
        <v>103</v>
      </c>
      <c r="N59" s="764"/>
      <c r="O59" s="123">
        <f>SUM(O57:O58)</f>
        <v>2874.5058372354761</v>
      </c>
      <c r="P59" s="123"/>
      <c r="Q59" s="124"/>
    </row>
    <row r="60" spans="1:17" ht="13.5" thickBot="1" x14ac:dyDescent="0.25">
      <c r="B60" s="755" t="s">
        <v>107</v>
      </c>
      <c r="C60" s="755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764"/>
      <c r="M60" s="764"/>
      <c r="N60" s="141"/>
      <c r="O60" s="123">
        <f>+O59*N60</f>
        <v>0</v>
      </c>
      <c r="P60" s="123"/>
      <c r="Q60" s="124"/>
    </row>
    <row r="61" spans="1:17" ht="13.5" thickBot="1" x14ac:dyDescent="0.25">
      <c r="B61" s="755" t="s">
        <v>108</v>
      </c>
      <c r="C61" s="755"/>
      <c r="D61" s="144"/>
      <c r="E61" s="139"/>
      <c r="F61" s="143"/>
      <c r="G61" s="106"/>
      <c r="H61" s="132"/>
      <c r="I61" s="140"/>
      <c r="J61" s="125"/>
      <c r="K61" s="756" t="s">
        <v>109</v>
      </c>
      <c r="L61" s="757"/>
      <c r="M61" s="757"/>
      <c r="N61" s="758"/>
      <c r="O61" s="136">
        <f>SUM(O59:O60)</f>
        <v>2874.5058372354761</v>
      </c>
      <c r="P61" s="145" t="s">
        <v>110</v>
      </c>
      <c r="Q61" s="124"/>
    </row>
    <row r="62" spans="1:17" ht="13.5" thickBot="1" x14ac:dyDescent="0.25">
      <c r="C62" s="115" t="s">
        <v>111</v>
      </c>
      <c r="D62" s="146"/>
      <c r="E62" s="89" t="s">
        <v>112</v>
      </c>
      <c r="F62" s="147" t="s">
        <v>113</v>
      </c>
      <c r="G62" s="106"/>
      <c r="H62" s="132"/>
      <c r="I62" s="140"/>
      <c r="J62" s="148"/>
      <c r="K62" s="149"/>
      <c r="L62" s="744" t="s">
        <v>114</v>
      </c>
      <c r="M62" s="744"/>
      <c r="N62" s="744"/>
      <c r="O62" s="150">
        <f>+O61/D60</f>
        <v>2874.5058372354761</v>
      </c>
      <c r="P62" s="151">
        <f>+O62/D59</f>
        <v>3.9923692183826058</v>
      </c>
      <c r="Q62" s="152"/>
    </row>
    <row r="63" spans="1:17" ht="13.5" thickBot="1" x14ac:dyDescent="0.25">
      <c r="B63" s="745" t="s">
        <v>99</v>
      </c>
      <c r="C63" s="745"/>
      <c r="D63" s="745"/>
      <c r="E63" s="153">
        <f>+F63/F63</f>
        <v>1</v>
      </c>
      <c r="F63" s="154">
        <f>SUM(F55)</f>
        <v>1640.7299857714283</v>
      </c>
      <c r="G63" s="106">
        <f>+F63/$F$66</f>
        <v>0.76111816458320491</v>
      </c>
      <c r="H63" s="132"/>
      <c r="I63" s="140"/>
      <c r="K63" s="746"/>
      <c r="L63" s="747"/>
      <c r="M63" s="747"/>
      <c r="N63" s="747"/>
      <c r="O63" s="155"/>
      <c r="P63" s="156"/>
    </row>
    <row r="64" spans="1:17" ht="13.5" thickBot="1" x14ac:dyDescent="0.3">
      <c r="B64" s="748" t="s">
        <v>115</v>
      </c>
      <c r="C64" s="748"/>
      <c r="D64" s="748"/>
      <c r="E64" s="157">
        <v>0.02</v>
      </c>
      <c r="F64" s="154">
        <f>+F53*E64</f>
        <v>26.953667725274723</v>
      </c>
      <c r="G64" s="106">
        <f>+F64/$F$66</f>
        <v>1.2503535795502075E-2</v>
      </c>
      <c r="H64" s="118"/>
      <c r="I64" s="140"/>
      <c r="J64" s="158"/>
      <c r="O64" s="159"/>
      <c r="P64" s="116"/>
    </row>
    <row r="65" spans="2:15" ht="13.5" thickBot="1" x14ac:dyDescent="0.3">
      <c r="B65" s="749" t="s">
        <v>116</v>
      </c>
      <c r="C65" s="750"/>
      <c r="D65" s="160">
        <v>8</v>
      </c>
      <c r="E65" s="161">
        <v>61</v>
      </c>
      <c r="F65" s="154">
        <f>+E65*D65</f>
        <v>488</v>
      </c>
      <c r="G65" s="106">
        <f>+F65/$F$66</f>
        <v>0.22637829962129288</v>
      </c>
      <c r="H65" s="118"/>
      <c r="I65" s="118"/>
      <c r="J65" s="108"/>
      <c r="O65" s="91">
        <v>3522.59</v>
      </c>
    </row>
    <row r="66" spans="2:15" ht="13.5" thickBot="1" x14ac:dyDescent="0.3">
      <c r="B66" s="751" t="s">
        <v>117</v>
      </c>
      <c r="C66" s="752"/>
      <c r="D66" s="752"/>
      <c r="E66" s="753"/>
      <c r="F66" s="131">
        <f>SUM(F63:F65)</f>
        <v>2155.6836534967033</v>
      </c>
      <c r="G66" s="106">
        <f>+F66/$F$66</f>
        <v>1</v>
      </c>
      <c r="H66" s="754"/>
      <c r="I66" s="118"/>
      <c r="J66" s="108"/>
      <c r="M66" s="91" t="s">
        <v>118</v>
      </c>
    </row>
    <row r="67" spans="2:15" x14ac:dyDescent="0.25">
      <c r="C67" s="113"/>
      <c r="D67" s="113"/>
      <c r="E67" s="163"/>
      <c r="F67" s="154"/>
      <c r="G67" s="106"/>
      <c r="H67" s="754"/>
      <c r="I67" s="162"/>
      <c r="J67" s="91"/>
      <c r="M67" s="91" t="s">
        <v>119</v>
      </c>
    </row>
    <row r="68" spans="2:15" ht="13.5" thickBot="1" x14ac:dyDescent="0.3">
      <c r="B68" s="739" t="s">
        <v>120</v>
      </c>
      <c r="C68" s="739"/>
      <c r="D68" s="739"/>
      <c r="E68" s="739"/>
      <c r="F68" s="739"/>
      <c r="G68" s="106"/>
      <c r="H68" s="165"/>
      <c r="I68" s="162"/>
      <c r="J68" s="91"/>
      <c r="M68" s="91" t="s">
        <v>121</v>
      </c>
    </row>
    <row r="69" spans="2:15" ht="13.5" thickBot="1" x14ac:dyDescent="0.3">
      <c r="B69" s="166" t="s">
        <v>122</v>
      </c>
      <c r="C69" s="167">
        <f>+F53</f>
        <v>1347.6833862637361</v>
      </c>
      <c r="D69" s="167">
        <f>+D58</f>
        <v>720</v>
      </c>
      <c r="E69" s="168">
        <f>+C69/D69</f>
        <v>1.8717824809218557</v>
      </c>
      <c r="F69" s="106"/>
      <c r="G69" s="165"/>
      <c r="H69" s="108"/>
      <c r="I69" s="165"/>
      <c r="J69" s="91"/>
    </row>
    <row r="70" spans="2:15" x14ac:dyDescent="0.25">
      <c r="B70" s="169"/>
      <c r="C70" s="170"/>
      <c r="D70" s="171"/>
      <c r="E70" s="154"/>
      <c r="F70" s="106"/>
      <c r="G70" s="165"/>
      <c r="H70" s="108"/>
      <c r="I70" s="108"/>
      <c r="J70" s="91"/>
      <c r="M70" s="91" t="s">
        <v>387</v>
      </c>
    </row>
    <row r="71" spans="2:15" x14ac:dyDescent="0.25">
      <c r="B71" s="166" t="s">
        <v>123</v>
      </c>
      <c r="C71" s="167">
        <f>SUM(F63:F64)</f>
        <v>1667.6836534967031</v>
      </c>
      <c r="D71" s="167">
        <f>+D58</f>
        <v>720</v>
      </c>
      <c r="E71" s="172">
        <f>+C71/D71</f>
        <v>2.3162272965231989</v>
      </c>
      <c r="F71" s="106"/>
      <c r="G71" s="165"/>
      <c r="H71" s="108"/>
      <c r="I71" s="108"/>
      <c r="J71" s="91"/>
      <c r="M71" s="91" t="s">
        <v>388</v>
      </c>
    </row>
    <row r="72" spans="2:15" x14ac:dyDescent="0.25">
      <c r="B72" s="166"/>
      <c r="C72" s="167"/>
      <c r="D72" s="167"/>
      <c r="E72" s="172"/>
      <c r="F72" s="106"/>
      <c r="G72" s="165"/>
      <c r="H72" s="108"/>
      <c r="I72" s="108"/>
      <c r="J72" s="91"/>
      <c r="M72" s="91" t="s">
        <v>389</v>
      </c>
    </row>
    <row r="73" spans="2:15" ht="13.5" thickBot="1" x14ac:dyDescent="0.3">
      <c r="B73" s="166" t="s">
        <v>124</v>
      </c>
      <c r="C73" s="167">
        <f>+F65</f>
        <v>488</v>
      </c>
      <c r="D73" s="167">
        <f>+D58</f>
        <v>720</v>
      </c>
      <c r="E73" s="172">
        <f>+C73/D73</f>
        <v>0.67777777777777781</v>
      </c>
      <c r="F73" s="106"/>
      <c r="G73" s="165"/>
      <c r="H73" s="108"/>
      <c r="I73" s="108"/>
      <c r="J73" s="91"/>
    </row>
    <row r="74" spans="2:15" ht="13.5" thickBot="1" x14ac:dyDescent="0.3">
      <c r="B74" s="166" t="s">
        <v>125</v>
      </c>
      <c r="C74" s="167">
        <f>+F56</f>
        <v>632.43972217904945</v>
      </c>
      <c r="D74" s="167">
        <f>+D73</f>
        <v>720</v>
      </c>
      <c r="E74" s="168">
        <f>+C74/D74</f>
        <v>0.87838850302645755</v>
      </c>
      <c r="F74" s="106"/>
      <c r="G74" s="165"/>
      <c r="H74" s="108"/>
      <c r="I74" s="108"/>
      <c r="J74" s="91"/>
    </row>
    <row r="75" spans="2:15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5" ht="13.5" thickBot="1" x14ac:dyDescent="0.3">
      <c r="B76" s="166" t="s">
        <v>126</v>
      </c>
      <c r="C76" s="167">
        <f>+F54</f>
        <v>293.04659950769229</v>
      </c>
      <c r="D76" s="167">
        <f>+D74</f>
        <v>720</v>
      </c>
      <c r="E76" s="168">
        <f>+C76/D76</f>
        <v>0.40700916598290598</v>
      </c>
      <c r="F76" s="106"/>
      <c r="G76" s="165"/>
      <c r="H76" s="108"/>
      <c r="I76" s="108"/>
      <c r="J76" s="108"/>
    </row>
    <row r="77" spans="2:15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5" ht="13.5" thickBot="1" x14ac:dyDescent="0.3">
      <c r="B78" s="740" t="s">
        <v>127</v>
      </c>
      <c r="C78" s="741"/>
      <c r="D78" s="742"/>
      <c r="E78" s="168">
        <f>+E69+E74</f>
        <v>2.7501709839483133</v>
      </c>
      <c r="G78" s="106"/>
      <c r="H78" s="165"/>
      <c r="I78" s="108"/>
      <c r="J78" s="172"/>
    </row>
    <row r="79" spans="2:15" x14ac:dyDescent="0.25">
      <c r="I79" s="165"/>
      <c r="J79" s="91"/>
    </row>
    <row r="80" spans="2:15" ht="13.5" thickBot="1" x14ac:dyDescent="0.3">
      <c r="B80" s="739" t="s">
        <v>128</v>
      </c>
      <c r="C80" s="739"/>
      <c r="D80" s="739"/>
      <c r="E80" s="739"/>
      <c r="F80" s="739"/>
      <c r="G80" s="106"/>
      <c r="H80" s="165"/>
      <c r="J80" s="91"/>
    </row>
    <row r="81" spans="1:10" ht="13.5" thickBot="1" x14ac:dyDescent="0.3">
      <c r="B81" s="166" t="s">
        <v>122</v>
      </c>
      <c r="C81" s="167">
        <f>+C69</f>
        <v>1347.6833862637361</v>
      </c>
      <c r="D81" s="167">
        <f>+D60</f>
        <v>1</v>
      </c>
      <c r="E81" s="168">
        <f>+C81/D81</f>
        <v>1347.6833862637361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123</v>
      </c>
      <c r="C83" s="167">
        <f>+C71</f>
        <v>1667.6836534967031</v>
      </c>
      <c r="D83" s="167">
        <f>+D60</f>
        <v>1</v>
      </c>
      <c r="E83" s="172">
        <f>+C83/D83</f>
        <v>1667.6836534967031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125</v>
      </c>
      <c r="C85" s="167">
        <f>+C73</f>
        <v>488</v>
      </c>
      <c r="D85" s="167">
        <f>+D60</f>
        <v>1</v>
      </c>
      <c r="E85" s="172">
        <f>+C85/D85</f>
        <v>488</v>
      </c>
      <c r="F85" s="174"/>
      <c r="G85" s="164"/>
      <c r="H85" s="90"/>
      <c r="I85" s="108"/>
    </row>
    <row r="86" spans="1:10" ht="13.5" thickBot="1" x14ac:dyDescent="0.3">
      <c r="B86" s="166" t="s">
        <v>125</v>
      </c>
      <c r="C86" s="167">
        <f>+C74</f>
        <v>632.43972217904945</v>
      </c>
      <c r="D86" s="167">
        <f>+D85</f>
        <v>1</v>
      </c>
      <c r="E86" s="168">
        <f>+C86/D86</f>
        <v>632.43972217904945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743"/>
      <c r="B88" s="743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1CFE-EB3F-4B0D-9B19-EBABD021BDA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523F034-D442-4069-A279-5F6D7B27FFAF}"/>
</file>

<file path=customXml/itemProps3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</vt:i4>
      </vt:variant>
    </vt:vector>
  </HeadingPairs>
  <TitlesOfParts>
    <vt:vector size="27" baseType="lpstr">
      <vt:lpstr>Premezcla Easy BC</vt:lpstr>
      <vt:lpstr>Batido Easy Vainilla BC </vt:lpstr>
      <vt:lpstr>Costo de borona </vt:lpstr>
      <vt:lpstr>Rosquete Easy 300</vt:lpstr>
      <vt:lpstr>Costo Rosquete 300 g</vt:lpstr>
      <vt:lpstr>Ensamble</vt:lpstr>
      <vt:lpstr>Crema chantilly Blanca</vt:lpstr>
      <vt:lpstr>Crema Verde electrico</vt:lpstr>
      <vt:lpstr>Crema Naranja Bucca</vt:lpstr>
      <vt:lpstr>Premezcla Batido Vainilla Dawn</vt:lpstr>
      <vt:lpstr>Batido Vainilla Easy Dawn</vt:lpstr>
      <vt:lpstr>Rosquete Easy 320</vt:lpstr>
      <vt:lpstr>Procesado de Borona </vt:lpstr>
      <vt:lpstr>Crema Chantilly Morado Barnie</vt:lpstr>
      <vt:lpstr>Crema Dulce de leche</vt:lpstr>
      <vt:lpstr>Hoja1</vt:lpstr>
      <vt:lpstr>Ensamble 2</vt:lpstr>
      <vt:lpstr>Ensamble 3</vt:lpstr>
      <vt:lpstr>Costo Ensamble </vt:lpstr>
      <vt:lpstr>Fiestera opicion 1</vt:lpstr>
      <vt:lpstr>Fiestera Opcion 1-1</vt:lpstr>
      <vt:lpstr>Costo opcion 1</vt:lpstr>
      <vt:lpstr>Fiestera Opcion 2</vt:lpstr>
      <vt:lpstr>Costo Opcion 2</vt:lpstr>
      <vt:lpstr>Hoja8</vt:lpstr>
      <vt:lpstr>Ensamble!Área_de_impresión</vt:lpstr>
      <vt:lpstr>'Fiestera Opcion 1-1'!Área_de_impresión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2025-11-04T22:15:03Z</cp:lastPrinted>
  <dcterms:created xsi:type="dcterms:W3CDTF">2023-07-28T19:10:29Z</dcterms:created>
  <dcterms:modified xsi:type="dcterms:W3CDTF">2026-05-07T14:32:13Z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
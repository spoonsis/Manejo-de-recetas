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5" documentId="8_{236681C4-5F4E-4346-A150-C4D4301407CE}" xr6:coauthVersionLast="47" xr6:coauthVersionMax="47" xr10:uidLastSave="{DE37E50F-1235-48DD-930F-4F46475CFC74}"/>
  <bookViews>
    <workbookView xWindow="-120" yWindow="-120" windowWidth="20730" windowHeight="11040" xr2:uid="{7015FCAC-21EB-48CE-B7BE-FFF6C367A61E}"/>
  </bookViews>
  <sheets>
    <sheet name="Torta de Zanahoria 2" sheetId="1" r:id="rId1"/>
    <sheet name="Trasvasado Leche Condensada sua" sheetId="2" state="hidden" r:id="rId2"/>
  </sheets>
  <definedNames>
    <definedName name="_xlnm.Print_Area" localSheetId="0">'Torta de Zanahoria 2'!$A$1:$I$49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2" l="1"/>
  <c r="J35" i="2"/>
  <c r="K34" i="2"/>
  <c r="J34" i="2"/>
  <c r="K10" i="2"/>
  <c r="J10" i="2"/>
  <c r="G10" i="2" l="1"/>
  <c r="A53" i="2"/>
  <c r="J9" i="1" l="1"/>
</calcChain>
</file>

<file path=xl/sharedStrings.xml><?xml version="1.0" encoding="utf-8"?>
<sst xmlns="http://schemas.openxmlformats.org/spreadsheetml/2006/main" count="184" uniqueCount="101">
  <si>
    <t xml:space="preserve">6, Tapar y etiquetar. </t>
  </si>
  <si>
    <t xml:space="preserve">5, En la parte superior de la torta colocar el relleno de queso y leche condensada ralizando un estilo espejo y colocar los trozos pecana tostada en todo el borde. </t>
  </si>
  <si>
    <t xml:space="preserve">4, Encremar con la crema beige, dejando la parte superior sin crema, colocar la boronada de zanahoria en la parte inferior de la torta. </t>
  </si>
  <si>
    <t xml:space="preserve">3, Tapar con el ultimo rosquete de Zanahoria humedecido. </t>
  </si>
  <si>
    <t xml:space="preserve">2, Colocar otro rosquete de Zanahoria humedecido con almibar, agregar otra capa de trasvasadade leche condensada cocinada, relleno de queso y leche condensada y pecanas tostadas. </t>
  </si>
  <si>
    <t>1, Colocar 1 rosquete de Zanahoria humedecerlo con almibar, colocar el acetato alrededor, agregar trasvasado de leche condensada cocinada, relleno de queso y leche condensada y pecanas tostadas.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</si>
  <si>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</si>
  <si>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</si>
  <si>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</si>
  <si>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</si>
  <si>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</si>
  <si>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</si>
  <si>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</si>
  <si>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</si>
  <si>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</si>
  <si>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</si>
  <si>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</si>
  <si>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ETIPLAST</t>
  </si>
  <si>
    <t>ETIQUETA BLANCA 2 5/8X1 15/16 PRE BLANCA</t>
  </si>
  <si>
    <t>EM10011</t>
  </si>
  <si>
    <t>ETIQUETA BLANCA R-153</t>
  </si>
  <si>
    <t>EM10124</t>
  </si>
  <si>
    <t>CEMUSA</t>
  </si>
  <si>
    <t>ETIQ.BLANCA 1 1/4 * 3/4</t>
  </si>
  <si>
    <t>EM10002</t>
  </si>
  <si>
    <t>TAPA Y DOMO G50CT ALTA #9</t>
  </si>
  <si>
    <t>EM10494</t>
  </si>
  <si>
    <t/>
  </si>
  <si>
    <t>ORLA CARTON  8" DORADA</t>
  </si>
  <si>
    <t>EM10025</t>
  </si>
  <si>
    <t>EMPAQUE</t>
  </si>
  <si>
    <t xml:space="preserve">1/4 Taza </t>
  </si>
  <si>
    <t>FAS</t>
  </si>
  <si>
    <t>Procesado Pecana Tostada</t>
  </si>
  <si>
    <t>SE00805</t>
  </si>
  <si>
    <t>1/2 Taza</t>
  </si>
  <si>
    <t xml:space="preserve">Relleno de Queso y  Leche Condensada </t>
  </si>
  <si>
    <t>SE00806</t>
  </si>
  <si>
    <t>DECORACION</t>
  </si>
  <si>
    <t>30g x capa</t>
  </si>
  <si>
    <t xml:space="preserve">Procesado Pecana Tostada </t>
  </si>
  <si>
    <t>112g x capa</t>
  </si>
  <si>
    <t>1 Taza</t>
  </si>
  <si>
    <t>280g x capa</t>
  </si>
  <si>
    <t>Leche Cond Cocinada Loc</t>
  </si>
  <si>
    <t>PTL00140</t>
  </si>
  <si>
    <t>Almibar</t>
  </si>
  <si>
    <t>SE00005</t>
  </si>
  <si>
    <t xml:space="preserve">3 unidades </t>
  </si>
  <si>
    <t>SE00804</t>
  </si>
  <si>
    <t>55cm</t>
  </si>
  <si>
    <t>Acetato Duro</t>
  </si>
  <si>
    <t>EM10466</t>
  </si>
  <si>
    <t xml:space="preserve">ENSAMBLE 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</si>
  <si>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</si>
  <si>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</si>
  <si>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</si>
  <si>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</si>
  <si>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</si>
  <si>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</si>
  <si>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</si>
  <si>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</si>
  <si>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</si>
  <si>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</si>
  <si>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</si>
  <si>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</si>
  <si>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</si>
  <si>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Mariela Barrantes Sánchez, Chef</t>
  </si>
  <si>
    <t>Elaborado</t>
  </si>
  <si>
    <t>FECHA DE APROBACIÓN:</t>
  </si>
  <si>
    <t>PTL00283 -20200119 Torta Zanahoria Naked</t>
  </si>
  <si>
    <t>REVISIÓN:</t>
  </si>
  <si>
    <t>ESPECIFICACION DE RECETA</t>
  </si>
  <si>
    <t>CÓDIGO:</t>
  </si>
  <si>
    <t>SERVICIOS DE PASTELERIA S.A.</t>
  </si>
  <si>
    <t>CONTROL DE CAMBIOS</t>
  </si>
  <si>
    <t>Decoración</t>
  </si>
  <si>
    <t>ESP-RE-DES-093</t>
  </si>
  <si>
    <t xml:space="preserve">Rosquete Zanahoria 190g </t>
  </si>
  <si>
    <t>Cocina</t>
  </si>
  <si>
    <t># Código Netsuite</t>
  </si>
  <si>
    <t>Ensamble</t>
  </si>
  <si>
    <t>Latas</t>
  </si>
  <si>
    <t>GRAMOS</t>
  </si>
  <si>
    <t>Empaque</t>
  </si>
  <si>
    <t>ETIQUETA BLANCA 2 5/8X1 15/16 (UND)</t>
  </si>
  <si>
    <t>EM10307</t>
  </si>
  <si>
    <t>BOLSA MARMITA 14 x 20 (KILO)</t>
  </si>
  <si>
    <t>Tiempo de Horneo:</t>
  </si>
  <si>
    <t>Horno:</t>
  </si>
  <si>
    <t>bolsas</t>
  </si>
  <si>
    <t>Temperatura de Horneo:</t>
  </si>
  <si>
    <t>Otros</t>
  </si>
  <si>
    <t>1, Abril las latas de leche condensada y con ayuda de una espatula colocar el contenido en bolsas de 4 kg.</t>
  </si>
  <si>
    <t>2, hacer nudo y etiquetar</t>
  </si>
  <si>
    <t>2, Se actualiza dato rosquete y se agrea semi elaborado de empaque leche condensada cocinada suave</t>
  </si>
  <si>
    <t>SE00826 EMPAQUE  TRASVASADO LECHE CONDENSADA COCINADA SUAVE</t>
  </si>
  <si>
    <t>SE00842</t>
  </si>
  <si>
    <t>Trasvasado leche condensada para naked</t>
  </si>
  <si>
    <t>Revision #3: Ajuste en el codigo de la leche condensada cocinada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</si>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</sst>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31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i/>
      <sz val="18"/>
      <name val="Arial"/>
      <family val="2"/>
    </font>
    <font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name val="Aptos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5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0" fontId="12" fillId="0" borderId="0"/>
    <xf numFmtId="0" fontId="12" fillId="0" borderId="0"/>
    <xf numFmtId="0" fontId="12" fillId="0" borderId="0"/>
    <xf numFmtId="0" fontId="2" fillId="0" borderId="0"/>
  </cellStyleXfs>
  <cellXfs count="338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left" indent="1"/>
    </xf>
    <xf numFmtId="9" fontId="2" fillId="2" borderId="0" xfId="2" applyFont="1" applyFill="1"/>
    <xf numFmtId="0" fontId="2" fillId="2" borderId="0" xfId="0" applyFont="1" applyFill="1"/>
    <xf numFmtId="0" fontId="1" fillId="3" borderId="29" xfId="0" applyFont="1" applyFill="1" applyBorder="1" applyAlignment="1">
      <alignment horizontal="center"/>
    </xf>
    <xf numFmtId="1" fontId="1" fillId="3" borderId="27" xfId="0" applyNumberFormat="1" applyFont="1" applyFill="1" applyBorder="1" applyAlignment="1">
      <alignment horizontal="center" wrapText="1"/>
    </xf>
    <xf numFmtId="1" fontId="1" fillId="3" borderId="2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 wrapText="1"/>
    </xf>
    <xf numFmtId="1" fontId="1" fillId="3" borderId="15" xfId="0" applyNumberFormat="1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 vertical="center" wrapText="1"/>
    </xf>
    <xf numFmtId="14" fontId="2" fillId="2" borderId="0" xfId="3" applyNumberFormat="1" applyFont="1" applyFill="1" applyAlignment="1">
      <alignment horizontal="center" vertical="center" wrapText="1"/>
    </xf>
    <xf numFmtId="0" fontId="1" fillId="2" borderId="0" xfId="3" applyFont="1" applyFill="1" applyAlignment="1">
      <alignment horizontal="right" vertical="top" wrapText="1"/>
    </xf>
    <xf numFmtId="0" fontId="2" fillId="2" borderId="0" xfId="3" applyFont="1" applyFill="1" applyAlignment="1">
      <alignment horizontal="left"/>
    </xf>
    <xf numFmtId="0" fontId="2" fillId="2" borderId="0" xfId="3" applyFont="1" applyFill="1" applyAlignment="1">
      <alignment horizontal="right"/>
    </xf>
    <xf numFmtId="0" fontId="2" fillId="2" borderId="0" xfId="3" applyFont="1" applyFill="1" applyAlignment="1">
      <alignment horizontal="center"/>
    </xf>
    <xf numFmtId="0" fontId="2" fillId="2" borderId="15" xfId="3" applyFont="1" applyFill="1" applyBorder="1" applyAlignment="1">
      <alignment horizontal="right"/>
    </xf>
    <xf numFmtId="0" fontId="2" fillId="2" borderId="21" xfId="3" applyFont="1" applyFill="1" applyBorder="1" applyAlignment="1">
      <alignment horizontal="right"/>
    </xf>
    <xf numFmtId="49" fontId="0" fillId="2" borderId="30" xfId="3" applyNumberFormat="1" applyFont="1" applyFill="1" applyBorder="1" applyAlignment="1">
      <alignment horizontal="center"/>
    </xf>
    <xf numFmtId="0" fontId="1" fillId="2" borderId="21" xfId="3" applyFont="1" applyFill="1" applyBorder="1" applyAlignment="1">
      <alignment horizontal="right"/>
    </xf>
    <xf numFmtId="0" fontId="2" fillId="2" borderId="35" xfId="3" applyFont="1" applyFill="1" applyBorder="1" applyAlignment="1">
      <alignment horizontal="center"/>
    </xf>
    <xf numFmtId="0" fontId="1" fillId="2" borderId="32" xfId="3" applyFont="1" applyFill="1" applyBorder="1" applyAlignment="1">
      <alignment horizontal="right"/>
    </xf>
    <xf numFmtId="0" fontId="6" fillId="0" borderId="21" xfId="1" applyFont="1" applyBorder="1" applyAlignment="1">
      <alignment horizontal="center"/>
    </xf>
    <xf numFmtId="0" fontId="7" fillId="0" borderId="21" xfId="1" applyFont="1" applyBorder="1" applyAlignment="1">
      <alignment vertical="center"/>
    </xf>
    <xf numFmtId="0" fontId="6" fillId="0" borderId="32" xfId="1" applyFont="1" applyBorder="1" applyAlignment="1">
      <alignment horizontal="center"/>
    </xf>
    <xf numFmtId="1" fontId="8" fillId="0" borderId="21" xfId="1" applyNumberFormat="1" applyFont="1" applyBorder="1"/>
    <xf numFmtId="1" fontId="6" fillId="0" borderId="21" xfId="1" applyNumberFormat="1" applyFont="1" applyBorder="1"/>
    <xf numFmtId="0" fontId="8" fillId="0" borderId="27" xfId="0" applyFont="1" applyBorder="1" applyAlignment="1">
      <alignment horizontal="center"/>
    </xf>
    <xf numFmtId="0" fontId="8" fillId="5" borderId="21" xfId="0" applyFont="1" applyFill="1" applyBorder="1"/>
    <xf numFmtId="0" fontId="6" fillId="6" borderId="21" xfId="0" applyFont="1" applyFill="1" applyBorder="1" applyAlignment="1">
      <alignment horizontal="center" vertical="center"/>
    </xf>
    <xf numFmtId="0" fontId="6" fillId="0" borderId="25" xfId="1" applyFont="1" applyBorder="1" applyAlignment="1">
      <alignment horizontal="center"/>
    </xf>
    <xf numFmtId="0" fontId="8" fillId="5" borderId="21" xfId="1" applyFont="1" applyFill="1" applyBorder="1" applyAlignment="1">
      <alignment horizontal="left"/>
    </xf>
    <xf numFmtId="1" fontId="6" fillId="0" borderId="21" xfId="1" applyNumberFormat="1" applyFont="1" applyBorder="1" applyAlignment="1">
      <alignment horizontal="center"/>
    </xf>
    <xf numFmtId="0" fontId="9" fillId="4" borderId="21" xfId="1" applyFont="1" applyFill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2" fontId="6" fillId="0" borderId="21" xfId="1" applyNumberFormat="1" applyFont="1" applyBorder="1"/>
    <xf numFmtId="0" fontId="8" fillId="0" borderId="21" xfId="0" applyFont="1" applyBorder="1"/>
    <xf numFmtId="0" fontId="9" fillId="0" borderId="21" xfId="1" applyFont="1" applyBorder="1" applyAlignment="1">
      <alignment horizontal="left"/>
    </xf>
    <xf numFmtId="0" fontId="10" fillId="0" borderId="21" xfId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8" fillId="0" borderId="21" xfId="1" applyFont="1" applyBorder="1" applyAlignment="1">
      <alignment horizontal="left"/>
    </xf>
    <xf numFmtId="0" fontId="9" fillId="0" borderId="21" xfId="1" applyFont="1" applyBorder="1"/>
    <xf numFmtId="49" fontId="6" fillId="0" borderId="20" xfId="1" applyNumberFormat="1" applyFont="1" applyBorder="1" applyAlignment="1">
      <alignment horizontal="center"/>
    </xf>
    <xf numFmtId="49" fontId="6" fillId="0" borderId="21" xfId="1" applyNumberFormat="1" applyFont="1" applyBorder="1"/>
    <xf numFmtId="49" fontId="6" fillId="0" borderId="21" xfId="1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1" fontId="6" fillId="0" borderId="25" xfId="1" applyNumberFormat="1" applyFont="1" applyBorder="1" applyAlignment="1">
      <alignment horizontal="center"/>
    </xf>
    <xf numFmtId="0" fontId="9" fillId="4" borderId="31" xfId="1" applyFont="1" applyFill="1" applyBorder="1" applyAlignment="1">
      <alignment horizontal="center"/>
    </xf>
    <xf numFmtId="0" fontId="6" fillId="0" borderId="21" xfId="0" applyFont="1" applyBorder="1" applyAlignment="1">
      <alignment horizontal="left" vertical="center"/>
    </xf>
    <xf numFmtId="0" fontId="6" fillId="0" borderId="27" xfId="0" applyFont="1" applyBorder="1" applyAlignment="1">
      <alignment horizontal="center"/>
    </xf>
    <xf numFmtId="0" fontId="6" fillId="0" borderId="21" xfId="0" applyFont="1" applyBorder="1" applyAlignment="1">
      <alignment horizontal="center" wrapText="1"/>
    </xf>
    <xf numFmtId="0" fontId="9" fillId="4" borderId="30" xfId="1" applyFont="1" applyFill="1" applyBorder="1" applyAlignment="1">
      <alignment horizontal="center"/>
    </xf>
    <xf numFmtId="1" fontId="6" fillId="0" borderId="21" xfId="0" applyNumberFormat="1" applyFont="1" applyBorder="1" applyAlignment="1">
      <alignment horizontal="left" vertical="center"/>
    </xf>
    <xf numFmtId="0" fontId="6" fillId="0" borderId="30" xfId="1" applyFont="1" applyBorder="1" applyAlignment="1">
      <alignment horizontal="center"/>
    </xf>
    <xf numFmtId="0" fontId="6" fillId="0" borderId="27" xfId="1" applyFont="1" applyBorder="1" applyAlignment="1">
      <alignment horizontal="center"/>
    </xf>
    <xf numFmtId="0" fontId="6" fillId="0" borderId="28" xfId="1" quotePrefix="1" applyFont="1" applyBorder="1" applyAlignment="1">
      <alignment horizontal="right"/>
    </xf>
    <xf numFmtId="0" fontId="8" fillId="0" borderId="27" xfId="0" applyFont="1" applyBorder="1"/>
    <xf numFmtId="0" fontId="6" fillId="0" borderId="27" xfId="1" applyFont="1" applyBorder="1"/>
    <xf numFmtId="1" fontId="6" fillId="0" borderId="27" xfId="1" applyNumberFormat="1" applyFont="1" applyBorder="1" applyAlignment="1">
      <alignment horizontal="center" wrapText="1"/>
    </xf>
    <xf numFmtId="0" fontId="6" fillId="0" borderId="21" xfId="1" quotePrefix="1" applyFont="1" applyBorder="1" applyAlignment="1">
      <alignment horizontal="right"/>
    </xf>
    <xf numFmtId="0" fontId="6" fillId="0" borderId="21" xfId="1" applyFont="1" applyBorder="1"/>
    <xf numFmtId="1" fontId="6" fillId="0" borderId="21" xfId="1" applyNumberFormat="1" applyFont="1" applyBorder="1" applyAlignment="1">
      <alignment horizontal="center" wrapText="1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5" xfId="0" applyFont="1" applyFill="1" applyBorder="1"/>
    <xf numFmtId="0" fontId="9" fillId="3" borderId="5" xfId="0" applyFont="1" applyFill="1" applyBorder="1" applyAlignment="1">
      <alignment horizontal="center"/>
    </xf>
    <xf numFmtId="1" fontId="9" fillId="3" borderId="5" xfId="0" applyNumberFormat="1" applyFont="1" applyFill="1" applyBorder="1" applyAlignment="1">
      <alignment horizontal="center"/>
    </xf>
    <xf numFmtId="164" fontId="6" fillId="3" borderId="5" xfId="0" applyNumberFormat="1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/>
    </xf>
    <xf numFmtId="1" fontId="6" fillId="0" borderId="25" xfId="0" applyNumberFormat="1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" fontId="6" fillId="0" borderId="21" xfId="0" applyNumberFormat="1" applyFont="1" applyBorder="1" applyAlignment="1">
      <alignment horizontal="center"/>
    </xf>
    <xf numFmtId="1" fontId="6" fillId="0" borderId="15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4" fontId="11" fillId="2" borderId="0" xfId="3" applyNumberFormat="1" applyFont="1" applyFill="1" applyAlignment="1">
      <alignment horizontal="center" vertical="center" wrapText="1"/>
    </xf>
    <xf numFmtId="0" fontId="15" fillId="2" borderId="32" xfId="3" applyFont="1" applyFill="1" applyBorder="1" applyAlignment="1">
      <alignment horizontal="right"/>
    </xf>
    <xf numFmtId="0" fontId="13" fillId="2" borderId="35" xfId="3" applyFont="1" applyFill="1" applyBorder="1" applyAlignment="1">
      <alignment horizontal="center"/>
    </xf>
    <xf numFmtId="0" fontId="15" fillId="2" borderId="21" xfId="3" applyFont="1" applyFill="1" applyBorder="1" applyAlignment="1">
      <alignment horizontal="right"/>
    </xf>
    <xf numFmtId="49" fontId="13" fillId="2" borderId="30" xfId="3" applyNumberFormat="1" applyFont="1" applyFill="1" applyBorder="1" applyAlignment="1">
      <alignment horizontal="center"/>
    </xf>
    <xf numFmtId="0" fontId="13" fillId="2" borderId="25" xfId="3" applyFont="1" applyFill="1" applyBorder="1" applyAlignment="1">
      <alignment horizontal="right"/>
    </xf>
    <xf numFmtId="0" fontId="13" fillId="2" borderId="21" xfId="3" applyFont="1" applyFill="1" applyBorder="1" applyAlignment="1">
      <alignment horizontal="right"/>
    </xf>
    <xf numFmtId="14" fontId="17" fillId="2" borderId="0" xfId="3" applyNumberFormat="1" applyFont="1" applyFill="1" applyAlignment="1">
      <alignment horizontal="center" vertical="center" wrapText="1"/>
    </xf>
    <xf numFmtId="0" fontId="15" fillId="3" borderId="35" xfId="1" applyFont="1" applyFill="1" applyBorder="1" applyAlignment="1">
      <alignment horizontal="center" vertical="center" wrapText="1"/>
    </xf>
    <xf numFmtId="1" fontId="15" fillId="3" borderId="15" xfId="1" applyNumberFormat="1" applyFont="1" applyFill="1" applyBorder="1" applyAlignment="1">
      <alignment horizontal="center"/>
    </xf>
    <xf numFmtId="1" fontId="15" fillId="3" borderId="15" xfId="1" applyNumberFormat="1" applyFont="1" applyFill="1" applyBorder="1" applyAlignment="1">
      <alignment horizontal="center" wrapText="1"/>
    </xf>
    <xf numFmtId="0" fontId="15" fillId="3" borderId="38" xfId="1" applyFont="1" applyFill="1" applyBorder="1" applyAlignment="1">
      <alignment horizontal="center"/>
    </xf>
    <xf numFmtId="0" fontId="18" fillId="0" borderId="50" xfId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  <xf numFmtId="0" fontId="19" fillId="0" borderId="21" xfId="1" applyFont="1" applyBorder="1" applyAlignment="1">
      <alignment vertical="center"/>
    </xf>
    <xf numFmtId="0" fontId="18" fillId="0" borderId="21" xfId="1" applyFont="1" applyBorder="1" applyAlignment="1">
      <alignment horizontal="center" vertical="center"/>
    </xf>
    <xf numFmtId="1" fontId="18" fillId="0" borderId="21" xfId="1" applyNumberFormat="1" applyFont="1" applyBorder="1" applyAlignment="1">
      <alignment horizontal="center"/>
    </xf>
    <xf numFmtId="1" fontId="18" fillId="0" borderId="21" xfId="1" applyNumberFormat="1" applyFont="1" applyBorder="1" applyAlignment="1">
      <alignment horizontal="center" wrapText="1"/>
    </xf>
    <xf numFmtId="0" fontId="20" fillId="0" borderId="30" xfId="1" applyFont="1" applyBorder="1" applyAlignment="1">
      <alignment horizontal="center"/>
    </xf>
    <xf numFmtId="0" fontId="12" fillId="0" borderId="21" xfId="4" applyBorder="1" applyAlignment="1">
      <alignment horizontal="center"/>
    </xf>
    <xf numFmtId="1" fontId="20" fillId="0" borderId="21" xfId="1" applyNumberFormat="1" applyFont="1" applyBorder="1" applyAlignment="1">
      <alignment horizontal="center" wrapText="1"/>
    </xf>
    <xf numFmtId="0" fontId="0" fillId="0" borderId="21" xfId="4" applyFont="1" applyBorder="1" applyAlignment="1">
      <alignment horizontal="center"/>
    </xf>
    <xf numFmtId="0" fontId="12" fillId="0" borderId="50" xfId="5" applyBorder="1" applyAlignment="1">
      <alignment horizontal="center"/>
    </xf>
    <xf numFmtId="0" fontId="12" fillId="0" borderId="20" xfId="5" applyBorder="1" applyAlignment="1">
      <alignment horizontal="center"/>
    </xf>
    <xf numFmtId="0" fontId="12" fillId="0" borderId="21" xfId="5" applyBorder="1"/>
    <xf numFmtId="0" fontId="12" fillId="0" borderId="21" xfId="5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165" fontId="2" fillId="0" borderId="25" xfId="0" applyNumberFormat="1" applyFont="1" applyBorder="1" applyAlignment="1">
      <alignment horizontal="center" wrapText="1"/>
    </xf>
    <xf numFmtId="0" fontId="2" fillId="0" borderId="25" xfId="1" applyBorder="1" applyAlignment="1">
      <alignment horizontal="center"/>
    </xf>
    <xf numFmtId="1" fontId="2" fillId="0" borderId="21" xfId="1" applyNumberFormat="1" applyBorder="1" applyAlignment="1">
      <alignment horizontal="center" wrapText="1"/>
    </xf>
    <xf numFmtId="1" fontId="2" fillId="0" borderId="21" xfId="1" applyNumberForma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12" fillId="4" borderId="50" xfId="5" applyFill="1" applyBorder="1" applyAlignment="1">
      <alignment horizontal="center"/>
    </xf>
    <xf numFmtId="0" fontId="12" fillId="4" borderId="20" xfId="5" applyFill="1" applyBorder="1" applyAlignment="1">
      <alignment horizontal="center"/>
    </xf>
    <xf numFmtId="0" fontId="0" fillId="4" borderId="21" xfId="5" applyFont="1" applyFill="1" applyBorder="1"/>
    <xf numFmtId="0" fontId="12" fillId="4" borderId="21" xfId="5" applyFill="1" applyBorder="1"/>
    <xf numFmtId="1" fontId="2" fillId="0" borderId="25" xfId="0" applyNumberFormat="1" applyFont="1" applyBorder="1" applyAlignment="1">
      <alignment horizontal="center" wrapText="1"/>
    </xf>
    <xf numFmtId="49" fontId="20" fillId="0" borderId="50" xfId="6" applyNumberFormat="1" applyFont="1" applyBorder="1" applyAlignment="1">
      <alignment horizontal="center"/>
    </xf>
    <xf numFmtId="49" fontId="20" fillId="0" borderId="20" xfId="6" applyNumberFormat="1" applyFont="1" applyBorder="1" applyAlignment="1">
      <alignment horizontal="center"/>
    </xf>
    <xf numFmtId="49" fontId="23" fillId="0" borderId="21" xfId="6" applyNumberFormat="1" applyFont="1" applyBorder="1"/>
    <xf numFmtId="0" fontId="20" fillId="0" borderId="21" xfId="6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2" fontId="13" fillId="0" borderId="25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20" fillId="0" borderId="21" xfId="1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4" borderId="21" xfId="0" applyFill="1" applyBorder="1"/>
    <xf numFmtId="49" fontId="20" fillId="0" borderId="50" xfId="1" applyNumberFormat="1" applyFont="1" applyBorder="1" applyAlignment="1">
      <alignment horizontal="center"/>
    </xf>
    <xf numFmtId="49" fontId="20" fillId="0" borderId="20" xfId="1" applyNumberFormat="1" applyFont="1" applyBorder="1" applyAlignment="1">
      <alignment horizontal="center"/>
    </xf>
    <xf numFmtId="0" fontId="24" fillId="4" borderId="21" xfId="1" applyFont="1" applyFill="1" applyBorder="1" applyAlignment="1">
      <alignment horizontal="left"/>
    </xf>
    <xf numFmtId="0" fontId="20" fillId="0" borderId="21" xfId="1" applyFont="1" applyBorder="1" applyAlignment="1">
      <alignment horizontal="center"/>
    </xf>
    <xf numFmtId="166" fontId="20" fillId="0" borderId="21" xfId="1" applyNumberFormat="1" applyFont="1" applyBorder="1" applyAlignment="1">
      <alignment horizontal="center"/>
    </xf>
    <xf numFmtId="0" fontId="2" fillId="0" borderId="50" xfId="7" applyBorder="1" applyAlignment="1">
      <alignment horizontal="center"/>
    </xf>
    <xf numFmtId="0" fontId="2" fillId="0" borderId="21" xfId="1" applyBorder="1" applyAlignment="1">
      <alignment horizontal="center"/>
    </xf>
    <xf numFmtId="0" fontId="2" fillId="4" borderId="21" xfId="7" applyFill="1" applyBorder="1"/>
    <xf numFmtId="16" fontId="20" fillId="0" borderId="21" xfId="7" applyNumberFormat="1" applyFont="1" applyBorder="1" applyAlignment="1">
      <alignment horizontal="center"/>
    </xf>
    <xf numFmtId="0" fontId="2" fillId="0" borderId="21" xfId="7" applyBorder="1" applyAlignment="1">
      <alignment horizontal="center"/>
    </xf>
    <xf numFmtId="16" fontId="20" fillId="0" borderId="21" xfId="0" applyNumberFormat="1" applyFont="1" applyBorder="1" applyAlignment="1">
      <alignment horizontal="center"/>
    </xf>
    <xf numFmtId="1" fontId="20" fillId="0" borderId="21" xfId="7" applyNumberFormat="1" applyFont="1" applyBorder="1" applyAlignment="1">
      <alignment horizontal="center"/>
    </xf>
    <xf numFmtId="1" fontId="20" fillId="0" borderId="21" xfId="7" applyNumberFormat="1" applyFont="1" applyBorder="1" applyAlignment="1">
      <alignment horizontal="center" wrapText="1"/>
    </xf>
    <xf numFmtId="49" fontId="18" fillId="0" borderId="23" xfId="1" applyNumberFormat="1" applyFont="1" applyBorder="1" applyAlignment="1">
      <alignment horizontal="center"/>
    </xf>
    <xf numFmtId="49" fontId="18" fillId="0" borderId="22" xfId="1" applyNumberFormat="1" applyFont="1" applyBorder="1" applyAlignment="1">
      <alignment horizontal="center"/>
    </xf>
    <xf numFmtId="0" fontId="25" fillId="4" borderId="21" xfId="1" applyFont="1" applyFill="1" applyBorder="1" applyAlignment="1">
      <alignment vertical="center"/>
    </xf>
    <xf numFmtId="0" fontId="18" fillId="0" borderId="20" xfId="1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16" fontId="23" fillId="0" borderId="21" xfId="1" applyNumberFormat="1" applyFont="1" applyBorder="1" applyAlignment="1">
      <alignment horizontal="center"/>
    </xf>
    <xf numFmtId="1" fontId="21" fillId="0" borderId="21" xfId="1" applyNumberFormat="1" applyFont="1" applyBorder="1" applyAlignment="1">
      <alignment horizontal="center"/>
    </xf>
    <xf numFmtId="16" fontId="20" fillId="0" borderId="20" xfId="0" applyNumberFormat="1" applyFont="1" applyBorder="1" applyAlignment="1">
      <alignment horizontal="center"/>
    </xf>
    <xf numFmtId="1" fontId="13" fillId="0" borderId="25" xfId="0" applyNumberFormat="1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2" fontId="20" fillId="0" borderId="21" xfId="1" applyNumberFormat="1" applyFont="1" applyBorder="1" applyAlignment="1">
      <alignment horizontal="center"/>
    </xf>
    <xf numFmtId="0" fontId="0" fillId="0" borderId="20" xfId="5" applyFont="1" applyBorder="1" applyAlignment="1">
      <alignment horizontal="center"/>
    </xf>
    <xf numFmtId="1" fontId="20" fillId="0" borderId="21" xfId="0" applyNumberFormat="1" applyFont="1" applyBorder="1" applyAlignment="1">
      <alignment horizontal="center"/>
    </xf>
    <xf numFmtId="1" fontId="20" fillId="0" borderId="21" xfId="0" applyNumberFormat="1" applyFont="1" applyBorder="1" applyAlignment="1">
      <alignment horizontal="center" wrapText="1"/>
    </xf>
    <xf numFmtId="0" fontId="0" fillId="4" borderId="21" xfId="0" applyFill="1" applyBorder="1" applyAlignment="1">
      <alignment horizontal="center"/>
    </xf>
    <xf numFmtId="49" fontId="20" fillId="4" borderId="50" xfId="1" applyNumberFormat="1" applyFont="1" applyFill="1" applyBorder="1" applyAlignment="1">
      <alignment horizontal="center"/>
    </xf>
    <xf numFmtId="49" fontId="20" fillId="4" borderId="20" xfId="1" applyNumberFormat="1" applyFont="1" applyFill="1" applyBorder="1" applyAlignment="1">
      <alignment horizontal="center"/>
    </xf>
    <xf numFmtId="49" fontId="23" fillId="4" borderId="21" xfId="1" applyNumberFormat="1" applyFont="1" applyFill="1" applyBorder="1"/>
    <xf numFmtId="0" fontId="21" fillId="0" borderId="21" xfId="1" applyFont="1" applyBorder="1" applyAlignment="1">
      <alignment horizontal="center"/>
    </xf>
    <xf numFmtId="12" fontId="20" fillId="0" borderId="21" xfId="1" applyNumberFormat="1" applyFont="1" applyBorder="1" applyAlignment="1">
      <alignment horizontal="center"/>
    </xf>
    <xf numFmtId="49" fontId="23" fillId="0" borderId="21" xfId="1" applyNumberFormat="1" applyFont="1" applyBorder="1"/>
    <xf numFmtId="49" fontId="26" fillId="2" borderId="41" xfId="1" applyNumberFormat="1" applyFont="1" applyFill="1" applyBorder="1" applyAlignment="1">
      <alignment horizontal="center" vertical="center"/>
    </xf>
    <xf numFmtId="49" fontId="26" fillId="2" borderId="0" xfId="1" applyNumberFormat="1" applyFont="1" applyFill="1" applyAlignment="1">
      <alignment horizontal="center" vertical="center"/>
    </xf>
    <xf numFmtId="0" fontId="13" fillId="2" borderId="0" xfId="1" applyFont="1" applyFill="1"/>
    <xf numFmtId="1" fontId="13" fillId="2" borderId="0" xfId="1" applyNumberFormat="1" applyFont="1" applyFill="1" applyAlignment="1">
      <alignment horizontal="center"/>
    </xf>
    <xf numFmtId="164" fontId="13" fillId="2" borderId="0" xfId="1" applyNumberFormat="1" applyFont="1" applyFill="1" applyAlignment="1">
      <alignment horizontal="center" wrapText="1"/>
    </xf>
    <xf numFmtId="0" fontId="13" fillId="2" borderId="44" xfId="1" applyFont="1" applyFill="1" applyBorder="1" applyAlignment="1">
      <alignment horizontal="center"/>
    </xf>
    <xf numFmtId="0" fontId="13" fillId="3" borderId="3" xfId="1" applyFont="1" applyFill="1" applyBorder="1" applyAlignment="1">
      <alignment horizontal="center"/>
    </xf>
    <xf numFmtId="0" fontId="13" fillId="3" borderId="2" xfId="1" applyFont="1" applyFill="1" applyBorder="1" applyAlignment="1">
      <alignment horizontal="center"/>
    </xf>
    <xf numFmtId="0" fontId="13" fillId="3" borderId="2" xfId="1" applyFont="1" applyFill="1" applyBorder="1"/>
    <xf numFmtId="0" fontId="15" fillId="3" borderId="2" xfId="1" applyFont="1" applyFill="1" applyBorder="1" applyAlignment="1">
      <alignment horizontal="center"/>
    </xf>
    <xf numFmtId="1" fontId="15" fillId="3" borderId="2" xfId="1" applyNumberFormat="1" applyFont="1" applyFill="1" applyBorder="1" applyAlignment="1">
      <alignment horizontal="center"/>
    </xf>
    <xf numFmtId="164" fontId="13" fillId="3" borderId="2" xfId="1" applyNumberFormat="1" applyFont="1" applyFill="1" applyBorder="1" applyAlignment="1">
      <alignment horizontal="center" wrapText="1"/>
    </xf>
    <xf numFmtId="0" fontId="13" fillId="3" borderId="1" xfId="1" applyFont="1" applyFill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0" fillId="0" borderId="22" xfId="0" applyFont="1" applyBorder="1" applyAlignment="1">
      <alignment horizontal="left"/>
    </xf>
    <xf numFmtId="0" fontId="1" fillId="4" borderId="21" xfId="1" applyFont="1" applyFill="1" applyBorder="1" applyAlignment="1">
      <alignment horizontal="center"/>
    </xf>
    <xf numFmtId="0" fontId="2" fillId="4" borderId="21" xfId="1" applyFill="1" applyBorder="1" applyAlignment="1">
      <alignment horizontal="center"/>
    </xf>
    <xf numFmtId="0" fontId="29" fillId="4" borderId="21" xfId="0" applyFont="1" applyFill="1" applyBorder="1" applyAlignment="1">
      <alignment horizontal="center"/>
    </xf>
    <xf numFmtId="0" fontId="29" fillId="4" borderId="0" xfId="0" applyFont="1" applyFill="1"/>
    <xf numFmtId="0" fontId="2" fillId="4" borderId="25" xfId="1" applyFill="1" applyBorder="1" applyAlignment="1">
      <alignment horizontal="center"/>
    </xf>
    <xf numFmtId="0" fontId="2" fillId="4" borderId="0" xfId="0" applyFont="1" applyFill="1"/>
    <xf numFmtId="0" fontId="30" fillId="4" borderId="0" xfId="0" applyFont="1" applyFill="1"/>
    <xf numFmtId="0" fontId="8" fillId="9" borderId="21" xfId="0" applyFont="1" applyFill="1" applyBorder="1" applyAlignment="1">
      <alignment horizontal="center"/>
    </xf>
    <xf numFmtId="0" fontId="8" fillId="9" borderId="0" xfId="0" applyFont="1" applyFill="1"/>
    <xf numFmtId="0" fontId="10" fillId="2" borderId="19" xfId="0" applyFont="1" applyFill="1" applyBorder="1" applyAlignment="1">
      <alignment horizontal="left" vertical="center"/>
    </xf>
    <xf numFmtId="0" fontId="10" fillId="2" borderId="22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horizontal="left" vertical="center"/>
    </xf>
    <xf numFmtId="0" fontId="9" fillId="0" borderId="17" xfId="0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164" fontId="6" fillId="0" borderId="14" xfId="0" applyNumberFormat="1" applyFont="1" applyBorder="1" applyAlignment="1">
      <alignment horizontal="center"/>
    </xf>
    <xf numFmtId="164" fontId="6" fillId="0" borderId="13" xfId="0" applyNumberFormat="1" applyFont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6" fillId="0" borderId="12" xfId="1" applyFont="1" applyBorder="1" applyAlignment="1">
      <alignment horizontal="left" vertical="center" wrapText="1"/>
    </xf>
    <xf numFmtId="0" fontId="9" fillId="0" borderId="11" xfId="1" applyFont="1" applyBorder="1" applyAlignment="1">
      <alignment horizontal="left" vertical="center" wrapText="1"/>
    </xf>
    <xf numFmtId="0" fontId="9" fillId="0" borderId="10" xfId="1" applyFont="1" applyBorder="1" applyAlignment="1">
      <alignment horizontal="left" vertical="center" wrapText="1"/>
    </xf>
    <xf numFmtId="0" fontId="9" fillId="3" borderId="21" xfId="0" applyFont="1" applyFill="1" applyBorder="1" applyAlignment="1">
      <alignment horizontal="center"/>
    </xf>
    <xf numFmtId="0" fontId="6" fillId="0" borderId="9" xfId="1" applyFont="1" applyBorder="1" applyAlignment="1">
      <alignment horizontal="left" wrapText="1"/>
    </xf>
    <xf numFmtId="0" fontId="6" fillId="0" borderId="8" xfId="1" applyFont="1" applyBorder="1" applyAlignment="1">
      <alignment horizontal="left" wrapText="1"/>
    </xf>
    <xf numFmtId="0" fontId="6" fillId="0" borderId="7" xfId="1" applyFont="1" applyBorder="1" applyAlignment="1">
      <alignment horizontal="left" wrapText="1"/>
    </xf>
    <xf numFmtId="0" fontId="6" fillId="0" borderId="41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6" fillId="0" borderId="44" xfId="1" applyFont="1" applyBorder="1" applyAlignment="1">
      <alignment horizontal="left"/>
    </xf>
    <xf numFmtId="0" fontId="6" fillId="0" borderId="9" xfId="1" applyFont="1" applyBorder="1" applyAlignment="1">
      <alignment horizontal="left"/>
    </xf>
    <xf numFmtId="0" fontId="6" fillId="0" borderId="8" xfId="1" applyFont="1" applyBorder="1" applyAlignment="1">
      <alignment horizontal="left"/>
    </xf>
    <xf numFmtId="0" fontId="6" fillId="0" borderId="7" xfId="1" applyFont="1" applyBorder="1" applyAlignment="1">
      <alignment horizontal="left"/>
    </xf>
    <xf numFmtId="0" fontId="9" fillId="0" borderId="8" xfId="1" applyFont="1" applyBorder="1" applyAlignment="1">
      <alignment horizontal="left" wrapText="1"/>
    </xf>
    <xf numFmtId="0" fontId="9" fillId="0" borderId="7" xfId="1" applyFont="1" applyBorder="1" applyAlignment="1">
      <alignment horizontal="left" wrapText="1"/>
    </xf>
    <xf numFmtId="0" fontId="9" fillId="0" borderId="23" xfId="0" applyFont="1" applyBorder="1" applyAlignment="1">
      <alignment horizontal="right"/>
    </xf>
    <xf numFmtId="0" fontId="9" fillId="0" borderId="22" xfId="0" applyFont="1" applyBorder="1" applyAlignment="1">
      <alignment horizontal="right"/>
    </xf>
    <xf numFmtId="0" fontId="9" fillId="0" borderId="20" xfId="0" applyFont="1" applyBorder="1" applyAlignment="1">
      <alignment horizontal="right"/>
    </xf>
    <xf numFmtId="0" fontId="6" fillId="0" borderId="21" xfId="0" applyFont="1" applyBorder="1" applyAlignment="1">
      <alignment horizontal="right"/>
    </xf>
    <xf numFmtId="164" fontId="6" fillId="0" borderId="19" xfId="0" applyNumberFormat="1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164" fontId="6" fillId="0" borderId="19" xfId="0" applyNumberFormat="1" applyFont="1" applyBorder="1" applyAlignment="1">
      <alignment horizontal="right" wrapText="1"/>
    </xf>
    <xf numFmtId="164" fontId="6" fillId="0" borderId="20" xfId="0" applyNumberFormat="1" applyFont="1" applyBorder="1" applyAlignment="1">
      <alignment horizontal="right" wrapText="1"/>
    </xf>
    <xf numFmtId="0" fontId="9" fillId="0" borderId="9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9" fillId="0" borderId="26" xfId="0" applyFont="1" applyBorder="1" applyAlignment="1">
      <alignment horizontal="right"/>
    </xf>
    <xf numFmtId="164" fontId="6" fillId="0" borderId="25" xfId="0" applyNumberFormat="1" applyFont="1" applyBorder="1" applyAlignment="1">
      <alignment horizontal="right"/>
    </xf>
    <xf numFmtId="0" fontId="6" fillId="2" borderId="2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4" fontId="0" fillId="2" borderId="30" xfId="3" applyNumberFormat="1" applyFont="1" applyFill="1" applyBorder="1" applyAlignment="1">
      <alignment horizontal="center" vertical="center" wrapText="1"/>
    </xf>
    <xf numFmtId="14" fontId="2" fillId="2" borderId="30" xfId="3" applyNumberFormat="1" applyFont="1" applyFill="1" applyBorder="1" applyAlignment="1">
      <alignment horizontal="center" vertical="center" wrapText="1"/>
    </xf>
    <xf numFmtId="14" fontId="2" fillId="2" borderId="38" xfId="3" applyNumberFormat="1" applyFont="1" applyFill="1" applyBorder="1" applyAlignment="1">
      <alignment horizontal="center" vertical="center" wrapText="1"/>
    </xf>
    <xf numFmtId="0" fontId="2" fillId="2" borderId="21" xfId="3" applyFont="1" applyFill="1" applyBorder="1" applyAlignment="1">
      <alignment horizontal="left"/>
    </xf>
    <xf numFmtId="0" fontId="2" fillId="2" borderId="15" xfId="3" applyFont="1" applyFill="1" applyBorder="1" applyAlignment="1">
      <alignment horizontal="left"/>
    </xf>
    <xf numFmtId="0" fontId="2" fillId="2" borderId="43" xfId="3" applyFont="1" applyFill="1" applyBorder="1" applyAlignment="1">
      <alignment horizontal="center"/>
    </xf>
    <xf numFmtId="0" fontId="2" fillId="2" borderId="42" xfId="3" applyFont="1" applyFill="1" applyBorder="1" applyAlignment="1">
      <alignment horizontal="center"/>
    </xf>
    <xf numFmtId="0" fontId="2" fillId="2" borderId="41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6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4" fillId="2" borderId="32" xfId="3" applyFont="1" applyFill="1" applyBorder="1" applyAlignment="1">
      <alignment horizontal="center"/>
    </xf>
    <xf numFmtId="0" fontId="4" fillId="2" borderId="21" xfId="3" applyFont="1" applyFill="1" applyBorder="1" applyAlignment="1">
      <alignment horizontal="center"/>
    </xf>
    <xf numFmtId="0" fontId="5" fillId="7" borderId="19" xfId="3" applyFont="1" applyFill="1" applyBorder="1" applyAlignment="1">
      <alignment horizontal="center" vertical="center" wrapText="1"/>
    </xf>
    <xf numFmtId="0" fontId="5" fillId="7" borderId="22" xfId="3" applyFont="1" applyFill="1" applyBorder="1" applyAlignment="1">
      <alignment horizontal="center" vertical="center" wrapText="1"/>
    </xf>
    <xf numFmtId="0" fontId="5" fillId="7" borderId="20" xfId="3" applyFont="1" applyFill="1" applyBorder="1" applyAlignment="1">
      <alignment horizontal="center" vertical="center" wrapText="1"/>
    </xf>
    <xf numFmtId="0" fontId="1" fillId="2" borderId="21" xfId="3" applyFont="1" applyFill="1" applyBorder="1" applyAlignment="1">
      <alignment horizontal="right" vertical="top" wrapText="1"/>
    </xf>
    <xf numFmtId="0" fontId="1" fillId="2" borderId="15" xfId="3" applyFont="1" applyFill="1" applyBorder="1" applyAlignment="1">
      <alignment horizontal="right" vertical="top" wrapText="1"/>
    </xf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11" fillId="2" borderId="5" xfId="3" applyFont="1" applyFill="1" applyBorder="1" applyAlignment="1">
      <alignment horizontal="center"/>
    </xf>
    <xf numFmtId="0" fontId="1" fillId="3" borderId="37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8" fillId="0" borderId="6" xfId="1" applyFont="1" applyBorder="1" applyAlignment="1">
      <alignment horizontal="left"/>
    </xf>
    <xf numFmtId="0" fontId="28" fillId="0" borderId="5" xfId="1" applyFont="1" applyBorder="1" applyAlignment="1">
      <alignment horizontal="left"/>
    </xf>
    <xf numFmtId="0" fontId="28" fillId="0" borderId="4" xfId="1" applyFont="1" applyBorder="1" applyAlignment="1">
      <alignment horizontal="left"/>
    </xf>
    <xf numFmtId="0" fontId="13" fillId="0" borderId="51" xfId="1" applyFont="1" applyBorder="1" applyAlignment="1">
      <alignment horizontal="left"/>
    </xf>
    <xf numFmtId="0" fontId="13" fillId="0" borderId="52" xfId="1" applyFont="1" applyBorder="1" applyAlignment="1">
      <alignment horizontal="left"/>
    </xf>
    <xf numFmtId="0" fontId="13" fillId="0" borderId="13" xfId="1" applyFont="1" applyBorder="1" applyAlignment="1">
      <alignment horizontal="left"/>
    </xf>
    <xf numFmtId="0" fontId="15" fillId="8" borderId="53" xfId="3" applyFont="1" applyFill="1" applyBorder="1" applyAlignment="1">
      <alignment horizontal="center"/>
    </xf>
    <xf numFmtId="0" fontId="15" fillId="8" borderId="45" xfId="3" applyFont="1" applyFill="1" applyBorder="1" applyAlignment="1">
      <alignment horizontal="center"/>
    </xf>
    <xf numFmtId="0" fontId="13" fillId="2" borderId="54" xfId="3" applyFont="1" applyFill="1" applyBorder="1" applyAlignment="1">
      <alignment horizontal="left"/>
    </xf>
    <xf numFmtId="0" fontId="13" fillId="2" borderId="0" xfId="3" applyFont="1" applyFill="1" applyAlignment="1">
      <alignment horizontal="left"/>
    </xf>
    <xf numFmtId="0" fontId="28" fillId="0" borderId="9" xfId="1" applyFont="1" applyBorder="1" applyAlignment="1">
      <alignment horizontal="left"/>
    </xf>
    <xf numFmtId="0" fontId="28" fillId="0" borderId="8" xfId="1" applyFont="1" applyBorder="1" applyAlignment="1">
      <alignment horizontal="left"/>
    </xf>
    <xf numFmtId="0" fontId="28" fillId="0" borderId="7" xfId="1" applyFont="1" applyBorder="1" applyAlignment="1">
      <alignment horizontal="left"/>
    </xf>
    <xf numFmtId="0" fontId="15" fillId="0" borderId="17" xfId="1" applyFont="1" applyBorder="1" applyAlignment="1">
      <alignment horizontal="right"/>
    </xf>
    <xf numFmtId="0" fontId="15" fillId="0" borderId="16" xfId="1" applyFont="1" applyBorder="1" applyAlignment="1">
      <alignment horizontal="right"/>
    </xf>
    <xf numFmtId="0" fontId="15" fillId="0" borderId="15" xfId="1" applyFont="1" applyBorder="1" applyAlignment="1">
      <alignment horizontal="right"/>
    </xf>
    <xf numFmtId="0" fontId="13" fillId="0" borderId="15" xfId="1" applyFont="1" applyBorder="1" applyAlignment="1">
      <alignment horizontal="right"/>
    </xf>
    <xf numFmtId="164" fontId="13" fillId="0" borderId="14" xfId="1" applyNumberFormat="1" applyFont="1" applyBorder="1" applyAlignment="1">
      <alignment horizontal="center"/>
    </xf>
    <xf numFmtId="164" fontId="13" fillId="0" borderId="13" xfId="1" applyNumberFormat="1" applyFont="1" applyBorder="1" applyAlignment="1">
      <alignment horizontal="center"/>
    </xf>
    <xf numFmtId="0" fontId="15" fillId="3" borderId="3" xfId="1" applyFont="1" applyFill="1" applyBorder="1" applyAlignment="1">
      <alignment horizontal="left"/>
    </xf>
    <xf numFmtId="0" fontId="15" fillId="3" borderId="2" xfId="1" applyFont="1" applyFill="1" applyBorder="1" applyAlignment="1">
      <alignment horizontal="left"/>
    </xf>
    <xf numFmtId="0" fontId="15" fillId="3" borderId="1" xfId="1" applyFont="1" applyFill="1" applyBorder="1" applyAlignment="1">
      <alignment horizontal="left"/>
    </xf>
    <xf numFmtId="0" fontId="13" fillId="0" borderId="50" xfId="1" applyFont="1" applyBorder="1" applyAlignment="1">
      <alignment horizontal="left"/>
    </xf>
    <xf numFmtId="0" fontId="13" fillId="0" borderId="20" xfId="1" applyFont="1" applyBorder="1" applyAlignment="1">
      <alignment horizontal="left"/>
    </xf>
    <xf numFmtId="0" fontId="13" fillId="0" borderId="21" xfId="1" applyFont="1" applyBorder="1" applyAlignment="1">
      <alignment horizontal="left"/>
    </xf>
    <xf numFmtId="0" fontId="13" fillId="0" borderId="30" xfId="1" applyFont="1" applyBorder="1" applyAlignment="1">
      <alignment horizontal="left"/>
    </xf>
    <xf numFmtId="0" fontId="13" fillId="0" borderId="23" xfId="1" applyFont="1" applyBorder="1" applyAlignment="1">
      <alignment horizontal="left" wrapText="1"/>
    </xf>
    <xf numFmtId="0" fontId="13" fillId="0" borderId="22" xfId="1" applyFont="1" applyBorder="1" applyAlignment="1">
      <alignment horizontal="left" wrapText="1"/>
    </xf>
    <xf numFmtId="0" fontId="13" fillId="0" borderId="18" xfId="1" applyFont="1" applyBorder="1" applyAlignment="1">
      <alignment horizontal="left" wrapText="1"/>
    </xf>
    <xf numFmtId="0" fontId="13" fillId="0" borderId="50" xfId="1" applyFont="1" applyBorder="1" applyAlignment="1">
      <alignment horizontal="left" wrapText="1"/>
    </xf>
    <xf numFmtId="0" fontId="13" fillId="0" borderId="20" xfId="1" applyFont="1" applyBorder="1" applyAlignment="1">
      <alignment horizontal="left" wrapText="1"/>
    </xf>
    <xf numFmtId="0" fontId="13" fillId="0" borderId="21" xfId="1" applyFont="1" applyBorder="1" applyAlignment="1">
      <alignment horizontal="left" wrapText="1"/>
    </xf>
    <xf numFmtId="0" fontId="13" fillId="0" borderId="30" xfId="1" applyFont="1" applyBorder="1" applyAlignment="1">
      <alignment horizontal="left" wrapText="1"/>
    </xf>
    <xf numFmtId="0" fontId="27" fillId="0" borderId="9" xfId="1" applyFont="1" applyBorder="1" applyAlignment="1">
      <alignment horizontal="left" wrapText="1"/>
    </xf>
    <xf numFmtId="0" fontId="27" fillId="0" borderId="8" xfId="1" applyFont="1" applyBorder="1" applyAlignment="1">
      <alignment horizontal="left" wrapText="1"/>
    </xf>
    <xf numFmtId="0" fontId="27" fillId="0" borderId="7" xfId="1" applyFont="1" applyBorder="1" applyAlignment="1">
      <alignment horizontal="left" wrapText="1"/>
    </xf>
    <xf numFmtId="0" fontId="15" fillId="0" borderId="23" xfId="1" applyFont="1" applyBorder="1" applyAlignment="1">
      <alignment horizontal="right"/>
    </xf>
    <xf numFmtId="0" fontId="15" fillId="0" borderId="22" xfId="1" applyFont="1" applyBorder="1" applyAlignment="1">
      <alignment horizontal="right"/>
    </xf>
    <xf numFmtId="0" fontId="15" fillId="0" borderId="20" xfId="1" applyFont="1" applyBorder="1" applyAlignment="1">
      <alignment horizontal="right"/>
    </xf>
    <xf numFmtId="0" fontId="13" fillId="0" borderId="21" xfId="1" applyFont="1" applyBorder="1" applyAlignment="1">
      <alignment horizontal="right"/>
    </xf>
    <xf numFmtId="164" fontId="13" fillId="0" borderId="19" xfId="1" applyNumberFormat="1" applyFont="1" applyBorder="1" applyAlignment="1">
      <alignment horizontal="center"/>
    </xf>
    <xf numFmtId="164" fontId="13" fillId="0" borderId="18" xfId="1" applyNumberFormat="1" applyFont="1" applyBorder="1" applyAlignment="1">
      <alignment horizontal="center"/>
    </xf>
    <xf numFmtId="164" fontId="13" fillId="0" borderId="19" xfId="1" applyNumberFormat="1" applyFont="1" applyBorder="1" applyAlignment="1">
      <alignment horizontal="right" wrapText="1"/>
    </xf>
    <xf numFmtId="164" fontId="13" fillId="0" borderId="20" xfId="1" applyNumberFormat="1" applyFont="1" applyBorder="1" applyAlignment="1">
      <alignment horizontal="right" wrapText="1"/>
    </xf>
    <xf numFmtId="0" fontId="15" fillId="0" borderId="9" xfId="1" applyFont="1" applyBorder="1" applyAlignment="1">
      <alignment horizontal="right"/>
    </xf>
    <xf numFmtId="0" fontId="15" fillId="0" borderId="8" xfId="1" applyFont="1" applyBorder="1" applyAlignment="1">
      <alignment horizontal="right"/>
    </xf>
    <xf numFmtId="0" fontId="15" fillId="0" borderId="26" xfId="1" applyFont="1" applyBorder="1" applyAlignment="1">
      <alignment horizontal="right"/>
    </xf>
    <xf numFmtId="164" fontId="13" fillId="0" borderId="25" xfId="1" applyNumberFormat="1" applyFont="1" applyBorder="1" applyAlignment="1">
      <alignment horizontal="right"/>
    </xf>
    <xf numFmtId="0" fontId="13" fillId="2" borderId="24" xfId="1" applyFont="1" applyFill="1" applyBorder="1" applyAlignment="1">
      <alignment horizontal="center"/>
    </xf>
    <xf numFmtId="0" fontId="13" fillId="2" borderId="7" xfId="1" applyFont="1" applyFill="1" applyBorder="1" applyAlignment="1">
      <alignment horizontal="center"/>
    </xf>
    <xf numFmtId="0" fontId="17" fillId="2" borderId="5" xfId="3" applyFont="1" applyFill="1" applyBorder="1" applyAlignment="1">
      <alignment horizontal="center"/>
    </xf>
    <xf numFmtId="0" fontId="15" fillId="3" borderId="37" xfId="1" applyFont="1" applyFill="1" applyBorder="1" applyAlignment="1">
      <alignment horizontal="center" vertical="center"/>
    </xf>
    <xf numFmtId="0" fontId="15" fillId="3" borderId="17" xfId="1" applyFont="1" applyFill="1" applyBorder="1" applyAlignment="1">
      <alignment horizontal="center" vertical="center"/>
    </xf>
    <xf numFmtId="0" fontId="15" fillId="3" borderId="37" xfId="1" applyFont="1" applyFill="1" applyBorder="1" applyAlignment="1">
      <alignment horizontal="center" vertical="center" wrapText="1"/>
    </xf>
    <xf numFmtId="0" fontId="15" fillId="3" borderId="17" xfId="1" applyFont="1" applyFill="1" applyBorder="1" applyAlignment="1">
      <alignment horizontal="center" vertical="center" wrapText="1"/>
    </xf>
    <xf numFmtId="0" fontId="15" fillId="3" borderId="32" xfId="1" applyFont="1" applyFill="1" applyBorder="1" applyAlignment="1">
      <alignment horizontal="center" vertical="center"/>
    </xf>
    <xf numFmtId="0" fontId="15" fillId="3" borderId="15" xfId="1" applyFont="1" applyFill="1" applyBorder="1" applyAlignment="1">
      <alignment horizontal="center" vertical="center"/>
    </xf>
    <xf numFmtId="14" fontId="13" fillId="2" borderId="29" xfId="3" applyNumberFormat="1" applyFont="1" applyFill="1" applyBorder="1" applyAlignment="1">
      <alignment horizontal="center" vertical="center" wrapText="1"/>
    </xf>
    <xf numFmtId="14" fontId="13" fillId="2" borderId="49" xfId="3" applyNumberFormat="1" applyFont="1" applyFill="1" applyBorder="1" applyAlignment="1">
      <alignment horizontal="center" vertical="center" wrapText="1"/>
    </xf>
    <xf numFmtId="14" fontId="13" fillId="2" borderId="31" xfId="3" applyNumberFormat="1" applyFont="1" applyFill="1" applyBorder="1" applyAlignment="1">
      <alignment horizontal="center" vertical="center" wrapText="1"/>
    </xf>
    <xf numFmtId="0" fontId="2" fillId="2" borderId="47" xfId="3" applyFont="1" applyFill="1" applyBorder="1" applyAlignment="1">
      <alignment horizontal="left"/>
    </xf>
    <xf numFmtId="0" fontId="2" fillId="2" borderId="11" xfId="3" applyFont="1" applyFill="1" applyBorder="1" applyAlignment="1">
      <alignment horizontal="left"/>
    </xf>
    <xf numFmtId="0" fontId="2" fillId="2" borderId="48" xfId="3" applyFont="1" applyFill="1" applyBorder="1" applyAlignment="1">
      <alignment horizontal="left"/>
    </xf>
    <xf numFmtId="0" fontId="2" fillId="2" borderId="14" xfId="3" applyFont="1" applyFill="1" applyBorder="1" applyAlignment="1">
      <alignment horizontal="left"/>
    </xf>
    <xf numFmtId="0" fontId="2" fillId="2" borderId="52" xfId="3" applyFont="1" applyFill="1" applyBorder="1" applyAlignment="1">
      <alignment horizontal="left"/>
    </xf>
    <xf numFmtId="0" fontId="2" fillId="2" borderId="16" xfId="3" applyFont="1" applyFill="1" applyBorder="1" applyAlignment="1">
      <alignment horizontal="left"/>
    </xf>
    <xf numFmtId="0" fontId="13" fillId="2" borderId="43" xfId="3" applyFont="1" applyFill="1" applyBorder="1" applyAlignment="1">
      <alignment horizontal="center"/>
    </xf>
    <xf numFmtId="0" fontId="13" fillId="2" borderId="45" xfId="3" applyFont="1" applyFill="1" applyBorder="1" applyAlignment="1">
      <alignment horizontal="center"/>
    </xf>
    <xf numFmtId="0" fontId="13" fillId="2" borderId="41" xfId="3" applyFont="1" applyFill="1" applyBorder="1" applyAlignment="1">
      <alignment horizontal="center"/>
    </xf>
    <xf numFmtId="0" fontId="13" fillId="2" borderId="0" xfId="3" applyFont="1" applyFill="1" applyAlignment="1">
      <alignment horizontal="center"/>
    </xf>
    <xf numFmtId="0" fontId="13" fillId="2" borderId="9" xfId="3" applyFont="1" applyFill="1" applyBorder="1" applyAlignment="1">
      <alignment horizontal="center"/>
    </xf>
    <xf numFmtId="0" fontId="13" fillId="2" borderId="8" xfId="3" applyFont="1" applyFill="1" applyBorder="1" applyAlignment="1">
      <alignment horizontal="center"/>
    </xf>
    <xf numFmtId="0" fontId="14" fillId="2" borderId="32" xfId="3" applyFont="1" applyFill="1" applyBorder="1" applyAlignment="1">
      <alignment horizontal="center"/>
    </xf>
    <xf numFmtId="0" fontId="14" fillId="2" borderId="27" xfId="3" applyFont="1" applyFill="1" applyBorder="1" applyAlignment="1">
      <alignment horizontal="center"/>
    </xf>
    <xf numFmtId="0" fontId="16" fillId="7" borderId="3" xfId="3" applyFont="1" applyFill="1" applyBorder="1" applyAlignment="1">
      <alignment horizontal="center" vertical="center" wrapText="1"/>
    </xf>
    <xf numFmtId="0" fontId="16" fillId="7" borderId="2" xfId="3" applyFont="1" applyFill="1" applyBorder="1" applyAlignment="1">
      <alignment horizontal="center" vertical="center" wrapText="1"/>
    </xf>
    <xf numFmtId="0" fontId="16" fillId="7" borderId="1" xfId="3" applyFont="1" applyFill="1" applyBorder="1" applyAlignment="1">
      <alignment horizontal="center" vertical="center" wrapText="1"/>
    </xf>
    <xf numFmtId="0" fontId="15" fillId="2" borderId="46" xfId="3" applyFont="1" applyFill="1" applyBorder="1" applyAlignment="1">
      <alignment horizontal="right" vertical="top" wrapText="1"/>
    </xf>
    <xf numFmtId="0" fontId="15" fillId="2" borderId="40" xfId="3" applyFont="1" applyFill="1" applyBorder="1" applyAlignment="1">
      <alignment horizontal="right" vertical="top" wrapText="1"/>
    </xf>
    <xf numFmtId="0" fontId="15" fillId="2" borderId="39" xfId="3" applyFont="1" applyFill="1" applyBorder="1" applyAlignment="1">
      <alignment horizontal="right" vertical="top" wrapText="1"/>
    </xf>
  </cellXfs>
  <cellStyles count="8">
    <cellStyle name="Normal" xfId="0" builtinId="0"/>
    <cellStyle name="Normal 2" xfId="1" xr:uid="{05A349CA-2ADA-4AD3-AF3E-B0F81A881C85}"/>
    <cellStyle name="Normal 3" xfId="5" xr:uid="{ED904B5B-EF39-49F9-9574-0212DD0A56B4}"/>
    <cellStyle name="Normal 3 2" xfId="7" xr:uid="{217BFC6E-C8B6-48C0-AD81-C4AE0500DF5C}"/>
    <cellStyle name="Normal 4" xfId="6" xr:uid="{519C1626-083F-44CF-BA73-18CCAE96BBB2}"/>
    <cellStyle name="Normal 5" xfId="4" xr:uid="{D2FFBEC3-86B8-4B8F-B1A6-8301556389B1}"/>
    <cellStyle name="Normal_CRITERIOS DE EVALUACION PT DE GB 2" xfId="3" xr:uid="{ADC20F5B-8E0B-4BF1-B16C-32CF4647F9C6}"/>
    <cellStyle name="Porcentaje 2" xfId="2" xr:uid="{058A3107-643B-499F-9959-162CE92693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178593</xdr:rowOff>
    </xdr:from>
    <xdr:ext cx="1882182" cy="904876"/>
    <xdr:pic>
      <xdr:nvPicPr>
        <xdr:cNvPr id="2" name="Imagen 1">
          <a:extLst>
            <a:ext uri="{FF2B5EF4-FFF2-40B4-BE49-F238E27FC236}">
              <a16:creationId xmlns:a16="http://schemas.microsoft.com/office/drawing/2014/main" id="{955DE4EB-6044-468F-A07C-8B8BB27DD9B5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8593"/>
          <a:ext cx="1882182" cy="90487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0660" cy="904876"/>
    <xdr:pic>
      <xdr:nvPicPr>
        <xdr:cNvPr id="2" name="Imagen 1">
          <a:extLst>
            <a:ext uri="{FF2B5EF4-FFF2-40B4-BE49-F238E27FC236}">
              <a16:creationId xmlns:a16="http://schemas.microsoft.com/office/drawing/2014/main" id="{6C3BE284-E9E1-473C-A656-2B85287C4233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0660" cy="9048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DBE9-7C2A-4CDE-BC30-502D86BA3720}">
  <sheetPr>
    <pageSetUpPr fitToPage="1"/>
  </sheetPr>
  <dimension ref="A1:M51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6.7109375" customWidth="1"/>
    <col min="3" max="3" width="67.7109375" customWidth="1"/>
    <col min="4" max="4" width="16.28515625" customWidth="1"/>
    <col min="5" max="5" width="15.140625" customWidth="1"/>
    <col min="6" max="6" width="15.5703125" customWidth="1"/>
    <col min="7" max="7" width="20.28515625" customWidth="1"/>
    <col min="8" max="8" width="15" customWidth="1"/>
    <col min="9" max="9" width="18.28515625" customWidth="1"/>
  </cols>
  <sheetData>
    <row r="1" spans="1:10" ht="18" x14ac:dyDescent="0.25">
      <c r="A1" s="235"/>
      <c r="B1" s="236"/>
      <c r="C1" s="241" t="s">
        <v>74</v>
      </c>
      <c r="D1" s="241"/>
      <c r="E1" s="241"/>
      <c r="F1" s="241"/>
      <c r="G1" s="241"/>
      <c r="H1" s="21" t="s">
        <v>73</v>
      </c>
      <c r="I1" s="20" t="s">
        <v>77</v>
      </c>
    </row>
    <row r="2" spans="1:10" ht="18" x14ac:dyDescent="0.25">
      <c r="A2" s="237"/>
      <c r="B2" s="238"/>
      <c r="C2" s="242" t="s">
        <v>72</v>
      </c>
      <c r="D2" s="242"/>
      <c r="E2" s="242"/>
      <c r="F2" s="242"/>
      <c r="G2" s="242"/>
      <c r="H2" s="19" t="s">
        <v>71</v>
      </c>
      <c r="I2" s="18" t="s">
        <v>100</v>
      </c>
    </row>
    <row r="3" spans="1:10" ht="30" customHeight="1" x14ac:dyDescent="0.25">
      <c r="A3" s="237"/>
      <c r="B3" s="238"/>
      <c r="C3" s="243" t="s">
        <v>70</v>
      </c>
      <c r="D3" s="244"/>
      <c r="E3" s="244"/>
      <c r="F3" s="244"/>
      <c r="G3" s="245"/>
      <c r="H3" s="246" t="s">
        <v>69</v>
      </c>
      <c r="I3" s="230">
        <v>46063</v>
      </c>
    </row>
    <row r="4" spans="1:10" x14ac:dyDescent="0.25">
      <c r="A4" s="237"/>
      <c r="B4" s="238"/>
      <c r="C4" s="17" t="s">
        <v>68</v>
      </c>
      <c r="D4" s="233" t="s">
        <v>67</v>
      </c>
      <c r="E4" s="233"/>
      <c r="F4" s="233"/>
      <c r="G4" s="233"/>
      <c r="H4" s="246"/>
      <c r="I4" s="231"/>
    </row>
    <row r="5" spans="1:10" ht="15" customHeight="1" thickBot="1" x14ac:dyDescent="0.3">
      <c r="A5" s="239"/>
      <c r="B5" s="240"/>
      <c r="C5" s="16" t="s">
        <v>66</v>
      </c>
      <c r="D5" s="234" t="s">
        <v>65</v>
      </c>
      <c r="E5" s="234"/>
      <c r="F5" s="234"/>
      <c r="G5" s="234"/>
      <c r="H5" s="247"/>
      <c r="I5" s="232"/>
    </row>
    <row r="6" spans="1:10" ht="7.5" hidden="1" customHeight="1" x14ac:dyDescent="0.25">
      <c r="A6" s="15"/>
      <c r="B6" s="15"/>
      <c r="C6" s="14"/>
      <c r="D6" s="13"/>
      <c r="E6" s="13"/>
      <c r="F6" s="13"/>
      <c r="G6" s="13"/>
      <c r="H6" s="12"/>
      <c r="I6" s="11"/>
    </row>
    <row r="7" spans="1:10" ht="18.75" thickBot="1" x14ac:dyDescent="0.3">
      <c r="A7" s="249" t="s">
        <v>64</v>
      </c>
      <c r="B7" s="249"/>
      <c r="C7" s="249"/>
      <c r="D7" s="250" t="s">
        <v>76</v>
      </c>
      <c r="E7" s="250"/>
      <c r="F7" s="250"/>
      <c r="G7" s="248" t="s">
        <v>63</v>
      </c>
      <c r="H7" s="248"/>
      <c r="I7" s="77" t="s">
        <v>76</v>
      </c>
    </row>
    <row r="8" spans="1:10" ht="35.25" customHeight="1" x14ac:dyDescent="0.25">
      <c r="A8" s="251" t="s">
        <v>62</v>
      </c>
      <c r="B8" s="253" t="s">
        <v>61</v>
      </c>
      <c r="C8" s="255" t="s">
        <v>60</v>
      </c>
      <c r="D8" s="255" t="s">
        <v>59</v>
      </c>
      <c r="E8" s="255" t="s">
        <v>58</v>
      </c>
      <c r="F8" s="255"/>
      <c r="G8" s="255" t="s">
        <v>57</v>
      </c>
      <c r="H8" s="255"/>
      <c r="I8" s="10" t="s">
        <v>56</v>
      </c>
    </row>
    <row r="9" spans="1:10" ht="33" customHeight="1" thickBot="1" x14ac:dyDescent="0.3">
      <c r="A9" s="252"/>
      <c r="B9" s="254"/>
      <c r="C9" s="256"/>
      <c r="D9" s="257"/>
      <c r="E9" s="9" t="s">
        <v>16</v>
      </c>
      <c r="F9" s="8" t="s">
        <v>55</v>
      </c>
      <c r="G9" s="7" t="s">
        <v>16</v>
      </c>
      <c r="H9" s="6" t="s">
        <v>55</v>
      </c>
      <c r="I9" s="5" t="s">
        <v>54</v>
      </c>
      <c r="J9">
        <f>570/3</f>
        <v>190</v>
      </c>
    </row>
    <row r="10" spans="1:10" ht="20.25" x14ac:dyDescent="0.3">
      <c r="A10" s="22"/>
      <c r="B10" s="22"/>
      <c r="C10" s="23" t="s">
        <v>53</v>
      </c>
      <c r="D10" s="24"/>
      <c r="E10" s="24"/>
      <c r="F10" s="24"/>
      <c r="G10" s="25"/>
      <c r="H10" s="26"/>
      <c r="I10" s="26"/>
    </row>
    <row r="11" spans="1:10" ht="20.25" x14ac:dyDescent="0.3">
      <c r="A11" s="22"/>
      <c r="B11" s="27" t="s">
        <v>52</v>
      </c>
      <c r="C11" s="28" t="s">
        <v>51</v>
      </c>
      <c r="D11" s="29" t="s">
        <v>32</v>
      </c>
      <c r="E11" s="30" t="s">
        <v>50</v>
      </c>
      <c r="F11" s="30" t="s">
        <v>7</v>
      </c>
      <c r="G11" s="25"/>
      <c r="H11" s="26"/>
      <c r="I11" s="26"/>
    </row>
    <row r="12" spans="1:10" ht="20.25" x14ac:dyDescent="0.3">
      <c r="A12" s="22"/>
      <c r="B12" s="22" t="s">
        <v>49</v>
      </c>
      <c r="C12" s="31" t="s">
        <v>78</v>
      </c>
      <c r="D12" s="30" t="s">
        <v>32</v>
      </c>
      <c r="E12" s="30">
        <v>570</v>
      </c>
      <c r="F12" s="30" t="s">
        <v>7</v>
      </c>
      <c r="G12" s="32" t="s">
        <v>48</v>
      </c>
      <c r="H12" s="22"/>
      <c r="I12" s="33"/>
      <c r="J12" s="4">
        <v>570</v>
      </c>
    </row>
    <row r="13" spans="1:10" ht="20.25" x14ac:dyDescent="0.3">
      <c r="A13" s="22"/>
      <c r="B13" s="34" t="s">
        <v>47</v>
      </c>
      <c r="C13" s="28" t="s">
        <v>46</v>
      </c>
      <c r="D13" s="30" t="s">
        <v>32</v>
      </c>
      <c r="E13" s="30">
        <v>90</v>
      </c>
      <c r="F13" s="30" t="s">
        <v>7</v>
      </c>
      <c r="G13" s="32" t="s">
        <v>39</v>
      </c>
      <c r="H13" s="22"/>
      <c r="I13" s="33"/>
    </row>
    <row r="14" spans="1:10" ht="20.25" x14ac:dyDescent="0.3">
      <c r="A14" s="22"/>
      <c r="B14" s="187" t="s">
        <v>97</v>
      </c>
      <c r="C14" s="188" t="s">
        <v>98</v>
      </c>
      <c r="D14" s="30" t="s">
        <v>32</v>
      </c>
      <c r="E14" s="30">
        <v>560</v>
      </c>
      <c r="F14" s="30" t="s">
        <v>7</v>
      </c>
      <c r="G14" s="32" t="s">
        <v>43</v>
      </c>
      <c r="H14" s="22" t="s">
        <v>42</v>
      </c>
      <c r="I14" s="33"/>
      <c r="J14" s="4">
        <v>560</v>
      </c>
    </row>
    <row r="15" spans="1:10" ht="20.25" x14ac:dyDescent="0.3">
      <c r="A15" s="22"/>
      <c r="B15" s="34" t="s">
        <v>37</v>
      </c>
      <c r="C15" s="28" t="s">
        <v>36</v>
      </c>
      <c r="D15" s="30" t="s">
        <v>32</v>
      </c>
      <c r="E15" s="30">
        <v>224</v>
      </c>
      <c r="F15" s="30" t="s">
        <v>7</v>
      </c>
      <c r="G15" s="32" t="s">
        <v>41</v>
      </c>
      <c r="H15" s="22" t="s">
        <v>35</v>
      </c>
      <c r="I15" s="33"/>
    </row>
    <row r="16" spans="1:10" ht="20.25" x14ac:dyDescent="0.3">
      <c r="A16" s="22"/>
      <c r="B16" s="34" t="s">
        <v>34</v>
      </c>
      <c r="C16" s="28" t="s">
        <v>40</v>
      </c>
      <c r="D16" s="30" t="s">
        <v>32</v>
      </c>
      <c r="E16" s="30">
        <v>60</v>
      </c>
      <c r="F16" s="30" t="s">
        <v>7</v>
      </c>
      <c r="G16" s="32" t="s">
        <v>39</v>
      </c>
      <c r="H16" s="22" t="s">
        <v>31</v>
      </c>
      <c r="I16" s="33"/>
    </row>
    <row r="17" spans="1:12" ht="20.25" x14ac:dyDescent="0.3">
      <c r="A17" s="34"/>
      <c r="B17" s="35"/>
      <c r="C17" s="36"/>
      <c r="D17" s="22"/>
      <c r="E17" s="37"/>
      <c r="F17" s="22"/>
      <c r="G17" s="26"/>
      <c r="H17" s="26"/>
      <c r="I17" s="26"/>
    </row>
    <row r="18" spans="1:12" ht="20.25" x14ac:dyDescent="0.3">
      <c r="A18" s="34"/>
      <c r="B18" s="34"/>
      <c r="C18" s="38"/>
      <c r="D18" s="30"/>
      <c r="E18" s="30"/>
      <c r="F18" s="30"/>
      <c r="G18" s="32"/>
      <c r="H18" s="22"/>
      <c r="I18" s="33"/>
    </row>
    <row r="19" spans="1:12" ht="20.25" x14ac:dyDescent="0.3">
      <c r="A19" s="22"/>
      <c r="B19" s="22"/>
      <c r="C19" s="39" t="s">
        <v>38</v>
      </c>
      <c r="D19" s="30"/>
      <c r="E19" s="30"/>
      <c r="F19" s="30"/>
      <c r="G19" s="32"/>
      <c r="H19" s="22"/>
      <c r="I19" s="33"/>
    </row>
    <row r="20" spans="1:12" ht="20.25" x14ac:dyDescent="0.3">
      <c r="A20" s="22"/>
      <c r="B20" s="34" t="s">
        <v>37</v>
      </c>
      <c r="C20" s="38" t="s">
        <v>36</v>
      </c>
      <c r="D20" s="30" t="s">
        <v>32</v>
      </c>
      <c r="E20" s="30">
        <v>112</v>
      </c>
      <c r="F20" s="30" t="s">
        <v>7</v>
      </c>
      <c r="G20" s="32" t="s">
        <v>35</v>
      </c>
      <c r="H20" s="22"/>
      <c r="I20" s="33"/>
    </row>
    <row r="21" spans="1:12" ht="20.25" x14ac:dyDescent="0.3">
      <c r="A21" s="40"/>
      <c r="B21" s="34" t="s">
        <v>34</v>
      </c>
      <c r="C21" s="28" t="s">
        <v>33</v>
      </c>
      <c r="D21" s="41" t="s">
        <v>32</v>
      </c>
      <c r="E21" s="22">
        <v>30</v>
      </c>
      <c r="F21" s="30" t="s">
        <v>7</v>
      </c>
      <c r="G21" s="25"/>
      <c r="H21" s="22" t="s">
        <v>31</v>
      </c>
      <c r="I21" s="26"/>
    </row>
    <row r="22" spans="1:12" ht="20.25" x14ac:dyDescent="0.3">
      <c r="A22" s="22"/>
      <c r="B22" s="22"/>
      <c r="C22" s="42"/>
      <c r="D22" s="22"/>
      <c r="E22" s="37"/>
      <c r="F22" s="22"/>
      <c r="G22" s="26"/>
      <c r="H22" s="26"/>
      <c r="I22" s="33"/>
    </row>
    <row r="23" spans="1:12" ht="20.25" x14ac:dyDescent="0.3">
      <c r="A23" s="40"/>
      <c r="B23" s="40"/>
      <c r="C23" s="43" t="s">
        <v>30</v>
      </c>
      <c r="D23" s="22"/>
      <c r="E23" s="22"/>
      <c r="F23" s="22"/>
      <c r="G23" s="32"/>
      <c r="H23" s="22"/>
      <c r="I23" s="33"/>
    </row>
    <row r="24" spans="1:12" ht="20.25" x14ac:dyDescent="0.3">
      <c r="A24" s="35"/>
      <c r="B24" s="44" t="s">
        <v>29</v>
      </c>
      <c r="C24" s="45" t="s">
        <v>28</v>
      </c>
      <c r="D24" s="46" t="s">
        <v>27</v>
      </c>
      <c r="E24" s="32">
        <v>1</v>
      </c>
      <c r="F24" s="46" t="s">
        <v>10</v>
      </c>
      <c r="G24" s="32"/>
      <c r="H24" s="22"/>
      <c r="I24" s="33"/>
    </row>
    <row r="25" spans="1:12" ht="20.25" x14ac:dyDescent="0.3">
      <c r="A25" s="35"/>
      <c r="B25" s="46" t="s">
        <v>26</v>
      </c>
      <c r="C25" s="45" t="s">
        <v>25</v>
      </c>
      <c r="D25" s="47" t="s">
        <v>17</v>
      </c>
      <c r="E25" s="48">
        <v>1</v>
      </c>
      <c r="F25" s="46" t="s">
        <v>10</v>
      </c>
      <c r="G25" s="32"/>
      <c r="H25" s="22"/>
      <c r="I25" s="49"/>
    </row>
    <row r="26" spans="1:12" ht="20.25" x14ac:dyDescent="0.3">
      <c r="A26" s="35"/>
      <c r="B26" s="41" t="s">
        <v>24</v>
      </c>
      <c r="C26" s="50" t="s">
        <v>23</v>
      </c>
      <c r="D26" s="47" t="s">
        <v>22</v>
      </c>
      <c r="E26" s="51">
        <v>2</v>
      </c>
      <c r="F26" s="52" t="s">
        <v>10</v>
      </c>
      <c r="G26" s="48"/>
      <c r="H26" s="30"/>
      <c r="I26" s="53"/>
    </row>
    <row r="27" spans="1:12" ht="20.25" x14ac:dyDescent="0.3">
      <c r="A27" s="35"/>
      <c r="B27" s="41" t="s">
        <v>21</v>
      </c>
      <c r="C27" s="54" t="s">
        <v>20</v>
      </c>
      <c r="D27" s="47" t="s">
        <v>17</v>
      </c>
      <c r="E27" s="47">
        <v>1</v>
      </c>
      <c r="F27" s="52" t="s">
        <v>10</v>
      </c>
      <c r="G27" s="32"/>
      <c r="H27" s="22"/>
      <c r="I27" s="53"/>
    </row>
    <row r="28" spans="1:12" ht="20.25" x14ac:dyDescent="0.3">
      <c r="A28" s="35"/>
      <c r="B28" s="41" t="s">
        <v>19</v>
      </c>
      <c r="C28" s="54" t="s">
        <v>18</v>
      </c>
      <c r="D28" s="47" t="s">
        <v>17</v>
      </c>
      <c r="E28" s="47">
        <v>1</v>
      </c>
      <c r="F28" s="52" t="s">
        <v>10</v>
      </c>
      <c r="G28" s="32"/>
      <c r="H28" s="22"/>
      <c r="I28" s="55"/>
    </row>
    <row r="29" spans="1:12" ht="20.25" x14ac:dyDescent="0.3">
      <c r="A29" s="57"/>
      <c r="B29" s="27"/>
      <c r="C29" s="58"/>
      <c r="D29" s="59"/>
      <c r="E29" s="60"/>
      <c r="F29" s="60"/>
      <c r="G29" s="60"/>
      <c r="H29" s="60"/>
      <c r="I29" s="56"/>
      <c r="L29" s="2"/>
    </row>
    <row r="30" spans="1:12" ht="20.25" x14ac:dyDescent="0.3">
      <c r="A30" s="61"/>
      <c r="B30" s="34"/>
      <c r="C30" s="38"/>
      <c r="D30" s="62"/>
      <c r="E30" s="63"/>
      <c r="F30" s="63"/>
      <c r="G30" s="63"/>
      <c r="H30" s="63"/>
      <c r="I30" s="22"/>
      <c r="L30" s="2"/>
    </row>
    <row r="31" spans="1:12" ht="21" thickBot="1" x14ac:dyDescent="0.35">
      <c r="A31" s="64"/>
      <c r="B31" s="65"/>
      <c r="C31" s="66"/>
      <c r="D31" s="67" t="s">
        <v>16</v>
      </c>
      <c r="E31" s="68" t="s">
        <v>15</v>
      </c>
      <c r="F31" s="69"/>
      <c r="G31" s="66"/>
      <c r="H31" s="66"/>
      <c r="I31" s="70"/>
      <c r="L31" s="2"/>
    </row>
    <row r="32" spans="1:12" ht="20.25" x14ac:dyDescent="0.3">
      <c r="A32" s="224" t="s">
        <v>14</v>
      </c>
      <c r="B32" s="225"/>
      <c r="C32" s="226"/>
      <c r="D32" s="71">
        <v>1620</v>
      </c>
      <c r="E32" s="72" t="s">
        <v>7</v>
      </c>
      <c r="F32" s="227"/>
      <c r="G32" s="227"/>
      <c r="H32" s="228"/>
      <c r="I32" s="229"/>
      <c r="J32" s="4">
        <v>1625</v>
      </c>
      <c r="L32" s="2"/>
    </row>
    <row r="33" spans="1:13" ht="20.25" x14ac:dyDescent="0.3">
      <c r="A33" s="216" t="s">
        <v>13</v>
      </c>
      <c r="B33" s="217"/>
      <c r="C33" s="218"/>
      <c r="D33" s="73">
        <v>7</v>
      </c>
      <c r="E33" s="47" t="s">
        <v>12</v>
      </c>
      <c r="F33" s="219"/>
      <c r="G33" s="219"/>
      <c r="H33" s="220"/>
      <c r="I33" s="221"/>
      <c r="L33" s="2"/>
    </row>
    <row r="34" spans="1:13" ht="20.25" x14ac:dyDescent="0.3">
      <c r="A34" s="216" t="s">
        <v>11</v>
      </c>
      <c r="B34" s="217"/>
      <c r="C34" s="218"/>
      <c r="D34" s="47">
        <v>1</v>
      </c>
      <c r="E34" s="47" t="s">
        <v>10</v>
      </c>
      <c r="F34" s="219"/>
      <c r="G34" s="219"/>
      <c r="H34" s="220"/>
      <c r="I34" s="221"/>
      <c r="L34" s="2"/>
    </row>
    <row r="35" spans="1:13" ht="20.25" x14ac:dyDescent="0.3">
      <c r="A35" s="216" t="s">
        <v>9</v>
      </c>
      <c r="B35" s="217"/>
      <c r="C35" s="218"/>
      <c r="D35" s="74">
        <v>1620</v>
      </c>
      <c r="E35" s="47" t="s">
        <v>7</v>
      </c>
      <c r="F35" s="222"/>
      <c r="G35" s="223"/>
      <c r="H35" s="220"/>
      <c r="I35" s="221"/>
      <c r="L35" s="2"/>
      <c r="M35" s="3"/>
    </row>
    <row r="36" spans="1:13" ht="21" thickBot="1" x14ac:dyDescent="0.35">
      <c r="A36" s="192" t="s">
        <v>8</v>
      </c>
      <c r="B36" s="193"/>
      <c r="C36" s="194"/>
      <c r="D36" s="75">
        <v>26</v>
      </c>
      <c r="E36" s="76" t="s">
        <v>7</v>
      </c>
      <c r="F36" s="195"/>
      <c r="G36" s="195"/>
      <c r="H36" s="196"/>
      <c r="I36" s="197"/>
      <c r="L36" s="2"/>
    </row>
    <row r="37" spans="1:13" ht="21" thickBot="1" x14ac:dyDescent="0.35">
      <c r="A37" s="198" t="s">
        <v>6</v>
      </c>
      <c r="B37" s="199"/>
      <c r="C37" s="199"/>
      <c r="D37" s="199"/>
      <c r="E37" s="199"/>
      <c r="F37" s="199"/>
      <c r="G37" s="199"/>
      <c r="H37" s="199"/>
      <c r="I37" s="200"/>
    </row>
    <row r="38" spans="1:13" ht="44.25" customHeight="1" x14ac:dyDescent="0.25">
      <c r="A38" s="201" t="s">
        <v>5</v>
      </c>
      <c r="B38" s="202"/>
      <c r="C38" s="202"/>
      <c r="D38" s="202"/>
      <c r="E38" s="202"/>
      <c r="F38" s="202"/>
      <c r="G38" s="202"/>
      <c r="H38" s="202"/>
      <c r="I38" s="203"/>
    </row>
    <row r="39" spans="1:13" ht="48.75" customHeight="1" x14ac:dyDescent="0.3">
      <c r="A39" s="205" t="s">
        <v>4</v>
      </c>
      <c r="B39" s="206"/>
      <c r="C39" s="206"/>
      <c r="D39" s="206"/>
      <c r="E39" s="206"/>
      <c r="F39" s="206"/>
      <c r="G39" s="206"/>
      <c r="H39" s="206"/>
      <c r="I39" s="207"/>
    </row>
    <row r="40" spans="1:13" ht="20.25" x14ac:dyDescent="0.3">
      <c r="A40" s="205" t="s">
        <v>3</v>
      </c>
      <c r="B40" s="206"/>
      <c r="C40" s="206"/>
      <c r="D40" s="206"/>
      <c r="E40" s="206"/>
      <c r="F40" s="206"/>
      <c r="G40" s="206"/>
      <c r="H40" s="206"/>
      <c r="I40" s="207"/>
    </row>
    <row r="41" spans="1:13" ht="20.25" x14ac:dyDescent="0.3">
      <c r="A41" s="205" t="s">
        <v>2</v>
      </c>
      <c r="B41" s="214"/>
      <c r="C41" s="214"/>
      <c r="D41" s="214"/>
      <c r="E41" s="214"/>
      <c r="F41" s="214"/>
      <c r="G41" s="214"/>
      <c r="H41" s="214"/>
      <c r="I41" s="215"/>
    </row>
    <row r="42" spans="1:13" ht="46.5" customHeight="1" x14ac:dyDescent="0.3">
      <c r="A42" s="205" t="s">
        <v>1</v>
      </c>
      <c r="B42" s="214"/>
      <c r="C42" s="214"/>
      <c r="D42" s="214"/>
      <c r="E42" s="214"/>
      <c r="F42" s="214"/>
      <c r="G42" s="214"/>
      <c r="H42" s="214"/>
      <c r="I42" s="215"/>
    </row>
    <row r="43" spans="1:13" ht="26.25" customHeight="1" x14ac:dyDescent="0.3">
      <c r="A43" s="205" t="s">
        <v>0</v>
      </c>
      <c r="B43" s="206"/>
      <c r="C43" s="206"/>
      <c r="D43" s="206"/>
      <c r="E43" s="206"/>
      <c r="F43" s="206"/>
      <c r="G43" s="206"/>
      <c r="H43" s="206"/>
      <c r="I43" s="207"/>
    </row>
    <row r="44" spans="1:13" ht="20.25" x14ac:dyDescent="0.3">
      <c r="A44" s="211"/>
      <c r="B44" s="212"/>
      <c r="C44" s="212"/>
      <c r="D44" s="212"/>
      <c r="E44" s="212"/>
      <c r="F44" s="212"/>
      <c r="G44" s="212"/>
      <c r="H44" s="212"/>
      <c r="I44" s="213"/>
    </row>
    <row r="45" spans="1:13" ht="20.25" x14ac:dyDescent="0.3">
      <c r="A45" s="208"/>
      <c r="B45" s="209"/>
      <c r="C45" s="209"/>
      <c r="D45" s="209"/>
      <c r="E45" s="209"/>
      <c r="F45" s="209"/>
      <c r="G45" s="209"/>
      <c r="H45" s="209"/>
      <c r="I45" s="210"/>
    </row>
    <row r="46" spans="1:13" ht="20.25" x14ac:dyDescent="0.3">
      <c r="A46" s="204" t="s">
        <v>75</v>
      </c>
      <c r="B46" s="204"/>
      <c r="C46" s="204"/>
      <c r="D46" s="204"/>
      <c r="E46" s="204"/>
      <c r="F46" s="204"/>
      <c r="G46" s="204"/>
      <c r="H46" s="204"/>
      <c r="I46" s="204"/>
    </row>
    <row r="47" spans="1:13" ht="20.25" x14ac:dyDescent="0.25">
      <c r="A47" s="189" t="s">
        <v>95</v>
      </c>
      <c r="B47" s="190"/>
      <c r="C47" s="190"/>
      <c r="D47" s="190"/>
      <c r="E47" s="190"/>
      <c r="F47" s="190"/>
      <c r="G47" s="190"/>
      <c r="H47" s="190"/>
      <c r="I47" s="191"/>
    </row>
    <row r="48" spans="1:13" ht="20.25" x14ac:dyDescent="0.25">
      <c r="A48" s="189" t="s">
        <v>99</v>
      </c>
      <c r="B48" s="190"/>
      <c r="C48" s="190"/>
      <c r="D48" s="190"/>
      <c r="E48" s="190"/>
      <c r="F48" s="190"/>
      <c r="G48" s="190"/>
      <c r="H48" s="190"/>
      <c r="I48" s="19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</sheetData>
  <mergeCells count="44">
    <mergeCell ref="G7:H7"/>
    <mergeCell ref="A7:C7"/>
    <mergeCell ref="D7:F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48:I48"/>
    <mergeCell ref="A36:C36"/>
    <mergeCell ref="F36:G36"/>
    <mergeCell ref="H36:I36"/>
    <mergeCell ref="A37:I37"/>
    <mergeCell ref="A38:I38"/>
    <mergeCell ref="A47:I47"/>
    <mergeCell ref="A46:I46"/>
    <mergeCell ref="A39:I39"/>
    <mergeCell ref="A40:I40"/>
    <mergeCell ref="A45:I45"/>
    <mergeCell ref="A44:I44"/>
    <mergeCell ref="A41:I41"/>
    <mergeCell ref="A42:I42"/>
    <mergeCell ref="A43:I43"/>
  </mergeCells>
  <pageMargins left="0.25" right="0.25" top="0.75" bottom="0.75" header="0.3" footer="0.3"/>
  <pageSetup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39F1-FCE0-41F1-AAF3-8FC783312CBF}">
  <dimension ref="A1:K64"/>
  <sheetViews>
    <sheetView topLeftCell="A3" zoomScale="85" zoomScaleNormal="85" workbookViewId="0">
      <selection activeCell="C21" sqref="C21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11" ht="15.75" x14ac:dyDescent="0.25">
      <c r="A1" s="324"/>
      <c r="B1" s="325"/>
      <c r="C1" s="330" t="s">
        <v>74</v>
      </c>
      <c r="D1" s="330"/>
      <c r="E1" s="330"/>
      <c r="F1" s="330"/>
      <c r="G1" s="330"/>
      <c r="H1" s="78" t="s">
        <v>73</v>
      </c>
      <c r="I1" s="79"/>
    </row>
    <row r="2" spans="1:11" ht="16.5" thickBot="1" x14ac:dyDescent="0.3">
      <c r="A2" s="326"/>
      <c r="B2" s="327"/>
      <c r="C2" s="331" t="s">
        <v>72</v>
      </c>
      <c r="D2" s="331"/>
      <c r="E2" s="331"/>
      <c r="F2" s="331"/>
      <c r="G2" s="331"/>
      <c r="H2" s="80" t="s">
        <v>71</v>
      </c>
      <c r="I2" s="81"/>
    </row>
    <row r="3" spans="1:11" ht="15.95" customHeight="1" thickBot="1" x14ac:dyDescent="0.3">
      <c r="A3" s="326"/>
      <c r="B3" s="327"/>
      <c r="C3" s="332" t="s">
        <v>96</v>
      </c>
      <c r="D3" s="333"/>
      <c r="E3" s="333"/>
      <c r="F3" s="333"/>
      <c r="G3" s="334"/>
      <c r="H3" s="335" t="s">
        <v>69</v>
      </c>
      <c r="I3" s="315"/>
    </row>
    <row r="4" spans="1:11" x14ac:dyDescent="0.25">
      <c r="A4" s="326"/>
      <c r="B4" s="327"/>
      <c r="C4" s="82" t="s">
        <v>68</v>
      </c>
      <c r="D4" s="318" t="s">
        <v>67</v>
      </c>
      <c r="E4" s="319"/>
      <c r="F4" s="319"/>
      <c r="G4" s="320"/>
      <c r="H4" s="336"/>
      <c r="I4" s="316"/>
    </row>
    <row r="5" spans="1:11" ht="15.75" thickBot="1" x14ac:dyDescent="0.3">
      <c r="A5" s="328"/>
      <c r="B5" s="329"/>
      <c r="C5" s="83" t="s">
        <v>66</v>
      </c>
      <c r="D5" s="321" t="s">
        <v>65</v>
      </c>
      <c r="E5" s="322"/>
      <c r="F5" s="322"/>
      <c r="G5" s="323"/>
      <c r="H5" s="337"/>
      <c r="I5" s="317"/>
    </row>
    <row r="6" spans="1:11" ht="18.75" thickBot="1" x14ac:dyDescent="0.3">
      <c r="A6" s="249" t="s">
        <v>64</v>
      </c>
      <c r="B6" s="249"/>
      <c r="C6" s="249"/>
      <c r="D6" s="308" t="s">
        <v>79</v>
      </c>
      <c r="E6" s="308"/>
      <c r="F6" s="308"/>
      <c r="G6" s="248" t="s">
        <v>63</v>
      </c>
      <c r="H6" s="248"/>
      <c r="I6" s="84" t="s">
        <v>79</v>
      </c>
    </row>
    <row r="7" spans="1:11" x14ac:dyDescent="0.25">
      <c r="A7" s="309" t="s">
        <v>62</v>
      </c>
      <c r="B7" s="311" t="s">
        <v>80</v>
      </c>
      <c r="C7" s="313" t="s">
        <v>60</v>
      </c>
      <c r="D7" s="313" t="s">
        <v>59</v>
      </c>
      <c r="E7" s="313" t="s">
        <v>58</v>
      </c>
      <c r="F7" s="313"/>
      <c r="G7" s="313" t="s">
        <v>57</v>
      </c>
      <c r="H7" s="313"/>
      <c r="I7" s="85" t="s">
        <v>56</v>
      </c>
    </row>
    <row r="8" spans="1:11" ht="27" thickBot="1" x14ac:dyDescent="0.3">
      <c r="A8" s="310"/>
      <c r="B8" s="312"/>
      <c r="C8" s="314"/>
      <c r="D8" s="314"/>
      <c r="E8" s="86" t="s">
        <v>16</v>
      </c>
      <c r="F8" s="87" t="s">
        <v>55</v>
      </c>
      <c r="G8" s="86" t="s">
        <v>16</v>
      </c>
      <c r="H8" s="87" t="s">
        <v>55</v>
      </c>
      <c r="I8" s="88" t="s">
        <v>54</v>
      </c>
    </row>
    <row r="9" spans="1:11" x14ac:dyDescent="0.25">
      <c r="A9" s="89"/>
      <c r="B9" s="90"/>
      <c r="C9" s="91" t="s">
        <v>81</v>
      </c>
      <c r="D9" s="92"/>
      <c r="E9" s="93"/>
      <c r="F9" s="94"/>
      <c r="G9" s="93"/>
      <c r="H9" s="94"/>
      <c r="I9" s="95"/>
    </row>
    <row r="10" spans="1:11" s="186" customFormat="1" x14ac:dyDescent="0.25">
      <c r="A10" s="181"/>
      <c r="B10" s="182" t="s">
        <v>45</v>
      </c>
      <c r="C10" s="183" t="s">
        <v>44</v>
      </c>
      <c r="D10" s="184" t="s">
        <v>32</v>
      </c>
      <c r="E10" s="96">
        <v>43</v>
      </c>
      <c r="F10" s="97" t="s">
        <v>82</v>
      </c>
      <c r="G10" s="96">
        <f>+E10*395</f>
        <v>16985</v>
      </c>
      <c r="H10" s="98" t="s">
        <v>83</v>
      </c>
      <c r="I10" s="180"/>
      <c r="J10" s="185">
        <f>+G10/$D$45</f>
        <v>1.0615625</v>
      </c>
      <c r="K10" s="186">
        <f>+J10*1000</f>
        <v>1061.5625</v>
      </c>
    </row>
    <row r="11" spans="1:11" x14ac:dyDescent="0.25">
      <c r="A11" s="99"/>
      <c r="B11" s="100"/>
      <c r="C11" s="101"/>
      <c r="D11" s="102"/>
      <c r="E11" s="103"/>
      <c r="F11" s="103"/>
      <c r="G11" s="104"/>
      <c r="H11" s="105"/>
      <c r="I11" s="95"/>
    </row>
    <row r="12" spans="1:11" x14ac:dyDescent="0.25">
      <c r="A12" s="99"/>
      <c r="B12" s="100"/>
      <c r="C12" s="101"/>
      <c r="D12" s="102"/>
      <c r="E12" s="103"/>
      <c r="F12" s="103"/>
      <c r="G12" s="104"/>
      <c r="H12" s="105"/>
      <c r="I12" s="95"/>
    </row>
    <row r="13" spans="1:11" x14ac:dyDescent="0.25">
      <c r="A13" s="99"/>
      <c r="B13" s="100"/>
      <c r="C13" s="101"/>
      <c r="D13" s="102"/>
      <c r="E13" s="103"/>
      <c r="F13" s="106"/>
      <c r="G13" s="104"/>
      <c r="H13" s="105"/>
      <c r="I13" s="95"/>
    </row>
    <row r="14" spans="1:11" x14ac:dyDescent="0.25">
      <c r="A14" s="99"/>
      <c r="B14" s="100"/>
      <c r="C14" s="101"/>
      <c r="D14" s="102"/>
      <c r="E14" s="107"/>
      <c r="F14" s="106"/>
      <c r="G14" s="104"/>
      <c r="H14" s="105"/>
      <c r="I14" s="95"/>
    </row>
    <row r="15" spans="1:11" x14ac:dyDescent="0.25">
      <c r="A15" s="99"/>
      <c r="B15" s="100"/>
      <c r="C15" s="101"/>
      <c r="D15" s="102"/>
      <c r="E15" s="107"/>
      <c r="F15" s="106"/>
      <c r="G15" s="104"/>
      <c r="H15" s="105"/>
      <c r="I15" s="95"/>
    </row>
    <row r="16" spans="1:11" x14ac:dyDescent="0.25">
      <c r="A16" s="99"/>
      <c r="B16" s="100"/>
      <c r="C16" s="101"/>
      <c r="D16" s="102"/>
      <c r="E16" s="103"/>
      <c r="F16" s="103"/>
      <c r="G16" s="104"/>
      <c r="H16" s="105"/>
      <c r="I16" s="95"/>
    </row>
    <row r="17" spans="1:9" x14ac:dyDescent="0.25">
      <c r="A17" s="99"/>
      <c r="B17" s="108"/>
      <c r="C17" s="109"/>
      <c r="D17" s="102"/>
      <c r="E17" s="103"/>
      <c r="F17" s="103"/>
      <c r="G17" s="104"/>
      <c r="H17" s="105"/>
      <c r="I17" s="95"/>
    </row>
    <row r="18" spans="1:9" x14ac:dyDescent="0.25">
      <c r="A18" s="110"/>
      <c r="B18" s="111"/>
      <c r="C18" s="112"/>
      <c r="D18" s="102"/>
      <c r="E18" s="107"/>
      <c r="F18" s="106"/>
      <c r="G18" s="104"/>
      <c r="H18" s="105"/>
      <c r="I18" s="95"/>
    </row>
    <row r="19" spans="1:9" x14ac:dyDescent="0.25">
      <c r="A19" s="110"/>
      <c r="B19" s="111"/>
      <c r="C19" s="113"/>
      <c r="D19" s="102"/>
      <c r="E19" s="107"/>
      <c r="F19" s="106"/>
      <c r="G19" s="104"/>
      <c r="H19" s="105"/>
      <c r="I19" s="95"/>
    </row>
    <row r="20" spans="1:9" x14ac:dyDescent="0.25">
      <c r="A20" s="110"/>
      <c r="B20" s="111"/>
      <c r="C20" s="113"/>
      <c r="D20" s="102"/>
      <c r="E20" s="107"/>
      <c r="F20" s="106"/>
      <c r="G20" s="104"/>
      <c r="H20" s="105"/>
      <c r="I20" s="95"/>
    </row>
    <row r="21" spans="1:9" x14ac:dyDescent="0.25">
      <c r="A21" s="110"/>
      <c r="B21" s="111"/>
      <c r="C21" s="112"/>
      <c r="D21" s="102"/>
      <c r="E21" s="114"/>
      <c r="F21" s="114"/>
      <c r="G21" s="104"/>
      <c r="H21" s="105"/>
      <c r="I21" s="95"/>
    </row>
    <row r="22" spans="1:9" x14ac:dyDescent="0.25">
      <c r="A22" s="115"/>
      <c r="B22" s="116"/>
      <c r="C22" s="117"/>
      <c r="D22" s="118"/>
      <c r="E22" s="119"/>
      <c r="F22" s="119"/>
      <c r="G22" s="120"/>
      <c r="H22" s="105"/>
      <c r="I22" s="95"/>
    </row>
    <row r="23" spans="1:9" x14ac:dyDescent="0.25">
      <c r="A23" s="115"/>
      <c r="B23" s="116"/>
      <c r="C23" s="117"/>
      <c r="D23" s="118"/>
      <c r="E23" s="119"/>
      <c r="F23" s="119"/>
      <c r="G23" s="120"/>
      <c r="H23" s="105"/>
      <c r="I23" s="95"/>
    </row>
    <row r="24" spans="1:9" x14ac:dyDescent="0.25">
      <c r="A24" s="115"/>
      <c r="B24" s="116"/>
      <c r="C24" s="117"/>
      <c r="D24" s="118"/>
      <c r="E24" s="119"/>
      <c r="F24" s="119"/>
      <c r="G24" s="120"/>
      <c r="H24" s="105"/>
      <c r="I24" s="95"/>
    </row>
    <row r="25" spans="1:9" ht="15.75" x14ac:dyDescent="0.25">
      <c r="A25" s="121"/>
      <c r="B25" s="121"/>
      <c r="D25" s="122"/>
      <c r="E25" s="123"/>
      <c r="F25" s="123"/>
      <c r="G25" s="93"/>
      <c r="H25" s="105"/>
      <c r="I25" s="95"/>
    </row>
    <row r="26" spans="1:9" x14ac:dyDescent="0.25">
      <c r="A26" s="124"/>
      <c r="B26" s="124"/>
      <c r="C26" s="125"/>
      <c r="D26" s="122"/>
      <c r="E26" s="122"/>
      <c r="F26" s="97"/>
      <c r="G26" s="93"/>
      <c r="H26" s="105"/>
      <c r="I26" s="95"/>
    </row>
    <row r="27" spans="1:9" ht="15.75" x14ac:dyDescent="0.25">
      <c r="A27" s="126"/>
      <c r="B27" s="127"/>
      <c r="C27" s="128" t="s">
        <v>76</v>
      </c>
      <c r="D27" s="129" t="s">
        <v>27</v>
      </c>
      <c r="E27" s="130"/>
      <c r="F27" s="97"/>
      <c r="G27" s="93"/>
      <c r="H27" s="105"/>
      <c r="I27" s="95"/>
    </row>
    <row r="28" spans="1:9" x14ac:dyDescent="0.25">
      <c r="A28" s="131"/>
      <c r="B28" s="132"/>
      <c r="C28" s="133"/>
      <c r="D28" s="134" t="s">
        <v>27</v>
      </c>
      <c r="E28" s="122"/>
      <c r="F28" s="97"/>
      <c r="G28" s="93"/>
      <c r="H28" s="105"/>
      <c r="I28" s="95"/>
    </row>
    <row r="29" spans="1:9" x14ac:dyDescent="0.25">
      <c r="A29" s="124"/>
      <c r="B29" s="124"/>
      <c r="C29" s="125"/>
      <c r="D29" s="134" t="s">
        <v>27</v>
      </c>
      <c r="E29" s="122"/>
      <c r="F29" s="97"/>
      <c r="G29" s="93"/>
      <c r="H29" s="105"/>
      <c r="I29" s="95"/>
    </row>
    <row r="30" spans="1:9" x14ac:dyDescent="0.25">
      <c r="A30" s="135"/>
      <c r="B30" s="135"/>
      <c r="C30" s="133"/>
      <c r="D30" s="134" t="s">
        <v>27</v>
      </c>
      <c r="E30" s="122"/>
      <c r="F30" s="97"/>
      <c r="G30" s="93"/>
      <c r="H30" s="105"/>
      <c r="I30" s="95"/>
    </row>
    <row r="31" spans="1:9" x14ac:dyDescent="0.25">
      <c r="A31" s="124"/>
      <c r="B31" s="124"/>
      <c r="C31" s="125"/>
      <c r="D31" s="122" t="s">
        <v>27</v>
      </c>
      <c r="E31" s="129"/>
      <c r="F31" s="97"/>
      <c r="G31" s="93"/>
      <c r="H31" s="105"/>
      <c r="I31" s="95"/>
    </row>
    <row r="32" spans="1:9" x14ac:dyDescent="0.25">
      <c r="A32" s="124"/>
      <c r="B32" s="124"/>
      <c r="C32" s="125"/>
      <c r="D32" s="136" t="s">
        <v>27</v>
      </c>
      <c r="E32" s="137"/>
      <c r="F32" s="138"/>
      <c r="G32" s="93"/>
      <c r="H32" s="105"/>
      <c r="I32" s="95"/>
    </row>
    <row r="33" spans="1:11" ht="15.75" x14ac:dyDescent="0.25">
      <c r="A33" s="139"/>
      <c r="B33" s="140"/>
      <c r="C33" s="141" t="s">
        <v>84</v>
      </c>
      <c r="D33" s="142" t="s">
        <v>27</v>
      </c>
      <c r="E33" s="93"/>
      <c r="F33" s="94"/>
      <c r="G33" s="93"/>
      <c r="H33" s="105"/>
      <c r="I33" s="95"/>
    </row>
    <row r="34" spans="1:11" ht="15.75" x14ac:dyDescent="0.25">
      <c r="A34" s="143">
        <v>702123</v>
      </c>
      <c r="B34" s="143" t="s">
        <v>19</v>
      </c>
      <c r="C34" s="143" t="s">
        <v>85</v>
      </c>
      <c r="D34" s="144" t="s">
        <v>17</v>
      </c>
      <c r="E34" s="145">
        <v>4</v>
      </c>
      <c r="F34" s="98" t="s">
        <v>10</v>
      </c>
      <c r="G34" s="104"/>
      <c r="H34" s="105"/>
      <c r="I34" s="95"/>
      <c r="J34">
        <f>+E34/$D$45</f>
        <v>2.5000000000000001E-4</v>
      </c>
      <c r="K34">
        <f>+J34*1000</f>
        <v>0.25</v>
      </c>
    </row>
    <row r="35" spans="1:11" x14ac:dyDescent="0.25">
      <c r="A35" s="143">
        <v>51600050</v>
      </c>
      <c r="B35" s="143" t="s">
        <v>86</v>
      </c>
      <c r="C35" s="143" t="s">
        <v>87</v>
      </c>
      <c r="D35" s="146"/>
      <c r="E35" s="147">
        <v>4</v>
      </c>
      <c r="F35" s="148" t="s">
        <v>10</v>
      </c>
      <c r="G35" s="149"/>
      <c r="H35" s="105"/>
      <c r="I35" s="95"/>
      <c r="J35">
        <f>+E35/D45</f>
        <v>2.5000000000000001E-4</v>
      </c>
      <c r="K35">
        <f>+J35*15</f>
        <v>3.7499999999999999E-3</v>
      </c>
    </row>
    <row r="36" spans="1:11" x14ac:dyDescent="0.25">
      <c r="A36" s="99"/>
      <c r="B36" s="150"/>
      <c r="C36" s="101"/>
      <c r="D36" s="102"/>
      <c r="E36" s="151"/>
      <c r="F36" s="152"/>
      <c r="G36" s="93"/>
      <c r="H36" s="105"/>
      <c r="I36" s="95"/>
    </row>
    <row r="37" spans="1:11" x14ac:dyDescent="0.25">
      <c r="A37" s="153"/>
      <c r="B37" s="153"/>
      <c r="C37" s="125"/>
      <c r="D37" s="129"/>
      <c r="E37" s="122"/>
      <c r="F37" s="97"/>
      <c r="G37" s="93"/>
      <c r="H37" s="94"/>
      <c r="I37" s="95"/>
    </row>
    <row r="38" spans="1:11" x14ac:dyDescent="0.25">
      <c r="A38" s="154"/>
      <c r="B38" s="155"/>
      <c r="C38" s="156"/>
      <c r="D38" s="129"/>
      <c r="E38" s="122"/>
      <c r="F38" s="97"/>
      <c r="G38" s="93"/>
      <c r="H38" s="94"/>
      <c r="I38" s="95"/>
    </row>
    <row r="39" spans="1:11" ht="15.75" x14ac:dyDescent="0.25">
      <c r="A39" s="154"/>
      <c r="B39" s="155"/>
      <c r="C39" s="156"/>
      <c r="D39" s="157"/>
      <c r="E39" s="122"/>
      <c r="F39" s="97"/>
      <c r="G39" s="158"/>
      <c r="H39" s="129"/>
      <c r="I39" s="95"/>
    </row>
    <row r="40" spans="1:11" ht="15.75" x14ac:dyDescent="0.25">
      <c r="A40" s="126"/>
      <c r="B40" s="127"/>
      <c r="C40" s="159"/>
      <c r="D40" s="157"/>
      <c r="E40" s="122"/>
      <c r="F40" s="97"/>
      <c r="G40" s="122"/>
      <c r="H40" s="129"/>
      <c r="I40" s="95"/>
    </row>
    <row r="41" spans="1:11" ht="15.75" x14ac:dyDescent="0.25">
      <c r="A41" s="126"/>
      <c r="B41" s="127"/>
      <c r="C41" s="159"/>
      <c r="D41" s="157"/>
      <c r="E41" s="122"/>
      <c r="F41" s="97"/>
      <c r="G41" s="145"/>
      <c r="H41" s="97"/>
      <c r="I41" s="95"/>
    </row>
    <row r="42" spans="1:11" ht="15.75" x14ac:dyDescent="0.25">
      <c r="A42" s="126"/>
      <c r="B42" s="127"/>
      <c r="C42" s="159"/>
      <c r="D42" s="129"/>
      <c r="E42" s="129"/>
      <c r="F42" s="97"/>
      <c r="G42" s="157"/>
      <c r="H42" s="157"/>
      <c r="I42" s="95"/>
    </row>
    <row r="43" spans="1:11" ht="15.75" thickBot="1" x14ac:dyDescent="0.3">
      <c r="A43" s="160"/>
      <c r="B43" s="161"/>
      <c r="C43" s="162"/>
      <c r="D43" s="162"/>
      <c r="E43" s="163"/>
      <c r="F43" s="164"/>
      <c r="G43" s="162"/>
      <c r="H43" s="162"/>
      <c r="I43" s="165"/>
    </row>
    <row r="44" spans="1:11" ht="15.75" thickBot="1" x14ac:dyDescent="0.3">
      <c r="A44" s="166"/>
      <c r="B44" s="167"/>
      <c r="C44" s="168"/>
      <c r="D44" s="169" t="s">
        <v>16</v>
      </c>
      <c r="E44" s="170" t="s">
        <v>15</v>
      </c>
      <c r="F44" s="171"/>
      <c r="G44" s="168"/>
      <c r="H44" s="168"/>
      <c r="I44" s="172"/>
    </row>
    <row r="45" spans="1:11" x14ac:dyDescent="0.25">
      <c r="A45" s="302" t="s">
        <v>14</v>
      </c>
      <c r="B45" s="303"/>
      <c r="C45" s="304"/>
      <c r="D45" s="173">
        <v>16000</v>
      </c>
      <c r="E45" s="174" t="s">
        <v>7</v>
      </c>
      <c r="F45" s="305" t="s">
        <v>88</v>
      </c>
      <c r="G45" s="305"/>
      <c r="H45" s="306"/>
      <c r="I45" s="307"/>
    </row>
    <row r="46" spans="1:11" x14ac:dyDescent="0.25">
      <c r="A46" s="294" t="s">
        <v>13</v>
      </c>
      <c r="B46" s="295"/>
      <c r="C46" s="296"/>
      <c r="D46" s="175">
        <v>15</v>
      </c>
      <c r="E46" s="176" t="s">
        <v>12</v>
      </c>
      <c r="F46" s="297" t="s">
        <v>89</v>
      </c>
      <c r="G46" s="297"/>
      <c r="H46" s="298"/>
      <c r="I46" s="299"/>
    </row>
    <row r="47" spans="1:11" x14ac:dyDescent="0.25">
      <c r="A47" s="294" t="s">
        <v>11</v>
      </c>
      <c r="B47" s="295"/>
      <c r="C47" s="296"/>
      <c r="D47" s="176">
        <v>4</v>
      </c>
      <c r="E47" s="176" t="s">
        <v>90</v>
      </c>
      <c r="F47" s="297" t="s">
        <v>91</v>
      </c>
      <c r="G47" s="297"/>
      <c r="H47" s="298"/>
      <c r="I47" s="299"/>
    </row>
    <row r="48" spans="1:11" x14ac:dyDescent="0.25">
      <c r="A48" s="294" t="s">
        <v>9</v>
      </c>
      <c r="B48" s="295"/>
      <c r="C48" s="296"/>
      <c r="D48" s="176">
        <v>4000</v>
      </c>
      <c r="E48" s="176" t="s">
        <v>7</v>
      </c>
      <c r="F48" s="300" t="s">
        <v>92</v>
      </c>
      <c r="G48" s="301"/>
      <c r="H48" s="298"/>
      <c r="I48" s="299"/>
    </row>
    <row r="49" spans="1:9" ht="15.75" thickBot="1" x14ac:dyDescent="0.3">
      <c r="A49" s="271" t="s">
        <v>8</v>
      </c>
      <c r="B49" s="272"/>
      <c r="C49" s="273"/>
      <c r="D49" s="177">
        <v>985</v>
      </c>
      <c r="E49" s="178" t="s">
        <v>7</v>
      </c>
      <c r="F49" s="274"/>
      <c r="G49" s="274"/>
      <c r="H49" s="275"/>
      <c r="I49" s="276"/>
    </row>
    <row r="50" spans="1:9" ht="15.75" thickBot="1" x14ac:dyDescent="0.3">
      <c r="A50" s="277" t="s">
        <v>6</v>
      </c>
      <c r="B50" s="278"/>
      <c r="C50" s="278"/>
      <c r="D50" s="278"/>
      <c r="E50" s="278"/>
      <c r="F50" s="278"/>
      <c r="G50" s="278"/>
      <c r="H50" s="278"/>
      <c r="I50" s="279"/>
    </row>
    <row r="51" spans="1:9" x14ac:dyDescent="0.25">
      <c r="A51" s="280" t="s">
        <v>93</v>
      </c>
      <c r="B51" s="281"/>
      <c r="C51" s="282"/>
      <c r="D51" s="282"/>
      <c r="E51" s="282"/>
      <c r="F51" s="282"/>
      <c r="G51" s="282"/>
      <c r="H51" s="282"/>
      <c r="I51" s="283"/>
    </row>
    <row r="52" spans="1:9" x14ac:dyDescent="0.25">
      <c r="A52" s="280" t="s">
        <v>94</v>
      </c>
      <c r="B52" s="281"/>
      <c r="C52" s="282"/>
      <c r="D52" s="282"/>
      <c r="E52" s="282"/>
      <c r="F52" s="282"/>
      <c r="G52" s="282"/>
      <c r="H52" s="282"/>
      <c r="I52" s="283"/>
    </row>
    <row r="53" spans="1:9" x14ac:dyDescent="0.25">
      <c r="A53" s="284">
        <f>D46/D45</f>
        <v>9.3749999999999997E-4</v>
      </c>
      <c r="B53" s="285"/>
      <c r="C53" s="285"/>
      <c r="D53" s="285"/>
      <c r="E53" s="285"/>
      <c r="F53" s="285"/>
      <c r="G53" s="285"/>
      <c r="H53" s="285"/>
      <c r="I53" s="286"/>
    </row>
    <row r="54" spans="1:9" x14ac:dyDescent="0.25">
      <c r="A54" s="287"/>
      <c r="B54" s="288"/>
      <c r="C54" s="289"/>
      <c r="D54" s="289"/>
      <c r="E54" s="289"/>
      <c r="F54" s="289"/>
      <c r="G54" s="289"/>
      <c r="H54" s="289"/>
      <c r="I54" s="290"/>
    </row>
    <row r="55" spans="1:9" x14ac:dyDescent="0.25">
      <c r="A55" s="291"/>
      <c r="B55" s="292"/>
      <c r="C55" s="292"/>
      <c r="D55" s="292"/>
      <c r="E55" s="292"/>
      <c r="F55" s="292"/>
      <c r="G55" s="292"/>
      <c r="H55" s="292"/>
      <c r="I55" s="293"/>
    </row>
    <row r="56" spans="1:9" x14ac:dyDescent="0.25">
      <c r="A56" s="291"/>
      <c r="B56" s="292"/>
      <c r="C56" s="292"/>
      <c r="D56" s="292"/>
      <c r="E56" s="292"/>
      <c r="F56" s="292"/>
      <c r="G56" s="292"/>
      <c r="H56" s="292"/>
      <c r="I56" s="293"/>
    </row>
    <row r="57" spans="1:9" x14ac:dyDescent="0.25">
      <c r="A57" s="268"/>
      <c r="B57" s="269"/>
      <c r="C57" s="269"/>
      <c r="D57" s="269"/>
      <c r="E57" s="269"/>
      <c r="F57" s="269"/>
      <c r="G57" s="269"/>
      <c r="H57" s="269"/>
      <c r="I57" s="270"/>
    </row>
    <row r="58" spans="1:9" x14ac:dyDescent="0.25">
      <c r="A58" s="268"/>
      <c r="B58" s="269"/>
      <c r="C58" s="269"/>
      <c r="D58" s="269"/>
      <c r="E58" s="269"/>
      <c r="F58" s="269"/>
      <c r="G58" s="269"/>
      <c r="H58" s="269"/>
      <c r="I58" s="270"/>
    </row>
    <row r="59" spans="1:9" ht="18" customHeight="1" thickBot="1" x14ac:dyDescent="0.3">
      <c r="A59" s="258"/>
      <c r="B59" s="259"/>
      <c r="C59" s="259"/>
      <c r="D59" s="259"/>
      <c r="E59" s="259"/>
      <c r="F59" s="259"/>
      <c r="G59" s="259"/>
      <c r="H59" s="259"/>
      <c r="I59" s="260"/>
    </row>
    <row r="60" spans="1:9" x14ac:dyDescent="0.25">
      <c r="A60" s="179"/>
      <c r="B60" s="179"/>
      <c r="C60" s="179"/>
      <c r="D60" s="179"/>
      <c r="E60" s="179"/>
      <c r="F60" s="179"/>
      <c r="G60" s="179"/>
      <c r="H60" s="179"/>
      <c r="I60" s="179"/>
    </row>
    <row r="61" spans="1:9" ht="15.75" thickBot="1" x14ac:dyDescent="0.3">
      <c r="A61" s="261"/>
      <c r="B61" s="262"/>
      <c r="C61" s="262"/>
      <c r="D61" s="262"/>
      <c r="E61" s="262"/>
      <c r="F61" s="262"/>
      <c r="G61" s="262"/>
      <c r="H61" s="262"/>
      <c r="I61" s="263"/>
    </row>
    <row r="62" spans="1:9" x14ac:dyDescent="0.25">
      <c r="A62" s="264" t="s">
        <v>75</v>
      </c>
      <c r="B62" s="265"/>
      <c r="C62" s="265"/>
      <c r="D62" s="265"/>
      <c r="E62" s="265"/>
      <c r="F62" s="265"/>
      <c r="G62" s="265"/>
      <c r="H62" s="265"/>
      <c r="I62" s="265"/>
    </row>
    <row r="63" spans="1:9" x14ac:dyDescent="0.25">
      <c r="A63" s="266"/>
      <c r="B63" s="267"/>
      <c r="C63" s="267"/>
      <c r="D63" s="267"/>
      <c r="E63" s="267"/>
      <c r="F63" s="267"/>
      <c r="G63" s="267"/>
      <c r="H63" s="267"/>
      <c r="I63" s="267"/>
    </row>
    <row r="64" spans="1:9" x14ac:dyDescent="0.25">
      <c r="A64" s="266"/>
      <c r="B64" s="267"/>
      <c r="C64" s="267"/>
      <c r="D64" s="267"/>
      <c r="E64" s="267"/>
      <c r="F64" s="267"/>
      <c r="G64" s="267"/>
      <c r="H64" s="267"/>
      <c r="I64" s="267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AACD2D-EB25-472B-AE9D-D282E5B546F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A002933-284C-4F02-B9D6-EC219F6780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19A426-0A25-4731-9EEF-5A55742A78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Torta de Zanahoria 2</vt:lpstr>
      <vt:lpstr>Trasvasado Leche Condensada sua</vt:lpstr>
      <vt:lpstr>'Torta de Zanahoria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2026-05-14T16:18:05Z</cp:lastPrinted>
  <dcterms:created xsi:type="dcterms:W3CDTF">2026-02-10T16:46:45Z</dcterms:created>
  <dcterms:modified xsi:type="dcterms:W3CDTF">2026-05-14T16:18:06Z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
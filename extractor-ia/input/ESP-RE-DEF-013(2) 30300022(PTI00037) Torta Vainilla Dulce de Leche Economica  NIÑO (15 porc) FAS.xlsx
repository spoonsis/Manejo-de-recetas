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5" documentId="8_{E1EACC04-82A9-4356-9DCF-5642082B5F3C}" xr6:coauthVersionLast="47" xr6:coauthVersionMax="47" xr10:uidLastSave="{30978C63-EF7D-47E9-ADC5-A05880C494F8}"/>
  <bookViews>
    <workbookView xWindow="-108" yWindow="-108" windowWidth="23256" windowHeight="12456" xr2:uid="{F86EF87A-8F28-4809-9935-0212C59B6202}"/>
  </bookViews>
  <sheets>
    <sheet name="Hoja1" sheetId="7" r:id="rId1"/>
    <sheet name="costeo " sheetId="5" state="hidden" r:id="rId2"/>
    <sheet name="precio" sheetId="6" state="hidden" r:id="rId3"/>
  </sheets>
  <externalReferences>
    <externalReference r:id="rId4"/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7" l="1"/>
  <c r="D6" i="6"/>
  <c r="D9" i="6"/>
  <c r="H6" i="5"/>
  <c r="B8" i="5"/>
  <c r="C8" i="5"/>
  <c r="D8" i="5"/>
  <c r="E8" i="5"/>
  <c r="F8" i="5"/>
  <c r="B9" i="5"/>
  <c r="C9" i="5"/>
  <c r="D9" i="5"/>
  <c r="E9" i="5"/>
  <c r="F9" i="5"/>
  <c r="B10" i="5"/>
  <c r="C10" i="5"/>
  <c r="D10" i="5"/>
  <c r="E10" i="5"/>
  <c r="F10" i="5"/>
  <c r="B11" i="5"/>
  <c r="C11" i="5"/>
  <c r="D11" i="5"/>
  <c r="E11" i="5"/>
  <c r="F11" i="5"/>
  <c r="B12" i="5"/>
  <c r="C12" i="5"/>
  <c r="D12" i="5"/>
  <c r="E12" i="5"/>
  <c r="F12" i="5"/>
  <c r="B13" i="5"/>
  <c r="C13" i="5"/>
  <c r="D13" i="5"/>
  <c r="E13" i="5"/>
  <c r="F13" i="5"/>
  <c r="B14" i="5"/>
  <c r="C14" i="5"/>
  <c r="D14" i="5"/>
  <c r="E14" i="5"/>
  <c r="F14" i="5"/>
  <c r="B15" i="5"/>
  <c r="C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B27" i="5"/>
  <c r="C27" i="5"/>
  <c r="D27" i="5"/>
  <c r="E27" i="5"/>
  <c r="F27" i="5"/>
  <c r="B28" i="5"/>
  <c r="C28" i="5"/>
  <c r="D28" i="5"/>
  <c r="E28" i="5"/>
  <c r="F28" i="5"/>
  <c r="B29" i="5"/>
  <c r="C29" i="5"/>
  <c r="D29" i="5"/>
  <c r="E29" i="5"/>
  <c r="F29" i="5"/>
  <c r="B30" i="5"/>
  <c r="C30" i="5"/>
  <c r="D30" i="5"/>
  <c r="E30" i="5"/>
  <c r="F30" i="5"/>
  <c r="B31" i="5"/>
  <c r="C31" i="5"/>
  <c r="D31" i="5"/>
  <c r="E31" i="5"/>
  <c r="F31" i="5"/>
  <c r="B32" i="5"/>
  <c r="C32" i="5"/>
  <c r="D32" i="5"/>
  <c r="E32" i="5"/>
  <c r="F32" i="5"/>
  <c r="A35" i="5"/>
  <c r="C35" i="5"/>
  <c r="D35" i="5"/>
  <c r="E35" i="5"/>
  <c r="F35" i="5"/>
  <c r="A36" i="5"/>
  <c r="B36" i="5"/>
  <c r="C36" i="5"/>
  <c r="D36" i="5"/>
  <c r="E36" i="5"/>
  <c r="F36" i="5"/>
  <c r="A37" i="5"/>
  <c r="B37" i="5"/>
  <c r="C37" i="5"/>
  <c r="D37" i="5"/>
  <c r="E37" i="5"/>
  <c r="F37" i="5"/>
  <c r="A38" i="5"/>
  <c r="B38" i="5"/>
  <c r="C38" i="5"/>
  <c r="D38" i="5"/>
  <c r="E38" i="5"/>
  <c r="F38" i="5"/>
  <c r="A39" i="5"/>
  <c r="B39" i="5"/>
  <c r="C39" i="5"/>
  <c r="D39" i="5"/>
  <c r="E39" i="5"/>
  <c r="F39" i="5"/>
  <c r="A40" i="5"/>
  <c r="B40" i="5"/>
  <c r="C40" i="5"/>
  <c r="D40" i="5"/>
  <c r="E40" i="5"/>
  <c r="F40" i="5"/>
  <c r="A41" i="5"/>
  <c r="B41" i="5"/>
  <c r="C41" i="5"/>
  <c r="D41" i="5"/>
  <c r="E41" i="5"/>
  <c r="F41" i="5"/>
  <c r="A44" i="5"/>
  <c r="C44" i="5"/>
  <c r="D44" i="5"/>
  <c r="E44" i="5"/>
  <c r="F44" i="5"/>
  <c r="A45" i="5"/>
  <c r="B45" i="5"/>
  <c r="C45" i="5"/>
  <c r="D45" i="5"/>
  <c r="E45" i="5"/>
  <c r="F45" i="5"/>
  <c r="A46" i="5"/>
  <c r="B46" i="5"/>
  <c r="C46" i="5"/>
  <c r="D46" i="5"/>
  <c r="E46" i="5"/>
  <c r="F46" i="5"/>
  <c r="A47" i="5"/>
  <c r="B47" i="5"/>
  <c r="C47" i="5"/>
  <c r="D47" i="5"/>
  <c r="E47" i="5"/>
  <c r="F47" i="5"/>
  <c r="A48" i="5"/>
  <c r="B48" i="5"/>
  <c r="C48" i="5"/>
  <c r="D48" i="5"/>
  <c r="E48" i="5"/>
  <c r="F48" i="5"/>
  <c r="A49" i="5"/>
  <c r="B49" i="5"/>
  <c r="C49" i="5"/>
  <c r="D49" i="5"/>
  <c r="E49" i="5"/>
  <c r="F49" i="5"/>
  <c r="A50" i="5"/>
  <c r="B50" i="5"/>
  <c r="C50" i="5"/>
  <c r="D50" i="5"/>
  <c r="E50" i="5"/>
  <c r="F50" i="5"/>
  <c r="C51" i="5"/>
  <c r="E51" i="5"/>
  <c r="F51" i="5"/>
  <c r="D60" i="5"/>
  <c r="F65" i="5"/>
  <c r="D69" i="5"/>
  <c r="D71" i="5"/>
  <c r="C73" i="5"/>
  <c r="D73" i="5"/>
  <c r="E73" i="5"/>
  <c r="D74" i="5"/>
  <c r="D76" i="5"/>
  <c r="D81" i="5"/>
  <c r="D83" i="5"/>
  <c r="C85" i="5"/>
  <c r="D85" i="5"/>
  <c r="E85" i="5"/>
  <c r="D86" i="5"/>
  <c r="F54" i="5"/>
  <c r="F53" i="5"/>
  <c r="F56" i="5"/>
  <c r="O55" i="5"/>
  <c r="H56" i="5"/>
  <c r="C74" i="5"/>
  <c r="C69" i="5"/>
  <c r="F55" i="5"/>
  <c r="H53" i="5"/>
  <c r="F64" i="5"/>
  <c r="C76" i="5"/>
  <c r="E76" i="5"/>
  <c r="H54" i="5"/>
  <c r="F9" i="6"/>
  <c r="G2" i="5"/>
  <c r="F6" i="6"/>
  <c r="F2" i="5"/>
  <c r="H2" i="5"/>
  <c r="H55" i="5"/>
  <c r="O54" i="5"/>
  <c r="F63" i="5"/>
  <c r="C86" i="5"/>
  <c r="E86" i="5"/>
  <c r="E74" i="5"/>
  <c r="E69" i="5"/>
  <c r="C81" i="5"/>
  <c r="E81" i="5"/>
  <c r="F18" i="6"/>
  <c r="F11" i="6"/>
  <c r="E63" i="5"/>
  <c r="C71" i="5"/>
  <c r="F66" i="5"/>
  <c r="E78" i="5"/>
  <c r="O56" i="5"/>
  <c r="O57" i="5"/>
  <c r="F12" i="6"/>
  <c r="G51" i="5"/>
  <c r="G66" i="5"/>
  <c r="G37" i="5"/>
  <c r="G17" i="5"/>
  <c r="G35" i="5"/>
  <c r="G44" i="5"/>
  <c r="G46" i="5"/>
  <c r="G65" i="5"/>
  <c r="G50" i="5"/>
  <c r="G19" i="5"/>
  <c r="G18" i="5"/>
  <c r="G49" i="5"/>
  <c r="G29" i="5"/>
  <c r="G11" i="5"/>
  <c r="G13" i="5"/>
  <c r="G45" i="5"/>
  <c r="G38" i="5"/>
  <c r="G47" i="5"/>
  <c r="G39" i="5"/>
  <c r="G24" i="5"/>
  <c r="G10" i="5"/>
  <c r="G20" i="5"/>
  <c r="G14" i="5"/>
  <c r="G28" i="5"/>
  <c r="G12" i="5"/>
  <c r="G21" i="5"/>
  <c r="G22" i="5"/>
  <c r="G32" i="5"/>
  <c r="G30" i="5"/>
  <c r="G31" i="5"/>
  <c r="G9" i="5"/>
  <c r="G48" i="5"/>
  <c r="G23" i="5"/>
  <c r="G41" i="5"/>
  <c r="G36" i="5"/>
  <c r="G8" i="5"/>
  <c r="G27" i="5"/>
  <c r="G40" i="5"/>
  <c r="G56" i="5"/>
  <c r="G53" i="5"/>
  <c r="G54" i="5"/>
  <c r="G64" i="5"/>
  <c r="G55" i="5"/>
  <c r="F13" i="6"/>
  <c r="O58" i="5"/>
  <c r="O59" i="5"/>
  <c r="G63" i="5"/>
  <c r="E71" i="5"/>
  <c r="C83" i="5"/>
  <c r="E83" i="5"/>
  <c r="F15" i="6"/>
  <c r="O60" i="5"/>
  <c r="O61" i="5"/>
  <c r="O62" i="5"/>
  <c r="P62" i="5"/>
  <c r="E2" i="5"/>
  <c r="F17" i="6"/>
  <c r="F19" i="6"/>
  <c r="F20" i="6"/>
  <c r="F21" i="6"/>
  <c r="F22" i="6"/>
  <c r="G19" i="6"/>
  <c r="F23" i="6"/>
  <c r="G23" i="6"/>
  <c r="F27" i="6"/>
  <c r="G16" i="6"/>
  <c r="G6" i="6"/>
  <c r="G9" i="6"/>
  <c r="G18" i="6"/>
  <c r="G11" i="6"/>
  <c r="G12" i="6"/>
  <c r="G13" i="6"/>
  <c r="G15" i="6"/>
  <c r="G17" i="6"/>
  <c r="G20" i="6"/>
  <c r="G21" i="6"/>
  <c r="G22" i="6"/>
  <c r="F28" i="6"/>
  <c r="F29" i="6"/>
  <c r="F30" i="6"/>
  <c r="F31" i="6"/>
  <c r="G29" i="6"/>
  <c r="H29" i="6"/>
  <c r="F32" i="6"/>
  <c r="F34" i="6"/>
  <c r="F35" i="6"/>
</calcChain>
</file>

<file path=xl/sharedStrings.xml><?xml version="1.0" encoding="utf-8"?>
<sst xmlns="http://schemas.openxmlformats.org/spreadsheetml/2006/main" count="260" uniqueCount="171">
  <si>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</si>
  <si>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</si>
  <si>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</si>
  <si>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</si>
  <si>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</si>
  <si>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</si>
  <si>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</si>
  <si>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</si>
  <si>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</si>
  <si>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</si>
  <si>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</si>
  <si>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</si>
  <si>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</si>
  <si>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</si>
  <si>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</si>
  <si>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</si>
  <si>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</si>
  <si>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</si>
  <si>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</si>
  <si>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</si>
  <si>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</si>
  <si>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</si>
  <si>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</si>
  <si>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</si>
  <si>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</si>
  <si>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</si>
  <si>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</si>
  <si>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EMPAQUE</t>
  </si>
  <si>
    <t>g</t>
  </si>
  <si>
    <t>Decoración</t>
  </si>
  <si>
    <t>Ensamble</t>
  </si>
  <si>
    <t>1950692</t>
  </si>
  <si>
    <t>2.- Encremar con crema chantilly, peinar a los lados. Decorar con colochos con crema chantilly de color verde electrico y azúl oscuro.</t>
  </si>
  <si>
    <t>CREMA CHANTILLY AZUL ELECTRICO 9792g</t>
  </si>
  <si>
    <t>95717</t>
  </si>
  <si>
    <t>1112431</t>
  </si>
  <si>
    <t>ud</t>
  </si>
  <si>
    <t>min</t>
  </si>
  <si>
    <t>0702123</t>
  </si>
  <si>
    <t>MAYCA</t>
  </si>
  <si>
    <t>QUEQUERA RED  BASE/DOMO 10 (CAJA:50)</t>
  </si>
  <si>
    <t>121603</t>
  </si>
  <si>
    <t>701096</t>
  </si>
  <si>
    <t>ETIQUETA BLANCA R-153 (UND)</t>
  </si>
  <si>
    <t>CONTROL DE CAMBIOS</t>
  </si>
  <si>
    <t>FAS</t>
  </si>
  <si>
    <t>CREMA CHANTILLY BLANCA SPOON-IND KILO</t>
  </si>
  <si>
    <t>905000062</t>
  </si>
  <si>
    <t>905000064</t>
  </si>
  <si>
    <t>60100011</t>
  </si>
  <si>
    <t>ETIQUETA BLANCA 2 5/8X1 15/16 (UND)</t>
  </si>
  <si>
    <t>RAPIBOX</t>
  </si>
  <si>
    <t>CEMUSA</t>
  </si>
  <si>
    <t>ROSQUETE VAINILLA PASTELERO 550G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</si>
  <si>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</si>
  <si>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</si>
  <si>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</si>
  <si>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</si>
  <si>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</si>
  <si>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</si>
  <si>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</si>
  <si>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</si>
  <si>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</si>
  <si>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</si>
  <si>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</si>
  <si>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</si>
  <si>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</si>
  <si>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</si>
  <si>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</si>
  <si>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</si>
  <si>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</si>
  <si>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</si>
  <si>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</si>
  <si>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</si>
  <si>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</si>
  <si>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</si>
  <si>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</si>
  <si>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</si>
  <si>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</si>
  <si>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</si>
  <si>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</si>
  <si>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</si>
  <si>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</si>
  <si>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</si>
  <si>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</si>
  <si>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</si>
  <si>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</si>
  <si>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</si>
  <si>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</si>
  <si>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</si>
  <si>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</si>
  <si>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</si>
  <si>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</si>
  <si>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</si>
  <si>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</si>
  <si>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</si>
  <si>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</si>
  <si>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</si>
  <si>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</si>
  <si>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</si>
  <si>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</si>
  <si>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</si>
  <si>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</si>
  <si>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und</t>
  </si>
  <si>
    <t>0702006</t>
  </si>
  <si>
    <t>UND</t>
  </si>
  <si>
    <t>ESTRUCTURA DE COSTOS</t>
  </si>
  <si>
    <t>INDUSTRIA</t>
  </si>
  <si>
    <t>COSTO
 UNITARIO</t>
  </si>
  <si>
    <t>TOTAL
 COSTO</t>
  </si>
  <si>
    <t>% PREC. 
DEFINIDO</t>
  </si>
  <si>
    <t>CÓDIGOS</t>
  </si>
  <si>
    <t>SPOON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</si>
  <si>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</si>
  <si>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</si>
  <si>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</si>
  <si>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</si>
  <si>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</si>
  <si>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</si>
  <si>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</si>
  <si>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</si>
  <si>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</si>
  <si>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</si>
  <si>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</si>
  <si>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</si>
  <si>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</si>
  <si>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</si>
  <si>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</si>
  <si>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</si>
  <si>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</si>
  <si>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</si>
  <si>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TORTA DULCE LECHE ECONOM NIÑO</t>
  </si>
  <si>
    <t>ORLA # 10 BUCCA (UND)</t>
  </si>
  <si>
    <t>CINTA ADHESIVA TRANSPARENT 2*100 M (UND)</t>
  </si>
  <si>
    <t>cm</t>
  </si>
  <si>
    <t>11700002</t>
  </si>
  <si>
    <t>1.- Partir el rosquete por la mitad y rellenar con dulce de leche. Tapar. Colocar en una orla.</t>
  </si>
  <si>
    <t>SE00442</t>
  </si>
  <si>
    <t>MP10176</t>
  </si>
  <si>
    <t>SE00010</t>
  </si>
  <si>
    <t>SE00062</t>
  </si>
  <si>
    <t>SE00457</t>
  </si>
  <si>
    <t>EM10009</t>
  </si>
  <si>
    <t>EM10084</t>
  </si>
  <si>
    <t>EM10124</t>
  </si>
  <si>
    <t>EM10248</t>
  </si>
  <si>
    <t>EM10011</t>
  </si>
  <si>
    <t>EM10002</t>
  </si>
  <si>
    <t xml:space="preserve">3.- Empacar en quequera, etiquetar con nombre y Lote ,Vencimiento . </t>
  </si>
  <si>
    <t>EM10390</t>
  </si>
  <si>
    <t>ETIQUETA TORTA VAINILLA 60 PORCIONES BUCCA</t>
  </si>
  <si>
    <t>AREA QUE PRODUCE:</t>
  </si>
  <si>
    <t xml:space="preserve">AREA QUE EMPACA: </t>
  </si>
  <si>
    <t>Javier Tong, Chef</t>
  </si>
  <si>
    <t>Esteban Cartin, Gte Manufactura</t>
  </si>
  <si>
    <t># Código Netsuite</t>
  </si>
  <si>
    <t>ROSQUETE EASY QUEQUE VAINILLA SP 550G</t>
  </si>
  <si>
    <t>1 UND</t>
  </si>
  <si>
    <t xml:space="preserve">DULCE LECHE LA CIABATA </t>
  </si>
  <si>
    <t>LA CIABATA</t>
  </si>
  <si>
    <t>1/4 TAZA</t>
  </si>
  <si>
    <t>ENCREMAR</t>
  </si>
  <si>
    <t>COLOCHO BOQUILLA 842</t>
  </si>
  <si>
    <t xml:space="preserve"> CREMA CHANTILLY  VERDE ELECTRICO</t>
  </si>
  <si>
    <t>Empaque</t>
  </si>
  <si>
    <t>ETIQ.BLANCA 1 1/4 * 3/4</t>
  </si>
  <si>
    <t>ETIPLAST</t>
  </si>
  <si>
    <t>ESP-RE-DEF-013</t>
  </si>
  <si>
    <t xml:space="preserve">2, Se actualiza datos receta y peso final </t>
  </si>
  <si>
    <t>02</t>
  </si>
  <si>
    <t xml:space="preserve"> 30300022(PTI00037) Torta Vainilla Dulce de Leche Economica  NIÑO (15 porc) FAS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</si>
</sst>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00"/>
    <numFmt numFmtId="168" formatCode="[$-409]d\-mmm\-yy;@"/>
    <numFmt numFmtId="169" formatCode="_-* #,##0.0\ _€_-;\-* #,##0.0\ _€_-;_-* &quot;-&quot;??\ _€_-;_-@_-"/>
    <numFmt numFmtId="170" formatCode="0.0%"/>
    <numFmt numFmtId="171" formatCode="0.0"/>
    <numFmt numFmtId="172" formatCode="_(* #,##0.000_);_(* \(#,##0.000\);_(* &quot;-&quot;??_);_(@_)"/>
  </numFmts>
  <fonts count="59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3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6" fillId="0" borderId="0" applyFont="0" applyFill="0" applyBorder="0" applyAlignment="0" applyProtection="0"/>
    <xf numFmtId="41" fontId="47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4" fillId="0" borderId="0"/>
    <xf numFmtId="0" fontId="4" fillId="0" borderId="0"/>
    <xf numFmtId="0" fontId="46" fillId="0" borderId="0"/>
    <xf numFmtId="0" fontId="47" fillId="0" borderId="0"/>
    <xf numFmtId="0" fontId="2" fillId="0" borderId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6" fillId="0" borderId="0" applyFont="0" applyFill="0" applyBorder="0" applyAlignment="0" applyProtection="0"/>
    <xf numFmtId="0" fontId="2" fillId="0" borderId="0"/>
  </cellStyleXfs>
  <cellXfs count="358">
    <xf numFmtId="0" fontId="0" fillId="0" borderId="0" xfId="0"/>
    <xf numFmtId="0" fontId="6" fillId="9" borderId="0" xfId="0" applyFont="1" applyFill="1" applyAlignment="1">
      <alignment vertical="center"/>
    </xf>
    <xf numFmtId="0" fontId="7" fillId="10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6" fontId="7" fillId="0" borderId="4" xfId="1" applyFont="1" applyFill="1" applyBorder="1" applyAlignment="1">
      <alignment horizontal="center" vertical="center"/>
    </xf>
    <xf numFmtId="166" fontId="7" fillId="0" borderId="0" xfId="1" applyFont="1" applyFill="1" applyBorder="1" applyAlignment="1">
      <alignment horizontal="center" vertical="center"/>
    </xf>
    <xf numFmtId="166" fontId="9" fillId="0" borderId="0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8" fontId="12" fillId="0" borderId="0" xfId="0" applyNumberFormat="1" applyFont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4" fontId="13" fillId="0" borderId="0" xfId="2" applyNumberFormat="1" applyFont="1" applyFill="1" applyAlignment="1">
      <alignment horizontal="center" vertical="center"/>
    </xf>
    <xf numFmtId="4" fontId="7" fillId="0" borderId="0" xfId="2" applyNumberFormat="1" applyFont="1" applyFill="1" applyAlignment="1">
      <alignment horizontal="center" vertical="center"/>
    </xf>
    <xf numFmtId="10" fontId="7" fillId="0" borderId="0" xfId="18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0" fontId="8" fillId="0" borderId="0" xfId="18" applyNumberFormat="1" applyFont="1" applyFill="1" applyAlignment="1">
      <alignment vertical="center"/>
    </xf>
    <xf numFmtId="0" fontId="6" fillId="0" borderId="0" xfId="0" applyFont="1"/>
    <xf numFmtId="49" fontId="7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66" fontId="6" fillId="0" borderId="0" xfId="1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4" fontId="7" fillId="0" borderId="0" xfId="1" applyNumberFormat="1" applyFont="1" applyFill="1" applyAlignment="1">
      <alignment vertical="center"/>
    </xf>
    <xf numFmtId="166" fontId="15" fillId="0" borderId="0" xfId="1" applyFont="1" applyFill="1" applyAlignment="1">
      <alignment horizontal="center" vertical="center"/>
    </xf>
    <xf numFmtId="10" fontId="8" fillId="4" borderId="16" xfId="18" applyNumberFormat="1" applyFont="1" applyFill="1" applyBorder="1" applyAlignment="1">
      <alignment vertical="center"/>
    </xf>
    <xf numFmtId="0" fontId="6" fillId="4" borderId="9" xfId="0" applyFont="1" applyFill="1" applyBorder="1" applyAlignment="1">
      <alignment vertical="center"/>
    </xf>
    <xf numFmtId="0" fontId="6" fillId="4" borderId="16" xfId="0" applyFont="1" applyFill="1" applyBorder="1" applyAlignment="1">
      <alignment vertical="center"/>
    </xf>
    <xf numFmtId="166" fontId="15" fillId="4" borderId="18" xfId="1" applyFont="1" applyFill="1" applyBorder="1" applyAlignment="1">
      <alignment horizontal="center" vertical="center"/>
    </xf>
    <xf numFmtId="166" fontId="17" fillId="0" borderId="0" xfId="1" applyFont="1" applyFill="1" applyBorder="1" applyAlignment="1">
      <alignment horizontal="right"/>
    </xf>
    <xf numFmtId="0" fontId="6" fillId="4" borderId="18" xfId="0" applyFont="1" applyFill="1" applyBorder="1" applyAlignment="1">
      <alignment vertical="center"/>
    </xf>
    <xf numFmtId="10" fontId="8" fillId="4" borderId="18" xfId="18" applyNumberFormat="1" applyFont="1" applyFill="1" applyBorder="1" applyAlignment="1">
      <alignment vertical="center"/>
    </xf>
    <xf numFmtId="0" fontId="16" fillId="0" borderId="0" xfId="0" applyFont="1" applyAlignment="1">
      <alignment horizontal="right"/>
    </xf>
    <xf numFmtId="9" fontId="48" fillId="0" borderId="0" xfId="18" applyFont="1" applyFill="1" applyAlignment="1">
      <alignment horizontal="center"/>
    </xf>
    <xf numFmtId="0" fontId="15" fillId="0" borderId="0" xfId="0" applyFont="1" applyAlignment="1">
      <alignment horizontal="right" vertical="center"/>
    </xf>
    <xf numFmtId="4" fontId="15" fillId="0" borderId="0" xfId="1" applyNumberFormat="1" applyFont="1" applyFill="1" applyAlignment="1">
      <alignment vertical="center"/>
    </xf>
    <xf numFmtId="4" fontId="15" fillId="0" borderId="0" xfId="2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7" xfId="0" applyFont="1" applyBorder="1" applyAlignment="1">
      <alignment horizontal="right"/>
    </xf>
    <xf numFmtId="166" fontId="21" fillId="5" borderId="22" xfId="1" applyFont="1" applyFill="1" applyBorder="1" applyAlignment="1">
      <alignment horizontal="right"/>
    </xf>
    <xf numFmtId="166" fontId="21" fillId="0" borderId="0" xfId="1" applyFont="1" applyFill="1" applyBorder="1" applyAlignment="1">
      <alignment horizontal="right"/>
    </xf>
    <xf numFmtId="166" fontId="7" fillId="0" borderId="4" xfId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5" fillId="0" borderId="0" xfId="2" applyNumberFormat="1" applyFont="1" applyFill="1" applyAlignment="1">
      <alignment horizontal="center" vertical="center"/>
    </xf>
    <xf numFmtId="10" fontId="23" fillId="0" borderId="0" xfId="18" applyNumberFormat="1" applyFont="1" applyFill="1" applyAlignment="1">
      <alignment horizontal="right"/>
    </xf>
    <xf numFmtId="169" fontId="7" fillId="4" borderId="4" xfId="1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166" fontId="7" fillId="6" borderId="4" xfId="1" applyFont="1" applyFill="1" applyBorder="1" applyAlignment="1">
      <alignment vertical="center"/>
    </xf>
    <xf numFmtId="166" fontId="24" fillId="0" borderId="0" xfId="0" applyNumberFormat="1" applyFont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8" fillId="4" borderId="23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1" applyNumberFormat="1" applyFont="1" applyFill="1" applyBorder="1" applyAlignment="1">
      <alignment horizontal="center"/>
    </xf>
    <xf numFmtId="2" fontId="20" fillId="0" borderId="0" xfId="1" applyNumberFormat="1" applyFont="1" applyFill="1" applyBorder="1" applyAlignment="1">
      <alignment horizontal="center"/>
    </xf>
    <xf numFmtId="0" fontId="6" fillId="4" borderId="23" xfId="0" applyFont="1" applyFill="1" applyBorder="1" applyAlignment="1">
      <alignment vertical="center"/>
    </xf>
    <xf numFmtId="10" fontId="6" fillId="0" borderId="0" xfId="18" applyNumberFormat="1" applyFont="1" applyFill="1" applyAlignment="1">
      <alignment vertical="center"/>
    </xf>
    <xf numFmtId="4" fontId="6" fillId="0" borderId="0" xfId="1" applyNumberFormat="1" applyFont="1" applyFill="1" applyAlignment="1">
      <alignment vertical="center"/>
    </xf>
    <xf numFmtId="166" fontId="21" fillId="4" borderId="9" xfId="1" applyFont="1" applyFill="1" applyBorder="1" applyAlignment="1">
      <alignment horizontal="right"/>
    </xf>
    <xf numFmtId="0" fontId="7" fillId="4" borderId="10" xfId="0" applyFont="1" applyFill="1" applyBorder="1" applyAlignment="1">
      <alignment horizontal="right" vertical="center"/>
    </xf>
    <xf numFmtId="10" fontId="27" fillId="0" borderId="0" xfId="1" applyNumberFormat="1" applyFont="1" applyFill="1" applyAlignment="1">
      <alignment vertical="center"/>
    </xf>
    <xf numFmtId="10" fontId="8" fillId="0" borderId="0" xfId="18" applyNumberFormat="1" applyFont="1" applyFill="1" applyBorder="1" applyAlignment="1">
      <alignment vertical="center"/>
    </xf>
    <xf numFmtId="166" fontId="28" fillId="0" borderId="0" xfId="0" applyNumberFormat="1" applyFont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166" fontId="29" fillId="0" borderId="0" xfId="1" applyFont="1" applyFill="1" applyAlignment="1">
      <alignment vertical="center"/>
    </xf>
    <xf numFmtId="4" fontId="30" fillId="0" borderId="0" xfId="2" applyNumberFormat="1" applyFont="1" applyFill="1" applyAlignment="1">
      <alignment horizontal="center" vertical="center" wrapText="1"/>
    </xf>
    <xf numFmtId="9" fontId="6" fillId="0" borderId="0" xfId="1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Fill="1" applyAlignment="1">
      <alignment vertical="center"/>
    </xf>
    <xf numFmtId="4" fontId="7" fillId="7" borderId="22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6" fontId="31" fillId="0" borderId="0" xfId="1" applyFont="1" applyFill="1" applyAlignment="1">
      <alignment vertical="center"/>
    </xf>
    <xf numFmtId="9" fontId="31" fillId="0" borderId="0" xfId="1" applyNumberFormat="1" applyFont="1" applyFill="1" applyAlignment="1">
      <alignment vertical="center"/>
    </xf>
    <xf numFmtId="4" fontId="7" fillId="0" borderId="0" xfId="1" applyNumberFormat="1" applyFont="1" applyFill="1" applyAlignment="1">
      <alignment horizontal="center" vertical="center"/>
    </xf>
    <xf numFmtId="10" fontId="24" fillId="0" borderId="0" xfId="18" applyNumberFormat="1" applyFont="1" applyFill="1" applyAlignment="1">
      <alignment vertical="center"/>
    </xf>
    <xf numFmtId="166" fontId="24" fillId="0" borderId="0" xfId="1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166" fontId="6" fillId="0" borderId="0" xfId="1" applyFont="1" applyFill="1" applyBorder="1"/>
    <xf numFmtId="10" fontId="24" fillId="0" borderId="0" xfId="18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166" fontId="6" fillId="0" borderId="0" xfId="1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center"/>
    </xf>
    <xf numFmtId="166" fontId="7" fillId="0" borderId="0" xfId="0" applyNumberFormat="1" applyFont="1"/>
    <xf numFmtId="0" fontId="22" fillId="0" borderId="0" xfId="0" applyFont="1"/>
    <xf numFmtId="0" fontId="36" fillId="0" borderId="24" xfId="0" applyFont="1" applyBorder="1" applyAlignment="1">
      <alignment horizontal="center" vertical="center" wrapText="1"/>
    </xf>
    <xf numFmtId="0" fontId="37" fillId="5" borderId="4" xfId="0" applyFont="1" applyFill="1" applyBorder="1" applyAlignment="1">
      <alignment horizontal="center"/>
    </xf>
    <xf numFmtId="0" fontId="37" fillId="5" borderId="4" xfId="0" applyFont="1" applyFill="1" applyBorder="1" applyAlignment="1">
      <alignment horizont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166" fontId="21" fillId="0" borderId="0" xfId="1" applyFont="1"/>
    <xf numFmtId="4" fontId="21" fillId="0" borderId="0" xfId="1" applyNumberFormat="1" applyFont="1" applyAlignment="1">
      <alignment horizontal="right"/>
    </xf>
    <xf numFmtId="9" fontId="21" fillId="0" borderId="0" xfId="18" applyFont="1" applyAlignment="1">
      <alignment horizontal="right"/>
    </xf>
    <xf numFmtId="49" fontId="21" fillId="0" borderId="0" xfId="2" applyNumberFormat="1" applyFont="1" applyAlignment="1">
      <alignment horizontal="center"/>
    </xf>
    <xf numFmtId="0" fontId="17" fillId="0" borderId="0" xfId="0" applyFont="1"/>
    <xf numFmtId="166" fontId="38" fillId="0" borderId="0" xfId="1" applyFont="1" applyFill="1" applyBorder="1" applyAlignment="1">
      <alignment horizontal="center"/>
    </xf>
    <xf numFmtId="0" fontId="38" fillId="0" borderId="0" xfId="0" applyFont="1"/>
    <xf numFmtId="4" fontId="38" fillId="0" borderId="0" xfId="2" applyNumberFormat="1" applyFont="1" applyFill="1" applyBorder="1"/>
    <xf numFmtId="4" fontId="38" fillId="0" borderId="0" xfId="2" applyNumberFormat="1" applyFont="1" applyFill="1" applyBorder="1" applyAlignment="1">
      <alignment horizontal="right"/>
    </xf>
    <xf numFmtId="9" fontId="19" fillId="0" borderId="0" xfId="18" applyFont="1" applyFill="1"/>
    <xf numFmtId="49" fontId="38" fillId="0" borderId="0" xfId="2" applyNumberFormat="1" applyFont="1" applyFill="1" applyBorder="1" applyAlignment="1">
      <alignment horizontal="center"/>
    </xf>
    <xf numFmtId="9" fontId="21" fillId="0" borderId="0" xfId="18" applyFont="1" applyFill="1" applyAlignment="1">
      <alignment vertical="center"/>
    </xf>
    <xf numFmtId="166" fontId="17" fillId="0" borderId="25" xfId="1" applyFont="1" applyFill="1" applyBorder="1" applyAlignment="1">
      <alignment horizontal="right"/>
    </xf>
    <xf numFmtId="9" fontId="19" fillId="0" borderId="0" xfId="1" applyNumberFormat="1" applyFont="1" applyFill="1" applyBorder="1"/>
    <xf numFmtId="4" fontId="19" fillId="0" borderId="0" xfId="1" applyNumberFormat="1" applyFont="1" applyFill="1" applyBorder="1" applyAlignment="1">
      <alignment horizontal="right"/>
    </xf>
    <xf numFmtId="10" fontId="17" fillId="0" borderId="0" xfId="18" applyNumberFormat="1" applyFont="1" applyFill="1" applyAlignment="1">
      <alignment horizontal="right"/>
    </xf>
    <xf numFmtId="0" fontId="19" fillId="0" borderId="0" xfId="0" applyFont="1" applyAlignment="1">
      <alignment horizontal="center"/>
    </xf>
    <xf numFmtId="10" fontId="21" fillId="0" borderId="0" xfId="18" applyNumberFormat="1" applyFont="1" applyFill="1" applyBorder="1" applyAlignment="1">
      <alignment horizontal="right"/>
    </xf>
    <xf numFmtId="170" fontId="18" fillId="0" borderId="0" xfId="1" applyNumberFormat="1" applyFont="1" applyFill="1"/>
    <xf numFmtId="0" fontId="21" fillId="0" borderId="0" xfId="18" applyNumberFormat="1" applyFont="1" applyFill="1" applyAlignment="1">
      <alignment vertical="center"/>
    </xf>
    <xf numFmtId="10" fontId="18" fillId="0" borderId="0" xfId="18" applyNumberFormat="1" applyFont="1" applyFill="1" applyAlignment="1">
      <alignment horizontal="right"/>
    </xf>
    <xf numFmtId="2" fontId="19" fillId="0" borderId="0" xfId="0" applyNumberFormat="1" applyFont="1" applyAlignment="1">
      <alignment horizontal="center"/>
    </xf>
    <xf numFmtId="0" fontId="39" fillId="0" borderId="0" xfId="0" applyFont="1" applyAlignment="1">
      <alignment horizontal="right"/>
    </xf>
    <xf numFmtId="10" fontId="21" fillId="0" borderId="0" xfId="18" applyNumberFormat="1" applyFont="1" applyFill="1"/>
    <xf numFmtId="0" fontId="17" fillId="4" borderId="9" xfId="0" applyFont="1" applyFill="1" applyBorder="1"/>
    <xf numFmtId="0" fontId="17" fillId="0" borderId="26" xfId="0" applyFont="1" applyBorder="1" applyAlignment="1">
      <alignment horizontal="right"/>
    </xf>
    <xf numFmtId="10" fontId="20" fillId="0" borderId="0" xfId="18" applyNumberFormat="1" applyFont="1" applyFill="1" applyBorder="1"/>
    <xf numFmtId="166" fontId="21" fillId="9" borderId="0" xfId="1" applyFont="1" applyFill="1" applyBorder="1" applyAlignment="1">
      <alignment horizontal="right"/>
    </xf>
    <xf numFmtId="10" fontId="21" fillId="0" borderId="0" xfId="18" applyNumberFormat="1" applyFont="1" applyFill="1" applyAlignment="1">
      <alignment vertical="center"/>
    </xf>
    <xf numFmtId="9" fontId="19" fillId="0" borderId="0" xfId="18" applyFont="1" applyFill="1" applyAlignment="1">
      <alignment horizontal="center"/>
    </xf>
    <xf numFmtId="2" fontId="41" fillId="0" borderId="0" xfId="0" applyNumberFormat="1" applyFont="1" applyAlignment="1">
      <alignment horizontal="center"/>
    </xf>
    <xf numFmtId="10" fontId="42" fillId="0" borderId="0" xfId="18" applyNumberFormat="1" applyFont="1" applyFill="1" applyAlignment="1">
      <alignment horizontal="right"/>
    </xf>
    <xf numFmtId="10" fontId="43" fillId="0" borderId="0" xfId="18" applyNumberFormat="1" applyFont="1" applyFill="1" applyAlignment="1">
      <alignment horizontal="right"/>
    </xf>
    <xf numFmtId="3" fontId="21" fillId="3" borderId="22" xfId="0" applyNumberFormat="1" applyFont="1" applyFill="1" applyBorder="1" applyAlignment="1">
      <alignment horizontal="center"/>
    </xf>
    <xf numFmtId="10" fontId="20" fillId="0" borderId="0" xfId="18" applyNumberFormat="1" applyFont="1" applyFill="1" applyAlignment="1">
      <alignment horizontal="right"/>
    </xf>
    <xf numFmtId="1" fontId="20" fillId="0" borderId="0" xfId="0" applyNumberFormat="1" applyFont="1" applyAlignment="1">
      <alignment horizontal="center"/>
    </xf>
    <xf numFmtId="166" fontId="18" fillId="0" borderId="0" xfId="0" applyNumberFormat="1" applyFont="1" applyAlignment="1">
      <alignment horizontal="right"/>
    </xf>
    <xf numFmtId="10" fontId="20" fillId="0" borderId="0" xfId="18" applyNumberFormat="1" applyFont="1" applyFill="1"/>
    <xf numFmtId="0" fontId="17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10" fontId="44" fillId="0" borderId="0" xfId="18" applyNumberFormat="1" applyFont="1" applyFill="1"/>
    <xf numFmtId="0" fontId="45" fillId="0" borderId="0" xfId="0" applyFont="1" applyAlignment="1">
      <alignment horizontal="center"/>
    </xf>
    <xf numFmtId="0" fontId="3" fillId="2" borderId="3" xfId="17" applyFont="1" applyFill="1" applyBorder="1" applyAlignment="1">
      <alignment horizontal="right"/>
    </xf>
    <xf numFmtId="0" fontId="51" fillId="2" borderId="1" xfId="17" applyFont="1" applyFill="1" applyBorder="1" applyAlignment="1">
      <alignment horizontal="center"/>
    </xf>
    <xf numFmtId="0" fontId="3" fillId="2" borderId="4" xfId="17" applyFont="1" applyFill="1" applyBorder="1" applyAlignment="1">
      <alignment horizontal="right"/>
    </xf>
    <xf numFmtId="49" fontId="51" fillId="2" borderId="5" xfId="17" applyNumberFormat="1" applyFont="1" applyFill="1" applyBorder="1" applyAlignment="1">
      <alignment horizontal="center"/>
    </xf>
    <xf numFmtId="0" fontId="51" fillId="2" borderId="6" xfId="17" applyFont="1" applyFill="1" applyBorder="1" applyAlignment="1">
      <alignment horizontal="right"/>
    </xf>
    <xf numFmtId="0" fontId="51" fillId="2" borderId="4" xfId="17" applyFont="1" applyFill="1" applyBorder="1" applyAlignment="1">
      <alignment horizontal="right"/>
    </xf>
    <xf numFmtId="14" fontId="52" fillId="2" borderId="0" xfId="22" applyNumberFormat="1" applyFont="1" applyFill="1" applyAlignment="1">
      <alignment horizontal="center" vertical="center" wrapText="1"/>
    </xf>
    <xf numFmtId="0" fontId="3" fillId="3" borderId="1" xfId="13" applyFont="1" applyFill="1" applyBorder="1" applyAlignment="1">
      <alignment horizontal="center" vertical="center" wrapText="1"/>
    </xf>
    <xf numFmtId="1" fontId="3" fillId="3" borderId="2" xfId="13" applyNumberFormat="1" applyFont="1" applyFill="1" applyBorder="1" applyAlignment="1">
      <alignment horizontal="center"/>
    </xf>
    <xf numFmtId="1" fontId="3" fillId="3" borderId="2" xfId="13" applyNumberFormat="1" applyFont="1" applyFill="1" applyBorder="1" applyAlignment="1">
      <alignment horizontal="center" wrapText="1"/>
    </xf>
    <xf numFmtId="0" fontId="3" fillId="3" borderId="31" xfId="13" applyFont="1" applyFill="1" applyBorder="1" applyAlignment="1">
      <alignment horizontal="center"/>
    </xf>
    <xf numFmtId="0" fontId="53" fillId="0" borderId="54" xfId="13" applyFont="1" applyBorder="1" applyAlignment="1">
      <alignment horizontal="center" vertical="center"/>
    </xf>
    <xf numFmtId="0" fontId="53" fillId="0" borderId="14" xfId="13" applyFont="1" applyBorder="1" applyAlignment="1">
      <alignment horizontal="center" vertical="center"/>
    </xf>
    <xf numFmtId="0" fontId="54" fillId="0" borderId="4" xfId="13" applyFont="1" applyBorder="1" applyAlignment="1">
      <alignment vertical="center"/>
    </xf>
    <xf numFmtId="0" fontId="53" fillId="0" borderId="4" xfId="13" applyFont="1" applyBorder="1" applyAlignment="1">
      <alignment horizontal="center" vertical="center"/>
    </xf>
    <xf numFmtId="1" fontId="53" fillId="0" borderId="4" xfId="13" applyNumberFormat="1" applyFont="1" applyBorder="1" applyAlignment="1">
      <alignment horizontal="center"/>
    </xf>
    <xf numFmtId="1" fontId="53" fillId="0" borderId="4" xfId="13" applyNumberFormat="1" applyFont="1" applyBorder="1" applyAlignment="1">
      <alignment horizontal="center" wrapText="1"/>
    </xf>
    <xf numFmtId="0" fontId="55" fillId="0" borderId="5" xfId="13" applyFont="1" applyBorder="1" applyAlignment="1">
      <alignment horizontal="center"/>
    </xf>
    <xf numFmtId="0" fontId="56" fillId="0" borderId="4" xfId="15" applyFont="1" applyBorder="1" applyAlignment="1">
      <alignment horizontal="center"/>
    </xf>
    <xf numFmtId="0" fontId="56" fillId="0" borderId="4" xfId="15" applyFont="1" applyBorder="1"/>
    <xf numFmtId="16" fontId="51" fillId="0" borderId="14" xfId="0" applyNumberFormat="1" applyFont="1" applyBorder="1" applyAlignment="1">
      <alignment horizontal="center"/>
    </xf>
    <xf numFmtId="0" fontId="51" fillId="0" borderId="4" xfId="0" applyFont="1" applyBorder="1" applyAlignment="1">
      <alignment horizontal="center"/>
    </xf>
    <xf numFmtId="1" fontId="51" fillId="0" borderId="4" xfId="0" applyNumberFormat="1" applyFont="1" applyBorder="1" applyAlignment="1">
      <alignment horizontal="center" wrapText="1"/>
    </xf>
    <xf numFmtId="1" fontId="55" fillId="0" borderId="6" xfId="13" applyNumberFormat="1" applyFont="1" applyBorder="1" applyAlignment="1">
      <alignment horizontal="center"/>
    </xf>
    <xf numFmtId="12" fontId="51" fillId="0" borderId="6" xfId="0" applyNumberFormat="1" applyFont="1" applyBorder="1" applyAlignment="1">
      <alignment horizontal="center"/>
    </xf>
    <xf numFmtId="0" fontId="56" fillId="0" borderId="4" xfId="0" applyFont="1" applyBorder="1" applyAlignment="1">
      <alignment horizontal="center"/>
    </xf>
    <xf numFmtId="0" fontId="56" fillId="0" borderId="4" xfId="0" applyFont="1" applyBorder="1"/>
    <xf numFmtId="171" fontId="55" fillId="0" borderId="4" xfId="13" applyNumberFormat="1" applyFont="1" applyBorder="1" applyAlignment="1">
      <alignment horizontal="center"/>
    </xf>
    <xf numFmtId="0" fontId="57" fillId="0" borderId="4" xfId="0" applyFont="1" applyBorder="1" applyAlignment="1">
      <alignment horizontal="center" vertical="top"/>
    </xf>
    <xf numFmtId="0" fontId="57" fillId="0" borderId="4" xfId="0" applyFont="1" applyBorder="1" applyAlignment="1">
      <alignment vertical="top"/>
    </xf>
    <xf numFmtId="0" fontId="55" fillId="9" borderId="4" xfId="0" applyFont="1" applyFill="1" applyBorder="1" applyAlignment="1">
      <alignment horizontal="center" vertical="center"/>
    </xf>
    <xf numFmtId="1" fontId="55" fillId="9" borderId="4" xfId="0" applyNumberFormat="1" applyFont="1" applyFill="1" applyBorder="1" applyAlignment="1">
      <alignment horizontal="center"/>
    </xf>
    <xf numFmtId="1" fontId="55" fillId="9" borderId="4" xfId="0" applyNumberFormat="1" applyFont="1" applyFill="1" applyBorder="1" applyAlignment="1">
      <alignment horizontal="center" wrapText="1"/>
    </xf>
    <xf numFmtId="1" fontId="56" fillId="0" borderId="4" xfId="0" applyNumberFormat="1" applyFont="1" applyBorder="1" applyAlignment="1">
      <alignment horizontal="center"/>
    </xf>
    <xf numFmtId="0" fontId="51" fillId="9" borderId="4" xfId="0" applyFont="1" applyFill="1" applyBorder="1" applyAlignment="1">
      <alignment horizontal="center" vertical="center"/>
    </xf>
    <xf numFmtId="1" fontId="51" fillId="9" borderId="4" xfId="0" applyNumberFormat="1" applyFont="1" applyFill="1" applyBorder="1" applyAlignment="1">
      <alignment horizontal="center"/>
    </xf>
    <xf numFmtId="1" fontId="51" fillId="9" borderId="4" xfId="0" applyNumberFormat="1" applyFont="1" applyFill="1" applyBorder="1" applyAlignment="1">
      <alignment horizontal="center" wrapText="1"/>
    </xf>
    <xf numFmtId="2" fontId="53" fillId="0" borderId="4" xfId="13" applyNumberFormat="1" applyFont="1" applyBorder="1" applyAlignment="1">
      <alignment horizontal="center"/>
    </xf>
    <xf numFmtId="16" fontId="55" fillId="0" borderId="14" xfId="0" applyNumberFormat="1" applyFont="1" applyBorder="1" applyAlignment="1">
      <alignment horizontal="center"/>
    </xf>
    <xf numFmtId="1" fontId="55" fillId="0" borderId="4" xfId="0" applyNumberFormat="1" applyFont="1" applyBorder="1" applyAlignment="1">
      <alignment horizontal="center"/>
    </xf>
    <xf numFmtId="1" fontId="55" fillId="0" borderId="4" xfId="0" applyNumberFormat="1" applyFont="1" applyBorder="1" applyAlignment="1">
      <alignment horizontal="center" wrapText="1"/>
    </xf>
    <xf numFmtId="49" fontId="55" fillId="0" borderId="54" xfId="13" applyNumberFormat="1" applyFont="1" applyBorder="1" applyAlignment="1">
      <alignment horizontal="center"/>
    </xf>
    <xf numFmtId="49" fontId="55" fillId="0" borderId="14" xfId="13" applyNumberFormat="1" applyFont="1" applyBorder="1" applyAlignment="1">
      <alignment horizontal="center"/>
    </xf>
    <xf numFmtId="0" fontId="53" fillId="9" borderId="4" xfId="13" applyFont="1" applyFill="1" applyBorder="1" applyAlignment="1">
      <alignment horizontal="left"/>
    </xf>
    <xf numFmtId="0" fontId="55" fillId="0" borderId="4" xfId="13" applyFont="1" applyBorder="1" applyAlignment="1">
      <alignment horizontal="center"/>
    </xf>
    <xf numFmtId="1" fontId="55" fillId="0" borderId="4" xfId="13" applyNumberFormat="1" applyFont="1" applyBorder="1" applyAlignment="1">
      <alignment horizontal="center" wrapText="1"/>
    </xf>
    <xf numFmtId="1" fontId="51" fillId="9" borderId="6" xfId="0" applyNumberFormat="1" applyFont="1" applyFill="1" applyBorder="1" applyAlignment="1">
      <alignment horizontal="center" wrapText="1"/>
    </xf>
    <xf numFmtId="0" fontId="56" fillId="0" borderId="0" xfId="0" applyFont="1" applyAlignment="1">
      <alignment horizontal="center"/>
    </xf>
    <xf numFmtId="0" fontId="56" fillId="0" borderId="0" xfId="0" applyFont="1"/>
    <xf numFmtId="16" fontId="51" fillId="9" borderId="4" xfId="0" applyNumberFormat="1" applyFont="1" applyFill="1" applyBorder="1" applyAlignment="1">
      <alignment horizontal="center"/>
    </xf>
    <xf numFmtId="0" fontId="51" fillId="2" borderId="4" xfId="0" applyFont="1" applyFill="1" applyBorder="1" applyAlignment="1">
      <alignment horizontal="center"/>
    </xf>
    <xf numFmtId="1" fontId="51" fillId="0" borderId="6" xfId="0" applyNumberFormat="1" applyFont="1" applyBorder="1" applyAlignment="1">
      <alignment horizontal="center" wrapText="1"/>
    </xf>
    <xf numFmtId="16" fontId="51" fillId="0" borderId="4" xfId="0" applyNumberFormat="1" applyFont="1" applyBorder="1" applyAlignment="1">
      <alignment horizontal="center"/>
    </xf>
    <xf numFmtId="1" fontId="51" fillId="0" borderId="6" xfId="0" applyNumberFormat="1" applyFont="1" applyBorder="1" applyAlignment="1">
      <alignment horizontal="center"/>
    </xf>
    <xf numFmtId="1" fontId="51" fillId="0" borderId="4" xfId="0" applyNumberFormat="1" applyFont="1" applyBorder="1" applyAlignment="1">
      <alignment horizontal="center"/>
    </xf>
    <xf numFmtId="49" fontId="53" fillId="0" borderId="39" xfId="13" applyNumberFormat="1" applyFont="1" applyBorder="1" applyAlignment="1">
      <alignment horizontal="center"/>
    </xf>
    <xf numFmtId="49" fontId="53" fillId="0" borderId="40" xfId="13" applyNumberFormat="1" applyFont="1" applyBorder="1" applyAlignment="1">
      <alignment horizontal="center"/>
    </xf>
    <xf numFmtId="0" fontId="54" fillId="9" borderId="4" xfId="13" applyFont="1" applyFill="1" applyBorder="1" applyAlignment="1">
      <alignment vertical="center"/>
    </xf>
    <xf numFmtId="0" fontId="53" fillId="0" borderId="14" xfId="13" applyFont="1" applyBorder="1" applyAlignment="1">
      <alignment horizontal="center"/>
    </xf>
    <xf numFmtId="171" fontId="53" fillId="0" borderId="4" xfId="13" applyNumberFormat="1" applyFont="1" applyBorder="1" applyAlignment="1">
      <alignment horizontal="center"/>
    </xf>
    <xf numFmtId="0" fontId="55" fillId="0" borderId="4" xfId="0" applyFont="1" applyBorder="1" applyAlignment="1">
      <alignment horizontal="center"/>
    </xf>
    <xf numFmtId="0" fontId="55" fillId="0" borderId="4" xfId="0" applyFont="1" applyBorder="1"/>
    <xf numFmtId="0" fontId="53" fillId="9" borderId="4" xfId="0" applyFont="1" applyFill="1" applyBorder="1" applyAlignment="1">
      <alignment horizontal="center" vertical="center"/>
    </xf>
    <xf numFmtId="172" fontId="3" fillId="9" borderId="4" xfId="1" applyNumberFormat="1" applyFont="1" applyFill="1" applyBorder="1" applyAlignment="1">
      <alignment horizontal="center"/>
    </xf>
    <xf numFmtId="16" fontId="55" fillId="0" borderId="4" xfId="0" applyNumberFormat="1" applyFont="1" applyBorder="1" applyAlignment="1">
      <alignment horizontal="center"/>
    </xf>
    <xf numFmtId="1" fontId="56" fillId="0" borderId="0" xfId="0" applyNumberFormat="1" applyFont="1" applyAlignment="1">
      <alignment horizontal="center"/>
    </xf>
    <xf numFmtId="12" fontId="55" fillId="0" borderId="4" xfId="13" applyNumberFormat="1" applyFont="1" applyBorder="1" applyAlignment="1">
      <alignment horizontal="center"/>
    </xf>
    <xf numFmtId="0" fontId="55" fillId="0" borderId="51" xfId="0" applyFont="1" applyBorder="1" applyAlignment="1">
      <alignment horizontal="center" vertical="center"/>
    </xf>
    <xf numFmtId="0" fontId="55" fillId="0" borderId="50" xfId="0" applyFont="1" applyBorder="1" applyAlignment="1">
      <alignment horizontal="center" vertical="center"/>
    </xf>
    <xf numFmtId="0" fontId="55" fillId="0" borderId="50" xfId="0" applyFont="1" applyBorder="1" applyAlignment="1">
      <alignment horizontal="left" vertical="center"/>
    </xf>
    <xf numFmtId="1" fontId="55" fillId="0" borderId="4" xfId="13" applyNumberFormat="1" applyFont="1" applyBorder="1" applyAlignment="1">
      <alignment horizontal="center"/>
    </xf>
    <xf numFmtId="49" fontId="55" fillId="0" borderId="4" xfId="13" applyNumberFormat="1" applyFont="1" applyBorder="1"/>
    <xf numFmtId="49" fontId="58" fillId="2" borderId="27" xfId="13" applyNumberFormat="1" applyFont="1" applyFill="1" applyBorder="1" applyAlignment="1">
      <alignment horizontal="center" vertical="center"/>
    </xf>
    <xf numFmtId="49" fontId="58" fillId="2" borderId="0" xfId="13" applyNumberFormat="1" applyFont="1" applyFill="1" applyAlignment="1">
      <alignment horizontal="center" vertical="center"/>
    </xf>
    <xf numFmtId="0" fontId="51" fillId="2" borderId="0" xfId="13" applyFont="1" applyFill="1"/>
    <xf numFmtId="1" fontId="51" fillId="2" borderId="0" xfId="13" applyNumberFormat="1" applyFont="1" applyFill="1" applyAlignment="1">
      <alignment horizontal="center"/>
    </xf>
    <xf numFmtId="167" fontId="51" fillId="2" borderId="0" xfId="13" applyNumberFormat="1" applyFont="1" applyFill="1" applyAlignment="1">
      <alignment horizontal="center" wrapText="1"/>
    </xf>
    <xf numFmtId="0" fontId="51" fillId="2" borderId="7" xfId="13" applyFont="1" applyFill="1" applyBorder="1" applyAlignment="1">
      <alignment horizontal="center"/>
    </xf>
    <xf numFmtId="0" fontId="51" fillId="3" borderId="8" xfId="13" applyFont="1" applyFill="1" applyBorder="1" applyAlignment="1">
      <alignment horizontal="center"/>
    </xf>
    <xf numFmtId="0" fontId="51" fillId="3" borderId="9" xfId="13" applyFont="1" applyFill="1" applyBorder="1" applyAlignment="1">
      <alignment horizontal="center"/>
    </xf>
    <xf numFmtId="0" fontId="51" fillId="3" borderId="9" xfId="13" applyFont="1" applyFill="1" applyBorder="1"/>
    <xf numFmtId="0" fontId="3" fillId="3" borderId="9" xfId="13" applyFont="1" applyFill="1" applyBorder="1" applyAlignment="1">
      <alignment horizontal="center"/>
    </xf>
    <xf numFmtId="1" fontId="3" fillId="3" borderId="9" xfId="13" applyNumberFormat="1" applyFont="1" applyFill="1" applyBorder="1" applyAlignment="1">
      <alignment horizontal="center"/>
    </xf>
    <xf numFmtId="167" fontId="51" fillId="3" borderId="9" xfId="13" applyNumberFormat="1" applyFont="1" applyFill="1" applyBorder="1" applyAlignment="1">
      <alignment horizontal="center" wrapText="1"/>
    </xf>
    <xf numFmtId="0" fontId="51" fillId="3" borderId="10" xfId="13" applyFont="1" applyFill="1" applyBorder="1" applyAlignment="1">
      <alignment horizontal="center"/>
    </xf>
    <xf numFmtId="0" fontId="51" fillId="0" borderId="1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" fontId="51" fillId="0" borderId="2" xfId="0" applyNumberFormat="1" applyFont="1" applyBorder="1" applyAlignment="1">
      <alignment horizontal="center"/>
    </xf>
    <xf numFmtId="0" fontId="51" fillId="0" borderId="2" xfId="0" applyFont="1" applyBorder="1" applyAlignment="1">
      <alignment horizontal="center"/>
    </xf>
    <xf numFmtId="0" fontId="53" fillId="0" borderId="39" xfId="0" applyFont="1" applyBorder="1" applyAlignment="1">
      <alignment horizontal="left"/>
    </xf>
    <xf numFmtId="0" fontId="53" fillId="0" borderId="40" xfId="0" applyFont="1" applyBorder="1" applyAlignment="1">
      <alignment horizontal="left"/>
    </xf>
    <xf numFmtId="0" fontId="53" fillId="0" borderId="28" xfId="0" applyFont="1" applyBorder="1" applyAlignment="1">
      <alignment horizontal="left"/>
    </xf>
    <xf numFmtId="0" fontId="3" fillId="11" borderId="55" xfId="17" applyFont="1" applyFill="1" applyBorder="1" applyAlignment="1">
      <alignment horizontal="center"/>
    </xf>
    <xf numFmtId="0" fontId="3" fillId="11" borderId="46" xfId="17" applyFont="1" applyFill="1" applyBorder="1" applyAlignment="1">
      <alignment horizontal="center"/>
    </xf>
    <xf numFmtId="0" fontId="51" fillId="2" borderId="4" xfId="17" applyFont="1" applyFill="1" applyBorder="1" applyAlignment="1">
      <alignment horizontal="left"/>
    </xf>
    <xf numFmtId="0" fontId="51" fillId="2" borderId="52" xfId="17" applyFont="1" applyFill="1" applyBorder="1" applyAlignment="1">
      <alignment horizontal="left"/>
    </xf>
    <xf numFmtId="0" fontId="51" fillId="2" borderId="0" xfId="17" applyFont="1" applyFill="1" applyAlignment="1">
      <alignment horizontal="left"/>
    </xf>
    <xf numFmtId="0" fontId="55" fillId="0" borderId="39" xfId="13" applyFont="1" applyBorder="1" applyAlignment="1">
      <alignment horizontal="left"/>
    </xf>
    <xf numFmtId="0" fontId="55" fillId="0" borderId="40" xfId="13" applyFont="1" applyBorder="1" applyAlignment="1">
      <alignment horizontal="left"/>
    </xf>
    <xf numFmtId="0" fontId="55" fillId="0" borderId="28" xfId="13" applyFont="1" applyBorder="1" applyAlignment="1">
      <alignment horizontal="left"/>
    </xf>
    <xf numFmtId="0" fontId="51" fillId="0" borderId="29" xfId="0" applyFont="1" applyBorder="1" applyAlignment="1">
      <alignment horizontal="left"/>
    </xf>
    <xf numFmtId="0" fontId="51" fillId="0" borderId="30" xfId="0" applyFont="1" applyBorder="1" applyAlignment="1">
      <alignment horizontal="left"/>
    </xf>
    <xf numFmtId="0" fontId="51" fillId="0" borderId="2" xfId="0" applyFont="1" applyBorder="1" applyAlignment="1">
      <alignment horizontal="left"/>
    </xf>
    <xf numFmtId="0" fontId="51" fillId="0" borderId="31" xfId="0" applyFont="1" applyBorder="1" applyAlignment="1">
      <alignment horizontal="left"/>
    </xf>
    <xf numFmtId="0" fontId="55" fillId="0" borderId="39" xfId="0" applyFont="1" applyBorder="1" applyAlignment="1">
      <alignment horizontal="left"/>
    </xf>
    <xf numFmtId="0" fontId="55" fillId="0" borderId="40" xfId="0" applyFont="1" applyBorder="1" applyAlignment="1">
      <alignment horizontal="left"/>
    </xf>
    <xf numFmtId="0" fontId="55" fillId="0" borderId="28" xfId="0" applyFont="1" applyBorder="1" applyAlignment="1">
      <alignment horizontal="left"/>
    </xf>
    <xf numFmtId="0" fontId="51" fillId="0" borderId="39" xfId="0" applyFont="1" applyBorder="1" applyAlignment="1">
      <alignment horizontal="left"/>
    </xf>
    <xf numFmtId="0" fontId="51" fillId="0" borderId="40" xfId="0" applyFont="1" applyBorder="1" applyAlignment="1">
      <alignment horizontal="left"/>
    </xf>
    <xf numFmtId="0" fontId="51" fillId="0" borderId="28" xfId="0" applyFont="1" applyBorder="1" applyAlignment="1">
      <alignment horizontal="left"/>
    </xf>
    <xf numFmtId="0" fontId="3" fillId="0" borderId="39" xfId="13" applyFont="1" applyBorder="1" applyAlignment="1">
      <alignment horizontal="right"/>
    </xf>
    <xf numFmtId="0" fontId="3" fillId="0" borderId="40" xfId="13" applyFont="1" applyBorder="1" applyAlignment="1">
      <alignment horizontal="right"/>
    </xf>
    <xf numFmtId="0" fontId="3" fillId="0" borderId="14" xfId="13" applyFont="1" applyBorder="1" applyAlignment="1">
      <alignment horizontal="right"/>
    </xf>
    <xf numFmtId="0" fontId="51" fillId="0" borderId="4" xfId="13" applyFont="1" applyBorder="1" applyAlignment="1">
      <alignment horizontal="right"/>
    </xf>
    <xf numFmtId="167" fontId="51" fillId="0" borderId="41" xfId="13" applyNumberFormat="1" applyFont="1" applyBorder="1" applyAlignment="1">
      <alignment horizontal="center"/>
    </xf>
    <xf numFmtId="167" fontId="51" fillId="0" borderId="28" xfId="13" applyNumberFormat="1" applyFont="1" applyBorder="1" applyAlignment="1">
      <alignment horizontal="center"/>
    </xf>
    <xf numFmtId="167" fontId="51" fillId="0" borderId="41" xfId="13" applyNumberFormat="1" applyFont="1" applyBorder="1" applyAlignment="1">
      <alignment horizontal="right" wrapText="1"/>
    </xf>
    <xf numFmtId="167" fontId="51" fillId="0" borderId="14" xfId="13" applyNumberFormat="1" applyFont="1" applyBorder="1" applyAlignment="1">
      <alignment horizontal="right" wrapText="1"/>
    </xf>
    <xf numFmtId="167" fontId="51" fillId="0" borderId="41" xfId="0" applyNumberFormat="1" applyFont="1" applyBorder="1" applyAlignment="1">
      <alignment horizontal="center" wrapText="1"/>
    </xf>
    <xf numFmtId="167" fontId="51" fillId="0" borderId="28" xfId="0" applyNumberFormat="1" applyFont="1" applyBorder="1" applyAlignment="1">
      <alignment horizontal="center" wrapText="1"/>
    </xf>
    <xf numFmtId="0" fontId="3" fillId="0" borderId="29" xfId="13" applyFont="1" applyBorder="1" applyAlignment="1">
      <alignment horizontal="right"/>
    </xf>
    <xf numFmtId="0" fontId="3" fillId="0" borderId="30" xfId="13" applyFont="1" applyBorder="1" applyAlignment="1">
      <alignment horizontal="right"/>
    </xf>
    <xf numFmtId="0" fontId="3" fillId="0" borderId="2" xfId="13" applyFont="1" applyBorder="1" applyAlignment="1">
      <alignment horizontal="right"/>
    </xf>
    <xf numFmtId="0" fontId="51" fillId="0" borderId="2" xfId="13" applyFont="1" applyBorder="1" applyAlignment="1">
      <alignment horizontal="right"/>
    </xf>
    <xf numFmtId="0" fontId="3" fillId="3" borderId="8" xfId="13" applyFont="1" applyFill="1" applyBorder="1" applyAlignment="1">
      <alignment horizontal="left"/>
    </xf>
    <xf numFmtId="0" fontId="3" fillId="3" borderId="9" xfId="13" applyFont="1" applyFill="1" applyBorder="1" applyAlignment="1">
      <alignment horizontal="left"/>
    </xf>
    <xf numFmtId="0" fontId="3" fillId="3" borderId="10" xfId="13" applyFont="1" applyFill="1" applyBorder="1" applyAlignment="1">
      <alignment horizontal="left"/>
    </xf>
    <xf numFmtId="0" fontId="3" fillId="0" borderId="44" xfId="13" applyFont="1" applyBorder="1" applyAlignment="1">
      <alignment horizontal="right"/>
    </xf>
    <xf numFmtId="0" fontId="3" fillId="0" borderId="24" xfId="13" applyFont="1" applyBorder="1" applyAlignment="1">
      <alignment horizontal="right"/>
    </xf>
    <xf numFmtId="0" fontId="3" fillId="0" borderId="13" xfId="13" applyFont="1" applyBorder="1" applyAlignment="1">
      <alignment horizontal="right"/>
    </xf>
    <xf numFmtId="167" fontId="51" fillId="0" borderId="6" xfId="13" applyNumberFormat="1" applyFont="1" applyBorder="1" applyAlignment="1">
      <alignment horizontal="right"/>
    </xf>
    <xf numFmtId="0" fontId="51" fillId="2" borderId="11" xfId="13" applyFont="1" applyFill="1" applyBorder="1" applyAlignment="1">
      <alignment horizontal="center"/>
    </xf>
    <xf numFmtId="0" fontId="51" fillId="2" borderId="43" xfId="13" applyFont="1" applyFill="1" applyBorder="1" applyAlignment="1">
      <alignment horizontal="center"/>
    </xf>
    <xf numFmtId="0" fontId="50" fillId="2" borderId="0" xfId="22" applyFont="1" applyFill="1" applyAlignment="1">
      <alignment horizontal="right"/>
    </xf>
    <xf numFmtId="0" fontId="52" fillId="2" borderId="26" xfId="22" applyFont="1" applyFill="1" applyBorder="1" applyAlignment="1">
      <alignment horizontal="center"/>
    </xf>
    <xf numFmtId="0" fontId="50" fillId="2" borderId="0" xfId="22" applyFont="1" applyFill="1"/>
    <xf numFmtId="0" fontId="3" fillId="3" borderId="53" xfId="13" applyFont="1" applyFill="1" applyBorder="1" applyAlignment="1">
      <alignment horizontal="center" vertical="center"/>
    </xf>
    <xf numFmtId="0" fontId="3" fillId="3" borderId="29" xfId="13" applyFont="1" applyFill="1" applyBorder="1" applyAlignment="1">
      <alignment horizontal="center" vertical="center"/>
    </xf>
    <xf numFmtId="0" fontId="3" fillId="3" borderId="53" xfId="13" applyFont="1" applyFill="1" applyBorder="1" applyAlignment="1">
      <alignment horizontal="center" vertical="center" wrapText="1"/>
    </xf>
    <xf numFmtId="0" fontId="3" fillId="3" borderId="29" xfId="13" applyFont="1" applyFill="1" applyBorder="1" applyAlignment="1">
      <alignment horizontal="center" vertical="center" wrapText="1"/>
    </xf>
    <xf numFmtId="0" fontId="3" fillId="3" borderId="3" xfId="13" applyFont="1" applyFill="1" applyBorder="1" applyAlignment="1">
      <alignment horizontal="center" vertical="center"/>
    </xf>
    <xf numFmtId="0" fontId="3" fillId="3" borderId="2" xfId="13" applyFont="1" applyFill="1" applyBorder="1" applyAlignment="1">
      <alignment horizontal="center" vertical="center"/>
    </xf>
    <xf numFmtId="14" fontId="51" fillId="2" borderId="12" xfId="17" applyNumberFormat="1" applyFont="1" applyFill="1" applyBorder="1" applyAlignment="1">
      <alignment horizontal="center" vertical="center" wrapText="1"/>
    </xf>
    <xf numFmtId="14" fontId="51" fillId="2" borderId="37" xfId="17" applyNumberFormat="1" applyFont="1" applyFill="1" applyBorder="1" applyAlignment="1">
      <alignment horizontal="center" vertical="center" wrapText="1"/>
    </xf>
    <xf numFmtId="14" fontId="51" fillId="2" borderId="15" xfId="17" applyNumberFormat="1" applyFont="1" applyFill="1" applyBorder="1" applyAlignment="1">
      <alignment horizontal="center" vertical="center" wrapText="1"/>
    </xf>
    <xf numFmtId="0" fontId="51" fillId="2" borderId="42" xfId="17" applyFont="1" applyFill="1" applyBorder="1" applyAlignment="1">
      <alignment horizontal="left"/>
    </xf>
    <xf numFmtId="0" fontId="51" fillId="2" borderId="32" xfId="17" applyFont="1" applyFill="1" applyBorder="1" applyAlignment="1">
      <alignment horizontal="left"/>
    </xf>
    <xf numFmtId="0" fontId="51" fillId="2" borderId="33" xfId="17" applyFont="1" applyFill="1" applyBorder="1" applyAlignment="1">
      <alignment horizontal="left"/>
    </xf>
    <xf numFmtId="0" fontId="51" fillId="2" borderId="41" xfId="17" applyFont="1" applyFill="1" applyBorder="1" applyAlignment="1">
      <alignment horizontal="left"/>
    </xf>
    <xf numFmtId="0" fontId="51" fillId="2" borderId="40" xfId="17" applyFont="1" applyFill="1" applyBorder="1" applyAlignment="1">
      <alignment horizontal="left"/>
    </xf>
    <xf numFmtId="0" fontId="51" fillId="2" borderId="14" xfId="17" applyFont="1" applyFill="1" applyBorder="1" applyAlignment="1">
      <alignment horizontal="left"/>
    </xf>
    <xf numFmtId="0" fontId="51" fillId="2" borderId="45" xfId="17" applyFont="1" applyFill="1" applyBorder="1" applyAlignment="1">
      <alignment horizontal="center"/>
    </xf>
    <xf numFmtId="0" fontId="51" fillId="2" borderId="46" xfId="17" applyFont="1" applyFill="1" applyBorder="1" applyAlignment="1">
      <alignment horizontal="center"/>
    </xf>
    <xf numFmtId="0" fontId="51" fillId="2" borderId="27" xfId="17" applyFont="1" applyFill="1" applyBorder="1" applyAlignment="1">
      <alignment horizontal="center"/>
    </xf>
    <xf numFmtId="0" fontId="51" fillId="2" borderId="0" xfId="17" applyFont="1" applyFill="1" applyAlignment="1">
      <alignment horizontal="center"/>
    </xf>
    <xf numFmtId="0" fontId="51" fillId="2" borderId="44" xfId="17" applyFont="1" applyFill="1" applyBorder="1" applyAlignment="1">
      <alignment horizontal="center"/>
    </xf>
    <xf numFmtId="0" fontId="51" fillId="2" borderId="24" xfId="17" applyFont="1" applyFill="1" applyBorder="1" applyAlignment="1">
      <alignment horizontal="center"/>
    </xf>
    <xf numFmtId="0" fontId="3" fillId="2" borderId="3" xfId="17" applyFont="1" applyFill="1" applyBorder="1" applyAlignment="1">
      <alignment horizontal="center"/>
    </xf>
    <xf numFmtId="0" fontId="3" fillId="2" borderId="38" xfId="17" applyFont="1" applyFill="1" applyBorder="1" applyAlignment="1">
      <alignment horizontal="center"/>
    </xf>
    <xf numFmtId="0" fontId="3" fillId="2" borderId="34" xfId="17" applyFont="1" applyFill="1" applyBorder="1" applyAlignment="1">
      <alignment horizontal="center"/>
    </xf>
    <xf numFmtId="0" fontId="3" fillId="2" borderId="30" xfId="17" applyFont="1" applyFill="1" applyBorder="1" applyAlignment="1">
      <alignment horizontal="center"/>
    </xf>
    <xf numFmtId="0" fontId="3" fillId="5" borderId="9" xfId="17" applyFont="1" applyFill="1" applyBorder="1" applyAlignment="1">
      <alignment horizontal="center" vertical="center" wrapText="1"/>
    </xf>
    <xf numFmtId="0" fontId="3" fillId="5" borderId="10" xfId="17" applyFont="1" applyFill="1" applyBorder="1" applyAlignment="1">
      <alignment horizontal="center" vertical="center" wrapText="1"/>
    </xf>
    <xf numFmtId="0" fontId="3" fillId="2" borderId="17" xfId="17" applyFont="1" applyFill="1" applyBorder="1" applyAlignment="1">
      <alignment horizontal="right" vertical="top" wrapText="1"/>
    </xf>
    <xf numFmtId="0" fontId="3" fillId="2" borderId="35" xfId="17" applyFont="1" applyFill="1" applyBorder="1" applyAlignment="1">
      <alignment horizontal="right" vertical="top" wrapText="1"/>
    </xf>
    <xf numFmtId="0" fontId="3" fillId="2" borderId="36" xfId="17" applyFont="1" applyFill="1" applyBorder="1" applyAlignment="1">
      <alignment horizontal="right" vertical="top" wrapText="1"/>
    </xf>
    <xf numFmtId="0" fontId="10" fillId="0" borderId="26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16" fillId="0" borderId="45" xfId="0" applyFont="1" applyBorder="1" applyAlignment="1">
      <alignment horizontal="right"/>
    </xf>
    <xf numFmtId="0" fontId="16" fillId="0" borderId="46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6" fillId="0" borderId="4" xfId="0" applyFont="1" applyBorder="1" applyAlignment="1">
      <alignment horizontal="right" vertical="center"/>
    </xf>
    <xf numFmtId="0" fontId="24" fillId="0" borderId="4" xfId="0" applyFont="1" applyBorder="1" applyAlignment="1">
      <alignment horizontal="right" vertical="center"/>
    </xf>
    <xf numFmtId="0" fontId="25" fillId="0" borderId="27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7" xfId="0" applyFont="1" applyBorder="1" applyAlignment="1">
      <alignment horizontal="right"/>
    </xf>
    <xf numFmtId="0" fontId="23" fillId="0" borderId="26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1" fillId="4" borderId="8" xfId="0" applyFont="1" applyFill="1" applyBorder="1" applyAlignment="1">
      <alignment horizontal="right"/>
    </xf>
    <xf numFmtId="0" fontId="21" fillId="4" borderId="9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33" fillId="0" borderId="0" xfId="0" applyFont="1" applyAlignment="1">
      <alignment horizontal="right"/>
    </xf>
    <xf numFmtId="0" fontId="7" fillId="0" borderId="26" xfId="0" applyFont="1" applyBorder="1" applyAlignment="1">
      <alignment horizontal="right" vertical="center"/>
    </xf>
    <xf numFmtId="0" fontId="7" fillId="0" borderId="47" xfId="0" applyFont="1" applyBorder="1" applyAlignment="1">
      <alignment horizontal="right" vertical="center"/>
    </xf>
    <xf numFmtId="0" fontId="7" fillId="8" borderId="8" xfId="0" applyFont="1" applyFill="1" applyBorder="1" applyAlignment="1">
      <alignment horizontal="right" vertical="center"/>
    </xf>
    <xf numFmtId="0" fontId="7" fillId="8" borderId="9" xfId="0" applyFont="1" applyFill="1" applyBorder="1" applyAlignment="1">
      <alignment horizontal="right" vertical="center"/>
    </xf>
    <xf numFmtId="0" fontId="7" fillId="8" borderId="10" xfId="0" applyFont="1" applyFill="1" applyBorder="1" applyAlignment="1">
      <alignment horizontal="right" vertical="center"/>
    </xf>
    <xf numFmtId="4" fontId="30" fillId="0" borderId="0" xfId="2" applyNumberFormat="1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2" fillId="0" borderId="8" xfId="0" applyFont="1" applyBorder="1" applyAlignment="1">
      <alignment horizontal="right" vertical="center"/>
    </xf>
    <xf numFmtId="0" fontId="32" fillId="0" borderId="9" xfId="0" applyFont="1" applyBorder="1" applyAlignment="1">
      <alignment horizontal="right" vertical="center"/>
    </xf>
    <xf numFmtId="0" fontId="32" fillId="0" borderId="10" xfId="0" applyFont="1" applyBorder="1" applyAlignment="1">
      <alignment horizontal="right" vertical="center"/>
    </xf>
    <xf numFmtId="0" fontId="40" fillId="0" borderId="46" xfId="0" applyFont="1" applyBorder="1" applyAlignment="1">
      <alignment horizontal="right"/>
    </xf>
    <xf numFmtId="0" fontId="40" fillId="0" borderId="0" xfId="0" applyFont="1" applyAlignment="1">
      <alignment horizontal="right"/>
    </xf>
    <xf numFmtId="0" fontId="18" fillId="0" borderId="26" xfId="0" applyFont="1" applyBorder="1" applyAlignment="1">
      <alignment horizontal="right"/>
    </xf>
    <xf numFmtId="0" fontId="36" fillId="4" borderId="8" xfId="0" applyFont="1" applyFill="1" applyBorder="1" applyAlignment="1">
      <alignment horizontal="right"/>
    </xf>
    <xf numFmtId="0" fontId="36" fillId="4" borderId="9" xfId="0" applyFont="1" applyFill="1" applyBorder="1" applyAlignment="1">
      <alignment horizontal="right"/>
    </xf>
    <xf numFmtId="0" fontId="49" fillId="0" borderId="0" xfId="0" applyFont="1" applyAlignment="1">
      <alignment horizontal="right"/>
    </xf>
    <xf numFmtId="0" fontId="40" fillId="0" borderId="26" xfId="0" applyFont="1" applyBorder="1" applyAlignment="1">
      <alignment horizontal="right"/>
    </xf>
    <xf numFmtId="0" fontId="17" fillId="4" borderId="8" xfId="0" applyFont="1" applyFill="1" applyBorder="1" applyAlignment="1">
      <alignment horizontal="center"/>
    </xf>
    <xf numFmtId="0" fontId="17" fillId="4" borderId="9" xfId="0" applyFont="1" applyFill="1" applyBorder="1" applyAlignment="1">
      <alignment horizontal="center"/>
    </xf>
    <xf numFmtId="0" fontId="20" fillId="0" borderId="0" xfId="0" applyFont="1" applyAlignment="1">
      <alignment horizontal="right"/>
    </xf>
    <xf numFmtId="0" fontId="20" fillId="0" borderId="7" xfId="0" applyFont="1" applyBorder="1" applyAlignment="1">
      <alignment horizontal="right"/>
    </xf>
    <xf numFmtId="0" fontId="35" fillId="0" borderId="8" xfId="0" applyFont="1" applyBorder="1" applyAlignment="1">
      <alignment horizontal="center"/>
    </xf>
    <xf numFmtId="0" fontId="35" fillId="0" borderId="9" xfId="0" applyFont="1" applyBorder="1" applyAlignment="1">
      <alignment horizontal="center"/>
    </xf>
    <xf numFmtId="0" fontId="35" fillId="0" borderId="10" xfId="0" applyFont="1" applyBorder="1" applyAlignment="1">
      <alignment horizontal="center"/>
    </xf>
    <xf numFmtId="0" fontId="35" fillId="0" borderId="48" xfId="0" applyFont="1" applyBorder="1" applyAlignment="1">
      <alignment horizontal="center" vertical="center" wrapText="1"/>
    </xf>
    <xf numFmtId="0" fontId="36" fillId="0" borderId="4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right" vertical="center" wrapText="1"/>
    </xf>
  </cellXfs>
  <cellStyles count="23">
    <cellStyle name="Millares" xfId="1" builtinId="3"/>
    <cellStyle name="Millares [0]" xfId="2" builtinId="6"/>
    <cellStyle name="Millares [0] 2" xfId="3" xr:uid="{0F71EF73-166B-4E3E-9EDC-5F9CD41FE611}"/>
    <cellStyle name="Millares [0] 2 2" xfId="4" xr:uid="{CD1B7AF1-6096-4A3C-ABAC-9D0BCE44DE2F}"/>
    <cellStyle name="Millares [0] 3" xfId="5" xr:uid="{0F3297BF-ECA3-496A-89C1-EEB12DF10A9B}"/>
    <cellStyle name="Millares [0] 4" xfId="6" xr:uid="{547E83E5-B3F6-481C-99E1-0CB838F25FDC}"/>
    <cellStyle name="Millares 2" xfId="7" xr:uid="{B7054858-BDAD-4C23-AA20-92129991DE7F}"/>
    <cellStyle name="Millares 2 2" xfId="8" xr:uid="{A1B48498-E0CC-49E6-802D-B42372C812DF}"/>
    <cellStyle name="Millares 3" xfId="9" xr:uid="{A783BAA4-8A32-46FD-95B5-CF81BEA47369}"/>
    <cellStyle name="Millares 3 2" xfId="10" xr:uid="{2FDA1028-664C-4977-927D-BCAB35BBA967}"/>
    <cellStyle name="Millares 4" xfId="11" xr:uid="{836CD75E-D6B7-4A63-82E8-462F154E4E5D}"/>
    <cellStyle name="Millares 5" xfId="12" xr:uid="{0627B648-9ABB-4B73-B488-CE6B21C9168F}"/>
    <cellStyle name="Normal" xfId="0" builtinId="0"/>
    <cellStyle name="Normal 2" xfId="13" xr:uid="{3CD20234-D21E-4A39-80AF-F343B48C4A7A}"/>
    <cellStyle name="Normal 3" xfId="14" xr:uid="{D6918D5B-5B59-4975-B648-2B2B930FE193}"/>
    <cellStyle name="Normal 4" xfId="15" xr:uid="{990A47B3-B11B-414C-BAD8-E3A116C2D7E3}"/>
    <cellStyle name="Normal 5" xfId="16" xr:uid="{6E19DEFC-B080-4912-87A1-594F23796F8D}"/>
    <cellStyle name="Normal_CRITERIOS DE EVALUACION PT DE GB" xfId="17" xr:uid="{49C2705C-A33E-409D-BEAF-72ABC97AB29A}"/>
    <cellStyle name="Normal_CRITERIOS DE EVALUACION PT DE GB 2" xfId="22" xr:uid="{529B35E6-1FF0-439F-8A63-EAF1252D40DE}"/>
    <cellStyle name="Porcentaje" xfId="18" builtinId="5"/>
    <cellStyle name="Porcentaje 2" xfId="19" xr:uid="{91FEF7F2-1661-4778-815E-EA95F9945DFE}"/>
    <cellStyle name="Porcentaje 2 2" xfId="20" xr:uid="{20E0F2C5-A11C-44AA-B978-E42449966FE6}"/>
    <cellStyle name="Porcentaje 3" xfId="21" xr:uid="{33350DE6-8F99-47E2-A050-AF6A60DDA67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arodriguez/Desktop/recetas%20icg%20proyecto/Prueba%20Alejandro.xls" TargetMode="External"/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COSTOS%202013/LISTA%20COSTOS%20ALE.xls" TargetMode="External"/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ers/dbrenes/Desktop/ACTUALIZACIONES/Rosquete%20Vainilla%20Pastelero%20Real%20550.xls" TargetMode="External"/><Relationship Id="rId1" Type="http://schemas.openxmlformats.org/officeDocument/2006/relationships/externalLinkPath" Target="/Users/dbrenes/Desktop/ACTUALIZACIONES/Rosquete%20Vainilla%20Pastelero%20Real%2055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  <cell r="M4" t="str">
            <v>Gramos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K12">
            <v>1000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  <cell r="M26" t="str">
            <v>Gramos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  <cell r="M31" t="str">
            <v>Gramos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  <cell r="M33" t="str">
            <v>Gramos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  <cell r="M36" t="str">
            <v>Gramos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  <cell r="M66" t="str">
            <v>Mililitros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  <cell r="M69" t="str">
            <v>Gramos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  <cell r="M90" t="str">
            <v>Gramos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  <cell r="M93" t="str">
            <v>Gramos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  <cell r="M94" t="str">
            <v>Gramos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  <cell r="M95" t="str">
            <v>Gramos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  <cell r="M101" t="str">
            <v>Gramos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  <cell r="M108" t="str">
            <v>Gramos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  <cell r="M115" t="str">
            <v>Gramos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132334.38</v>
          </cell>
          <cell r="J116">
            <v>854318</v>
          </cell>
          <cell r="K116">
            <v>25000</v>
          </cell>
          <cell r="L116">
            <v>5.2933751999999998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19301.21</v>
          </cell>
          <cell r="J117">
            <v>538675.61450000003</v>
          </cell>
          <cell r="K117">
            <v>2500</v>
          </cell>
          <cell r="L117">
            <v>7.7204839999999999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4766.87</v>
          </cell>
          <cell r="J118">
            <v>151710.125</v>
          </cell>
          <cell r="K118">
            <v>2500</v>
          </cell>
          <cell r="L118">
            <v>1.9067479999999999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1783.73</v>
          </cell>
          <cell r="J120">
            <v>33116.695</v>
          </cell>
          <cell r="K120">
            <v>2500</v>
          </cell>
          <cell r="L120">
            <v>0.71349200000000002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  <cell r="M142" t="str">
            <v>Und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  <cell r="M143" t="str">
            <v>Und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  <cell r="M144" t="str">
            <v>Und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  <cell r="M145" t="str">
            <v>Und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  <cell r="M146" t="str">
            <v>Und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  <cell r="M157" t="str">
            <v>Und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  <cell r="M159" t="str">
            <v>Und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K164">
            <v>1</v>
          </cell>
          <cell r="L164" t="e">
            <v>#N/A</v>
          </cell>
          <cell r="M164" t="str">
            <v>Gramos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  <cell r="M168" t="str">
            <v>und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  <cell r="M171" t="str">
            <v>Und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  <cell r="M173" t="str">
            <v>Cm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  <cell r="M175" t="str">
            <v>Gramos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  <cell r="M181" t="str">
            <v>Gramos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K184">
            <v>1000</v>
          </cell>
          <cell r="L184" t="e">
            <v>#DIV/0!</v>
          </cell>
          <cell r="M184" t="str">
            <v>Und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  <cell r="M189" t="str">
            <v>Mililitros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  <cell r="M193" t="str">
            <v>Gramos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  <cell r="M196" t="str">
            <v>Mililitros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  <cell r="M197" t="str">
            <v>Mililitros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  <cell r="M213" t="str">
            <v>Gramos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  <cell r="M214" t="str">
            <v>Gramos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  <cell r="M216" t="str">
            <v>Gramos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  <cell r="M219" t="str">
            <v>Gramos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K220">
            <v>4500</v>
          </cell>
          <cell r="L220" t="e">
            <v>#DIV/0!</v>
          </cell>
          <cell r="M220" t="str">
            <v>Gramos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  <cell r="M221" t="str">
            <v>Gramos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  <cell r="M226" t="str">
            <v>Gramos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  <cell r="M233" t="str">
            <v>Gramos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  <cell r="M235" t="str">
            <v>Gramos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K241">
            <v>150</v>
          </cell>
          <cell r="L241" t="e">
            <v>#N/A</v>
          </cell>
          <cell r="M241" t="str">
            <v>Und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  <cell r="M243" t="str">
            <v>Gramos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  <cell r="M257" t="str">
            <v>Gramos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  <cell r="M258" t="str">
            <v>Gramos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K261">
            <v>3785</v>
          </cell>
          <cell r="L261" t="e">
            <v>#DIV/0!</v>
          </cell>
          <cell r="M261" t="str">
            <v>Und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  <cell r="M262" t="str">
            <v>Gramos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K269">
            <v>100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  <cell r="M273" t="str">
            <v>Und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  <cell r="M275" t="str">
            <v>Und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  <cell r="M278" t="str">
            <v>Und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  <cell r="M279" t="str">
            <v>Und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K287">
            <v>1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  <cell r="M288" t="str">
            <v>Und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  <cell r="M293" t="str">
            <v>Und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  <cell r="M294" t="str">
            <v>Und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  <cell r="M295" t="str">
            <v>Und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  <cell r="M298" t="str">
            <v>Und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  <cell r="M299" t="str">
            <v>Und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  <cell r="M300" t="str">
            <v>Gramos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  <cell r="M305" t="str">
            <v>Und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  <cell r="M306" t="str">
            <v>Und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  <cell r="M308" t="str">
            <v>Und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  <cell r="M309" t="str">
            <v>Und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  <cell r="M310" t="str">
            <v>Gramos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  <cell r="M315" t="str">
            <v>Und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  <cell r="M316" t="str">
            <v>Und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  <cell r="M317" t="str">
            <v>Und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  <cell r="M318" t="str">
            <v>Und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  <cell r="M321" t="str">
            <v>Und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  <cell r="M324" t="str">
            <v>Und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  <cell r="M325" t="str">
            <v>Und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  <cell r="M326" t="str">
            <v>Und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  <cell r="M327" t="str">
            <v>Und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  <cell r="M329" t="str">
            <v>Und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  <cell r="M332" t="str">
            <v>Und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  <cell r="M338" t="str">
            <v>Mililitros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  <cell r="M344" t="str">
            <v>Gramos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  <cell r="M351" t="str">
            <v>Gramos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  <cell r="M352" t="str">
            <v>Mililitros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  <cell r="M354" t="str">
            <v>Gramos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  <cell r="M356" t="str">
            <v>Gramos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>
            <v>81.710833333333298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  <cell r="M358" t="str">
            <v>Mililitros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  <cell r="M359" t="str">
            <v>Mililitros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  <cell r="M360" t="str">
            <v>Mililitros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  <cell r="M362" t="str">
            <v>Gramos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K364">
            <v>1500</v>
          </cell>
          <cell r="L364" t="e">
            <v>#DIV/0!</v>
          </cell>
          <cell r="M364" t="str">
            <v>Gramos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K366">
            <v>250</v>
          </cell>
          <cell r="L366" t="e">
            <v>#DIV/0!</v>
          </cell>
          <cell r="M366" t="str">
            <v>Mililitros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  <cell r="M367"/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  <cell r="M368" t="str">
            <v>Gramos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  <cell r="M369" t="str">
            <v>und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  <cell r="M371" t="str">
            <v>Gramos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  <cell r="M373" t="str">
            <v>Gramos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K375">
            <v>900</v>
          </cell>
          <cell r="L375" t="e">
            <v>#N/A</v>
          </cell>
          <cell r="M375" t="str">
            <v>Gramos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  <cell r="M378" t="str">
            <v>Gramos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K380">
            <v>40</v>
          </cell>
          <cell r="L380" t="e">
            <v>#N/A</v>
          </cell>
          <cell r="M380" t="str">
            <v>Gramos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  <cell r="M382" t="str">
            <v>Gramos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  <cell r="M383" t="str">
            <v>und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  <cell r="M384"/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  <cell r="M385" t="str">
            <v>Gramos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  <cell r="M387" t="str">
            <v>Gramos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  <cell r="M389" t="str">
            <v>Gramos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  <cell r="M390" t="str">
            <v>Gramos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  <cell r="M392" t="str">
            <v>Gramos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  <cell r="M394" t="str">
            <v>Gramos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  <cell r="M395" t="str">
            <v>Gramos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K401">
            <v>5000</v>
          </cell>
          <cell r="L401" t="e">
            <v>#N/A</v>
          </cell>
          <cell r="M401" t="str">
            <v>Gramos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  <cell r="M402"/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  <cell r="M403" t="str">
            <v>Mililitros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  <cell r="M404" t="str">
            <v>Mililitros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  <cell r="M406" t="str">
            <v>Mililitros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K407">
            <v>1000</v>
          </cell>
          <cell r="L407" t="e">
            <v>#DIV/0!</v>
          </cell>
          <cell r="M407" t="str">
            <v>Gramos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  <cell r="M409" t="str">
            <v>Gramos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  <cell r="M410" t="str">
            <v>Gramos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K411">
            <v>1000</v>
          </cell>
          <cell r="L411" t="e">
            <v>#N/A</v>
          </cell>
          <cell r="M411"/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K412">
            <v>1000</v>
          </cell>
          <cell r="L412" t="e">
            <v>#N/A</v>
          </cell>
          <cell r="M412" t="str">
            <v>Gramos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  <cell r="M413" t="str">
            <v>Gramos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K417">
            <v>210</v>
          </cell>
          <cell r="L417" t="e">
            <v>#N/A</v>
          </cell>
          <cell r="M417" t="str">
            <v>Gramos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  <cell r="M418" t="str">
            <v>Mililitros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  <cell r="M419" t="str">
            <v>Gramos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  <cell r="M420" t="str">
            <v>Gramos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K423">
            <v>2500</v>
          </cell>
          <cell r="L423" t="e">
            <v>#N/A</v>
          </cell>
          <cell r="M423" t="str">
            <v>Gramos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  <cell r="M424" t="str">
            <v>Gramos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K428">
            <v>1000</v>
          </cell>
          <cell r="L428" t="e">
            <v>#DIV/0!</v>
          </cell>
          <cell r="M428" t="str">
            <v>Gramos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  <cell r="M433" t="str">
            <v>Mililitros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  <cell r="M434" t="str">
            <v>Gramos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K435">
            <v>3785</v>
          </cell>
          <cell r="L435" t="e">
            <v>#DIV/0!</v>
          </cell>
          <cell r="M435" t="str">
            <v>Gramos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  <cell r="M436" t="str">
            <v>Unidad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  <cell r="M437" t="str">
            <v>Unidad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  <cell r="M439" t="str">
            <v>Gramos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  <cell r="M440" t="str">
            <v>Gramos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  <cell r="M441" t="str">
            <v>Gramos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  <cell r="M442" t="str">
            <v>Gramos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  <cell r="M444" t="str">
            <v>Gramos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  <cell r="M446" t="str">
            <v>Mililitros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K448">
            <v>1000</v>
          </cell>
          <cell r="L448" t="e">
            <v>#DIV/0!</v>
          </cell>
          <cell r="M448" t="str">
            <v>Mililitros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10100249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  <cell r="M449"/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  <cell r="M450"/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  <cell r="M451" t="str">
            <v>Unidad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  <cell r="M453" t="str">
            <v>Gramos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  <cell r="M454" t="str">
            <v>Gramos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  <cell r="M456" t="str">
            <v>Gramos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  <cell r="M459" t="str">
            <v>Mililitros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K460">
            <v>3785</v>
          </cell>
          <cell r="L460" t="e">
            <v>#DIV/0!</v>
          </cell>
          <cell r="M460" t="str">
            <v>Mililitros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K461"/>
          <cell r="L461" t="e">
            <v>#DIV/0!</v>
          </cell>
          <cell r="M461"/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K462">
            <v>1000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K463">
            <v>1</v>
          </cell>
          <cell r="L463" t="e">
            <v>#N/A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K464">
            <v>1</v>
          </cell>
          <cell r="L464" t="e">
            <v>#DIV/0!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K465">
            <v>1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K466">
            <v>1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K467">
            <v>1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  <cell r="M468" t="str">
            <v>Gramos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  <cell r="M469" t="str">
            <v>Mililitros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  <cell r="M471" t="str">
            <v>Mililitros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  <cell r="M473" t="str">
            <v>Gramos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  <cell r="M474" t="str">
            <v>Gramos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  <cell r="M479" t="str">
            <v>Gramos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  <cell r="M482" t="str">
            <v>Gramos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  <cell r="M485" t="str">
            <v>Gramos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  <cell r="M487" t="str">
            <v>Gramos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  <cell r="M488" t="str">
            <v>Gramos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  <cell r="M491" t="str">
            <v>Gramos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  <cell r="M494" t="str">
            <v>Gramos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K511">
            <v>130</v>
          </cell>
          <cell r="L511" t="e">
            <v>#DIV/0!</v>
          </cell>
          <cell r="M511" t="str">
            <v>Mililitros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  <cell r="M514" t="str">
            <v>Mililitros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  <cell r="M516" t="str">
            <v>Mililitros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  <cell r="M517" t="str">
            <v>Mililitros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K518">
            <v>1000</v>
          </cell>
          <cell r="L518" t="e">
            <v>#N/A</v>
          </cell>
          <cell r="M518" t="str">
            <v>Gramos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  <cell r="M520" t="str">
            <v>Gramos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  <cell r="M522" t="str">
            <v>Und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  <cell r="M525" t="str">
            <v>Und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  <cell r="M532" t="str">
            <v>Gramos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  <cell r="M533" t="str">
            <v>Gramos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  <cell r="M535" t="str">
            <v>Gramos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  <cell r="M536" t="str">
            <v>Gramos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  <cell r="M537" t="str">
            <v>Gramos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  <cell r="M539" t="str">
            <v>Gramos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  <cell r="M540" t="str">
            <v>Gramos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  <cell r="M542" t="str">
            <v>Gramos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  <cell r="M547" t="str">
            <v>Gramos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  <cell r="M548" t="str">
            <v>Und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  <cell r="M556" t="str">
            <v>Gramos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  <cell r="M557" t="str">
            <v>Gramos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  <cell r="M558" t="str">
            <v>Gramos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K560">
            <v>1</v>
          </cell>
          <cell r="L560" t="e">
            <v>#DIV/0!</v>
          </cell>
          <cell r="M560" t="str">
            <v>Gramos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  <cell r="M561"/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  <cell r="M562" t="str">
            <v>Und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  <cell r="M563" t="str">
            <v>Und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  <cell r="M565" t="str">
            <v>Und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  <cell r="M567" t="str">
            <v>Gramos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  <cell r="M568" t="str">
            <v>Gramos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  <cell r="M570" t="str">
            <v>Gramos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  <cell r="M576" t="str">
            <v>Gramos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  <cell r="M577" t="str">
            <v>Gramos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  <cell r="M578" t="str">
            <v>Gramos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  <cell r="M584" t="str">
            <v>Gramos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  <cell r="M585" t="str">
            <v>Gramos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  <cell r="M586" t="str">
            <v>Gramos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  <cell r="M587" t="str">
            <v>Gramos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K594">
            <v>11000</v>
          </cell>
          <cell r="L594" t="e">
            <v>#N/A</v>
          </cell>
          <cell r="M594" t="str">
            <v>Gramos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K595">
            <v>3785</v>
          </cell>
          <cell r="L595" t="e">
            <v>#N/A</v>
          </cell>
          <cell r="M595" t="str">
            <v>Mililitros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  <cell r="M596" t="str">
            <v>Gramos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  <cell r="M597" t="str">
            <v>Gramos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K598">
            <v>3030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K601">
            <v>500</v>
          </cell>
          <cell r="L601" t="e">
            <v>#DIV/0!</v>
          </cell>
          <cell r="M601" t="str">
            <v>Gramos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K602">
            <v>5000</v>
          </cell>
          <cell r="L602" t="e">
            <v>#DIV/0!</v>
          </cell>
          <cell r="M602" t="str">
            <v>Gramos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K603">
            <v>1000</v>
          </cell>
          <cell r="L603" t="e">
            <v>#DIV/0!</v>
          </cell>
          <cell r="M603" t="str">
            <v>Gramos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  <cell r="M604" t="str">
            <v>Gramos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K605">
            <v>13600</v>
          </cell>
          <cell r="L605" t="e">
            <v>#N/A</v>
          </cell>
          <cell r="M605" t="str">
            <v>Gramos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K606">
            <v>454</v>
          </cell>
          <cell r="L606" t="e">
            <v>#N/A</v>
          </cell>
          <cell r="M606" t="str">
            <v>Gramos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K607">
            <v>1000</v>
          </cell>
          <cell r="L607" t="e">
            <v>#N/A</v>
          </cell>
          <cell r="M607" t="str">
            <v>Mililitros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K609">
            <v>160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K610">
            <v>160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D620" t="str">
            <v>20400121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  <cell r="M621" t="str">
            <v>Und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  <cell r="M622" t="str">
            <v>Und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  <cell r="M623" t="str">
            <v>Und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  <cell r="M625" t="str">
            <v>Und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  <cell r="M626"/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  <cell r="M627"/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  <cell r="M630" t="str">
            <v>Und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K631">
            <v>500</v>
          </cell>
          <cell r="L631" t="e">
            <v>#DIV/0!</v>
          </cell>
          <cell r="M631" t="str">
            <v>Und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  <cell r="M632" t="str">
            <v>Und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  <cell r="M636" t="str">
            <v>Und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  <cell r="M637" t="str">
            <v>Und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  <cell r="M638" t="str">
            <v>Und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K639">
            <v>625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  <cell r="M641" t="str">
            <v>Und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  <cell r="M642" t="str">
            <v>Und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  <cell r="M643" t="str">
            <v>Und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  <cell r="M645" t="str">
            <v>Und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  <cell r="M650" t="str">
            <v>Und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  <cell r="M652" t="str">
            <v>Und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  <cell r="M653"/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  <cell r="M654"/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  <cell r="M657" t="str">
            <v>Und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  <cell r="M659" t="str">
            <v>Und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  <cell r="M660" t="str">
            <v>Und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  <cell r="M661" t="str">
            <v>Und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  <cell r="M662" t="str">
            <v>Und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  <cell r="M663" t="str">
            <v>Und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  <cell r="M664" t="str">
            <v>Und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  <cell r="M665" t="str">
            <v>Und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K672">
            <v>50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K673">
            <v>125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K675">
            <v>50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K677">
            <v>50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K679">
            <v>50</v>
          </cell>
          <cell r="L679" t="e">
            <v>#DIV/0!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K680">
            <v>25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  <cell r="M682" t="str">
            <v>Und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  <cell r="M683" t="str">
            <v>Und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  <cell r="M684" t="str">
            <v>Und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  <cell r="M688" t="str">
            <v>Und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  <cell r="M689" t="str">
            <v>Und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  <cell r="M693" t="str">
            <v>Und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  <cell r="M694"/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  <cell r="M695"/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  <cell r="M698" t="str">
            <v>Und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  <cell r="M699" t="str">
            <v>Und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K700">
            <v>1</v>
          </cell>
          <cell r="L700" t="e">
            <v>#DIV/0!</v>
          </cell>
          <cell r="M700" t="str">
            <v>Und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  <cell r="M701" t="str">
            <v>Und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  <cell r="M702" t="str">
            <v>Und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  <cell r="M703" t="str">
            <v>Und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  <cell r="M707" t="str">
            <v>Und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  <cell r="M709" t="str">
            <v>Mililitros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  <cell r="M710"/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K711">
            <v>1</v>
          </cell>
          <cell r="L711" t="e">
            <v>#N/A</v>
          </cell>
          <cell r="M711"/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K712">
            <v>1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  <cell r="M713"/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K714">
            <v>1</v>
          </cell>
          <cell r="L714" t="e">
            <v>#N/A</v>
          </cell>
          <cell r="M714"/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  <cell r="M715" t="str">
            <v>Mililitros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  <cell r="M716" t="str">
            <v>Mililitros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K717">
            <v>500</v>
          </cell>
          <cell r="L717" t="e">
            <v>#N/A</v>
          </cell>
          <cell r="M717" t="str">
            <v>Gramos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K719">
            <v>1000</v>
          </cell>
          <cell r="L719" t="e">
            <v>#N/A</v>
          </cell>
          <cell r="M719" t="str">
            <v>Mililitros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K720">
            <v>1</v>
          </cell>
          <cell r="L720" t="e">
            <v>#N/A</v>
          </cell>
          <cell r="M720" t="str">
            <v>Gramos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  <cell r="M735" t="str">
            <v>Gramos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  <cell r="M736" t="str">
            <v>Gramos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  <cell r="M737" t="str">
            <v>Gramos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  <cell r="M738" t="str">
            <v>Gramos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  <cell r="M739" t="str">
            <v>Gramos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  <cell r="M741" t="str">
            <v>Gramos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  <cell r="M742" t="str">
            <v>Gramos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  <cell r="M745" t="str">
            <v>Mililitros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  <cell r="M746" t="str">
            <v>Gramos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  <cell r="M749" t="str">
            <v>Gramos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  <cell r="M751" t="str">
            <v>Gramos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  <cell r="M752" t="str">
            <v>Gramos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  <cell r="M753" t="str">
            <v>Gramos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K760">
            <v>354</v>
          </cell>
          <cell r="L760" t="e">
            <v>#DIV/0!</v>
          </cell>
          <cell r="M760" t="str">
            <v>Gramos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  <cell r="M761" t="str">
            <v>Gramos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  <cell r="M763"/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K764">
            <v>1000</v>
          </cell>
          <cell r="L764" t="e">
            <v>#N/A</v>
          </cell>
          <cell r="M764" t="str">
            <v>Gramos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K765">
            <v>23000</v>
          </cell>
          <cell r="L765" t="e">
            <v>#N/A</v>
          </cell>
          <cell r="M765"/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K766">
            <v>25000</v>
          </cell>
          <cell r="L766" t="e">
            <v>#N/A</v>
          </cell>
          <cell r="M766"/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  <cell r="M767" t="str">
            <v>Gramos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K768">
            <v>1000</v>
          </cell>
          <cell r="L768" t="e">
            <v>#N/A</v>
          </cell>
          <cell r="M768" t="str">
            <v>Mililitros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K769">
            <v>800</v>
          </cell>
          <cell r="L769" t="e">
            <v>#N/A</v>
          </cell>
          <cell r="M769" t="str">
            <v>Gramos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K770">
            <v>1000</v>
          </cell>
          <cell r="L770" t="e">
            <v>#N/A</v>
          </cell>
          <cell r="M770" t="str">
            <v>Gramos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K771">
            <v>1000</v>
          </cell>
          <cell r="L771" t="e">
            <v>#N/A</v>
          </cell>
          <cell r="M771" t="str">
            <v>Gramos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K772">
            <v>3000</v>
          </cell>
          <cell r="L772" t="e">
            <v>#DIV/0!</v>
          </cell>
          <cell r="M772" t="str">
            <v>Gramos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Und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  <cell r="M779" t="str">
            <v>Gramos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  <cell r="M780"/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  <cell r="M781" t="str">
            <v>Mililitros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K782">
            <v>4000</v>
          </cell>
          <cell r="L782" t="e">
            <v>#DIV/0!</v>
          </cell>
          <cell r="M782" t="str">
            <v>Gramos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  <cell r="M785" t="str">
            <v>Gramos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  <cell r="M786" t="str">
            <v>Gramos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D788" t="str">
            <v>119000002</v>
          </cell>
          <cell r="E788" t="str">
            <v>MATERIAS PRIMAS PLANTA</v>
          </cell>
          <cell r="F788" t="str">
            <v>LITRO</v>
          </cell>
          <cell r="G788"/>
          <cell r="H788" t="str">
            <v>28/03/2020</v>
          </cell>
          <cell r="I788">
            <v>100</v>
          </cell>
          <cell r="J788" t="e">
            <v>#N/A</v>
          </cell>
          <cell r="K788">
            <v>1000</v>
          </cell>
          <cell r="L788" t="e">
            <v>#N/A</v>
          </cell>
          <cell r="M788" t="str">
            <v>Mililitros</v>
          </cell>
        </row>
        <row r="789">
          <cell r="A789" t="str">
            <v>10415</v>
          </cell>
          <cell r="B789">
            <v>5668</v>
          </cell>
          <cell r="C789" t="str">
            <v>MANO OBRA</v>
          </cell>
          <cell r="D789" t="str">
            <v>119000012</v>
          </cell>
          <cell r="E789" t="str">
            <v>MANO OBRA</v>
          </cell>
          <cell r="F789" t="str">
            <v>Minuto</v>
          </cell>
          <cell r="G789">
            <v>500</v>
          </cell>
          <cell r="H789" t="str">
            <v>15/06/2020</v>
          </cell>
          <cell r="I789">
            <v>56</v>
          </cell>
          <cell r="J789" t="e">
            <v>#N/A</v>
          </cell>
          <cell r="K789">
            <v>1</v>
          </cell>
          <cell r="L789" t="e">
            <v>#N/A</v>
          </cell>
          <cell r="M789" t="str">
            <v>Minutos</v>
          </cell>
        </row>
        <row r="790">
          <cell r="A790" t="str">
            <v>10416</v>
          </cell>
          <cell r="B790">
            <v>14850</v>
          </cell>
          <cell r="C790" t="str">
            <v>MANO OBRA</v>
          </cell>
          <cell r="D790" t="str">
            <v>119000026</v>
          </cell>
          <cell r="E790" t="str">
            <v>EMPAQUES PLANTA</v>
          </cell>
          <cell r="F790" t="str">
            <v>UND</v>
          </cell>
          <cell r="G790">
            <v>500</v>
          </cell>
          <cell r="H790" t="str">
            <v>15/06/2020</v>
          </cell>
          <cell r="I790">
            <v>8990</v>
          </cell>
          <cell r="J790" t="e">
            <v>#N/A</v>
          </cell>
          <cell r="K790">
            <v>14000</v>
          </cell>
          <cell r="L790" t="e">
            <v>#N/A</v>
          </cell>
          <cell r="M790" t="str">
            <v>Centimetros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D791" t="str">
            <v>120000012</v>
          </cell>
          <cell r="E791" t="str">
            <v>MATERIAS PRIMAS PLANTA</v>
          </cell>
          <cell r="F791"/>
          <cell r="G791">
            <v>500</v>
          </cell>
          <cell r="H791" t="str">
            <v>03/12/2019</v>
          </cell>
          <cell r="I791" t="e">
            <v>#N/A</v>
          </cell>
          <cell r="J791">
            <v>1921</v>
          </cell>
          <cell r="K791">
            <v>3785</v>
          </cell>
          <cell r="L791">
            <v>0.50752972258916773</v>
          </cell>
          <cell r="M791" t="str">
            <v>Mililitros</v>
          </cell>
        </row>
        <row r="792">
          <cell r="A792" t="str">
            <v>18406411</v>
          </cell>
          <cell r="B792">
            <v>14824</v>
          </cell>
          <cell r="C792" t="str">
            <v xml:space="preserve">TRIPLE SEC </v>
          </cell>
          <cell r="D792" t="str">
            <v>120000017</v>
          </cell>
          <cell r="E792" t="str">
            <v>MATERIAS PRIMAS PLANTA</v>
          </cell>
          <cell r="F792" t="str">
            <v>UND</v>
          </cell>
          <cell r="G792">
            <v>500</v>
          </cell>
          <cell r="H792" t="str">
            <v>13/05/2020</v>
          </cell>
          <cell r="I792">
            <v>5600</v>
          </cell>
          <cell r="J792">
            <v>5600</v>
          </cell>
          <cell r="K792">
            <v>750</v>
          </cell>
          <cell r="L792">
            <v>7.4666666666666668</v>
          </cell>
          <cell r="M792" t="str">
            <v>Mililitros</v>
          </cell>
        </row>
        <row r="793">
          <cell r="A793" t="str">
            <v>1010339</v>
          </cell>
          <cell r="B793">
            <v>14825</v>
          </cell>
          <cell r="C793" t="str">
            <v>MERMELADA DE NARANJA SMUCKER (UND:361 G)</v>
          </cell>
          <cell r="D793" t="str">
            <v>120000018</v>
          </cell>
          <cell r="E793" t="str">
            <v>MATERIAS PRIMAS PLANTA</v>
          </cell>
          <cell r="F793" t="str">
            <v>UND</v>
          </cell>
          <cell r="G793">
            <v>500</v>
          </cell>
          <cell r="H793" t="str">
            <v>13/05/2020</v>
          </cell>
          <cell r="I793">
            <v>2323</v>
          </cell>
          <cell r="J793" t="e">
            <v>#N/A</v>
          </cell>
          <cell r="K793">
            <v>361</v>
          </cell>
          <cell r="L793" t="e">
            <v>#N/A</v>
          </cell>
          <cell r="M793" t="str">
            <v>Gramos</v>
          </cell>
        </row>
        <row r="794">
          <cell r="A794" t="str">
            <v>10100285</v>
          </cell>
          <cell r="B794">
            <v>14826</v>
          </cell>
          <cell r="C794" t="str">
            <v>CAFÉ INSTANTANEO (PAQ: 500 G)</v>
          </cell>
          <cell r="D794" t="str">
            <v>120000019</v>
          </cell>
          <cell r="E794" t="str">
            <v>MATERIAS PRIMAS PLANTA</v>
          </cell>
          <cell r="F794" t="str">
            <v>PAQUETE</v>
          </cell>
          <cell r="G794"/>
          <cell r="H794" t="str">
            <v>05/06/2020</v>
          </cell>
          <cell r="I794">
            <v>8555</v>
          </cell>
          <cell r="J794">
            <v>8983</v>
          </cell>
          <cell r="K794">
            <v>500</v>
          </cell>
          <cell r="L794">
            <v>17.966000000000001</v>
          </cell>
          <cell r="M794" t="str">
            <v>Gramos</v>
          </cell>
        </row>
        <row r="795">
          <cell r="A795" t="str">
            <v>512316</v>
          </cell>
          <cell r="B795">
            <v>15912</v>
          </cell>
          <cell r="C795" t="str">
            <v>ETIQ.FECHA VENCIMIENTO BLANCO (ROLLO)</v>
          </cell>
          <cell r="D795" t="str">
            <v>120000022</v>
          </cell>
          <cell r="E795" t="str">
            <v>EMPAQUES PLANTA</v>
          </cell>
          <cell r="F795" t="str">
            <v>rollo</v>
          </cell>
          <cell r="G795">
            <v>500</v>
          </cell>
          <cell r="H795" t="str">
            <v>21/05/2020</v>
          </cell>
          <cell r="I795">
            <v>205</v>
          </cell>
          <cell r="J795">
            <v>180</v>
          </cell>
          <cell r="K795">
            <v>900</v>
          </cell>
          <cell r="L795">
            <v>0.2</v>
          </cell>
          <cell r="M795" t="str">
            <v>Gramos</v>
          </cell>
        </row>
        <row r="796">
          <cell r="A796" t="str">
            <v>120000023</v>
          </cell>
          <cell r="B796">
            <v>16424</v>
          </cell>
          <cell r="C796" t="str">
            <v>TOMATE PELADO ENTERO (UND: 2.89 K)</v>
          </cell>
          <cell r="D796" t="str">
            <v>120000023</v>
          </cell>
          <cell r="E796"/>
          <cell r="F796"/>
          <cell r="G796">
            <v>500</v>
          </cell>
          <cell r="H796" t="str">
            <v>16/04/2020</v>
          </cell>
          <cell r="I796">
            <v>2728</v>
          </cell>
          <cell r="J796">
            <v>2728</v>
          </cell>
          <cell r="K796">
            <v>2890</v>
          </cell>
          <cell r="L796">
            <v>0.94394463667820072</v>
          </cell>
          <cell r="M796" t="str">
            <v>Gramos</v>
          </cell>
        </row>
        <row r="797">
          <cell r="A797" t="str">
            <v>203000096</v>
          </cell>
          <cell r="B797">
            <v>12763</v>
          </cell>
          <cell r="C797" t="str">
            <v>CARNE MOLIDA 80-20 (KILO)</v>
          </cell>
          <cell r="D797" t="str">
            <v>203000096</v>
          </cell>
          <cell r="E797" t="str">
            <v>MATERIAS PRIMAS PLANTA</v>
          </cell>
          <cell r="F797" t="str">
            <v>1 UND</v>
          </cell>
          <cell r="G797">
            <v>500</v>
          </cell>
          <cell r="H797" t="str">
            <v>03/02/2020</v>
          </cell>
          <cell r="I797">
            <v>3195</v>
          </cell>
          <cell r="J797">
            <v>3195</v>
          </cell>
          <cell r="K797">
            <v>1000</v>
          </cell>
          <cell r="L797">
            <v>3.1949999999999998</v>
          </cell>
          <cell r="M797" t="str">
            <v>Gramos</v>
          </cell>
        </row>
        <row r="798">
          <cell r="A798" t="str">
            <v>207000001</v>
          </cell>
          <cell r="B798">
            <v>11323</v>
          </cell>
          <cell r="C798" t="str">
            <v>GALLETA CHOCOLATE (PAQ:KG)</v>
          </cell>
          <cell r="D798" t="str">
            <v>207000001</v>
          </cell>
          <cell r="E798" t="str">
            <v>MATERIAS PRIMAS PLANTA</v>
          </cell>
          <cell r="F798" t="str">
            <v>1 UND</v>
          </cell>
          <cell r="G798">
            <v>500</v>
          </cell>
          <cell r="H798" t="str">
            <v>05/06/2020</v>
          </cell>
          <cell r="I798">
            <v>3135</v>
          </cell>
          <cell r="J798">
            <v>3135</v>
          </cell>
          <cell r="K798">
            <v>1000</v>
          </cell>
          <cell r="L798">
            <v>3.1349999999999998</v>
          </cell>
          <cell r="M798" t="str">
            <v>Gramos</v>
          </cell>
        </row>
        <row r="799">
          <cell r="A799" t="str">
            <v>207000002</v>
          </cell>
          <cell r="B799">
            <v>11324</v>
          </cell>
          <cell r="C799" t="str">
            <v>LECHE CONDENSADA UNTABLE (PAQ:4.5 K)</v>
          </cell>
          <cell r="D799" t="str">
            <v>207000002</v>
          </cell>
          <cell r="E799" t="str">
            <v>MATERIAS PRIMAS PLANTA</v>
          </cell>
          <cell r="F799" t="str">
            <v>1 UND</v>
          </cell>
          <cell r="G799">
            <v>500</v>
          </cell>
          <cell r="H799" t="str">
            <v>05/06/2020</v>
          </cell>
          <cell r="I799">
            <v>11910</v>
          </cell>
          <cell r="J799">
            <v>11910</v>
          </cell>
          <cell r="K799">
            <v>4500</v>
          </cell>
          <cell r="L799">
            <v>2.6466666666666665</v>
          </cell>
          <cell r="M799" t="str">
            <v>Gramos</v>
          </cell>
        </row>
        <row r="800">
          <cell r="A800" t="str">
            <v>207000003</v>
          </cell>
          <cell r="B800">
            <v>11325</v>
          </cell>
          <cell r="C800" t="str">
            <v>BOLSA DOYPACK KRAFT 11X19 (UND)</v>
          </cell>
          <cell r="D800" t="str">
            <v>207000003</v>
          </cell>
          <cell r="E800" t="str">
            <v>MATERIAS PRIMAS PLANTA</v>
          </cell>
          <cell r="F800" t="str">
            <v>1 UND</v>
          </cell>
          <cell r="G800">
            <v>500</v>
          </cell>
          <cell r="H800" t="str">
            <v>13/06/2020</v>
          </cell>
          <cell r="I800">
            <v>98.76</v>
          </cell>
          <cell r="J800">
            <v>106.19468999999999</v>
          </cell>
          <cell r="K800">
            <v>1</v>
          </cell>
          <cell r="L800">
            <v>106.19468999999999</v>
          </cell>
          <cell r="M800" t="str">
            <v>Und</v>
          </cell>
        </row>
        <row r="801">
          <cell r="A801" t="str">
            <v>401000002</v>
          </cell>
          <cell r="B801">
            <v>5679</v>
          </cell>
          <cell r="C801" t="str">
            <v>BOLSA TRANSPARENTE 8X10X4 KILO</v>
          </cell>
          <cell r="D801" t="str">
            <v>401000002</v>
          </cell>
          <cell r="E801" t="str">
            <v>EMPAQUES PLANTA</v>
          </cell>
          <cell r="F801" t="str">
            <v>1 KILO</v>
          </cell>
          <cell r="G801">
            <v>500</v>
          </cell>
          <cell r="H801" t="str">
            <v>04/05/2020</v>
          </cell>
          <cell r="I801">
            <v>1400</v>
          </cell>
          <cell r="J801" t="e">
            <v>#N/A</v>
          </cell>
          <cell r="K801">
            <v>196</v>
          </cell>
          <cell r="L801" t="e">
            <v>#N/A</v>
          </cell>
          <cell r="M801" t="str">
            <v>Und</v>
          </cell>
        </row>
        <row r="802">
          <cell r="A802" t="str">
            <v>401000003</v>
          </cell>
          <cell r="B802">
            <v>5680</v>
          </cell>
          <cell r="C802" t="str">
            <v>RON PLATA ESPECIAL (UND: LITRO)</v>
          </cell>
          <cell r="D802" t="str">
            <v>401000003</v>
          </cell>
          <cell r="E802" t="str">
            <v>EMPAQUES PLANTA</v>
          </cell>
          <cell r="F802" t="str">
            <v>1 KILO</v>
          </cell>
          <cell r="G802">
            <v>500</v>
          </cell>
          <cell r="H802" t="str">
            <v>23/03/2020</v>
          </cell>
          <cell r="I802">
            <v>5720</v>
          </cell>
          <cell r="J802">
            <v>6500</v>
          </cell>
          <cell r="K802">
            <v>1000</v>
          </cell>
          <cell r="L802">
            <v>6.5</v>
          </cell>
          <cell r="M802" t="str">
            <v>Mililitros</v>
          </cell>
        </row>
        <row r="803">
          <cell r="A803" t="str">
            <v>401000004</v>
          </cell>
          <cell r="B803">
            <v>5681</v>
          </cell>
          <cell r="C803" t="str">
            <v>CREMA ROSSANA (351g)</v>
          </cell>
          <cell r="D803" t="str">
            <v>401000004</v>
          </cell>
          <cell r="E803" t="str">
            <v>EMPAQUES PLANTA</v>
          </cell>
          <cell r="F803" t="str">
            <v>1 KILO</v>
          </cell>
          <cell r="G803">
            <v>500</v>
          </cell>
          <cell r="H803" t="str">
            <v>27/01/2020</v>
          </cell>
          <cell r="I803">
            <v>1345</v>
          </cell>
          <cell r="J803">
            <v>1345</v>
          </cell>
          <cell r="K803">
            <v>200</v>
          </cell>
          <cell r="L803">
            <v>6.7249999999999996</v>
          </cell>
          <cell r="M803" t="str">
            <v>Gramos</v>
          </cell>
        </row>
        <row r="804">
          <cell r="A804" t="str">
            <v>401000005</v>
          </cell>
          <cell r="B804">
            <v>5682</v>
          </cell>
          <cell r="C804" t="str">
            <v>PREMEZCLA DAWN BROWNIE (SACO=22.68K)</v>
          </cell>
          <cell r="D804" t="str">
            <v>401000005</v>
          </cell>
          <cell r="E804" t="str">
            <v>EMPAQUES PLANTA</v>
          </cell>
          <cell r="F804" t="str">
            <v>1 KILO</v>
          </cell>
          <cell r="G804">
            <v>500</v>
          </cell>
          <cell r="H804" t="str">
            <v>07/02/2020</v>
          </cell>
          <cell r="I804">
            <v>40000</v>
          </cell>
          <cell r="J804">
            <v>40000</v>
          </cell>
          <cell r="K804">
            <v>22680</v>
          </cell>
          <cell r="L804">
            <v>1.7636684303350969</v>
          </cell>
          <cell r="M804" t="str">
            <v>Gramos</v>
          </cell>
        </row>
        <row r="805">
          <cell r="A805" t="str">
            <v>401000006</v>
          </cell>
          <cell r="B805">
            <v>5683</v>
          </cell>
          <cell r="C805" t="str">
            <v xml:space="preserve">SABORIZANTE AVELLANA 1595 </v>
          </cell>
          <cell r="D805" t="str">
            <v>401000006</v>
          </cell>
          <cell r="E805" t="str">
            <v>EMPAQUES PLANTA</v>
          </cell>
          <cell r="F805" t="str">
            <v>1 KILO</v>
          </cell>
          <cell r="G805">
            <v>500</v>
          </cell>
          <cell r="H805" t="str">
            <v>27/01/2020</v>
          </cell>
          <cell r="I805">
            <v>10974</v>
          </cell>
          <cell r="J805">
            <v>10974.08</v>
          </cell>
          <cell r="K805">
            <v>1000</v>
          </cell>
          <cell r="L805">
            <v>10.974080000000001</v>
          </cell>
          <cell r="M805" t="str">
            <v>Gramos</v>
          </cell>
        </row>
        <row r="806">
          <cell r="A806" t="str">
            <v>503000036</v>
          </cell>
          <cell r="B806">
            <v>14741</v>
          </cell>
          <cell r="C806" t="str">
            <v>CHOCOLATE LOGO ROSSANA UND</v>
          </cell>
          <cell r="D806" t="str">
            <v>503000036</v>
          </cell>
          <cell r="E806" t="str">
            <v>MATERIAS PRIMAS PLANTA</v>
          </cell>
          <cell r="F806" t="str">
            <v>1 PAQUETE</v>
          </cell>
          <cell r="G806">
            <v>500</v>
          </cell>
          <cell r="H806" t="str">
            <v>21/03/2020</v>
          </cell>
          <cell r="I806">
            <v>9750</v>
          </cell>
          <cell r="J806">
            <v>487.5</v>
          </cell>
          <cell r="K806">
            <v>20</v>
          </cell>
          <cell r="L806">
            <v>24.375</v>
          </cell>
          <cell r="M806" t="str">
            <v>UND</v>
          </cell>
        </row>
        <row r="807">
          <cell r="A807" t="str">
            <v>510000013</v>
          </cell>
          <cell r="B807">
            <v>8045</v>
          </cell>
          <cell r="C807" t="str">
            <v>MEZCLA QUESO UNIVERSAL</v>
          </cell>
          <cell r="D807" t="str">
            <v>510000013</v>
          </cell>
          <cell r="E807" t="str">
            <v>EMPAQUES PLANTA</v>
          </cell>
          <cell r="F807" t="str">
            <v>1 UND</v>
          </cell>
          <cell r="G807">
            <v>500</v>
          </cell>
          <cell r="H807" t="str">
            <v>17/03/2020</v>
          </cell>
          <cell r="I807">
            <v>3456</v>
          </cell>
          <cell r="J807">
            <v>3456</v>
          </cell>
          <cell r="K807">
            <v>1000</v>
          </cell>
          <cell r="L807">
            <v>3.456</v>
          </cell>
          <cell r="M807" t="str">
            <v>Gramos</v>
          </cell>
        </row>
        <row r="808">
          <cell r="A808" t="str">
            <v>510000014</v>
          </cell>
          <cell r="B808">
            <v>15367</v>
          </cell>
          <cell r="C808" t="str">
            <v>FRUTOS DEL BOSQUE (PAQ: 500 G)</v>
          </cell>
          <cell r="D808" t="str">
            <v>510000014</v>
          </cell>
          <cell r="E808" t="str">
            <v>EMPAQUES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951</v>
          </cell>
          <cell r="J808">
            <v>951</v>
          </cell>
          <cell r="K808">
            <v>500</v>
          </cell>
          <cell r="L808">
            <v>1.9019999999999999</v>
          </cell>
          <cell r="M808" t="str">
            <v>Gramos</v>
          </cell>
        </row>
        <row r="809">
          <cell r="A809" t="str">
            <v>510000015</v>
          </cell>
          <cell r="B809">
            <v>15384</v>
          </cell>
          <cell r="C809" t="str">
            <v>CREMA PASTELERA (UND: 1 KILO)</v>
          </cell>
          <cell r="D809" t="str">
            <v>510000015</v>
          </cell>
          <cell r="E809" t="str">
            <v>EMPAQUES PLANTA</v>
          </cell>
          <cell r="F809" t="str">
            <v xml:space="preserve">1 UND </v>
          </cell>
          <cell r="G809">
            <v>500</v>
          </cell>
          <cell r="H809" t="str">
            <v>28/01/2020</v>
          </cell>
          <cell r="I809">
            <v>1750</v>
          </cell>
          <cell r="J809">
            <v>1750</v>
          </cell>
          <cell r="K809">
            <v>1000</v>
          </cell>
          <cell r="L809">
            <v>1.75</v>
          </cell>
          <cell r="M809" t="str">
            <v>Gramos</v>
          </cell>
        </row>
        <row r="810">
          <cell r="A810" t="str">
            <v>510000016</v>
          </cell>
          <cell r="B810">
            <v>15385</v>
          </cell>
          <cell r="C810" t="str">
            <v>BOLSA AL VACIO 10X15 UND</v>
          </cell>
          <cell r="D810" t="str">
            <v>510000016</v>
          </cell>
          <cell r="E810" t="str">
            <v>EMPAQUES PLANTA</v>
          </cell>
          <cell r="F810" t="str">
            <v>1 UND</v>
          </cell>
          <cell r="G810">
            <v>500</v>
          </cell>
          <cell r="H810" t="str">
            <v>28/01/2020</v>
          </cell>
          <cell r="I810">
            <v>83</v>
          </cell>
          <cell r="J810">
            <v>83</v>
          </cell>
          <cell r="K810">
            <v>1</v>
          </cell>
          <cell r="L810">
            <v>83</v>
          </cell>
          <cell r="M810" t="str">
            <v>Und</v>
          </cell>
        </row>
        <row r="811">
          <cell r="A811" t="str">
            <v>512000001</v>
          </cell>
          <cell r="B811">
            <v>5845</v>
          </cell>
          <cell r="C811" t="str">
            <v>MERMELADA NARANJA UJARRAS (UND: 4.5 K)</v>
          </cell>
          <cell r="D811" t="str">
            <v>512000001</v>
          </cell>
          <cell r="E811" t="str">
            <v>EMPAQUES PLANTA</v>
          </cell>
          <cell r="F811" t="str">
            <v>1 UND</v>
          </cell>
          <cell r="G811">
            <v>500</v>
          </cell>
          <cell r="H811" t="str">
            <v>12/06/2020</v>
          </cell>
          <cell r="I811">
            <v>4800</v>
          </cell>
          <cell r="J811" t="e">
            <v>#N/A</v>
          </cell>
          <cell r="K811">
            <v>2500</v>
          </cell>
          <cell r="L811" t="e">
            <v>#N/A</v>
          </cell>
          <cell r="M811" t="str">
            <v>Gramos</v>
          </cell>
        </row>
        <row r="812">
          <cell r="A812" t="str">
            <v>512000002</v>
          </cell>
          <cell r="B812">
            <v>5846</v>
          </cell>
          <cell r="C812" t="str">
            <v>CAJA QUEQUE NAVIDEÑO 700g (UNIDAD)</v>
          </cell>
          <cell r="D812" t="str">
            <v>51200002</v>
          </cell>
          <cell r="E812" t="str">
            <v>EMPAQUES PLANTA</v>
          </cell>
          <cell r="F812" t="str">
            <v>1 UND</v>
          </cell>
          <cell r="G812">
            <v>500</v>
          </cell>
          <cell r="H812" t="str">
            <v>12/06/2020</v>
          </cell>
          <cell r="I812">
            <v>9965</v>
          </cell>
          <cell r="J812" t="e">
            <v>#N/A</v>
          </cell>
          <cell r="K812">
            <v>20000</v>
          </cell>
          <cell r="L812" t="e">
            <v>#N/A</v>
          </cell>
          <cell r="M812" t="str">
            <v>Und</v>
          </cell>
        </row>
        <row r="813">
          <cell r="A813" t="str">
            <v>515000012</v>
          </cell>
          <cell r="B813">
            <v>5874</v>
          </cell>
          <cell r="C813" t="str">
            <v>ORLA NAVIDEÑA GRANDE (UND)</v>
          </cell>
          <cell r="D813" t="str">
            <v>515000012</v>
          </cell>
          <cell r="E813" t="str">
            <v>EMPAQUES PLANTA</v>
          </cell>
          <cell r="F813" t="str">
            <v>1 PAQUETE</v>
          </cell>
          <cell r="G813">
            <v>500</v>
          </cell>
          <cell r="H813" t="str">
            <v>22/02/2020</v>
          </cell>
          <cell r="I813">
            <v>140</v>
          </cell>
          <cell r="J813">
            <v>105</v>
          </cell>
          <cell r="K813">
            <v>1</v>
          </cell>
          <cell r="L813">
            <v>105</v>
          </cell>
          <cell r="M813" t="str">
            <v>und</v>
          </cell>
        </row>
        <row r="814">
          <cell r="A814" t="str">
            <v>516000002</v>
          </cell>
          <cell r="B814">
            <v>8074</v>
          </cell>
          <cell r="C814" t="str">
            <v>BOLSA AL VACIO 8*10 ( 100 * PAQ 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39</v>
          </cell>
          <cell r="J814">
            <v>39</v>
          </cell>
          <cell r="K814">
            <v>1</v>
          </cell>
          <cell r="L814">
            <v>39</v>
          </cell>
          <cell r="M814" t="str">
            <v>und</v>
          </cell>
        </row>
        <row r="815">
          <cell r="A815" t="str">
            <v>906000010</v>
          </cell>
          <cell r="B815">
            <v>11228</v>
          </cell>
          <cell r="C815" t="str">
            <v>ORLA NAVIDEÑA PEQUEÑA (UND)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57</v>
          </cell>
          <cell r="J815">
            <v>65</v>
          </cell>
          <cell r="K815">
            <v>1</v>
          </cell>
          <cell r="L815">
            <v>65</v>
          </cell>
          <cell r="M815" t="str">
            <v>und</v>
          </cell>
        </row>
        <row r="816">
          <cell r="A816" t="str">
            <v>1020000471</v>
          </cell>
          <cell r="B816">
            <v>15833</v>
          </cell>
          <cell r="C816" t="str">
            <v>CAJA NAVIDEÑA PEQ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566</v>
          </cell>
          <cell r="J816" t="e">
            <v>#N/A</v>
          </cell>
          <cell r="K816">
            <v>1</v>
          </cell>
          <cell r="L816" t="e">
            <v>#N/A</v>
          </cell>
          <cell r="M816" t="str">
            <v>und</v>
          </cell>
        </row>
        <row r="817">
          <cell r="A817" t="str">
            <v>403000007</v>
          </cell>
          <cell r="B817">
            <v>5717</v>
          </cell>
          <cell r="C817" t="str">
            <v>CHILE MORRON ASADO (UND:2.9 K)</v>
          </cell>
          <cell r="D817" t="str">
            <v>109000136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J817" t="e">
            <v>#N/A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B818" t="str">
            <v/>
          </cell>
          <cell r="C818" t="str">
            <v>AGUA PLANTA</v>
          </cell>
          <cell r="D818" t="str">
            <v>50100056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J818" t="e">
            <v>#N/A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B819" t="str">
            <v/>
          </cell>
          <cell r="C819" t="str">
            <v>MANO OBRA</v>
          </cell>
          <cell r="D819" t="str">
            <v>50100055</v>
          </cell>
          <cell r="E819" t="str">
            <v>MANO OBRA</v>
          </cell>
          <cell r="F819" t="str">
            <v>Minuto</v>
          </cell>
          <cell r="I819">
            <v>55</v>
          </cell>
          <cell r="J819">
            <v>3000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B820" t="str">
            <v/>
          </cell>
          <cell r="C820" t="str">
            <v>PABILO ROJO</v>
          </cell>
          <cell r="D820" t="str">
            <v>106000006</v>
          </cell>
          <cell r="E820" t="str">
            <v>EMPAQUES PLANTA</v>
          </cell>
          <cell r="F820" t="str">
            <v>UND</v>
          </cell>
          <cell r="I820">
            <v>8990</v>
          </cell>
          <cell r="J820">
            <v>24912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B821" t="str">
            <v/>
          </cell>
          <cell r="C821" t="str">
            <v>CLORO 5% MFS (UND:GL)</v>
          </cell>
          <cell r="D821" t="str">
            <v>50700018</v>
          </cell>
          <cell r="E821" t="str">
            <v>MATERIAS PRIMAS PLANTA</v>
          </cell>
          <cell r="F821" t="str">
            <v>UND</v>
          </cell>
          <cell r="I821">
            <v>1921</v>
          </cell>
          <cell r="J821">
            <v>18041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B822" t="str">
            <v/>
          </cell>
          <cell r="C822" t="str">
            <v xml:space="preserve">TRIPLE SEC </v>
          </cell>
          <cell r="D822" t="str">
            <v>60100062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J822" t="e">
            <v>#N/A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B823" t="str">
            <v/>
          </cell>
          <cell r="C823" t="str">
            <v>QUEQUERA  9" BAJA (CAJA:70 UND)</v>
          </cell>
          <cell r="D823" t="str">
            <v>10700045</v>
          </cell>
          <cell r="E823" t="str">
            <v>EMPAQUES PLANTA</v>
          </cell>
          <cell r="F823" t="str">
            <v>CAJA</v>
          </cell>
          <cell r="G823">
            <v>500</v>
          </cell>
          <cell r="I823">
            <v>20298</v>
          </cell>
          <cell r="J823">
            <v>14720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e">
            <v>#N/A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e">
            <v>#N/A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/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/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/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/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/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/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/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700.0332620307172</v>
          </cell>
          <cell r="H22">
            <v>700.0332620307172</v>
          </cell>
          <cell r="I22">
            <v>12.859545896989289</v>
          </cell>
          <cell r="J22">
            <v>12.859545896989289</v>
          </cell>
          <cell r="K22">
            <v>128.32070542698716</v>
          </cell>
          <cell r="L22">
            <v>128.32070542698716</v>
          </cell>
          <cell r="M22">
            <v>841.21351335469365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1593.0374000738313</v>
          </cell>
          <cell r="H30">
            <v>1.5930374000738314</v>
          </cell>
          <cell r="I30">
            <v>7.4431822897142874</v>
          </cell>
          <cell r="J30">
            <v>7.4431822897142877E-3</v>
          </cell>
          <cell r="K30">
            <v>288.08650482543823</v>
          </cell>
          <cell r="L30">
            <v>0.28808650482543824</v>
          </cell>
          <cell r="M30">
            <v>1888.5670871889838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1593.0374000738313</v>
          </cell>
          <cell r="H32">
            <v>1.5930374000738314</v>
          </cell>
          <cell r="I32">
            <v>13.833182289714285</v>
          </cell>
          <cell r="J32">
            <v>1.3833182289714285E-2</v>
          </cell>
          <cell r="K32">
            <v>289.23670482543821</v>
          </cell>
          <cell r="L32">
            <v>0.28923670482543823</v>
          </cell>
          <cell r="M32">
            <v>1896.1072871889839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2864.1182771565104</v>
          </cell>
          <cell r="H33">
            <v>2.8641182771565106</v>
          </cell>
          <cell r="I33">
            <v>2.9821618449499545</v>
          </cell>
          <cell r="J33">
            <v>2.9821618449499547E-3</v>
          </cell>
          <cell r="K33">
            <v>516.07807902026286</v>
          </cell>
          <cell r="L33">
            <v>0.51607807902026281</v>
          </cell>
          <cell r="M33">
            <v>3383.1785180217234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1705.1220937636363</v>
          </cell>
          <cell r="H38">
            <v>1.7051220937636362</v>
          </cell>
          <cell r="I38">
            <v>0</v>
          </cell>
          <cell r="J38">
            <v>0</v>
          </cell>
          <cell r="K38">
            <v>306.92197687745454</v>
          </cell>
          <cell r="L38">
            <v>0.30692197687745454</v>
          </cell>
          <cell r="M38">
            <v>2012.0440706410909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1797.4820086666666</v>
          </cell>
          <cell r="H39">
            <v>1.7974820086666665</v>
          </cell>
          <cell r="I39">
            <v>2.5266999999999999</v>
          </cell>
          <cell r="J39">
            <v>2.5266999999999998E-3</v>
          </cell>
          <cell r="K39">
            <v>324.00156755999996</v>
          </cell>
          <cell r="L39">
            <v>0.32400156755999998</v>
          </cell>
          <cell r="M39">
            <v>2124.0102762266665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1145.0543024964591</v>
          </cell>
          <cell r="H46">
            <v>1.145054302496459</v>
          </cell>
          <cell r="I46">
            <v>0</v>
          </cell>
          <cell r="J46">
            <v>0</v>
          </cell>
          <cell r="K46">
            <v>206.10977444936262</v>
          </cell>
          <cell r="L46">
            <v>0.20610977444936263</v>
          </cell>
          <cell r="M46">
            <v>1351.1640769458218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>
            <v>2504.1564981818178</v>
          </cell>
          <cell r="H47">
            <v>2.5041564981818176</v>
          </cell>
          <cell r="I47">
            <v>0</v>
          </cell>
          <cell r="J47">
            <v>0</v>
          </cell>
          <cell r="K47">
            <v>450.74816967272722</v>
          </cell>
          <cell r="L47">
            <v>0.45074816967272724</v>
          </cell>
          <cell r="M47">
            <v>2954.9046678545451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1789.0081859191432</v>
          </cell>
          <cell r="H50">
            <v>1.7890081859191431</v>
          </cell>
          <cell r="I50">
            <v>0</v>
          </cell>
          <cell r="J50">
            <v>0</v>
          </cell>
          <cell r="K50">
            <v>322.02147346544575</v>
          </cell>
          <cell r="L50">
            <v>0.32202147346544574</v>
          </cell>
          <cell r="M50">
            <v>2111.0296593845887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850.13760658916988</v>
          </cell>
          <cell r="H51">
            <v>850.13760658916988</v>
          </cell>
          <cell r="I51">
            <v>0.1903076391304348</v>
          </cell>
          <cell r="J51">
            <v>0.1903076391304348</v>
          </cell>
          <cell r="K51">
            <v>153.05902456109405</v>
          </cell>
          <cell r="L51">
            <v>153.05902456109405</v>
          </cell>
          <cell r="M51">
            <v>1003.3869387893943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1165.7715950409997</v>
          </cell>
          <cell r="H54">
            <v>1165.7715950409997</v>
          </cell>
          <cell r="I54">
            <v>5.033799369984469</v>
          </cell>
          <cell r="J54">
            <v>5.033799369984469</v>
          </cell>
          <cell r="K54">
            <v>210.74497099397715</v>
          </cell>
          <cell r="L54">
            <v>210.74497099397715</v>
          </cell>
          <cell r="M54">
            <v>1381.5503654049614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4813.616</v>
          </cell>
          <cell r="H55">
            <v>4.8136159999999997</v>
          </cell>
          <cell r="I55">
            <v>36.582167664670656</v>
          </cell>
          <cell r="J55">
            <v>3.6582167664670658E-2</v>
          </cell>
          <cell r="K55">
            <v>873.03567017964076</v>
          </cell>
          <cell r="L55">
            <v>0.87303567017964079</v>
          </cell>
          <cell r="M55">
            <v>5723.2338378443119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1539.4991299367618</v>
          </cell>
          <cell r="H58">
            <v>1.5394991299367617</v>
          </cell>
          <cell r="I58">
            <v>0.11130476977080322</v>
          </cell>
          <cell r="J58">
            <v>1.1130476977080323E-4</v>
          </cell>
          <cell r="K58">
            <v>277.1298782471759</v>
          </cell>
          <cell r="L58">
            <v>0.27712987824717589</v>
          </cell>
          <cell r="M58">
            <v>1816.7403129537086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599.91600195615933</v>
          </cell>
          <cell r="H59">
            <v>599.91600195615933</v>
          </cell>
          <cell r="I59">
            <v>0.28924104485204349</v>
          </cell>
          <cell r="J59">
            <v>0.28924104485204349</v>
          </cell>
          <cell r="K59">
            <v>108.03694374018204</v>
          </cell>
          <cell r="L59">
            <v>108.03694374018204</v>
          </cell>
          <cell r="M59">
            <v>708.24218674119334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346.25580237725381</v>
          </cell>
          <cell r="H63">
            <v>346.25580237725381</v>
          </cell>
          <cell r="I63">
            <v>2.8205168851981419</v>
          </cell>
          <cell r="J63">
            <v>2.8205168851981419</v>
          </cell>
          <cell r="K63">
            <v>62.833737467241349</v>
          </cell>
          <cell r="L63">
            <v>62.833737467241349</v>
          </cell>
          <cell r="M63">
            <v>411.91005672969328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1326.1626390163178</v>
          </cell>
          <cell r="H85">
            <v>1.3261626390163179</v>
          </cell>
          <cell r="I85">
            <v>17.500383714188949</v>
          </cell>
          <cell r="J85">
            <v>1.7500383714188949E-2</v>
          </cell>
          <cell r="K85">
            <v>241.85934409149121</v>
          </cell>
          <cell r="L85">
            <v>0.24185934409149121</v>
          </cell>
          <cell r="M85">
            <v>1585.522366821998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1072.9232369515012</v>
          </cell>
          <cell r="H157">
            <v>1.0729232369515012</v>
          </cell>
          <cell r="I157">
            <v>12.579106805434751</v>
          </cell>
          <cell r="J157">
            <v>1.2579106805434752E-2</v>
          </cell>
          <cell r="K157">
            <v>195.39042187624847</v>
          </cell>
          <cell r="L157">
            <v>0.19539042187624847</v>
          </cell>
          <cell r="M157">
            <v>1280.8927656331844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1180.6517899637722</v>
          </cell>
          <cell r="H158">
            <v>1.1806517899637723</v>
          </cell>
          <cell r="I158">
            <v>14.451714285714285</v>
          </cell>
          <cell r="J158">
            <v>1.4451714285714285E-2</v>
          </cell>
          <cell r="K158">
            <v>215.11863076490758</v>
          </cell>
          <cell r="L158">
            <v>0.21511863076490759</v>
          </cell>
          <cell r="M158">
            <v>1410.2221350143941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2425.6345916922501</v>
          </cell>
          <cell r="H159">
            <v>2425.6345916922501</v>
          </cell>
          <cell r="I159">
            <v>58.686285714285717</v>
          </cell>
          <cell r="J159">
            <v>58.686285714285717</v>
          </cell>
          <cell r="K159">
            <v>447.17775793317639</v>
          </cell>
          <cell r="L159">
            <v>447.17775793317639</v>
          </cell>
          <cell r="M159">
            <v>2931.4986353397121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1244.9828017284781</v>
          </cell>
          <cell r="H189">
            <v>1244.9828017284781</v>
          </cell>
          <cell r="I189">
            <v>57.337428571428568</v>
          </cell>
          <cell r="J189">
            <v>57.337428571428568</v>
          </cell>
          <cell r="K189">
            <v>234.41764145398318</v>
          </cell>
          <cell r="L189">
            <v>234.41764145398318</v>
          </cell>
          <cell r="M189">
            <v>1536.7378717538897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4561.0324161729222</v>
          </cell>
          <cell r="H190">
            <v>4561.0324161729222</v>
          </cell>
          <cell r="I190">
            <v>57.337428571428568</v>
          </cell>
          <cell r="J190">
            <v>57.337428571428568</v>
          </cell>
          <cell r="K190">
            <v>831.30657205398313</v>
          </cell>
          <cell r="L190">
            <v>831.30657205398313</v>
          </cell>
          <cell r="M190">
            <v>5449.6764167983347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1103.4125912447257</v>
          </cell>
          <cell r="H215">
            <v>1.1034125912447257</v>
          </cell>
          <cell r="I215">
            <v>5.2667269439421336</v>
          </cell>
          <cell r="J215">
            <v>5.2667269439421339E-3</v>
          </cell>
          <cell r="K215">
            <v>199.56227727396021</v>
          </cell>
          <cell r="L215">
            <v>0.1995622772739602</v>
          </cell>
          <cell r="M215">
            <v>1308.2415954626281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1093.445359826087</v>
          </cell>
          <cell r="H216">
            <v>1.0934453598260871</v>
          </cell>
          <cell r="I216">
            <v>5.2099378881987581</v>
          </cell>
          <cell r="J216">
            <v>5.209937888198758E-3</v>
          </cell>
          <cell r="K216">
            <v>197.75795358857144</v>
          </cell>
          <cell r="L216">
            <v>0.19775795358857143</v>
          </cell>
          <cell r="M216">
            <v>1296.4132513028571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16.900725168757766</v>
          </cell>
          <cell r="H217">
            <v>16.900725168757766</v>
          </cell>
          <cell r="I217">
            <v>8.0009760425909501E-2</v>
          </cell>
          <cell r="J217">
            <v>8.0009760425909501E-2</v>
          </cell>
          <cell r="K217">
            <v>3.0565322872530616</v>
          </cell>
          <cell r="L217">
            <v>3.0565322872530616</v>
          </cell>
          <cell r="M217">
            <v>20.037267216436739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6724.1880000000001</v>
          </cell>
          <cell r="H234">
            <v>6.7241879999999998</v>
          </cell>
          <cell r="I234">
            <v>24</v>
          </cell>
          <cell r="J234">
            <v>2.4E-2</v>
          </cell>
          <cell r="K234">
            <v>1214.6738399999999</v>
          </cell>
          <cell r="L234">
            <v>1.2146738399999999</v>
          </cell>
          <cell r="M234">
            <v>7962.8618399999996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4813.616</v>
          </cell>
          <cell r="H241">
            <v>4.8136159999999997</v>
          </cell>
          <cell r="I241">
            <v>62.538922155688617</v>
          </cell>
          <cell r="J241">
            <v>6.2538922155688612E-2</v>
          </cell>
          <cell r="K241">
            <v>877.70788598802392</v>
          </cell>
          <cell r="L241">
            <v>0.87770788598802396</v>
          </cell>
          <cell r="M241">
            <v>5753.8628081437128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1013.3042023251105</v>
          </cell>
          <cell r="H242">
            <v>1.0133042023251104</v>
          </cell>
          <cell r="I242">
            <v>0.18021968965295213</v>
          </cell>
          <cell r="J242">
            <v>1.8021968965295211E-4</v>
          </cell>
          <cell r="K242">
            <v>182.42719596265741</v>
          </cell>
          <cell r="L242">
            <v>0.18242719596265741</v>
          </cell>
          <cell r="M242">
            <v>1195.911617977421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362.87905383438704</v>
          </cell>
          <cell r="H243">
            <v>362.87905383438704</v>
          </cell>
          <cell r="I243">
            <v>4.0402951302202048</v>
          </cell>
          <cell r="J243">
            <v>4.0402951302202048</v>
          </cell>
          <cell r="K243">
            <v>66.045482813629306</v>
          </cell>
          <cell r="L243">
            <v>66.045482813629306</v>
          </cell>
          <cell r="M243">
            <v>432.96483177823654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1304.3720784313728</v>
          </cell>
          <cell r="H247">
            <v>1.3043720784313728</v>
          </cell>
          <cell r="I247">
            <v>6.3061377245508989</v>
          </cell>
          <cell r="J247">
            <v>6.3061377245508992E-3</v>
          </cell>
          <cell r="K247">
            <v>235.92207890806623</v>
          </cell>
          <cell r="L247">
            <v>0.23592207890806621</v>
          </cell>
          <cell r="M247">
            <v>1546.6002950639897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470.74613981229282</v>
          </cell>
          <cell r="H249">
            <v>470.74613981229282</v>
          </cell>
          <cell r="I249">
            <v>5.0211537743488694</v>
          </cell>
          <cell r="J249">
            <v>5.0211537743488694</v>
          </cell>
          <cell r="K249">
            <v>85.638112845595501</v>
          </cell>
          <cell r="L249">
            <v>85.638112845595501</v>
          </cell>
          <cell r="M249">
            <v>561.40540643223721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2300.2934436977612</v>
          </cell>
          <cell r="H253">
            <v>2.3002934436977611</v>
          </cell>
          <cell r="I253">
            <v>2.3980769230769225E-3</v>
          </cell>
          <cell r="J253">
            <v>2.3980769230769227E-6</v>
          </cell>
          <cell r="K253">
            <v>414.05325151944311</v>
          </cell>
          <cell r="L253">
            <v>0.41405325151944311</v>
          </cell>
          <cell r="M253">
            <v>2714.3490932941272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4813.616</v>
          </cell>
          <cell r="H269">
            <v>4.8136159999999997</v>
          </cell>
          <cell r="I269">
            <v>79.08323353293413</v>
          </cell>
          <cell r="J269">
            <v>7.908323353293413E-2</v>
          </cell>
          <cell r="K269">
            <v>880.68586203592815</v>
          </cell>
          <cell r="L269">
            <v>0.88068586203592814</v>
          </cell>
          <cell r="M269">
            <v>5773.3850955688622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1131.293554229102</v>
          </cell>
          <cell r="H270">
            <v>1.131293554229102</v>
          </cell>
          <cell r="I270">
            <v>0.22060059880239519</v>
          </cell>
          <cell r="J270">
            <v>2.206005988023952E-4</v>
          </cell>
          <cell r="K270">
            <v>203.67254786902276</v>
          </cell>
          <cell r="L270">
            <v>0.20367254786902275</v>
          </cell>
          <cell r="M270">
            <v>1335.1867026969271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470.74613981229282</v>
          </cell>
          <cell r="H271">
            <v>470.74613981229282</v>
          </cell>
          <cell r="I271">
            <v>5.0211537743488694</v>
          </cell>
          <cell r="J271">
            <v>5.0211537743488694</v>
          </cell>
          <cell r="K271">
            <v>85.638112845595501</v>
          </cell>
          <cell r="L271">
            <v>85.638112845595501</v>
          </cell>
          <cell r="M271">
            <v>561.40540643223721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423.37125930395325</v>
          </cell>
          <cell r="H273">
            <v>423.37125930395325</v>
          </cell>
          <cell r="I273">
            <v>5.031816807120733</v>
          </cell>
          <cell r="J273">
            <v>5.031816807120733</v>
          </cell>
          <cell r="K273">
            <v>77.112553699993313</v>
          </cell>
          <cell r="L273">
            <v>77.112553699993313</v>
          </cell>
          <cell r="M273">
            <v>505.5156298110673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687.68934944791829</v>
          </cell>
          <cell r="H276">
            <v>687.68934944791829</v>
          </cell>
          <cell r="I276">
            <v>27.840802689219387</v>
          </cell>
          <cell r="J276">
            <v>27.840802689219387</v>
          </cell>
          <cell r="K276">
            <v>128.79542738468476</v>
          </cell>
          <cell r="L276">
            <v>128.79542738468476</v>
          </cell>
          <cell r="M276">
            <v>844.32557952182242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4813.616</v>
          </cell>
          <cell r="H278">
            <v>4.8136159999999997</v>
          </cell>
          <cell r="I278">
            <v>36.582167664670656</v>
          </cell>
          <cell r="J278">
            <v>3.6582167664670658E-2</v>
          </cell>
          <cell r="K278">
            <v>873.03567017964076</v>
          </cell>
          <cell r="L278">
            <v>0.87303567017964079</v>
          </cell>
          <cell r="M278">
            <v>5723.2338378443119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1539.4991299367618</v>
          </cell>
          <cell r="H279">
            <v>1.5394991299367617</v>
          </cell>
          <cell r="I279">
            <v>0.11130476977080322</v>
          </cell>
          <cell r="J279">
            <v>1.1130476977080323E-4</v>
          </cell>
          <cell r="K279">
            <v>277.1298782471759</v>
          </cell>
          <cell r="L279">
            <v>0.27712987824717589</v>
          </cell>
          <cell r="M279">
            <v>1816.7403129537086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599.91600195615933</v>
          </cell>
          <cell r="H280">
            <v>599.91600195615933</v>
          </cell>
          <cell r="I280">
            <v>4.9705349976953173</v>
          </cell>
          <cell r="J280">
            <v>4.9705349976953173</v>
          </cell>
          <cell r="K280">
            <v>108.87957665169382</v>
          </cell>
          <cell r="L280">
            <v>108.87957665169382</v>
          </cell>
          <cell r="M280">
            <v>713.76611360554841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758.36836890131644</v>
          </cell>
          <cell r="H286">
            <v>758.36836890131644</v>
          </cell>
          <cell r="I286">
            <v>13.93209514404295</v>
          </cell>
          <cell r="J286">
            <v>13.93209514404295</v>
          </cell>
          <cell r="K286">
            <v>139.01408352816469</v>
          </cell>
          <cell r="L286">
            <v>139.01408352816469</v>
          </cell>
          <cell r="M286">
            <v>911.31454757352412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1910.5098767273901</v>
          </cell>
          <cell r="H295">
            <v>1910.5098767273901</v>
          </cell>
          <cell r="I295">
            <v>13.821448779897347</v>
          </cell>
          <cell r="J295">
            <v>13.821448779897347</v>
          </cell>
          <cell r="K295">
            <v>346.37963859131173</v>
          </cell>
          <cell r="L295">
            <v>346.37963859131173</v>
          </cell>
          <cell r="M295">
            <v>2270.7109640985991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1486.866454761659</v>
          </cell>
          <cell r="H317">
            <v>1.486866454761659</v>
          </cell>
          <cell r="I317">
            <v>8.8886066612174144</v>
          </cell>
          <cell r="J317">
            <v>8.8886066612174144E-3</v>
          </cell>
          <cell r="K317">
            <v>269.23591105611774</v>
          </cell>
          <cell r="L317">
            <v>0.26923591105611772</v>
          </cell>
          <cell r="M317">
            <v>1764.9909724789941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2072.8666823410599</v>
          </cell>
          <cell r="H318">
            <v>2072.8666823410599</v>
          </cell>
          <cell r="I318">
            <v>27.45985484613222</v>
          </cell>
          <cell r="J318">
            <v>27.45985484613222</v>
          </cell>
          <cell r="K318">
            <v>378.05877669369454</v>
          </cell>
          <cell r="L318">
            <v>378.05877669369454</v>
          </cell>
          <cell r="M318">
            <v>2478.3853138808868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91.219547314885247</v>
          </cell>
          <cell r="H319">
            <v>91.219547314885247</v>
          </cell>
          <cell r="I319">
            <v>7.391531301034294</v>
          </cell>
          <cell r="J319">
            <v>7.391531301034294</v>
          </cell>
          <cell r="K319">
            <v>17.749994150865515</v>
          </cell>
          <cell r="L319">
            <v>17.749994150865515</v>
          </cell>
          <cell r="M319">
            <v>116.36107276678506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1509.0371335443592</v>
          </cell>
          <cell r="H320">
            <v>1509.0371335443592</v>
          </cell>
          <cell r="I320">
            <v>16.166730011238602</v>
          </cell>
          <cell r="J320">
            <v>16.166730011238602</v>
          </cell>
          <cell r="K320">
            <v>274.53669544000758</v>
          </cell>
          <cell r="L320">
            <v>274.53669544000758</v>
          </cell>
          <cell r="M320">
            <v>1799.7405589956054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1843.3397736906572</v>
          </cell>
          <cell r="H328">
            <v>1843.3397736906572</v>
          </cell>
          <cell r="I328">
            <v>0.24805175150499653</v>
          </cell>
          <cell r="J328">
            <v>0.24805175150499653</v>
          </cell>
          <cell r="K328">
            <v>331.84580857958917</v>
          </cell>
          <cell r="L328">
            <v>331.84580857958917</v>
          </cell>
          <cell r="M328">
            <v>2175.4336340217515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2236.1518983669466</v>
          </cell>
          <cell r="H329">
            <v>2.2361518983669466</v>
          </cell>
          <cell r="I329">
            <v>15.039097569340143</v>
          </cell>
          <cell r="J329">
            <v>1.5039097569340142E-2</v>
          </cell>
          <cell r="K329">
            <v>405.21437926853162</v>
          </cell>
          <cell r="L329">
            <v>0.4052143792685316</v>
          </cell>
          <cell r="M329">
            <v>2656.4053752048185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1462.1898201768411</v>
          </cell>
          <cell r="H334">
            <v>1462.1898201768411</v>
          </cell>
          <cell r="I334">
            <v>15.508077391264223</v>
          </cell>
          <cell r="J334">
            <v>15.508077391264223</v>
          </cell>
          <cell r="K334">
            <v>265.98562156225893</v>
          </cell>
          <cell r="L334">
            <v>265.98562156225893</v>
          </cell>
          <cell r="M334">
            <v>1743.6835191303642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/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RTICULOS MP PLANTA"/>
      <sheetName val="EMPAQUE PLANTA"/>
      <sheetName val="MP LOCALES"/>
      <sheetName val="EMP LOCALES"/>
    </sheetNames>
    <sheetDataSet>
      <sheetData sheetId="0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C ROSQUETE 550"/>
      <sheetName val="COSTEO ROSQUETE"/>
    </sheetNames>
    <sheetDataSet>
      <sheetData sheetId="0"/>
      <sheetData sheetId="1">
        <row r="53">
          <cell r="H53">
            <v>506.41110916259913</v>
          </cell>
        </row>
        <row r="54">
          <cell r="H54">
            <v>25.752939443784925</v>
          </cell>
        </row>
        <row r="56">
          <cell r="H56">
            <v>31.054765795698927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4DC7-3011-4F2C-9658-6F47AB40FCAB}">
  <dimension ref="A1:I55"/>
  <sheetViews>
    <sheetView tabSelected="1" view="pageBreakPreview" zoomScale="60" zoomScaleNormal="70" workbookViewId="0">
      <selection activeCell="C30" sqref="C30"/>
    </sheetView>
  </sheetViews>
  <sheetFormatPr baseColWidth="10" defaultRowHeight="13.2" x14ac:dyDescent="0.25"/>
  <cols>
    <col min="1" max="1" width="15.44140625" bestFit="1" customWidth="1"/>
    <col min="2" max="2" width="13.5546875" bestFit="1" customWidth="1"/>
    <col min="3" max="3" width="89.77734375" customWidth="1"/>
    <col min="4" max="4" width="34.44140625" bestFit="1" customWidth="1"/>
    <col min="5" max="5" width="11.5546875" bestFit="1" customWidth="1"/>
    <col min="8" max="8" width="27" customWidth="1"/>
    <col min="9" max="9" width="21.109375" bestFit="1" customWidth="1"/>
  </cols>
  <sheetData>
    <row r="1" spans="1:9" ht="17.399999999999999" x14ac:dyDescent="0.3">
      <c r="A1" s="295"/>
      <c r="B1" s="296"/>
      <c r="C1" s="301" t="s">
        <v>24</v>
      </c>
      <c r="D1" s="301"/>
      <c r="E1" s="301"/>
      <c r="F1" s="301"/>
      <c r="G1" s="301"/>
      <c r="H1" s="144" t="s">
        <v>0</v>
      </c>
      <c r="I1" s="145" t="s">
        <v>167</v>
      </c>
    </row>
    <row r="2" spans="1:9" ht="18" customHeight="1" thickBot="1" x14ac:dyDescent="0.35">
      <c r="A2" s="297"/>
      <c r="B2" s="298"/>
      <c r="C2" s="302" t="s">
        <v>1</v>
      </c>
      <c r="D2" s="303"/>
      <c r="E2" s="303"/>
      <c r="F2" s="303"/>
      <c r="G2" s="304"/>
      <c r="H2" s="146" t="s">
        <v>2</v>
      </c>
      <c r="I2" s="147" t="s">
        <v>169</v>
      </c>
    </row>
    <row r="3" spans="1:9" ht="31.5" customHeight="1" thickBot="1" x14ac:dyDescent="0.3">
      <c r="A3" s="297"/>
      <c r="B3" s="298"/>
      <c r="C3" s="305" t="s">
        <v>170</v>
      </c>
      <c r="D3" s="305"/>
      <c r="E3" s="305"/>
      <c r="F3" s="305"/>
      <c r="G3" s="306"/>
      <c r="H3" s="307" t="s">
        <v>3</v>
      </c>
      <c r="I3" s="286">
        <v>45612</v>
      </c>
    </row>
    <row r="4" spans="1:9" ht="18" customHeight="1" x14ac:dyDescent="0.25">
      <c r="A4" s="297"/>
      <c r="B4" s="298"/>
      <c r="C4" s="148" t="s">
        <v>4</v>
      </c>
      <c r="D4" s="289" t="s">
        <v>153</v>
      </c>
      <c r="E4" s="290"/>
      <c r="F4" s="290"/>
      <c r="G4" s="291"/>
      <c r="H4" s="308"/>
      <c r="I4" s="287"/>
    </row>
    <row r="5" spans="1:9" ht="17.399999999999999" thickBot="1" x14ac:dyDescent="0.3">
      <c r="A5" s="299"/>
      <c r="B5" s="300"/>
      <c r="C5" s="149" t="s">
        <v>5</v>
      </c>
      <c r="D5" s="292" t="s">
        <v>154</v>
      </c>
      <c r="E5" s="293"/>
      <c r="F5" s="293"/>
      <c r="G5" s="294"/>
      <c r="H5" s="309"/>
      <c r="I5" s="288"/>
    </row>
    <row r="6" spans="1:9" ht="18" thickBot="1" x14ac:dyDescent="0.35">
      <c r="A6" s="277" t="s">
        <v>151</v>
      </c>
      <c r="B6" s="277"/>
      <c r="C6" s="277"/>
      <c r="D6" s="278" t="s">
        <v>29</v>
      </c>
      <c r="E6" s="278"/>
      <c r="F6" s="278"/>
      <c r="G6" s="279" t="s">
        <v>152</v>
      </c>
      <c r="H6" s="279"/>
      <c r="I6" s="150" t="s">
        <v>29</v>
      </c>
    </row>
    <row r="7" spans="1:9" ht="34.799999999999997" x14ac:dyDescent="0.25">
      <c r="A7" s="280" t="s">
        <v>6</v>
      </c>
      <c r="B7" s="282" t="s">
        <v>155</v>
      </c>
      <c r="C7" s="284" t="s">
        <v>7</v>
      </c>
      <c r="D7" s="284" t="s">
        <v>8</v>
      </c>
      <c r="E7" s="284" t="s">
        <v>9</v>
      </c>
      <c r="F7" s="284"/>
      <c r="G7" s="284" t="s">
        <v>10</v>
      </c>
      <c r="H7" s="284"/>
      <c r="I7" s="151" t="s">
        <v>11</v>
      </c>
    </row>
    <row r="8" spans="1:9" ht="35.4" thickBot="1" x14ac:dyDescent="0.35">
      <c r="A8" s="281"/>
      <c r="B8" s="283"/>
      <c r="C8" s="285"/>
      <c r="D8" s="285"/>
      <c r="E8" s="152" t="s">
        <v>12</v>
      </c>
      <c r="F8" s="153" t="s">
        <v>13</v>
      </c>
      <c r="G8" s="152" t="s">
        <v>12</v>
      </c>
      <c r="H8" s="153" t="s">
        <v>13</v>
      </c>
      <c r="I8" s="154" t="s">
        <v>14</v>
      </c>
    </row>
    <row r="9" spans="1:9" ht="18" x14ac:dyDescent="0.35">
      <c r="A9" s="155"/>
      <c r="B9" s="156"/>
      <c r="C9" s="157" t="s">
        <v>30</v>
      </c>
      <c r="D9" s="158"/>
      <c r="E9" s="159"/>
      <c r="F9" s="160"/>
      <c r="G9" s="159"/>
      <c r="H9" s="160"/>
      <c r="I9" s="161"/>
    </row>
    <row r="10" spans="1:9" ht="18" customHeight="1" x14ac:dyDescent="0.35">
      <c r="A10" s="162">
        <v>907000300</v>
      </c>
      <c r="B10" s="162" t="s">
        <v>137</v>
      </c>
      <c r="C10" s="163" t="s">
        <v>156</v>
      </c>
      <c r="D10" s="164" t="s">
        <v>45</v>
      </c>
      <c r="E10" s="165">
        <v>500</v>
      </c>
      <c r="F10" s="166" t="s">
        <v>28</v>
      </c>
      <c r="G10" s="167"/>
      <c r="H10" s="168" t="s">
        <v>157</v>
      </c>
      <c r="I10" s="161"/>
    </row>
    <row r="11" spans="1:9" ht="18" x14ac:dyDescent="0.35">
      <c r="A11" s="169" t="s">
        <v>135</v>
      </c>
      <c r="B11" s="169" t="s">
        <v>138</v>
      </c>
      <c r="C11" s="170" t="s">
        <v>158</v>
      </c>
      <c r="D11" s="164" t="s">
        <v>159</v>
      </c>
      <c r="E11" s="165">
        <v>70</v>
      </c>
      <c r="F11" s="166" t="s">
        <v>28</v>
      </c>
      <c r="G11" s="171"/>
      <c r="H11" s="168" t="s">
        <v>160</v>
      </c>
      <c r="I11" s="161"/>
    </row>
    <row r="12" spans="1:9" ht="18" x14ac:dyDescent="0.35">
      <c r="A12" s="172"/>
      <c r="B12" s="172"/>
      <c r="C12" s="173"/>
      <c r="D12" s="174"/>
      <c r="E12" s="175"/>
      <c r="F12" s="176"/>
      <c r="G12" s="177"/>
      <c r="H12" s="168"/>
      <c r="I12" s="161"/>
    </row>
    <row r="13" spans="1:9" ht="18" x14ac:dyDescent="0.35">
      <c r="A13" s="177"/>
      <c r="B13" s="169"/>
      <c r="C13" s="170"/>
      <c r="D13" s="178"/>
      <c r="E13" s="179"/>
      <c r="F13" s="180"/>
      <c r="G13" s="181"/>
      <c r="H13" s="168"/>
      <c r="I13" s="161"/>
    </row>
    <row r="14" spans="1:9" ht="18" x14ac:dyDescent="0.35">
      <c r="A14" s="169"/>
      <c r="B14" s="169"/>
      <c r="C14" s="170"/>
      <c r="D14" s="182"/>
      <c r="E14" s="183"/>
      <c r="F14" s="184"/>
      <c r="G14" s="181"/>
      <c r="H14" s="168"/>
      <c r="I14" s="161"/>
    </row>
    <row r="15" spans="1:9" ht="18" x14ac:dyDescent="0.35">
      <c r="A15" s="169"/>
      <c r="B15" s="169"/>
      <c r="C15" s="170"/>
      <c r="D15" s="182"/>
      <c r="E15" s="183"/>
      <c r="F15" s="184"/>
      <c r="G15" s="181"/>
      <c r="H15" s="168"/>
      <c r="I15" s="161"/>
    </row>
    <row r="16" spans="1:9" ht="18" x14ac:dyDescent="0.35">
      <c r="A16" s="169"/>
      <c r="B16" s="169"/>
      <c r="C16" s="170"/>
      <c r="D16" s="182"/>
      <c r="E16" s="183"/>
      <c r="F16" s="184"/>
      <c r="G16" s="159"/>
      <c r="H16" s="168"/>
      <c r="I16" s="161"/>
    </row>
    <row r="17" spans="1:9" ht="18" x14ac:dyDescent="0.35">
      <c r="A17" s="185"/>
      <c r="B17" s="186"/>
      <c r="C17" s="187" t="s">
        <v>29</v>
      </c>
      <c r="D17" s="188"/>
      <c r="E17" s="171"/>
      <c r="F17" s="189"/>
      <c r="G17" s="159"/>
      <c r="H17" s="160"/>
      <c r="I17" s="161"/>
    </row>
    <row r="18" spans="1:9" ht="18" x14ac:dyDescent="0.35">
      <c r="A18" s="169" t="s">
        <v>34</v>
      </c>
      <c r="B18" s="169" t="s">
        <v>139</v>
      </c>
      <c r="C18" s="170" t="s">
        <v>46</v>
      </c>
      <c r="D18" s="164" t="s">
        <v>45</v>
      </c>
      <c r="E18" s="165">
        <v>140</v>
      </c>
      <c r="F18" s="166" t="s">
        <v>28</v>
      </c>
      <c r="G18" s="159"/>
      <c r="H18" s="160" t="s">
        <v>161</v>
      </c>
      <c r="I18" s="161"/>
    </row>
    <row r="19" spans="1:9" ht="35.4" x14ac:dyDescent="0.35">
      <c r="A19" s="169">
        <v>905000062</v>
      </c>
      <c r="B19" s="169" t="s">
        <v>140</v>
      </c>
      <c r="C19" s="170" t="s">
        <v>33</v>
      </c>
      <c r="D19" s="164" t="s">
        <v>45</v>
      </c>
      <c r="E19" s="165">
        <v>30</v>
      </c>
      <c r="F19" s="166" t="s">
        <v>28</v>
      </c>
      <c r="G19" s="159"/>
      <c r="H19" s="160" t="s">
        <v>162</v>
      </c>
      <c r="I19" s="161"/>
    </row>
    <row r="20" spans="1:9" ht="35.4" x14ac:dyDescent="0.35">
      <c r="A20" s="169">
        <v>905000063</v>
      </c>
      <c r="B20" s="169" t="s">
        <v>141</v>
      </c>
      <c r="C20" s="170" t="s">
        <v>163</v>
      </c>
      <c r="D20" s="164" t="s">
        <v>45</v>
      </c>
      <c r="E20" s="165">
        <v>20</v>
      </c>
      <c r="F20" s="166" t="s">
        <v>28</v>
      </c>
      <c r="G20" s="159"/>
      <c r="H20" s="160" t="s">
        <v>162</v>
      </c>
      <c r="I20" s="161"/>
    </row>
    <row r="21" spans="1:9" ht="18" x14ac:dyDescent="0.35">
      <c r="A21" s="172"/>
      <c r="B21" s="172"/>
      <c r="C21" s="173"/>
      <c r="D21" s="174"/>
      <c r="E21" s="175"/>
      <c r="F21" s="176"/>
      <c r="G21" s="159"/>
      <c r="H21" s="160"/>
      <c r="I21" s="161"/>
    </row>
    <row r="22" spans="1:9" ht="18" x14ac:dyDescent="0.35">
      <c r="A22" s="177"/>
      <c r="B22" s="169"/>
      <c r="C22" s="170"/>
      <c r="D22" s="178"/>
      <c r="E22" s="179"/>
      <c r="F22" s="190"/>
      <c r="G22" s="159"/>
      <c r="H22" s="160"/>
      <c r="I22" s="161"/>
    </row>
    <row r="23" spans="1:9" ht="18" x14ac:dyDescent="0.35">
      <c r="A23" s="191"/>
      <c r="B23" s="191"/>
      <c r="C23" s="192"/>
      <c r="D23" s="193"/>
      <c r="E23" s="194"/>
      <c r="F23" s="195"/>
      <c r="G23" s="159"/>
      <c r="H23" s="160"/>
      <c r="I23" s="161"/>
    </row>
    <row r="24" spans="1:9" ht="18" x14ac:dyDescent="0.35">
      <c r="A24" s="169"/>
      <c r="B24" s="169"/>
      <c r="C24" s="170"/>
      <c r="D24" s="196"/>
      <c r="E24" s="197"/>
      <c r="F24" s="195"/>
      <c r="G24" s="159"/>
      <c r="H24" s="160"/>
      <c r="I24" s="161"/>
    </row>
    <row r="25" spans="1:9" ht="18" x14ac:dyDescent="0.35">
      <c r="A25" s="169"/>
      <c r="B25" s="169"/>
      <c r="C25" s="170"/>
      <c r="D25" s="196"/>
      <c r="E25" s="198"/>
      <c r="F25" s="166"/>
      <c r="G25" s="159"/>
      <c r="H25" s="160"/>
      <c r="I25" s="161"/>
    </row>
    <row r="26" spans="1:9" ht="18" x14ac:dyDescent="0.35">
      <c r="A26" s="199"/>
      <c r="B26" s="200"/>
      <c r="C26" s="201" t="s">
        <v>164</v>
      </c>
      <c r="D26" s="202"/>
      <c r="E26" s="203"/>
      <c r="F26" s="160"/>
      <c r="G26" s="159"/>
      <c r="H26" s="192"/>
      <c r="I26" s="161"/>
    </row>
    <row r="27" spans="1:9" ht="18" x14ac:dyDescent="0.35">
      <c r="A27" s="204" t="s">
        <v>41</v>
      </c>
      <c r="B27" s="204" t="s">
        <v>142</v>
      </c>
      <c r="C27" s="205" t="s">
        <v>40</v>
      </c>
      <c r="D27" s="206" t="s">
        <v>39</v>
      </c>
      <c r="E27" s="175">
        <v>1</v>
      </c>
      <c r="F27" s="184" t="s">
        <v>36</v>
      </c>
      <c r="G27" s="207"/>
      <c r="H27" s="160"/>
      <c r="I27" s="161"/>
    </row>
    <row r="28" spans="1:9" ht="18" x14ac:dyDescent="0.35">
      <c r="A28" s="204">
        <v>1952875</v>
      </c>
      <c r="B28" s="204" t="s">
        <v>143</v>
      </c>
      <c r="C28" s="205" t="s">
        <v>132</v>
      </c>
      <c r="D28" s="208" t="s">
        <v>51</v>
      </c>
      <c r="E28" s="183">
        <v>1</v>
      </c>
      <c r="F28" s="184" t="s">
        <v>36</v>
      </c>
      <c r="G28" s="207"/>
      <c r="H28" s="160"/>
      <c r="I28" s="161"/>
    </row>
    <row r="29" spans="1:9" ht="18" x14ac:dyDescent="0.35">
      <c r="A29" s="204">
        <v>702069</v>
      </c>
      <c r="B29" s="204" t="s">
        <v>147</v>
      </c>
      <c r="C29" s="205" t="s">
        <v>165</v>
      </c>
      <c r="D29" s="174" t="s">
        <v>52</v>
      </c>
      <c r="E29" s="175">
        <v>1</v>
      </c>
      <c r="F29" s="175" t="s">
        <v>36</v>
      </c>
      <c r="G29" s="207"/>
      <c r="H29" s="160"/>
      <c r="I29" s="161"/>
    </row>
    <row r="30" spans="1:9" ht="18" x14ac:dyDescent="0.35">
      <c r="A30" s="204"/>
      <c r="B30" s="204" t="s">
        <v>149</v>
      </c>
      <c r="C30" s="205" t="s">
        <v>150</v>
      </c>
      <c r="D30" s="174"/>
      <c r="E30" s="175">
        <v>1</v>
      </c>
      <c r="F30" s="175" t="s">
        <v>36</v>
      </c>
      <c r="G30" s="159"/>
      <c r="H30" s="160"/>
      <c r="I30" s="161"/>
    </row>
    <row r="31" spans="1:9" ht="18" x14ac:dyDescent="0.35">
      <c r="A31" s="204" t="s">
        <v>42</v>
      </c>
      <c r="B31" s="204" t="s">
        <v>144</v>
      </c>
      <c r="C31" s="205" t="s">
        <v>43</v>
      </c>
      <c r="D31" s="174" t="s">
        <v>166</v>
      </c>
      <c r="E31" s="175">
        <v>1</v>
      </c>
      <c r="F31" s="175" t="s">
        <v>36</v>
      </c>
      <c r="G31" s="159"/>
      <c r="H31" s="160"/>
      <c r="I31" s="161"/>
    </row>
    <row r="32" spans="1:9" ht="18" x14ac:dyDescent="0.35">
      <c r="A32" s="209" t="s">
        <v>38</v>
      </c>
      <c r="B32" s="191" t="s">
        <v>146</v>
      </c>
      <c r="C32" s="192" t="s">
        <v>50</v>
      </c>
      <c r="D32" s="174" t="s">
        <v>166</v>
      </c>
      <c r="E32" s="175">
        <v>1</v>
      </c>
      <c r="F32" s="175" t="s">
        <v>36</v>
      </c>
      <c r="G32" s="210"/>
      <c r="H32" s="160"/>
      <c r="I32" s="161"/>
    </row>
    <row r="33" spans="1:9" ht="18" x14ac:dyDescent="0.35">
      <c r="A33" s="211">
        <v>703020</v>
      </c>
      <c r="B33" s="212" t="s">
        <v>145</v>
      </c>
      <c r="C33" s="213" t="s">
        <v>133</v>
      </c>
      <c r="D33" s="206"/>
      <c r="E33" s="175">
        <v>30</v>
      </c>
      <c r="F33" s="176" t="s">
        <v>134</v>
      </c>
      <c r="G33" s="214"/>
      <c r="H33" s="160"/>
      <c r="I33" s="161"/>
    </row>
    <row r="34" spans="1:9" ht="18" x14ac:dyDescent="0.35">
      <c r="A34" s="185"/>
      <c r="B34" s="186"/>
      <c r="C34" s="215"/>
      <c r="D34" s="204"/>
      <c r="E34" s="214"/>
      <c r="F34" s="189"/>
      <c r="G34" s="214"/>
      <c r="H34" s="189"/>
      <c r="I34" s="161"/>
    </row>
    <row r="35" spans="1:9" ht="18" x14ac:dyDescent="0.35">
      <c r="A35" s="185"/>
      <c r="B35" s="186"/>
      <c r="C35" s="215"/>
      <c r="D35" s="188"/>
      <c r="E35" s="188"/>
      <c r="F35" s="189"/>
      <c r="G35" s="188"/>
      <c r="H35" s="188"/>
      <c r="I35" s="161"/>
    </row>
    <row r="36" spans="1:9" ht="17.399999999999999" thickBot="1" x14ac:dyDescent="0.3">
      <c r="A36" s="216"/>
      <c r="B36" s="217"/>
      <c r="C36" s="218"/>
      <c r="D36" s="218"/>
      <c r="E36" s="219"/>
      <c r="F36" s="220"/>
      <c r="G36" s="218"/>
      <c r="H36" s="218"/>
      <c r="I36" s="221"/>
    </row>
    <row r="37" spans="1:9" ht="18" thickBot="1" x14ac:dyDescent="0.35">
      <c r="A37" s="222"/>
      <c r="B37" s="223"/>
      <c r="C37" s="224"/>
      <c r="D37" s="225" t="s">
        <v>12</v>
      </c>
      <c r="E37" s="226" t="s">
        <v>15</v>
      </c>
      <c r="F37" s="227"/>
      <c r="G37" s="224"/>
      <c r="H37" s="224"/>
      <c r="I37" s="228"/>
    </row>
    <row r="38" spans="1:9" ht="17.399999999999999" x14ac:dyDescent="0.3">
      <c r="A38" s="271" t="s">
        <v>16</v>
      </c>
      <c r="B38" s="272"/>
      <c r="C38" s="273"/>
      <c r="D38" s="197">
        <v>755</v>
      </c>
      <c r="E38" s="229" t="s">
        <v>28</v>
      </c>
      <c r="F38" s="274" t="s">
        <v>25</v>
      </c>
      <c r="G38" s="274"/>
      <c r="H38" s="275"/>
      <c r="I38" s="276"/>
    </row>
    <row r="39" spans="1:9" ht="17.399999999999999" x14ac:dyDescent="0.3">
      <c r="A39" s="254" t="s">
        <v>17</v>
      </c>
      <c r="B39" s="255"/>
      <c r="C39" s="256"/>
      <c r="D39" s="230">
        <v>8</v>
      </c>
      <c r="E39" s="165" t="s">
        <v>37</v>
      </c>
      <c r="F39" s="257" t="s">
        <v>18</v>
      </c>
      <c r="G39" s="257"/>
      <c r="H39" s="258"/>
      <c r="I39" s="259"/>
    </row>
    <row r="40" spans="1:9" ht="17.399999999999999" x14ac:dyDescent="0.3">
      <c r="A40" s="254" t="s">
        <v>19</v>
      </c>
      <c r="B40" s="255"/>
      <c r="C40" s="256"/>
      <c r="D40" s="165">
        <v>1</v>
      </c>
      <c r="E40" s="165" t="s">
        <v>36</v>
      </c>
      <c r="F40" s="257" t="s">
        <v>26</v>
      </c>
      <c r="G40" s="257"/>
      <c r="H40" s="258"/>
      <c r="I40" s="259"/>
    </row>
    <row r="41" spans="1:9" ht="17.399999999999999" x14ac:dyDescent="0.3">
      <c r="A41" s="254" t="s">
        <v>20</v>
      </c>
      <c r="B41" s="255"/>
      <c r="C41" s="256"/>
      <c r="D41" s="198">
        <v>755</v>
      </c>
      <c r="E41" s="165" t="s">
        <v>28</v>
      </c>
      <c r="F41" s="260" t="s">
        <v>21</v>
      </c>
      <c r="G41" s="261"/>
      <c r="H41" s="262"/>
      <c r="I41" s="263"/>
    </row>
    <row r="42" spans="1:9" ht="18" thickBot="1" x14ac:dyDescent="0.35">
      <c r="A42" s="264" t="s">
        <v>22</v>
      </c>
      <c r="B42" s="265"/>
      <c r="C42" s="266"/>
      <c r="D42" s="231">
        <f>SUM(E10:E20)-D38</f>
        <v>5</v>
      </c>
      <c r="E42" s="232" t="s">
        <v>28</v>
      </c>
      <c r="F42" s="267"/>
      <c r="G42" s="267"/>
      <c r="H42" s="258"/>
      <c r="I42" s="259"/>
    </row>
    <row r="43" spans="1:9" ht="18" thickBot="1" x14ac:dyDescent="0.35">
      <c r="A43" s="268" t="s">
        <v>23</v>
      </c>
      <c r="B43" s="269"/>
      <c r="C43" s="269"/>
      <c r="D43" s="269"/>
      <c r="E43" s="269"/>
      <c r="F43" s="269"/>
      <c r="G43" s="269"/>
      <c r="H43" s="269"/>
      <c r="I43" s="270"/>
    </row>
    <row r="44" spans="1:9" ht="18.45" customHeight="1" x14ac:dyDescent="0.35">
      <c r="A44" s="241" t="s">
        <v>136</v>
      </c>
      <c r="B44" s="242"/>
      <c r="C44" s="242"/>
      <c r="D44" s="242"/>
      <c r="E44" s="242"/>
      <c r="F44" s="242"/>
      <c r="G44" s="242"/>
      <c r="H44" s="242"/>
      <c r="I44" s="243"/>
    </row>
    <row r="45" spans="1:9" ht="14.7" customHeight="1" x14ac:dyDescent="0.35">
      <c r="A45" s="241" t="s">
        <v>32</v>
      </c>
      <c r="B45" s="242"/>
      <c r="C45" s="242"/>
      <c r="D45" s="242"/>
      <c r="E45" s="242"/>
      <c r="F45" s="242"/>
      <c r="G45" s="242"/>
      <c r="H45" s="242"/>
      <c r="I45" s="243"/>
    </row>
    <row r="46" spans="1:9" ht="14.7" customHeight="1" x14ac:dyDescent="0.35">
      <c r="A46" s="241" t="s">
        <v>148</v>
      </c>
      <c r="B46" s="242"/>
      <c r="C46" s="242"/>
      <c r="D46" s="242"/>
      <c r="E46" s="242"/>
      <c r="F46" s="242"/>
      <c r="G46" s="242"/>
      <c r="H46" s="242"/>
      <c r="I46" s="243"/>
    </row>
    <row r="47" spans="1:9" ht="14.7" customHeight="1" thickBot="1" x14ac:dyDescent="0.3">
      <c r="A47" s="244"/>
      <c r="B47" s="245"/>
      <c r="C47" s="246"/>
      <c r="D47" s="246"/>
      <c r="E47" s="246"/>
      <c r="F47" s="246"/>
      <c r="G47" s="246"/>
      <c r="H47" s="246"/>
      <c r="I47" s="247"/>
    </row>
    <row r="48" spans="1:9" ht="14.7" customHeight="1" x14ac:dyDescent="0.35">
      <c r="A48" s="248"/>
      <c r="B48" s="249"/>
      <c r="C48" s="249"/>
      <c r="D48" s="249"/>
      <c r="E48" s="249"/>
      <c r="F48" s="249"/>
      <c r="G48" s="249"/>
      <c r="H48" s="249"/>
      <c r="I48" s="250"/>
    </row>
    <row r="49" spans="1:9" ht="14.7" customHeight="1" x14ac:dyDescent="0.25">
      <c r="A49" s="251"/>
      <c r="B49" s="252"/>
      <c r="C49" s="252"/>
      <c r="D49" s="252"/>
      <c r="E49" s="252"/>
      <c r="F49" s="252"/>
      <c r="G49" s="252"/>
      <c r="H49" s="252"/>
      <c r="I49" s="253"/>
    </row>
    <row r="50" spans="1:9" ht="18" customHeight="1" x14ac:dyDescent="0.25">
      <c r="A50" s="251"/>
      <c r="B50" s="252"/>
      <c r="C50" s="252"/>
      <c r="D50" s="252"/>
      <c r="E50" s="252"/>
      <c r="F50" s="252"/>
      <c r="G50" s="252"/>
      <c r="H50" s="252"/>
      <c r="I50" s="253"/>
    </row>
    <row r="51" spans="1:9" ht="16.8" x14ac:dyDescent="0.25">
      <c r="A51" s="251"/>
      <c r="B51" s="252"/>
      <c r="C51" s="252"/>
      <c r="D51" s="252"/>
      <c r="E51" s="252"/>
      <c r="F51" s="252"/>
      <c r="G51" s="252"/>
      <c r="H51" s="252"/>
      <c r="I51" s="253"/>
    </row>
    <row r="52" spans="1:9" ht="18" thickBot="1" x14ac:dyDescent="0.35">
      <c r="A52" s="233"/>
      <c r="B52" s="234"/>
      <c r="C52" s="234"/>
      <c r="D52" s="234"/>
      <c r="E52" s="234"/>
      <c r="F52" s="234"/>
      <c r="G52" s="234"/>
      <c r="H52" s="234"/>
      <c r="I52" s="235"/>
    </row>
    <row r="53" spans="1:9" ht="17.399999999999999" x14ac:dyDescent="0.3">
      <c r="A53" s="236" t="s">
        <v>44</v>
      </c>
      <c r="B53" s="237"/>
      <c r="C53" s="237"/>
      <c r="D53" s="237"/>
      <c r="E53" s="237"/>
      <c r="F53" s="237"/>
      <c r="G53" s="237"/>
      <c r="H53" s="237"/>
      <c r="I53" s="237"/>
    </row>
    <row r="54" spans="1:9" ht="16.8" x14ac:dyDescent="0.25">
      <c r="A54" s="238" t="s">
        <v>168</v>
      </c>
      <c r="B54" s="238"/>
      <c r="C54" s="238"/>
      <c r="D54" s="238"/>
      <c r="E54" s="238"/>
      <c r="F54" s="238"/>
      <c r="G54" s="238"/>
      <c r="H54" s="238"/>
      <c r="I54" s="238"/>
    </row>
    <row r="55" spans="1:9" ht="16.8" x14ac:dyDescent="0.25">
      <c r="A55" s="239"/>
      <c r="B55" s="240"/>
      <c r="C55" s="240"/>
      <c r="D55" s="240"/>
      <c r="E55" s="240"/>
      <c r="F55" s="240"/>
      <c r="G55" s="240"/>
      <c r="H55" s="240"/>
      <c r="I55" s="240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</mergeCells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4E922-804C-4B4B-AFDD-1432DCB30A20}">
  <dimension ref="A1:Q91"/>
  <sheetViews>
    <sheetView topLeftCell="A42" workbookViewId="0">
      <selection activeCell="D59" sqref="D59"/>
    </sheetView>
  </sheetViews>
  <sheetFormatPr baseColWidth="10" defaultColWidth="8.44140625" defaultRowHeight="13.2" x14ac:dyDescent="0.25"/>
  <cols>
    <col min="1" max="1" width="10" style="6" bestFit="1" customWidth="1"/>
    <col min="2" max="2" width="44.33203125" style="6" bestFit="1" customWidth="1"/>
    <col min="3" max="3" width="10.44140625" style="6" bestFit="1" customWidth="1"/>
    <col min="4" max="4" width="10.44140625" style="6" customWidth="1"/>
    <col min="5" max="5" width="9.6640625" style="6" bestFit="1" customWidth="1"/>
    <col min="6" max="6" width="9.5546875" style="6" bestFit="1" customWidth="1"/>
    <col min="7" max="7" width="9.5546875" style="86" bestFit="1" customWidth="1"/>
    <col min="8" max="8" width="10.44140625" style="77" bestFit="1" customWidth="1"/>
    <col min="9" max="9" width="4.5546875" style="77" customWidth="1"/>
    <col min="10" max="10" width="1.6640625" style="5" customWidth="1"/>
    <col min="11" max="11" width="7" style="6" bestFit="1" customWidth="1"/>
    <col min="12" max="12" width="6.33203125" style="6" customWidth="1"/>
    <col min="13" max="13" width="20.44140625" style="6" customWidth="1"/>
    <col min="14" max="14" width="6.44140625" style="6" bestFit="1" customWidth="1"/>
    <col min="15" max="16" width="8.44140625" style="6"/>
    <col min="17" max="17" width="3.33203125" style="6" customWidth="1"/>
    <col min="18" max="16384" width="8.44140625" style="6"/>
  </cols>
  <sheetData>
    <row r="1" spans="1:10" ht="27.75" customHeight="1" x14ac:dyDescent="0.25">
      <c r="A1" s="1"/>
      <c r="B1" s="1"/>
      <c r="C1" s="1"/>
      <c r="D1" s="1"/>
      <c r="E1" s="2" t="s">
        <v>54</v>
      </c>
      <c r="F1" s="3" t="s">
        <v>55</v>
      </c>
      <c r="G1" s="3" t="s">
        <v>56</v>
      </c>
      <c r="H1" s="3" t="s">
        <v>57</v>
      </c>
      <c r="I1" s="4"/>
    </row>
    <row r="2" spans="1:10" ht="30.75" customHeight="1" x14ac:dyDescent="0.25">
      <c r="A2" s="1"/>
      <c r="B2" s="1"/>
      <c r="C2" s="1"/>
      <c r="D2" s="1"/>
      <c r="E2" s="7">
        <f>IFERROR(O62,"")</f>
        <v>3059.1889618049622</v>
      </c>
      <c r="F2" s="7">
        <f>IFERROR(H53,"")</f>
        <v>1096.3263672303428</v>
      </c>
      <c r="G2" s="7">
        <f>IFERROR(H54,"")</f>
        <v>675.79484328993885</v>
      </c>
      <c r="H2" s="7">
        <f>IFERROR(H56,"")</f>
        <v>540.96821494020048</v>
      </c>
      <c r="I2" s="8"/>
    </row>
    <row r="3" spans="1:10" ht="15" customHeight="1" x14ac:dyDescent="0.25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3">
      <c r="A4" s="310"/>
      <c r="B4" s="310"/>
      <c r="C4" s="310"/>
      <c r="D4" s="310"/>
      <c r="E4" s="310"/>
      <c r="F4" s="310"/>
      <c r="G4" s="310"/>
      <c r="H4" s="310"/>
      <c r="I4" s="10"/>
    </row>
    <row r="5" spans="1:10" ht="19.5" customHeight="1" thickBot="1" x14ac:dyDescent="0.3">
      <c r="A5" s="311" t="s">
        <v>58</v>
      </c>
      <c r="B5" s="312"/>
      <c r="C5" s="312"/>
      <c r="D5" s="312"/>
      <c r="E5" s="312"/>
      <c r="F5" s="312"/>
      <c r="G5" s="312"/>
      <c r="H5" s="313"/>
      <c r="I5" s="11"/>
    </row>
    <row r="6" spans="1:10" ht="18" thickBot="1" x14ac:dyDescent="0.3">
      <c r="A6" s="11"/>
      <c r="B6" s="11"/>
      <c r="C6" s="11"/>
      <c r="D6" s="11"/>
      <c r="E6" s="11"/>
      <c r="F6" s="314" t="s">
        <v>59</v>
      </c>
      <c r="G6" s="314"/>
      <c r="H6" s="12">
        <f ca="1">TODAY()</f>
        <v>46149</v>
      </c>
      <c r="I6" s="12"/>
    </row>
    <row r="7" spans="1:10" ht="40.200000000000003" thickBot="1" x14ac:dyDescent="0.3">
      <c r="A7" s="13" t="s">
        <v>60</v>
      </c>
      <c r="B7" s="14" t="s">
        <v>61</v>
      </c>
      <c r="C7" s="14" t="s">
        <v>60</v>
      </c>
      <c r="D7" s="15" t="s">
        <v>62</v>
      </c>
      <c r="E7" s="15" t="s">
        <v>63</v>
      </c>
      <c r="F7" s="15" t="s">
        <v>64</v>
      </c>
      <c r="G7" s="15" t="s">
        <v>65</v>
      </c>
      <c r="H7" s="16" t="s">
        <v>66</v>
      </c>
      <c r="I7" s="17"/>
    </row>
    <row r="8" spans="1:10" ht="13.8" x14ac:dyDescent="0.3">
      <c r="A8" s="18">
        <v>80</v>
      </c>
      <c r="B8" s="6" t="str">
        <f>IFERROR(VLOOKUP(H8,'[1]Consolidado MP Planta'!$A$2:$M$823,3,0),"")</f>
        <v>MANJAR LECHE CONDENSADA (PAQ: 4.5 K)</v>
      </c>
      <c r="C8" s="19">
        <f>+A8</f>
        <v>80</v>
      </c>
      <c r="D8" s="20" t="str">
        <f>IFERROR(VLOOKUP(H8,'[1]Consolidado MP Planta'!$A$2:$M$823,13,0),"")</f>
        <v>Gramos</v>
      </c>
      <c r="E8" s="20">
        <f>IFERROR(VLOOKUP(H8,'[1]Consolidado MP Planta'!$A$2:$M$823,12,0),"")</f>
        <v>2.5188888888888887</v>
      </c>
      <c r="F8" s="20">
        <f>IFERROR(C8*E8,"")</f>
        <v>201.51111111111109</v>
      </c>
      <c r="G8" s="21">
        <f t="shared" ref="G8:G14" si="0">IFERROR(F8/$F$66,"")</f>
        <v>9.0200002307783342E-2</v>
      </c>
      <c r="H8" s="22" t="s">
        <v>35</v>
      </c>
      <c r="I8" s="22"/>
      <c r="J8" s="23"/>
    </row>
    <row r="9" spans="1:10" ht="13.8" hidden="1" x14ac:dyDescent="0.3">
      <c r="A9" s="18"/>
      <c r="B9" s="6" t="str">
        <f>IFERROR(VLOOKUP(H9,'[1]Consolidado MP Planta'!$A$2:$M$823,3,0),"")</f>
        <v/>
      </c>
      <c r="C9" s="19">
        <f t="shared" ref="C9:C14" si="1">+A9</f>
        <v>0</v>
      </c>
      <c r="D9" s="20" t="str">
        <f>IFERROR(VLOOKUP(H9,'[1]Consolidado MP Planta'!$A$2:$M$823,13,0),"")</f>
        <v/>
      </c>
      <c r="E9" s="20" t="str">
        <f>IFERROR(VLOOKUP(H9,'[1]Consolidado MP Planta'!$A$2:$M$823,12,0),"")</f>
        <v/>
      </c>
      <c r="F9" s="20" t="str">
        <f t="shared" ref="F9:F14" si="2">IFERROR(C9*E9,"")</f>
        <v/>
      </c>
      <c r="G9" s="21" t="str">
        <f t="shared" si="0"/>
        <v/>
      </c>
      <c r="H9" s="22"/>
      <c r="I9" s="22"/>
      <c r="J9" s="23"/>
    </row>
    <row r="10" spans="1:10" ht="13.8" hidden="1" x14ac:dyDescent="0.3">
      <c r="A10" s="18"/>
      <c r="B10" s="6" t="str">
        <f>IFERROR(VLOOKUP(H10,'[1]Consolidado MP Planta'!$A$2:$M$823,3,0),"")</f>
        <v/>
      </c>
      <c r="C10" s="19">
        <f t="shared" si="1"/>
        <v>0</v>
      </c>
      <c r="D10" s="20" t="str">
        <f>IFERROR(VLOOKUP(H10,'[1]Consolidado MP Planta'!$A$2:$M$823,13,0),"")</f>
        <v/>
      </c>
      <c r="E10" s="20" t="str">
        <f>IFERROR(VLOOKUP(H10,'[1]Consolidado MP Planta'!$A$2:$M$823,12,0),"")</f>
        <v/>
      </c>
      <c r="F10" s="20" t="str">
        <f t="shared" si="2"/>
        <v/>
      </c>
      <c r="G10" s="21" t="str">
        <f t="shared" si="0"/>
        <v/>
      </c>
      <c r="H10" s="22"/>
      <c r="I10" s="22"/>
      <c r="J10" s="23"/>
    </row>
    <row r="11" spans="1:10" ht="13.8" hidden="1" x14ac:dyDescent="0.3">
      <c r="A11" s="18"/>
      <c r="B11" s="6" t="str">
        <f>IFERROR(VLOOKUP(H11,'[1]Consolidado MP Planta'!$A$2:$M$823,3,0),"")</f>
        <v/>
      </c>
      <c r="C11" s="19">
        <f t="shared" si="1"/>
        <v>0</v>
      </c>
      <c r="D11" s="20" t="str">
        <f>IFERROR(VLOOKUP(H11,'[1]Consolidado MP Planta'!$A$2:$M$823,13,0),"")</f>
        <v/>
      </c>
      <c r="E11" s="20" t="str">
        <f>IFERROR(VLOOKUP(H11,'[1]Consolidado MP Planta'!$A$2:$M$823,12,0),"")</f>
        <v/>
      </c>
      <c r="F11" s="20" t="str">
        <f t="shared" si="2"/>
        <v/>
      </c>
      <c r="G11" s="21" t="str">
        <f t="shared" si="0"/>
        <v/>
      </c>
      <c r="H11" s="22"/>
      <c r="I11" s="22"/>
      <c r="J11" s="23"/>
    </row>
    <row r="12" spans="1:10" ht="13.8" hidden="1" x14ac:dyDescent="0.3">
      <c r="A12" s="18"/>
      <c r="B12" s="6" t="str">
        <f>IFERROR(VLOOKUP(H12,'[1]Consolidado MP Planta'!$A$2:$M$823,3,0),"")</f>
        <v/>
      </c>
      <c r="C12" s="19">
        <f t="shared" si="1"/>
        <v>0</v>
      </c>
      <c r="D12" s="20" t="str">
        <f>IFERROR(VLOOKUP(H12,'[1]Consolidado MP Planta'!$A$2:$M$823,13,0),"")</f>
        <v/>
      </c>
      <c r="E12" s="20" t="str">
        <f>IFERROR(VLOOKUP(H12,'[1]Consolidado MP Planta'!$A$2:$M$823,12,0),"")</f>
        <v/>
      </c>
      <c r="F12" s="20" t="str">
        <f t="shared" si="2"/>
        <v/>
      </c>
      <c r="G12" s="21" t="str">
        <f t="shared" si="0"/>
        <v/>
      </c>
      <c r="H12" s="22"/>
      <c r="I12" s="22"/>
      <c r="J12" s="23"/>
    </row>
    <row r="13" spans="1:10" ht="13.8" hidden="1" x14ac:dyDescent="0.3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0" ht="13.8" hidden="1" x14ac:dyDescent="0.3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0" ht="14.4" thickBot="1" x14ac:dyDescent="0.35">
      <c r="A15" s="18"/>
      <c r="B15" s="6" t="str">
        <f>IFERROR(VLOOKUP(H15,'[2]ARTICULOS MP PLANTA'!$A$2:$G$589,2,0),"")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0" ht="40.200000000000003" thickBot="1" x14ac:dyDescent="0.3">
      <c r="A16" s="13" t="s">
        <v>60</v>
      </c>
      <c r="B16" s="14" t="s">
        <v>67</v>
      </c>
      <c r="C16" s="14" t="s">
        <v>60</v>
      </c>
      <c r="D16" s="15" t="s">
        <v>62</v>
      </c>
      <c r="E16" s="15" t="s">
        <v>63</v>
      </c>
      <c r="F16" s="15" t="s">
        <v>64</v>
      </c>
      <c r="G16" s="15" t="s">
        <v>65</v>
      </c>
      <c r="H16" s="16" t="s">
        <v>66</v>
      </c>
      <c r="I16" s="17"/>
      <c r="J16" s="23"/>
    </row>
    <row r="17" spans="1:12" ht="13.8" x14ac:dyDescent="0.3">
      <c r="A17" s="18">
        <v>1</v>
      </c>
      <c r="B17" s="6" t="s">
        <v>53</v>
      </c>
      <c r="C17" s="19">
        <f>+A17</f>
        <v>1</v>
      </c>
      <c r="D17" s="19" t="s">
        <v>103</v>
      </c>
      <c r="E17" s="20">
        <f>+'[3]COSTEO ROSQUETE'!$H$53</f>
        <v>506.41110916259913</v>
      </c>
      <c r="F17" s="20">
        <f>IFERROR(E17*C17,"")</f>
        <v>506.41110916259913</v>
      </c>
      <c r="G17" s="21">
        <f t="shared" ref="G17:G24" si="3">IFERROR(F17/$F$66,"")</f>
        <v>0.22667873232045771</v>
      </c>
      <c r="H17" s="22"/>
      <c r="I17" s="22"/>
      <c r="J17" s="23"/>
    </row>
    <row r="18" spans="1:12" ht="13.8" x14ac:dyDescent="0.3">
      <c r="A18" s="18">
        <v>140</v>
      </c>
      <c r="B18" s="6" t="str">
        <f>IFERROR(VLOOKUP(H18,[1]SEMIELABORADOS!$A$2:$M$6000,2,0),"")</f>
        <v>CREMA CHANTILLY BLANCA SPOON-IND KILO</v>
      </c>
      <c r="C18" s="19">
        <f t="shared" ref="C18:C24" si="4">+A18</f>
        <v>140</v>
      </c>
      <c r="D18" s="19" t="str">
        <f>IFERROR(VLOOKUP(H18,[1]SEMIELABORADOS!$A$2:$M$6000,6,0),"")</f>
        <v>Gramo</v>
      </c>
      <c r="E18" s="20">
        <f>IFERROR(VLOOKUP(H18,[1]SEMIELABORADOS!$A$2:$H$65536,8,0),"")</f>
        <v>1.8754027331730769</v>
      </c>
      <c r="F18" s="20">
        <f t="shared" ref="F18:F24" si="5">IFERROR(E18*C18,"")</f>
        <v>262.55638264423078</v>
      </c>
      <c r="G18" s="21">
        <f t="shared" si="3"/>
        <v>0.11752496519844276</v>
      </c>
      <c r="H18" s="22" t="s">
        <v>34</v>
      </c>
      <c r="I18" s="22"/>
      <c r="J18" s="23"/>
    </row>
    <row r="19" spans="1:12" ht="13.8" x14ac:dyDescent="0.3">
      <c r="A19" s="18">
        <v>30</v>
      </c>
      <c r="B19" s="6" t="str">
        <f>IFERROR(VLOOKUP(H19,[1]SEMIELABORADOS!$A$2:$M$6000,2,0),"")</f>
        <v>CREMA CHANTILLY AZUL ELECTRICO KILO</v>
      </c>
      <c r="C19" s="19">
        <f>+A19</f>
        <v>30</v>
      </c>
      <c r="D19" s="19" t="str">
        <f>IFERROR(VLOOKUP(H19,[1]SEMIELABORADOS!$A$2:$M$6000,6,0),"")</f>
        <v>Gramo</v>
      </c>
      <c r="E19" s="20">
        <f>IFERROR(VLOOKUP(H19,[1]SEMIELABORADOS!$A$2:$H$65536,8,0),"")</f>
        <v>2.1064737275510201</v>
      </c>
      <c r="F19" s="20">
        <f>IFERROR(E19*C19,"")</f>
        <v>63.194211826530605</v>
      </c>
      <c r="G19" s="21">
        <f t="shared" si="3"/>
        <v>2.8286867265838386E-2</v>
      </c>
      <c r="H19" s="22" t="s">
        <v>47</v>
      </c>
      <c r="I19" s="22"/>
      <c r="J19" s="23"/>
    </row>
    <row r="20" spans="1:12" ht="13.8" x14ac:dyDescent="0.3">
      <c r="A20" s="18">
        <v>30</v>
      </c>
      <c r="B20" s="6" t="str">
        <f>IFERROR(VLOOKUP(H20,[1]SEMIELABORADOS!$A$2:$M$6000,2,0),"")</f>
        <v>CREMA CHANTILLY VERDE OSCURO KILO</v>
      </c>
      <c r="C20" s="19">
        <f>+A20</f>
        <v>30</v>
      </c>
      <c r="D20" s="19" t="str">
        <f>IFERROR(VLOOKUP(H20,[1]SEMIELABORADOS!$A$2:$M$6000,6,0),"")</f>
        <v>Gramo</v>
      </c>
      <c r="E20" s="20">
        <f>IFERROR(VLOOKUP(H20,[1]SEMIELABORADOS!$A$2:$H$65536,8,0),"")</f>
        <v>2.088451749529042</v>
      </c>
      <c r="F20" s="20">
        <f>IFERROR(E20*C20,"")</f>
        <v>62.653552485871259</v>
      </c>
      <c r="G20" s="21">
        <f t="shared" si="3"/>
        <v>2.8044858408330237E-2</v>
      </c>
      <c r="H20" s="22" t="s">
        <v>48</v>
      </c>
      <c r="I20" s="22"/>
      <c r="J20" s="23"/>
    </row>
    <row r="21" spans="1:12" ht="13.8" hidden="1" x14ac:dyDescent="0.3">
      <c r="A21" s="18"/>
      <c r="B21" s="6" t="str">
        <f>IFERROR(VLOOKUP(H21,[1]SEMIELABORADOS!$A$2:$M$6000,2,0),"")</f>
        <v/>
      </c>
      <c r="C21" s="19">
        <f>+A21</f>
        <v>0</v>
      </c>
      <c r="D21" s="19" t="str">
        <f>IFERROR(VLOOKUP(H21,[1]SEMIELABORADOS!$A$2:$M$6000,6,0),"")</f>
        <v/>
      </c>
      <c r="E21" s="20" t="str">
        <f>IFERROR(VLOOKUP(H21,[1]SEMIELABORADOS!$A$2:$H$65536,8,0),"")</f>
        <v/>
      </c>
      <c r="F21" s="20" t="str">
        <f>IFERROR(E21*C21,"")</f>
        <v/>
      </c>
      <c r="G21" s="21" t="str">
        <f t="shared" si="3"/>
        <v/>
      </c>
      <c r="H21" s="22"/>
      <c r="I21" s="22"/>
      <c r="J21" s="23"/>
    </row>
    <row r="22" spans="1:12" ht="13.8" hidden="1" x14ac:dyDescent="0.3">
      <c r="A22" s="18"/>
      <c r="B22" s="6" t="str">
        <f>IFERROR(VLOOKUP(H22,[1]SEMIELABORADOS!$A$2:$M$6000,2,0),"")</f>
        <v/>
      </c>
      <c r="C22" s="19">
        <f t="shared" si="4"/>
        <v>0</v>
      </c>
      <c r="D22" s="19" t="str">
        <f>IFERROR(VLOOKUP(H22,[1]SEMIELABORADOS!$A$2:$M$6000,6,0),"")</f>
        <v/>
      </c>
      <c r="E22" s="20" t="str">
        <f>IFERROR(VLOOKUP(H22,[1]SEMIELABORADOS!$A$2:$H$65536,8,0),"")</f>
        <v/>
      </c>
      <c r="F22" s="20" t="str">
        <f t="shared" si="5"/>
        <v/>
      </c>
      <c r="G22" s="21" t="str">
        <f t="shared" si="3"/>
        <v/>
      </c>
      <c r="H22" s="22"/>
      <c r="I22" s="22"/>
      <c r="J22" s="23"/>
    </row>
    <row r="23" spans="1:12" ht="13.8" hidden="1" x14ac:dyDescent="0.3">
      <c r="A23" s="18"/>
      <c r="B23" s="6" t="str">
        <f>IFERROR(VLOOKUP(H23,[1]SEMIELABORADOS!$A$2:$M$6000,2,0),"")</f>
        <v/>
      </c>
      <c r="C23" s="19">
        <f t="shared" si="4"/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 t="shared" si="5"/>
        <v/>
      </c>
      <c r="G23" s="21" t="str">
        <f t="shared" si="3"/>
        <v/>
      </c>
      <c r="H23" s="22"/>
      <c r="I23" s="22"/>
      <c r="J23" s="23"/>
    </row>
    <row r="24" spans="1:12" ht="13.8" hidden="1" x14ac:dyDescent="0.3">
      <c r="A24" s="18"/>
      <c r="B24" s="6" t="str">
        <f>IFERROR(VLOOKUP(H24,[1]SEMIELABORADOS!$A$2:$M$6000,2,0),"")</f>
        <v/>
      </c>
      <c r="C24" s="19">
        <f t="shared" si="4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5"/>
        <v/>
      </c>
      <c r="G24" s="21" t="str">
        <f t="shared" si="3"/>
        <v/>
      </c>
      <c r="H24" s="22"/>
      <c r="I24" s="22"/>
      <c r="J24" s="23"/>
    </row>
    <row r="25" spans="1:12" ht="14.4" thickBot="1" x14ac:dyDescent="0.35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40.200000000000003" thickBot="1" x14ac:dyDescent="0.3">
      <c r="A26" s="13" t="s">
        <v>60</v>
      </c>
      <c r="B26" s="14" t="s">
        <v>27</v>
      </c>
      <c r="C26" s="14" t="s">
        <v>60</v>
      </c>
      <c r="D26" s="15" t="s">
        <v>62</v>
      </c>
      <c r="E26" s="15" t="s">
        <v>63</v>
      </c>
      <c r="F26" s="15" t="s">
        <v>64</v>
      </c>
      <c r="G26" s="15" t="s">
        <v>65</v>
      </c>
      <c r="H26" s="16" t="s">
        <v>66</v>
      </c>
      <c r="I26" s="17"/>
    </row>
    <row r="27" spans="1:12" ht="13.8" x14ac:dyDescent="0.3">
      <c r="A27" s="18">
        <v>1</v>
      </c>
      <c r="B27" s="24" t="str">
        <f>IFERROR(VLOOKUP(H27,'[1]Consolidado MP Planta'!$A$2:$M$823,3,0),"")</f>
        <v>QUEQUERA RED  BASE/DOMO 10 (CAJA:50)</v>
      </c>
      <c r="C27" s="19">
        <f t="shared" ref="C27:C32" si="6">+A27</f>
        <v>1</v>
      </c>
      <c r="D27" s="20" t="str">
        <f>IFERROR(VLOOKUP(H27,'[1]Consolidado MP Planta'!$A$2:$M$823,13,0),"")</f>
        <v>UND</v>
      </c>
      <c r="E27" s="20">
        <f>IFERROR(VLOOKUP(H27,'[1]Consolidado MP Planta'!$A$2:$M$823,12,0),"")</f>
        <v>482.82</v>
      </c>
      <c r="F27" s="20">
        <f t="shared" ref="F27:F32" si="7">IFERROR(C27*E27,"")</f>
        <v>482.82</v>
      </c>
      <c r="G27" s="21">
        <f t="shared" ref="G27:G32" si="8">IFERROR(F27/$F$66,"")</f>
        <v>0.21611892701157676</v>
      </c>
      <c r="H27" s="25" t="s">
        <v>41</v>
      </c>
      <c r="I27" s="25"/>
      <c r="J27" s="23"/>
      <c r="K27" s="315"/>
      <c r="L27" s="315"/>
    </row>
    <row r="28" spans="1:12" ht="13.8" x14ac:dyDescent="0.3">
      <c r="A28" s="18">
        <v>1</v>
      </c>
      <c r="B28" s="24" t="str">
        <f>IFERROR(VLOOKUP(H28,'[1]Consolidado MP Planta'!$A$2:$M$823,3,0),"")</f>
        <v>ORLA CARTON 10" DORADA (UND)</v>
      </c>
      <c r="C28" s="19">
        <f t="shared" si="6"/>
        <v>1</v>
      </c>
      <c r="D28" s="20" t="str">
        <f>IFERROR(VLOOKUP(H28,'[1]Consolidado MP Planta'!$A$2:$M$823,13,0),"")</f>
        <v>Und</v>
      </c>
      <c r="E28" s="20">
        <f>IFERROR(VLOOKUP(H28,'[1]Consolidado MP Planta'!$A$2:$M$823,12,0),"")</f>
        <v>121</v>
      </c>
      <c r="F28" s="20">
        <f t="shared" si="7"/>
        <v>121</v>
      </c>
      <c r="G28" s="21">
        <f t="shared" si="8"/>
        <v>5.4161779065491876E-2</v>
      </c>
      <c r="H28" s="25" t="s">
        <v>31</v>
      </c>
      <c r="I28" s="25"/>
      <c r="J28" s="23"/>
      <c r="K28" s="315"/>
      <c r="L28" s="315"/>
    </row>
    <row r="29" spans="1:12" ht="13.8" x14ac:dyDescent="0.3">
      <c r="A29" s="18">
        <v>1</v>
      </c>
      <c r="B29" s="24" t="str">
        <f>IFERROR(VLOOKUP(H29,'[1]Consolidado MP Planta'!$A$2:$M$823,3,0),"")</f>
        <v>ETIQ.FECHA VENCIMIENTO AMARILLO (ROLLO)</v>
      </c>
      <c r="C29" s="19">
        <f t="shared" si="6"/>
        <v>1</v>
      </c>
      <c r="D29" s="20" t="str">
        <f>IFERROR(VLOOKUP(H29,'[1]Consolidado MP Planta'!$A$2:$M$823,13,0),"")</f>
        <v>Und</v>
      </c>
      <c r="E29" s="20">
        <f>IFERROR(VLOOKUP(H29,'[1]Consolidado MP Planta'!$A$2:$M$823,12,0),"")</f>
        <v>0.2</v>
      </c>
      <c r="F29" s="20">
        <f t="shared" si="7"/>
        <v>0.2</v>
      </c>
      <c r="G29" s="21">
        <f t="shared" si="8"/>
        <v>8.9523601761143604E-5</v>
      </c>
      <c r="H29" s="25" t="s">
        <v>104</v>
      </c>
      <c r="I29" s="25"/>
      <c r="J29" s="23"/>
      <c r="K29" s="315"/>
      <c r="L29" s="315"/>
    </row>
    <row r="30" spans="1:12" ht="13.8" x14ac:dyDescent="0.3">
      <c r="A30" s="18">
        <v>1</v>
      </c>
      <c r="B30" s="24" t="str">
        <f>IFERROR(VLOOKUP(H30,'[1]Consolidado MP Planta'!$A$2:$M$823,3,0),"")</f>
        <v>ETIQ TORTA GENERICA BUCCA GRANDE (UND)</v>
      </c>
      <c r="C30" s="19">
        <f t="shared" si="6"/>
        <v>1</v>
      </c>
      <c r="D30" s="20" t="str">
        <f>IFERROR(VLOOKUP(H30,'[1]Consolidado MP Planta'!$A$2:$M$823,13,0),"")</f>
        <v>Und</v>
      </c>
      <c r="E30" s="20">
        <f>IFERROR(VLOOKUP(H30,'[1]Consolidado MP Planta'!$A$2:$M$823,12,0),"")</f>
        <v>43.5</v>
      </c>
      <c r="F30" s="20">
        <f t="shared" si="7"/>
        <v>43.5</v>
      </c>
      <c r="G30" s="21">
        <f t="shared" si="8"/>
        <v>1.9471383383048733E-2</v>
      </c>
      <c r="H30" s="25" t="s">
        <v>49</v>
      </c>
      <c r="I30" s="25"/>
      <c r="J30" s="23"/>
      <c r="K30" s="315"/>
      <c r="L30" s="315"/>
    </row>
    <row r="31" spans="1:12" ht="13.8" x14ac:dyDescent="0.3">
      <c r="A31" s="18">
        <v>1</v>
      </c>
      <c r="B31" s="24" t="str">
        <f>IFERROR(VLOOKUP(H31,'[1]Consolidado MP Planta'!$A$2:$M$823,3,0),"")</f>
        <v>ETIQUETA BLANCA R-153 (UND)</v>
      </c>
      <c r="C31" s="19">
        <f t="shared" si="6"/>
        <v>1</v>
      </c>
      <c r="D31" s="20" t="str">
        <f>IFERROR(VLOOKUP(H31,'[1]Consolidado MP Planta'!$A$2:$M$823,13,0),"")</f>
        <v>Und</v>
      </c>
      <c r="E31" s="20">
        <f>IFERROR(VLOOKUP(H31,'[1]Consolidado MP Planta'!$A$2:$M$823,12,0),"")</f>
        <v>0.39</v>
      </c>
      <c r="F31" s="20">
        <f t="shared" si="7"/>
        <v>0.39</v>
      </c>
      <c r="G31" s="21">
        <f t="shared" si="8"/>
        <v>1.7457102343423003E-4</v>
      </c>
      <c r="H31" s="25" t="s">
        <v>42</v>
      </c>
      <c r="I31" s="25"/>
      <c r="J31" s="23"/>
      <c r="K31" s="26"/>
      <c r="L31" s="27"/>
    </row>
    <row r="32" spans="1:12" ht="13.8" x14ac:dyDescent="0.3">
      <c r="A32" s="18">
        <v>1</v>
      </c>
      <c r="B32" s="24" t="str">
        <f>IFERROR(VLOOKUP(H32,'[1]Consolidado MP Planta'!$A$2:$M$823,3,0),"")</f>
        <v>ETIQUETA BLANCA 2 5/8X1 15/16 (UND)</v>
      </c>
      <c r="C32" s="19">
        <f t="shared" si="6"/>
        <v>1</v>
      </c>
      <c r="D32" s="20" t="str">
        <f>IFERROR(VLOOKUP(H32,'[1]Consolidado MP Planta'!$A$2:$M$823,13,0),"")</f>
        <v>Und</v>
      </c>
      <c r="E32" s="20">
        <f>IFERROR(VLOOKUP(H32,'[1]Consolidado MP Planta'!$A$2:$M$823,12,0),"")</f>
        <v>2.1280000000000001</v>
      </c>
      <c r="F32" s="20">
        <f t="shared" si="7"/>
        <v>2.1280000000000001</v>
      </c>
      <c r="G32" s="21">
        <f t="shared" si="8"/>
        <v>9.5253112273856796E-4</v>
      </c>
      <c r="H32" s="25" t="s">
        <v>38</v>
      </c>
      <c r="I32" s="25"/>
      <c r="J32" s="23"/>
    </row>
    <row r="33" spans="1:13" ht="14.4" thickBot="1" x14ac:dyDescent="0.35">
      <c r="A33" s="18"/>
      <c r="B33" s="24"/>
      <c r="C33" s="19"/>
      <c r="D33" s="20"/>
      <c r="E33" s="20"/>
      <c r="F33" s="20"/>
      <c r="G33" s="21"/>
      <c r="H33" s="25"/>
      <c r="I33" s="25"/>
      <c r="J33" s="23"/>
    </row>
    <row r="34" spans="1:13" ht="40.200000000000003" thickBot="1" x14ac:dyDescent="0.3">
      <c r="A34" s="13" t="s">
        <v>60</v>
      </c>
      <c r="B34" s="14" t="s">
        <v>68</v>
      </c>
      <c r="C34" s="14" t="s">
        <v>60</v>
      </c>
      <c r="D34" s="15" t="s">
        <v>62</v>
      </c>
      <c r="E34" s="15" t="s">
        <v>63</v>
      </c>
      <c r="F34" s="15" t="s">
        <v>64</v>
      </c>
      <c r="G34" s="15" t="s">
        <v>65</v>
      </c>
      <c r="H34" s="16" t="s">
        <v>66</v>
      </c>
      <c r="I34" s="25"/>
      <c r="J34" s="23"/>
    </row>
    <row r="35" spans="1:13" ht="13.8" x14ac:dyDescent="0.3">
      <c r="A35" s="18">
        <f>+A17</f>
        <v>1</v>
      </c>
      <c r="B35" s="24" t="s">
        <v>53</v>
      </c>
      <c r="C35" s="19">
        <f>+A35</f>
        <v>1</v>
      </c>
      <c r="D35" s="20" t="str">
        <f>+D17</f>
        <v>und</v>
      </c>
      <c r="E35" s="20">
        <f>+'[3]COSTEO ROSQUETE'!$H$54</f>
        <v>25.752939443784925</v>
      </c>
      <c r="F35" s="20">
        <f>IFERROR(E35*C35,"")</f>
        <v>25.752939443784925</v>
      </c>
      <c r="G35" s="21">
        <f t="shared" ref="G35:G41" si="9">IFERROR(F35/$F$66,"")</f>
        <v>1.1527479474721243E-2</v>
      </c>
      <c r="H35" s="25"/>
      <c r="I35" s="25"/>
      <c r="J35" s="23"/>
    </row>
    <row r="36" spans="1:13" ht="13.8" x14ac:dyDescent="0.3">
      <c r="A36" s="18">
        <f t="shared" ref="A36:A41" si="10">+A18</f>
        <v>140</v>
      </c>
      <c r="B36" s="24" t="str">
        <f>IFERROR(VLOOKUP(H36,[1]SEMIELABORADOS!$A$2:$M$6000,2,0),"")</f>
        <v>CREMA CHANTILLY BLANCA SPOON-IND KILO</v>
      </c>
      <c r="C36" s="19">
        <f t="shared" ref="C36:C41" si="11">+A36</f>
        <v>140</v>
      </c>
      <c r="D36" s="20" t="str">
        <f>IFERROR(VLOOKUP(H36,[1]SEMIELABORADOS!$A$2:$M$6000,6,0),"")</f>
        <v>Gramo</v>
      </c>
      <c r="E36" s="20">
        <f>IFERROR(VLOOKUP(H36,[1]SEMIELABORADOS!$A$2:$M$65536,10,0),"")</f>
        <v>2.7884615384615379E-5</v>
      </c>
      <c r="F36" s="20">
        <f t="shared" ref="F36:F41" si="12">IFERROR(E36*C36,"")</f>
        <v>3.9038461538461531E-3</v>
      </c>
      <c r="G36" s="21">
        <f t="shared" si="9"/>
        <v>1.7474318420684757E-6</v>
      </c>
      <c r="H36" s="25" t="s">
        <v>34</v>
      </c>
      <c r="I36" s="25"/>
      <c r="J36" s="23"/>
    </row>
    <row r="37" spans="1:13" ht="13.8" x14ac:dyDescent="0.3">
      <c r="A37" s="18">
        <f t="shared" si="10"/>
        <v>30</v>
      </c>
      <c r="B37" s="24" t="str">
        <f>IFERROR(VLOOKUP(H37,[1]SEMIELABORADOS!$A$2:$M$6000,2,0),"")</f>
        <v>CREMA CHANTILLY AZUL ELECTRICO KILO</v>
      </c>
      <c r="C37" s="19">
        <f t="shared" si="11"/>
        <v>30</v>
      </c>
      <c r="D37" s="20" t="str">
        <f>IFERROR(VLOOKUP(H37,[1]SEMIELABORADOS!$A$2:$M$6000,6,0),"")</f>
        <v>Gramo</v>
      </c>
      <c r="E37" s="20">
        <f>IFERROR(VLOOKUP(H37,[1]SEMIELABORADOS!$A$2:$M$65536,10,0),"")</f>
        <v>0</v>
      </c>
      <c r="F37" s="20">
        <f t="shared" si="12"/>
        <v>0</v>
      </c>
      <c r="G37" s="21">
        <f t="shared" si="9"/>
        <v>0</v>
      </c>
      <c r="H37" s="25" t="s">
        <v>47</v>
      </c>
      <c r="I37" s="25"/>
      <c r="J37" s="23"/>
    </row>
    <row r="38" spans="1:13" ht="13.8" x14ac:dyDescent="0.3">
      <c r="A38" s="18">
        <f t="shared" si="10"/>
        <v>30</v>
      </c>
      <c r="B38" s="24" t="str">
        <f>IFERROR(VLOOKUP(H38,[1]SEMIELABORADOS!$A$2:$M$6000,2,0),"")</f>
        <v>CREMA CHANTILLY VERDE OSCURO KILO</v>
      </c>
      <c r="C38" s="19">
        <f>+A38</f>
        <v>30</v>
      </c>
      <c r="D38" s="20" t="str">
        <f>IFERROR(VLOOKUP(H38,[1]SEMIELABORADOS!$A$2:$M$6000,6,0),"")</f>
        <v>Gramo</v>
      </c>
      <c r="E38" s="20">
        <f>IFERROR(VLOOKUP(H38,[1]SEMIELABORADOS!$A$2:$M$65536,10,0),"")</f>
        <v>0</v>
      </c>
      <c r="F38" s="20">
        <f>IFERROR(E38*C38,"")</f>
        <v>0</v>
      </c>
      <c r="G38" s="21">
        <f t="shared" si="9"/>
        <v>0</v>
      </c>
      <c r="H38" s="25" t="s">
        <v>48</v>
      </c>
      <c r="I38" s="25"/>
      <c r="J38" s="23"/>
    </row>
    <row r="39" spans="1:13" ht="13.8" hidden="1" x14ac:dyDescent="0.3">
      <c r="A39" s="18">
        <f t="shared" si="10"/>
        <v>0</v>
      </c>
      <c r="B39" s="24" t="str">
        <f>IFERROR(VLOOKUP(H39,[1]SEMIELABORADOS!$A$2:$M$6000,2,0),"")</f>
        <v/>
      </c>
      <c r="C39" s="19">
        <f>+A39</f>
        <v>0</v>
      </c>
      <c r="D39" s="20" t="str">
        <f>IFERROR(VLOOKUP(H39,[1]SEMIELABORADOS!$A$2:$M$6000,6,0),"")</f>
        <v/>
      </c>
      <c r="E39" s="20" t="str">
        <f>IFERROR(VLOOKUP(H39,[1]SEMIELABORADOS!$A$2:$M$65536,10,0),"")</f>
        <v/>
      </c>
      <c r="F39" s="20" t="str">
        <f>IFERROR(E39*C39,"")</f>
        <v/>
      </c>
      <c r="G39" s="21" t="str">
        <f t="shared" si="9"/>
        <v/>
      </c>
      <c r="H39" s="25"/>
      <c r="I39" s="25"/>
      <c r="J39" s="23"/>
    </row>
    <row r="40" spans="1:13" ht="13.8" hidden="1" x14ac:dyDescent="0.3">
      <c r="A40" s="18">
        <f t="shared" si="10"/>
        <v>0</v>
      </c>
      <c r="B40" s="24" t="str">
        <f>IFERROR(VLOOKUP(H40,[1]SEMIELABORADOS!$A$2:$M$6000,2,0),"")</f>
        <v/>
      </c>
      <c r="C40" s="19">
        <f t="shared" si="11"/>
        <v>0</v>
      </c>
      <c r="D40" s="20" t="str">
        <f>IFERROR(VLOOKUP(H40,[1]SEMIELABORADOS!$A$2:$M$6000,6,0),"")</f>
        <v/>
      </c>
      <c r="E40" s="20" t="str">
        <f>IFERROR(VLOOKUP(H40,[1]SEMIELABORADOS!$A$2:$M$65536,10,0),"")</f>
        <v/>
      </c>
      <c r="F40" s="20" t="str">
        <f t="shared" si="12"/>
        <v/>
      </c>
      <c r="G40" s="21" t="str">
        <f t="shared" si="9"/>
        <v/>
      </c>
      <c r="H40" s="25"/>
      <c r="I40" s="25"/>
      <c r="J40" s="23"/>
    </row>
    <row r="41" spans="1:13" ht="13.8" hidden="1" x14ac:dyDescent="0.3">
      <c r="A41" s="18">
        <f t="shared" si="10"/>
        <v>0</v>
      </c>
      <c r="B41" s="24" t="str">
        <f>IFERROR(VLOOKUP(H41,[1]SEMIELABORADOS!$A$2:$M$6000,2,0),"")</f>
        <v/>
      </c>
      <c r="C41" s="19">
        <f t="shared" si="11"/>
        <v>0</v>
      </c>
      <c r="D41" s="20" t="str">
        <f>IFERROR(VLOOKUP(H41,[1]SEMIELABORADOS!$A$2:$M$6000,6,0),"")</f>
        <v/>
      </c>
      <c r="E41" s="20" t="str">
        <f>IFERROR(VLOOKUP(H41,[1]SEMIELABORADOS!$A$2:$M$65536,10,0),"")</f>
        <v/>
      </c>
      <c r="F41" s="20" t="str">
        <f t="shared" si="12"/>
        <v/>
      </c>
      <c r="G41" s="21" t="str">
        <f t="shared" si="9"/>
        <v/>
      </c>
      <c r="H41" s="25"/>
      <c r="I41" s="25"/>
      <c r="J41" s="23"/>
    </row>
    <row r="42" spans="1:13" ht="14.4" thickBot="1" x14ac:dyDescent="0.35">
      <c r="A42" s="18"/>
      <c r="B42" s="24"/>
      <c r="C42" s="19"/>
      <c r="D42" s="20"/>
      <c r="E42" s="20"/>
      <c r="F42" s="20"/>
      <c r="G42" s="21"/>
      <c r="H42" s="25"/>
      <c r="I42" s="25"/>
      <c r="J42" s="23"/>
    </row>
    <row r="43" spans="1:13" ht="40.200000000000003" thickBot="1" x14ac:dyDescent="0.3">
      <c r="A43" s="13" t="s">
        <v>60</v>
      </c>
      <c r="B43" s="14" t="s">
        <v>69</v>
      </c>
      <c r="C43" s="14" t="s">
        <v>60</v>
      </c>
      <c r="D43" s="15" t="s">
        <v>62</v>
      </c>
      <c r="E43" s="15" t="s">
        <v>63</v>
      </c>
      <c r="F43" s="15" t="s">
        <v>64</v>
      </c>
      <c r="G43" s="15" t="s">
        <v>65</v>
      </c>
      <c r="H43" s="16" t="s">
        <v>66</v>
      </c>
      <c r="I43" s="17"/>
      <c r="J43" s="23"/>
    </row>
    <row r="44" spans="1:13" ht="13.8" x14ac:dyDescent="0.3">
      <c r="A44" s="18">
        <f>+A35</f>
        <v>1</v>
      </c>
      <c r="B44" s="24" t="s">
        <v>53</v>
      </c>
      <c r="C44" s="19">
        <f>+A44</f>
        <v>1</v>
      </c>
      <c r="D44" s="20" t="str">
        <f>+D35</f>
        <v>und</v>
      </c>
      <c r="E44" s="20">
        <f>+'[3]COSTEO ROSQUETE'!$H$56</f>
        <v>31.054765795698927</v>
      </c>
      <c r="F44" s="20">
        <f>IFERROR(E44*C44,"")</f>
        <v>31.054765795698927</v>
      </c>
      <c r="G44" s="21">
        <f>IFERROR(F44/$F$66,"")</f>
        <v>1.3900672429398672E-2</v>
      </c>
      <c r="H44" s="25"/>
      <c r="I44" s="17"/>
      <c r="J44" s="23"/>
    </row>
    <row r="45" spans="1:13" ht="13.8" x14ac:dyDescent="0.3">
      <c r="A45" s="18">
        <f t="shared" ref="A45:A50" si="13">+A36</f>
        <v>140</v>
      </c>
      <c r="B45" s="24" t="str">
        <f>IFERROR(VLOOKUP(H45,[1]SEMIELABORADOS!$A$2:$M$6000,2,0),"")</f>
        <v>CREMA CHANTILLY BLANCA SPOON-IND KILO</v>
      </c>
      <c r="C45" s="19">
        <f t="shared" ref="C45:C50" si="14">+A45</f>
        <v>140</v>
      </c>
      <c r="D45" s="20" t="str">
        <f>IFERROR(VLOOKUP(H45,[1]SEMIELABORADOS!$A$2:$M$6000,6,0),"")</f>
        <v>Gramo</v>
      </c>
      <c r="E45" s="20">
        <f>IFERROR(VLOOKUP(H45,[1]SEMIELABORADOS!$A$2:$M$65536,12,0),"")</f>
        <v>0.33757751120192309</v>
      </c>
      <c r="F45" s="20">
        <f t="shared" ref="F45:F50" si="15">IFERROR(E45*C45,"")</f>
        <v>47.260851568269231</v>
      </c>
      <c r="G45" s="21">
        <f t="shared" ref="G45:G50" si="16">IFERROR(F45/$F$66,"")</f>
        <v>2.1154808273451269E-2</v>
      </c>
      <c r="H45" s="25" t="s">
        <v>34</v>
      </c>
      <c r="I45" s="17"/>
      <c r="J45" s="23"/>
      <c r="M45" s="28"/>
    </row>
    <row r="46" spans="1:13" ht="13.8" x14ac:dyDescent="0.3">
      <c r="A46" s="18">
        <f t="shared" si="13"/>
        <v>30</v>
      </c>
      <c r="B46" s="24" t="str">
        <f>IFERROR(VLOOKUP(H46,[1]SEMIELABORADOS!$A$2:$M$6000,2,0),"")</f>
        <v>CREMA CHANTILLY AZUL ELECTRICO KILO</v>
      </c>
      <c r="C46" s="19">
        <f t="shared" si="14"/>
        <v>30</v>
      </c>
      <c r="D46" s="20" t="str">
        <f>IFERROR(VLOOKUP(H46,[1]SEMIELABORADOS!$A$2:$M$6000,6,0),"")</f>
        <v>Gramo</v>
      </c>
      <c r="E46" s="20">
        <f>IFERROR(VLOOKUP(H46,[1]SEMIELABORADOS!$A$2:$M$65536,12,0),"")</f>
        <v>0.37916527095918362</v>
      </c>
      <c r="F46" s="20">
        <f t="shared" si="15"/>
        <v>11.374958128775509</v>
      </c>
      <c r="G46" s="21">
        <f t="shared" si="16"/>
        <v>5.0916361078509097E-3</v>
      </c>
      <c r="H46" s="25" t="s">
        <v>47</v>
      </c>
      <c r="I46" s="17"/>
      <c r="J46" s="23"/>
    </row>
    <row r="47" spans="1:13" ht="13.8" x14ac:dyDescent="0.3">
      <c r="A47" s="18">
        <f t="shared" si="13"/>
        <v>30</v>
      </c>
      <c r="B47" s="24" t="str">
        <f>IFERROR(VLOOKUP(H47,[1]SEMIELABORADOS!$A$2:$M$6000,2,0),"")</f>
        <v>CREMA CHANTILLY VERDE OSCURO KILO</v>
      </c>
      <c r="C47" s="19">
        <f t="shared" si="14"/>
        <v>30</v>
      </c>
      <c r="D47" s="20" t="str">
        <f>IFERROR(VLOOKUP(H47,[1]SEMIELABORADOS!$A$2:$M$6000,6,0),"")</f>
        <v>Gramo</v>
      </c>
      <c r="E47" s="20">
        <f>IFERROR(VLOOKUP(H47,[1]SEMIELABORADOS!$A$2:$M$65536,12,0),"")</f>
        <v>0.37592131491522751</v>
      </c>
      <c r="F47" s="20">
        <f t="shared" si="15"/>
        <v>11.277639447456826</v>
      </c>
      <c r="G47" s="21">
        <f t="shared" si="16"/>
        <v>5.0480745134994422E-3</v>
      </c>
      <c r="H47" s="25" t="s">
        <v>48</v>
      </c>
      <c r="I47" s="17"/>
      <c r="J47" s="23"/>
    </row>
    <row r="48" spans="1:13" ht="13.8" hidden="1" x14ac:dyDescent="0.3">
      <c r="A48" s="18">
        <f t="shared" si="13"/>
        <v>0</v>
      </c>
      <c r="B48" s="24" t="str">
        <f>IFERROR(VLOOKUP(H48,[1]SEMIELABORADOS!$A$2:$M$6000,2,0),"")</f>
        <v/>
      </c>
      <c r="C48" s="19">
        <f t="shared" si="14"/>
        <v>0</v>
      </c>
      <c r="D48" s="20" t="str">
        <f>IFERROR(VLOOKUP(H48,[1]SEMIELABORADOS!$A$2:$M$6000,6,0),"")</f>
        <v/>
      </c>
      <c r="E48" s="20" t="str">
        <f>IFERROR(VLOOKUP(H48,[1]SEMIELABORADOS!$A$2:$M$65536,12,0),"")</f>
        <v/>
      </c>
      <c r="F48" s="20" t="str">
        <f t="shared" si="15"/>
        <v/>
      </c>
      <c r="G48" s="21" t="str">
        <f t="shared" si="16"/>
        <v/>
      </c>
      <c r="H48" s="25"/>
      <c r="I48" s="17"/>
      <c r="J48" s="23"/>
    </row>
    <row r="49" spans="1:17" ht="13.8" hidden="1" x14ac:dyDescent="0.3">
      <c r="A49" s="18">
        <f t="shared" si="13"/>
        <v>0</v>
      </c>
      <c r="B49" s="24" t="str">
        <f>IFERROR(VLOOKUP(H49,[1]SEMIELABORADOS!$A$2:$M$6000,2,0),"")</f>
        <v/>
      </c>
      <c r="C49" s="19">
        <f t="shared" si="14"/>
        <v>0</v>
      </c>
      <c r="D49" s="20" t="str">
        <f>IFERROR(VLOOKUP(H49,[1]SEMIELABORADOS!$A$2:$M$6000,6,0),"")</f>
        <v/>
      </c>
      <c r="E49" s="20" t="str">
        <f>IFERROR(VLOOKUP(H49,[1]SEMIELABORADOS!$A$2:$M$65536,12,0),"")</f>
        <v/>
      </c>
      <c r="F49" s="20" t="str">
        <f t="shared" si="15"/>
        <v/>
      </c>
      <c r="G49" s="21" t="str">
        <f t="shared" si="16"/>
        <v/>
      </c>
      <c r="H49" s="25"/>
      <c r="I49" s="17"/>
      <c r="J49" s="23"/>
    </row>
    <row r="50" spans="1:17" ht="13.8" hidden="1" x14ac:dyDescent="0.3">
      <c r="A50" s="18">
        <f t="shared" si="13"/>
        <v>0</v>
      </c>
      <c r="B50" s="24" t="str">
        <f>IFERROR(VLOOKUP(H50,[1]SEMIELABORADOS!$A$2:$M$6000,2,0),"")</f>
        <v/>
      </c>
      <c r="C50" s="19">
        <f t="shared" si="14"/>
        <v>0</v>
      </c>
      <c r="D50" s="20" t="str">
        <f>IFERROR(VLOOKUP(H50,[1]SEMIELABORADOS!$A$2:$M$6000,6,0),"")</f>
        <v/>
      </c>
      <c r="E50" s="20" t="str">
        <f>IFERROR(VLOOKUP(H50,[1]SEMIELABORADOS!$A$2:$M$65536,12,0),"")</f>
        <v/>
      </c>
      <c r="F50" s="20" t="str">
        <f t="shared" si="15"/>
        <v/>
      </c>
      <c r="G50" s="21" t="str">
        <f t="shared" si="16"/>
        <v/>
      </c>
      <c r="H50" s="24"/>
      <c r="I50" s="17"/>
      <c r="J50" s="23"/>
    </row>
    <row r="51" spans="1:17" ht="13.8" x14ac:dyDescent="0.3">
      <c r="A51" s="18">
        <v>1</v>
      </c>
      <c r="B51" s="24" t="s">
        <v>70</v>
      </c>
      <c r="C51" s="19">
        <f>+A51</f>
        <v>1</v>
      </c>
      <c r="D51" s="19" t="s">
        <v>71</v>
      </c>
      <c r="E51" s="20">
        <f>+F65</f>
        <v>440</v>
      </c>
      <c r="F51" s="20">
        <f>IFERROR(C51*E51,"")</f>
        <v>440</v>
      </c>
      <c r="G51" s="21">
        <f>IFERROR(F51/$F$66,"")</f>
        <v>0.19695192387451593</v>
      </c>
      <c r="H51" s="29"/>
      <c r="I51" s="29"/>
      <c r="J51" s="23"/>
    </row>
    <row r="52" spans="1:17" ht="14.4" thickBot="1" x14ac:dyDescent="0.35">
      <c r="A52" s="18"/>
      <c r="B52" s="24"/>
      <c r="C52" s="19"/>
      <c r="D52" s="19"/>
      <c r="E52" s="20"/>
      <c r="F52" s="20"/>
      <c r="G52" s="21"/>
      <c r="H52" s="29"/>
      <c r="I52" s="29"/>
      <c r="J52" s="23"/>
    </row>
    <row r="53" spans="1:17" ht="13.8" thickBot="1" x14ac:dyDescent="0.3">
      <c r="A53" s="30"/>
      <c r="B53" s="316" t="s">
        <v>72</v>
      </c>
      <c r="C53" s="316"/>
      <c r="D53" s="316"/>
      <c r="E53" s="316"/>
      <c r="F53" s="32">
        <f>SUM(F8:F14,F17:F24)</f>
        <v>1096.3263672303428</v>
      </c>
      <c r="G53" s="21">
        <f>+F53/$F$66</f>
        <v>0.49073542550085242</v>
      </c>
      <c r="H53" s="33">
        <f>+F53/$D$60</f>
        <v>1096.3263672303428</v>
      </c>
      <c r="I53" s="33"/>
      <c r="J53" s="34"/>
      <c r="K53" s="35"/>
      <c r="L53" s="35"/>
      <c r="M53" s="35"/>
      <c r="N53" s="35"/>
      <c r="O53" s="35"/>
      <c r="P53" s="35"/>
      <c r="Q53" s="36"/>
    </row>
    <row r="54" spans="1:17" x14ac:dyDescent="0.25">
      <c r="A54" s="30"/>
      <c r="B54" s="316" t="s">
        <v>73</v>
      </c>
      <c r="C54" s="316"/>
      <c r="D54" s="316"/>
      <c r="E54" s="316"/>
      <c r="F54" s="32">
        <f>SUM(F27:F32,F35:F41)</f>
        <v>675.79484328993885</v>
      </c>
      <c r="G54" s="21">
        <f>+F54/$F$66</f>
        <v>0.30249794211461467</v>
      </c>
      <c r="H54" s="33">
        <f>+F54/$D$60</f>
        <v>675.79484328993885</v>
      </c>
      <c r="I54" s="33"/>
      <c r="J54" s="37"/>
      <c r="K54" s="317" t="s">
        <v>74</v>
      </c>
      <c r="L54" s="318"/>
      <c r="M54" s="318"/>
      <c r="N54" s="318"/>
      <c r="O54" s="38">
        <f>+F55</f>
        <v>1772.1212105202817</v>
      </c>
      <c r="P54" s="38"/>
      <c r="Q54" s="39"/>
    </row>
    <row r="55" spans="1:17" x14ac:dyDescent="0.25">
      <c r="A55" s="30"/>
      <c r="B55" s="316" t="s">
        <v>75</v>
      </c>
      <c r="C55" s="316"/>
      <c r="D55" s="316"/>
      <c r="E55" s="316"/>
      <c r="F55" s="32">
        <f>+F53+F54</f>
        <v>1772.1212105202817</v>
      </c>
      <c r="G55" s="21">
        <f>+F55/$F$66</f>
        <v>0.79323336761546714</v>
      </c>
      <c r="H55" s="33">
        <f>+F55/$D$60</f>
        <v>1772.1212105202817</v>
      </c>
      <c r="I55" s="33"/>
      <c r="J55" s="40"/>
      <c r="K55" s="41"/>
      <c r="L55" s="319" t="s">
        <v>76</v>
      </c>
      <c r="M55" s="319"/>
      <c r="N55" s="319"/>
      <c r="O55" s="38">
        <f>+F56</f>
        <v>540.96821494020048</v>
      </c>
      <c r="P55" s="38"/>
      <c r="Q55" s="39"/>
    </row>
    <row r="56" spans="1:17" ht="13.8" thickBot="1" x14ac:dyDescent="0.3">
      <c r="A56" s="30"/>
      <c r="B56" s="31"/>
      <c r="C56" s="316" t="s">
        <v>77</v>
      </c>
      <c r="D56" s="316"/>
      <c r="E56" s="316"/>
      <c r="F56" s="32">
        <f>SUM(F44:F51)</f>
        <v>540.96821494020048</v>
      </c>
      <c r="G56" s="21">
        <f>+F56/$F$66</f>
        <v>0.24214711519871621</v>
      </c>
      <c r="H56" s="33">
        <f>+F56/$D$60</f>
        <v>540.96821494020048</v>
      </c>
      <c r="I56" s="33"/>
      <c r="J56" s="40"/>
      <c r="K56" s="41"/>
      <c r="L56" s="41"/>
      <c r="M56" s="41" t="s">
        <v>78</v>
      </c>
      <c r="N56" s="42">
        <v>0.01</v>
      </c>
      <c r="O56" s="38">
        <f>O54*N56</f>
        <v>17.721212105202817</v>
      </c>
      <c r="P56" s="38"/>
      <c r="Q56" s="39"/>
    </row>
    <row r="57" spans="1:17" ht="13.8" thickBot="1" x14ac:dyDescent="0.25">
      <c r="A57" s="30"/>
      <c r="B57" s="43"/>
      <c r="C57" s="43"/>
      <c r="D57" s="43"/>
      <c r="E57" s="43"/>
      <c r="F57" s="44"/>
      <c r="G57" s="21"/>
      <c r="H57" s="45"/>
      <c r="I57" s="33"/>
      <c r="J57" s="40"/>
      <c r="K57" s="46"/>
      <c r="M57" s="47" t="s">
        <v>79</v>
      </c>
      <c r="N57" s="48"/>
      <c r="O57" s="49">
        <f>SUM(O54:O56)</f>
        <v>2330.8106375656853</v>
      </c>
      <c r="P57" s="50"/>
      <c r="Q57" s="39"/>
    </row>
    <row r="58" spans="1:17" x14ac:dyDescent="0.25">
      <c r="B58" s="320" t="s">
        <v>80</v>
      </c>
      <c r="C58" s="320"/>
      <c r="D58" s="51">
        <v>670</v>
      </c>
      <c r="E58" s="52"/>
      <c r="G58" s="21"/>
      <c r="H58" s="45"/>
      <c r="I58" s="53"/>
      <c r="J58" s="40"/>
      <c r="K58" s="46"/>
      <c r="L58" s="41"/>
      <c r="M58" s="41" t="s">
        <v>81</v>
      </c>
      <c r="N58" s="54">
        <v>0.25</v>
      </c>
      <c r="O58" s="38">
        <f>+O57*N58</f>
        <v>582.70265939142132</v>
      </c>
      <c r="P58" s="38"/>
      <c r="Q58" s="39"/>
    </row>
    <row r="59" spans="1:17" x14ac:dyDescent="0.25">
      <c r="B59" s="320" t="s">
        <v>82</v>
      </c>
      <c r="C59" s="320"/>
      <c r="D59" s="55">
        <v>670</v>
      </c>
      <c r="E59" s="52"/>
      <c r="G59" s="21"/>
      <c r="H59" s="45"/>
      <c r="I59" s="53"/>
      <c r="J59" s="40"/>
      <c r="K59" s="46"/>
      <c r="L59" s="41"/>
      <c r="M59" s="319" t="s">
        <v>79</v>
      </c>
      <c r="N59" s="319"/>
      <c r="O59" s="38">
        <f>SUM(O57:O58)</f>
        <v>2913.5132969571068</v>
      </c>
      <c r="P59" s="38"/>
      <c r="Q59" s="39"/>
    </row>
    <row r="60" spans="1:17" ht="13.8" thickBot="1" x14ac:dyDescent="0.3">
      <c r="B60" s="321" t="s">
        <v>83</v>
      </c>
      <c r="C60" s="321"/>
      <c r="D60" s="51">
        <f>+D58/D59</f>
        <v>1</v>
      </c>
      <c r="E60" s="52"/>
      <c r="F60" s="56"/>
      <c r="G60" s="21"/>
      <c r="H60" s="45"/>
      <c r="I60" s="53"/>
      <c r="J60" s="40"/>
      <c r="K60" s="46"/>
      <c r="L60" s="319" t="s">
        <v>84</v>
      </c>
      <c r="M60" s="319"/>
      <c r="N60" s="54">
        <v>0.05</v>
      </c>
      <c r="O60" s="38">
        <f>+O59*N60</f>
        <v>145.67566484785536</v>
      </c>
      <c r="P60" s="38"/>
      <c r="Q60" s="39"/>
    </row>
    <row r="61" spans="1:17" ht="13.8" thickBot="1" x14ac:dyDescent="0.25">
      <c r="B61" s="321" t="s">
        <v>85</v>
      </c>
      <c r="C61" s="321"/>
      <c r="D61" s="57" t="s">
        <v>105</v>
      </c>
      <c r="E61" s="52"/>
      <c r="F61" s="56"/>
      <c r="G61" s="21"/>
      <c r="H61" s="45"/>
      <c r="I61" s="53"/>
      <c r="J61" s="40"/>
      <c r="K61" s="322" t="s">
        <v>86</v>
      </c>
      <c r="L61" s="323"/>
      <c r="M61" s="323"/>
      <c r="N61" s="324"/>
      <c r="O61" s="49">
        <f>SUM(O59:O60)</f>
        <v>3059.1889618049622</v>
      </c>
      <c r="P61" s="58" t="s">
        <v>87</v>
      </c>
      <c r="Q61" s="39"/>
    </row>
    <row r="62" spans="1:17" ht="13.8" thickBot="1" x14ac:dyDescent="0.25">
      <c r="C62" s="30" t="s">
        <v>88</v>
      </c>
      <c r="D62" s="59"/>
      <c r="E62" s="4" t="s">
        <v>89</v>
      </c>
      <c r="F62" s="60" t="s">
        <v>90</v>
      </c>
      <c r="G62" s="21"/>
      <c r="H62" s="45"/>
      <c r="I62" s="53"/>
      <c r="J62" s="61"/>
      <c r="K62" s="62"/>
      <c r="L62" s="325" t="s">
        <v>91</v>
      </c>
      <c r="M62" s="325"/>
      <c r="N62" s="325"/>
      <c r="O62" s="63">
        <f>+O61/D60</f>
        <v>3059.1889618049622</v>
      </c>
      <c r="P62" s="64">
        <f>+O62/D59</f>
        <v>4.5659536743357645</v>
      </c>
      <c r="Q62" s="65"/>
    </row>
    <row r="63" spans="1:17" ht="13.8" thickBot="1" x14ac:dyDescent="0.25">
      <c r="B63" s="326" t="s">
        <v>75</v>
      </c>
      <c r="C63" s="326"/>
      <c r="D63" s="326"/>
      <c r="E63" s="66">
        <f>+F63/F63</f>
        <v>1</v>
      </c>
      <c r="F63" s="67">
        <f>SUM(F55)</f>
        <v>1772.1212105202817</v>
      </c>
      <c r="G63" s="21">
        <f>+F63/$F$66</f>
        <v>0.79323336761546714</v>
      </c>
      <c r="H63" s="45"/>
      <c r="I63" s="53"/>
      <c r="K63" s="327"/>
      <c r="L63" s="328"/>
      <c r="M63" s="328"/>
      <c r="N63" s="328"/>
      <c r="O63" s="68"/>
      <c r="P63" s="69"/>
    </row>
    <row r="64" spans="1:17" ht="13.8" thickBot="1" x14ac:dyDescent="0.3">
      <c r="B64" s="329" t="s">
        <v>92</v>
      </c>
      <c r="C64" s="329"/>
      <c r="D64" s="329"/>
      <c r="E64" s="70">
        <v>0.02</v>
      </c>
      <c r="F64" s="67">
        <f>+F53*E64</f>
        <v>21.926527344606857</v>
      </c>
      <c r="G64" s="21">
        <f>+F64/$F$66</f>
        <v>9.8147085100170478E-3</v>
      </c>
      <c r="H64" s="33"/>
      <c r="I64" s="53"/>
      <c r="J64" s="71"/>
      <c r="O64" s="72"/>
      <c r="P64" s="31"/>
    </row>
    <row r="65" spans="2:10" ht="13.8" thickBot="1" x14ac:dyDescent="0.3">
      <c r="B65" s="331" t="s">
        <v>93</v>
      </c>
      <c r="C65" s="332"/>
      <c r="D65" s="73">
        <v>8</v>
      </c>
      <c r="E65" s="74">
        <v>55</v>
      </c>
      <c r="F65" s="67">
        <f>+E65*D65</f>
        <v>440</v>
      </c>
      <c r="G65" s="21">
        <f>+F65/$F$66</f>
        <v>0.19695192387451593</v>
      </c>
      <c r="H65" s="33"/>
      <c r="I65" s="33"/>
      <c r="J65" s="23"/>
    </row>
    <row r="66" spans="2:10" ht="13.8" thickBot="1" x14ac:dyDescent="0.3">
      <c r="B66" s="333" t="s">
        <v>94</v>
      </c>
      <c r="C66" s="334"/>
      <c r="D66" s="334"/>
      <c r="E66" s="335"/>
      <c r="F66" s="44">
        <f>SUM(F63:F65)</f>
        <v>2234.0477378648884</v>
      </c>
      <c r="G66" s="21">
        <f>+F66/$F$66</f>
        <v>1</v>
      </c>
      <c r="H66" s="336"/>
      <c r="I66" s="33"/>
      <c r="J66" s="23"/>
    </row>
    <row r="67" spans="2:10" x14ac:dyDescent="0.25">
      <c r="C67" s="28"/>
      <c r="D67" s="28"/>
      <c r="E67" s="76"/>
      <c r="F67" s="67"/>
      <c r="G67" s="21"/>
      <c r="H67" s="336"/>
      <c r="I67" s="75"/>
      <c r="J67" s="6"/>
    </row>
    <row r="68" spans="2:10" ht="13.8" thickBot="1" x14ac:dyDescent="0.3">
      <c r="B68" s="337" t="s">
        <v>95</v>
      </c>
      <c r="C68" s="337"/>
      <c r="D68" s="337"/>
      <c r="E68" s="337"/>
      <c r="F68" s="337"/>
      <c r="G68" s="21"/>
      <c r="H68" s="78"/>
      <c r="I68" s="75"/>
      <c r="J68" s="6"/>
    </row>
    <row r="69" spans="2:10" ht="13.8" thickBot="1" x14ac:dyDescent="0.3">
      <c r="B69" s="79" t="s">
        <v>96</v>
      </c>
      <c r="C69" s="80">
        <f>+F53</f>
        <v>1096.3263672303428</v>
      </c>
      <c r="D69" s="80">
        <f>+D58</f>
        <v>670</v>
      </c>
      <c r="E69" s="81">
        <f>+C69/D69</f>
        <v>1.6363080107915564</v>
      </c>
      <c r="F69" s="21"/>
      <c r="G69" s="78"/>
      <c r="H69" s="23"/>
      <c r="I69" s="78"/>
      <c r="J69" s="6"/>
    </row>
    <row r="70" spans="2:10" x14ac:dyDescent="0.25">
      <c r="B70" s="82"/>
      <c r="C70" s="83"/>
      <c r="D70" s="84"/>
      <c r="E70" s="67"/>
      <c r="F70" s="21"/>
      <c r="G70" s="78"/>
      <c r="H70" s="23"/>
      <c r="I70" s="23"/>
      <c r="J70" s="6"/>
    </row>
    <row r="71" spans="2:10" x14ac:dyDescent="0.25">
      <c r="B71" s="79" t="s">
        <v>97</v>
      </c>
      <c r="C71" s="80">
        <f>SUM(F63:F64)</f>
        <v>1794.0477378648886</v>
      </c>
      <c r="D71" s="80">
        <f>+D58</f>
        <v>670</v>
      </c>
      <c r="E71" s="85">
        <f>+C71/D71</f>
        <v>2.6776831908431173</v>
      </c>
      <c r="F71" s="21"/>
      <c r="G71" s="78"/>
      <c r="H71" s="23"/>
      <c r="I71" s="23"/>
      <c r="J71" s="6"/>
    </row>
    <row r="72" spans="2:10" x14ac:dyDescent="0.25">
      <c r="B72" s="79"/>
      <c r="C72" s="80"/>
      <c r="D72" s="80"/>
      <c r="E72" s="85"/>
      <c r="F72" s="21"/>
      <c r="G72" s="78"/>
      <c r="H72" s="23"/>
      <c r="I72" s="23"/>
      <c r="J72" s="6"/>
    </row>
    <row r="73" spans="2:10" ht="13.8" thickBot="1" x14ac:dyDescent="0.3">
      <c r="B73" s="79" t="s">
        <v>98</v>
      </c>
      <c r="C73" s="80">
        <f>+F65</f>
        <v>440</v>
      </c>
      <c r="D73" s="80">
        <f>+D58</f>
        <v>670</v>
      </c>
      <c r="E73" s="85">
        <f>+C73/D73</f>
        <v>0.65671641791044777</v>
      </c>
      <c r="F73" s="21"/>
      <c r="G73" s="78"/>
      <c r="H73" s="23"/>
      <c r="I73" s="23"/>
      <c r="J73" s="6"/>
    </row>
    <row r="74" spans="2:10" ht="13.8" thickBot="1" x14ac:dyDescent="0.3">
      <c r="B74" s="79" t="s">
        <v>99</v>
      </c>
      <c r="C74" s="80">
        <f>+F56</f>
        <v>540.96821494020048</v>
      </c>
      <c r="D74" s="80">
        <f>+D73</f>
        <v>670</v>
      </c>
      <c r="E74" s="81">
        <f>+C74/D74</f>
        <v>0.80741524617940374</v>
      </c>
      <c r="F74" s="21"/>
      <c r="G74" s="78"/>
      <c r="H74" s="23"/>
      <c r="I74" s="23"/>
      <c r="J74" s="6"/>
    </row>
    <row r="75" spans="2:10" ht="13.8" thickBot="1" x14ac:dyDescent="0.3">
      <c r="B75" s="43"/>
      <c r="C75" s="44"/>
      <c r="D75" s="44"/>
      <c r="E75" s="85"/>
      <c r="F75" s="21"/>
      <c r="G75" s="78"/>
      <c r="H75" s="23"/>
      <c r="I75" s="23"/>
      <c r="J75" s="6"/>
    </row>
    <row r="76" spans="2:10" ht="13.8" thickBot="1" x14ac:dyDescent="0.3">
      <c r="B76" s="79" t="s">
        <v>100</v>
      </c>
      <c r="C76" s="80">
        <f>+F54</f>
        <v>675.79484328993885</v>
      </c>
      <c r="D76" s="80">
        <f>+D74</f>
        <v>670</v>
      </c>
      <c r="E76" s="81">
        <f>+C76/D76</f>
        <v>1.0086490198357296</v>
      </c>
      <c r="F76" s="21"/>
      <c r="G76" s="78"/>
      <c r="H76" s="23"/>
      <c r="I76" s="23"/>
      <c r="J76" s="23"/>
    </row>
    <row r="77" spans="2:10" ht="13.8" thickBot="1" x14ac:dyDescent="0.3">
      <c r="B77" s="43"/>
      <c r="C77" s="44"/>
      <c r="D77" s="44"/>
      <c r="E77" s="85"/>
      <c r="F77" s="21"/>
      <c r="G77" s="78"/>
      <c r="H77" s="23"/>
      <c r="I77" s="23"/>
    </row>
    <row r="78" spans="2:10" ht="13.8" thickBot="1" x14ac:dyDescent="0.3">
      <c r="B78" s="338" t="s">
        <v>101</v>
      </c>
      <c r="C78" s="339"/>
      <c r="D78" s="340"/>
      <c r="E78" s="81">
        <f>+E69+E74</f>
        <v>2.4437232569709604</v>
      </c>
      <c r="G78" s="21"/>
      <c r="H78" s="78"/>
      <c r="I78" s="23"/>
      <c r="J78" s="85"/>
    </row>
    <row r="79" spans="2:10" x14ac:dyDescent="0.25">
      <c r="I79" s="78"/>
      <c r="J79" s="6"/>
    </row>
    <row r="80" spans="2:10" ht="13.8" thickBot="1" x14ac:dyDescent="0.3">
      <c r="B80" s="337" t="s">
        <v>102</v>
      </c>
      <c r="C80" s="337"/>
      <c r="D80" s="337"/>
      <c r="E80" s="337"/>
      <c r="F80" s="337"/>
      <c r="G80" s="21"/>
      <c r="H80" s="78"/>
      <c r="J80" s="6"/>
    </row>
    <row r="81" spans="1:10" ht="13.8" thickBot="1" x14ac:dyDescent="0.3">
      <c r="B81" s="79" t="s">
        <v>96</v>
      </c>
      <c r="C81" s="80">
        <f>+C69</f>
        <v>1096.3263672303428</v>
      </c>
      <c r="D81" s="80">
        <f>+D60</f>
        <v>1</v>
      </c>
      <c r="E81" s="81">
        <f>+C81/D81</f>
        <v>1096.3263672303428</v>
      </c>
      <c r="F81" s="21"/>
      <c r="G81" s="78"/>
      <c r="H81" s="23"/>
      <c r="I81" s="78"/>
      <c r="J81" s="6"/>
    </row>
    <row r="82" spans="1:10" x14ac:dyDescent="0.25">
      <c r="B82" s="82"/>
      <c r="C82" s="83"/>
      <c r="D82" s="84"/>
      <c r="E82" s="67"/>
      <c r="F82" s="21"/>
      <c r="G82" s="78"/>
      <c r="H82" s="23"/>
      <c r="I82" s="23"/>
      <c r="J82" s="6"/>
    </row>
    <row r="83" spans="1:10" x14ac:dyDescent="0.25">
      <c r="B83" s="79" t="s">
        <v>97</v>
      </c>
      <c r="C83" s="80">
        <f>+C71</f>
        <v>1794.0477378648886</v>
      </c>
      <c r="D83" s="80">
        <f>+D60</f>
        <v>1</v>
      </c>
      <c r="E83" s="85">
        <f>+C83/D83</f>
        <v>1794.0477378648886</v>
      </c>
      <c r="F83" s="21"/>
      <c r="G83" s="78"/>
      <c r="H83" s="23"/>
      <c r="I83" s="23"/>
      <c r="J83" s="6"/>
    </row>
    <row r="84" spans="1:10" x14ac:dyDescent="0.25">
      <c r="B84" s="79"/>
      <c r="C84" s="80"/>
      <c r="D84" s="80"/>
      <c r="E84" s="85"/>
      <c r="F84" s="21"/>
      <c r="G84" s="78"/>
      <c r="H84" s="23"/>
      <c r="I84" s="23"/>
      <c r="J84" s="6"/>
    </row>
    <row r="85" spans="1:10" ht="13.8" thickBot="1" x14ac:dyDescent="0.3">
      <c r="B85" s="79" t="s">
        <v>99</v>
      </c>
      <c r="C85" s="80">
        <f>+C73</f>
        <v>440</v>
      </c>
      <c r="D85" s="80">
        <f>+D60</f>
        <v>1</v>
      </c>
      <c r="E85" s="85">
        <f>+C85/D85</f>
        <v>440</v>
      </c>
      <c r="F85" s="87"/>
      <c r="G85" s="77"/>
      <c r="H85" s="5"/>
      <c r="I85" s="23"/>
    </row>
    <row r="86" spans="1:10" ht="13.8" thickBot="1" x14ac:dyDescent="0.3">
      <c r="B86" s="79" t="s">
        <v>99</v>
      </c>
      <c r="C86" s="80">
        <f>+C74</f>
        <v>540.96821494020048</v>
      </c>
      <c r="D86" s="80">
        <f>+D85</f>
        <v>1</v>
      </c>
      <c r="E86" s="81">
        <f>+C86/D86</f>
        <v>540.96821494020048</v>
      </c>
      <c r="F86" s="86"/>
      <c r="G86" s="77"/>
      <c r="H86" s="5"/>
      <c r="I86" s="5"/>
    </row>
    <row r="87" spans="1:10" x14ac:dyDescent="0.25">
      <c r="I87" s="5"/>
    </row>
    <row r="88" spans="1:10" x14ac:dyDescent="0.25">
      <c r="A88" s="330"/>
      <c r="B88" s="330"/>
      <c r="C88" s="88"/>
      <c r="D88" s="88"/>
      <c r="E88" s="89"/>
      <c r="G88" s="90"/>
    </row>
    <row r="89" spans="1:10" x14ac:dyDescent="0.25">
      <c r="A89" s="24"/>
      <c r="B89" s="91"/>
      <c r="C89" s="92"/>
      <c r="D89" s="92"/>
      <c r="E89" s="93"/>
      <c r="G89" s="90"/>
    </row>
    <row r="90" spans="1:10" x14ac:dyDescent="0.25">
      <c r="A90" s="24"/>
      <c r="B90" s="91"/>
      <c r="C90" s="94"/>
      <c r="D90" s="94"/>
      <c r="E90" s="24"/>
      <c r="G90" s="90"/>
    </row>
    <row r="91" spans="1:10" x14ac:dyDescent="0.25">
      <c r="A91" s="24"/>
      <c r="B91" s="91"/>
      <c r="C91" s="95"/>
      <c r="D91" s="95"/>
      <c r="E91" s="24"/>
      <c r="G91" s="90"/>
    </row>
  </sheetData>
  <mergeCells count="31">
    <mergeCell ref="B63:D63"/>
    <mergeCell ref="K63:N63"/>
    <mergeCell ref="B64:D64"/>
    <mergeCell ref="A88:B88"/>
    <mergeCell ref="B65:C65"/>
    <mergeCell ref="B66:E66"/>
    <mergeCell ref="H66:H67"/>
    <mergeCell ref="B68:F68"/>
    <mergeCell ref="B78:D78"/>
    <mergeCell ref="B80:F80"/>
    <mergeCell ref="B60:C60"/>
    <mergeCell ref="L60:M60"/>
    <mergeCell ref="B61:C61"/>
    <mergeCell ref="K61:N61"/>
    <mergeCell ref="L62:N62"/>
    <mergeCell ref="B55:E55"/>
    <mergeCell ref="L55:N55"/>
    <mergeCell ref="C56:E56"/>
    <mergeCell ref="B58:C58"/>
    <mergeCell ref="B59:C59"/>
    <mergeCell ref="M59:N59"/>
    <mergeCell ref="K29:L29"/>
    <mergeCell ref="K30:L30"/>
    <mergeCell ref="B53:E53"/>
    <mergeCell ref="B54:E54"/>
    <mergeCell ref="K54:N54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A7012-E495-48AD-9AF2-276CA8116F66}">
  <dimension ref="A1:AK43"/>
  <sheetViews>
    <sheetView topLeftCell="A7" workbookViewId="0">
      <selection activeCell="F23" sqref="F23"/>
    </sheetView>
  </sheetViews>
  <sheetFormatPr baseColWidth="10" defaultColWidth="8.44140625" defaultRowHeight="10.199999999999999" x14ac:dyDescent="0.2"/>
  <cols>
    <col min="1" max="1" width="7.5546875" style="96" customWidth="1"/>
    <col min="2" max="2" width="7.6640625" style="96" bestFit="1" customWidth="1"/>
    <col min="3" max="3" width="39.33203125" style="96" customWidth="1"/>
    <col min="4" max="4" width="10" style="96" bestFit="1" customWidth="1"/>
    <col min="5" max="5" width="9.44140625" style="96" bestFit="1" customWidth="1"/>
    <col min="6" max="6" width="11.6640625" style="141" customWidth="1"/>
    <col min="7" max="7" width="8.6640625" style="142" bestFit="1" customWidth="1"/>
    <col min="8" max="8" width="10.33203125" style="143" bestFit="1" customWidth="1"/>
    <col min="9" max="16384" width="8.44140625" style="96"/>
  </cols>
  <sheetData>
    <row r="1" spans="2:8" ht="36" customHeight="1" thickBot="1" x14ac:dyDescent="0.4">
      <c r="B1" s="352"/>
      <c r="C1" s="353"/>
      <c r="D1" s="353"/>
      <c r="E1" s="353"/>
      <c r="F1" s="353"/>
      <c r="G1" s="353"/>
      <c r="H1" s="354"/>
    </row>
    <row r="2" spans="2:8" ht="19.5" customHeight="1" thickBot="1" x14ac:dyDescent="0.25">
      <c r="B2" s="355" t="s">
        <v>106</v>
      </c>
      <c r="C2" s="355"/>
      <c r="D2" s="355"/>
      <c r="E2" s="355"/>
      <c r="F2" s="355"/>
      <c r="G2" s="355"/>
      <c r="H2" s="355"/>
    </row>
    <row r="3" spans="2:8" ht="19.5" customHeight="1" thickTop="1" x14ac:dyDescent="0.2">
      <c r="B3" s="356" t="s">
        <v>107</v>
      </c>
      <c r="C3" s="356"/>
      <c r="D3" s="356"/>
      <c r="E3" s="356"/>
      <c r="F3" s="356"/>
      <c r="G3" s="356"/>
      <c r="H3" s="356"/>
    </row>
    <row r="4" spans="2:8" ht="19.5" customHeight="1" x14ac:dyDescent="0.2">
      <c r="B4" s="97"/>
      <c r="C4" s="97"/>
      <c r="D4" s="97"/>
      <c r="E4" s="97"/>
      <c r="F4" s="357" t="s">
        <v>59</v>
      </c>
      <c r="G4" s="357"/>
      <c r="H4" s="12"/>
    </row>
    <row r="5" spans="2:8" ht="30" customHeight="1" x14ac:dyDescent="0.2">
      <c r="B5" s="98" t="s">
        <v>91</v>
      </c>
      <c r="C5" s="98" t="s">
        <v>61</v>
      </c>
      <c r="D5" s="98" t="s">
        <v>91</v>
      </c>
      <c r="E5" s="99" t="s">
        <v>108</v>
      </c>
      <c r="F5" s="99" t="s">
        <v>109</v>
      </c>
      <c r="G5" s="99" t="s">
        <v>110</v>
      </c>
      <c r="H5" s="99" t="s">
        <v>111</v>
      </c>
    </row>
    <row r="6" spans="2:8" s="100" customFormat="1" ht="20.100000000000001" customHeight="1" x14ac:dyDescent="0.2">
      <c r="B6" s="101">
        <v>1</v>
      </c>
      <c r="C6" s="100" t="s">
        <v>131</v>
      </c>
      <c r="D6" s="102">
        <f>+B6</f>
        <v>1</v>
      </c>
      <c r="E6" s="102">
        <v>1037.1983094279053</v>
      </c>
      <c r="F6" s="103">
        <f>+D6*E6</f>
        <v>1037.1983094279053</v>
      </c>
      <c r="G6" s="104">
        <f>+F6/$F$23</f>
        <v>0.40043257900724688</v>
      </c>
      <c r="H6" s="105" t="s">
        <v>112</v>
      </c>
    </row>
    <row r="7" spans="2:8" s="100" customFormat="1" ht="20.100000000000001" customHeight="1" x14ac:dyDescent="0.2">
      <c r="B7" s="101"/>
      <c r="D7" s="102"/>
      <c r="E7" s="102"/>
      <c r="F7" s="103"/>
      <c r="G7" s="104"/>
      <c r="H7" s="105"/>
    </row>
    <row r="8" spans="2:8" ht="30" customHeight="1" x14ac:dyDescent="0.2">
      <c r="B8" s="98" t="s">
        <v>91</v>
      </c>
      <c r="C8" s="98" t="s">
        <v>27</v>
      </c>
      <c r="D8" s="98" t="s">
        <v>91</v>
      </c>
      <c r="E8" s="99" t="s">
        <v>108</v>
      </c>
      <c r="F8" s="99" t="s">
        <v>109</v>
      </c>
      <c r="G8" s="99" t="s">
        <v>110</v>
      </c>
      <c r="H8" s="99" t="s">
        <v>111</v>
      </c>
    </row>
    <row r="9" spans="2:8" s="100" customFormat="1" ht="20.100000000000001" customHeight="1" x14ac:dyDescent="0.2">
      <c r="B9" s="101">
        <v>1</v>
      </c>
      <c r="C9" s="100" t="s">
        <v>113</v>
      </c>
      <c r="D9" s="102">
        <f>+B9</f>
        <v>1</v>
      </c>
      <c r="E9" s="102">
        <v>506.29484328993868</v>
      </c>
      <c r="F9" s="103">
        <f>+D9*E9</f>
        <v>506.29484328993868</v>
      </c>
      <c r="G9" s="104">
        <f>+F9/$F$23</f>
        <v>0.19546594705547204</v>
      </c>
      <c r="H9" s="105" t="s">
        <v>114</v>
      </c>
    </row>
    <row r="10" spans="2:8" s="106" customFormat="1" ht="17.25" customHeight="1" x14ac:dyDescent="0.25">
      <c r="B10" s="107"/>
      <c r="C10" s="108"/>
      <c r="D10" s="109"/>
      <c r="E10" s="109"/>
      <c r="F10" s="110"/>
      <c r="G10" s="111"/>
      <c r="H10" s="112"/>
    </row>
    <row r="11" spans="2:8" s="106" customFormat="1" ht="12" x14ac:dyDescent="0.25">
      <c r="B11" s="101"/>
      <c r="C11" s="319" t="s">
        <v>115</v>
      </c>
      <c r="D11" s="319"/>
      <c r="E11" s="102"/>
      <c r="F11" s="38">
        <f>SUM(F6)</f>
        <v>1037.1983094279053</v>
      </c>
      <c r="G11" s="113">
        <f>+F11/$F$23</f>
        <v>0.40043257900724688</v>
      </c>
      <c r="H11" s="105"/>
    </row>
    <row r="12" spans="2:8" s="106" customFormat="1" ht="12.6" thickBot="1" x14ac:dyDescent="0.3">
      <c r="B12" s="101"/>
      <c r="C12" s="319" t="s">
        <v>116</v>
      </c>
      <c r="D12" s="319"/>
      <c r="E12" s="102"/>
      <c r="F12" s="114">
        <f>SUM(F9)</f>
        <v>506.29484328993868</v>
      </c>
      <c r="G12" s="113">
        <f>+F12/$F$23</f>
        <v>0.19546594705547204</v>
      </c>
      <c r="H12" s="105"/>
    </row>
    <row r="13" spans="2:8" s="106" customFormat="1" ht="12.6" thickTop="1" x14ac:dyDescent="0.25">
      <c r="B13" s="101"/>
      <c r="C13" s="323" t="s">
        <v>74</v>
      </c>
      <c r="D13" s="323"/>
      <c r="E13" s="323"/>
      <c r="F13" s="50">
        <f>SUM(F11:F12)</f>
        <v>1543.4931527178439</v>
      </c>
      <c r="G13" s="113">
        <f>+F13/$F$23</f>
        <v>0.59589852606271887</v>
      </c>
      <c r="H13" s="105"/>
    </row>
    <row r="14" spans="2:8" s="106" customFormat="1" ht="12" x14ac:dyDescent="0.25">
      <c r="C14" s="46"/>
      <c r="D14" s="46"/>
      <c r="E14" s="115"/>
      <c r="F14" s="116"/>
      <c r="G14" s="113"/>
    </row>
    <row r="15" spans="2:8" s="106" customFormat="1" ht="12" x14ac:dyDescent="0.25">
      <c r="B15" s="319" t="s">
        <v>74</v>
      </c>
      <c r="C15" s="319"/>
      <c r="D15" s="319"/>
      <c r="E15" s="117" t="s">
        <v>117</v>
      </c>
      <c r="F15" s="38">
        <f>+F13</f>
        <v>1543.4931527178439</v>
      </c>
      <c r="G15" s="113">
        <f t="shared" ref="G15:G23" si="0">+F15/$F$23</f>
        <v>0.59589852606271887</v>
      </c>
      <c r="H15" s="118"/>
    </row>
    <row r="16" spans="2:8" s="106" customFormat="1" ht="12.75" customHeight="1" thickBot="1" x14ac:dyDescent="0.3">
      <c r="B16" s="41"/>
      <c r="C16" s="319" t="s">
        <v>76</v>
      </c>
      <c r="D16" s="319"/>
      <c r="E16" s="119"/>
      <c r="F16" s="38">
        <v>478.12215579569892</v>
      </c>
      <c r="G16" s="113">
        <f t="shared" si="0"/>
        <v>0.18458927881532988</v>
      </c>
      <c r="H16" s="118"/>
    </row>
    <row r="17" spans="1:37" s="106" customFormat="1" ht="12.75" hidden="1" customHeight="1" x14ac:dyDescent="0.25">
      <c r="B17" s="41"/>
      <c r="C17" s="319" t="s">
        <v>118</v>
      </c>
      <c r="D17" s="319"/>
      <c r="E17" s="120">
        <v>0</v>
      </c>
      <c r="F17" s="38">
        <f>+(F15+F16)*E17</f>
        <v>0</v>
      </c>
      <c r="G17" s="113">
        <f t="shared" si="0"/>
        <v>0</v>
      </c>
      <c r="H17" s="118"/>
    </row>
    <row r="18" spans="1:37" s="106" customFormat="1" ht="12.6" hidden="1" thickBot="1" x14ac:dyDescent="0.3">
      <c r="B18" s="41"/>
      <c r="C18" s="319" t="s">
        <v>119</v>
      </c>
      <c r="D18" s="319"/>
      <c r="E18" s="120">
        <v>0</v>
      </c>
      <c r="F18" s="38">
        <f>+F16*E18</f>
        <v>0</v>
      </c>
      <c r="G18" s="113">
        <f t="shared" si="0"/>
        <v>0</v>
      </c>
      <c r="H18" s="118"/>
    </row>
    <row r="19" spans="1:37" s="106" customFormat="1" ht="12.6" thickBot="1" x14ac:dyDescent="0.3">
      <c r="B19" s="46"/>
      <c r="C19" s="350"/>
      <c r="D19" s="350"/>
      <c r="E19" s="351"/>
      <c r="F19" s="49">
        <f>SUM(F15:F18)</f>
        <v>2021.6153085135429</v>
      </c>
      <c r="G19" s="121">
        <f>+F19/$F$21</f>
        <v>0.8</v>
      </c>
      <c r="H19" s="118"/>
    </row>
    <row r="20" spans="1:37" s="106" customFormat="1" ht="12" x14ac:dyDescent="0.25">
      <c r="B20" s="46"/>
      <c r="C20" s="319" t="s">
        <v>81</v>
      </c>
      <c r="D20" s="319"/>
      <c r="E20" s="122">
        <v>0.25</v>
      </c>
      <c r="F20" s="38">
        <f>+F19*E20</f>
        <v>505.40382712838573</v>
      </c>
      <c r="G20" s="113">
        <f t="shared" si="0"/>
        <v>0.1951219512195122</v>
      </c>
      <c r="H20" s="118"/>
    </row>
    <row r="21" spans="1:37" s="106" customFormat="1" ht="12" x14ac:dyDescent="0.25">
      <c r="B21" s="46"/>
      <c r="C21" s="319" t="s">
        <v>79</v>
      </c>
      <c r="D21" s="319"/>
      <c r="E21" s="319"/>
      <c r="F21" s="38">
        <f>SUM(F19:F20)</f>
        <v>2527.0191356419286</v>
      </c>
      <c r="G21" s="113">
        <f t="shared" si="0"/>
        <v>0.97560975609756095</v>
      </c>
      <c r="H21" s="118"/>
    </row>
    <row r="22" spans="1:37" s="106" customFormat="1" ht="12.6" thickBot="1" x14ac:dyDescent="0.3">
      <c r="B22" s="46"/>
      <c r="C22" s="319" t="s">
        <v>84</v>
      </c>
      <c r="D22" s="319"/>
      <c r="E22" s="122">
        <v>2.5000000000000001E-2</v>
      </c>
      <c r="F22" s="38">
        <f>+F21*E22</f>
        <v>63.175478391048216</v>
      </c>
      <c r="G22" s="113">
        <f t="shared" si="0"/>
        <v>2.4390243902439025E-2</v>
      </c>
      <c r="H22" s="118"/>
    </row>
    <row r="23" spans="1:37" s="106" customFormat="1" ht="12.6" thickBot="1" x14ac:dyDescent="0.3">
      <c r="B23" s="46"/>
      <c r="C23" s="323" t="s">
        <v>86</v>
      </c>
      <c r="D23" s="323"/>
      <c r="E23" s="324"/>
      <c r="F23" s="49">
        <f>SUM(F21:F22)</f>
        <v>2590.1946140329769</v>
      </c>
      <c r="G23" s="113">
        <f t="shared" si="0"/>
        <v>1</v>
      </c>
      <c r="H23" s="123"/>
    </row>
    <row r="24" spans="1:37" s="106" customFormat="1" ht="12.6" thickBot="1" x14ac:dyDescent="0.3">
      <c r="B24" s="46"/>
      <c r="C24" s="124"/>
      <c r="D24" s="124"/>
      <c r="E24" s="124"/>
      <c r="F24" s="50"/>
      <c r="G24" s="125"/>
      <c r="H24" s="123"/>
    </row>
    <row r="25" spans="1:37" s="126" customFormat="1" ht="19.5" customHeight="1" thickBot="1" x14ac:dyDescent="0.3">
      <c r="A25" s="348"/>
      <c r="B25" s="349"/>
      <c r="C25" s="349"/>
      <c r="D25" s="349"/>
      <c r="E25" s="349"/>
      <c r="F25" s="349"/>
      <c r="G25" s="349"/>
      <c r="H25" s="349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  <c r="AA25" s="106"/>
      <c r="AB25" s="106"/>
      <c r="AC25" s="106"/>
      <c r="AD25" s="106"/>
      <c r="AE25" s="106"/>
      <c r="AF25" s="106"/>
      <c r="AG25" s="106"/>
      <c r="AH25" s="106"/>
      <c r="AI25" s="106"/>
      <c r="AJ25" s="106"/>
      <c r="AK25" s="106"/>
    </row>
    <row r="26" spans="1:37" s="106" customFormat="1" ht="19.5" customHeight="1" thickBot="1" x14ac:dyDescent="0.3">
      <c r="F26" s="127"/>
      <c r="G26" s="128"/>
      <c r="H26" s="118"/>
    </row>
    <row r="27" spans="1:37" s="106" customFormat="1" ht="13.5" customHeight="1" thickBot="1" x14ac:dyDescent="0.3">
      <c r="B27" s="46"/>
      <c r="C27" s="323" t="s">
        <v>86</v>
      </c>
      <c r="D27" s="323"/>
      <c r="E27" s="324"/>
      <c r="F27" s="49">
        <f>+F23</f>
        <v>2590.1946140329769</v>
      </c>
      <c r="H27" s="118"/>
    </row>
    <row r="28" spans="1:37" s="106" customFormat="1" ht="13.5" customHeight="1" x14ac:dyDescent="0.25">
      <c r="B28" s="46"/>
      <c r="C28" s="342" t="s">
        <v>120</v>
      </c>
      <c r="D28" s="342" t="s">
        <v>121</v>
      </c>
      <c r="E28" s="122">
        <v>0.1</v>
      </c>
      <c r="F28" s="129">
        <f>+F27*E28</f>
        <v>259.01946140329773</v>
      </c>
      <c r="G28" s="130" t="s">
        <v>122</v>
      </c>
      <c r="H28" s="118" t="s">
        <v>123</v>
      </c>
    </row>
    <row r="29" spans="1:37" s="106" customFormat="1" ht="13.5" customHeight="1" x14ac:dyDescent="0.25">
      <c r="B29" s="46"/>
      <c r="C29" s="346" t="s">
        <v>124</v>
      </c>
      <c r="D29" s="346"/>
      <c r="E29" s="346"/>
      <c r="F29" s="129">
        <f>SUM(F27:F28)</f>
        <v>2849.2140754362745</v>
      </c>
      <c r="G29" s="130">
        <f>+F29/$F$31</f>
        <v>0.68965517241379315</v>
      </c>
      <c r="H29" s="131">
        <f>1-(F29/F31)</f>
        <v>0.31034482758620685</v>
      </c>
    </row>
    <row r="30" spans="1:37" s="106" customFormat="1" ht="12" x14ac:dyDescent="0.25">
      <c r="B30" s="108"/>
      <c r="C30" s="342" t="s">
        <v>125</v>
      </c>
      <c r="D30" s="342"/>
      <c r="E30" s="122">
        <v>0.45</v>
      </c>
      <c r="F30" s="38">
        <f>+F29*E30</f>
        <v>1282.1463339463235</v>
      </c>
      <c r="G30" s="125"/>
      <c r="H30" s="132"/>
    </row>
    <row r="31" spans="1:37" s="106" customFormat="1" ht="12.6" thickBot="1" x14ac:dyDescent="0.3">
      <c r="B31" s="108"/>
      <c r="C31" s="342" t="s">
        <v>126</v>
      </c>
      <c r="D31" s="342"/>
      <c r="E31" s="133"/>
      <c r="F31" s="38">
        <f>SUM(F29:F30)</f>
        <v>4131.3604093825979</v>
      </c>
      <c r="G31" s="125"/>
      <c r="H31" s="123"/>
    </row>
    <row r="32" spans="1:37" s="106" customFormat="1" ht="12.6" thickBot="1" x14ac:dyDescent="0.3">
      <c r="B32" s="108"/>
      <c r="C32" s="347" t="s">
        <v>127</v>
      </c>
      <c r="D32" s="347"/>
      <c r="E32" s="134">
        <v>0.13</v>
      </c>
      <c r="F32" s="135">
        <f>+F31*(1+E32)</f>
        <v>4668.4372626023351</v>
      </c>
      <c r="G32" s="125"/>
      <c r="H32" s="123"/>
    </row>
    <row r="33" spans="1:37" s="106" customFormat="1" ht="12.6" thickBot="1" x14ac:dyDescent="0.3">
      <c r="A33" s="348"/>
      <c r="B33" s="349"/>
      <c r="C33" s="349"/>
      <c r="D33" s="349"/>
      <c r="E33" s="349"/>
      <c r="F33" s="349"/>
      <c r="G33" s="349"/>
      <c r="H33" s="349"/>
    </row>
    <row r="34" spans="1:37" s="106" customFormat="1" ht="12" x14ac:dyDescent="0.25">
      <c r="B34" s="108"/>
      <c r="C34" s="341" t="s">
        <v>128</v>
      </c>
      <c r="D34" s="341"/>
      <c r="E34" s="136">
        <v>0.65</v>
      </c>
      <c r="F34" s="137">
        <f>+F31/0.65</f>
        <v>6355.9390913578427</v>
      </c>
      <c r="G34" s="125"/>
      <c r="H34" s="123"/>
    </row>
    <row r="35" spans="1:37" s="106" customFormat="1" ht="12" x14ac:dyDescent="0.25">
      <c r="B35" s="108"/>
      <c r="C35" s="342" t="s">
        <v>129</v>
      </c>
      <c r="D35" s="342"/>
      <c r="E35" s="136">
        <v>0.13</v>
      </c>
      <c r="F35" s="137">
        <f>+F34*1.13</f>
        <v>7182.2111732343619</v>
      </c>
      <c r="G35" s="125"/>
      <c r="H35" s="123"/>
    </row>
    <row r="36" spans="1:37" s="106" customFormat="1" ht="12.6" thickBot="1" x14ac:dyDescent="0.3">
      <c r="C36" s="343"/>
      <c r="D36" s="343"/>
      <c r="F36" s="138"/>
      <c r="G36" s="139"/>
      <c r="H36" s="118"/>
    </row>
    <row r="37" spans="1:37" s="126" customFormat="1" ht="19.5" customHeight="1" thickBot="1" x14ac:dyDescent="0.35">
      <c r="A37" s="344" t="s">
        <v>130</v>
      </c>
      <c r="B37" s="345"/>
      <c r="C37" s="345"/>
      <c r="D37" s="345"/>
      <c r="E37" s="345"/>
      <c r="F37" s="345"/>
      <c r="G37" s="345"/>
      <c r="H37" s="345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  <c r="AA37" s="106"/>
      <c r="AB37" s="106"/>
      <c r="AC37" s="106"/>
      <c r="AD37" s="106"/>
      <c r="AE37" s="106"/>
      <c r="AF37" s="106"/>
      <c r="AG37" s="106"/>
      <c r="AH37" s="106"/>
      <c r="AI37" s="106"/>
      <c r="AJ37" s="106"/>
      <c r="AK37" s="106"/>
    </row>
    <row r="38" spans="1:37" s="106" customFormat="1" ht="12" x14ac:dyDescent="0.25">
      <c r="F38" s="140"/>
      <c r="G38" s="139"/>
      <c r="H38" s="118"/>
    </row>
    <row r="43" spans="1:37" ht="12" x14ac:dyDescent="0.25">
      <c r="H43" s="110"/>
    </row>
  </sheetData>
  <mergeCells count="28">
    <mergeCell ref="C12:D12"/>
    <mergeCell ref="B1:H1"/>
    <mergeCell ref="B2:H2"/>
    <mergeCell ref="B3:H3"/>
    <mergeCell ref="F4:G4"/>
    <mergeCell ref="C11:D11"/>
    <mergeCell ref="C27:E27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0CF8AB1-CB97-4B81-9FDD-1B43594309B3}"/>
</file>

<file path=customXml/itemProps2.xml><?xml version="1.0" encoding="utf-8"?>
<ds:datastoreItem xmlns:ds="http://schemas.openxmlformats.org/officeDocument/2006/customXml" ds:itemID="{9DC9D95B-636E-488C-A7FF-FC17679D3E01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35AD2816-6FB3-465F-8C2B-81940D0E4B0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245A154-15FC-436F-8FC3-EBA3C1F3528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costeo </vt:lpstr>
      <vt:lpstr>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2025-04-04T19:18:03Z</cp:lastPrinted>
  <dcterms:created xsi:type="dcterms:W3CDTF">2012-05-10T22:32:20Z</dcterms:created>
  <dcterms:modified xsi:type="dcterms:W3CDTF">2026-05-07T17:09:06Z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0x0101005C97FB89D0086C4984F8F1A28A5D30F9</vt:lpwstr>
  </property>
  <property fmtid="{D5CDD505-2E9C-101B-9397-08002B2CF9AE}" pid="4" name="display_urn:schemas-microsoft-com:office:office#Editor">
    <vt:lpwstr>Daniela Brenes Madriz</vt:lpwstr>
  </property>
  <property fmtid="{D5CDD505-2E9C-101B-9397-08002B2CF9AE}" pid="5" name="Order">
    <vt:lpwstr>190600.000000000</vt:lpwstr>
  </property>
  <property fmtid="{D5CDD505-2E9C-101B-9397-08002B2CF9AE}" pid="6" name="display_urn:schemas-microsoft-com:office:office#Author">
    <vt:lpwstr>Daniela Brenes Madriz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
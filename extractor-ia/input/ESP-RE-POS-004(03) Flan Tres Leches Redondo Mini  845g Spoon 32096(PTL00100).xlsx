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7" documentId="8_{068FD8DE-E45B-4748-88CF-9B329578602E}" xr6:coauthVersionLast="47" xr6:coauthVersionMax="47" xr10:uidLastSave="{FBECF767-9D90-42A4-8352-EE348908B915}"/>
  <bookViews>
    <workbookView xWindow="-120" yWindow="-120" windowWidth="20730" windowHeight="11040" xr2:uid="{C5875FD2-76F7-4E12-9D55-7A804969E458}"/>
  </bookViews>
  <sheets>
    <sheet name="Hoja1" sheetId="2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21" l="1"/>
  <c r="D44" i="21" l="1"/>
</calcChain>
</file>

<file path=xl/sharedStrings.xml><?xml version="1.0" encoding="utf-8"?>
<sst xmlns="http://schemas.openxmlformats.org/spreadsheetml/2006/main" count="100" uniqueCount="79">
  <si>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</si>
  <si>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</si>
  <si>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</si>
  <si>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</si>
  <si>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</si>
  <si>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</si>
  <si>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</si>
  <si>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</si>
  <si>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</si>
  <si>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</si>
  <si>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</si>
  <si>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g</t>
  </si>
  <si>
    <t>MEZCLA PARA TRES LECHES PASTEURIZADA SPOON</t>
  </si>
  <si>
    <t>FLAN DE CARAMELO SPOON REDONDO MINI</t>
  </si>
  <si>
    <t>MANJAR DULCE LECHE</t>
  </si>
  <si>
    <t>4. Decorar con hilos de dulce de leche en fomar de enrejado sobre el flan.</t>
  </si>
  <si>
    <t>CONT. 48 ON TRANSPA. TAPA PLANA (100 UND)</t>
  </si>
  <si>
    <t>ROSQUETE TRES LECHES redondo mini 150g</t>
  </si>
  <si>
    <t>Nestle</t>
  </si>
  <si>
    <t>ETIQ.BLANCA 1 1/4 * 3/4</t>
  </si>
  <si>
    <t>0702069</t>
  </si>
  <si>
    <t>ETIQUETA BLANCA 2 5/8X1 15/16 PRE BLANCA</t>
  </si>
  <si>
    <t>0702123</t>
  </si>
  <si>
    <t>ud</t>
  </si>
  <si>
    <t>CONTROL DE CAMBIOS</t>
  </si>
  <si>
    <t>2. Colocar 10g de crema con manjar sobre el rosquete.</t>
  </si>
  <si>
    <t>FAS</t>
  </si>
  <si>
    <t>SE00045</t>
  </si>
  <si>
    <t>SE00031</t>
  </si>
  <si>
    <t>SE00046</t>
  </si>
  <si>
    <t>MP10007</t>
  </si>
  <si>
    <t>EM10075</t>
  </si>
  <si>
    <t>EM10037</t>
  </si>
  <si>
    <t>EM10011</t>
  </si>
  <si>
    <t>EM10002</t>
  </si>
  <si>
    <t>EM10124</t>
  </si>
  <si>
    <t>SERVICIOS DE PASTELERIA S.A.</t>
  </si>
  <si>
    <t>CÓDIGO: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</si>
  <si>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</si>
  <si>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</si>
  <si>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</si>
  <si>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</si>
  <si>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</si>
  <si>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</si>
  <si>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>AREA QUE PRODUCE:</t>
  </si>
  <si>
    <t>Postres</t>
  </si>
  <si>
    <t xml:space="preserve">AREA QUE EMPACA: </t>
  </si>
  <si>
    <t># Código Netsuite</t>
  </si>
  <si>
    <t>Medida alternativa</t>
  </si>
  <si>
    <t>Ensamble</t>
  </si>
  <si>
    <t>1 UND</t>
  </si>
  <si>
    <t/>
  </si>
  <si>
    <t>Decoración</t>
  </si>
  <si>
    <t>Empaque</t>
  </si>
  <si>
    <t>ETIQUETA BLANCA R-153</t>
  </si>
  <si>
    <t>ETIPLAST</t>
  </si>
  <si>
    <t>CEMUSA</t>
  </si>
  <si>
    <t>BOLSA 8X12 TRANSP (KILO)</t>
  </si>
  <si>
    <t>PLASTICOS P</t>
  </si>
  <si>
    <t>Unidad</t>
  </si>
  <si>
    <t>Tiempo de Horneo: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</si>
  <si>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</si>
  <si>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</si>
  <si>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</si>
  <si>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</si>
  <si>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</si>
  <si>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</si>
  <si>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</si>
  <si>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</si>
  <si>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ESP-RE-POS-004</t>
  </si>
  <si>
    <t xml:space="preserve">2, Se actualizan dato receta y peso final </t>
  </si>
  <si>
    <t>1,- Colocar en la base del molde el rosquete y mojar con la mezcla de leches pasteurizadas.</t>
  </si>
  <si>
    <t>3,- Montar con cuidado el flan sobre el rosquete, agregar todo el caramelo en el flan.</t>
  </si>
  <si>
    <t xml:space="preserve">5,- Tapar el empaque y etiquetar con fecha de vencimiento y nombre del producto, etiqueta spoon,Lote </t>
  </si>
  <si>
    <t>SE00010</t>
  </si>
  <si>
    <t>Crema Chantilly Blanca (Spoon-Ind)</t>
  </si>
  <si>
    <t xml:space="preserve">Revision 3: Actualizacion a crema blanca para pegar el flan. </t>
  </si>
  <si>
    <t>03</t>
  </si>
  <si>
    <t>Flan Tres Leches Redondo Mini  845g Spoon 32096(PTL00100)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</si>
</sst>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</numFmts>
  <fonts count="15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Century Gothic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sz val="16"/>
      <name val="Arial"/>
      <family val="2"/>
    </font>
    <font>
      <b/>
      <sz val="20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2" fillId="0" borderId="0"/>
    <xf numFmtId="0" fontId="2" fillId="0" borderId="0"/>
    <xf numFmtId="0" fontId="5" fillId="0" borderId="0"/>
  </cellStyleXfs>
  <cellXfs count="162">
    <xf numFmtId="0" fontId="0" fillId="0" borderId="0" xfId="0"/>
    <xf numFmtId="0" fontId="6" fillId="2" borderId="1" xfId="3" applyFont="1" applyFill="1" applyBorder="1" applyAlignment="1">
      <alignment horizontal="right"/>
    </xf>
    <xf numFmtId="0" fontId="7" fillId="2" borderId="2" xfId="3" applyFont="1" applyFill="1" applyBorder="1" applyAlignment="1">
      <alignment horizontal="center"/>
    </xf>
    <xf numFmtId="0" fontId="6" fillId="2" borderId="3" xfId="3" applyFont="1" applyFill="1" applyBorder="1" applyAlignment="1">
      <alignment horizontal="right"/>
    </xf>
    <xf numFmtId="49" fontId="7" fillId="2" borderId="4" xfId="3" applyNumberFormat="1" applyFont="1" applyFill="1" applyBorder="1" applyAlignment="1">
      <alignment horizontal="center"/>
    </xf>
    <xf numFmtId="0" fontId="7" fillId="2" borderId="17" xfId="3" applyFont="1" applyFill="1" applyBorder="1" applyAlignment="1">
      <alignment horizontal="right"/>
    </xf>
    <xf numFmtId="0" fontId="7" fillId="2" borderId="3" xfId="3" applyFont="1" applyFill="1" applyBorder="1" applyAlignment="1">
      <alignment horizontal="right"/>
    </xf>
    <xf numFmtId="14" fontId="8" fillId="2" borderId="0" xfId="4" applyNumberFormat="1" applyFont="1" applyFill="1" applyAlignment="1">
      <alignment horizontal="center" vertical="center" wrapText="1"/>
    </xf>
    <xf numFmtId="0" fontId="6" fillId="4" borderId="2" xfId="2" applyFont="1" applyFill="1" applyBorder="1" applyAlignment="1">
      <alignment horizontal="center" vertical="center" wrapText="1"/>
    </xf>
    <xf numFmtId="1" fontId="6" fillId="4" borderId="20" xfId="2" applyNumberFormat="1" applyFont="1" applyFill="1" applyBorder="1" applyAlignment="1">
      <alignment horizontal="center"/>
    </xf>
    <xf numFmtId="1" fontId="6" fillId="4" borderId="20" xfId="2" applyNumberFormat="1" applyFont="1" applyFill="1" applyBorder="1" applyAlignment="1">
      <alignment horizontal="center" wrapText="1"/>
    </xf>
    <xf numFmtId="0" fontId="6" fillId="4" borderId="19" xfId="2" applyFont="1" applyFill="1" applyBorder="1" applyAlignment="1">
      <alignment horizontal="center"/>
    </xf>
    <xf numFmtId="0" fontId="9" fillId="0" borderId="0" xfId="0" applyFont="1"/>
    <xf numFmtId="0" fontId="7" fillId="2" borderId="27" xfId="3" applyFont="1" applyFill="1" applyBorder="1" applyAlignment="1">
      <alignment horizontal="left"/>
    </xf>
    <xf numFmtId="0" fontId="7" fillId="2" borderId="6" xfId="3" applyFont="1" applyFill="1" applyBorder="1" applyAlignment="1">
      <alignment horizontal="left"/>
    </xf>
    <xf numFmtId="0" fontId="7" fillId="2" borderId="5" xfId="3" applyFont="1" applyFill="1" applyBorder="1" applyAlignment="1">
      <alignment horizontal="left"/>
    </xf>
    <xf numFmtId="0" fontId="3" fillId="2" borderId="0" xfId="4" applyFont="1" applyFill="1" applyAlignment="1">
      <alignment horizontal="right"/>
    </xf>
    <xf numFmtId="0" fontId="8" fillId="2" borderId="39" xfId="4" applyFont="1" applyFill="1" applyBorder="1" applyAlignment="1">
      <alignment horizontal="center"/>
    </xf>
    <xf numFmtId="0" fontId="3" fillId="2" borderId="0" xfId="4" applyFont="1" applyFill="1"/>
    <xf numFmtId="0" fontId="6" fillId="4" borderId="23" xfId="2" applyFont="1" applyFill="1" applyBorder="1" applyAlignment="1">
      <alignment horizontal="center" vertical="center"/>
    </xf>
    <xf numFmtId="0" fontId="6" fillId="4" borderId="24" xfId="2" applyFont="1" applyFill="1" applyBorder="1" applyAlignment="1">
      <alignment horizontal="center" vertical="center"/>
    </xf>
    <xf numFmtId="0" fontId="6" fillId="4" borderId="23" xfId="2" applyFont="1" applyFill="1" applyBorder="1" applyAlignment="1">
      <alignment horizontal="center" vertical="center" wrapText="1"/>
    </xf>
    <xf numFmtId="0" fontId="6" fillId="4" borderId="24" xfId="2" applyFont="1" applyFill="1" applyBorder="1" applyAlignment="1">
      <alignment horizontal="center" vertical="center" wrapText="1"/>
    </xf>
    <xf numFmtId="0" fontId="6" fillId="4" borderId="1" xfId="2" applyFont="1" applyFill="1" applyBorder="1" applyAlignment="1">
      <alignment horizontal="center" vertical="center"/>
    </xf>
    <xf numFmtId="0" fontId="6" fillId="4" borderId="20" xfId="2" applyFont="1" applyFill="1" applyBorder="1" applyAlignment="1">
      <alignment horizontal="center" vertical="center"/>
    </xf>
    <xf numFmtId="14" fontId="7" fillId="2" borderId="28" xfId="3" applyNumberFormat="1" applyFont="1" applyFill="1" applyBorder="1" applyAlignment="1">
      <alignment horizontal="center" vertical="center" wrapText="1"/>
    </xf>
    <xf numFmtId="14" fontId="7" fillId="2" borderId="29" xfId="3" applyNumberFormat="1" applyFont="1" applyFill="1" applyBorder="1" applyAlignment="1">
      <alignment horizontal="center" vertical="center" wrapText="1"/>
    </xf>
    <xf numFmtId="14" fontId="7" fillId="2" borderId="16" xfId="3" applyNumberFormat="1" applyFont="1" applyFill="1" applyBorder="1" applyAlignment="1">
      <alignment horizontal="center" vertical="center" wrapText="1"/>
    </xf>
    <xf numFmtId="0" fontId="7" fillId="2" borderId="35" xfId="3" applyFont="1" applyFill="1" applyBorder="1" applyAlignment="1">
      <alignment horizontal="left"/>
    </xf>
    <xf numFmtId="0" fontId="7" fillId="2" borderId="36" xfId="3" applyFont="1" applyFill="1" applyBorder="1" applyAlignment="1">
      <alignment horizontal="left"/>
    </xf>
    <xf numFmtId="0" fontId="7" fillId="2" borderId="31" xfId="3" applyFont="1" applyFill="1" applyBorder="1" applyAlignment="1">
      <alignment horizontal="left"/>
    </xf>
    <xf numFmtId="0" fontId="7" fillId="2" borderId="25" xfId="3" applyFont="1" applyFill="1" applyBorder="1" applyAlignment="1">
      <alignment horizontal="center"/>
    </xf>
    <xf numFmtId="0" fontId="7" fillId="2" borderId="26" xfId="3" applyFont="1" applyFill="1" applyBorder="1" applyAlignment="1">
      <alignment horizontal="center"/>
    </xf>
    <xf numFmtId="0" fontId="7" fillId="2" borderId="14" xfId="3" applyFont="1" applyFill="1" applyBorder="1" applyAlignment="1">
      <alignment horizontal="center"/>
    </xf>
    <xf numFmtId="0" fontId="7" fillId="2" borderId="0" xfId="3" applyFont="1" applyFill="1" applyAlignment="1">
      <alignment horizontal="center"/>
    </xf>
    <xf numFmtId="0" fontId="7" fillId="2" borderId="12" xfId="3" applyFont="1" applyFill="1" applyBorder="1" applyAlignment="1">
      <alignment horizontal="center"/>
    </xf>
    <xf numFmtId="0" fontId="7" fillId="2" borderId="7" xfId="3" applyFont="1" applyFill="1" applyBorder="1" applyAlignment="1">
      <alignment horizontal="center"/>
    </xf>
    <xf numFmtId="0" fontId="6" fillId="2" borderId="1" xfId="3" applyFont="1" applyFill="1" applyBorder="1" applyAlignment="1">
      <alignment horizontal="center"/>
    </xf>
    <xf numFmtId="0" fontId="6" fillId="2" borderId="30" xfId="3" applyFont="1" applyFill="1" applyBorder="1" applyAlignment="1">
      <alignment horizontal="center"/>
    </xf>
    <xf numFmtId="0" fontId="6" fillId="2" borderId="8" xfId="3" applyFont="1" applyFill="1" applyBorder="1" applyAlignment="1">
      <alignment horizontal="center"/>
    </xf>
    <xf numFmtId="0" fontId="6" fillId="2" borderId="32" xfId="3" applyFont="1" applyFill="1" applyBorder="1" applyAlignment="1">
      <alignment horizontal="center"/>
    </xf>
    <xf numFmtId="0" fontId="6" fillId="2" borderId="21" xfId="3" applyFont="1" applyFill="1" applyBorder="1" applyAlignment="1">
      <alignment horizontal="right" vertical="top" wrapText="1"/>
    </xf>
    <xf numFmtId="0" fontId="6" fillId="2" borderId="37" xfId="3" applyFont="1" applyFill="1" applyBorder="1" applyAlignment="1">
      <alignment horizontal="right" vertical="top" wrapText="1"/>
    </xf>
    <xf numFmtId="0" fontId="6" fillId="2" borderId="38" xfId="3" applyFont="1" applyFill="1" applyBorder="1" applyAlignment="1">
      <alignment horizontal="right" vertical="top" wrapText="1"/>
    </xf>
    <xf numFmtId="0" fontId="10" fillId="3" borderId="33" xfId="3" applyFont="1" applyFill="1" applyBorder="1" applyAlignment="1">
      <alignment horizontal="center" vertical="center" wrapText="1"/>
    </xf>
    <xf numFmtId="0" fontId="10" fillId="3" borderId="34" xfId="3" applyFont="1" applyFill="1" applyBorder="1" applyAlignment="1">
      <alignment horizontal="center" vertical="center" wrapText="1"/>
    </xf>
    <xf numFmtId="0" fontId="10" fillId="3" borderId="22" xfId="3" applyFont="1" applyFill="1" applyBorder="1" applyAlignment="1">
      <alignment horizontal="center" vertical="center" wrapText="1"/>
    </xf>
    <xf numFmtId="0" fontId="11" fillId="0" borderId="15" xfId="2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12" fillId="0" borderId="3" xfId="2" applyFont="1" applyBorder="1" applyAlignment="1">
      <alignment vertical="center"/>
    </xf>
    <xf numFmtId="0" fontId="11" fillId="0" borderId="3" xfId="2" applyFont="1" applyBorder="1" applyAlignment="1">
      <alignment horizontal="center" vertical="center"/>
    </xf>
    <xf numFmtId="1" fontId="11" fillId="0" borderId="3" xfId="2" applyNumberFormat="1" applyFont="1" applyBorder="1" applyAlignment="1">
      <alignment horizontal="center"/>
    </xf>
    <xf numFmtId="1" fontId="11" fillId="0" borderId="3" xfId="2" applyNumberFormat="1" applyFont="1" applyBorder="1" applyAlignment="1">
      <alignment horizontal="center" wrapText="1"/>
    </xf>
    <xf numFmtId="0" fontId="9" fillId="0" borderId="4" xfId="2" applyFont="1" applyBorder="1" applyAlignment="1">
      <alignment horizontal="center"/>
    </xf>
    <xf numFmtId="49" fontId="13" fillId="5" borderId="3" xfId="2" applyNumberFormat="1" applyFont="1" applyFill="1" applyBorder="1" applyAlignment="1">
      <alignment horizontal="center"/>
    </xf>
    <xf numFmtId="0" fontId="13" fillId="0" borderId="3" xfId="2" applyFont="1" applyBorder="1" applyAlignment="1">
      <alignment horizontal="left" wrapText="1"/>
    </xf>
    <xf numFmtId="16" fontId="9" fillId="0" borderId="3" xfId="2" applyNumberFormat="1" applyFont="1" applyBorder="1" applyAlignment="1">
      <alignment horizontal="center"/>
    </xf>
    <xf numFmtId="1" fontId="9" fillId="0" borderId="3" xfId="2" applyNumberFormat="1" applyFont="1" applyBorder="1" applyAlignment="1">
      <alignment horizontal="center"/>
    </xf>
    <xf numFmtId="1" fontId="9" fillId="0" borderId="3" xfId="2" applyNumberFormat="1" applyFont="1" applyBorder="1" applyAlignment="1">
      <alignment horizontal="center" wrapText="1"/>
    </xf>
    <xf numFmtId="0" fontId="9" fillId="0" borderId="17" xfId="0" applyFont="1" applyBorder="1" applyAlignment="1">
      <alignment horizontal="center" wrapText="1"/>
    </xf>
    <xf numFmtId="12" fontId="9" fillId="0" borderId="17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center" vertical="top"/>
    </xf>
    <xf numFmtId="0" fontId="9" fillId="5" borderId="3" xfId="0" applyFont="1" applyFill="1" applyBorder="1"/>
    <xf numFmtId="16" fontId="9" fillId="2" borderId="3" xfId="0" applyNumberFormat="1" applyFont="1" applyFill="1" applyBorder="1" applyAlignment="1">
      <alignment horizontal="center"/>
    </xf>
    <xf numFmtId="1" fontId="9" fillId="2" borderId="3" xfId="0" applyNumberFormat="1" applyFont="1" applyFill="1" applyBorder="1" applyAlignment="1">
      <alignment horizontal="center"/>
    </xf>
    <xf numFmtId="1" fontId="9" fillId="2" borderId="3" xfId="0" applyNumberFormat="1" applyFont="1" applyFill="1" applyBorder="1" applyAlignment="1">
      <alignment horizontal="center" wrapText="1"/>
    </xf>
    <xf numFmtId="0" fontId="9" fillId="0" borderId="15" xfId="0" quotePrefix="1" applyFont="1" applyBorder="1" applyAlignment="1">
      <alignment horizontal="center"/>
    </xf>
    <xf numFmtId="0" fontId="9" fillId="0" borderId="5" xfId="0" quotePrefix="1" applyFont="1" applyBorder="1" applyAlignment="1">
      <alignment horizontal="center"/>
    </xf>
    <xf numFmtId="0" fontId="9" fillId="0" borderId="3" xfId="0" quotePrefix="1" applyFont="1" applyBorder="1"/>
    <xf numFmtId="0" fontId="9" fillId="0" borderId="3" xfId="0" applyFont="1" applyBorder="1" applyAlignment="1">
      <alignment horizontal="center"/>
    </xf>
    <xf numFmtId="0" fontId="9" fillId="0" borderId="3" xfId="2" applyFont="1" applyBorder="1" applyAlignment="1">
      <alignment horizontal="center"/>
    </xf>
    <xf numFmtId="1" fontId="9" fillId="0" borderId="3" xfId="0" applyNumberFormat="1" applyFont="1" applyBorder="1"/>
    <xf numFmtId="0" fontId="9" fillId="0" borderId="3" xfId="0" applyFont="1" applyBorder="1"/>
    <xf numFmtId="0" fontId="9" fillId="5" borderId="3" xfId="2" applyFont="1" applyFill="1" applyBorder="1" applyAlignment="1">
      <alignment horizontal="center"/>
    </xf>
    <xf numFmtId="49" fontId="9" fillId="0" borderId="15" xfId="2" applyNumberFormat="1" applyFont="1" applyBorder="1" applyAlignment="1">
      <alignment horizontal="center"/>
    </xf>
    <xf numFmtId="49" fontId="9" fillId="0" borderId="5" xfId="2" applyNumberFormat="1" applyFont="1" applyBorder="1" applyAlignment="1">
      <alignment horizontal="center"/>
    </xf>
    <xf numFmtId="0" fontId="11" fillId="5" borderId="3" xfId="2" applyFont="1" applyFill="1" applyBorder="1" applyAlignment="1">
      <alignment horizontal="left"/>
    </xf>
    <xf numFmtId="166" fontId="9" fillId="0" borderId="3" xfId="2" applyNumberFormat="1" applyFont="1" applyBorder="1" applyAlignment="1">
      <alignment horizontal="center"/>
    </xf>
    <xf numFmtId="0" fontId="14" fillId="5" borderId="15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1" fontId="9" fillId="5" borderId="17" xfId="0" applyNumberFormat="1" applyFont="1" applyFill="1" applyBorder="1" applyAlignment="1">
      <alignment horizontal="center"/>
    </xf>
    <xf numFmtId="1" fontId="9" fillId="5" borderId="17" xfId="0" applyNumberFormat="1" applyFont="1" applyFill="1" applyBorder="1" applyAlignment="1">
      <alignment horizontal="center" wrapText="1"/>
    </xf>
    <xf numFmtId="0" fontId="14" fillId="5" borderId="18" xfId="0" applyFont="1" applyFill="1" applyBorder="1" applyAlignment="1">
      <alignment horizontal="center"/>
    </xf>
    <xf numFmtId="0" fontId="14" fillId="5" borderId="17" xfId="0" applyFont="1" applyFill="1" applyBorder="1"/>
    <xf numFmtId="49" fontId="9" fillId="5" borderId="17" xfId="0" applyNumberFormat="1" applyFont="1" applyFill="1" applyBorder="1" applyAlignment="1">
      <alignment horizontal="center"/>
    </xf>
    <xf numFmtId="1" fontId="9" fillId="5" borderId="3" xfId="2" applyNumberFormat="1" applyFont="1" applyFill="1" applyBorder="1" applyAlignment="1">
      <alignment horizontal="center"/>
    </xf>
    <xf numFmtId="1" fontId="9" fillId="5" borderId="3" xfId="2" applyNumberFormat="1" applyFont="1" applyFill="1" applyBorder="1" applyAlignment="1">
      <alignment horizontal="center" wrapText="1"/>
    </xf>
    <xf numFmtId="1" fontId="9" fillId="5" borderId="3" xfId="0" applyNumberFormat="1" applyFont="1" applyFill="1" applyBorder="1" applyAlignment="1">
      <alignment horizontal="center"/>
    </xf>
    <xf numFmtId="16" fontId="9" fillId="5" borderId="3" xfId="0" applyNumberFormat="1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1" fontId="9" fillId="0" borderId="17" xfId="0" applyNumberFormat="1" applyFont="1" applyBorder="1" applyAlignment="1">
      <alignment horizontal="center" wrapText="1"/>
    </xf>
    <xf numFmtId="16" fontId="9" fillId="0" borderId="3" xfId="0" applyNumberFormat="1" applyFont="1" applyBorder="1" applyAlignment="1">
      <alignment horizontal="center"/>
    </xf>
    <xf numFmtId="1" fontId="9" fillId="0" borderId="17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 wrapText="1"/>
    </xf>
    <xf numFmtId="0" fontId="11" fillId="0" borderId="5" xfId="2" applyFont="1" applyBorder="1" applyAlignment="1">
      <alignment horizontal="center"/>
    </xf>
    <xf numFmtId="166" fontId="11" fillId="0" borderId="3" xfId="2" applyNumberFormat="1" applyFont="1" applyBorder="1" applyAlignment="1">
      <alignment horizontal="center"/>
    </xf>
    <xf numFmtId="49" fontId="9" fillId="0" borderId="3" xfId="0" applyNumberFormat="1" applyFont="1" applyBorder="1" applyAlignment="1">
      <alignment horizontal="center"/>
    </xf>
    <xf numFmtId="49" fontId="9" fillId="0" borderId="3" xfId="0" applyNumberFormat="1" applyFont="1" applyBorder="1"/>
    <xf numFmtId="165" fontId="11" fillId="5" borderId="3" xfId="1" applyNumberFormat="1" applyFont="1" applyFill="1" applyBorder="1" applyAlignment="1">
      <alignment horizontal="center"/>
    </xf>
    <xf numFmtId="0" fontId="14" fillId="0" borderId="3" xfId="5" applyFont="1" applyBorder="1" applyAlignment="1">
      <alignment horizontal="center"/>
    </xf>
    <xf numFmtId="0" fontId="14" fillId="0" borderId="3" xfId="5" applyFont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12" fontId="9" fillId="0" borderId="3" xfId="2" applyNumberFormat="1" applyFont="1" applyBorder="1" applyAlignment="1">
      <alignment horizontal="center"/>
    </xf>
    <xf numFmtId="0" fontId="9" fillId="0" borderId="3" xfId="0" quotePrefix="1" applyFont="1" applyBorder="1" applyAlignment="1">
      <alignment horizontal="center"/>
    </xf>
    <xf numFmtId="49" fontId="9" fillId="0" borderId="3" xfId="2" applyNumberFormat="1" applyFont="1" applyBorder="1"/>
    <xf numFmtId="49" fontId="13" fillId="2" borderId="14" xfId="2" applyNumberFormat="1" applyFont="1" applyFill="1" applyBorder="1" applyAlignment="1">
      <alignment horizontal="center" vertical="center"/>
    </xf>
    <xf numFmtId="49" fontId="13" fillId="2" borderId="0" xfId="2" applyNumberFormat="1" applyFont="1" applyFill="1" applyAlignment="1">
      <alignment horizontal="center" vertical="center"/>
    </xf>
    <xf numFmtId="0" fontId="9" fillId="2" borderId="0" xfId="2" applyFont="1" applyFill="1"/>
    <xf numFmtId="1" fontId="9" fillId="2" borderId="0" xfId="2" applyNumberFormat="1" applyFont="1" applyFill="1" applyAlignment="1">
      <alignment horizontal="center"/>
    </xf>
    <xf numFmtId="167" fontId="9" fillId="2" borderId="0" xfId="2" applyNumberFormat="1" applyFont="1" applyFill="1" applyAlignment="1">
      <alignment horizontal="center" wrapText="1"/>
    </xf>
    <xf numFmtId="0" fontId="9" fillId="2" borderId="13" xfId="2" applyFont="1" applyFill="1" applyBorder="1" applyAlignment="1">
      <alignment horizontal="center"/>
    </xf>
    <xf numFmtId="0" fontId="9" fillId="4" borderId="33" xfId="2" applyFont="1" applyFill="1" applyBorder="1" applyAlignment="1">
      <alignment horizontal="center"/>
    </xf>
    <xf numFmtId="0" fontId="9" fillId="4" borderId="34" xfId="2" applyFont="1" applyFill="1" applyBorder="1" applyAlignment="1">
      <alignment horizontal="center"/>
    </xf>
    <xf numFmtId="0" fontId="9" fillId="4" borderId="34" xfId="2" applyFont="1" applyFill="1" applyBorder="1"/>
    <xf numFmtId="0" fontId="11" fillId="4" borderId="34" xfId="2" applyFont="1" applyFill="1" applyBorder="1" applyAlignment="1">
      <alignment horizontal="center"/>
    </xf>
    <xf numFmtId="1" fontId="11" fillId="4" borderId="34" xfId="2" applyNumberFormat="1" applyFont="1" applyFill="1" applyBorder="1" applyAlignment="1">
      <alignment horizontal="center"/>
    </xf>
    <xf numFmtId="167" fontId="9" fillId="4" borderId="34" xfId="2" applyNumberFormat="1" applyFont="1" applyFill="1" applyBorder="1" applyAlignment="1">
      <alignment horizontal="center" wrapText="1"/>
    </xf>
    <xf numFmtId="0" fontId="9" fillId="4" borderId="22" xfId="2" applyFont="1" applyFill="1" applyBorder="1" applyAlignment="1">
      <alignment horizontal="center"/>
    </xf>
    <xf numFmtId="0" fontId="11" fillId="0" borderId="12" xfId="2" applyFont="1" applyBorder="1" applyAlignment="1">
      <alignment horizontal="right"/>
    </xf>
    <xf numFmtId="0" fontId="11" fillId="0" borderId="7" xfId="2" applyFont="1" applyBorder="1" applyAlignment="1">
      <alignment horizontal="right"/>
    </xf>
    <xf numFmtId="0" fontId="11" fillId="0" borderId="18" xfId="2" applyFont="1" applyBorder="1" applyAlignment="1">
      <alignment horizontal="right"/>
    </xf>
    <xf numFmtId="0" fontId="9" fillId="0" borderId="40" xfId="0" applyFont="1" applyBorder="1" applyAlignment="1">
      <alignment horizontal="center"/>
    </xf>
    <xf numFmtId="167" fontId="9" fillId="0" borderId="17" xfId="2" applyNumberFormat="1" applyFont="1" applyBorder="1" applyAlignment="1">
      <alignment horizontal="right"/>
    </xf>
    <xf numFmtId="0" fontId="9" fillId="2" borderId="40" xfId="2" applyFont="1" applyFill="1" applyBorder="1" applyAlignment="1">
      <alignment horizontal="center"/>
    </xf>
    <xf numFmtId="0" fontId="9" fillId="2" borderId="11" xfId="2" applyFont="1" applyFill="1" applyBorder="1" applyAlignment="1">
      <alignment horizontal="center"/>
    </xf>
    <xf numFmtId="0" fontId="11" fillId="0" borderId="10" xfId="2" applyFont="1" applyBorder="1" applyAlignment="1">
      <alignment horizontal="right"/>
    </xf>
    <xf numFmtId="0" fontId="11" fillId="0" borderId="6" xfId="2" applyFont="1" applyBorder="1" applyAlignment="1">
      <alignment horizontal="right"/>
    </xf>
    <xf numFmtId="0" fontId="11" fillId="0" borderId="5" xfId="2" applyFont="1" applyBorder="1" applyAlignment="1">
      <alignment horizontal="right"/>
    </xf>
    <xf numFmtId="0" fontId="9" fillId="0" borderId="3" xfId="2" applyFont="1" applyBorder="1" applyAlignment="1">
      <alignment horizontal="right"/>
    </xf>
    <xf numFmtId="167" fontId="9" fillId="0" borderId="27" xfId="2" applyNumberFormat="1" applyFont="1" applyBorder="1" applyAlignment="1">
      <alignment horizontal="center"/>
    </xf>
    <xf numFmtId="167" fontId="9" fillId="0" borderId="9" xfId="2" applyNumberFormat="1" applyFont="1" applyBorder="1" applyAlignment="1">
      <alignment horizontal="center"/>
    </xf>
    <xf numFmtId="167" fontId="9" fillId="0" borderId="27" xfId="2" applyNumberFormat="1" applyFont="1" applyBorder="1" applyAlignment="1">
      <alignment horizontal="right" wrapText="1"/>
    </xf>
    <xf numFmtId="167" fontId="9" fillId="0" borderId="5" xfId="2" applyNumberFormat="1" applyFont="1" applyBorder="1" applyAlignment="1">
      <alignment horizontal="right" wrapText="1"/>
    </xf>
    <xf numFmtId="167" fontId="9" fillId="0" borderId="27" xfId="0" applyNumberFormat="1" applyFont="1" applyBorder="1" applyAlignment="1">
      <alignment horizontal="center" wrapText="1"/>
    </xf>
    <xf numFmtId="167" fontId="9" fillId="0" borderId="9" xfId="0" applyNumberFormat="1" applyFont="1" applyBorder="1" applyAlignment="1">
      <alignment horizontal="center" wrapText="1"/>
    </xf>
    <xf numFmtId="0" fontId="11" fillId="0" borderId="24" xfId="2" applyFont="1" applyBorder="1" applyAlignment="1">
      <alignment horizontal="right"/>
    </xf>
    <xf numFmtId="0" fontId="11" fillId="0" borderId="32" xfId="2" applyFont="1" applyBorder="1" applyAlignment="1">
      <alignment horizontal="right"/>
    </xf>
    <xf numFmtId="0" fontId="11" fillId="0" borderId="20" xfId="2" applyFont="1" applyBorder="1" applyAlignment="1">
      <alignment horizontal="right"/>
    </xf>
    <xf numFmtId="1" fontId="9" fillId="0" borderId="20" xfId="0" applyNumberFormat="1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20" xfId="2" applyFont="1" applyBorder="1" applyAlignment="1">
      <alignment horizontal="right"/>
    </xf>
    <xf numFmtId="0" fontId="9" fillId="2" borderId="3" xfId="3" applyFont="1" applyFill="1" applyBorder="1" applyAlignment="1">
      <alignment horizontal="left"/>
    </xf>
    <xf numFmtId="0" fontId="9" fillId="0" borderId="27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14" fillId="5" borderId="3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14" fillId="5" borderId="3" xfId="0" applyFont="1" applyFill="1" applyBorder="1"/>
    <xf numFmtId="0" fontId="9" fillId="0" borderId="5" xfId="0" applyFont="1" applyBorder="1"/>
    <xf numFmtId="0" fontId="12" fillId="5" borderId="5" xfId="2" applyFont="1" applyFill="1" applyBorder="1" applyAlignment="1">
      <alignment vertical="center"/>
    </xf>
    <xf numFmtId="49" fontId="11" fillId="0" borderId="3" xfId="2" applyNumberFormat="1" applyFont="1" applyBorder="1" applyAlignment="1">
      <alignment horizontal="center"/>
    </xf>
    <xf numFmtId="0" fontId="11" fillId="4" borderId="25" xfId="2" applyFont="1" applyFill="1" applyBorder="1" applyAlignment="1">
      <alignment horizontal="center"/>
    </xf>
    <xf numFmtId="0" fontId="11" fillId="4" borderId="26" xfId="2" applyFont="1" applyFill="1" applyBorder="1" applyAlignment="1">
      <alignment horizontal="center"/>
    </xf>
    <xf numFmtId="0" fontId="11" fillId="4" borderId="41" xfId="2" applyFont="1" applyFill="1" applyBorder="1" applyAlignment="1">
      <alignment horizontal="center"/>
    </xf>
    <xf numFmtId="0" fontId="9" fillId="0" borderId="3" xfId="2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11" fillId="0" borderId="3" xfId="2" applyFont="1" applyBorder="1" applyAlignment="1">
      <alignment horizontal="left" wrapText="1"/>
    </xf>
    <xf numFmtId="0" fontId="11" fillId="0" borderId="3" xfId="0" applyFont="1" applyBorder="1" applyAlignment="1">
      <alignment horizontal="left"/>
    </xf>
    <xf numFmtId="0" fontId="11" fillId="6" borderId="3" xfId="3" applyFont="1" applyFill="1" applyBorder="1" applyAlignment="1">
      <alignment horizontal="center"/>
    </xf>
  </cellXfs>
  <cellStyles count="6">
    <cellStyle name="Millares" xfId="1" builtinId="3"/>
    <cellStyle name="Normal" xfId="0" builtinId="0"/>
    <cellStyle name="Normal 2" xfId="2" xr:uid="{1C66CEC5-DF31-4927-AE08-8FAF4C21B7AC}"/>
    <cellStyle name="Normal 3" xfId="5" xr:uid="{9E197574-FEBC-4FC8-AF26-D5A4850E090D}"/>
    <cellStyle name="Normal_CRITERIOS DE EVALUACION PT DE GB" xfId="3" xr:uid="{496B2722-75B6-4239-94A7-D0E02B0EE2E4}"/>
    <cellStyle name="Normal_CRITERIOS DE EVALUACION PT DE GB 2" xfId="4" xr:uid="{04573484-EF3C-4F9D-B9F4-BC408D57208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54427</xdr:colOff>
      <xdr:row>0</xdr:row>
      <xdr:rowOff>123825</xdr:rowOff>
    </xdr:from>
    <xdr:to>
      <xdr:col>1</xdr:col>
      <xdr:colOff>1028609</xdr:colOff>
      <xdr:row>4</xdr:row>
      <xdr:rowOff>95250</xdr:rowOff>
    </xdr:to>
    <xdr:pic>
      <xdr:nvPicPr>
        <xdr:cNvPr id="3" name="Imagen 5">
          <a:extLst>
            <a:ext uri="{FF2B5EF4-FFF2-40B4-BE49-F238E27FC236}">
              <a16:creationId xmlns:a16="http://schemas.microsoft.com/office/drawing/2014/main" id="{74EEA140-2B61-48FC-BA13-12AD6BB80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7" y="123825"/>
          <a:ext cx="2236245" cy="10548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D7727-F76A-48A8-99BC-7A4A4DD5B00E}">
  <sheetPr>
    <pageSetUpPr fitToPage="1"/>
  </sheetPr>
  <dimension ref="A1:I58"/>
  <sheetViews>
    <sheetView tabSelected="1" zoomScale="80" zoomScaleNormal="80" zoomScaleSheetLayoutView="70" workbookViewId="0">
      <selection activeCell="C1" sqref="C1:G1"/>
    </sheetView>
  </sheetViews>
  <sheetFormatPr baseColWidth="10" defaultRowHeight="12.75" x14ac:dyDescent="0.2"/>
  <cols>
    <col min="1" max="1" width="19" customWidth="1"/>
    <col min="2" max="2" width="16.85546875" customWidth="1"/>
    <col min="3" max="3" width="77" customWidth="1"/>
    <col min="4" max="4" width="21.28515625" customWidth="1"/>
    <col min="5" max="5" width="19.42578125" customWidth="1"/>
    <col min="6" max="6" width="14.7109375" customWidth="1"/>
    <col min="7" max="7" width="18.7109375" customWidth="1"/>
    <col min="8" max="8" width="20.140625" customWidth="1"/>
    <col min="9" max="9" width="21.5703125" bestFit="1" customWidth="1"/>
  </cols>
  <sheetData>
    <row r="1" spans="1:9" ht="18" x14ac:dyDescent="0.25">
      <c r="A1" s="31"/>
      <c r="B1" s="32"/>
      <c r="C1" s="37" t="s">
        <v>36</v>
      </c>
      <c r="D1" s="37"/>
      <c r="E1" s="37"/>
      <c r="F1" s="37"/>
      <c r="G1" s="37"/>
      <c r="H1" s="1" t="s">
        <v>37</v>
      </c>
      <c r="I1" s="2" t="s">
        <v>69</v>
      </c>
    </row>
    <row r="2" spans="1:9" ht="18" customHeight="1" thickBot="1" x14ac:dyDescent="0.3">
      <c r="A2" s="33"/>
      <c r="B2" s="34"/>
      <c r="C2" s="38" t="s">
        <v>0</v>
      </c>
      <c r="D2" s="39"/>
      <c r="E2" s="39"/>
      <c r="F2" s="39"/>
      <c r="G2" s="40"/>
      <c r="H2" s="3" t="s">
        <v>38</v>
      </c>
      <c r="I2" s="4" t="s">
        <v>77</v>
      </c>
    </row>
    <row r="3" spans="1:9" ht="31.5" customHeight="1" thickBot="1" x14ac:dyDescent="0.25">
      <c r="A3" s="33"/>
      <c r="B3" s="34"/>
      <c r="C3" s="44" t="s">
        <v>78</v>
      </c>
      <c r="D3" s="45"/>
      <c r="E3" s="45"/>
      <c r="F3" s="45"/>
      <c r="G3" s="46"/>
      <c r="H3" s="41" t="s">
        <v>39</v>
      </c>
      <c r="I3" s="25">
        <v>45615</v>
      </c>
    </row>
    <row r="4" spans="1:9" ht="18" customHeight="1" x14ac:dyDescent="0.25">
      <c r="A4" s="33"/>
      <c r="B4" s="34"/>
      <c r="C4" s="5" t="s">
        <v>40</v>
      </c>
      <c r="D4" s="28" t="s">
        <v>41</v>
      </c>
      <c r="E4" s="29"/>
      <c r="F4" s="29"/>
      <c r="G4" s="30"/>
      <c r="H4" s="42"/>
      <c r="I4" s="26"/>
    </row>
    <row r="5" spans="1:9" ht="18.75" thickBot="1" x14ac:dyDescent="0.3">
      <c r="A5" s="35"/>
      <c r="B5" s="36"/>
      <c r="C5" s="6" t="s">
        <v>42</v>
      </c>
      <c r="D5" s="13" t="s">
        <v>43</v>
      </c>
      <c r="E5" s="14"/>
      <c r="F5" s="14"/>
      <c r="G5" s="15"/>
      <c r="H5" s="43"/>
      <c r="I5" s="27"/>
    </row>
    <row r="6" spans="1:9" ht="18.75" thickBot="1" x14ac:dyDescent="0.3">
      <c r="A6" s="16" t="s">
        <v>44</v>
      </c>
      <c r="B6" s="16"/>
      <c r="C6" s="16"/>
      <c r="D6" s="17" t="s">
        <v>45</v>
      </c>
      <c r="E6" s="17"/>
      <c r="F6" s="17"/>
      <c r="G6" s="18" t="s">
        <v>46</v>
      </c>
      <c r="H6" s="18"/>
      <c r="I6" s="7" t="s">
        <v>45</v>
      </c>
    </row>
    <row r="7" spans="1:9" ht="36" x14ac:dyDescent="0.2">
      <c r="A7" s="19" t="s">
        <v>1</v>
      </c>
      <c r="B7" s="21" t="s">
        <v>47</v>
      </c>
      <c r="C7" s="23" t="s">
        <v>2</v>
      </c>
      <c r="D7" s="23" t="s">
        <v>3</v>
      </c>
      <c r="E7" s="23" t="s">
        <v>4</v>
      </c>
      <c r="F7" s="23"/>
      <c r="G7" s="23" t="s">
        <v>48</v>
      </c>
      <c r="H7" s="23"/>
      <c r="I7" s="8" t="s">
        <v>5</v>
      </c>
    </row>
    <row r="8" spans="1:9" ht="54.75" thickBot="1" x14ac:dyDescent="0.3">
      <c r="A8" s="20"/>
      <c r="B8" s="22"/>
      <c r="C8" s="24"/>
      <c r="D8" s="24"/>
      <c r="E8" s="9" t="s">
        <v>6</v>
      </c>
      <c r="F8" s="10" t="s">
        <v>7</v>
      </c>
      <c r="G8" s="9" t="s">
        <v>6</v>
      </c>
      <c r="H8" s="10" t="s">
        <v>7</v>
      </c>
      <c r="I8" s="11" t="s">
        <v>8</v>
      </c>
    </row>
    <row r="9" spans="1:9" ht="20.25" x14ac:dyDescent="0.3">
      <c r="A9" s="47"/>
      <c r="B9" s="48"/>
      <c r="C9" s="49" t="s">
        <v>49</v>
      </c>
      <c r="D9" s="50"/>
      <c r="E9" s="51"/>
      <c r="F9" s="52"/>
      <c r="G9" s="51"/>
      <c r="H9" s="52"/>
      <c r="I9" s="53"/>
    </row>
    <row r="10" spans="1:9" ht="20.25" x14ac:dyDescent="0.3">
      <c r="A10" s="54">
        <v>96292</v>
      </c>
      <c r="B10" s="54" t="s">
        <v>27</v>
      </c>
      <c r="C10" s="55" t="s">
        <v>17</v>
      </c>
      <c r="D10" s="56" t="s">
        <v>26</v>
      </c>
      <c r="E10" s="57">
        <v>120</v>
      </c>
      <c r="F10" s="58" t="s">
        <v>11</v>
      </c>
      <c r="G10" s="59"/>
      <c r="H10" s="60"/>
      <c r="I10" s="53"/>
    </row>
    <row r="11" spans="1:9" ht="20.25" x14ac:dyDescent="0.3">
      <c r="A11" s="61">
        <v>907000001</v>
      </c>
      <c r="B11" s="62" t="s">
        <v>28</v>
      </c>
      <c r="C11" s="63" t="s">
        <v>12</v>
      </c>
      <c r="D11" s="64" t="s">
        <v>26</v>
      </c>
      <c r="E11" s="65">
        <v>300</v>
      </c>
      <c r="F11" s="66" t="s">
        <v>11</v>
      </c>
      <c r="G11" s="59"/>
      <c r="H11" s="60"/>
      <c r="I11" s="53"/>
    </row>
    <row r="12" spans="1:9" ht="20.25" x14ac:dyDescent="0.3">
      <c r="A12" s="67">
        <v>907000031</v>
      </c>
      <c r="B12" s="68" t="s">
        <v>29</v>
      </c>
      <c r="C12" s="69" t="s">
        <v>13</v>
      </c>
      <c r="D12" s="70" t="s">
        <v>26</v>
      </c>
      <c r="E12" s="70">
        <v>483</v>
      </c>
      <c r="F12" s="70" t="s">
        <v>11</v>
      </c>
      <c r="G12" s="70"/>
      <c r="H12" s="60" t="s">
        <v>50</v>
      </c>
      <c r="I12" s="53"/>
    </row>
    <row r="13" spans="1:9" ht="20.25" x14ac:dyDescent="0.3">
      <c r="A13" s="67"/>
      <c r="B13" s="68"/>
      <c r="C13" s="69"/>
      <c r="D13" s="70"/>
      <c r="E13" s="70"/>
      <c r="F13" s="70"/>
      <c r="G13" s="70"/>
      <c r="H13" s="60"/>
      <c r="I13" s="53"/>
    </row>
    <row r="14" spans="1:9" ht="20.25" x14ac:dyDescent="0.3">
      <c r="A14" s="70"/>
      <c r="B14" s="70"/>
      <c r="C14" s="63"/>
      <c r="D14" s="57"/>
      <c r="E14" s="71"/>
      <c r="F14" s="58"/>
      <c r="G14" s="70"/>
      <c r="H14" s="60"/>
      <c r="I14" s="53"/>
    </row>
    <row r="15" spans="1:9" ht="20.25" x14ac:dyDescent="0.3">
      <c r="A15" s="70"/>
      <c r="B15" s="70"/>
      <c r="C15" s="63"/>
      <c r="D15" s="57"/>
      <c r="E15" s="71"/>
      <c r="F15" s="58"/>
      <c r="G15" s="70"/>
      <c r="H15" s="60"/>
      <c r="I15" s="53"/>
    </row>
    <row r="16" spans="1:9" ht="20.25" x14ac:dyDescent="0.3">
      <c r="A16" s="70"/>
      <c r="B16" s="70"/>
      <c r="C16" s="63"/>
      <c r="D16" s="57" t="s">
        <v>51</v>
      </c>
      <c r="E16" s="71"/>
      <c r="F16" s="58"/>
      <c r="G16" s="70"/>
      <c r="H16" s="60"/>
      <c r="I16" s="53"/>
    </row>
    <row r="17" spans="1:9" ht="20.25" x14ac:dyDescent="0.3">
      <c r="A17" s="72"/>
      <c r="B17" s="70"/>
      <c r="C17" s="73"/>
      <c r="D17" s="74"/>
      <c r="E17" s="74"/>
      <c r="F17" s="74"/>
      <c r="G17" s="51"/>
      <c r="H17" s="60"/>
      <c r="I17" s="53"/>
    </row>
    <row r="18" spans="1:9" ht="20.25" x14ac:dyDescent="0.3">
      <c r="A18" s="75"/>
      <c r="B18" s="76"/>
      <c r="C18" s="77" t="s">
        <v>52</v>
      </c>
      <c r="D18" s="71"/>
      <c r="E18" s="78"/>
      <c r="F18" s="58"/>
      <c r="G18" s="51"/>
      <c r="H18" s="52"/>
      <c r="I18" s="53"/>
    </row>
    <row r="19" spans="1:9" ht="20.25" x14ac:dyDescent="0.3">
      <c r="A19" s="148"/>
      <c r="B19" s="73" t="s">
        <v>74</v>
      </c>
      <c r="C19" s="73" t="s">
        <v>75</v>
      </c>
      <c r="D19" s="149" t="s">
        <v>26</v>
      </c>
      <c r="E19" s="81">
        <v>10</v>
      </c>
      <c r="F19" s="82" t="s">
        <v>11</v>
      </c>
      <c r="G19" s="51"/>
      <c r="H19" s="52"/>
      <c r="I19" s="53"/>
    </row>
    <row r="20" spans="1:9" ht="20.25" x14ac:dyDescent="0.3">
      <c r="A20" s="148">
        <v>11400066</v>
      </c>
      <c r="B20" s="148" t="s">
        <v>30</v>
      </c>
      <c r="C20" s="150" t="s">
        <v>14</v>
      </c>
      <c r="D20" s="149" t="s">
        <v>18</v>
      </c>
      <c r="E20" s="85">
        <v>5</v>
      </c>
      <c r="F20" s="82" t="s">
        <v>11</v>
      </c>
      <c r="G20" s="51"/>
      <c r="H20" s="52"/>
      <c r="I20" s="53"/>
    </row>
    <row r="21" spans="1:9" ht="20.25" x14ac:dyDescent="0.3">
      <c r="A21" s="79"/>
      <c r="B21" s="83"/>
      <c r="C21" s="84"/>
      <c r="D21" s="80"/>
      <c r="E21" s="81"/>
      <c r="F21" s="82"/>
      <c r="G21" s="51"/>
      <c r="H21" s="52"/>
      <c r="I21" s="53"/>
    </row>
    <row r="22" spans="1:9" ht="20.25" x14ac:dyDescent="0.3">
      <c r="A22" s="79"/>
      <c r="B22" s="83"/>
      <c r="C22" s="84"/>
      <c r="D22" s="80"/>
      <c r="E22" s="86"/>
      <c r="F22" s="87"/>
      <c r="G22" s="51"/>
      <c r="H22" s="52"/>
      <c r="I22" s="53"/>
    </row>
    <row r="23" spans="1:9" ht="20.25" x14ac:dyDescent="0.3">
      <c r="A23" s="79"/>
      <c r="B23" s="83"/>
      <c r="C23" s="84"/>
      <c r="D23" s="80"/>
      <c r="E23" s="88"/>
      <c r="F23" s="87"/>
      <c r="G23" s="51"/>
      <c r="H23" s="52"/>
      <c r="I23" s="53"/>
    </row>
    <row r="24" spans="1:9" ht="20.25" x14ac:dyDescent="0.3">
      <c r="A24" s="70"/>
      <c r="B24" s="70"/>
      <c r="C24" s="12"/>
      <c r="D24" s="89"/>
      <c r="E24" s="90"/>
      <c r="F24" s="91"/>
      <c r="G24" s="51"/>
      <c r="H24" s="52"/>
      <c r="I24" s="53"/>
    </row>
    <row r="25" spans="1:9" ht="20.25" x14ac:dyDescent="0.3">
      <c r="A25" s="70"/>
      <c r="B25" s="70"/>
      <c r="C25" s="151"/>
      <c r="D25" s="92"/>
      <c r="E25" s="93"/>
      <c r="F25" s="91"/>
      <c r="G25" s="51"/>
      <c r="H25" s="52"/>
      <c r="I25" s="53"/>
    </row>
    <row r="26" spans="1:9" ht="20.25" x14ac:dyDescent="0.3">
      <c r="A26" s="70"/>
      <c r="B26" s="70"/>
      <c r="C26" s="151"/>
      <c r="D26" s="92"/>
      <c r="E26" s="94"/>
      <c r="F26" s="95"/>
      <c r="G26" s="51"/>
      <c r="H26" s="52"/>
      <c r="I26" s="53"/>
    </row>
    <row r="27" spans="1:9" ht="20.25" x14ac:dyDescent="0.3">
      <c r="A27" s="153"/>
      <c r="B27" s="153"/>
      <c r="C27" s="152" t="s">
        <v>53</v>
      </c>
      <c r="D27" s="96"/>
      <c r="E27" s="97"/>
      <c r="F27" s="52"/>
      <c r="G27" s="51"/>
      <c r="H27" s="12"/>
      <c r="I27" s="53"/>
    </row>
    <row r="28" spans="1:9" ht="20.25" x14ac:dyDescent="0.3">
      <c r="A28" s="98">
        <v>1950672</v>
      </c>
      <c r="B28" s="98" t="s">
        <v>31</v>
      </c>
      <c r="C28" s="99" t="s">
        <v>16</v>
      </c>
      <c r="D28" s="70"/>
      <c r="E28" s="94">
        <v>1</v>
      </c>
      <c r="F28" s="95" t="s">
        <v>23</v>
      </c>
      <c r="G28" s="100"/>
      <c r="H28" s="52"/>
      <c r="I28" s="53"/>
    </row>
    <row r="29" spans="1:9" ht="20.25" x14ac:dyDescent="0.3">
      <c r="A29" s="101">
        <v>701096</v>
      </c>
      <c r="B29" s="101" t="s">
        <v>35</v>
      </c>
      <c r="C29" s="102" t="s">
        <v>54</v>
      </c>
      <c r="D29" s="70" t="s">
        <v>55</v>
      </c>
      <c r="E29" s="94">
        <v>1</v>
      </c>
      <c r="F29" s="95" t="s">
        <v>23</v>
      </c>
      <c r="G29" s="100"/>
      <c r="H29" s="52"/>
      <c r="I29" s="53"/>
    </row>
    <row r="30" spans="1:9" ht="20.25" x14ac:dyDescent="0.3">
      <c r="A30" s="70" t="s">
        <v>22</v>
      </c>
      <c r="B30" s="70" t="s">
        <v>33</v>
      </c>
      <c r="C30" s="73" t="s">
        <v>21</v>
      </c>
      <c r="D30" s="92" t="s">
        <v>56</v>
      </c>
      <c r="E30" s="94">
        <v>1</v>
      </c>
      <c r="F30" s="70" t="s">
        <v>23</v>
      </c>
      <c r="G30" s="100"/>
      <c r="H30" s="52"/>
      <c r="I30" s="53"/>
    </row>
    <row r="31" spans="1:9" ht="20.25" x14ac:dyDescent="0.3">
      <c r="A31" s="103">
        <v>1950705</v>
      </c>
      <c r="B31" s="103" t="s">
        <v>32</v>
      </c>
      <c r="C31" s="104" t="s">
        <v>57</v>
      </c>
      <c r="D31" s="70" t="s">
        <v>58</v>
      </c>
      <c r="E31" s="94">
        <v>1</v>
      </c>
      <c r="F31" s="95" t="s">
        <v>23</v>
      </c>
      <c r="G31" s="51"/>
      <c r="H31" s="52"/>
      <c r="I31" s="53"/>
    </row>
    <row r="32" spans="1:9" ht="20.25" x14ac:dyDescent="0.3">
      <c r="A32" s="103" t="s">
        <v>20</v>
      </c>
      <c r="B32" s="103" t="s">
        <v>34</v>
      </c>
      <c r="C32" s="104" t="s">
        <v>19</v>
      </c>
      <c r="D32" s="70" t="s">
        <v>51</v>
      </c>
      <c r="E32" s="94">
        <v>2</v>
      </c>
      <c r="F32" s="95" t="s">
        <v>23</v>
      </c>
      <c r="G32" s="51"/>
      <c r="H32" s="52"/>
      <c r="I32" s="53"/>
    </row>
    <row r="33" spans="1:9" ht="20.25" x14ac:dyDescent="0.3">
      <c r="A33" s="103"/>
      <c r="B33" s="103"/>
      <c r="C33" s="104"/>
      <c r="D33" s="70"/>
      <c r="E33" s="94"/>
      <c r="F33" s="95"/>
      <c r="G33" s="105"/>
      <c r="H33" s="52"/>
      <c r="I33" s="53"/>
    </row>
    <row r="34" spans="1:9" ht="20.25" x14ac:dyDescent="0.3">
      <c r="A34" s="103"/>
      <c r="B34" s="103"/>
      <c r="C34" s="104" t="s">
        <v>51</v>
      </c>
      <c r="D34" s="70"/>
      <c r="E34" s="94"/>
      <c r="F34" s="95"/>
      <c r="G34" s="57"/>
      <c r="H34" s="52"/>
      <c r="I34" s="53"/>
    </row>
    <row r="35" spans="1:9" ht="20.25" x14ac:dyDescent="0.3">
      <c r="A35" s="106"/>
      <c r="B35" s="106"/>
      <c r="C35" s="69"/>
      <c r="D35" s="70"/>
      <c r="E35" s="95"/>
      <c r="F35" s="95"/>
      <c r="G35" s="57"/>
      <c r="H35" s="52"/>
      <c r="I35" s="53"/>
    </row>
    <row r="36" spans="1:9" ht="20.25" x14ac:dyDescent="0.3">
      <c r="A36" s="98"/>
      <c r="B36" s="70"/>
      <c r="C36" s="99"/>
      <c r="D36" s="92"/>
      <c r="E36" s="94"/>
      <c r="F36" s="70"/>
      <c r="G36" s="57"/>
      <c r="H36" s="52"/>
      <c r="I36" s="53"/>
    </row>
    <row r="37" spans="1:9" ht="20.25" x14ac:dyDescent="0.3">
      <c r="A37" s="103"/>
      <c r="B37" s="103"/>
      <c r="C37" s="104"/>
      <c r="D37" s="70"/>
      <c r="E37" s="94"/>
      <c r="F37" s="70"/>
      <c r="G37" s="57"/>
      <c r="H37" s="52"/>
      <c r="I37" s="53"/>
    </row>
    <row r="38" spans="1:9" ht="20.25" x14ac:dyDescent="0.3">
      <c r="A38" s="75"/>
      <c r="B38" s="76"/>
      <c r="C38" s="107"/>
      <c r="D38" s="71"/>
      <c r="E38" s="71"/>
      <c r="F38" s="58"/>
      <c r="G38" s="71"/>
      <c r="H38" s="71"/>
      <c r="I38" s="53"/>
    </row>
    <row r="39" spans="1:9" ht="21" thickBot="1" x14ac:dyDescent="0.35">
      <c r="A39" s="108"/>
      <c r="B39" s="109"/>
      <c r="C39" s="110"/>
      <c r="D39" s="110"/>
      <c r="E39" s="111"/>
      <c r="F39" s="112"/>
      <c r="G39" s="110"/>
      <c r="H39" s="110"/>
      <c r="I39" s="113"/>
    </row>
    <row r="40" spans="1:9" ht="21" thickBot="1" x14ac:dyDescent="0.35">
      <c r="A40" s="114"/>
      <c r="B40" s="115"/>
      <c r="C40" s="116"/>
      <c r="D40" s="117" t="s">
        <v>6</v>
      </c>
      <c r="E40" s="118" t="s">
        <v>59</v>
      </c>
      <c r="F40" s="119"/>
      <c r="G40" s="116"/>
      <c r="H40" s="116"/>
      <c r="I40" s="120"/>
    </row>
    <row r="41" spans="1:9" ht="20.25" x14ac:dyDescent="0.3">
      <c r="A41" s="121" t="s">
        <v>10</v>
      </c>
      <c r="B41" s="122"/>
      <c r="C41" s="123"/>
      <c r="D41" s="93">
        <v>845</v>
      </c>
      <c r="E41" s="124" t="s">
        <v>11</v>
      </c>
      <c r="F41" s="125" t="s">
        <v>60</v>
      </c>
      <c r="G41" s="125"/>
      <c r="H41" s="126"/>
      <c r="I41" s="127"/>
    </row>
    <row r="42" spans="1:9" ht="20.25" x14ac:dyDescent="0.3">
      <c r="A42" s="128" t="s">
        <v>9</v>
      </c>
      <c r="B42" s="129"/>
      <c r="C42" s="130"/>
      <c r="D42" s="94">
        <v>3</v>
      </c>
      <c r="E42" s="70" t="s">
        <v>61</v>
      </c>
      <c r="F42" s="131" t="s">
        <v>62</v>
      </c>
      <c r="G42" s="131"/>
      <c r="H42" s="132"/>
      <c r="I42" s="133"/>
    </row>
    <row r="43" spans="1:9" ht="20.25" x14ac:dyDescent="0.3">
      <c r="A43" s="128" t="s">
        <v>63</v>
      </c>
      <c r="B43" s="129"/>
      <c r="C43" s="130"/>
      <c r="D43" s="94">
        <v>1</v>
      </c>
      <c r="E43" s="70" t="s">
        <v>23</v>
      </c>
      <c r="F43" s="131" t="s">
        <v>64</v>
      </c>
      <c r="G43" s="131"/>
      <c r="H43" s="132"/>
      <c r="I43" s="133"/>
    </row>
    <row r="44" spans="1:9" ht="20.25" x14ac:dyDescent="0.3">
      <c r="A44" s="128" t="s">
        <v>65</v>
      </c>
      <c r="B44" s="129"/>
      <c r="C44" s="130"/>
      <c r="D44" s="94">
        <f>D41/D43</f>
        <v>845</v>
      </c>
      <c r="E44" s="70" t="s">
        <v>11</v>
      </c>
      <c r="F44" s="134" t="s">
        <v>66</v>
      </c>
      <c r="G44" s="135"/>
      <c r="H44" s="136"/>
      <c r="I44" s="137"/>
    </row>
    <row r="45" spans="1:9" ht="21" thickBot="1" x14ac:dyDescent="0.35">
      <c r="A45" s="138" t="s">
        <v>67</v>
      </c>
      <c r="B45" s="139"/>
      <c r="C45" s="140"/>
      <c r="D45" s="141">
        <f>SUM(E10:E20)-D41</f>
        <v>73</v>
      </c>
      <c r="E45" s="142" t="s">
        <v>11</v>
      </c>
      <c r="F45" s="143"/>
      <c r="G45" s="143"/>
      <c r="H45" s="132"/>
      <c r="I45" s="133"/>
    </row>
    <row r="46" spans="1:9" ht="20.25" x14ac:dyDescent="0.3">
      <c r="A46" s="154" t="s">
        <v>68</v>
      </c>
      <c r="B46" s="155"/>
      <c r="C46" s="155"/>
      <c r="D46" s="155"/>
      <c r="E46" s="155"/>
      <c r="F46" s="155"/>
      <c r="G46" s="155"/>
      <c r="H46" s="155"/>
      <c r="I46" s="156"/>
    </row>
    <row r="47" spans="1:9" ht="20.25" x14ac:dyDescent="0.3">
      <c r="A47" s="157" t="s">
        <v>71</v>
      </c>
      <c r="B47" s="157"/>
      <c r="C47" s="157"/>
      <c r="D47" s="157"/>
      <c r="E47" s="157"/>
      <c r="F47" s="157"/>
      <c r="G47" s="157"/>
      <c r="H47" s="157"/>
      <c r="I47" s="157"/>
    </row>
    <row r="48" spans="1:9" ht="20.25" x14ac:dyDescent="0.3">
      <c r="A48" s="157" t="s">
        <v>25</v>
      </c>
      <c r="B48" s="157"/>
      <c r="C48" s="157"/>
      <c r="D48" s="157"/>
      <c r="E48" s="157"/>
      <c r="F48" s="157"/>
      <c r="G48" s="157"/>
      <c r="H48" s="157"/>
      <c r="I48" s="157"/>
    </row>
    <row r="49" spans="1:9" ht="20.25" x14ac:dyDescent="0.3">
      <c r="A49" s="157" t="s">
        <v>72</v>
      </c>
      <c r="B49" s="157"/>
      <c r="C49" s="157"/>
      <c r="D49" s="157"/>
      <c r="E49" s="157"/>
      <c r="F49" s="157"/>
      <c r="G49" s="157"/>
      <c r="H49" s="157"/>
      <c r="I49" s="157"/>
    </row>
    <row r="50" spans="1:9" ht="20.25" x14ac:dyDescent="0.3">
      <c r="A50" s="157" t="s">
        <v>15</v>
      </c>
      <c r="B50" s="157"/>
      <c r="C50" s="157"/>
      <c r="D50" s="157"/>
      <c r="E50" s="157"/>
      <c r="F50" s="157"/>
      <c r="G50" s="157"/>
      <c r="H50" s="157"/>
      <c r="I50" s="157"/>
    </row>
    <row r="51" spans="1:9" ht="20.25" x14ac:dyDescent="0.3">
      <c r="A51" s="157" t="s">
        <v>73</v>
      </c>
      <c r="B51" s="157"/>
      <c r="C51" s="157"/>
      <c r="D51" s="157"/>
      <c r="E51" s="157"/>
      <c r="F51" s="157"/>
      <c r="G51" s="157"/>
      <c r="H51" s="157"/>
      <c r="I51" s="157"/>
    </row>
    <row r="52" spans="1:9" ht="20.25" x14ac:dyDescent="0.3">
      <c r="A52" s="158"/>
      <c r="B52" s="158"/>
      <c r="C52" s="158"/>
      <c r="D52" s="158"/>
      <c r="E52" s="158"/>
      <c r="F52" s="158"/>
      <c r="G52" s="158"/>
      <c r="H52" s="158"/>
      <c r="I52" s="158"/>
    </row>
    <row r="53" spans="1:9" ht="20.25" x14ac:dyDescent="0.3">
      <c r="A53" s="159"/>
      <c r="B53" s="159"/>
      <c r="C53" s="159"/>
      <c r="D53" s="159"/>
      <c r="E53" s="159"/>
      <c r="F53" s="159"/>
      <c r="G53" s="159"/>
      <c r="H53" s="159"/>
      <c r="I53" s="159"/>
    </row>
    <row r="54" spans="1:9" ht="20.25" x14ac:dyDescent="0.3">
      <c r="A54" s="160"/>
      <c r="B54" s="160"/>
      <c r="C54" s="160"/>
      <c r="D54" s="160"/>
      <c r="E54" s="160"/>
      <c r="F54" s="160"/>
      <c r="G54" s="160"/>
      <c r="H54" s="160"/>
      <c r="I54" s="160"/>
    </row>
    <row r="55" spans="1:9" ht="20.25" x14ac:dyDescent="0.3">
      <c r="A55" s="161" t="s">
        <v>24</v>
      </c>
      <c r="B55" s="161"/>
      <c r="C55" s="161"/>
      <c r="D55" s="161"/>
      <c r="E55" s="161"/>
      <c r="F55" s="161"/>
      <c r="G55" s="161"/>
      <c r="H55" s="161"/>
      <c r="I55" s="161"/>
    </row>
    <row r="56" spans="1:9" ht="20.25" x14ac:dyDescent="0.3">
      <c r="A56" s="144" t="s">
        <v>70</v>
      </c>
      <c r="B56" s="144"/>
      <c r="C56" s="144"/>
      <c r="D56" s="144"/>
      <c r="E56" s="144"/>
      <c r="F56" s="144"/>
      <c r="G56" s="144"/>
      <c r="H56" s="144"/>
      <c r="I56" s="144"/>
    </row>
    <row r="57" spans="1:9" ht="20.25" x14ac:dyDescent="0.3">
      <c r="A57" s="144" t="s">
        <v>76</v>
      </c>
      <c r="B57" s="144"/>
      <c r="C57" s="144"/>
      <c r="D57" s="144"/>
      <c r="E57" s="144"/>
      <c r="F57" s="144"/>
      <c r="G57" s="144"/>
      <c r="H57" s="144"/>
      <c r="I57" s="144"/>
    </row>
    <row r="58" spans="1:9" ht="20.25" x14ac:dyDescent="0.3">
      <c r="A58" s="145"/>
      <c r="B58" s="146"/>
      <c r="C58" s="146"/>
      <c r="D58" s="146"/>
      <c r="E58" s="146"/>
      <c r="F58" s="146"/>
      <c r="G58" s="146"/>
      <c r="H58" s="146"/>
      <c r="I58" s="147"/>
    </row>
  </sheetData>
  <mergeCells count="45">
    <mergeCell ref="A58:I58"/>
    <mergeCell ref="A48:I48"/>
    <mergeCell ref="A50:I50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1:C41"/>
    <mergeCell ref="F41:G41"/>
    <mergeCell ref="H41:I41"/>
    <mergeCell ref="A42:C42"/>
    <mergeCell ref="F42:G42"/>
    <mergeCell ref="H42:I42"/>
    <mergeCell ref="A49:I49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57:I57"/>
    <mergeCell ref="A51:I51"/>
    <mergeCell ref="A52:I52"/>
    <mergeCell ref="A53:I53"/>
    <mergeCell ref="A54:I54"/>
    <mergeCell ref="A55:I55"/>
    <mergeCell ref="A56:I56"/>
  </mergeCells>
  <pageMargins left="0.7" right="0.7" top="0.75" bottom="0.75" header="0.3" footer="0.3"/>
  <pageSetup scale="4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458b6a9d5d6b9a17d8ab2559e7240bab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41056e0dad6d77feaf64f6a7e964ff49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818FD8-F54D-4358-B3AE-C82B46D8ECD3}"/>
</file>

<file path=customXml/itemProps2.xml><?xml version="1.0" encoding="utf-8"?>
<ds:datastoreItem xmlns:ds="http://schemas.openxmlformats.org/officeDocument/2006/customXml" ds:itemID="{8A13002F-F070-4283-B321-FBBB23EA5D85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B16BF413-7AB3-4AE3-9B8B-7DFD7CA0F33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829BF548-4856-42BE-B1CA-BA8A448A0C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Allan Brenes</cp:lastModifiedBy>
  <cp:lastPrinted>2025-11-11T16:27:39Z</cp:lastPrinted>
  <dcterms:created xsi:type="dcterms:W3CDTF">2003-03-11T22:35:36Z</dcterms:created>
  <dcterms:modified xsi:type="dcterms:W3CDTF">2025-11-11T16:31:23Z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393400.000000000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